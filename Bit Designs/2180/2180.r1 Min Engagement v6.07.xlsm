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0\"/>
    </mc:Choice>
  </mc:AlternateContent>
  <xr:revisionPtr revIDLastSave="0" documentId="13_ncr:1_{7E66E8FD-48A4-41A4-871E-86D222BCABF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103" i="1"/>
  <c r="IF13" i="1"/>
  <c r="IF108" i="1"/>
  <c r="IF92" i="1"/>
  <c r="IF131" i="1"/>
  <c r="IF123" i="1"/>
  <c r="IF141" i="1"/>
  <c r="IF124" i="1"/>
  <c r="IF107" i="1"/>
  <c r="IF146" i="1"/>
  <c r="IF11" i="1"/>
  <c r="IF134" i="1"/>
  <c r="IF84" i="1"/>
  <c r="IF12" i="1"/>
  <c r="IF50" i="1"/>
  <c r="IF133" i="1"/>
  <c r="IF149" i="1"/>
  <c r="IF104" i="1"/>
  <c r="IF130" i="1"/>
  <c r="IF132" i="1"/>
  <c r="IF119" i="1"/>
  <c r="IF32" i="1"/>
  <c r="IF110" i="1"/>
  <c r="IF125" i="1"/>
  <c r="IF72" i="1"/>
  <c r="IF144" i="1"/>
  <c r="IF12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52" i="1" l="1"/>
  <c r="IQ57" i="1"/>
  <c r="IQ99" i="1"/>
  <c r="IV90" i="1"/>
  <c r="IQ75" i="1"/>
  <c r="IV69" i="1"/>
  <c r="IV71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IQ71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IQ70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Q77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96" i="1" l="1"/>
  <c r="IV87" i="1"/>
  <c r="IV16" i="1"/>
  <c r="IQ20" i="1"/>
  <c r="IQ64" i="1"/>
  <c r="IV55" i="1"/>
  <c r="IQ54" i="1"/>
  <c r="IQ55" i="1"/>
  <c r="IV64" i="1"/>
  <c r="IQ69" i="1"/>
  <c r="IV26" i="1"/>
  <c r="IQ31" i="1"/>
  <c r="AD86" i="1"/>
  <c r="AH86" i="1" s="1"/>
  <c r="IQ95" i="1"/>
  <c r="IQ90" i="1"/>
  <c r="IQ98" i="1"/>
  <c r="IV89" i="1"/>
  <c r="IQ97" i="1"/>
  <c r="IV88" i="1"/>
  <c r="IQ94" i="1"/>
  <c r="IQ89" i="1"/>
  <c r="IV63" i="1"/>
  <c r="IQ68" i="1"/>
  <c r="IV51" i="1"/>
  <c r="IQ56" i="1"/>
  <c r="IQ59" i="1"/>
  <c r="IV56" i="1"/>
  <c r="IV83" i="1"/>
  <c r="IQ87" i="1"/>
  <c r="IQ93" i="1"/>
  <c r="IQ88" i="1"/>
  <c r="IQ76" i="1"/>
  <c r="IV7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P89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0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P90" i="1" s="1"/>
  <c r="R84" i="1"/>
  <c r="X84" i="1" s="1"/>
  <c r="IP88" i="1" s="1"/>
  <c r="Q84" i="1"/>
  <c r="R83" i="1"/>
  <c r="X83" i="1" s="1"/>
  <c r="IP87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69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1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68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IU52" i="1"/>
  <c r="IE52" i="1" s="1"/>
  <c r="IP57" i="1"/>
  <c r="IU26" i="1"/>
  <c r="IE26" i="1" s="1"/>
  <c r="IP31" i="1"/>
  <c r="IU16" i="1"/>
  <c r="IE16" i="1" s="1"/>
  <c r="IP20" i="1"/>
  <c r="IU51" i="1"/>
  <c r="IE51" i="1" s="1"/>
  <c r="IP56" i="1"/>
  <c r="IP28" i="1"/>
  <c r="IP54" i="1"/>
  <c r="IP55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87" i="1" s="1"/>
  <c r="W84" i="1"/>
  <c r="IL88" i="1" s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IL70" i="1" s="1"/>
  <c r="W66" i="1"/>
  <c r="IL71" i="1" s="1"/>
  <c r="W63" i="1"/>
  <c r="W64" i="1"/>
  <c r="IL69" i="1" s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IL55" i="1" s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57" i="1"/>
  <c r="IL90" i="1"/>
  <c r="IL89" i="1"/>
  <c r="IL46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IT71" i="1" s="1"/>
  <c r="U65" i="1"/>
  <c r="T65" i="1"/>
  <c r="AL65" i="1"/>
  <c r="AN65" i="1" s="1"/>
  <c r="IT70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IT55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64" i="1" l="1"/>
  <c r="IT69" i="1"/>
  <c r="IX71" i="1"/>
  <c r="IT99" i="1"/>
  <c r="IY90" i="1"/>
  <c r="IS98" i="1"/>
  <c r="IX89" i="1"/>
  <c r="IT97" i="1"/>
  <c r="IY88" i="1"/>
  <c r="IY83" i="1"/>
  <c r="IT87" i="1"/>
  <c r="IY51" i="1"/>
  <c r="IT56" i="1"/>
  <c r="IT78" i="1"/>
  <c r="IT95" i="1"/>
  <c r="IT90" i="1"/>
  <c r="IT93" i="1"/>
  <c r="IT88" i="1"/>
  <c r="IT96" i="1"/>
  <c r="IY87" i="1"/>
  <c r="IT98" i="1"/>
  <c r="IY89" i="1"/>
  <c r="IF89" i="1" s="1"/>
  <c r="IT94" i="1"/>
  <c r="IT89" i="1"/>
  <c r="IS94" i="1"/>
  <c r="IS89" i="1"/>
  <c r="IY52" i="1"/>
  <c r="IT57" i="1"/>
  <c r="IT77" i="1"/>
  <c r="IY71" i="1"/>
  <c r="IF71" i="1" s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S77" i="1" s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0" i="1" s="1"/>
  <c r="AP65" i="1"/>
  <c r="AP66" i="1"/>
  <c r="AO66" i="1"/>
  <c r="IS71" i="1" s="1"/>
  <c r="AO63" i="1"/>
  <c r="IX63" i="1" s="1"/>
  <c r="IF63" i="1" s="1"/>
  <c r="AP63" i="1"/>
  <c r="AO64" i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Y57" i="1"/>
  <c r="IF57" i="1" s="1"/>
  <c r="IS75" i="1"/>
  <c r="IX69" i="1"/>
  <c r="IF69" i="1" s="1"/>
  <c r="IX83" i="1"/>
  <c r="IF83" i="1" s="1"/>
  <c r="IS87" i="1"/>
  <c r="IS97" i="1"/>
  <c r="IX88" i="1"/>
  <c r="IX64" i="1"/>
  <c r="IF64" i="1" s="1"/>
  <c r="IS69" i="1"/>
  <c r="IS93" i="1"/>
  <c r="IS88" i="1"/>
  <c r="IS96" i="1"/>
  <c r="IX87" i="1"/>
  <c r="IF87" i="1" s="1"/>
  <c r="IX52" i="1"/>
  <c r="IF52" i="1" s="1"/>
  <c r="IS57" i="1"/>
  <c r="IX51" i="1"/>
  <c r="IF51" i="1" s="1"/>
  <c r="IS56" i="1"/>
  <c r="IS99" i="1"/>
  <c r="IX90" i="1"/>
  <c r="IF90" i="1" s="1"/>
  <c r="IS20" i="1"/>
  <c r="IS95" i="1"/>
  <c r="IS90" i="1"/>
  <c r="IF88" i="1"/>
  <c r="IS54" i="1"/>
  <c r="IS55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<sst xmlns="http://schemas.openxmlformats.org/spreadsheetml/2006/main" count="734" uniqueCount="391">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</sst>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G20" sqref="G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10.625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5.3125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10.625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50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-0.20540061948826838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0.30450091837476984</v>
      </c>
      <c r="D9" s="704">
        <v>-0.74040223305313491</v>
      </c>
      <c r="E9" s="705">
        <v>-0.93969263802333458</v>
      </c>
      <c r="F9" s="703">
        <v>-5.9391157902228854E-2</v>
      </c>
      <c r="G9" s="706">
        <v>0.33682404369014229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0.30450091837476984</v>
      </c>
      <c r="P9" s="625">
        <f t="shared" ref="P9:P40" si="4">IF(M9="","",D9)</f>
        <v>-0.74040223305313491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0.30450091837476984</v>
      </c>
      <c r="S9" s="626">
        <f>IF(M9="","",P9)</f>
        <v>-0.74040223305313491</v>
      </c>
      <c r="T9" s="627">
        <f>IF(M9="","",X9*COS(RADIANS(W9)))</f>
        <v>0.30450091837476984</v>
      </c>
      <c r="U9" s="624">
        <f>IF(M9="","",X9*SIN(RADIANS(W9)))</f>
        <v>0</v>
      </c>
      <c r="V9" s="628">
        <f>IF(M9="","",Y9)</f>
        <v>-0.74040223305313491</v>
      </c>
      <c r="W9" s="583">
        <f t="shared" ref="W9:W14" si="5">IF(M9="","",IF(Q9-$Q$8&lt;0,360+Q9-$Q$8,Q9-$Q$8))</f>
        <v>0</v>
      </c>
      <c r="X9" s="629">
        <f>IF(M9="","",R9)</f>
        <v>0.30450091837476984</v>
      </c>
      <c r="Y9" s="630">
        <f>IF(M9="","",S9)</f>
        <v>-0.74040223305313491</v>
      </c>
      <c r="Z9" s="623">
        <f t="shared" ref="Z9:Z40" si="6">IF(M9="","",-E9)</f>
        <v>0.93969263802333458</v>
      </c>
      <c r="AA9" s="624">
        <f t="shared" ref="AA9:AA40" si="7">IF(M9="","",-F9)</f>
        <v>5.9391157902228854E-2</v>
      </c>
      <c r="AB9" s="624">
        <f t="shared" ref="AB9:AB40" si="8">IF(M9="","",-G9)</f>
        <v>-0.33682404369014229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5.9391157902228854E-2</v>
      </c>
      <c r="AF9" s="625">
        <f>IF(M9="","",AB9*(1/SQRT(Z9^2+AA9^2+AB9^2)))</f>
        <v>-0.33682404369014229</v>
      </c>
      <c r="AG9" s="599">
        <f>IF(M9="","",DEGREES(ATAN2(-AF9,AE9)))</f>
        <v>9.9999985561788414</v>
      </c>
      <c r="AH9" s="600">
        <f>IF(M9="","",DEGREES(ACOS(AD9)))</f>
        <v>19.999997112357679</v>
      </c>
      <c r="AI9" s="583">
        <f>IF(M9="","",DEGREES(-ACOS(-AF9)))</f>
        <v>-70.316504667624201</v>
      </c>
      <c r="AJ9" s="601">
        <f>IF(M9="","",DEGREES(ATAN2(-AE9,AD9)))</f>
        <v>93.616440491936203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5.9391157902228854E-2</v>
      </c>
      <c r="AM9" s="626">
        <f>IF(M9="","",AF9)</f>
        <v>-0.33682404369014229</v>
      </c>
      <c r="AN9" s="581">
        <f>IF(M9="","",DEGREES(ATAN2(-AM9,AL9)))</f>
        <v>9.9999985561788414</v>
      </c>
      <c r="AO9" s="582">
        <f>IF(ROUND(IF(M9="",0,DEGREES(ACOS(AK9))),4)=90,0,IF(M9="","",DEGREES(ACOS(AK9))))</f>
        <v>19.999997112357679</v>
      </c>
      <c r="AP9" s="781">
        <f>IF(M9="","",DEGREES(ATAN2(AK9,AL9)))</f>
        <v>3.6164404919362023</v>
      </c>
      <c r="AQ9" s="584">
        <f t="shared" ref="AQ9:AQ40" si="9">IF(M9="","",DEGREES(ATAN(($AS$5*SIN(RADIANS(90)))/(($X9*2*PI())-($AS$5*COS(RADIANS(90)))))))</f>
        <v>7.4445852245406403</v>
      </c>
      <c r="AS9" s="51">
        <f>IF(M9="","",W9)</f>
        <v>0</v>
      </c>
      <c r="AT9" s="71">
        <f t="shared" ref="AT9:AT40" si="10">IF(M9="","",Y9+(((AS9-$AS$9)*$AS$6)*-1))</f>
        <v>-0.74040223305313491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t="str" cm="1">
        <f t="array" ref="JA9:JA11">IFERROR(_xlfn._xlws.SORT(_xlfn.UNIQUE(_xlfn._xlws.FILTER(IF($II$9:$II$150="",$K$9:$K$150,""),IF($II$9:$II$150="",$K$9:$K$150,"")&lt;&gt;"")),,-1),"")</f>
        <v>CPS-32193r1</v>
      </c>
      <c r="JB9" s="786" cm="1">
        <f t="array" ref="JB9">IF($JA9="","",COUNT(IF(IF($II$9:$II$150="",$IJ$9:$IJ$150,"")=$JA9,$IG$9:$IG$150,"")))</f>
        <v>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0.96440290863917255</v>
      </c>
      <c r="D10" s="709">
        <v>-0.58150175380928948</v>
      </c>
      <c r="E10" s="710">
        <v>-0.96126170705176617</v>
      </c>
      <c r="F10" s="708">
        <v>-4.7863910964055859E-2</v>
      </c>
      <c r="G10" s="711">
        <v>0.27144976806611826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0.96440290863917255</v>
      </c>
      <c r="P10" s="633">
        <f t="shared" si="4"/>
        <v>-0.58150175380928948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0.96440290863917255</v>
      </c>
      <c r="S10" s="634">
        <f t="shared" ref="S10:S105" si="80">IF(M10="","",P10)</f>
        <v>-0.58150175380928948</v>
      </c>
      <c r="T10" s="635">
        <f t="shared" ref="T10:T105" si="81">IF(M10="","",X10*COS(RADIANS(W10)))</f>
        <v>0.96440290863917255</v>
      </c>
      <c r="U10" s="629">
        <f t="shared" ref="U10:U105" si="82">IF(M10="","",X10*SIN(RADIANS(W10)))</f>
        <v>0</v>
      </c>
      <c r="V10" s="636">
        <f>IF(M10="","",Y10)</f>
        <v>-0.58150175380928948</v>
      </c>
      <c r="W10" s="585">
        <f t="shared" si="5"/>
        <v>0</v>
      </c>
      <c r="X10" s="629">
        <f t="shared" ref="X10:X105" si="83">IF(M10="","",R10)</f>
        <v>0.96440290863917255</v>
      </c>
      <c r="Y10" s="630">
        <f>IF(M10="","",S10)</f>
        <v>-0.58150175380928948</v>
      </c>
      <c r="Z10" s="632">
        <f t="shared" si="6"/>
        <v>0.96126170705176617</v>
      </c>
      <c r="AA10" s="629">
        <f t="shared" si="7"/>
        <v>4.7863910964055859E-2</v>
      </c>
      <c r="AB10" s="629">
        <f t="shared" si="8"/>
        <v>-0.27144976806611826</v>
      </c>
      <c r="AC10" s="636">
        <f t="shared" ref="AC10:AC105" si="84">IF(M10="","",SQRT(Z10^2+AA10^2+AB10^2))</f>
        <v>1</v>
      </c>
      <c r="AD10" s="637">
        <f>IF(M10="","",Z10*(1/SQRT(Z10^2+AA10^2+AB10^2)))</f>
        <v>0.96126170705176617</v>
      </c>
      <c r="AE10" s="629">
        <f t="shared" ref="AE10:AE105" si="85">IF(M10="","",AA10*(1/SQRT(Z10^2+AA10^2+AB10^2)))</f>
        <v>4.7863910964055859E-2</v>
      </c>
      <c r="AF10" s="633">
        <f t="shared" ref="AF10:AF105" si="86">IF(M10="","",AB10*(1/SQRT(Z10^2+AA10^2+AB10^2)))</f>
        <v>-0.27144976806611826</v>
      </c>
      <c r="AG10" s="602">
        <f t="shared" ref="AG10:AG105" si="87">IF(M10="","",DEGREES(ATAN2(-AF10,AE10)))</f>
        <v>9.9999985561788431</v>
      </c>
      <c r="AH10" s="603">
        <f t="shared" ref="AH10:AH105" si="88">IF(M10="","",DEGREES(ACOS(AD10)))</f>
        <v>15.99999768988615</v>
      </c>
      <c r="AI10" s="585">
        <f t="shared" ref="AI10:AI105" si="89">IF(M10="","",DEGREES(-ACOS(-AF10)))</f>
        <v>-74.249445278802412</v>
      </c>
      <c r="AJ10" s="586">
        <f t="shared" ref="AJ10:AJ105" si="90">IF(M10="","",DEGREES(ATAN2(-AE10,AD10)))</f>
        <v>92.850562966339382</v>
      </c>
      <c r="AK10" s="635">
        <f>IF(M10="","",(COS(RADIANS((90-$Q$8)-W10))*AD10)+(-SIN(RADIANS((90-$Q$8)-W10))*AE10))</f>
        <v>0.96126170705176617</v>
      </c>
      <c r="AL10" s="629">
        <f t="shared" ref="AL10:AL105" si="91">IF(M10="","",(SIN(RADIANS((90-$Q$8)-W10))*AD10)+(COS(RADIANS((90-$Q$8)-W10))*AE10))</f>
        <v>4.7863910964055859E-2</v>
      </c>
      <c r="AM10" s="634">
        <f t="shared" ref="AM10:AM105" si="92">IF(M10="","",AF10)</f>
        <v>-0.27144976806611826</v>
      </c>
      <c r="AN10" s="581">
        <f t="shared" ref="AN10:AN105" si="93">IF(M10="","",DEGREES(ATAN2(-AM10,AL10)))</f>
        <v>9.9999985561788431</v>
      </c>
      <c r="AO10" s="582">
        <f t="shared" ref="AO10:AO54" si="94">IF(ROUND(IF(M10="",0,DEGREES(ACOS(AK10))),4)=90,0,IF(M10="","",DEGREES(ACOS(AK10))))</f>
        <v>15.99999768988615</v>
      </c>
      <c r="AP10" s="585">
        <f t="shared" ref="AP10:AP105" si="95">IF(M10="","",DEGREES(ATAN2(AK10,AL10)))</f>
        <v>2.8505629663393783</v>
      </c>
      <c r="AQ10" s="586">
        <f t="shared" si="9"/>
        <v>2.3625337874087378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-0.58150175380928948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1613</v>
      </c>
      <c r="JB10" s="787" cm="1">
        <f t="array" ref="JB10">IF($JA10="","",COUNT(IF(IF($II$9:$II$150="",$IJ$9:$IJ$150,"")=$JA10,$IG$9:$IG$150,"")))</f>
        <v>49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1.6662050252743563</v>
      </c>
      <c r="D11" s="709">
        <v>-0.39340118649797851</v>
      </c>
      <c r="E11" s="710">
        <v>-0.96126170705176617</v>
      </c>
      <c r="F11" s="708">
        <v>-4.7863910964055845E-2</v>
      </c>
      <c r="G11" s="711">
        <v>0.27144976806611826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1.6662050252743563</v>
      </c>
      <c r="P11" s="633">
        <f t="shared" si="4"/>
        <v>-0.39340118649797851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1.6662050252743563</v>
      </c>
      <c r="S11" s="634">
        <f t="shared" si="80"/>
        <v>-0.39340118649797851</v>
      </c>
      <c r="T11" s="635">
        <f t="shared" si="81"/>
        <v>1.6662050252743563</v>
      </c>
      <c r="U11" s="629">
        <f t="shared" si="82"/>
        <v>0</v>
      </c>
      <c r="V11" s="636">
        <f t="shared" ref="V11:V105" si="114">IF(M11="","",Y11)</f>
        <v>-0.39340118649797851</v>
      </c>
      <c r="W11" s="585">
        <f t="shared" si="5"/>
        <v>0</v>
      </c>
      <c r="X11" s="629">
        <f>IF(M11="","",R11)</f>
        <v>1.6662050252743563</v>
      </c>
      <c r="Y11" s="630">
        <f>IF(M11="","",S11)</f>
        <v>-0.39340118649797851</v>
      </c>
      <c r="Z11" s="632">
        <f t="shared" si="6"/>
        <v>0.96126170705176617</v>
      </c>
      <c r="AA11" s="629">
        <f t="shared" si="7"/>
        <v>4.7863910964055845E-2</v>
      </c>
      <c r="AB11" s="629">
        <f t="shared" si="8"/>
        <v>-0.27144976806611826</v>
      </c>
      <c r="AC11" s="636">
        <f t="shared" si="84"/>
        <v>1</v>
      </c>
      <c r="AD11" s="637">
        <f t="shared" ref="AD11:AD105" si="115">IF(M11="","",Z11*(1/SQRT(Z11^2+AA11^2+AB11^2)))</f>
        <v>0.96126170705176617</v>
      </c>
      <c r="AE11" s="629">
        <f t="shared" si="85"/>
        <v>4.7863910964055845E-2</v>
      </c>
      <c r="AF11" s="633">
        <f t="shared" si="86"/>
        <v>-0.27144976806611826</v>
      </c>
      <c r="AG11" s="602">
        <f>IF(M11="","",DEGREES(ATAN2(-AF11,AE11)))</f>
        <v>9.9999985561788396</v>
      </c>
      <c r="AH11" s="603">
        <f t="shared" si="88"/>
        <v>15.99999768988615</v>
      </c>
      <c r="AI11" s="585">
        <f t="shared" si="89"/>
        <v>-74.249445278802412</v>
      </c>
      <c r="AJ11" s="586">
        <f t="shared" si="90"/>
        <v>92.850562966339382</v>
      </c>
      <c r="AK11" s="635">
        <f>IF(M11="","",(COS(RADIANS((90-$Q$8)-W11))*AD11)+(-SIN(RADIANS((90-$Q$8)-W11))*AE11))</f>
        <v>0.96126170705176617</v>
      </c>
      <c r="AL11" s="629">
        <f t="shared" si="91"/>
        <v>4.7863910964055845E-2</v>
      </c>
      <c r="AM11" s="634">
        <f t="shared" si="92"/>
        <v>-0.27144976806611826</v>
      </c>
      <c r="AN11" s="581">
        <f>IF(M11="","",DEGREES(ATAN2(-AM11,AL11)))</f>
        <v>9.9999985561788396</v>
      </c>
      <c r="AO11" s="582">
        <f>IF(ROUND(IF(M11="",0,DEGREES(ACOS(AK11))),4)=90,0,IF(M11="","",DEGREES(ACOS(AK11))))</f>
        <v>15.99999768988615</v>
      </c>
      <c r="AP11" s="585">
        <f t="shared" si="95"/>
        <v>2.8505629663393779</v>
      </c>
      <c r="AQ11" s="586">
        <f t="shared" si="9"/>
        <v>1.3679549691875632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-0.39340118649797851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1313</v>
      </c>
      <c r="JB11" s="787" cm="1">
        <f t="array" ref="JB11">IF($JA11="","",COUNT(IF(IF($II$9:$II$150="",$IJ$9:$IJ$150,"")=$JA11,$IG$9:$IG$150,"")))</f>
        <v>1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2.3680071419095401</v>
      </c>
      <c r="D12" s="709">
        <v>-0.20540061948826838</v>
      </c>
      <c r="E12" s="710">
        <v>-0.96126170705176617</v>
      </c>
      <c r="F12" s="708">
        <v>-4.7863910964055845E-2</v>
      </c>
      <c r="G12" s="711">
        <v>0.27144976806611826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2.3680071419095401</v>
      </c>
      <c r="P12" s="633">
        <f t="shared" si="4"/>
        <v>-0.20540061948826838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2.3680071419095401</v>
      </c>
      <c r="S12" s="634">
        <f t="shared" si="80"/>
        <v>-0.20540061948826838</v>
      </c>
      <c r="T12" s="635">
        <f>IF(M12="","",X12*COS(RADIANS(W12)))</f>
        <v>2.3680071419095401</v>
      </c>
      <c r="U12" s="629">
        <f t="shared" si="82"/>
        <v>0</v>
      </c>
      <c r="V12" s="636">
        <f t="shared" si="114"/>
        <v>-0.20540061948826838</v>
      </c>
      <c r="W12" s="585">
        <f>IF(M12="","",IF(Q12-$Q$8&lt;0,360+Q12-$Q$8,Q12-$Q$8))</f>
        <v>0</v>
      </c>
      <c r="X12" s="629">
        <f t="shared" si="83"/>
        <v>2.3680071419095401</v>
      </c>
      <c r="Y12" s="630">
        <f>IF(M12="","",S12)</f>
        <v>-0.20540061948826838</v>
      </c>
      <c r="Z12" s="632">
        <f t="shared" si="6"/>
        <v>0.96126170705176617</v>
      </c>
      <c r="AA12" s="629">
        <f t="shared" si="7"/>
        <v>4.7863910964055845E-2</v>
      </c>
      <c r="AB12" s="629">
        <f t="shared" si="8"/>
        <v>-0.27144976806611826</v>
      </c>
      <c r="AC12" s="636">
        <f t="shared" si="84"/>
        <v>1</v>
      </c>
      <c r="AD12" s="637">
        <f t="shared" si="115"/>
        <v>0.96126170705176617</v>
      </c>
      <c r="AE12" s="629">
        <f t="shared" si="85"/>
        <v>4.7863910964055845E-2</v>
      </c>
      <c r="AF12" s="633">
        <f t="shared" si="86"/>
        <v>-0.27144976806611826</v>
      </c>
      <c r="AG12" s="602">
        <f t="shared" si="87"/>
        <v>9.9999985561788396</v>
      </c>
      <c r="AH12" s="603">
        <f t="shared" si="88"/>
        <v>15.99999768988615</v>
      </c>
      <c r="AI12" s="585">
        <f t="shared" si="89"/>
        <v>-74.249445278802412</v>
      </c>
      <c r="AJ12" s="586">
        <f t="shared" si="90"/>
        <v>92.850562966339382</v>
      </c>
      <c r="AK12" s="635">
        <f t="shared" ref="AK12:AK105" si="211">IF(M12="","",(COS(RADIANS((90-$Q$8)-W12))*AD12)+(-SIN(RADIANS((90-$Q$8)-W12))*AE12))</f>
        <v>0.96126170705176617</v>
      </c>
      <c r="AL12" s="629">
        <f>IF(M12="","",(SIN(RADIANS((90-$Q$8)-W12))*AD12)+(COS(RADIANS((90-$Q$8)-W12))*AE12))</f>
        <v>4.7863910964055845E-2</v>
      </c>
      <c r="AM12" s="634">
        <f t="shared" si="92"/>
        <v>-0.27144976806611826</v>
      </c>
      <c r="AN12" s="581">
        <f>IF(M12="","",DEGREES(ATAN2(-AM12,AL12)))</f>
        <v>9.9999985561788396</v>
      </c>
      <c r="AO12" s="582">
        <f t="shared" si="94"/>
        <v>15.99999768988615</v>
      </c>
      <c r="AP12" s="585">
        <f t="shared" si="95"/>
        <v>2.8505629663393779</v>
      </c>
      <c r="AQ12" s="586">
        <f t="shared" si="9"/>
        <v>0.96262890606904317</v>
      </c>
      <c r="AS12" s="52">
        <f t="shared" si="116"/>
        <v>0</v>
      </c>
      <c r="AT12" s="72">
        <f>IF(M12="","",Y12+(((AS12-$AS$9)*$AS$6)*-1))</f>
        <v>-0.20540061948826838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6.2050152623763406E-3</v>
      </c>
      <c r="C13" s="708">
        <v>3.1186032327418745</v>
      </c>
      <c r="D13" s="709">
        <v>-7.0600212930242198E-2</v>
      </c>
      <c r="E13" s="710">
        <v>-0.9607166887825388</v>
      </c>
      <c r="F13" s="708">
        <v>3.0355421838620153E-2</v>
      </c>
      <c r="G13" s="711">
        <v>0.27586589542695189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280</v>
      </c>
      <c r="M13" s="168">
        <f t="shared" si="1"/>
        <v>1.1160000000000001</v>
      </c>
      <c r="N13" s="632">
        <f t="shared" si="2"/>
        <v>6.2050152623763406E-3</v>
      </c>
      <c r="O13" s="629">
        <f t="shared" si="3"/>
        <v>3.1186032327418745</v>
      </c>
      <c r="P13" s="633">
        <f t="shared" si="4"/>
        <v>-7.0600212930242198E-2</v>
      </c>
      <c r="Q13" s="585">
        <f t="shared" si="113"/>
        <v>89.886000016459562</v>
      </c>
      <c r="R13" s="629">
        <f t="shared" si="79"/>
        <v>3.1186094057259681</v>
      </c>
      <c r="S13" s="634">
        <f t="shared" si="80"/>
        <v>-7.0600212930242198E-2</v>
      </c>
      <c r="T13" s="635">
        <f>IF(M13="","",X13*COS(RADIANS(W13)))</f>
        <v>3.1186032327418745</v>
      </c>
      <c r="U13" s="629">
        <f t="shared" si="82"/>
        <v>-6.2050152623768489E-3</v>
      </c>
      <c r="V13" s="636">
        <f t="shared" si="114"/>
        <v>-7.0600212930242198E-2</v>
      </c>
      <c r="W13" s="585">
        <f t="shared" si="5"/>
        <v>359.88600001645955</v>
      </c>
      <c r="X13" s="629">
        <f t="shared" si="83"/>
        <v>3.1186094057259681</v>
      </c>
      <c r="Y13" s="630">
        <f>IF(M13="","",S13)</f>
        <v>-7.0600212930242198E-2</v>
      </c>
      <c r="Z13" s="632">
        <f t="shared" si="6"/>
        <v>0.9607166887825388</v>
      </c>
      <c r="AA13" s="629">
        <f t="shared" si="7"/>
        <v>-3.0355421838620153E-2</v>
      </c>
      <c r="AB13" s="629">
        <f t="shared" si="8"/>
        <v>-0.27586589542695189</v>
      </c>
      <c r="AC13" s="636">
        <f t="shared" si="84"/>
        <v>1</v>
      </c>
      <c r="AD13" s="637">
        <f>IF(M13="","",Z13*(1/SQRT(Z13^2+AA13^2+AB13^2)))</f>
        <v>0.9607166887825388</v>
      </c>
      <c r="AE13" s="629">
        <f t="shared" si="85"/>
        <v>-3.0355421838620153E-2</v>
      </c>
      <c r="AF13" s="633">
        <f t="shared" si="86"/>
        <v>-0.27586589542695189</v>
      </c>
      <c r="AG13" s="602">
        <f>IF(M13="","",DEGREES(ATAN2(-AF13,AE13)))</f>
        <v>-6.279386165524568</v>
      </c>
      <c r="AH13" s="603">
        <f t="shared" si="88"/>
        <v>16.112900894006003</v>
      </c>
      <c r="AI13" s="585">
        <f t="shared" si="89"/>
        <v>-73.986377485282389</v>
      </c>
      <c r="AJ13" s="586">
        <f t="shared" si="90"/>
        <v>88.190247827027633</v>
      </c>
      <c r="AK13" s="635">
        <f t="shared" si="211"/>
        <v>0.96077518452318245</v>
      </c>
      <c r="AL13" s="629">
        <f t="shared" si="91"/>
        <v>-2.8443848978836443E-2</v>
      </c>
      <c r="AM13" s="634">
        <f t="shared" si="92"/>
        <v>-0.27586589542695189</v>
      </c>
      <c r="AN13" s="581">
        <f t="shared" si="93"/>
        <v>-5.8868234246965754</v>
      </c>
      <c r="AO13" s="582">
        <f t="shared" si="94"/>
        <v>16.100820142951967</v>
      </c>
      <c r="AP13" s="585">
        <f t="shared" si="95"/>
        <v>-1.6957521894319201</v>
      </c>
      <c r="AQ13" s="586">
        <f t="shared" si="9"/>
        <v>0.73096776488201831</v>
      </c>
      <c r="AS13" s="52">
        <f t="shared" si="116"/>
        <v>-0.11399998354045238</v>
      </c>
      <c r="AT13" s="72">
        <f t="shared" si="10"/>
        <v>-7.0521046275005772E-2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5.7137097862981732E-2</v>
      </c>
      <c r="C14" s="708">
        <v>3.8647893227386154</v>
      </c>
      <c r="D14" s="709">
        <v>-0.21700065447397388</v>
      </c>
      <c r="E14" s="710">
        <v>-0.95012220999541663</v>
      </c>
      <c r="F14" s="708">
        <v>0.17711571941180435</v>
      </c>
      <c r="G14" s="711">
        <v>0.25670568363529556</v>
      </c>
      <c r="H14" s="710">
        <v>0.314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1.123</v>
      </c>
      <c r="N14" s="632">
        <f t="shared" si="2"/>
        <v>5.7137097862981732E-2</v>
      </c>
      <c r="O14" s="629">
        <f t="shared" si="3"/>
        <v>3.8647893227386154</v>
      </c>
      <c r="P14" s="633">
        <f t="shared" si="4"/>
        <v>-0.21700065447397388</v>
      </c>
      <c r="Q14" s="585">
        <f t="shared" si="113"/>
        <v>89.153000122291658</v>
      </c>
      <c r="R14" s="629">
        <f t="shared" si="79"/>
        <v>3.8652116574783597</v>
      </c>
      <c r="S14" s="634">
        <f t="shared" si="80"/>
        <v>-0.21700065447397388</v>
      </c>
      <c r="T14" s="635">
        <f t="shared" si="81"/>
        <v>3.8647893227386154</v>
      </c>
      <c r="U14" s="629">
        <f t="shared" si="82"/>
        <v>-5.7137097862981268E-2</v>
      </c>
      <c r="V14" s="636">
        <f t="shared" si="114"/>
        <v>-0.21700065447397388</v>
      </c>
      <c r="W14" s="585">
        <f t="shared" si="5"/>
        <v>359.15300012229164</v>
      </c>
      <c r="X14" s="629">
        <f t="shared" si="83"/>
        <v>3.8652116574783597</v>
      </c>
      <c r="Y14" s="630">
        <f t="shared" ref="Y14:Y75" si="223">IF(M14="","",S14)</f>
        <v>-0.21700065447397388</v>
      </c>
      <c r="Z14" s="632">
        <f t="shared" si="6"/>
        <v>0.95012220999541663</v>
      </c>
      <c r="AA14" s="629">
        <f t="shared" si="7"/>
        <v>-0.17711571941180435</v>
      </c>
      <c r="AB14" s="629">
        <f t="shared" si="8"/>
        <v>-0.25670568363529556</v>
      </c>
      <c r="AC14" s="636">
        <f t="shared" si="84"/>
        <v>1</v>
      </c>
      <c r="AD14" s="637">
        <f>IF(M14="","",Z14*(1/SQRT(Z14^2+AA14^2+AB14^2)))</f>
        <v>0.95012220999541663</v>
      </c>
      <c r="AE14" s="629">
        <f t="shared" si="85"/>
        <v>-0.17711571941180435</v>
      </c>
      <c r="AF14" s="633">
        <f t="shared" si="86"/>
        <v>-0.25670568363529556</v>
      </c>
      <c r="AG14" s="602">
        <f t="shared" si="87"/>
        <v>-34.603981653494799</v>
      </c>
      <c r="AH14" s="603">
        <f t="shared" si="88"/>
        <v>18.172434249790772</v>
      </c>
      <c r="AI14" s="585">
        <f t="shared" si="89"/>
        <v>-75.125321544502285</v>
      </c>
      <c r="AJ14" s="586">
        <f t="shared" si="90"/>
        <v>79.440487614442105</v>
      </c>
      <c r="AK14" s="635">
        <f>IF(M14="","",(COS(RADIANS((90-$Q$8)-W14))*AD14)+(-SIN(RADIANS((90-$Q$8)-W14))*AE14))</f>
        <v>0.95263658939764606</v>
      </c>
      <c r="AL14" s="629">
        <f t="shared" si="91"/>
        <v>-0.16305128190283025</v>
      </c>
      <c r="AM14" s="634">
        <f t="shared" si="92"/>
        <v>-0.25670568363529556</v>
      </c>
      <c r="AN14" s="581">
        <f t="shared" si="93"/>
        <v>-32.422413853837263</v>
      </c>
      <c r="AO14" s="582">
        <f t="shared" si="94"/>
        <v>17.704690330043984</v>
      </c>
      <c r="AP14" s="585">
        <f>IF(M14="","",DEGREES(ATAN2(AK14,AL14)))</f>
        <v>-9.7125125078495476</v>
      </c>
      <c r="AQ14" s="586">
        <f t="shared" si="9"/>
        <v>0.5897855831067883</v>
      </c>
      <c r="AS14" s="52">
        <f t="shared" si="116"/>
        <v>-0.84699987770835605</v>
      </c>
      <c r="AT14" s="72">
        <f t="shared" si="10"/>
        <v>-0.2164124601144542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0.14057354997127297</v>
      </c>
      <c r="C15" s="708">
        <v>4.4956163032665639</v>
      </c>
      <c r="D15" s="709">
        <v>-0.63950192873781675</v>
      </c>
      <c r="E15" s="710">
        <v>-0.92835339212635748</v>
      </c>
      <c r="F15" s="708">
        <v>0.31046553471182187</v>
      </c>
      <c r="G15" s="711">
        <v>0.20437986956544435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260</v>
      </c>
      <c r="M15" s="168">
        <f t="shared" si="1"/>
        <v>1.1299999999999999</v>
      </c>
      <c r="N15" s="632">
        <f t="shared" si="2"/>
        <v>0.14057354997127297</v>
      </c>
      <c r="O15" s="629">
        <f t="shared" si="3"/>
        <v>4.4956163032665639</v>
      </c>
      <c r="P15" s="633">
        <f t="shared" si="4"/>
        <v>-0.63950192873781675</v>
      </c>
      <c r="Q15" s="585">
        <f t="shared" si="113"/>
        <v>88.209000258588375</v>
      </c>
      <c r="R15" s="629">
        <f t="shared" si="79"/>
        <v>4.4978135654057132</v>
      </c>
      <c r="S15" s="634">
        <f t="shared" si="80"/>
        <v>-0.63950192873781675</v>
      </c>
      <c r="T15" s="635">
        <f t="shared" si="81"/>
        <v>4.4956163032665639</v>
      </c>
      <c r="U15" s="629">
        <f t="shared" si="82"/>
        <v>-0.14057354997127328</v>
      </c>
      <c r="V15" s="636">
        <f t="shared" si="114"/>
        <v>-0.63950192873781675</v>
      </c>
      <c r="W15" s="585">
        <f t="shared" ref="W15:W78" si="224">IF(M15="","",IF(Q15-$Q$8&lt;0,360+Q15-$Q$8,Q15-$Q$8))</f>
        <v>358.20900025858839</v>
      </c>
      <c r="X15" s="629">
        <f>IF(M15="","",R15)</f>
        <v>4.4978135654057132</v>
      </c>
      <c r="Y15" s="630">
        <f>IF(M15="","",S15)</f>
        <v>-0.63950192873781675</v>
      </c>
      <c r="Z15" s="632">
        <f t="shared" si="6"/>
        <v>0.92835339212635748</v>
      </c>
      <c r="AA15" s="629">
        <f t="shared" si="7"/>
        <v>-0.31046553471182187</v>
      </c>
      <c r="AB15" s="629">
        <f t="shared" si="8"/>
        <v>-0.20437986956544435</v>
      </c>
      <c r="AC15" s="636">
        <f t="shared" si="84"/>
        <v>1</v>
      </c>
      <c r="AD15" s="637">
        <f t="shared" si="115"/>
        <v>0.92835339212635748</v>
      </c>
      <c r="AE15" s="629">
        <f t="shared" si="85"/>
        <v>-0.31046553471182187</v>
      </c>
      <c r="AF15" s="633">
        <f t="shared" si="86"/>
        <v>-0.20437986956544435</v>
      </c>
      <c r="AG15" s="602">
        <f t="shared" si="87"/>
        <v>-56.643037479644143</v>
      </c>
      <c r="AH15" s="603">
        <f t="shared" si="88"/>
        <v>21.820423343772834</v>
      </c>
      <c r="AI15" s="585">
        <f t="shared" si="89"/>
        <v>-78.206800381393194</v>
      </c>
      <c r="AJ15" s="586">
        <f t="shared" si="90"/>
        <v>71.508723701752061</v>
      </c>
      <c r="AK15" s="635">
        <f t="shared" si="211"/>
        <v>0.93760308778246193</v>
      </c>
      <c r="AL15" s="629">
        <f t="shared" si="91"/>
        <v>-0.2812993400226973</v>
      </c>
      <c r="AM15" s="634">
        <f t="shared" si="92"/>
        <v>-0.20437986956544435</v>
      </c>
      <c r="AN15" s="581">
        <f>IF(M15="","",DEGREES(ATAN2(-AM15,AL15)))</f>
        <v>-53.999475295618971</v>
      </c>
      <c r="AO15" s="582">
        <f t="shared" si="94"/>
        <v>20.347154622753674</v>
      </c>
      <c r="AP15" s="585">
        <f t="shared" si="95"/>
        <v>-16.700276556836307</v>
      </c>
      <c r="AQ15" s="586">
        <f t="shared" si="9"/>
        <v>0.50683896391027194</v>
      </c>
      <c r="AS15" s="52">
        <f t="shared" si="116"/>
        <v>-1.7909997414116106</v>
      </c>
      <c r="AT15" s="72">
        <f t="shared" si="10"/>
        <v>-0.63825817891739201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50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0.21687577422226981</v>
      </c>
      <c r="C16" s="708">
        <v>4.9141314651663004</v>
      </c>
      <c r="D16" s="709">
        <v>-1.2731038396811802</v>
      </c>
      <c r="E16" s="710">
        <v>-0.88379212283308373</v>
      </c>
      <c r="F16" s="708">
        <v>0.44384374587428937</v>
      </c>
      <c r="G16" s="711">
        <v>0.14803449890640644</v>
      </c>
      <c r="H16" s="710">
        <v>0.314</v>
      </c>
      <c r="I16" s="708">
        <v>0.52</v>
      </c>
      <c r="J16" s="570">
        <v>1.137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1.137</v>
      </c>
      <c r="N16" s="632">
        <f t="shared" si="2"/>
        <v>0.21687577422226981</v>
      </c>
      <c r="O16" s="629">
        <f t="shared" si="3"/>
        <v>4.9141314651663004</v>
      </c>
      <c r="P16" s="633">
        <f t="shared" si="4"/>
        <v>-1.2731038396811802</v>
      </c>
      <c r="Q16" s="585">
        <f>IF(M16="","",IF(DEGREES(ATAN2(N16,O16))&lt;0,DEGREES(ATAN2(N16,O16))+360,IF(DEGREES(ATAN2(N16,O16))&gt;360,DEGREES(ATAN2(N16,O16))-360,DEGREES(ATAN2(N16,O16)))))</f>
        <v>87.473000364853618</v>
      </c>
      <c r="R16" s="629">
        <f t="shared" si="79"/>
        <v>4.9189148354471435</v>
      </c>
      <c r="S16" s="634">
        <f t="shared" si="80"/>
        <v>-1.2731038396811802</v>
      </c>
      <c r="T16" s="635">
        <f t="shared" si="81"/>
        <v>4.9141314651663004</v>
      </c>
      <c r="U16" s="629">
        <f t="shared" si="82"/>
        <v>-0.21687577422226714</v>
      </c>
      <c r="V16" s="636">
        <f t="shared" si="114"/>
        <v>-1.2731038396811802</v>
      </c>
      <c r="W16" s="585">
        <f>IF(M16="","",IF(Q16-$Q$8&lt;0,360+Q16-$Q$8,Q16-$Q$8))</f>
        <v>357.47300036485365</v>
      </c>
      <c r="X16" s="629">
        <f t="shared" si="83"/>
        <v>4.9189148354471435</v>
      </c>
      <c r="Y16" s="630">
        <f t="shared" si="223"/>
        <v>-1.2731038396811802</v>
      </c>
      <c r="Z16" s="632">
        <f t="shared" si="6"/>
        <v>0.88379212283308373</v>
      </c>
      <c r="AA16" s="629">
        <f t="shared" si="7"/>
        <v>-0.44384374587428937</v>
      </c>
      <c r="AB16" s="629">
        <f t="shared" si="8"/>
        <v>-0.14803449890640644</v>
      </c>
      <c r="AC16" s="636">
        <f t="shared" si="84"/>
        <v>1</v>
      </c>
      <c r="AD16" s="637">
        <f t="shared" si="115"/>
        <v>0.88379212283308373</v>
      </c>
      <c r="AE16" s="629">
        <f t="shared" si="85"/>
        <v>-0.44384374587428937</v>
      </c>
      <c r="AF16" s="633">
        <f t="shared" si="86"/>
        <v>-0.14803449890640644</v>
      </c>
      <c r="AG16" s="602">
        <f t="shared" si="87"/>
        <v>-71.554992396572942</v>
      </c>
      <c r="AH16" s="603">
        <f t="shared" si="88"/>
        <v>27.896755916035257</v>
      </c>
      <c r="AI16" s="585">
        <f t="shared" si="89"/>
        <v>-81.486959967424269</v>
      </c>
      <c r="AJ16" s="586">
        <f t="shared" si="90"/>
        <v>63.334024004875218</v>
      </c>
      <c r="AK16" s="635">
        <f t="shared" si="211"/>
        <v>0.90250182896220565</v>
      </c>
      <c r="AL16" s="629">
        <f t="shared" si="91"/>
        <v>-0.4044455907206837</v>
      </c>
      <c r="AM16" s="634">
        <f t="shared" si="92"/>
        <v>-0.14803449890640644</v>
      </c>
      <c r="AN16" s="581">
        <f t="shared" si="93"/>
        <v>-69.89644815151776</v>
      </c>
      <c r="AO16" s="582">
        <f t="shared" si="94"/>
        <v>25.511104638824694</v>
      </c>
      <c r="AP16" s="585">
        <f t="shared" si="95"/>
        <v>-24.138976359978418</v>
      </c>
      <c r="AQ16" s="586">
        <f t="shared" si="9"/>
        <v>0.46345118563436144</v>
      </c>
      <c r="AS16" s="52">
        <f t="shared" si="116"/>
        <v>-2.5269996351463533</v>
      </c>
      <c r="AT16" s="72">
        <f t="shared" si="10"/>
        <v>-1.2713489788234398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1.137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cm="1">
        <f t="array" ref="JB16">IF($JA$9="","",IF(AND(ISTEXT(_xlfn.ANCHORARRAY($JA$9))=FALSE),"",SUM(COUNTIFS($IJ$9:$IJ$150,_xlfn.ANCHORARRAY($JA$9),$II$9:$II$150,"",$IJ$9:$IJ$150,IF(ISTEXT(_xlfn.ANCHORARRAY($JA$9)),_xlfn.ANCHORARRAY($JA$9),"")))))</f>
        <v>1</v>
      </c>
      <c r="JE16" s="31"/>
      <c r="JF16" s="31"/>
      <c r="JG16" s="31"/>
    </row>
    <row r="17" spans="1:269" ht="15" customHeight="1" x14ac:dyDescent="0.25">
      <c r="A17" s="79"/>
      <c r="B17" s="707">
        <v>0.24692480010624027</v>
      </c>
      <c r="C17" s="708">
        <v>5.0577913417578957</v>
      </c>
      <c r="D17" s="709">
        <v>-2.0199060920367735</v>
      </c>
      <c r="E17" s="710">
        <v>-0.84063712384253764</v>
      </c>
      <c r="F17" s="708">
        <v>0.54115945764572748</v>
      </c>
      <c r="G17" s="711">
        <v>2.180980096947762E-2</v>
      </c>
      <c r="H17" s="710">
        <v>0.314</v>
      </c>
      <c r="I17" s="708">
        <v>0.52</v>
      </c>
      <c r="J17" s="570">
        <v>1.1439999999999999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1.1439999999999999</v>
      </c>
      <c r="N17" s="632">
        <f t="shared" si="2"/>
        <v>0.24692480010624027</v>
      </c>
      <c r="O17" s="629">
        <f t="shared" si="3"/>
        <v>5.0577913417578957</v>
      </c>
      <c r="P17" s="633">
        <f t="shared" si="4"/>
        <v>-2.0199060920367735</v>
      </c>
      <c r="Q17" s="585">
        <f>IF(M17="","",IF(DEGREES(ATAN2(N17,O17))&lt;0,DEGREES(ATAN2(N17,O17))+360,IF(DEGREES(ATAN2(N17,O17))&gt;360,DEGREES(ATAN2(N17,O17))-360,DEGREES(ATAN2(N17,O17)))))</f>
        <v>87.205000403548013</v>
      </c>
      <c r="R17" s="629">
        <f>IF(M17="","",SQRT(N17^2+O17^2))</f>
        <v>5.0638152724668624</v>
      </c>
      <c r="S17" s="634">
        <f>IF(M17="","",P17)</f>
        <v>-2.0199060920367735</v>
      </c>
      <c r="T17" s="635">
        <f>IF(M17="","",X17*COS(RADIANS(W17)))</f>
        <v>5.0577913417578957</v>
      </c>
      <c r="U17" s="629">
        <f>IF(M17="","",X17*SIN(RADIANS(W17)))</f>
        <v>-0.24692480010624177</v>
      </c>
      <c r="V17" s="636">
        <f>IF(M17="","",Y17)</f>
        <v>-2.0199060920367735</v>
      </c>
      <c r="W17" s="585">
        <f t="shared" si="224"/>
        <v>357.20500040354801</v>
      </c>
      <c r="X17" s="629">
        <f>IF(M17="","",R17)</f>
        <v>5.0638152724668624</v>
      </c>
      <c r="Y17" s="630">
        <f t="shared" si="223"/>
        <v>-2.0199060920367735</v>
      </c>
      <c r="Z17" s="632">
        <f t="shared" si="6"/>
        <v>0.84063712384253764</v>
      </c>
      <c r="AA17" s="629">
        <f t="shared" si="7"/>
        <v>-0.54115945764572748</v>
      </c>
      <c r="AB17" s="629">
        <f t="shared" si="8"/>
        <v>-2.180980096947762E-2</v>
      </c>
      <c r="AC17" s="636">
        <f>IF(M17="","",SQRT(Z17^2+AA17^2+AB17^2))</f>
        <v>1</v>
      </c>
      <c r="AD17" s="637">
        <f>IF(M17="","",Z17*(1/SQRT(Z17^2+AA17^2+AB17^2)))</f>
        <v>0.84063712384253764</v>
      </c>
      <c r="AE17" s="629">
        <f>IF(M17="","",AA17*(1/SQRT(Z17^2+AA17^2+AB17^2)))</f>
        <v>-0.54115945764572748</v>
      </c>
      <c r="AF17" s="633">
        <f>IF(M17="","",AB17*(1/SQRT(Z17^2+AA17^2+AB17^2)))</f>
        <v>-2.180980096947762E-2</v>
      </c>
      <c r="AG17" s="602">
        <f>IF(M17="","",DEGREES(ATAN2(-AF17,AE17)))</f>
        <v>-87.692115273916997</v>
      </c>
      <c r="AH17" s="603">
        <f>IF(M17="","",DEGREES(ACOS(AD17)))</f>
        <v>32.792540400241101</v>
      </c>
      <c r="AI17" s="585">
        <f>IF(M17="","",DEGREES(-ACOS(-AF17)))</f>
        <v>-88.75029136479283</v>
      </c>
      <c r="AJ17" s="586">
        <f>IF(M17="","",DEGREES(ATAN2(-AE17,AD17)))</f>
        <v>57.228624022845949</v>
      </c>
      <c r="AK17" s="635">
        <f>IF(M17="","",(COS(RADIANS((90-$Q$8)-W17))*AD17)+(-SIN(RADIANS((90-$Q$8)-W17))*AE17))</f>
        <v>0.86602544158358574</v>
      </c>
      <c r="AL17" s="629">
        <f>IF(M17="","",(SIN(RADIANS((90-$Q$8)-W17))*AD17)+(COS(RADIANS((90-$Q$8)-W17))*AE17))</f>
        <v>-0.49952404057425215</v>
      </c>
      <c r="AM17" s="634">
        <f>IF(M17="","",AF17)</f>
        <v>-2.180980096947762E-2</v>
      </c>
      <c r="AN17" s="581">
        <f>IF(M17="","",DEGREES(ATAN2(-AM17,AL17)))</f>
        <v>-87.499987366564895</v>
      </c>
      <c r="AO17" s="582">
        <f t="shared" si="94"/>
        <v>29.99999566853651</v>
      </c>
      <c r="AP17" s="585">
        <f>IF(M17="","",DEGREES(ATAN2(AK17,AL17)))</f>
        <v>-29.976376380702046</v>
      </c>
      <c r="AQ17" s="586">
        <f t="shared" si="9"/>
        <v>0.4501901421114915</v>
      </c>
      <c r="AS17" s="52">
        <f t="shared" si="116"/>
        <v>-2.7949995964519871</v>
      </c>
      <c r="AT17" s="72">
        <f t="shared" si="10"/>
        <v>-2.017965120094793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1.1439999999999999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0.98457612794773952</v>
      </c>
      <c r="C18" s="708">
        <v>3.7553847439018826</v>
      </c>
      <c r="D18" s="709">
        <v>-0.17929999999999999</v>
      </c>
      <c r="E18" s="710">
        <v>-0.80617198059958917</v>
      </c>
      <c r="F18" s="708">
        <v>0.42496063772105008</v>
      </c>
      <c r="G18" s="711">
        <v>0.41169794034444002</v>
      </c>
      <c r="H18" s="710">
        <v>0.26600000000000001</v>
      </c>
      <c r="I18" s="708">
        <v>0.52</v>
      </c>
      <c r="J18" s="570">
        <v>1.2230000000000001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1.2230000000000001</v>
      </c>
      <c r="N18" s="632">
        <f t="shared" si="2"/>
        <v>0.98457612794773952</v>
      </c>
      <c r="O18" s="629">
        <f t="shared" si="3"/>
        <v>3.7553847439018826</v>
      </c>
      <c r="P18" s="633">
        <f t="shared" si="4"/>
        <v>-0.17929999999999999</v>
      </c>
      <c r="Q18" s="585">
        <f t="shared" si="113"/>
        <v>75.309002121117672</v>
      </c>
      <c r="R18" s="629">
        <f>IF(M18="","",SQRT(N18^2+O18^2))</f>
        <v>3.8823066244766875</v>
      </c>
      <c r="S18" s="634">
        <f>IF(M18="","",P18)</f>
        <v>-0.17929999999999999</v>
      </c>
      <c r="T18" s="635">
        <f>IF(M18="","",X18*COS(RADIANS(W18)))</f>
        <v>3.7553847439018826</v>
      </c>
      <c r="U18" s="629">
        <f>IF(M18="","",X18*SIN(RADIANS(W18)))</f>
        <v>-0.98457612794773919</v>
      </c>
      <c r="V18" s="636">
        <f>IF(M18="","",Y18)</f>
        <v>-0.17929999999999999</v>
      </c>
      <c r="W18" s="585">
        <f t="shared" si="224"/>
        <v>345.30900212111766</v>
      </c>
      <c r="X18" s="629">
        <f>IF(M18="","",R18)</f>
        <v>3.8823066244766875</v>
      </c>
      <c r="Y18" s="630">
        <f t="shared" si="223"/>
        <v>-0.17929999999999999</v>
      </c>
      <c r="Z18" s="632">
        <f t="shared" si="6"/>
        <v>0.80617198059958917</v>
      </c>
      <c r="AA18" s="629">
        <f t="shared" si="7"/>
        <v>-0.42496063772105008</v>
      </c>
      <c r="AB18" s="629">
        <f t="shared" si="8"/>
        <v>-0.41169794034444002</v>
      </c>
      <c r="AC18" s="636">
        <f>IF(M18="","",SQRT(Z18^2+AA18^2+AB18^2))</f>
        <v>1</v>
      </c>
      <c r="AD18" s="637">
        <f>IF(M18="","",Z18*(1/SQRT(Z18^2+AA18^2+AB18^2)))</f>
        <v>0.80617198059958917</v>
      </c>
      <c r="AE18" s="629">
        <f>IF(M18="","",AA18*(1/SQRT(Z18^2+AA18^2+AB18^2)))</f>
        <v>-0.42496063772105008</v>
      </c>
      <c r="AF18" s="633">
        <f>IF(M18="","",AB18*(1/SQRT(Z18^2+AA18^2+AB18^2)))</f>
        <v>-0.41169794034444002</v>
      </c>
      <c r="AG18" s="602">
        <f>IF(M18="","",DEGREES(ATAN2(-AF18,AE18)))</f>
        <v>-45.908175645190433</v>
      </c>
      <c r="AH18" s="603">
        <f>IF(M18="","",DEGREES(ACOS(AD18)))</f>
        <v>36.276407954461874</v>
      </c>
      <c r="AI18" s="585">
        <f>IF(M18="","",DEGREES(-ACOS(-AF18)))</f>
        <v>-65.688458525923451</v>
      </c>
      <c r="AJ18" s="586">
        <f>IF(M18="","",DEGREES(ATAN2(-AE18,AD18)))</f>
        <v>62.20476225393935</v>
      </c>
      <c r="AK18" s="635">
        <f>IF(M18="","",(COS(RADIANS((90-$Q$8)-W18))*AD18)+(-SIN(RADIANS((90-$Q$8)-W18))*AE18))</f>
        <v>0.88758884586735631</v>
      </c>
      <c r="AL18" s="629">
        <f>IF(M18="","",(SIN(RADIANS((90-$Q$8)-W18))*AD18)+(COS(RADIANS((90-$Q$8)-W18))*AE18))</f>
        <v>-0.20661763382635151</v>
      </c>
      <c r="AM18" s="634">
        <f>IF(M18="","",AF18)</f>
        <v>-0.41169794034444002</v>
      </c>
      <c r="AN18" s="581">
        <f>IF(M18="","",DEGREES(ATAN2(-AM18,AL18)))</f>
        <v>-26.650566852209376</v>
      </c>
      <c r="AO18" s="582">
        <f t="shared" si="94"/>
        <v>27.42819120643443</v>
      </c>
      <c r="AP18" s="585">
        <f>IF(M18="","",DEGREES(ATAN2(AK18,AL18)))</f>
        <v>-13.10423986717832</v>
      </c>
      <c r="AQ18" s="586">
        <f t="shared" si="9"/>
        <v>0.58718876154005395</v>
      </c>
      <c r="AS18" s="52">
        <f t="shared" si="116"/>
        <v>-14.690997878882342</v>
      </c>
      <c r="AT18" s="72">
        <f t="shared" si="10"/>
        <v>-0.16909791813966502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1.2230000000000001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1.123</v>
      </c>
      <c r="II18" s="734" cm="1">
        <f t="array" ref="II18">IFERROR(ROUND(VALUE(IF($IH18&lt;1,$IH18+LARGE((IF($M$9:$M$150="",0,$M$9:$M$150)-MOD(IF($M$9:$M$150="",0,$M$9:$M$150),1)),1),$IH18)),4),"")</f>
        <v>1.123</v>
      </c>
      <c r="IJ18" s="533">
        <f t="shared" si="112"/>
        <v>1613</v>
      </c>
      <c r="IK18" s="533">
        <f t="shared" si="66"/>
        <v>1313</v>
      </c>
      <c r="IL18" s="727">
        <f t="shared" si="225"/>
        <v>13.843998001173986</v>
      </c>
      <c r="IM18" s="759">
        <v>2.1708108617950299E-2</v>
      </c>
      <c r="IN18" s="5">
        <f t="shared" si="226"/>
        <v>0.56000000000000005</v>
      </c>
      <c r="IO18" s="771">
        <v>280</v>
      </c>
      <c r="IP18" s="9">
        <f t="shared" si="227"/>
        <v>-3.8652116574783597</v>
      </c>
      <c r="IQ18" s="5">
        <f t="shared" si="228"/>
        <v>-0.21700065447397388</v>
      </c>
      <c r="IR18" s="5">
        <f t="shared" si="71"/>
        <v>0.314</v>
      </c>
      <c r="IS18" s="5">
        <f t="shared" si="229"/>
        <v>0.29912788907086085</v>
      </c>
      <c r="IT18" s="727">
        <f t="shared" si="230"/>
        <v>32.422413853837263</v>
      </c>
      <c r="IU18" s="9">
        <f t="shared" si="231"/>
        <v>-3.8823066244766875</v>
      </c>
      <c r="IV18" s="5">
        <f t="shared" si="232"/>
        <v>-0.17929999999999999</v>
      </c>
      <c r="IW18" s="5">
        <f t="shared" si="76"/>
        <v>0.26600000000000001</v>
      </c>
      <c r="IX18" s="5">
        <f t="shared" si="233"/>
        <v>0.23609863300071679</v>
      </c>
      <c r="IY18" s="762">
        <f t="shared" si="234"/>
        <v>26.650566852209376</v>
      </c>
    </row>
    <row r="19" spans="1:269" ht="15" customHeight="1" thickBot="1" x14ac:dyDescent="0.3">
      <c r="A19" s="79"/>
      <c r="B19" s="707">
        <v>1.0980761101543488</v>
      </c>
      <c r="C19" s="708">
        <v>4.396950324368798</v>
      </c>
      <c r="D19" s="709">
        <v>-0.60560000000000014</v>
      </c>
      <c r="E19" s="710">
        <v>-0.75290944058662967</v>
      </c>
      <c r="F19" s="708">
        <v>0.56469709515092248</v>
      </c>
      <c r="G19" s="711">
        <v>0.33800083580316542</v>
      </c>
      <c r="H19" s="710">
        <v>0.26600000000000001</v>
      </c>
      <c r="I19" s="708">
        <v>0.52</v>
      </c>
      <c r="J19" s="570">
        <v>1.23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1.23</v>
      </c>
      <c r="N19" s="632">
        <f t="shared" si="2"/>
        <v>1.0980761101543488</v>
      </c>
      <c r="O19" s="629">
        <f t="shared" si="3"/>
        <v>4.396950324368798</v>
      </c>
      <c r="P19" s="633">
        <f t="shared" si="4"/>
        <v>-0.60560000000000014</v>
      </c>
      <c r="Q19" s="585">
        <f t="shared" si="113"/>
        <v>75.97800202452602</v>
      </c>
      <c r="R19" s="629">
        <f>IF(M19="","",SQRT(N19^2+O19^2))</f>
        <v>4.5319910964893326</v>
      </c>
      <c r="S19" s="634">
        <f>IF(M19="","",P19)</f>
        <v>-0.60560000000000014</v>
      </c>
      <c r="T19" s="635">
        <f>IF(M19="","",X19*COS(RADIANS(W19)))</f>
        <v>4.3969503243687971</v>
      </c>
      <c r="U19" s="629">
        <f>IF(M19="","",X19*SIN(RADIANS(W19)))</f>
        <v>-1.0980761101543524</v>
      </c>
      <c r="V19" s="636">
        <f>IF(M19="","",Y19)</f>
        <v>-0.60560000000000014</v>
      </c>
      <c r="W19" s="585">
        <f t="shared" si="224"/>
        <v>345.97800202452601</v>
      </c>
      <c r="X19" s="629">
        <f>IF(M19="","",R19)</f>
        <v>4.5319910964893326</v>
      </c>
      <c r="Y19" s="630">
        <f t="shared" si="223"/>
        <v>-0.60560000000000014</v>
      </c>
      <c r="Z19" s="632">
        <f t="shared" si="6"/>
        <v>0.75290944058662967</v>
      </c>
      <c r="AA19" s="629">
        <f t="shared" si="7"/>
        <v>-0.56469709515092248</v>
      </c>
      <c r="AB19" s="629">
        <f t="shared" si="8"/>
        <v>-0.33800083580316542</v>
      </c>
      <c r="AC19" s="636">
        <f>IF(M19="","",SQRT(Z19^2+AA19^2+AB19^2))</f>
        <v>1</v>
      </c>
      <c r="AD19" s="637">
        <f>IF(M19="","",Z19*(1/SQRT(Z19^2+AA19^2+AB19^2)))</f>
        <v>0.75290944058662967</v>
      </c>
      <c r="AE19" s="629">
        <f>IF(M19="","",AA19*(1/SQRT(Z19^2+AA19^2+AB19^2)))</f>
        <v>-0.56469709515092248</v>
      </c>
      <c r="AF19" s="633">
        <f>IF(M19="","",AB19*(1/SQRT(Z19^2+AA19^2+AB19^2)))</f>
        <v>-0.33800083580316542</v>
      </c>
      <c r="AG19" s="602">
        <f>IF(M19="","",DEGREES(ATAN2(-AF19,AE19)))</f>
        <v>-59.097266163435023</v>
      </c>
      <c r="AH19" s="603">
        <f>IF(M19="","",DEGREES(ACOS(AD19)))</f>
        <v>41.156964937872822</v>
      </c>
      <c r="AI19" s="585">
        <f>IF(M19="","",DEGREES(-ACOS(-AF19)))</f>
        <v>-70.244879095757454</v>
      </c>
      <c r="AJ19" s="586">
        <f>IF(M19="","",DEGREES(ATAN2(-AE19,AD19)))</f>
        <v>53.129371092700616</v>
      </c>
      <c r="AK19" s="635">
        <f>IF(M19="","",(COS(RADIANS((90-$Q$8)-W19))*AD19)+(-SIN(RADIANS((90-$Q$8)-W19))*AE19))</f>
        <v>0.86729777596237823</v>
      </c>
      <c r="AL19" s="629">
        <f>IF(M19="","",(SIN(RADIANS((90-$Q$8)-W19))*AD19)+(COS(RADIANS((90-$Q$8)-W19))*AE19))</f>
        <v>-0.36544493813305717</v>
      </c>
      <c r="AM19" s="634">
        <f>IF(M19="","",AF19)</f>
        <v>-0.33800083580316542</v>
      </c>
      <c r="AN19" s="581">
        <f>IF(M19="","",DEGREES(ATAN2(-AM19,AL19)))</f>
        <v>-47.234193785167768</v>
      </c>
      <c r="AO19" s="582">
        <f t="shared" si="94"/>
        <v>29.853873982577202</v>
      </c>
      <c r="AP19" s="585">
        <f>IF(M19="","",DEGREES(ATAN2(AK19,AL19)))</f>
        <v>-22.848630931825358</v>
      </c>
      <c r="AQ19" s="586">
        <f t="shared" si="9"/>
        <v>0.50301688866654615</v>
      </c>
      <c r="AS19" s="52">
        <f t="shared" si="116"/>
        <v>-14.021997975473994</v>
      </c>
      <c r="AT19" s="72">
        <f t="shared" si="10"/>
        <v>-0.59586250140592101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1.23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I19" s="734" cm="1">
        <f t="array" ref="II19">IFERROR(ROUND(VALUE(IF($IH19&lt;1,$IH19+LARGE((IF($M$9:$M$150="",0,$M$9:$M$150)-MOD(IF($M$9:$M$150="",0,$M$9:$M$150),1)),1),$IH19)),4),"")</f>
        <v>1.1299999999999999</v>
      </c>
      <c r="IJ19" s="533">
        <f t="shared" si="112"/>
        <v>1613</v>
      </c>
      <c r="IK19" s="533">
        <f t="shared" si="66"/>
        <v>1313</v>
      </c>
      <c r="IL19" s="727">
        <f t="shared" si="225"/>
        <v>12.230998234062383</v>
      </c>
      <c r="IM19" s="759">
        <v>1.5533327290624E-2</v>
      </c>
      <c r="IN19" s="5">
        <f t="shared" si="226"/>
        <v>0.54</v>
      </c>
      <c r="IO19" s="771">
        <v>270</v>
      </c>
      <c r="IP19" s="9">
        <f t="shared" si="227"/>
        <v>-4.4978135654057132</v>
      </c>
      <c r="IQ19" s="5">
        <f t="shared" si="228"/>
        <v>-0.63950192873781675</v>
      </c>
      <c r="IR19" s="5">
        <f t="shared" si="71"/>
        <v>0.314</v>
      </c>
      <c r="IS19" s="5">
        <f t="shared" si="229"/>
        <v>0.29440736956369307</v>
      </c>
      <c r="IT19" s="727">
        <f t="shared" si="230"/>
        <v>53.999475295618971</v>
      </c>
      <c r="IU19" s="9">
        <f t="shared" si="231"/>
        <v>-4.5319910964893326</v>
      </c>
      <c r="IV19" s="5">
        <f t="shared" si="232"/>
        <v>-0.60560000000000014</v>
      </c>
      <c r="IW19" s="5">
        <f t="shared" si="76"/>
        <v>0.26600000000000001</v>
      </c>
      <c r="IX19" s="5">
        <f t="shared" si="233"/>
        <v>0.23070120840599265</v>
      </c>
      <c r="IY19" s="762">
        <f t="shared" si="234"/>
        <v>47.234193785167768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1.1894211974610938</v>
      </c>
      <c r="C20" s="708">
        <v>4.8166820746749801</v>
      </c>
      <c r="D20" s="709">
        <v>-1.2548000000000008</v>
      </c>
      <c r="E20" s="710">
        <v>-0.7170264411359536</v>
      </c>
      <c r="F20" s="708">
        <v>0.66506210301363533</v>
      </c>
      <c r="G20" s="711">
        <v>0.20872345782635407</v>
      </c>
      <c r="H20" s="710">
        <v>0.26600000000000001</v>
      </c>
      <c r="I20" s="708">
        <v>0.52</v>
      </c>
      <c r="J20" s="570">
        <v>1.2370000000000001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1.2370000000000001</v>
      </c>
      <c r="N20" s="632">
        <f t="shared" si="2"/>
        <v>1.1894211974610938</v>
      </c>
      <c r="O20" s="629">
        <f t="shared" si="3"/>
        <v>4.8166820746749801</v>
      </c>
      <c r="P20" s="633">
        <f t="shared" si="4"/>
        <v>-1.2548000000000008</v>
      </c>
      <c r="Q20" s="585">
        <f t="shared" si="113"/>
        <v>76.12900200272432</v>
      </c>
      <c r="R20" s="629">
        <f>IF(M20="","",SQRT(N20^2+O20^2))</f>
        <v>4.9613656379534303</v>
      </c>
      <c r="S20" s="634">
        <f>IF(M20="","",P20)</f>
        <v>-1.2548000000000008</v>
      </c>
      <c r="T20" s="635">
        <f>IF(M20="","",X20*COS(RADIANS(W20)))</f>
        <v>4.8166820746749792</v>
      </c>
      <c r="U20" s="629">
        <f>IF(M20="","",X20*SIN(RADIANS(W20)))</f>
        <v>-1.189421197461096</v>
      </c>
      <c r="V20" s="636">
        <f>IF(M20="","",Y20)</f>
        <v>-1.2548000000000008</v>
      </c>
      <c r="W20" s="585">
        <f t="shared" si="224"/>
        <v>346.12900200272429</v>
      </c>
      <c r="X20" s="629">
        <f>IF(M20="","",R20)</f>
        <v>4.9613656379534303</v>
      </c>
      <c r="Y20" s="630">
        <f t="shared" si="223"/>
        <v>-1.2548000000000008</v>
      </c>
      <c r="Z20" s="632">
        <f t="shared" si="6"/>
        <v>0.7170264411359536</v>
      </c>
      <c r="AA20" s="629">
        <f t="shared" si="7"/>
        <v>-0.66506210301363533</v>
      </c>
      <c r="AB20" s="629">
        <f t="shared" si="8"/>
        <v>-0.20872345782635407</v>
      </c>
      <c r="AC20" s="636">
        <f>IF(M20="","",SQRT(Z20^2+AA20^2+AB20^2))</f>
        <v>1</v>
      </c>
      <c r="AD20" s="637">
        <f>IF(M20="","",Z20*(1/SQRT(Z20^2+AA20^2+AB20^2)))</f>
        <v>0.7170264411359536</v>
      </c>
      <c r="AE20" s="629">
        <f>IF(M20="","",AA20*(1/SQRT(Z20^2+AA20^2+AB20^2)))</f>
        <v>-0.66506210301363533</v>
      </c>
      <c r="AF20" s="633">
        <f>IF(M20="","",AB20*(1/SQRT(Z20^2+AA20^2+AB20^2)))</f>
        <v>-0.20872345782635407</v>
      </c>
      <c r="AG20" s="602">
        <f>IF(M20="","",DEGREES(ATAN2(-AF20,AE20)))</f>
        <v>-72.576027548129673</v>
      </c>
      <c r="AH20" s="603">
        <f>IF(M20="","",DEGREES(ACOS(AD20)))</f>
        <v>44.190479533604176</v>
      </c>
      <c r="AI20" s="585">
        <f>IF(M20="","",DEGREES(-ACOS(-AF20)))</f>
        <v>-77.952445896863793</v>
      </c>
      <c r="AJ20" s="586">
        <f>IF(M20="","",DEGREES(ATAN2(-AE20,AD20)))</f>
        <v>47.153216231461066</v>
      </c>
      <c r="AK20" s="635">
        <f>IF(M20="","",(COS(RADIANS((90-$Q$8)-W20))*AD20)+(-SIN(RADIANS((90-$Q$8)-W20))*AE20))</f>
        <v>0.85555624777354045</v>
      </c>
      <c r="AL20" s="629">
        <f>IF(M20="","",(SIN(RADIANS((90-$Q$8)-W20))*AD20)+(COS(RADIANS((90-$Q$8)-W20))*AE20))</f>
        <v>-0.47377001282127462</v>
      </c>
      <c r="AM20" s="634">
        <f>IF(M20="","",AF20)</f>
        <v>-0.20872345782635407</v>
      </c>
      <c r="AN20" s="581">
        <f>IF(M20="","",DEGREES(ATAN2(-AM20,AL20)))</f>
        <v>-66.22369640405995</v>
      </c>
      <c r="AO20" s="582">
        <f t="shared" si="94"/>
        <v>31.178758929868422</v>
      </c>
      <c r="AP20" s="585">
        <f>IF(M20="","",DEGREES(ATAN2(AK20,AL20)))</f>
        <v>-28.975785771263229</v>
      </c>
      <c r="AQ20" s="586">
        <f t="shared" si="9"/>
        <v>0.4594859411765238</v>
      </c>
      <c r="AS20" s="52">
        <f t="shared" si="116"/>
        <v>-13.870997997275708</v>
      </c>
      <c r="AT20" s="72">
        <f t="shared" si="10"/>
        <v>-1.2451673625018926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1.2370000000000001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1.137</v>
      </c>
      <c r="II20" s="734" cm="1">
        <f t="array" ref="II20">IFERROR(ROUND(VALUE(IF($IH20&lt;1,$IH20+LARGE((IF($M$9:$M$150="",0,$M$9:$M$150)-MOD(IF($M$9:$M$150="",0,$M$9:$M$150),1)),1),$IH20)),4),"")</f>
        <v>1.137</v>
      </c>
      <c r="IJ20" s="533">
        <f t="shared" si="112"/>
        <v>1613</v>
      </c>
      <c r="IK20" s="533">
        <f t="shared" si="66"/>
        <v>1313</v>
      </c>
      <c r="IL20" s="727">
        <f t="shared" si="225"/>
        <v>11.343998362129355</v>
      </c>
      <c r="IM20" s="759">
        <v>9.3548638898497301E-3</v>
      </c>
      <c r="IN20" s="5">
        <f t="shared" si="226"/>
        <v>0.52</v>
      </c>
      <c r="IO20" s="771">
        <v>260</v>
      </c>
      <c r="IP20" s="9">
        <f t="shared" si="227"/>
        <v>-4.9189148354471435</v>
      </c>
      <c r="IQ20" s="5">
        <f t="shared" si="228"/>
        <v>-1.2731038396811802</v>
      </c>
      <c r="IR20" s="5">
        <f t="shared" si="71"/>
        <v>0.314</v>
      </c>
      <c r="IS20" s="5">
        <f t="shared" si="229"/>
        <v>0.28338557429413258</v>
      </c>
      <c r="IT20" s="727">
        <f t="shared" si="230"/>
        <v>69.89644815151776</v>
      </c>
      <c r="IU20" s="9">
        <f t="shared" si="231"/>
        <v>-4.9613656379534303</v>
      </c>
      <c r="IV20" s="5">
        <f t="shared" si="232"/>
        <v>-1.2548000000000008</v>
      </c>
      <c r="IW20" s="5">
        <f t="shared" si="76"/>
        <v>0.26600000000000001</v>
      </c>
      <c r="IX20" s="5">
        <f t="shared" si="233"/>
        <v>0.22757796190776181</v>
      </c>
      <c r="IY20" s="762">
        <f t="shared" si="234"/>
        <v>66.22369640405995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1.2163009514916674</v>
      </c>
      <c r="C21" s="708">
        <v>4.929600489327993</v>
      </c>
      <c r="D21" s="709">
        <v>-2.0316059113345473</v>
      </c>
      <c r="E21" s="710">
        <v>0.23932204086736789</v>
      </c>
      <c r="F21" s="708">
        <v>0.96995994277263509</v>
      </c>
      <c r="G21" s="711">
        <v>4.3619607650510255E-2</v>
      </c>
      <c r="H21" s="710">
        <v>0.25700000000000001</v>
      </c>
      <c r="I21" s="708">
        <v>0.41499999999999992</v>
      </c>
      <c r="J21" s="570">
        <v>1.244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1.244</v>
      </c>
      <c r="N21" s="632">
        <f t="shared" si="2"/>
        <v>1.2163009514916674</v>
      </c>
      <c r="O21" s="629">
        <f t="shared" si="3"/>
        <v>4.929600489327993</v>
      </c>
      <c r="P21" s="633">
        <f t="shared" si="4"/>
        <v>-2.0316059113345473</v>
      </c>
      <c r="Q21" s="585">
        <f t="shared" si="113"/>
        <v>76.140002001136125</v>
      </c>
      <c r="R21" s="629">
        <f>IF(M21="","",SQRT(N21^2+O21^2))</f>
        <v>5.0774352766906166</v>
      </c>
      <c r="S21" s="634">
        <f>IF(M21="","",P21)</f>
        <v>-2.0316059113345473</v>
      </c>
      <c r="T21" s="635">
        <f>IF(M21="","",X21*COS(RADIANS(W21)))</f>
        <v>4.9296004893279912</v>
      </c>
      <c r="U21" s="629">
        <f>IF(M21="","",X21*SIN(RADIANS(W21)))</f>
        <v>-1.2163009514916703</v>
      </c>
      <c r="V21" s="636">
        <f>IF(M21="","",Y21)</f>
        <v>-2.0316059113345473</v>
      </c>
      <c r="W21" s="585">
        <f t="shared" si="224"/>
        <v>346.14000200113611</v>
      </c>
      <c r="X21" s="629">
        <f>IF(M21="","",R21)</f>
        <v>5.0774352766906166</v>
      </c>
      <c r="Y21" s="630">
        <f t="shared" si="223"/>
        <v>-2.0316059113345473</v>
      </c>
      <c r="Z21" s="632">
        <f t="shared" si="6"/>
        <v>-0.23932204086736789</v>
      </c>
      <c r="AA21" s="629">
        <f t="shared" si="7"/>
        <v>-0.96995994277263509</v>
      </c>
      <c r="AB21" s="629">
        <f t="shared" si="8"/>
        <v>-4.3619607650510255E-2</v>
      </c>
      <c r="AC21" s="636">
        <f>IF(M21="","",SQRT(Z21^2+AA21^2+AB21^2))</f>
        <v>1</v>
      </c>
      <c r="AD21" s="637">
        <f>IF(M21="","",Z21*(1/SQRT(Z21^2+AA21^2+AB21^2)))</f>
        <v>-0.23932204086736789</v>
      </c>
      <c r="AE21" s="629">
        <f>IF(M21="","",AA21*(1/SQRT(Z21^2+AA21^2+AB21^2)))</f>
        <v>-0.96995994277263509</v>
      </c>
      <c r="AF21" s="633">
        <f>IF(M21="","",AB21*(1/SQRT(Z21^2+AA21^2+AB21^2)))</f>
        <v>-4.3619607650510255E-2</v>
      </c>
      <c r="AG21" s="602">
        <f>IF(M21="","",DEGREES(ATAN2(-AF21,AE21)))</f>
        <v>-87.425113564249571</v>
      </c>
      <c r="AH21" s="603">
        <f>IF(M21="","",DEGREES(ACOS(AD21)))</f>
        <v>103.84653013173553</v>
      </c>
      <c r="AI21" s="585">
        <f>IF(M21="","",DEGREES(-ACOS(-AF21)))</f>
        <v>-87.499987366564937</v>
      </c>
      <c r="AJ21" s="586">
        <f>IF(M21="","",DEGREES(ATAN2(-AE21,AD21)))</f>
        <v>-13.8599849920938</v>
      </c>
      <c r="AK21" s="635">
        <f>IF(M21="","",(COS(RADIANS((90-$Q$8)-W21))*AD21)+(-SIN(RADIANS((90-$Q$8)-W21))*AE21))</f>
        <v>2.267948972511924E-7</v>
      </c>
      <c r="AL21" s="629">
        <f>IF(M21="","",(SIN(RADIANS((90-$Q$8)-W21))*AD21)+(COS(RADIANS((90-$Q$8)-W21))*AE21))</f>
        <v>-0.99904821196394933</v>
      </c>
      <c r="AM21" s="634">
        <f>IF(M21="","",AF21)</f>
        <v>-4.3619607650510255E-2</v>
      </c>
      <c r="AN21" s="581">
        <f>IF(M21="","",DEGREES(ATAN2(-AM21,AL21)))</f>
        <v>-87.499987366564866</v>
      </c>
      <c r="AO21" s="582">
        <f>IF(ROUND(IF(M21="",0,DEGREES(ACOS(AK21))),4)=90,0,IF(M21="","",DEGREES(ACOS(AK21))))</f>
        <v>0</v>
      </c>
      <c r="AP21" s="585">
        <f>IF(M21="","",DEGREES(ATAN2(AK21,AL21)))</f>
        <v>-89.999986993229882</v>
      </c>
      <c r="AQ21" s="586">
        <f t="shared" si="9"/>
        <v>0.44898257570132993</v>
      </c>
      <c r="AS21" s="52">
        <f t="shared" si="116"/>
        <v>-13.859997998863889</v>
      </c>
      <c r="AT21" s="72">
        <f t="shared" si="10"/>
        <v>-2.0219809127242252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>Gage</v>
      </c>
      <c r="IG21" s="847">
        <f t="shared" si="210"/>
        <v>1.244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1.1439999999999999</v>
      </c>
      <c r="II21" s="734" cm="1">
        <f t="array" ref="II21">IFERROR(ROUND(VALUE(IF($IH21&lt;1,$IH21+LARGE((IF($M$9:$M$150="",0,$M$9:$M$150)-MOD(IF($M$9:$M$150="",0,$M$9:$M$150),1)),1),$IH21)),4),"")</f>
        <v>1.1439999999999999</v>
      </c>
      <c r="IJ21" s="533">
        <f t="shared" si="112"/>
        <v>1613</v>
      </c>
      <c r="IK21" s="533" t="str">
        <f t="shared" si="66"/>
        <v>CPS-32193r1</v>
      </c>
      <c r="IL21" s="727">
        <f t="shared" si="225"/>
        <v>11.064998402411902</v>
      </c>
      <c r="IM21" s="759">
        <v>1.1087692213255999E-3</v>
      </c>
      <c r="IN21" s="5">
        <f t="shared" si="226"/>
        <v>0</v>
      </c>
      <c r="IO21" s="771">
        <v>0</v>
      </c>
      <c r="IP21" s="9">
        <f t="shared" si="227"/>
        <v>-5.0638152724668624</v>
      </c>
      <c r="IQ21" s="5">
        <f t="shared" si="228"/>
        <v>-2.0199060920367735</v>
      </c>
      <c r="IR21" s="5">
        <f t="shared" si="71"/>
        <v>0.314</v>
      </c>
      <c r="IS21" s="5">
        <f t="shared" si="229"/>
        <v>0.27193198865724594</v>
      </c>
      <c r="IT21" s="727">
        <f t="shared" si="230"/>
        <v>87.499987366564895</v>
      </c>
      <c r="IU21" s="9">
        <f t="shared" si="231"/>
        <v>-5.0774352766906166</v>
      </c>
      <c r="IV21" s="5">
        <f t="shared" si="232"/>
        <v>-2.0316059113345473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87.499987366564866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2.4868764347854748</v>
      </c>
      <c r="C22" s="708">
        <v>1.6740085563582763</v>
      </c>
      <c r="D22" s="709">
        <v>-7.4800225597480369E-2</v>
      </c>
      <c r="E22" s="710">
        <v>-0.53097266947358213</v>
      </c>
      <c r="F22" s="708">
        <v>0.80106218708913268</v>
      </c>
      <c r="G22" s="711">
        <v>0.27634651560689838</v>
      </c>
      <c r="H22" s="710">
        <v>0.314</v>
      </c>
      <c r="I22" s="708">
        <v>0.52</v>
      </c>
      <c r="J22" s="570">
        <v>2.1150000000000002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110</v>
      </c>
      <c r="M22" s="168">
        <f t="shared" si="1"/>
        <v>2.1150000000000002</v>
      </c>
      <c r="N22" s="632">
        <f t="shared" si="2"/>
        <v>2.4868764347854748</v>
      </c>
      <c r="O22" s="629">
        <f t="shared" si="3"/>
        <v>1.6740085563582763</v>
      </c>
      <c r="P22" s="633">
        <f t="shared" si="4"/>
        <v>-7.4800225597480369E-2</v>
      </c>
      <c r="Q22" s="585">
        <f t="shared" si="113"/>
        <v>33.945956115633507</v>
      </c>
      <c r="R22" s="629">
        <f t="shared" si="79"/>
        <v>2.9978090413920686</v>
      </c>
      <c r="S22" s="634">
        <f t="shared" si="80"/>
        <v>-7.4800225597480369E-2</v>
      </c>
      <c r="T22" s="635">
        <f t="shared" si="81"/>
        <v>1.6740085563582769</v>
      </c>
      <c r="U22" s="629">
        <f t="shared" si="82"/>
        <v>-2.4868764347854739</v>
      </c>
      <c r="V22" s="636">
        <f t="shared" si="114"/>
        <v>-7.4800225597480369E-2</v>
      </c>
      <c r="W22" s="585">
        <f t="shared" si="224"/>
        <v>303.94595611563352</v>
      </c>
      <c r="X22" s="629">
        <f t="shared" si="83"/>
        <v>2.9978090413920686</v>
      </c>
      <c r="Y22" s="630">
        <f t="shared" si="223"/>
        <v>-7.4800225597480369E-2</v>
      </c>
      <c r="Z22" s="632">
        <f t="shared" si="6"/>
        <v>0.53097266947358213</v>
      </c>
      <c r="AA22" s="629">
        <f t="shared" si="7"/>
        <v>-0.80106218708913268</v>
      </c>
      <c r="AB22" s="629">
        <f t="shared" si="8"/>
        <v>-0.27634651560689838</v>
      </c>
      <c r="AC22" s="636">
        <f t="shared" si="84"/>
        <v>1</v>
      </c>
      <c r="AD22" s="637">
        <f t="shared" si="115"/>
        <v>0.53097266947358213</v>
      </c>
      <c r="AE22" s="629">
        <f t="shared" si="85"/>
        <v>-0.80106218708913268</v>
      </c>
      <c r="AF22" s="633">
        <f t="shared" si="86"/>
        <v>-0.27634651560689838</v>
      </c>
      <c r="AG22" s="602">
        <f t="shared" si="87"/>
        <v>-70.966840092769559</v>
      </c>
      <c r="AH22" s="603">
        <f t="shared" si="88"/>
        <v>57.928802231925417</v>
      </c>
      <c r="AI22" s="585">
        <f t="shared" si="89"/>
        <v>-73.957726220210716</v>
      </c>
      <c r="AJ22" s="586">
        <f t="shared" si="90"/>
        <v>33.537841095183374</v>
      </c>
      <c r="AK22" s="635">
        <f t="shared" si="211"/>
        <v>0.96103368426129754</v>
      </c>
      <c r="AL22" s="629">
        <f t="shared" si="91"/>
        <v>-6.8455114551811969E-3</v>
      </c>
      <c r="AM22" s="634">
        <f t="shared" si="92"/>
        <v>-0.27634651560689838</v>
      </c>
      <c r="AN22" s="581">
        <f t="shared" si="93"/>
        <v>-1.4190109052036681</v>
      </c>
      <c r="AO22" s="582">
        <f t="shared" si="94"/>
        <v>16.047327831947253</v>
      </c>
      <c r="AP22" s="585">
        <f t="shared" si="95"/>
        <v>-0.40811502045014941</v>
      </c>
      <c r="AQ22" s="586">
        <f t="shared" si="9"/>
        <v>0.76041960896134408</v>
      </c>
      <c r="AS22" s="52">
        <f t="shared" si="116"/>
        <v>-56.054043884366479</v>
      </c>
      <c r="AT22" s="72">
        <f t="shared" si="10"/>
        <v>-3.5873806233336976E-2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2.1150000000000002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3.1456834174027271</v>
      </c>
      <c r="C23" s="708">
        <v>2.0649885368843277</v>
      </c>
      <c r="D23" s="709">
        <v>-0.17810053715122007</v>
      </c>
      <c r="E23" s="710">
        <v>-0.40166479823671408</v>
      </c>
      <c r="F23" s="708">
        <v>0.87657113001942422</v>
      </c>
      <c r="G23" s="711">
        <v>0.26511967839813338</v>
      </c>
      <c r="H23" s="710">
        <v>0.314</v>
      </c>
      <c r="I23" s="708">
        <v>0.52</v>
      </c>
      <c r="J23" s="570">
        <v>2.1219999999999999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2.1219999999999999</v>
      </c>
      <c r="N23" s="632">
        <f t="shared" si="2"/>
        <v>3.1456834174027271</v>
      </c>
      <c r="O23" s="629">
        <f t="shared" si="3"/>
        <v>2.0649885368843277</v>
      </c>
      <c r="P23" s="633">
        <f t="shared" si="4"/>
        <v>-0.17810053715122007</v>
      </c>
      <c r="Q23" s="585">
        <f t="shared" si="113"/>
        <v>33.282956211358844</v>
      </c>
      <c r="R23" s="629">
        <f t="shared" si="79"/>
        <v>3.7629113489406278</v>
      </c>
      <c r="S23" s="634">
        <f t="shared" si="80"/>
        <v>-0.17810053715122007</v>
      </c>
      <c r="T23" s="635">
        <f t="shared" si="81"/>
        <v>2.0649885368843277</v>
      </c>
      <c r="U23" s="629">
        <f t="shared" si="82"/>
        <v>-3.1456834174027271</v>
      </c>
      <c r="V23" s="636">
        <f t="shared" si="114"/>
        <v>-0.17810053715122007</v>
      </c>
      <c r="W23" s="585">
        <f t="shared" si="224"/>
        <v>303.28295621135885</v>
      </c>
      <c r="X23" s="629">
        <f t="shared" si="83"/>
        <v>3.7629113489406278</v>
      </c>
      <c r="Y23" s="630">
        <f t="shared" si="223"/>
        <v>-0.17810053715122007</v>
      </c>
      <c r="Z23" s="632">
        <f t="shared" si="6"/>
        <v>0.40166479823671408</v>
      </c>
      <c r="AA23" s="629">
        <f t="shared" si="7"/>
        <v>-0.87657113001942422</v>
      </c>
      <c r="AB23" s="629">
        <f t="shared" si="8"/>
        <v>-0.26511967839813338</v>
      </c>
      <c r="AC23" s="636">
        <f t="shared" si="84"/>
        <v>1</v>
      </c>
      <c r="AD23" s="637">
        <f t="shared" si="115"/>
        <v>0.40166479823671408</v>
      </c>
      <c r="AE23" s="629">
        <f t="shared" si="85"/>
        <v>-0.87657113001942422</v>
      </c>
      <c r="AF23" s="633">
        <f t="shared" si="86"/>
        <v>-0.26511967839813338</v>
      </c>
      <c r="AG23" s="602">
        <f t="shared" si="87"/>
        <v>-73.17201435038254</v>
      </c>
      <c r="AH23" s="603">
        <f t="shared" si="88"/>
        <v>66.317705615453875</v>
      </c>
      <c r="AI23" s="585">
        <f t="shared" si="89"/>
        <v>-74.625935773262512</v>
      </c>
      <c r="AJ23" s="586">
        <f t="shared" si="90"/>
        <v>24.618326618765987</v>
      </c>
      <c r="AK23" s="635">
        <f t="shared" si="211"/>
        <v>0.95321099523501895</v>
      </c>
      <c r="AL23" s="629">
        <f t="shared" si="91"/>
        <v>-0.14525961134856202</v>
      </c>
      <c r="AM23" s="634">
        <f t="shared" si="92"/>
        <v>-0.26511967839813338</v>
      </c>
      <c r="AN23" s="581">
        <f t="shared" si="93"/>
        <v>-28.718424444419533</v>
      </c>
      <c r="AO23" s="582">
        <f t="shared" si="94"/>
        <v>17.596147764328858</v>
      </c>
      <c r="AP23" s="585">
        <f t="shared" si="95"/>
        <v>-8.6646295925928527</v>
      </c>
      <c r="AQ23" s="586">
        <f t="shared" si="9"/>
        <v>0.60581859695255624</v>
      </c>
      <c r="AS23" s="52">
        <f t="shared" si="116"/>
        <v>-56.717043788641149</v>
      </c>
      <c r="AT23" s="72">
        <f t="shared" si="10"/>
        <v>-0.13871370118688592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2.1219999999999999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20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5</v>
      </c>
      <c r="JG23" s="801">
        <v>15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280</v>
      </c>
      <c r="JI23" s="801">
        <v>260</v>
      </c>
    </row>
    <row r="24" spans="1:269" ht="15" customHeight="1" x14ac:dyDescent="0.25">
      <c r="A24" s="79"/>
      <c r="B24" s="707">
        <v>3.733110008861686</v>
      </c>
      <c r="C24" s="708">
        <v>2.3635282906140729</v>
      </c>
      <c r="D24" s="709">
        <v>-0.56430170193393314</v>
      </c>
      <c r="E24" s="710">
        <v>-0.2752504533770021</v>
      </c>
      <c r="F24" s="708">
        <v>0.93617441460074302</v>
      </c>
      <c r="G24" s="711">
        <v>0.2186656199833687</v>
      </c>
      <c r="H24" s="710">
        <v>0.314</v>
      </c>
      <c r="I24" s="708">
        <v>0.52</v>
      </c>
      <c r="J24" s="570">
        <v>2.129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2.129</v>
      </c>
      <c r="N24" s="632">
        <f t="shared" si="2"/>
        <v>3.733110008861686</v>
      </c>
      <c r="O24" s="629">
        <f t="shared" si="3"/>
        <v>2.3635282906140729</v>
      </c>
      <c r="P24" s="633">
        <f t="shared" si="4"/>
        <v>-0.56430170193393314</v>
      </c>
      <c r="Q24" s="585">
        <f t="shared" si="113"/>
        <v>32.338956347655561</v>
      </c>
      <c r="R24" s="629">
        <f t="shared" si="79"/>
        <v>4.4184133259345915</v>
      </c>
      <c r="S24" s="634">
        <f t="shared" si="80"/>
        <v>-0.56430170193393314</v>
      </c>
      <c r="T24" s="635">
        <f t="shared" si="81"/>
        <v>2.363528290614072</v>
      </c>
      <c r="U24" s="629">
        <f t="shared" si="82"/>
        <v>-3.7331100088616864</v>
      </c>
      <c r="V24" s="636">
        <f t="shared" si="114"/>
        <v>-0.56430170193393314</v>
      </c>
      <c r="W24" s="585">
        <f t="shared" si="224"/>
        <v>302.33895634765554</v>
      </c>
      <c r="X24" s="629">
        <f t="shared" si="83"/>
        <v>4.4184133259345915</v>
      </c>
      <c r="Y24" s="630">
        <f t="shared" si="223"/>
        <v>-0.56430170193393314</v>
      </c>
      <c r="Z24" s="632">
        <f t="shared" si="6"/>
        <v>0.2752504533770021</v>
      </c>
      <c r="AA24" s="629">
        <f t="shared" si="7"/>
        <v>-0.93617441460074302</v>
      </c>
      <c r="AB24" s="629">
        <f t="shared" si="8"/>
        <v>-0.2186656199833687</v>
      </c>
      <c r="AC24" s="636">
        <f t="shared" si="84"/>
        <v>1</v>
      </c>
      <c r="AD24" s="637">
        <f t="shared" si="115"/>
        <v>0.2752504533770021</v>
      </c>
      <c r="AE24" s="629">
        <f t="shared" si="85"/>
        <v>-0.93617441460074302</v>
      </c>
      <c r="AF24" s="633">
        <f t="shared" si="86"/>
        <v>-0.2186656199833687</v>
      </c>
      <c r="AG24" s="602">
        <f t="shared" si="87"/>
        <v>-76.852923399216934</v>
      </c>
      <c r="AH24" s="603">
        <f t="shared" si="88"/>
        <v>74.023059899816772</v>
      </c>
      <c r="AI24" s="585">
        <f t="shared" si="89"/>
        <v>-77.369329473920288</v>
      </c>
      <c r="AJ24" s="586">
        <f t="shared" si="90"/>
        <v>16.384191009391415</v>
      </c>
      <c r="AK24" s="635">
        <f>IF(M24="","",(COS(RADIANS((90-$Q$8)-W24))*AD24)+(-SIN(RADIANS((90-$Q$8)-W24))*AE24))</f>
        <v>0.93821107373885493</v>
      </c>
      <c r="AL24" s="629">
        <f t="shared" si="91"/>
        <v>-0.26822626223223212</v>
      </c>
      <c r="AM24" s="634">
        <f t="shared" si="92"/>
        <v>-0.2186656199833687</v>
      </c>
      <c r="AN24" s="581">
        <f t="shared" si="93"/>
        <v>-50.812109441302866</v>
      </c>
      <c r="AO24" s="582">
        <f t="shared" si="94"/>
        <v>20.246732374291163</v>
      </c>
      <c r="AP24" s="585">
        <f t="shared" si="95"/>
        <v>-15.95476533826414</v>
      </c>
      <c r="AQ24" s="586">
        <f t="shared" si="9"/>
        <v>0.51594652715686184</v>
      </c>
      <c r="AS24" s="52">
        <f t="shared" si="116"/>
        <v>-57.66104365234446</v>
      </c>
      <c r="AT24" s="72">
        <f t="shared" si="10"/>
        <v>-0.5242593105086939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CPS-32193r1</v>
      </c>
      <c r="JB24" s="856" cm="1">
        <f t="array" ref="JB24">IF($JA24="","",COUNT(IF(IF($II$9:$II$150&lt;&gt;"",$IK$9:$IK$150,"")=$JA24,$IG$9:$IG$150,"")))</f>
        <v>11</v>
      </c>
      <c r="JC24" s="5"/>
      <c r="JD24" s="5"/>
      <c r="JE24" s="10"/>
      <c r="JF24" s="247" t="str">
        <v/>
      </c>
      <c r="JG24" s="803">
        <v>1</v>
      </c>
      <c r="JH24" s="787" t="str">
        <v/>
      </c>
      <c r="JI24" s="803">
        <v>110</v>
      </c>
    </row>
    <row r="25" spans="1:269" ht="15" customHeight="1" x14ac:dyDescent="0.25">
      <c r="A25" s="79"/>
      <c r="B25" s="707">
        <v>4.1538919020426057</v>
      </c>
      <c r="C25" s="708">
        <v>2.5508921101292121</v>
      </c>
      <c r="D25" s="709">
        <v>-1.1731035380802715</v>
      </c>
      <c r="E25" s="710">
        <v>-0.14824413760600119</v>
      </c>
      <c r="F25" s="708">
        <v>0.9765717979441324</v>
      </c>
      <c r="G25" s="711">
        <v>0.15598461182314649</v>
      </c>
      <c r="H25" s="710">
        <v>0.314</v>
      </c>
      <c r="I25" s="708">
        <v>0.52</v>
      </c>
      <c r="J25" s="570">
        <v>2.1360000000000001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2.1360000000000001</v>
      </c>
      <c r="N25" s="632">
        <f t="shared" si="2"/>
        <v>4.1538919020426057</v>
      </c>
      <c r="O25" s="629">
        <f t="shared" si="3"/>
        <v>2.5508921101292121</v>
      </c>
      <c r="P25" s="633">
        <f t="shared" si="4"/>
        <v>-1.1731035380802715</v>
      </c>
      <c r="Q25" s="585">
        <f t="shared" si="113"/>
        <v>31.553956460995522</v>
      </c>
      <c r="R25" s="629">
        <f>IF(M25="","",SQRT(N25^2+O25^2))</f>
        <v>4.8746147018379409</v>
      </c>
      <c r="S25" s="634">
        <f>IF(M25="","",P25)</f>
        <v>-1.1731035380802715</v>
      </c>
      <c r="T25" s="635">
        <f>IF(M25="","",X25*COS(RADIANS(W25)))</f>
        <v>2.5508921101292126</v>
      </c>
      <c r="U25" s="629">
        <f>IF(M25="","",X25*SIN(RADIANS(W25)))</f>
        <v>-4.1538919020426048</v>
      </c>
      <c r="V25" s="636">
        <f>IF(M25="","",Y25)</f>
        <v>-1.1731035380802715</v>
      </c>
      <c r="W25" s="585">
        <f t="shared" si="224"/>
        <v>301.55395646099555</v>
      </c>
      <c r="X25" s="629">
        <f>IF(M25="","",R25)</f>
        <v>4.8746147018379409</v>
      </c>
      <c r="Y25" s="630">
        <f t="shared" si="223"/>
        <v>-1.1731035380802715</v>
      </c>
      <c r="Z25" s="632">
        <f t="shared" si="6"/>
        <v>0.14824413760600119</v>
      </c>
      <c r="AA25" s="629">
        <f t="shared" si="7"/>
        <v>-0.9765717979441324</v>
      </c>
      <c r="AB25" s="629">
        <f t="shared" si="8"/>
        <v>-0.15598461182314649</v>
      </c>
      <c r="AC25" s="636">
        <f>IF(M25="","",SQRT(Z25^2+AA25^2+AB25^2))</f>
        <v>1</v>
      </c>
      <c r="AD25" s="637">
        <f>IF(M25="","",Z25*(1/SQRT(Z25^2+AA25^2+AB25^2)))</f>
        <v>0.14824413760600119</v>
      </c>
      <c r="AE25" s="629">
        <f>IF(M25="","",AA25*(1/SQRT(Z25^2+AA25^2+AB25^2)))</f>
        <v>-0.9765717979441324</v>
      </c>
      <c r="AF25" s="633">
        <f>IF(M25="","",AB25*(1/SQRT(Z25^2+AA25^2+AB25^2)))</f>
        <v>-0.15598461182314649</v>
      </c>
      <c r="AG25" s="602">
        <f>IF(M25="","",DEGREES(ATAN2(-AF25,AE25)))</f>
        <v>-80.924990589404743</v>
      </c>
      <c r="AH25" s="603">
        <f>IF(M25="","",DEGREES(ACOS(AD25)))</f>
        <v>81.474814548234434</v>
      </c>
      <c r="AI25" s="585">
        <f>IF(M25="","",DEGREES(-ACOS(-AF25)))</f>
        <v>-81.026095035217253</v>
      </c>
      <c r="AJ25" s="586">
        <f>IF(M25="","",DEGREES(ATAN2(-AE25,AD25)))</f>
        <v>8.631632757612385</v>
      </c>
      <c r="AK25" s="635">
        <f>IF(M25="","",(COS(RADIANS((90-$Q$8)-W25))*AD25)+(-SIN(RADIANS((90-$Q$8)-W25))*AE25))</f>
        <v>0.90975979754118663</v>
      </c>
      <c r="AL25" s="629">
        <f>IF(M25="","",(SIN(RADIANS((90-$Q$8)-W25))*AD25)+(COS(RADIANS((90-$Q$8)-W25))*AE25))</f>
        <v>-0.38471536446079424</v>
      </c>
      <c r="AM25" s="634">
        <f>IF(M25="","",AF25)</f>
        <v>-0.15598461182314649</v>
      </c>
      <c r="AN25" s="581">
        <f>IF(M25="","",DEGREES(ATAN2(-AM25,AL25)))</f>
        <v>-67.929680005475021</v>
      </c>
      <c r="AO25" s="582">
        <f>IF(ROUND(IF(M25="",0,DEGREES(ACOS(AK25))),4)=90,0,IF(M25="","",DEGREES(ACOS(AK25))))</f>
        <v>24.527821590703237</v>
      </c>
      <c r="AP25" s="585">
        <f>IF(M25="","",DEGREES(ATAN2(AK25,AL25)))</f>
        <v>-22.922323703383146</v>
      </c>
      <c r="AQ25" s="586">
        <f t="shared" si="9"/>
        <v>0.46766280910364283</v>
      </c>
      <c r="AS25" s="52">
        <f t="shared" si="116"/>
        <v>-58.446043539004449</v>
      </c>
      <c r="AT25" s="72">
        <f t="shared" si="10"/>
        <v>-1.1325160078448517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2.1360000000000001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4.3288582774514497</v>
      </c>
      <c r="C26" s="708">
        <v>2.6225747319612309</v>
      </c>
      <c r="D26" s="709">
        <v>-1.9106057623869794</v>
      </c>
      <c r="E26" s="710">
        <v>-3.1831854622156423E-3</v>
      </c>
      <c r="F26" s="708">
        <v>0.99700015108748552</v>
      </c>
      <c r="G26" s="711">
        <v>7.7334119648730409E-2</v>
      </c>
      <c r="H26" s="710">
        <v>0.314</v>
      </c>
      <c r="I26" s="708">
        <v>0.52</v>
      </c>
      <c r="J26" s="570">
        <v>2.1429999999999998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2.1429999999999998</v>
      </c>
      <c r="N26" s="632">
        <f t="shared" si="2"/>
        <v>4.3288582774514497</v>
      </c>
      <c r="O26" s="629">
        <f t="shared" si="3"/>
        <v>2.6225747319612309</v>
      </c>
      <c r="P26" s="633">
        <f t="shared" si="4"/>
        <v>-1.9106057623869794</v>
      </c>
      <c r="Q26" s="585">
        <f t="shared" si="113"/>
        <v>31.208956510807354</v>
      </c>
      <c r="R26" s="629">
        <f>IF(M26="","",SQRT(N26^2+O26^2))</f>
        <v>5.0613152649268409</v>
      </c>
      <c r="S26" s="634">
        <f>IF(M26="","",P26)</f>
        <v>-1.9106057623869794</v>
      </c>
      <c r="T26" s="635">
        <f>IF(M26="","",X26*COS(RADIANS(W26)))</f>
        <v>2.62257473196123</v>
      </c>
      <c r="U26" s="629">
        <f>IF(M26="","",X26*SIN(RADIANS(W26)))</f>
        <v>-4.3288582774514506</v>
      </c>
      <c r="V26" s="636">
        <f>IF(M26="","",Y26)</f>
        <v>-1.9106057623869794</v>
      </c>
      <c r="W26" s="585">
        <f t="shared" si="224"/>
        <v>301.20895651080735</v>
      </c>
      <c r="X26" s="629">
        <f>IF(M26="","",R26)</f>
        <v>5.0613152649268409</v>
      </c>
      <c r="Y26" s="630">
        <f t="shared" si="223"/>
        <v>-1.9106057623869794</v>
      </c>
      <c r="Z26" s="632">
        <f t="shared" si="6"/>
        <v>3.1831854622156423E-3</v>
      </c>
      <c r="AA26" s="629">
        <f t="shared" si="7"/>
        <v>-0.99700015108748552</v>
      </c>
      <c r="AB26" s="629">
        <f t="shared" si="8"/>
        <v>-7.7334119648730409E-2</v>
      </c>
      <c r="AC26" s="636">
        <f>IF(M26="","",SQRT(Z26^2+AA26^2+AB26^2))</f>
        <v>1</v>
      </c>
      <c r="AD26" s="637">
        <f>IF(M26="","",Z26*(1/SQRT(Z26^2+AA26^2+AB26^2)))</f>
        <v>3.1831854622156423E-3</v>
      </c>
      <c r="AE26" s="629">
        <f>IF(M26="","",AA26*(1/SQRT(Z26^2+AA26^2+AB26^2)))</f>
        <v>-0.99700015108748552</v>
      </c>
      <c r="AF26" s="633">
        <f>IF(M26="","",AB26*(1/SQRT(Z26^2+AA26^2+AB26^2)))</f>
        <v>-7.7334119648730409E-2</v>
      </c>
      <c r="AG26" s="602">
        <f>IF(M26="","",DEGREES(ATAN2(-AF26,AE26)))</f>
        <v>-85.564630320087971</v>
      </c>
      <c r="AH26" s="603">
        <f>IF(M26="","",DEGREES(ACOS(AD26)))</f>
        <v>89.817616599601621</v>
      </c>
      <c r="AI26" s="585">
        <f>IF(M26="","",DEGREES(-ACOS(-AF26)))</f>
        <v>-85.564652836207074</v>
      </c>
      <c r="AJ26" s="586">
        <f>IF(M26="","",DEGREES(ATAN2(-AE26,AD26)))</f>
        <v>0.18293123875200493</v>
      </c>
      <c r="AK26" s="635">
        <f>IF(M26="","",(COS(RADIANS((90-$Q$8)-W26))*AD26)+(-SIN(RADIANS((90-$Q$8)-W26))*AE26))</f>
        <v>0.85436695247599181</v>
      </c>
      <c r="AL26" s="629">
        <f>IF(M26="","",(SIN(RADIANS((90-$Q$8)-W26))*AD26)+(COS(RADIANS((90-$Q$8)-W26))*AE26))</f>
        <v>-0.51388378496995057</v>
      </c>
      <c r="AM26" s="634">
        <f>IF(M26="","",AF26)</f>
        <v>-7.7334119648730409E-2</v>
      </c>
      <c r="AN26" s="581">
        <f>IF(M26="","",DEGREES(ATAN2(-AM26,AL26)))</f>
        <v>-81.441806601678053</v>
      </c>
      <c r="AO26" s="582">
        <f t="shared" si="94"/>
        <v>31.310131362829964</v>
      </c>
      <c r="AP26" s="585">
        <f>IF(M26="","",DEGREES(ATAN2(AK26,AL26)))</f>
        <v>-31.026025272055332</v>
      </c>
      <c r="AQ26" s="586">
        <f t="shared" si="9"/>
        <v>0.45041250178175124</v>
      </c>
      <c r="AS26" s="52">
        <f t="shared" si="116"/>
        <v>-58.791043489192646</v>
      </c>
      <c r="AT26" s="72">
        <f t="shared" si="10"/>
        <v>-1.8697786488528179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2.1429999999999998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4.3311796621900589</v>
      </c>
      <c r="C27" s="708">
        <v>2.6235677707083984</v>
      </c>
      <c r="D27" s="709">
        <v>-2.6762080714435439</v>
      </c>
      <c r="E27" s="710">
        <v>-2.1436025210516876E-2</v>
      </c>
      <c r="F27" s="708">
        <v>0.99953230533327231</v>
      </c>
      <c r="G27" s="711">
        <v>2.1809800969476923E-2</v>
      </c>
      <c r="H27" s="710">
        <v>0.314</v>
      </c>
      <c r="I27" s="708">
        <v>0.52</v>
      </c>
      <c r="J27" s="570">
        <v>2.1440000000000001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2.1440000000000001</v>
      </c>
      <c r="N27" s="632">
        <f t="shared" si="2"/>
        <v>4.3311796621900589</v>
      </c>
      <c r="O27" s="629">
        <f t="shared" si="3"/>
        <v>2.6235677707083984</v>
      </c>
      <c r="P27" s="633">
        <f t="shared" si="4"/>
        <v>-2.6762080714435439</v>
      </c>
      <c r="Q27" s="585">
        <f t="shared" si="113"/>
        <v>31.204956511384889</v>
      </c>
      <c r="R27" s="629">
        <f t="shared" si="79"/>
        <v>5.0638152724668606</v>
      </c>
      <c r="S27" s="634">
        <f t="shared" si="80"/>
        <v>-2.6762080714435439</v>
      </c>
      <c r="T27" s="635">
        <f t="shared" si="81"/>
        <v>2.6235677707083984</v>
      </c>
      <c r="U27" s="629">
        <f t="shared" si="82"/>
        <v>-4.3311796621900589</v>
      </c>
      <c r="V27" s="636">
        <f t="shared" si="114"/>
        <v>-2.6762080714435439</v>
      </c>
      <c r="W27" s="585">
        <f t="shared" si="224"/>
        <v>301.20495651138486</v>
      </c>
      <c r="X27" s="629">
        <f t="shared" si="83"/>
        <v>5.0638152724668606</v>
      </c>
      <c r="Y27" s="630">
        <f t="shared" si="223"/>
        <v>-2.6762080714435439</v>
      </c>
      <c r="Z27" s="632">
        <f t="shared" si="6"/>
        <v>2.1436025210516876E-2</v>
      </c>
      <c r="AA27" s="629">
        <f t="shared" si="7"/>
        <v>-0.99953230533327231</v>
      </c>
      <c r="AB27" s="629">
        <f t="shared" si="8"/>
        <v>-2.1809800969476923E-2</v>
      </c>
      <c r="AC27" s="636">
        <f t="shared" si="84"/>
        <v>1</v>
      </c>
      <c r="AD27" s="637">
        <f t="shared" si="115"/>
        <v>2.1436025210516876E-2</v>
      </c>
      <c r="AE27" s="629">
        <f t="shared" si="85"/>
        <v>-0.99953230533327231</v>
      </c>
      <c r="AF27" s="633">
        <f t="shared" si="86"/>
        <v>-2.1809800969476923E-2</v>
      </c>
      <c r="AG27" s="602">
        <f t="shared" si="87"/>
        <v>-88.750004097688432</v>
      </c>
      <c r="AH27" s="603">
        <f t="shared" si="88"/>
        <v>88.771712146623173</v>
      </c>
      <c r="AI27" s="585">
        <f t="shared" si="89"/>
        <v>-88.750291364792858</v>
      </c>
      <c r="AJ27" s="586">
        <f t="shared" si="90"/>
        <v>1.2285801306828183</v>
      </c>
      <c r="AK27" s="635">
        <f t="shared" si="211"/>
        <v>0.86602544158358563</v>
      </c>
      <c r="AL27" s="629">
        <f t="shared" si="91"/>
        <v>-0.49952404057425243</v>
      </c>
      <c r="AM27" s="634">
        <f t="shared" si="92"/>
        <v>-2.1809800969476923E-2</v>
      </c>
      <c r="AN27" s="581">
        <f t="shared" si="93"/>
        <v>-87.49998736656498</v>
      </c>
      <c r="AO27" s="582">
        <f t="shared" si="94"/>
        <v>29.999995668536535</v>
      </c>
      <c r="AP27" s="585">
        <f t="shared" si="95"/>
        <v>-29.976376380702067</v>
      </c>
      <c r="AQ27" s="586">
        <f t="shared" si="9"/>
        <v>0.45019014211149172</v>
      </c>
      <c r="AS27" s="52">
        <f t="shared" si="116"/>
        <v>-58.795043488615136</v>
      </c>
      <c r="AT27" s="72">
        <f t="shared" si="10"/>
        <v>-2.6353781801320055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2.1440000000000001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3.5687156913173319</v>
      </c>
      <c r="C28" s="708">
        <v>1.238287405277253</v>
      </c>
      <c r="D28" s="709">
        <v>-0.1414</v>
      </c>
      <c r="E28" s="710">
        <v>-0.11889140744156645</v>
      </c>
      <c r="F28" s="708">
        <v>0.89881566066240037</v>
      </c>
      <c r="G28" s="711">
        <v>0.42189482265675671</v>
      </c>
      <c r="H28" s="710">
        <v>0.26600000000000001</v>
      </c>
      <c r="I28" s="708">
        <v>0.52</v>
      </c>
      <c r="J28" s="570">
        <v>2.222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2.222</v>
      </c>
      <c r="N28" s="632">
        <f t="shared" si="2"/>
        <v>3.5687156913173319</v>
      </c>
      <c r="O28" s="629">
        <f t="shared" si="3"/>
        <v>1.238287405277253</v>
      </c>
      <c r="P28" s="633">
        <f t="shared" si="4"/>
        <v>-0.1414</v>
      </c>
      <c r="Q28" s="585">
        <f t="shared" si="113"/>
        <v>19.135958253932635</v>
      </c>
      <c r="R28" s="629">
        <f t="shared" si="79"/>
        <v>3.7774445573062767</v>
      </c>
      <c r="S28" s="634">
        <f t="shared" si="80"/>
        <v>-0.1414</v>
      </c>
      <c r="T28" s="635">
        <f t="shared" si="81"/>
        <v>1.2382874052772541</v>
      </c>
      <c r="U28" s="629">
        <f t="shared" si="82"/>
        <v>-3.5687156913173315</v>
      </c>
      <c r="V28" s="636">
        <f t="shared" si="114"/>
        <v>-0.1414</v>
      </c>
      <c r="W28" s="585">
        <f t="shared" si="224"/>
        <v>289.13595825393264</v>
      </c>
      <c r="X28" s="629">
        <f t="shared" si="83"/>
        <v>3.7774445573062767</v>
      </c>
      <c r="Y28" s="630">
        <f t="shared" si="223"/>
        <v>-0.1414</v>
      </c>
      <c r="Z28" s="632">
        <f t="shared" si="6"/>
        <v>0.11889140744156645</v>
      </c>
      <c r="AA28" s="629">
        <f t="shared" si="7"/>
        <v>-0.89881566066240037</v>
      </c>
      <c r="AB28" s="629">
        <f t="shared" si="8"/>
        <v>-0.42189482265675671</v>
      </c>
      <c r="AC28" s="636">
        <f t="shared" si="84"/>
        <v>1</v>
      </c>
      <c r="AD28" s="637">
        <f t="shared" si="115"/>
        <v>0.11889140744156645</v>
      </c>
      <c r="AE28" s="629">
        <f t="shared" si="85"/>
        <v>-0.89881566066240037</v>
      </c>
      <c r="AF28" s="633">
        <f t="shared" si="86"/>
        <v>-0.42189482265675671</v>
      </c>
      <c r="AG28" s="602">
        <f t="shared" si="87"/>
        <v>-64.855122565941841</v>
      </c>
      <c r="AH28" s="603">
        <f t="shared" si="88"/>
        <v>83.171873117903644</v>
      </c>
      <c r="AI28" s="585">
        <f t="shared" si="89"/>
        <v>-65.045726517923555</v>
      </c>
      <c r="AJ28" s="586">
        <f t="shared" si="90"/>
        <v>7.5350917300275926</v>
      </c>
      <c r="AK28" s="635">
        <f t="shared" si="211"/>
        <v>0.88812403023873909</v>
      </c>
      <c r="AL28" s="629">
        <f t="shared" si="91"/>
        <v>-0.1823196794861241</v>
      </c>
      <c r="AM28" s="634">
        <f t="shared" si="92"/>
        <v>-0.42189482265675671</v>
      </c>
      <c r="AN28" s="581">
        <f t="shared" si="93"/>
        <v>-23.371338675704745</v>
      </c>
      <c r="AO28" s="582">
        <f t="shared" si="94"/>
        <v>27.3615481821728</v>
      </c>
      <c r="AP28" s="585">
        <f t="shared" si="95"/>
        <v>-11.60086652390506</v>
      </c>
      <c r="AQ28" s="586">
        <f t="shared" si="9"/>
        <v>0.60348796434121621</v>
      </c>
      <c r="AS28" s="52">
        <f t="shared" si="116"/>
        <v>-70.864041746067358</v>
      </c>
      <c r="AT28" s="72">
        <f t="shared" si="10"/>
        <v>-9.2188859898564332E-2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Nose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2.222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2.1219999999999999</v>
      </c>
      <c r="II28" s="734" cm="1">
        <f t="array" ref="II28">IFERROR(ROUND(VALUE(IF($IH28&lt;1,$IH28+LARGE((IF($M$9:$M$150="",0,$M$9:$M$150)-MOD(IF($M$9:$M$150="",0,$M$9:$M$150),1)),1),$IH28)),4),"")</f>
        <v>2.1219999999999999</v>
      </c>
      <c r="IJ28" s="533">
        <f t="shared" si="112"/>
        <v>1613</v>
      </c>
      <c r="IK28" s="533">
        <f t="shared" si="66"/>
        <v>1313</v>
      </c>
      <c r="IL28" s="727">
        <f t="shared" si="225"/>
        <v>14.146997957426208</v>
      </c>
      <c r="IM28" s="759">
        <v>2.3566627969817101E-2</v>
      </c>
      <c r="IN28" s="5">
        <f t="shared" si="226"/>
        <v>0.6</v>
      </c>
      <c r="IO28" s="771">
        <v>300</v>
      </c>
      <c r="IP28" s="9">
        <f t="shared" si="227"/>
        <v>-3.7629113489406278</v>
      </c>
      <c r="IQ28" s="5">
        <f t="shared" si="228"/>
        <v>-0.17810053715122007</v>
      </c>
      <c r="IR28" s="5">
        <f t="shared" si="71"/>
        <v>0.314</v>
      </c>
      <c r="IS28" s="5">
        <f t="shared" si="229"/>
        <v>0.29930825250379595</v>
      </c>
      <c r="IT28" s="727">
        <f t="shared" si="230"/>
        <v>28.718424444419533</v>
      </c>
      <c r="IU28" s="9">
        <f t="shared" si="231"/>
        <v>-3.7774445573062767</v>
      </c>
      <c r="IV28" s="5">
        <f t="shared" si="232"/>
        <v>-0.1414</v>
      </c>
      <c r="IW28" s="5">
        <f t="shared" si="76"/>
        <v>0.26600000000000001</v>
      </c>
      <c r="IX28" s="5">
        <f t="shared" si="233"/>
        <v>0.2362409920435046</v>
      </c>
      <c r="IY28" s="762">
        <f t="shared" si="234"/>
        <v>23.371338675704745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4.1838664075320517</v>
      </c>
      <c r="C29" s="708">
        <v>1.516682759520219</v>
      </c>
      <c r="D29" s="709">
        <v>-0.53210000000000057</v>
      </c>
      <c r="E29" s="710">
        <v>3.0223132429472891E-2</v>
      </c>
      <c r="F29" s="708">
        <v>0.93408019623320604</v>
      </c>
      <c r="G29" s="711">
        <v>0.35578188440544012</v>
      </c>
      <c r="H29" s="710">
        <v>0.26600000000000001</v>
      </c>
      <c r="I29" s="708">
        <v>0.52</v>
      </c>
      <c r="J29" s="570">
        <v>2.2290000000000001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2.2290000000000001</v>
      </c>
      <c r="N29" s="632">
        <f t="shared" si="2"/>
        <v>4.1838664075320517</v>
      </c>
      <c r="O29" s="629">
        <f t="shared" si="3"/>
        <v>1.516682759520219</v>
      </c>
      <c r="P29" s="633">
        <f t="shared" si="4"/>
        <v>-0.53210000000000057</v>
      </c>
      <c r="Q29" s="585">
        <f t="shared" si="113"/>
        <v>19.925958139870762</v>
      </c>
      <c r="R29" s="629">
        <f>IF(M29="","",SQRT(N29^2+O29^2))</f>
        <v>4.450288160231989</v>
      </c>
      <c r="S29" s="634">
        <f>IF(M29="","",P29)</f>
        <v>-0.53210000000000057</v>
      </c>
      <c r="T29" s="635">
        <f>IF(M29="","",X29*COS(RADIANS(W29)))</f>
        <v>1.516682759520221</v>
      </c>
      <c r="U29" s="629">
        <f>IF(M29="","",X29*SIN(RADIANS(W29)))</f>
        <v>-4.1838664075320509</v>
      </c>
      <c r="V29" s="636">
        <f>IF(M29="","",Y29)</f>
        <v>-0.53210000000000057</v>
      </c>
      <c r="W29" s="585">
        <f t="shared" si="224"/>
        <v>289.92595813987077</v>
      </c>
      <c r="X29" s="629">
        <f>IF(M29="","",R29)</f>
        <v>4.450288160231989</v>
      </c>
      <c r="Y29" s="630">
        <f t="shared" si="223"/>
        <v>-0.53210000000000057</v>
      </c>
      <c r="Z29" s="632">
        <f t="shared" si="6"/>
        <v>-3.0223132429472891E-2</v>
      </c>
      <c r="AA29" s="629">
        <f t="shared" si="7"/>
        <v>-0.93408019623320604</v>
      </c>
      <c r="AB29" s="629">
        <f t="shared" si="8"/>
        <v>-0.35578188440544012</v>
      </c>
      <c r="AC29" s="636">
        <f>IF(M29="","",SQRT(Z29^2+AA29^2+AB29^2))</f>
        <v>1</v>
      </c>
      <c r="AD29" s="637">
        <f>IF(M29="","",Z29*(1/SQRT(Z29^2+AA29^2+AB29^2)))</f>
        <v>-3.0223132429472891E-2</v>
      </c>
      <c r="AE29" s="629">
        <f>IF(M29="","",AA29*(1/SQRT(Z29^2+AA29^2+AB29^2)))</f>
        <v>-0.93408019623320604</v>
      </c>
      <c r="AF29" s="633">
        <f>IF(M29="","",AB29*(1/SQRT(Z29^2+AA29^2+AB29^2)))</f>
        <v>-0.35578188440544012</v>
      </c>
      <c r="AG29" s="602">
        <f>IF(M29="","",DEGREES(ATAN2(-AF29,AE29)))</f>
        <v>-69.148659023918768</v>
      </c>
      <c r="AH29" s="603">
        <f>IF(M29="","",DEGREES(ACOS(AD29)))</f>
        <v>91.731921667245302</v>
      </c>
      <c r="AI29" s="585">
        <f>IF(M29="","",DEGREES(-ACOS(-AF29)))</f>
        <v>-69.15862812666893</v>
      </c>
      <c r="AJ29" s="586">
        <f>IF(M29="","",DEGREES(ATAN2(-AE29,AD29)))</f>
        <v>-1.8532177640877407</v>
      </c>
      <c r="AK29" s="635">
        <f>IF(M29="","",(COS(RADIANS((90-$Q$8)-W29))*AD29)+(-SIN(RADIANS((90-$Q$8)-W29))*AE29))</f>
        <v>0.867860172646718</v>
      </c>
      <c r="AL29" s="629">
        <f>IF(M29="","",(SIN(RADIANS((90-$Q$8)-W29))*AD29)+(COS(RADIANS((90-$Q$8)-W29))*AE29))</f>
        <v>-0.34675347361277159</v>
      </c>
      <c r="AM29" s="634">
        <f>IF(M29="","",AF29)</f>
        <v>-0.35578188440544012</v>
      </c>
      <c r="AN29" s="581">
        <f>IF(M29="","",DEGREES(ATAN2(-AM29,AL29)))</f>
        <v>-44.263721955429268</v>
      </c>
      <c r="AO29" s="582">
        <f t="shared" si="94"/>
        <v>29.789078063138437</v>
      </c>
      <c r="AP29" s="585">
        <f>IF(M29="","",DEGREES(ATAN2(AK29,AL29)))</f>
        <v>-21.779175903958532</v>
      </c>
      <c r="AQ29" s="586">
        <f t="shared" si="9"/>
        <v>0.51225129890169563</v>
      </c>
      <c r="AS29" s="52">
        <f t="shared" si="116"/>
        <v>-70.074041860129228</v>
      </c>
      <c r="AT29" s="72">
        <f t="shared" si="10"/>
        <v>-0.48343747093046641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2.2290000000000001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2.129</v>
      </c>
      <c r="II29" s="734" cm="1">
        <f t="array" ref="II29">IFERROR(ROUND(VALUE(IF($IH29&lt;1,$IH29+LARGE((IF($M$9:$M$150="",0,$M$9:$M$150)-MOD(IF($M$9:$M$150="",0,$M$9:$M$150),1)),1),$IH29)),4),"")</f>
        <v>2.129</v>
      </c>
      <c r="IJ29" s="533">
        <f t="shared" si="112"/>
        <v>1613</v>
      </c>
      <c r="IK29" s="533">
        <f t="shared" si="66"/>
        <v>1313</v>
      </c>
      <c r="IL29" s="727">
        <f t="shared" si="225"/>
        <v>12.412998207784767</v>
      </c>
      <c r="IM29" s="759">
        <v>1.7749901395894899E-2</v>
      </c>
      <c r="IN29" s="5">
        <f t="shared" si="226"/>
        <v>0.62</v>
      </c>
      <c r="IO29" s="771">
        <v>310</v>
      </c>
      <c r="IP29" s="9">
        <f t="shared" si="227"/>
        <v>-4.4184133259345915</v>
      </c>
      <c r="IQ29" s="5">
        <f t="shared" si="228"/>
        <v>-0.56430170193393314</v>
      </c>
      <c r="IR29" s="5">
        <f t="shared" si="71"/>
        <v>0.314</v>
      </c>
      <c r="IS29" s="5">
        <f t="shared" si="229"/>
        <v>0.29459827715400044</v>
      </c>
      <c r="IT29" s="727">
        <f t="shared" si="230"/>
        <v>50.812109441302866</v>
      </c>
      <c r="IU29" s="9">
        <f t="shared" si="231"/>
        <v>-4.450288160231989</v>
      </c>
      <c r="IV29" s="5">
        <f t="shared" si="232"/>
        <v>-0.53210000000000057</v>
      </c>
      <c r="IW29" s="5">
        <f t="shared" si="76"/>
        <v>0.26600000000000001</v>
      </c>
      <c r="IX29" s="5">
        <f t="shared" si="233"/>
        <v>0.23085080592402699</v>
      </c>
      <c r="IY29" s="762">
        <f t="shared" si="234"/>
        <v>44.263721955429268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280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260</v>
      </c>
    </row>
    <row r="30" spans="1:269" ht="15" customHeight="1" x14ac:dyDescent="0.25">
      <c r="A30" s="79"/>
      <c r="B30" s="707">
        <v>4.6169226289594389</v>
      </c>
      <c r="C30" s="708">
        <v>1.6915603867273232</v>
      </c>
      <c r="D30" s="709">
        <v>-1.1557999999999995</v>
      </c>
      <c r="E30" s="710">
        <v>0.1402135941761477</v>
      </c>
      <c r="F30" s="708">
        <v>0.96292721367979528</v>
      </c>
      <c r="G30" s="711">
        <v>0.23045895331505911</v>
      </c>
      <c r="H30" s="710">
        <v>0.26600000000000001</v>
      </c>
      <c r="I30" s="708">
        <v>0.52</v>
      </c>
      <c r="J30" s="570">
        <v>2.2360000000000002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2.2360000000000002</v>
      </c>
      <c r="N30" s="632">
        <f t="shared" si="2"/>
        <v>4.6169226289594389</v>
      </c>
      <c r="O30" s="629">
        <f t="shared" si="3"/>
        <v>1.6915603867273232</v>
      </c>
      <c r="P30" s="633">
        <f t="shared" si="4"/>
        <v>-1.1557999999999995</v>
      </c>
      <c r="Q30" s="585">
        <f t="shared" si="113"/>
        <v>20.12195811157186</v>
      </c>
      <c r="R30" s="629">
        <f>IF(M30="","",SQRT(N30^2+O30^2))</f>
        <v>4.9170469901906397</v>
      </c>
      <c r="S30" s="634">
        <f>IF(M30="","",P30)</f>
        <v>-1.1557999999999995</v>
      </c>
      <c r="T30" s="635">
        <f>IF(M30="","",X30*COS(RADIANS(W30)))</f>
        <v>1.6915603867273257</v>
      </c>
      <c r="U30" s="629">
        <f>IF(M30="","",X30*SIN(RADIANS(W30)))</f>
        <v>-4.6169226289594381</v>
      </c>
      <c r="V30" s="636">
        <f>IF(M30="","",Y30)</f>
        <v>-1.1557999999999995</v>
      </c>
      <c r="W30" s="585">
        <f t="shared" si="224"/>
        <v>290.12195811157187</v>
      </c>
      <c r="X30" s="629">
        <f>IF(M30="","",R30)</f>
        <v>4.9170469901906397</v>
      </c>
      <c r="Y30" s="630">
        <f t="shared" si="223"/>
        <v>-1.1557999999999995</v>
      </c>
      <c r="Z30" s="632">
        <f t="shared" si="6"/>
        <v>-0.1402135941761477</v>
      </c>
      <c r="AA30" s="629">
        <f t="shared" si="7"/>
        <v>-0.96292721367979528</v>
      </c>
      <c r="AB30" s="629">
        <f t="shared" si="8"/>
        <v>-0.23045895331505911</v>
      </c>
      <c r="AC30" s="636">
        <f>IF(M30="","",SQRT(Z30^2+AA30^2+AB30^2))</f>
        <v>1</v>
      </c>
      <c r="AD30" s="637">
        <f>IF(M30="","",Z30*(1/SQRT(Z30^2+AA30^2+AB30^2)))</f>
        <v>-0.1402135941761477</v>
      </c>
      <c r="AE30" s="629">
        <f>IF(M30="","",AA30*(1/SQRT(Z30^2+AA30^2+AB30^2)))</f>
        <v>-0.96292721367979528</v>
      </c>
      <c r="AF30" s="633">
        <f>IF(M30="","",AB30*(1/SQRT(Z30^2+AA30^2+AB30^2)))</f>
        <v>-0.23045895331505911</v>
      </c>
      <c r="AG30" s="602">
        <f>IF(M30="","",DEGREES(ATAN2(-AF30,AE30)))</f>
        <v>-76.540480570520089</v>
      </c>
      <c r="AH30" s="603">
        <f>IF(M30="","",DEGREES(ACOS(AD30)))</f>
        <v>98.060206205878259</v>
      </c>
      <c r="AI30" s="585">
        <f>IF(M30="","",DEGREES(-ACOS(-AF30)))</f>
        <v>-76.675906255532894</v>
      </c>
      <c r="AJ30" s="586">
        <f>IF(M30="","",DEGREES(ATAN2(-AE30,AD30)))</f>
        <v>-8.2847176839410555</v>
      </c>
      <c r="AK30" s="635">
        <f>IF(M30="","",(COS(RADIANS((90-$Q$8)-W30))*AD30)+(-SIN(RADIANS((90-$Q$8)-W30))*AE30))</f>
        <v>0.85591630295298504</v>
      </c>
      <c r="AL30" s="629">
        <f>IF(M30="","",(SIN(RADIANS((90-$Q$8)-W30))*AD30)+(COS(RADIANS((90-$Q$8)-W30))*AE30))</f>
        <v>-0.46292110901990813</v>
      </c>
      <c r="AM30" s="634">
        <f>IF(M30="","",AF30)</f>
        <v>-0.23045895331505911</v>
      </c>
      <c r="AN30" s="581">
        <f>IF(M30="","",DEGREES(ATAN2(-AM30,AL30)))</f>
        <v>-63.534209232289989</v>
      </c>
      <c r="AO30" s="582">
        <f>IF(ROUND(IF(M30="",0,DEGREES(ACOS(AK30))),4)=90,0,IF(M30="","",DEGREES(ACOS(AK30))))</f>
        <v>31.138888118211117</v>
      </c>
      <c r="AP30" s="585">
        <f>IF(M30="","",DEGREES(ATAN2(AK30,AL30)))</f>
        <v>-28.406675795512943</v>
      </c>
      <c r="AQ30" s="586">
        <f t="shared" si="9"/>
        <v>0.46362722977645943</v>
      </c>
      <c r="AS30" s="52">
        <f t="shared" si="116"/>
        <v>-69.878041888428129</v>
      </c>
      <c r="AT30" s="72">
        <f t="shared" si="10"/>
        <v>-1.1072735820219244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2.2360000000000002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2.1360000000000001</v>
      </c>
      <c r="II30" s="734" cm="1">
        <f t="array" ref="II30">IFERROR(ROUND(VALUE(IF($IH30&lt;1,$IH30+LARGE((IF($M$9:$M$150="",0,$M$9:$M$150)-MOD(IF($M$9:$M$150="",0,$M$9:$M$150),1)),1),$IH30)),4),"")</f>
        <v>2.1360000000000001</v>
      </c>
      <c r="IJ30" s="533">
        <f t="shared" si="112"/>
        <v>1613</v>
      </c>
      <c r="IK30" s="533">
        <f t="shared" si="66"/>
        <v>1313</v>
      </c>
      <c r="IL30" s="727">
        <f t="shared" si="225"/>
        <v>11.431998349423679</v>
      </c>
      <c r="IM30" s="759">
        <v>1.11815306475365E-2</v>
      </c>
      <c r="IN30" s="5">
        <f t="shared" si="226"/>
        <v>0.66</v>
      </c>
      <c r="IO30" s="771">
        <v>330</v>
      </c>
      <c r="IP30" s="9">
        <f t="shared" si="227"/>
        <v>-4.8746147018379409</v>
      </c>
      <c r="IQ30" s="5">
        <f t="shared" si="228"/>
        <v>-1.1731035380802715</v>
      </c>
      <c r="IR30" s="5">
        <f t="shared" si="71"/>
        <v>0.314</v>
      </c>
      <c r="IS30" s="5">
        <f t="shared" si="229"/>
        <v>0.28566457642793258</v>
      </c>
      <c r="IT30" s="727">
        <f t="shared" si="230"/>
        <v>67.929680005475021</v>
      </c>
      <c r="IU30" s="9">
        <f t="shared" si="231"/>
        <v>-4.9170469901906397</v>
      </c>
      <c r="IV30" s="5">
        <f t="shared" si="232"/>
        <v>-1.1557999999999995</v>
      </c>
      <c r="IW30" s="5">
        <f t="shared" si="76"/>
        <v>0.26600000000000001</v>
      </c>
      <c r="IX30" s="5">
        <f t="shared" si="233"/>
        <v>0.22767373658549403</v>
      </c>
      <c r="IY30" s="762">
        <f t="shared" si="234"/>
        <v>63.534209232289989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11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110</v>
      </c>
    </row>
    <row r="31" spans="1:269" ht="15" customHeight="1" x14ac:dyDescent="0.25">
      <c r="A31" s="79"/>
      <c r="B31" s="707">
        <v>4.763252337563519</v>
      </c>
      <c r="C31" s="708">
        <v>1.7468705432226255</v>
      </c>
      <c r="D31" s="709">
        <v>-1.9198377755807872</v>
      </c>
      <c r="E31" s="710">
        <v>0.83726784906397267</v>
      </c>
      <c r="F31" s="708">
        <v>0.30705904060988243</v>
      </c>
      <c r="G31" s="711">
        <v>0.45243485111508308</v>
      </c>
      <c r="H31" s="710">
        <v>0.25700000000000001</v>
      </c>
      <c r="I31" s="708">
        <v>0.41499999999999992</v>
      </c>
      <c r="J31" s="570">
        <v>2.2429999999999999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CPS-32193r1</v>
      </c>
      <c r="L31" s="320"/>
      <c r="M31" s="168">
        <f t="shared" si="1"/>
        <v>2.2429999999999999</v>
      </c>
      <c r="N31" s="632">
        <f t="shared" si="2"/>
        <v>4.763252337563519</v>
      </c>
      <c r="O31" s="629">
        <f t="shared" si="3"/>
        <v>1.7468705432226255</v>
      </c>
      <c r="P31" s="633">
        <f t="shared" si="4"/>
        <v>-1.9198377755807872</v>
      </c>
      <c r="Q31" s="585">
        <f t="shared" si="113"/>
        <v>20.139958108972994</v>
      </c>
      <c r="R31" s="629">
        <f>IF(M31="","",SQRT(N31^2+O31^2))</f>
        <v>5.0734731226333736</v>
      </c>
      <c r="S31" s="634">
        <f>IF(M31="","",P31)</f>
        <v>-1.9198377755807872</v>
      </c>
      <c r="T31" s="635">
        <f>IF(M31="","",X31*COS(RADIANS(W31)))</f>
        <v>1.7468705432226279</v>
      </c>
      <c r="U31" s="629">
        <f>IF(M31="","",X31*SIN(RADIANS(W31)))</f>
        <v>-4.7632523375635181</v>
      </c>
      <c r="V31" s="636">
        <f>IF(M31="","",Y31)</f>
        <v>-1.9198377755807872</v>
      </c>
      <c r="W31" s="585">
        <f t="shared" si="224"/>
        <v>290.13995810897302</v>
      </c>
      <c r="X31" s="629">
        <f>IF(M31="","",R31)</f>
        <v>5.0734731226333736</v>
      </c>
      <c r="Y31" s="630">
        <f t="shared" si="223"/>
        <v>-1.9198377755807872</v>
      </c>
      <c r="Z31" s="632">
        <f t="shared" si="6"/>
        <v>-0.83726784906397267</v>
      </c>
      <c r="AA31" s="629">
        <f t="shared" si="7"/>
        <v>-0.30705904060988243</v>
      </c>
      <c r="AB31" s="629">
        <f t="shared" si="8"/>
        <v>-0.45243485111508308</v>
      </c>
      <c r="AC31" s="636">
        <f>IF(M31="","",SQRT(Z31^2+AA31^2+AB31^2))</f>
        <v>1</v>
      </c>
      <c r="AD31" s="637">
        <f>IF(M31="","",Z31*(1/SQRT(Z31^2+AA31^2+AB31^2)))</f>
        <v>-0.83726784906397267</v>
      </c>
      <c r="AE31" s="629">
        <f>IF(M31="","",AA31*(1/SQRT(Z31^2+AA31^2+AB31^2)))</f>
        <v>-0.30705904060988243</v>
      </c>
      <c r="AF31" s="633">
        <f>IF(M31="","",AB31*(1/SQRT(Z31^2+AA31^2+AB31^2)))</f>
        <v>-0.45243485111508308</v>
      </c>
      <c r="AG31" s="602">
        <f>IF(M31="","",DEGREES(ATAN2(-AF31,AE31)))</f>
        <v>-34.164001928271951</v>
      </c>
      <c r="AH31" s="603">
        <f>IF(M31="","",DEGREES(ACOS(AD31)))</f>
        <v>146.85272590992298</v>
      </c>
      <c r="AI31" s="585">
        <f>IF(M31="","",DEGREES(-ACOS(-AF31)))</f>
        <v>-63.09999088948927</v>
      </c>
      <c r="AJ31" s="586">
        <f>IF(M31="","",DEGREES(ATAN2(-AE31,AD31)))</f>
        <v>-69.860027320016201</v>
      </c>
      <c r="AK31" s="635">
        <f>IF(M31="","",(COS(RADIANS((90-$Q$8)-W31))*AD31)+(-SIN(RADIANS((90-$Q$8)-W31))*AE31))</f>
        <v>2.2679489625199167E-7</v>
      </c>
      <c r="AL31" s="629">
        <f>IF(M31="","",(SIN(RADIANS((90-$Q$8)-W31))*AD31)+(COS(RADIANS((90-$Q$8)-W31))*AE31))</f>
        <v>-0.89179745766425089</v>
      </c>
      <c r="AM31" s="634">
        <f>IF(M31="","",AF31)</f>
        <v>-0.45243485111508308</v>
      </c>
      <c r="AN31" s="581">
        <f>IF(M31="","",DEGREES(ATAN2(-AM31,AL31)))</f>
        <v>-63.099990889488531</v>
      </c>
      <c r="AO31" s="582">
        <f t="shared" si="94"/>
        <v>0</v>
      </c>
      <c r="AP31" s="585">
        <f>IF(M31="","",DEGREES(ATAN2(AK31,AL31)))</f>
        <v>-89.99998542898922</v>
      </c>
      <c r="AQ31" s="586">
        <f t="shared" si="9"/>
        <v>0.44933319650507636</v>
      </c>
      <c r="AS31" s="52">
        <f t="shared" si="116"/>
        <v>-69.860041891026981</v>
      </c>
      <c r="AT31" s="72">
        <f t="shared" si="10"/>
        <v>-1.8713238576009072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>Gage</v>
      </c>
      <c r="IG31" s="847">
        <f t="shared" si="210"/>
        <v>2.2429999999999999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2.1429999999999998</v>
      </c>
      <c r="II31" s="734" cm="1">
        <f t="array" ref="II31">IFERROR(ROUND(VALUE(IF($IH31&lt;1,$IH31+LARGE((IF($M$9:$M$150="",0,$M$9:$M$150)-MOD(IF($M$9:$M$150="",0,$M$9:$M$150),1)),1),$IH31)),4),"")</f>
        <v>2.1429999999999998</v>
      </c>
      <c r="IJ31" s="533">
        <f t="shared" si="112"/>
        <v>1613</v>
      </c>
      <c r="IK31" s="533" t="str">
        <f t="shared" si="66"/>
        <v>CPS-32193r1</v>
      </c>
      <c r="IL31" s="727">
        <f t="shared" si="225"/>
        <v>11.068998401834335</v>
      </c>
      <c r="IM31" s="759">
        <v>1.2911734296709799E-4</v>
      </c>
      <c r="IN31" s="5">
        <f t="shared" si="226"/>
        <v>0</v>
      </c>
      <c r="IO31" s="771">
        <v>0</v>
      </c>
      <c r="IP31" s="9">
        <f t="shared" si="227"/>
        <v>-5.0613152649268409</v>
      </c>
      <c r="IQ31" s="5">
        <f t="shared" si="228"/>
        <v>-1.9106057623869794</v>
      </c>
      <c r="IR31" s="5">
        <f t="shared" si="71"/>
        <v>0.314</v>
      </c>
      <c r="IS31" s="5">
        <f t="shared" si="229"/>
        <v>0.26827122307746143</v>
      </c>
      <c r="IT31" s="727">
        <f t="shared" si="230"/>
        <v>81.441806601678053</v>
      </c>
      <c r="IU31" s="9">
        <f t="shared" si="231"/>
        <v>-5.0734731226333736</v>
      </c>
      <c r="IV31" s="5">
        <f t="shared" si="232"/>
        <v>-1.9198377755807872</v>
      </c>
      <c r="IW31" s="5">
        <f t="shared" si="76"/>
        <v>0.25700000000000001</v>
      </c>
      <c r="IX31" s="5">
        <f t="shared" si="233"/>
        <v>0.25700000000000001</v>
      </c>
      <c r="IY31" s="762">
        <f t="shared" si="234"/>
        <v>63.099990889488531</v>
      </c>
    </row>
    <row r="32" spans="1:269" ht="15" customHeight="1" x14ac:dyDescent="0.25">
      <c r="A32" s="79"/>
      <c r="B32" s="707">
        <v>4.7669722231564391</v>
      </c>
      <c r="C32" s="708">
        <v>1.7482347704576988</v>
      </c>
      <c r="D32" s="709">
        <v>-2.6910134556632568</v>
      </c>
      <c r="E32" s="710">
        <v>0.9379606868449536</v>
      </c>
      <c r="F32" s="708">
        <v>0.34398703429309446</v>
      </c>
      <c r="G32" s="711">
        <v>4.3619607650509748E-2</v>
      </c>
      <c r="H32" s="710">
        <v>0.25700000000000001</v>
      </c>
      <c r="I32" s="708">
        <v>0.41499999999999992</v>
      </c>
      <c r="J32" s="570">
        <v>2.25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CPS-32193r1</v>
      </c>
      <c r="L32" s="320"/>
      <c r="M32" s="168">
        <f t="shared" si="1"/>
        <v>2.25</v>
      </c>
      <c r="N32" s="632">
        <f t="shared" si="2"/>
        <v>4.7669722231564391</v>
      </c>
      <c r="O32" s="629">
        <f t="shared" si="3"/>
        <v>1.7482347704576988</v>
      </c>
      <c r="P32" s="633">
        <f t="shared" si="4"/>
        <v>-2.6910134556632568</v>
      </c>
      <c r="Q32" s="585">
        <f t="shared" si="113"/>
        <v>20.139958108972994</v>
      </c>
      <c r="R32" s="629">
        <f t="shared" si="79"/>
        <v>5.0774352766906174</v>
      </c>
      <c r="S32" s="634">
        <f t="shared" si="80"/>
        <v>-2.6910134556632568</v>
      </c>
      <c r="T32" s="635">
        <f t="shared" si="81"/>
        <v>1.7482347704577013</v>
      </c>
      <c r="U32" s="629">
        <f t="shared" si="82"/>
        <v>-4.7669722231564382</v>
      </c>
      <c r="V32" s="636">
        <f t="shared" si="114"/>
        <v>-2.6910134556632568</v>
      </c>
      <c r="W32" s="585">
        <f t="shared" si="224"/>
        <v>290.13995810897302</v>
      </c>
      <c r="X32" s="629">
        <f t="shared" si="83"/>
        <v>5.0774352766906174</v>
      </c>
      <c r="Y32" s="630">
        <f t="shared" si="223"/>
        <v>-2.6910134556632568</v>
      </c>
      <c r="Z32" s="632">
        <f t="shared" si="6"/>
        <v>-0.9379606868449536</v>
      </c>
      <c r="AA32" s="629">
        <f t="shared" si="7"/>
        <v>-0.34398703429309446</v>
      </c>
      <c r="AB32" s="629">
        <f t="shared" si="8"/>
        <v>-4.3619607650509748E-2</v>
      </c>
      <c r="AC32" s="636">
        <f t="shared" si="84"/>
        <v>1</v>
      </c>
      <c r="AD32" s="637">
        <f t="shared" si="115"/>
        <v>-0.9379606868449536</v>
      </c>
      <c r="AE32" s="629">
        <f t="shared" si="85"/>
        <v>-0.34398703429309446</v>
      </c>
      <c r="AF32" s="633">
        <f t="shared" si="86"/>
        <v>-4.3619607650509748E-2</v>
      </c>
      <c r="AG32" s="602">
        <f t="shared" si="87"/>
        <v>-82.773124166500665</v>
      </c>
      <c r="AH32" s="603">
        <f t="shared" si="88"/>
        <v>159.7118530627657</v>
      </c>
      <c r="AI32" s="585">
        <f t="shared" si="89"/>
        <v>-87.499987366564966</v>
      </c>
      <c r="AJ32" s="586">
        <f t="shared" si="90"/>
        <v>-69.86002888425692</v>
      </c>
      <c r="AK32" s="635">
        <f t="shared" si="211"/>
        <v>2.2679489630750282E-7</v>
      </c>
      <c r="AL32" s="629">
        <f t="shared" si="91"/>
        <v>-0.99904821196394944</v>
      </c>
      <c r="AM32" s="634">
        <f t="shared" si="92"/>
        <v>-4.3619607650509748E-2</v>
      </c>
      <c r="AN32" s="581">
        <f t="shared" si="93"/>
        <v>-87.499987366564909</v>
      </c>
      <c r="AO32" s="582">
        <f t="shared" si="94"/>
        <v>0</v>
      </c>
      <c r="AP32" s="585">
        <f t="shared" si="95"/>
        <v>-89.999986993229953</v>
      </c>
      <c r="AQ32" s="586">
        <f t="shared" si="9"/>
        <v>0.44898257570132982</v>
      </c>
      <c r="AS32" s="52">
        <f t="shared" si="116"/>
        <v>-69.860041891026981</v>
      </c>
      <c r="AT32" s="72">
        <f t="shared" si="10"/>
        <v>-2.6424995376833769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2.25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 t="str">
        <f t="shared" si="112"/>
        <v>CPS-32193r1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0.7022036578498454</v>
      </c>
      <c r="C33" s="708">
        <v>-0.20135414516350927</v>
      </c>
      <c r="D33" s="709">
        <v>-0.64410194261145892</v>
      </c>
      <c r="E33" s="710">
        <v>0.21895049083273904</v>
      </c>
      <c r="F33" s="708">
        <v>0.93721700047585221</v>
      </c>
      <c r="G33" s="711">
        <v>0.27144976806611826</v>
      </c>
      <c r="H33" s="710">
        <v>0.314</v>
      </c>
      <c r="I33" s="708">
        <v>0.52</v>
      </c>
      <c r="J33" s="570">
        <v>3.1030000000000002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3.1030000000000002</v>
      </c>
      <c r="N33" s="632">
        <f t="shared" si="2"/>
        <v>0.7022036578498454</v>
      </c>
      <c r="O33" s="629">
        <f t="shared" si="3"/>
        <v>-0.20135414516350927</v>
      </c>
      <c r="P33" s="633">
        <f t="shared" si="4"/>
        <v>-0.64410194261145892</v>
      </c>
      <c r="Q33" s="585">
        <f t="shared" si="113"/>
        <v>343.99996332694263</v>
      </c>
      <c r="R33" s="629">
        <f t="shared" si="79"/>
        <v>0.73050220319464487</v>
      </c>
      <c r="S33" s="634">
        <f t="shared" si="80"/>
        <v>-0.64410194261145892</v>
      </c>
      <c r="T33" s="635">
        <f t="shared" si="81"/>
        <v>-0.20135414516350925</v>
      </c>
      <c r="U33" s="629">
        <f t="shared" si="82"/>
        <v>-0.7022036578498454</v>
      </c>
      <c r="V33" s="636">
        <f t="shared" si="114"/>
        <v>-0.64410194261145892</v>
      </c>
      <c r="W33" s="585">
        <f t="shared" si="224"/>
        <v>253.99996332694263</v>
      </c>
      <c r="X33" s="629">
        <f t="shared" si="83"/>
        <v>0.73050220319464487</v>
      </c>
      <c r="Y33" s="630">
        <f t="shared" si="223"/>
        <v>-0.64410194261145892</v>
      </c>
      <c r="Z33" s="632">
        <f t="shared" si="6"/>
        <v>-0.21895049083273904</v>
      </c>
      <c r="AA33" s="629">
        <f t="shared" si="7"/>
        <v>-0.93721700047585221</v>
      </c>
      <c r="AB33" s="629">
        <f t="shared" si="8"/>
        <v>-0.27144976806611826</v>
      </c>
      <c r="AC33" s="636">
        <f t="shared" si="84"/>
        <v>1</v>
      </c>
      <c r="AD33" s="637">
        <f t="shared" si="115"/>
        <v>-0.21895049083273904</v>
      </c>
      <c r="AE33" s="629">
        <f t="shared" si="85"/>
        <v>-0.93721700047585221</v>
      </c>
      <c r="AF33" s="633">
        <f t="shared" si="86"/>
        <v>-0.27144976806611826</v>
      </c>
      <c r="AG33" s="602">
        <f t="shared" si="87"/>
        <v>-73.847194280018002</v>
      </c>
      <c r="AH33" s="603">
        <f t="shared" si="88"/>
        <v>102.64739775916171</v>
      </c>
      <c r="AI33" s="585">
        <f t="shared" si="89"/>
        <v>-74.249445278802412</v>
      </c>
      <c r="AJ33" s="586">
        <f t="shared" si="90"/>
        <v>-13.149473706717975</v>
      </c>
      <c r="AK33" s="635">
        <f t="shared" si="211"/>
        <v>0.96126170705176628</v>
      </c>
      <c r="AL33" s="629">
        <f t="shared" si="91"/>
        <v>4.7863910964055789E-2</v>
      </c>
      <c r="AM33" s="634">
        <f t="shared" si="92"/>
        <v>-0.27144976806611826</v>
      </c>
      <c r="AN33" s="581">
        <f t="shared" si="93"/>
        <v>9.9999985561788289</v>
      </c>
      <c r="AO33" s="582">
        <f t="shared" si="94"/>
        <v>15.999997689886136</v>
      </c>
      <c r="AP33" s="585">
        <f t="shared" si="95"/>
        <v>2.8505629663393739</v>
      </c>
      <c r="AQ33" s="586">
        <f t="shared" si="9"/>
        <v>3.1176855951898288</v>
      </c>
      <c r="AS33" s="52">
        <f t="shared" si="116"/>
        <v>-106.00003667305737</v>
      </c>
      <c r="AT33" s="72">
        <f t="shared" si="10"/>
        <v>-0.57049080603294688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3.1030000000000002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1.3770112797671508</v>
      </c>
      <c r="C34" s="708">
        <v>-0.39485258445821636</v>
      </c>
      <c r="D34" s="709">
        <v>-0.45610137560174885</v>
      </c>
      <c r="E34" s="710">
        <v>0.2189504908327391</v>
      </c>
      <c r="F34" s="708">
        <v>0.9372170004758521</v>
      </c>
      <c r="G34" s="711">
        <v>0.27144976806611826</v>
      </c>
      <c r="H34" s="710">
        <v>0.314</v>
      </c>
      <c r="I34" s="708">
        <v>0.52</v>
      </c>
      <c r="J34" s="570">
        <v>3.1059999999999999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3.1059999999999999</v>
      </c>
      <c r="N34" s="632">
        <f t="shared" si="2"/>
        <v>1.3770112797671508</v>
      </c>
      <c r="O34" s="629">
        <f t="shared" si="3"/>
        <v>-0.39485258445821636</v>
      </c>
      <c r="P34" s="633">
        <f t="shared" si="4"/>
        <v>-0.45610137560174885</v>
      </c>
      <c r="Q34" s="585">
        <f t="shared" si="113"/>
        <v>343.99996332694263</v>
      </c>
      <c r="R34" s="629">
        <f>IF(M34="","",SQRT(N34^2+O34^2))</f>
        <v>1.4325043204330308</v>
      </c>
      <c r="S34" s="634">
        <f>IF(M34="","",P34)</f>
        <v>-0.45610137560174885</v>
      </c>
      <c r="T34" s="635">
        <f>IF(M34="","",X34*COS(RADIANS(W34)))</f>
        <v>-0.39485258445821636</v>
      </c>
      <c r="U34" s="629">
        <f>IF(M34="","",X34*SIN(RADIANS(W34)))</f>
        <v>-1.3770112797671508</v>
      </c>
      <c r="V34" s="636">
        <f>IF(M34="","",Y34)</f>
        <v>-0.45610137560174885</v>
      </c>
      <c r="W34" s="585">
        <f t="shared" si="224"/>
        <v>253.99996332694263</v>
      </c>
      <c r="X34" s="629">
        <f>IF(M34="","",R34)</f>
        <v>1.4325043204330308</v>
      </c>
      <c r="Y34" s="630">
        <f t="shared" si="223"/>
        <v>-0.45610137560174885</v>
      </c>
      <c r="Z34" s="632">
        <f t="shared" si="6"/>
        <v>-0.2189504908327391</v>
      </c>
      <c r="AA34" s="629">
        <f t="shared" si="7"/>
        <v>-0.9372170004758521</v>
      </c>
      <c r="AB34" s="629">
        <f t="shared" si="8"/>
        <v>-0.27144976806611826</v>
      </c>
      <c r="AC34" s="636">
        <f>IF(M34="","",SQRT(Z34^2+AA34^2+AB34^2))</f>
        <v>1</v>
      </c>
      <c r="AD34" s="637">
        <f>IF(M34="","",Z34*(1/SQRT(Z34^2+AA34^2+AB34^2)))</f>
        <v>-0.2189504908327391</v>
      </c>
      <c r="AE34" s="629">
        <f>IF(M34="","",AA34*(1/SQRT(Z34^2+AA34^2+AB34^2)))</f>
        <v>-0.9372170004758521</v>
      </c>
      <c r="AF34" s="633">
        <f>IF(M34="","",AB34*(1/SQRT(Z34^2+AA34^2+AB34^2)))</f>
        <v>-0.27144976806611826</v>
      </c>
      <c r="AG34" s="602">
        <f>IF(M34="","",DEGREES(ATAN2(-AF34,AE34)))</f>
        <v>-73.847194280018002</v>
      </c>
      <c r="AH34" s="603">
        <f>IF(M34="","",DEGREES(ACOS(AD34)))</f>
        <v>102.64739775916171</v>
      </c>
      <c r="AI34" s="585">
        <f>IF(M34="","",DEGREES(-ACOS(-AF34)))</f>
        <v>-74.249445278802412</v>
      </c>
      <c r="AJ34" s="586">
        <f>IF(M34="","",DEGREES(ATAN2(-AE34,AD34)))</f>
        <v>-13.149473706717982</v>
      </c>
      <c r="AK34" s="635">
        <f>IF(M34="","",(COS(RADIANS((90-$Q$8)-W34))*AD34)+(-SIN(RADIANS((90-$Q$8)-W34))*AE34))</f>
        <v>0.96126170705176617</v>
      </c>
      <c r="AL34" s="629">
        <f>IF(M34="","",(SIN(RADIANS((90-$Q$8)-W34))*AD34)+(COS(RADIANS((90-$Q$8)-W34))*AE34))</f>
        <v>4.7863910964055678E-2</v>
      </c>
      <c r="AM34" s="634">
        <f>IF(M34="","",AF34)</f>
        <v>-0.27144976806611826</v>
      </c>
      <c r="AN34" s="581">
        <f>IF(M34="","",DEGREES(ATAN2(-AM34,AL34)))</f>
        <v>9.9999985561788076</v>
      </c>
      <c r="AO34" s="582">
        <f t="shared" si="94"/>
        <v>15.99999768988615</v>
      </c>
      <c r="AP34" s="585">
        <f>IF(M34="","",DEGREES(ATAN2(AK34,AL34)))</f>
        <v>2.8505629663393677</v>
      </c>
      <c r="AQ34" s="586">
        <f t="shared" si="9"/>
        <v>1.5910183383991929</v>
      </c>
      <c r="AS34" s="52">
        <f t="shared" si="116"/>
        <v>-106.00003667305737</v>
      </c>
      <c r="AT34" s="72">
        <f t="shared" si="10"/>
        <v>-0.38249023902323676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3.1059999999999999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2.0514343959169818</v>
      </c>
      <c r="C35" s="708">
        <v>-0.5882407682319577</v>
      </c>
      <c r="D35" s="709">
        <v>-0.26800080829043782</v>
      </c>
      <c r="E35" s="710">
        <v>0.21895049083273888</v>
      </c>
      <c r="F35" s="708">
        <v>0.9372170004758521</v>
      </c>
      <c r="G35" s="711">
        <v>0.27144976806611826</v>
      </c>
      <c r="H35" s="710">
        <v>0.314</v>
      </c>
      <c r="I35" s="708">
        <v>0.52</v>
      </c>
      <c r="J35" s="570">
        <v>3.109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3.109</v>
      </c>
      <c r="N35" s="632">
        <f t="shared" si="2"/>
        <v>2.0514343959169818</v>
      </c>
      <c r="O35" s="629">
        <f t="shared" si="3"/>
        <v>-0.5882407682319577</v>
      </c>
      <c r="P35" s="633">
        <f t="shared" si="4"/>
        <v>-0.26800080829043782</v>
      </c>
      <c r="Q35" s="585">
        <f t="shared" si="113"/>
        <v>343.99996332694263</v>
      </c>
      <c r="R35" s="629">
        <f>IF(M35="","",SQRT(N35^2+O35^2))</f>
        <v>2.1341064364650126</v>
      </c>
      <c r="S35" s="634">
        <f>IF(M35="","",P35)</f>
        <v>-0.26800080829043782</v>
      </c>
      <c r="T35" s="635">
        <f>IF(M35="","",X35*COS(RADIANS(W35)))</f>
        <v>-0.5882407682319577</v>
      </c>
      <c r="U35" s="629">
        <f>IF(M35="","",X35*SIN(RADIANS(W35)))</f>
        <v>-2.0514343959169818</v>
      </c>
      <c r="V35" s="636">
        <f>IF(M35="","",Y35)</f>
        <v>-0.26800080829043782</v>
      </c>
      <c r="W35" s="585">
        <f t="shared" si="224"/>
        <v>253.99996332694263</v>
      </c>
      <c r="X35" s="629">
        <f>IF(M35="","",R35)</f>
        <v>2.1341064364650126</v>
      </c>
      <c r="Y35" s="630">
        <f t="shared" si="223"/>
        <v>-0.26800080829043782</v>
      </c>
      <c r="Z35" s="632">
        <f t="shared" si="6"/>
        <v>-0.21895049083273888</v>
      </c>
      <c r="AA35" s="629">
        <f t="shared" si="7"/>
        <v>-0.9372170004758521</v>
      </c>
      <c r="AB35" s="629">
        <f t="shared" si="8"/>
        <v>-0.27144976806611826</v>
      </c>
      <c r="AC35" s="636">
        <f>IF(M35="","",SQRT(Z35^2+AA35^2+AB35^2))</f>
        <v>1</v>
      </c>
      <c r="AD35" s="637">
        <f>IF(M35="","",Z35*(1/SQRT(Z35^2+AA35^2+AB35^2)))</f>
        <v>-0.21895049083273888</v>
      </c>
      <c r="AE35" s="629">
        <f>IF(M35="","",AA35*(1/SQRT(Z35^2+AA35^2+AB35^2)))</f>
        <v>-0.9372170004758521</v>
      </c>
      <c r="AF35" s="633">
        <f>IF(M35="","",AB35*(1/SQRT(Z35^2+AA35^2+AB35^2)))</f>
        <v>-0.27144976806611826</v>
      </c>
      <c r="AG35" s="602">
        <f>IF(M35="","",DEGREES(ATAN2(-AF35,AE35)))</f>
        <v>-73.847194280018002</v>
      </c>
      <c r="AH35" s="603">
        <f>IF(M35="","",DEGREES(ACOS(AD35)))</f>
        <v>102.64739775916169</v>
      </c>
      <c r="AI35" s="585">
        <f>IF(M35="","",DEGREES(-ACOS(-AF35)))</f>
        <v>-74.249445278802412</v>
      </c>
      <c r="AJ35" s="586">
        <f>IF(M35="","",DEGREES(ATAN2(-AE35,AD35)))</f>
        <v>-13.149473706717968</v>
      </c>
      <c r="AK35" s="635">
        <f>IF(M35="","",(COS(RADIANS((90-$Q$8)-W35))*AD35)+(-SIN(RADIANS((90-$Q$8)-W35))*AE35))</f>
        <v>0.96126170705176617</v>
      </c>
      <c r="AL35" s="629">
        <f>IF(M35="","",(SIN(RADIANS((90-$Q$8)-W35))*AD35)+(COS(RADIANS((90-$Q$8)-W35))*AE35))</f>
        <v>4.78639109640559E-2</v>
      </c>
      <c r="AM35" s="634">
        <f>IF(M35="","",AF35)</f>
        <v>-0.27144976806611826</v>
      </c>
      <c r="AN35" s="581">
        <f>IF(M35="","",DEGREES(ATAN2(-AM35,AL35)))</f>
        <v>9.9999985561788538</v>
      </c>
      <c r="AO35" s="582">
        <f t="shared" si="94"/>
        <v>15.99999768988615</v>
      </c>
      <c r="AP35" s="585">
        <f>IF(M35="","",DEGREES(ATAN2(AK35,AL35)))</f>
        <v>2.850562966339381</v>
      </c>
      <c r="AQ35" s="586">
        <f t="shared" si="9"/>
        <v>1.0681109895321386</v>
      </c>
      <c r="AS35" s="52">
        <f t="shared" si="116"/>
        <v>-106.00003667305737</v>
      </c>
      <c r="AT35" s="72">
        <f t="shared" si="10"/>
        <v>-0.19438967171192575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3.109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2.7658306236539754</v>
      </c>
      <c r="C36" s="708">
        <v>-0.79387477380347182</v>
      </c>
      <c r="D36" s="709">
        <v>-8.6600261186387736E-2</v>
      </c>
      <c r="E36" s="710">
        <v>0.25073051945668745</v>
      </c>
      <c r="F36" s="708">
        <v>0.92804291967208563</v>
      </c>
      <c r="G36" s="711">
        <v>0.27544608521358682</v>
      </c>
      <c r="H36" s="710">
        <v>0.314</v>
      </c>
      <c r="I36" s="708">
        <v>0.52</v>
      </c>
      <c r="J36" s="570">
        <v>3.1139999999999999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3.1139999999999999</v>
      </c>
      <c r="N36" s="632">
        <f t="shared" si="2"/>
        <v>2.7658306236539754</v>
      </c>
      <c r="O36" s="629">
        <f t="shared" si="3"/>
        <v>-0.79387477380347182</v>
      </c>
      <c r="P36" s="633">
        <f t="shared" si="4"/>
        <v>-8.6600261186387736E-2</v>
      </c>
      <c r="Q36" s="585">
        <f t="shared" si="113"/>
        <v>343.98496332910838</v>
      </c>
      <c r="R36" s="629">
        <f>IF(M36="","",SQRT(N36^2+O36^2))</f>
        <v>2.8775086785661745</v>
      </c>
      <c r="S36" s="634">
        <f>IF(M36="","",P36)</f>
        <v>-8.6600261186387736E-2</v>
      </c>
      <c r="T36" s="635">
        <f>IF(M36="","",X36*COS(RADIANS(W36)))</f>
        <v>-0.79387477380347315</v>
      </c>
      <c r="U36" s="629">
        <f>IF(M36="","",X36*SIN(RADIANS(W36)))</f>
        <v>-2.7658306236539749</v>
      </c>
      <c r="V36" s="636">
        <f>IF(M36="","",Y36)</f>
        <v>-8.6600261186387736E-2</v>
      </c>
      <c r="W36" s="585">
        <f t="shared" si="224"/>
        <v>253.98496332910838</v>
      </c>
      <c r="X36" s="629">
        <f>IF(M36="","",R36)</f>
        <v>2.8775086785661745</v>
      </c>
      <c r="Y36" s="630">
        <f t="shared" si="223"/>
        <v>-8.6600261186387736E-2</v>
      </c>
      <c r="Z36" s="632">
        <f t="shared" si="6"/>
        <v>-0.25073051945668745</v>
      </c>
      <c r="AA36" s="629">
        <f t="shared" si="7"/>
        <v>-0.92804291967208563</v>
      </c>
      <c r="AB36" s="629">
        <f t="shared" si="8"/>
        <v>-0.27544608521358682</v>
      </c>
      <c r="AC36" s="636">
        <f>IF(M36="","",SQRT(Z36^2+AA36^2+AB36^2))</f>
        <v>1</v>
      </c>
      <c r="AD36" s="637">
        <f>IF(M36="","",Z36*(1/SQRT(Z36^2+AA36^2+AB36^2)))</f>
        <v>-0.25073051945668745</v>
      </c>
      <c r="AE36" s="629">
        <f>IF(M36="","",AA36*(1/SQRT(Z36^2+AA36^2+AB36^2)))</f>
        <v>-0.92804291967208563</v>
      </c>
      <c r="AF36" s="633">
        <f>IF(M36="","",AB36*(1/SQRT(Z36^2+AA36^2+AB36^2)))</f>
        <v>-0.27544608521358682</v>
      </c>
      <c r="AG36" s="602">
        <f>IF(M36="","",DEGREES(ATAN2(-AF36,AE36)))</f>
        <v>-73.46894415827164</v>
      </c>
      <c r="AH36" s="603">
        <f>IF(M36="","",DEGREES(ACOS(AD36)))</f>
        <v>104.52074476360723</v>
      </c>
      <c r="AI36" s="585">
        <f>IF(M36="","",DEGREES(-ACOS(-AF36)))</f>
        <v>-74.011400314625419</v>
      </c>
      <c r="AJ36" s="586">
        <f>IF(M36="","",DEGREES(ATAN2(-AE36,AD36)))</f>
        <v>-15.118720162526339</v>
      </c>
      <c r="AK36" s="635">
        <f>IF(M36="","",(COS(RADIANS((90-$Q$8)-W36))*AD36)+(-SIN(RADIANS((90-$Q$8)-W36))*AE36))</f>
        <v>0.96119889483419274</v>
      </c>
      <c r="AL36" s="629">
        <f>IF(M36="","",(SIN(RADIANS((90-$Q$8)-W36))*AD36)+(COS(RADIANS((90-$Q$8)-W36))*AE36))</f>
        <v>1.5037909097872337E-2</v>
      </c>
      <c r="AM36" s="634">
        <f>IF(M36="","",AF36)</f>
        <v>-0.27544608521358682</v>
      </c>
      <c r="AN36" s="581">
        <f>IF(M36="","",DEGREES(ATAN2(-AM36,AL36)))</f>
        <v>3.12494627732264</v>
      </c>
      <c r="AO36" s="582">
        <f t="shared" si="94"/>
        <v>16.013049065291906</v>
      </c>
      <c r="AP36" s="585">
        <f>IF(M36="","",DEGREES(ATAN2(AK36,AL36)))</f>
        <v>0.89631650836530807</v>
      </c>
      <c r="AQ36" s="586">
        <f t="shared" si="9"/>
        <v>0.79220659569835761</v>
      </c>
      <c r="AS36" s="52">
        <f t="shared" si="116"/>
        <v>-106.01503667089162</v>
      </c>
      <c r="AT36" s="72">
        <f t="shared" si="10"/>
        <v>-1.2978707942712997E-2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3.1139999999999999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3.5063341499629512</v>
      </c>
      <c r="C37" s="708">
        <v>-1.0448862445442397</v>
      </c>
      <c r="D37" s="709">
        <v>-0.14510043762291988</v>
      </c>
      <c r="E37" s="710">
        <v>0.39389986624652251</v>
      </c>
      <c r="F37" s="708">
        <v>0.87782078725011348</v>
      </c>
      <c r="G37" s="711">
        <v>0.27253176116291966</v>
      </c>
      <c r="H37" s="710">
        <v>0.314</v>
      </c>
      <c r="I37" s="708">
        <v>0.52</v>
      </c>
      <c r="J37" s="570">
        <v>3.121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3.121</v>
      </c>
      <c r="N37" s="632">
        <f t="shared" si="2"/>
        <v>3.5063341499629512</v>
      </c>
      <c r="O37" s="629">
        <f t="shared" si="3"/>
        <v>-1.0448862445442397</v>
      </c>
      <c r="P37" s="633">
        <f t="shared" si="4"/>
        <v>-0.14510043762291988</v>
      </c>
      <c r="Q37" s="585">
        <f t="shared" si="113"/>
        <v>343.4059634127056</v>
      </c>
      <c r="R37" s="629">
        <f t="shared" si="79"/>
        <v>3.6587110346724807</v>
      </c>
      <c r="S37" s="634">
        <f t="shared" si="80"/>
        <v>-0.14510043762291988</v>
      </c>
      <c r="T37" s="635">
        <f t="shared" si="81"/>
        <v>-1.0448862445442404</v>
      </c>
      <c r="U37" s="629">
        <f t="shared" si="82"/>
        <v>-3.5063341499629503</v>
      </c>
      <c r="V37" s="636">
        <f t="shared" si="114"/>
        <v>-0.14510043762291988</v>
      </c>
      <c r="W37" s="585">
        <f t="shared" si="224"/>
        <v>253.4059634127056</v>
      </c>
      <c r="X37" s="629">
        <f t="shared" si="83"/>
        <v>3.6587110346724807</v>
      </c>
      <c r="Y37" s="630">
        <f t="shared" si="223"/>
        <v>-0.14510043762291988</v>
      </c>
      <c r="Z37" s="632">
        <f t="shared" si="6"/>
        <v>-0.39389986624652251</v>
      </c>
      <c r="AA37" s="629">
        <f t="shared" si="7"/>
        <v>-0.87782078725011348</v>
      </c>
      <c r="AB37" s="629">
        <f t="shared" si="8"/>
        <v>-0.27253176116291966</v>
      </c>
      <c r="AC37" s="636">
        <f t="shared" si="84"/>
        <v>1</v>
      </c>
      <c r="AD37" s="637">
        <f t="shared" si="115"/>
        <v>-0.39389986624652251</v>
      </c>
      <c r="AE37" s="629">
        <f t="shared" si="85"/>
        <v>-0.87782078725011348</v>
      </c>
      <c r="AF37" s="633">
        <f t="shared" si="86"/>
        <v>-0.27253176116291966</v>
      </c>
      <c r="AG37" s="602">
        <f t="shared" si="87"/>
        <v>-72.752312106045807</v>
      </c>
      <c r="AH37" s="603">
        <f t="shared" si="88"/>
        <v>113.19737918620109</v>
      </c>
      <c r="AI37" s="585">
        <f t="shared" si="89"/>
        <v>-74.185022904426106</v>
      </c>
      <c r="AJ37" s="586">
        <f t="shared" si="90"/>
        <v>-24.166951658487005</v>
      </c>
      <c r="AK37" s="635">
        <f t="shared" si="211"/>
        <v>0.95375489421880932</v>
      </c>
      <c r="AL37" s="629">
        <f t="shared" si="91"/>
        <v>-0.12679921494672231</v>
      </c>
      <c r="AM37" s="634">
        <f t="shared" si="92"/>
        <v>-0.27253176116291966</v>
      </c>
      <c r="AN37" s="581">
        <f t="shared" si="93"/>
        <v>-24.950862902971071</v>
      </c>
      <c r="AO37" s="582">
        <f t="shared" si="94"/>
        <v>17.492768892647273</v>
      </c>
      <c r="AP37" s="585">
        <f t="shared" si="95"/>
        <v>-7.5729150711926208</v>
      </c>
      <c r="AQ37" s="586">
        <f t="shared" si="9"/>
        <v>0.62307100628706225</v>
      </c>
      <c r="AS37" s="52">
        <f t="shared" si="116"/>
        <v>-106.5940365872944</v>
      </c>
      <c r="AT37" s="72">
        <f t="shared" si="10"/>
        <v>-7.1076801103965442E-2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4.133569155723559</v>
      </c>
      <c r="C38" s="708">
        <v>-1.3054541047488246</v>
      </c>
      <c r="D38" s="709">
        <v>-0.49370148900369087</v>
      </c>
      <c r="E38" s="710">
        <v>0.52551366253210463</v>
      </c>
      <c r="F38" s="708">
        <v>0.81856882536763109</v>
      </c>
      <c r="G38" s="711">
        <v>0.23190616341173431</v>
      </c>
      <c r="H38" s="710">
        <v>0.314</v>
      </c>
      <c r="I38" s="708">
        <v>0.52</v>
      </c>
      <c r="J38" s="570">
        <v>3.1280000000000001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3.1280000000000001</v>
      </c>
      <c r="N38" s="632">
        <f t="shared" si="2"/>
        <v>4.133569155723559</v>
      </c>
      <c r="O38" s="629">
        <f t="shared" si="3"/>
        <v>-1.3054541047488246</v>
      </c>
      <c r="P38" s="633">
        <f t="shared" si="4"/>
        <v>-0.49370148900369087</v>
      </c>
      <c r="Q38" s="585">
        <f t="shared" si="113"/>
        <v>342.47296354741417</v>
      </c>
      <c r="R38" s="629">
        <f t="shared" si="79"/>
        <v>4.3348130737962318</v>
      </c>
      <c r="S38" s="634">
        <f t="shared" si="80"/>
        <v>-0.49370148900369087</v>
      </c>
      <c r="T38" s="635">
        <f t="shared" si="81"/>
        <v>-1.3054541047488231</v>
      </c>
      <c r="U38" s="629">
        <f t="shared" si="82"/>
        <v>-4.1335691557235599</v>
      </c>
      <c r="V38" s="636">
        <f t="shared" si="114"/>
        <v>-0.49370148900369087</v>
      </c>
      <c r="W38" s="585">
        <f t="shared" si="224"/>
        <v>252.47296354741417</v>
      </c>
      <c r="X38" s="629">
        <f t="shared" si="83"/>
        <v>4.3348130737962318</v>
      </c>
      <c r="Y38" s="630">
        <f t="shared" si="223"/>
        <v>-0.49370148900369087</v>
      </c>
      <c r="Z38" s="632">
        <f t="shared" si="6"/>
        <v>-0.52551366253210463</v>
      </c>
      <c r="AA38" s="629">
        <f t="shared" si="7"/>
        <v>-0.81856882536763109</v>
      </c>
      <c r="AB38" s="629">
        <f t="shared" si="8"/>
        <v>-0.23190616341173431</v>
      </c>
      <c r="AC38" s="636">
        <f t="shared" si="84"/>
        <v>1</v>
      </c>
      <c r="AD38" s="637">
        <f t="shared" si="115"/>
        <v>-0.52551366253210463</v>
      </c>
      <c r="AE38" s="629">
        <f t="shared" si="85"/>
        <v>-0.81856882536763109</v>
      </c>
      <c r="AF38" s="633">
        <f t="shared" si="86"/>
        <v>-0.23190616341173431</v>
      </c>
      <c r="AG38" s="602">
        <f t="shared" si="87"/>
        <v>-74.182210167835436</v>
      </c>
      <c r="AH38" s="603">
        <f t="shared" si="88"/>
        <v>121.70282920147501</v>
      </c>
      <c r="AI38" s="585">
        <f t="shared" si="89"/>
        <v>-76.590678427256861</v>
      </c>
      <c r="AJ38" s="586">
        <f t="shared" si="90"/>
        <v>-32.700090032818466</v>
      </c>
      <c r="AK38" s="635">
        <f t="shared" si="211"/>
        <v>0.93882821403106531</v>
      </c>
      <c r="AL38" s="629">
        <f t="shared" si="91"/>
        <v>-0.25459991341493088</v>
      </c>
      <c r="AM38" s="634">
        <f t="shared" si="92"/>
        <v>-0.23190616341173431</v>
      </c>
      <c r="AN38" s="581">
        <f t="shared" si="93"/>
        <v>-47.670705091522706</v>
      </c>
      <c r="AO38" s="582">
        <f t="shared" si="94"/>
        <v>20.144307701820754</v>
      </c>
      <c r="AP38" s="585">
        <f t="shared" si="95"/>
        <v>-15.173053580232635</v>
      </c>
      <c r="AQ38" s="586">
        <f t="shared" si="9"/>
        <v>0.5258964049056617</v>
      </c>
      <c r="AS38" s="52">
        <f t="shared" si="116"/>
        <v>-107.52703645258583</v>
      </c>
      <c r="AT38" s="72">
        <f t="shared" si="10"/>
        <v>-0.41902993591161736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3.1280000000000001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4.5792231031731934</v>
      </c>
      <c r="C39" s="708">
        <v>-1.5194032622276425</v>
      </c>
      <c r="D39" s="709">
        <v>-1.0758032446225858</v>
      </c>
      <c r="E39" s="710">
        <v>0.63308556896145451</v>
      </c>
      <c r="F39" s="708">
        <v>0.75637754524069534</v>
      </c>
      <c r="G39" s="711">
        <v>0.16460762870660517</v>
      </c>
      <c r="H39" s="710">
        <v>0.314</v>
      </c>
      <c r="I39" s="708">
        <v>0.52</v>
      </c>
      <c r="J39" s="570">
        <v>3.1349999999999998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3.1349999999999998</v>
      </c>
      <c r="N39" s="632">
        <f t="shared" si="2"/>
        <v>4.5792231031731934</v>
      </c>
      <c r="O39" s="629">
        <f t="shared" si="3"/>
        <v>-1.5194032622276425</v>
      </c>
      <c r="P39" s="633">
        <f t="shared" si="4"/>
        <v>-1.0758032446225858</v>
      </c>
      <c r="Q39" s="585">
        <f t="shared" si="113"/>
        <v>341.6439636671069</v>
      </c>
      <c r="R39" s="629">
        <f t="shared" si="79"/>
        <v>4.8247145513390874</v>
      </c>
      <c r="S39" s="634">
        <f t="shared" si="80"/>
        <v>-1.0758032446225858</v>
      </c>
      <c r="T39" s="635">
        <f t="shared" si="81"/>
        <v>-1.5194032622276459</v>
      </c>
      <c r="U39" s="629">
        <f t="shared" si="82"/>
        <v>-4.5792231031731925</v>
      </c>
      <c r="V39" s="636">
        <f t="shared" si="114"/>
        <v>-1.0758032446225858</v>
      </c>
      <c r="W39" s="585">
        <f t="shared" si="224"/>
        <v>251.6439636671069</v>
      </c>
      <c r="X39" s="629">
        <f t="shared" si="83"/>
        <v>4.8247145513390874</v>
      </c>
      <c r="Y39" s="630">
        <f t="shared" si="223"/>
        <v>-1.0758032446225858</v>
      </c>
      <c r="Z39" s="632">
        <f t="shared" si="6"/>
        <v>-0.63308556896145451</v>
      </c>
      <c r="AA39" s="629">
        <f t="shared" si="7"/>
        <v>-0.75637754524069534</v>
      </c>
      <c r="AB39" s="629">
        <f t="shared" si="8"/>
        <v>-0.16460762870660517</v>
      </c>
      <c r="AC39" s="636">
        <f t="shared" si="84"/>
        <v>1</v>
      </c>
      <c r="AD39" s="637">
        <f t="shared" si="115"/>
        <v>-0.63308556896145451</v>
      </c>
      <c r="AE39" s="629">
        <f t="shared" si="85"/>
        <v>-0.75637754524069534</v>
      </c>
      <c r="AF39" s="633">
        <f t="shared" si="86"/>
        <v>-0.16460762870660517</v>
      </c>
      <c r="AG39" s="602">
        <f t="shared" si="87"/>
        <v>-77.722371525537966</v>
      </c>
      <c r="AH39" s="603">
        <f t="shared" si="88"/>
        <v>129.27813888138587</v>
      </c>
      <c r="AI39" s="585">
        <f t="shared" si="89"/>
        <v>-80.525558412237487</v>
      </c>
      <c r="AJ39" s="586">
        <f t="shared" si="90"/>
        <v>-39.929223506206085</v>
      </c>
      <c r="AK39" s="635">
        <f t="shared" si="211"/>
        <v>0.91726334512548557</v>
      </c>
      <c r="AL39" s="629">
        <f t="shared" si="91"/>
        <v>-0.36267379869628441</v>
      </c>
      <c r="AM39" s="634">
        <f t="shared" si="92"/>
        <v>-0.16460762870660517</v>
      </c>
      <c r="AN39" s="581">
        <f t="shared" si="93"/>
        <v>-65.58801305440285</v>
      </c>
      <c r="AO39" s="582">
        <f t="shared" si="94"/>
        <v>23.470775126207769</v>
      </c>
      <c r="AP39" s="585">
        <f t="shared" si="95"/>
        <v>-21.573187173312963</v>
      </c>
      <c r="AQ39" s="586">
        <f t="shared" si="9"/>
        <v>0.47249944590385806</v>
      </c>
      <c r="AS39" s="52">
        <f t="shared" si="116"/>
        <v>-108.3560363328931</v>
      </c>
      <c r="AT39" s="72">
        <f t="shared" si="10"/>
        <v>-1.0005559971691877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3.1349999999999998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4.7838581449281703</v>
      </c>
      <c r="C40" s="708">
        <v>-1.6262326203583866</v>
      </c>
      <c r="D40" s="709">
        <v>-1.801505433340387</v>
      </c>
      <c r="E40" s="710">
        <v>0.74820818866262473</v>
      </c>
      <c r="F40" s="708">
        <v>0.65706746690894657</v>
      </c>
      <c r="G40" s="711">
        <v>9.1906748109453679E-2</v>
      </c>
      <c r="H40" s="710">
        <v>0.314</v>
      </c>
      <c r="I40" s="708">
        <v>0.52</v>
      </c>
      <c r="J40" s="570">
        <v>3.1419999999999999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3.1419999999999999</v>
      </c>
      <c r="N40" s="632">
        <f t="shared" si="2"/>
        <v>4.7838581449281703</v>
      </c>
      <c r="O40" s="629">
        <f t="shared" si="3"/>
        <v>-1.6262326203583866</v>
      </c>
      <c r="P40" s="633">
        <f t="shared" si="4"/>
        <v>-1.801505433340387</v>
      </c>
      <c r="Q40" s="585">
        <f t="shared" si="113"/>
        <v>341.22496372760304</v>
      </c>
      <c r="R40" s="629">
        <f t="shared" si="79"/>
        <v>5.0527152389891619</v>
      </c>
      <c r="S40" s="634">
        <f t="shared" si="80"/>
        <v>-1.801505433340387</v>
      </c>
      <c r="T40" s="635">
        <f t="shared" si="81"/>
        <v>-1.6262326203583863</v>
      </c>
      <c r="U40" s="629">
        <f t="shared" si="82"/>
        <v>-4.7838581449281703</v>
      </c>
      <c r="V40" s="636">
        <f t="shared" si="114"/>
        <v>-1.801505433340387</v>
      </c>
      <c r="W40" s="585">
        <f t="shared" si="224"/>
        <v>251.22496372760304</v>
      </c>
      <c r="X40" s="629">
        <f t="shared" si="83"/>
        <v>5.0527152389891619</v>
      </c>
      <c r="Y40" s="630">
        <f t="shared" si="223"/>
        <v>-1.801505433340387</v>
      </c>
      <c r="Z40" s="632">
        <f t="shared" si="6"/>
        <v>-0.74820818866262473</v>
      </c>
      <c r="AA40" s="629">
        <f t="shared" si="7"/>
        <v>-0.65706746690894657</v>
      </c>
      <c r="AB40" s="629">
        <f t="shared" si="8"/>
        <v>-9.1906748109453679E-2</v>
      </c>
      <c r="AC40" s="636">
        <f t="shared" si="84"/>
        <v>1</v>
      </c>
      <c r="AD40" s="637">
        <f t="shared" si="115"/>
        <v>-0.74820818866262473</v>
      </c>
      <c r="AE40" s="629">
        <f t="shared" si="85"/>
        <v>-0.65706746690894657</v>
      </c>
      <c r="AF40" s="633">
        <f t="shared" si="86"/>
        <v>-9.1906748109453679E-2</v>
      </c>
      <c r="AG40" s="602">
        <f t="shared" si="87"/>
        <v>-82.037462244048541</v>
      </c>
      <c r="AH40" s="603">
        <f t="shared" si="88"/>
        <v>138.43540314318309</v>
      </c>
      <c r="AI40" s="585">
        <f t="shared" si="89"/>
        <v>-84.726689569111471</v>
      </c>
      <c r="AJ40" s="586">
        <f t="shared" si="90"/>
        <v>-48.710784668404813</v>
      </c>
      <c r="AK40" s="635">
        <f t="shared" si="211"/>
        <v>0.86291783928721411</v>
      </c>
      <c r="AL40" s="629">
        <f t="shared" si="91"/>
        <v>-0.49691644397406598</v>
      </c>
      <c r="AM40" s="634">
        <f t="shared" si="92"/>
        <v>-9.1906748109453679E-2</v>
      </c>
      <c r="AN40" s="581">
        <f t="shared" si="93"/>
        <v>-79.521323114284854</v>
      </c>
      <c r="AO40" s="582">
        <f t="shared" si="94"/>
        <v>30.35420656090897</v>
      </c>
      <c r="AP40" s="585">
        <f t="shared" si="95"/>
        <v>-29.935748396007838</v>
      </c>
      <c r="AQ40" s="586">
        <f t="shared" si="9"/>
        <v>0.45117909934824524</v>
      </c>
      <c r="AS40" s="52">
        <f t="shared" si="116"/>
        <v>-108.77503627239696</v>
      </c>
      <c r="AT40" s="72">
        <f t="shared" si="10"/>
        <v>-1.7259672137067781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3.1419999999999999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4.7937983396410377</v>
      </c>
      <c r="C41" s="708">
        <v>-1.6314786521813462</v>
      </c>
      <c r="D41" s="709">
        <v>-2.5668077414921489</v>
      </c>
      <c r="E41" s="710">
        <v>0.75190727379166922</v>
      </c>
      <c r="F41" s="708">
        <v>0.65890802408291527</v>
      </c>
      <c r="G41" s="711">
        <v>2.1809800969478838E-2</v>
      </c>
      <c r="H41" s="710">
        <v>0.314</v>
      </c>
      <c r="I41" s="708">
        <v>0.52</v>
      </c>
      <c r="J41" s="570">
        <v>3.149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3.149</v>
      </c>
      <c r="N41" s="632">
        <f t="shared" ref="N41:N72" si="240">IF(M41="","",B41)</f>
        <v>4.7937983396410377</v>
      </c>
      <c r="O41" s="629">
        <f t="shared" ref="O41:O72" si="241">IF(M41="","",C41)</f>
        <v>-1.6314786521813462</v>
      </c>
      <c r="P41" s="633">
        <f t="shared" ref="P41:P72" si="242">IF(M41="","",D41)</f>
        <v>-2.5668077414921489</v>
      </c>
      <c r="Q41" s="585">
        <f t="shared" si="113"/>
        <v>341.20496373049065</v>
      </c>
      <c r="R41" s="629">
        <f t="shared" si="79"/>
        <v>5.0638152724668606</v>
      </c>
      <c r="S41" s="634">
        <f t="shared" si="80"/>
        <v>-2.5668077414921489</v>
      </c>
      <c r="T41" s="635">
        <f t="shared" si="81"/>
        <v>-1.6314786521813465</v>
      </c>
      <c r="U41" s="629">
        <f t="shared" si="82"/>
        <v>-4.7937983396410369</v>
      </c>
      <c r="V41" s="636">
        <f t="shared" si="114"/>
        <v>-2.5668077414921489</v>
      </c>
      <c r="W41" s="585">
        <f t="shared" si="224"/>
        <v>251.20496373049065</v>
      </c>
      <c r="X41" s="629">
        <f t="shared" si="83"/>
        <v>5.0638152724668606</v>
      </c>
      <c r="Y41" s="630">
        <f t="shared" si="223"/>
        <v>-2.5668077414921489</v>
      </c>
      <c r="Z41" s="632">
        <f t="shared" ref="Z41:Z72" si="243">IF(M41="","",-E41)</f>
        <v>-0.75190727379166922</v>
      </c>
      <c r="AA41" s="629">
        <f t="shared" ref="AA41:AA72" si="244">IF(M41="","",-F41)</f>
        <v>-0.65890802408291527</v>
      </c>
      <c r="AB41" s="629">
        <f t="shared" ref="AB41:AB72" si="245">IF(M41="","",-G41)</f>
        <v>-2.1809800969478838E-2</v>
      </c>
      <c r="AC41" s="636">
        <f t="shared" si="84"/>
        <v>1</v>
      </c>
      <c r="AD41" s="637">
        <f t="shared" si="115"/>
        <v>-0.75190727379166922</v>
      </c>
      <c r="AE41" s="629">
        <f t="shared" si="85"/>
        <v>-0.65890802408291527</v>
      </c>
      <c r="AF41" s="633">
        <f t="shared" si="86"/>
        <v>-2.1809800969478838E-2</v>
      </c>
      <c r="AG41" s="602">
        <f t="shared" si="87"/>
        <v>-88.104206592744035</v>
      </c>
      <c r="AH41" s="603">
        <f t="shared" si="88"/>
        <v>138.75586302427479</v>
      </c>
      <c r="AI41" s="585">
        <f t="shared" si="89"/>
        <v>-88.750291364792758</v>
      </c>
      <c r="AJ41" s="586">
        <f t="shared" si="90"/>
        <v>-48.771412650211388</v>
      </c>
      <c r="AK41" s="635">
        <f t="shared" si="211"/>
        <v>0.86602544158358585</v>
      </c>
      <c r="AL41" s="629">
        <f t="shared" si="91"/>
        <v>-0.49952404057425215</v>
      </c>
      <c r="AM41" s="634">
        <f t="shared" si="92"/>
        <v>-2.1809800969478838E-2</v>
      </c>
      <c r="AN41" s="581">
        <f t="shared" si="93"/>
        <v>-87.499987366564753</v>
      </c>
      <c r="AO41" s="582">
        <f t="shared" si="94"/>
        <v>29.99999566853651</v>
      </c>
      <c r="AP41" s="585">
        <f t="shared" si="95"/>
        <v>-29.976376380702046</v>
      </c>
      <c r="AQ41" s="586">
        <f t="shared" ref="AQ41:AQ72" si="246">IF(M41="","",DEGREES(ATAN(($AS$5*SIN(RADIANS(90)))/(($X41*2*PI())-($AS$5*COS(RADIANS(90)))))))</f>
        <v>0.45019014211149172</v>
      </c>
      <c r="AS41" s="52">
        <f t="shared" si="116"/>
        <v>-108.79503626950935</v>
      </c>
      <c r="AT41" s="72">
        <f t="shared" ref="AT41:AT72" si="247">IF(M41="","",Y41+(((AS41-$AS$9)*$AS$6)*-1))</f>
        <v>-2.4912556329716562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3.149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3.1442192416074124</v>
      </c>
      <c r="C42" s="708">
        <v>-1.8940982249795792</v>
      </c>
      <c r="D42" s="709">
        <v>-0.10820000000000021</v>
      </c>
      <c r="E42" s="710">
        <v>0.5932654484328993</v>
      </c>
      <c r="F42" s="708">
        <v>0.68002757605321895</v>
      </c>
      <c r="G42" s="711">
        <v>0.43081156379894742</v>
      </c>
      <c r="H42" s="710">
        <v>0.26600000000000001</v>
      </c>
      <c r="I42" s="708">
        <v>0.52</v>
      </c>
      <c r="J42" s="570">
        <v>3.2210000000000001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3.2210000000000001</v>
      </c>
      <c r="N42" s="632">
        <f t="shared" si="240"/>
        <v>3.1442192416074124</v>
      </c>
      <c r="O42" s="629">
        <f t="shared" si="241"/>
        <v>-1.8940982249795792</v>
      </c>
      <c r="P42" s="633">
        <f t="shared" si="242"/>
        <v>-0.10820000000000021</v>
      </c>
      <c r="Q42" s="585">
        <f t="shared" si="113"/>
        <v>328.93496550205919</v>
      </c>
      <c r="R42" s="629">
        <f t="shared" ref="R42:R47" si="385">IF(M42="","",SQRT(N42^2+O42^2))</f>
        <v>3.6706569882195592</v>
      </c>
      <c r="S42" s="634">
        <f t="shared" ref="S42:S47" si="386">IF(M42="","",P42)</f>
        <v>-0.10820000000000021</v>
      </c>
      <c r="T42" s="635">
        <f t="shared" ref="T42:T47" si="387">IF(M42="","",X42*COS(RADIANS(W42)))</f>
        <v>-1.8940982249795824</v>
      </c>
      <c r="U42" s="629">
        <f t="shared" ref="U42:U47" si="388">IF(M42="","",X42*SIN(RADIANS(W42)))</f>
        <v>-3.1442192416074106</v>
      </c>
      <c r="V42" s="636">
        <f t="shared" ref="V42:V47" si="389">IF(M42="","",Y42)</f>
        <v>-0.10820000000000021</v>
      </c>
      <c r="W42" s="585">
        <f t="shared" si="224"/>
        <v>238.93496550205919</v>
      </c>
      <c r="X42" s="629">
        <f t="shared" ref="X42:X47" si="390">IF(M42="","",R42)</f>
        <v>3.6706569882195592</v>
      </c>
      <c r="Y42" s="630">
        <f t="shared" si="223"/>
        <v>-0.10820000000000021</v>
      </c>
      <c r="Z42" s="632">
        <f t="shared" si="243"/>
        <v>-0.5932654484328993</v>
      </c>
      <c r="AA42" s="629">
        <f t="shared" si="244"/>
        <v>-0.68002757605321895</v>
      </c>
      <c r="AB42" s="629">
        <f t="shared" si="245"/>
        <v>-0.43081156379894742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-0.5932654484328993</v>
      </c>
      <c r="AE42" s="629">
        <f t="shared" ref="AE42:AE47" si="393">IF(M42="","",AA42*(1/SQRT(Z42^2+AA42^2+AB42^2)))</f>
        <v>-0.68002757605321895</v>
      </c>
      <c r="AF42" s="633">
        <f t="shared" ref="AF42:AF47" si="394">IF(M42="","",AB42*(1/SQRT(Z42^2+AA42^2+AB42^2)))</f>
        <v>-0.43081156379894742</v>
      </c>
      <c r="AG42" s="602">
        <f t="shared" ref="AG42:AG47" si="395">IF(M42="","",DEGREES(ATAN2(-AF42,AE42)))</f>
        <v>-57.644894075154511</v>
      </c>
      <c r="AH42" s="603">
        <f t="shared" ref="AH42:AH47" si="396">IF(M42="","",DEGREES(ACOS(AD42)))</f>
        <v>126.38907838279023</v>
      </c>
      <c r="AI42" s="585">
        <f t="shared" ref="AI42:AI47" si="397">IF(M42="","",DEGREES(-ACOS(-AF42)))</f>
        <v>-64.48092495186151</v>
      </c>
      <c r="AJ42" s="586">
        <f t="shared" ref="AJ42:AJ47" si="398">IF(M42="","",DEGREES(ATAN2(-AE42,AD42)))</f>
        <v>-41.101893828468015</v>
      </c>
      <c r="AK42" s="635">
        <f t="shared" ref="AK42:AK47" si="399">IF(M42="","",(COS(RADIANS((90-$Q$8)-W42))*AD42)+(-SIN(RADIANS((90-$Q$8)-W42))*AE42))</f>
        <v>0.88863079081949392</v>
      </c>
      <c r="AL42" s="629">
        <f t="shared" ref="AL42:AL47" si="400">IF(M42="","",(SIN(RADIANS((90-$Q$8)-W42))*AD42)+(COS(RADIANS((90-$Q$8)-W42))*AE42))</f>
        <v>-0.15727909620997499</v>
      </c>
      <c r="AM42" s="634">
        <f t="shared" ref="AM42:AM47" si="401">IF(M42="","",AF42)</f>
        <v>-0.43081156379894742</v>
      </c>
      <c r="AN42" s="581">
        <f t="shared" ref="AN42:AN47" si="402">IF(M42="","",DEGREES(ATAN2(-AM42,AL42)))</f>
        <v>-20.055940302355019</v>
      </c>
      <c r="AO42" s="582">
        <f t="shared" si="94"/>
        <v>27.298306227824863</v>
      </c>
      <c r="AP42" s="585">
        <f t="shared" ref="AP42:AP47" si="403">IF(M42="","",DEGREES(ATAN2(AK42,AL42)))</f>
        <v>-10.036859330527166</v>
      </c>
      <c r="AQ42" s="586">
        <f t="shared" si="246"/>
        <v>0.62104341466317847</v>
      </c>
      <c r="AS42" s="52">
        <f t="shared" si="116"/>
        <v>-121.06503449794081</v>
      </c>
      <c r="AT42" s="72">
        <f t="shared" si="247"/>
        <v>-2.4127059376430199E-2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3.2210000000000001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3.121</v>
      </c>
      <c r="II42" s="734" cm="1">
        <f t="array" ref="II42">IFERROR(ROUND(VALUE(IF($IH42&lt;1,$IH42+LARGE((IF($M$9:$M$150="",0,$M$9:$M$150)-MOD(IF($M$9:$M$150="",0,$M$9:$M$150),1)),1),$IH42)),4),"")</f>
        <v>3.121</v>
      </c>
      <c r="IJ42" s="533">
        <f t="shared" si="112"/>
        <v>1613</v>
      </c>
      <c r="IK42" s="533">
        <f t="shared" si="382"/>
        <v>1313</v>
      </c>
      <c r="IL42" s="727">
        <f t="shared" si="225"/>
        <v>14.470997910646417</v>
      </c>
      <c r="IM42" s="759">
        <v>2.4354478317066001E-2</v>
      </c>
      <c r="IN42" s="5">
        <f t="shared" si="226"/>
        <v>0.6</v>
      </c>
      <c r="IO42" s="771">
        <v>300</v>
      </c>
      <c r="IP42" s="9">
        <f t="shared" si="227"/>
        <v>-3.6587110346724807</v>
      </c>
      <c r="IQ42" s="5">
        <f t="shared" si="228"/>
        <v>-0.14510043762291988</v>
      </c>
      <c r="IR42" s="5">
        <f t="shared" si="383"/>
        <v>0.314</v>
      </c>
      <c r="IS42" s="5">
        <f t="shared" si="229"/>
        <v>0.29947903678470611</v>
      </c>
      <c r="IT42" s="727">
        <f t="shared" si="230"/>
        <v>24.950862902971071</v>
      </c>
      <c r="IU42" s="9">
        <f t="shared" si="231"/>
        <v>-3.6706569882195592</v>
      </c>
      <c r="IV42" s="5">
        <f t="shared" si="232"/>
        <v>-0.10820000000000021</v>
      </c>
      <c r="IW42" s="5">
        <f t="shared" si="384"/>
        <v>0.26600000000000001</v>
      </c>
      <c r="IX42" s="5">
        <f t="shared" si="233"/>
        <v>0.23637579035798539</v>
      </c>
      <c r="IY42" s="762">
        <f t="shared" si="234"/>
        <v>20.055940302355019</v>
      </c>
    </row>
    <row r="43" spans="1:267" ht="15" customHeight="1" x14ac:dyDescent="0.25">
      <c r="A43" s="79"/>
      <c r="B43" s="707">
        <v>3.7744760475594465</v>
      </c>
      <c r="C43" s="708">
        <v>-2.191248009084783</v>
      </c>
      <c r="D43" s="709">
        <v>-0.46040000000000025</v>
      </c>
      <c r="E43" s="710">
        <v>0.71933828686874224</v>
      </c>
      <c r="F43" s="708">
        <v>0.58656000612969228</v>
      </c>
      <c r="G43" s="711">
        <v>0.37215559683266658</v>
      </c>
      <c r="H43" s="710">
        <v>0.26600000000000001</v>
      </c>
      <c r="I43" s="708">
        <v>0.52</v>
      </c>
      <c r="J43" s="570">
        <v>3.2280000000000002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3.2280000000000002</v>
      </c>
      <c r="N43" s="632">
        <f t="shared" si="240"/>
        <v>3.7744760475594465</v>
      </c>
      <c r="O43" s="629">
        <f t="shared" si="241"/>
        <v>-2.191248009084783</v>
      </c>
      <c r="P43" s="633">
        <f t="shared" si="242"/>
        <v>-0.46040000000000025</v>
      </c>
      <c r="Q43" s="585">
        <f t="shared" si="113"/>
        <v>329.86296536807259</v>
      </c>
      <c r="R43" s="629">
        <f t="shared" si="385"/>
        <v>4.3644286305217559</v>
      </c>
      <c r="S43" s="634">
        <f t="shared" si="386"/>
        <v>-0.46040000000000025</v>
      </c>
      <c r="T43" s="635">
        <f t="shared" si="387"/>
        <v>-2.1912480090847843</v>
      </c>
      <c r="U43" s="629">
        <f t="shared" si="388"/>
        <v>-3.7744760475594461</v>
      </c>
      <c r="V43" s="636">
        <f t="shared" si="389"/>
        <v>-0.46040000000000025</v>
      </c>
      <c r="W43" s="585">
        <f t="shared" si="224"/>
        <v>239.86296536807259</v>
      </c>
      <c r="X43" s="629">
        <f t="shared" si="390"/>
        <v>4.3644286305217559</v>
      </c>
      <c r="Y43" s="630">
        <f t="shared" si="223"/>
        <v>-0.46040000000000025</v>
      </c>
      <c r="Z43" s="632">
        <f t="shared" si="243"/>
        <v>-0.71933828686874224</v>
      </c>
      <c r="AA43" s="629">
        <f t="shared" si="244"/>
        <v>-0.58656000612969228</v>
      </c>
      <c r="AB43" s="629">
        <f t="shared" si="245"/>
        <v>-0.37215559683266658</v>
      </c>
      <c r="AC43" s="636">
        <f t="shared" si="391"/>
        <v>1</v>
      </c>
      <c r="AD43" s="637">
        <f t="shared" si="392"/>
        <v>-0.71933828686874224</v>
      </c>
      <c r="AE43" s="629">
        <f t="shared" si="393"/>
        <v>-0.58656000612969228</v>
      </c>
      <c r="AF43" s="633">
        <f t="shared" si="394"/>
        <v>-0.37215559683266658</v>
      </c>
      <c r="AG43" s="602">
        <f t="shared" si="395"/>
        <v>-57.606037981466223</v>
      </c>
      <c r="AH43" s="603">
        <f t="shared" si="396"/>
        <v>135.99987516836467</v>
      </c>
      <c r="AI43" s="585">
        <f t="shared" si="397"/>
        <v>-68.151379911446384</v>
      </c>
      <c r="AJ43" s="586">
        <f t="shared" si="398"/>
        <v>-50.805644066715473</v>
      </c>
      <c r="AK43" s="635">
        <f t="shared" si="399"/>
        <v>0.86843103723735937</v>
      </c>
      <c r="AL43" s="629">
        <f t="shared" si="400"/>
        <v>-0.3276091349595821</v>
      </c>
      <c r="AM43" s="634">
        <f t="shared" si="401"/>
        <v>-0.37215559683266658</v>
      </c>
      <c r="AN43" s="581">
        <f t="shared" si="402"/>
        <v>-41.357511686996837</v>
      </c>
      <c r="AO43" s="582">
        <f t="shared" si="94"/>
        <v>29.723175346843515</v>
      </c>
      <c r="AP43" s="585">
        <f t="shared" si="403"/>
        <v>-20.668609434788067</v>
      </c>
      <c r="AQ43" s="586">
        <f t="shared" si="246"/>
        <v>0.52232804572806912</v>
      </c>
      <c r="AS43" s="52">
        <f t="shared" ref="AS43:AS74" si="406">IF(G43="","",IF(AND(W43&lt;(AS42+180),W43&gt;(AS42-180)),W43,IF(W43&gt;(AS42+180),W43-360,IF(W43&lt;(AS42-180),W43+360,"Error"))))</f>
        <v>-120.13703463192741</v>
      </c>
      <c r="AT43" s="72">
        <f t="shared" si="247"/>
        <v>-0.37697150372782845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3.2280000000000002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3.1280000000000001</v>
      </c>
      <c r="II43" s="734" cm="1">
        <f t="array" ref="II43">IFERROR(ROUND(VALUE(IF($IH43&lt;1,$IH43+LARGE((IF($M$9:$M$150="",0,$M$9:$M$150)-MOD(IF($M$9:$M$150="",0,$M$9:$M$150),1)),1),$IH43)),4),"")</f>
        <v>3.1280000000000001</v>
      </c>
      <c r="IJ43" s="533">
        <f t="shared" si="112"/>
        <v>1613</v>
      </c>
      <c r="IK43" s="533">
        <f t="shared" si="382"/>
        <v>1313</v>
      </c>
      <c r="IL43" s="727">
        <f t="shared" si="225"/>
        <v>12.609998179341574</v>
      </c>
      <c r="IM43" s="759">
        <v>1.8581197207345301E-2</v>
      </c>
      <c r="IN43" s="5">
        <f t="shared" si="226"/>
        <v>0.62</v>
      </c>
      <c r="IO43" s="771">
        <v>310</v>
      </c>
      <c r="IP43" s="9">
        <f t="shared" si="227"/>
        <v>-4.3348130737962318</v>
      </c>
      <c r="IQ43" s="5">
        <f t="shared" si="228"/>
        <v>-0.49370148900369087</v>
      </c>
      <c r="IR43" s="5">
        <f t="shared" si="383"/>
        <v>0.314</v>
      </c>
      <c r="IS43" s="5">
        <f t="shared" si="229"/>
        <v>0.29479205920575452</v>
      </c>
      <c r="IT43" s="727">
        <f t="shared" si="230"/>
        <v>47.670705091522706</v>
      </c>
      <c r="IU43" s="9">
        <f t="shared" si="231"/>
        <v>-4.3644286305217559</v>
      </c>
      <c r="IV43" s="5">
        <f t="shared" si="232"/>
        <v>-0.46040000000000025</v>
      </c>
      <c r="IW43" s="5">
        <f t="shared" si="384"/>
        <v>0.26600000000000001</v>
      </c>
      <c r="IX43" s="5">
        <f t="shared" si="233"/>
        <v>0.2310026559051376</v>
      </c>
      <c r="IY43" s="762">
        <f t="shared" si="234"/>
        <v>41.357511686996837</v>
      </c>
    </row>
    <row r="44" spans="1:267" ht="15" customHeight="1" x14ac:dyDescent="0.25">
      <c r="A44" s="79"/>
      <c r="B44" s="707">
        <v>4.2196440843303984</v>
      </c>
      <c r="C44" s="708">
        <v>-2.4252305240716203</v>
      </c>
      <c r="D44" s="709">
        <v>-1.0554000000000001</v>
      </c>
      <c r="E44" s="710">
        <v>0.81621483602654243</v>
      </c>
      <c r="F44" s="708">
        <v>0.51906982551281677</v>
      </c>
      <c r="G44" s="711">
        <v>0.25369244705402355</v>
      </c>
      <c r="H44" s="710">
        <v>0.26600000000000001</v>
      </c>
      <c r="I44" s="708">
        <v>0.52</v>
      </c>
      <c r="J44" s="570">
        <v>3.2349999999999999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3.2349999999999999</v>
      </c>
      <c r="N44" s="632">
        <f t="shared" si="240"/>
        <v>4.2196440843303984</v>
      </c>
      <c r="O44" s="629">
        <f t="shared" si="241"/>
        <v>-2.4252305240716203</v>
      </c>
      <c r="P44" s="633">
        <f t="shared" si="242"/>
        <v>-1.0554000000000001</v>
      </c>
      <c r="Q44" s="585">
        <f t="shared" si="113"/>
        <v>330.11196533212149</v>
      </c>
      <c r="R44" s="629">
        <f t="shared" si="385"/>
        <v>4.8669435268259722</v>
      </c>
      <c r="S44" s="634">
        <f t="shared" si="386"/>
        <v>-1.0554000000000001</v>
      </c>
      <c r="T44" s="635">
        <f t="shared" si="387"/>
        <v>-2.4252305240716194</v>
      </c>
      <c r="U44" s="629">
        <f t="shared" si="388"/>
        <v>-4.2196440843303993</v>
      </c>
      <c r="V44" s="636">
        <f t="shared" si="389"/>
        <v>-1.0554000000000001</v>
      </c>
      <c r="W44" s="585">
        <f t="shared" si="224"/>
        <v>240.11196533212149</v>
      </c>
      <c r="X44" s="629">
        <f t="shared" si="390"/>
        <v>4.8669435268259722</v>
      </c>
      <c r="Y44" s="630">
        <f t="shared" si="223"/>
        <v>-1.0554000000000001</v>
      </c>
      <c r="Z44" s="632">
        <f t="shared" si="243"/>
        <v>-0.81621483602654243</v>
      </c>
      <c r="AA44" s="629">
        <f t="shared" si="244"/>
        <v>-0.51906982551281677</v>
      </c>
      <c r="AB44" s="629">
        <f t="shared" si="245"/>
        <v>-0.25369244705402355</v>
      </c>
      <c r="AC44" s="636">
        <f t="shared" si="391"/>
        <v>1</v>
      </c>
      <c r="AD44" s="637">
        <f t="shared" si="392"/>
        <v>-0.81621483602654243</v>
      </c>
      <c r="AE44" s="629">
        <f t="shared" si="393"/>
        <v>-0.51906982551281677</v>
      </c>
      <c r="AF44" s="633">
        <f t="shared" si="394"/>
        <v>-0.25369244705402355</v>
      </c>
      <c r="AG44" s="602">
        <f t="shared" si="395"/>
        <v>-63.953188768092595</v>
      </c>
      <c r="AH44" s="603">
        <f t="shared" si="396"/>
        <v>144.70765981863852</v>
      </c>
      <c r="AI44" s="585">
        <f t="shared" si="397"/>
        <v>-75.303879689716169</v>
      </c>
      <c r="AJ44" s="586">
        <f t="shared" si="398"/>
        <v>-57.545779359065335</v>
      </c>
      <c r="AK44" s="635">
        <f t="shared" si="399"/>
        <v>0.85675928436971815</v>
      </c>
      <c r="AL44" s="629">
        <f t="shared" si="400"/>
        <v>-0.44900297432648484</v>
      </c>
      <c r="AM44" s="634">
        <f t="shared" si="401"/>
        <v>-0.25369244705402355</v>
      </c>
      <c r="AN44" s="581">
        <f t="shared" si="402"/>
        <v>-60.532993937177842</v>
      </c>
      <c r="AO44" s="582">
        <f t="shared" si="94"/>
        <v>31.045360190914121</v>
      </c>
      <c r="AP44" s="585">
        <f t="shared" si="403"/>
        <v>-27.657744691186817</v>
      </c>
      <c r="AQ44" s="586">
        <f t="shared" si="246"/>
        <v>0.4683998966660986</v>
      </c>
      <c r="AS44" s="52">
        <f t="shared" si="406"/>
        <v>-119.88803466787851</v>
      </c>
      <c r="AT44" s="72">
        <f t="shared" si="247"/>
        <v>-0.97214442036952886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3.2349999999999999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3.1349999999999998</v>
      </c>
      <c r="II44" s="734" cm="1">
        <f t="array" ref="II44">IFERROR(ROUND(VALUE(IF($IH44&lt;1,$IH44+LARGE((IF($M$9:$M$150="",0,$M$9:$M$150)-MOD(IF($M$9:$M$150="",0,$M$9:$M$150),1)),1),$IH44)),4),"")</f>
        <v>3.1349999999999998</v>
      </c>
      <c r="IJ44" s="533">
        <f t="shared" si="112"/>
        <v>1613</v>
      </c>
      <c r="IK44" s="533">
        <f t="shared" si="382"/>
        <v>1313</v>
      </c>
      <c r="IL44" s="727">
        <f t="shared" si="225"/>
        <v>11.531998334985417</v>
      </c>
      <c r="IM44" s="759">
        <v>1.21374194649161E-2</v>
      </c>
      <c r="IN44" s="5">
        <f t="shared" si="226"/>
        <v>0.64</v>
      </c>
      <c r="IO44" s="771">
        <v>320</v>
      </c>
      <c r="IP44" s="9">
        <f t="shared" si="227"/>
        <v>-4.8247145513390874</v>
      </c>
      <c r="IQ44" s="5">
        <f t="shared" si="228"/>
        <v>-1.0758032446225858</v>
      </c>
      <c r="IR44" s="5">
        <f t="shared" si="383"/>
        <v>0.314</v>
      </c>
      <c r="IS44" s="5">
        <f t="shared" si="229"/>
        <v>0.28802069036940253</v>
      </c>
      <c r="IT44" s="727">
        <f t="shared" si="230"/>
        <v>65.58801305440285</v>
      </c>
      <c r="IU44" s="9">
        <f t="shared" si="231"/>
        <v>-4.8669435268259722</v>
      </c>
      <c r="IV44" s="5">
        <f t="shared" si="232"/>
        <v>-1.0554000000000001</v>
      </c>
      <c r="IW44" s="5">
        <f t="shared" si="384"/>
        <v>0.26600000000000001</v>
      </c>
      <c r="IX44" s="5">
        <f t="shared" si="233"/>
        <v>0.22789796964234507</v>
      </c>
      <c r="IY44" s="762">
        <f t="shared" si="234"/>
        <v>60.532993937177842</v>
      </c>
    </row>
    <row r="45" spans="1:267" ht="15" customHeight="1" x14ac:dyDescent="0.25">
      <c r="A45" s="79"/>
      <c r="B45" s="707">
        <v>4.3942800106288331</v>
      </c>
      <c r="C45" s="708">
        <v>-2.522746086771309</v>
      </c>
      <c r="D45" s="709">
        <v>-1.8089193906041685</v>
      </c>
      <c r="E45" s="710">
        <v>0.75629710702572717</v>
      </c>
      <c r="F45" s="708">
        <v>-0.43418817494860196</v>
      </c>
      <c r="G45" s="711">
        <v>0.48938258514103067</v>
      </c>
      <c r="H45" s="710">
        <v>0.25700000000000001</v>
      </c>
      <c r="I45" s="708">
        <v>0.41499999999999992</v>
      </c>
      <c r="J45" s="570">
        <v>3.242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CPS-32193r1</v>
      </c>
      <c r="L45" s="320"/>
      <c r="M45" s="168">
        <f t="shared" si="239"/>
        <v>3.242</v>
      </c>
      <c r="N45" s="632">
        <f t="shared" si="240"/>
        <v>4.3942800106288331</v>
      </c>
      <c r="O45" s="629">
        <f t="shared" si="241"/>
        <v>-2.522746086771309</v>
      </c>
      <c r="P45" s="633">
        <f t="shared" si="242"/>
        <v>-1.8089193906041685</v>
      </c>
      <c r="Q45" s="585">
        <f t="shared" si="113"/>
        <v>330.1399653280788</v>
      </c>
      <c r="R45" s="629">
        <f t="shared" si="385"/>
        <v>5.0669462825386349</v>
      </c>
      <c r="S45" s="634">
        <f t="shared" si="386"/>
        <v>-1.8089193906041685</v>
      </c>
      <c r="T45" s="635">
        <f t="shared" si="387"/>
        <v>-2.5227460867713067</v>
      </c>
      <c r="U45" s="629">
        <f t="shared" si="388"/>
        <v>-4.394280010628834</v>
      </c>
      <c r="V45" s="636">
        <f t="shared" si="389"/>
        <v>-1.8089193906041685</v>
      </c>
      <c r="W45" s="585">
        <f t="shared" si="224"/>
        <v>240.1399653280788</v>
      </c>
      <c r="X45" s="629">
        <f t="shared" si="390"/>
        <v>5.0669462825386349</v>
      </c>
      <c r="Y45" s="630">
        <f t="shared" si="223"/>
        <v>-1.8089193906041685</v>
      </c>
      <c r="Z45" s="632">
        <f t="shared" si="243"/>
        <v>-0.75629710702572717</v>
      </c>
      <c r="AA45" s="629">
        <f t="shared" si="244"/>
        <v>0.43418817494860196</v>
      </c>
      <c r="AB45" s="629">
        <f t="shared" si="245"/>
        <v>-0.48938258514103067</v>
      </c>
      <c r="AC45" s="636">
        <f t="shared" si="391"/>
        <v>1</v>
      </c>
      <c r="AD45" s="637">
        <f t="shared" si="392"/>
        <v>-0.75629710702572717</v>
      </c>
      <c r="AE45" s="629">
        <f t="shared" si="393"/>
        <v>0.43418817494860196</v>
      </c>
      <c r="AF45" s="633">
        <f t="shared" si="394"/>
        <v>-0.48938258514103067</v>
      </c>
      <c r="AG45" s="602">
        <f t="shared" si="395"/>
        <v>41.579958891998217</v>
      </c>
      <c r="AH45" s="603">
        <f t="shared" si="396"/>
        <v>139.13883754842345</v>
      </c>
      <c r="AI45" s="585">
        <f t="shared" si="397"/>
        <v>-60.699991236006397</v>
      </c>
      <c r="AJ45" s="586">
        <f t="shared" si="398"/>
        <v>-119.8600197712798</v>
      </c>
      <c r="AK45" s="635">
        <f t="shared" si="399"/>
        <v>2.2679489625199167E-7</v>
      </c>
      <c r="AL45" s="629">
        <f t="shared" si="400"/>
        <v>-0.87206919757587498</v>
      </c>
      <c r="AM45" s="634">
        <f t="shared" si="401"/>
        <v>-0.48938258514103067</v>
      </c>
      <c r="AN45" s="581">
        <f t="shared" si="402"/>
        <v>-60.699991236005587</v>
      </c>
      <c r="AO45" s="582">
        <f t="shared" si="94"/>
        <v>0</v>
      </c>
      <c r="AP45" s="585">
        <f t="shared" si="403"/>
        <v>-89.999985099358625</v>
      </c>
      <c r="AQ45" s="586">
        <f t="shared" si="246"/>
        <v>0.44991196827055596</v>
      </c>
      <c r="AS45" s="52">
        <f t="shared" si="406"/>
        <v>-119.8600346719212</v>
      </c>
      <c r="AT45" s="72">
        <f t="shared" si="247"/>
        <v>-1.7256832554153343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>Gage</v>
      </c>
      <c r="IG45" s="847">
        <f t="shared" si="210"/>
        <v>3.242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3.1419999999999999</v>
      </c>
      <c r="II45" s="734" cm="1">
        <f t="array" ref="II45">IFERROR(ROUND(VALUE(IF($IH45&lt;1,$IH45+LARGE((IF($M$9:$M$150="",0,$M$9:$M$150)-MOD(IF($M$9:$M$150="",0,$M$9:$M$150),1)),1),$IH45)),4),"")</f>
        <v>3.1419999999999999</v>
      </c>
      <c r="IJ45" s="533">
        <f t="shared" si="112"/>
        <v>1613</v>
      </c>
      <c r="IK45" s="533" t="str">
        <f t="shared" si="382"/>
        <v>CPS-32193r1</v>
      </c>
      <c r="IL45" s="727">
        <f t="shared" si="225"/>
        <v>11.084998399524238</v>
      </c>
      <c r="IM45" s="759">
        <v>8.6360818107041504E-4</v>
      </c>
      <c r="IN45" s="5">
        <f t="shared" si="226"/>
        <v>0</v>
      </c>
      <c r="IO45" s="771">
        <v>0</v>
      </c>
      <c r="IP45" s="9">
        <f t="shared" si="227"/>
        <v>-5.0527152389891619</v>
      </c>
      <c r="IQ45" s="5">
        <f t="shared" si="228"/>
        <v>-1.801505433340387</v>
      </c>
      <c r="IR45" s="5">
        <f t="shared" si="383"/>
        <v>0.314</v>
      </c>
      <c r="IS45" s="5">
        <f t="shared" si="229"/>
        <v>0.27095620153618521</v>
      </c>
      <c r="IT45" s="727">
        <f t="shared" si="230"/>
        <v>79.521323114284854</v>
      </c>
      <c r="IU45" s="9">
        <f t="shared" si="231"/>
        <v>-5.0669462825386349</v>
      </c>
      <c r="IV45" s="5">
        <f t="shared" si="232"/>
        <v>-1.8089193906041685</v>
      </c>
      <c r="IW45" s="5">
        <f t="shared" si="384"/>
        <v>0.25700000000000001</v>
      </c>
      <c r="IX45" s="5">
        <f t="shared" si="233"/>
        <v>0.25700000000000001</v>
      </c>
      <c r="IY45" s="762">
        <f t="shared" si="234"/>
        <v>60.699991236005587</v>
      </c>
    </row>
    <row r="46" spans="1:267" ht="15" customHeight="1" x14ac:dyDescent="0.25">
      <c r="A46" s="79"/>
      <c r="B46" s="707">
        <v>4.4033765304582415</v>
      </c>
      <c r="C46" s="708">
        <v>-2.527968377965172</v>
      </c>
      <c r="D46" s="709">
        <v>-2.5816131257118617</v>
      </c>
      <c r="E46" s="710">
        <v>0.86641892667432774</v>
      </c>
      <c r="F46" s="708">
        <v>-0.49740885931889256</v>
      </c>
      <c r="G46" s="711">
        <v>4.3619607650509609E-2</v>
      </c>
      <c r="H46" s="710">
        <v>0.25700000000000001</v>
      </c>
      <c r="I46" s="708">
        <v>0.41499999999999992</v>
      </c>
      <c r="J46" s="570">
        <v>3.2490000000000001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CPS-32193r1</v>
      </c>
      <c r="L46" s="320"/>
      <c r="M46" s="168">
        <f t="shared" si="239"/>
        <v>3.2490000000000001</v>
      </c>
      <c r="N46" s="632">
        <f t="shared" si="240"/>
        <v>4.4033765304582415</v>
      </c>
      <c r="O46" s="629">
        <f t="shared" si="241"/>
        <v>-2.527968377965172</v>
      </c>
      <c r="P46" s="633">
        <f t="shared" si="242"/>
        <v>-2.5816131257118617</v>
      </c>
      <c r="Q46" s="585">
        <f t="shared" si="113"/>
        <v>330.1399653280788</v>
      </c>
      <c r="R46" s="629">
        <f t="shared" si="385"/>
        <v>5.0774352766906166</v>
      </c>
      <c r="S46" s="634">
        <f t="shared" si="386"/>
        <v>-2.5816131257118617</v>
      </c>
      <c r="T46" s="635">
        <f t="shared" si="387"/>
        <v>-2.5279683779651698</v>
      </c>
      <c r="U46" s="629">
        <f t="shared" si="388"/>
        <v>-4.4033765304582424</v>
      </c>
      <c r="V46" s="636">
        <f t="shared" si="389"/>
        <v>-2.5816131257118617</v>
      </c>
      <c r="W46" s="585">
        <f t="shared" si="224"/>
        <v>240.1399653280788</v>
      </c>
      <c r="X46" s="629">
        <f t="shared" si="390"/>
        <v>5.0774352766906166</v>
      </c>
      <c r="Y46" s="630">
        <f t="shared" si="223"/>
        <v>-2.5816131257118617</v>
      </c>
      <c r="Z46" s="632">
        <f t="shared" si="243"/>
        <v>-0.86641892667432774</v>
      </c>
      <c r="AA46" s="629">
        <f t="shared" si="244"/>
        <v>0.49740885931889256</v>
      </c>
      <c r="AB46" s="629">
        <f t="shared" si="245"/>
        <v>-4.3619607650509609E-2</v>
      </c>
      <c r="AC46" s="636">
        <f t="shared" si="391"/>
        <v>1</v>
      </c>
      <c r="AD46" s="637">
        <f t="shared" si="392"/>
        <v>-0.86641892667432774</v>
      </c>
      <c r="AE46" s="629">
        <f t="shared" si="393"/>
        <v>0.49740885931889256</v>
      </c>
      <c r="AF46" s="633">
        <f t="shared" si="394"/>
        <v>-4.3619607650509609E-2</v>
      </c>
      <c r="AG46" s="602">
        <f t="shared" si="395"/>
        <v>84.988343507594848</v>
      </c>
      <c r="AH46" s="603">
        <f t="shared" si="396"/>
        <v>150.04512518452424</v>
      </c>
      <c r="AI46" s="585">
        <f t="shared" si="397"/>
        <v>-87.499987366564966</v>
      </c>
      <c r="AJ46" s="586">
        <f t="shared" si="398"/>
        <v>-119.86002166515114</v>
      </c>
      <c r="AK46" s="635">
        <f t="shared" si="399"/>
        <v>2.2679489619648052E-7</v>
      </c>
      <c r="AL46" s="629">
        <f t="shared" si="400"/>
        <v>-0.99904821196394944</v>
      </c>
      <c r="AM46" s="634">
        <f t="shared" si="401"/>
        <v>-4.3619607650509609E-2</v>
      </c>
      <c r="AN46" s="581">
        <f t="shared" si="402"/>
        <v>-87.499987366564909</v>
      </c>
      <c r="AO46" s="582">
        <f t="shared" si="94"/>
        <v>0</v>
      </c>
      <c r="AP46" s="585">
        <f t="shared" si="403"/>
        <v>-89.999986993229953</v>
      </c>
      <c r="AQ46" s="586">
        <f t="shared" si="246"/>
        <v>0.44898257570132993</v>
      </c>
      <c r="AS46" s="52">
        <f t="shared" si="406"/>
        <v>-119.8600346719212</v>
      </c>
      <c r="AT46" s="72">
        <f t="shared" si="247"/>
        <v>-2.4983769905230275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>Gage</v>
      </c>
      <c r="IG46" s="847">
        <f t="shared" si="210"/>
        <v>3.2490000000000001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3.149</v>
      </c>
      <c r="II46" s="734" cm="1">
        <f t="array" ref="II46">IFERROR(ROUND(VALUE(IF($IH46&lt;1,$IH46+LARGE((IF($M$9:$M$150="",0,$M$9:$M$150)-MOD(IF($M$9:$M$150="",0,$M$9:$M$150),1)),1),$IH46)),4),"")</f>
        <v>3.149</v>
      </c>
      <c r="IJ46" s="533">
        <f t="shared" si="112"/>
        <v>1613</v>
      </c>
      <c r="IK46" s="533" t="str">
        <f t="shared" si="382"/>
        <v>CPS-32193r1</v>
      </c>
      <c r="IL46" s="727">
        <f t="shared" si="225"/>
        <v>11.064998402411845</v>
      </c>
      <c r="IM46" s="759">
        <v>8.4313016175801604E-4</v>
      </c>
      <c r="IN46" s="5">
        <f t="shared" si="226"/>
        <v>0</v>
      </c>
      <c r="IO46" s="771">
        <v>0</v>
      </c>
      <c r="IP46" s="9">
        <f t="shared" si="227"/>
        <v>-5.0638152724668606</v>
      </c>
      <c r="IQ46" s="5">
        <f t="shared" si="228"/>
        <v>-2.5668077414921489</v>
      </c>
      <c r="IR46" s="5">
        <f t="shared" si="383"/>
        <v>0.314</v>
      </c>
      <c r="IS46" s="5">
        <f t="shared" si="229"/>
        <v>0.27193198865724594</v>
      </c>
      <c r="IT46" s="727">
        <f t="shared" si="230"/>
        <v>87.499987366564753</v>
      </c>
      <c r="IU46" s="9">
        <f t="shared" si="231"/>
        <v>-5.0774352766906166</v>
      </c>
      <c r="IV46" s="5">
        <f t="shared" si="232"/>
        <v>-2.5816131257118617</v>
      </c>
      <c r="IW46" s="5">
        <f t="shared" si="384"/>
        <v>0.25700000000000001</v>
      </c>
      <c r="IX46" s="5">
        <f t="shared" si="233"/>
        <v>0.25700000000000001</v>
      </c>
      <c r="IY46" s="762">
        <f t="shared" si="234"/>
        <v>87.499987366564909</v>
      </c>
    </row>
    <row r="47" spans="1:267" ht="15" customHeight="1" x14ac:dyDescent="0.25">
      <c r="A47" s="79"/>
      <c r="B47" s="707">
        <v>0.75488900285296479</v>
      </c>
      <c r="C47" s="708">
        <v>-2.6326157194808668</v>
      </c>
      <c r="D47" s="709">
        <v>-0.10970033085619788</v>
      </c>
      <c r="E47" s="710">
        <v>0.91305661184597076</v>
      </c>
      <c r="F47" s="708">
        <v>0.30320773926228312</v>
      </c>
      <c r="G47" s="711">
        <v>0.27275023449267982</v>
      </c>
      <c r="H47" s="710">
        <v>0.314</v>
      </c>
      <c r="I47" s="708">
        <v>0.52</v>
      </c>
      <c r="J47" s="570">
        <v>4.1130000000000004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4.1130000000000004</v>
      </c>
      <c r="N47" s="632">
        <f t="shared" si="240"/>
        <v>0.75488900285296479</v>
      </c>
      <c r="O47" s="629">
        <f t="shared" si="241"/>
        <v>-2.6326157194808668</v>
      </c>
      <c r="P47" s="633">
        <f t="shared" si="242"/>
        <v>-0.10970033085619788</v>
      </c>
      <c r="Q47" s="585">
        <f t="shared" si="113"/>
        <v>285.99997170110538</v>
      </c>
      <c r="R47" s="629">
        <f t="shared" si="385"/>
        <v>2.7387082599441119</v>
      </c>
      <c r="S47" s="634">
        <f t="shared" si="386"/>
        <v>-0.10970033085619788</v>
      </c>
      <c r="T47" s="635">
        <f t="shared" si="387"/>
        <v>-2.6326157194808668</v>
      </c>
      <c r="U47" s="629">
        <f t="shared" si="388"/>
        <v>-0.75488900285296479</v>
      </c>
      <c r="V47" s="636">
        <f t="shared" si="389"/>
        <v>-0.10970033085619788</v>
      </c>
      <c r="W47" s="585">
        <f t="shared" si="224"/>
        <v>195.99997170110538</v>
      </c>
      <c r="X47" s="629">
        <f t="shared" si="390"/>
        <v>2.7387082599441119</v>
      </c>
      <c r="Y47" s="630">
        <f t="shared" si="223"/>
        <v>-0.10970033085619788</v>
      </c>
      <c r="Z47" s="632">
        <f t="shared" si="243"/>
        <v>-0.91305661184597076</v>
      </c>
      <c r="AA47" s="629">
        <f t="shared" si="244"/>
        <v>-0.30320773926228312</v>
      </c>
      <c r="AB47" s="629">
        <f t="shared" si="245"/>
        <v>-0.27275023449267982</v>
      </c>
      <c r="AC47" s="636">
        <f t="shared" si="391"/>
        <v>1</v>
      </c>
      <c r="AD47" s="637">
        <f t="shared" si="392"/>
        <v>-0.91305661184597076</v>
      </c>
      <c r="AE47" s="629">
        <f t="shared" si="393"/>
        <v>-0.30320773926228312</v>
      </c>
      <c r="AF47" s="633">
        <f t="shared" si="394"/>
        <v>-0.27275023449267982</v>
      </c>
      <c r="AG47" s="602">
        <f t="shared" si="395"/>
        <v>-48.027065513164892</v>
      </c>
      <c r="AH47" s="603">
        <f t="shared" si="396"/>
        <v>155.93123042717485</v>
      </c>
      <c r="AI47" s="585">
        <f t="shared" si="397"/>
        <v>-74.172012413104241</v>
      </c>
      <c r="AJ47" s="586">
        <f t="shared" si="398"/>
        <v>-71.629710773280308</v>
      </c>
      <c r="AK47" s="635">
        <f t="shared" si="399"/>
        <v>0.96126170705176617</v>
      </c>
      <c r="AL47" s="629">
        <f t="shared" si="400"/>
        <v>3.9789950240137983E-2</v>
      </c>
      <c r="AM47" s="634">
        <f t="shared" si="401"/>
        <v>-0.27275023449267982</v>
      </c>
      <c r="AN47" s="581">
        <f t="shared" si="402"/>
        <v>8.2999988016284618</v>
      </c>
      <c r="AO47" s="582">
        <f t="shared" si="94"/>
        <v>15.99999768988615</v>
      </c>
      <c r="AP47" s="585">
        <f t="shared" si="403"/>
        <v>2.370317525614329</v>
      </c>
      <c r="AQ47" s="586">
        <f t="shared" si="246"/>
        <v>0.83235088994823436</v>
      </c>
      <c r="AS47" s="52">
        <f t="shared" si="406"/>
        <v>-164.00002829889462</v>
      </c>
      <c r="AT47" s="72">
        <f t="shared" si="247"/>
        <v>4.1885776847011696E-3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4.1130000000000004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0.95079316009317505</v>
      </c>
      <c r="C48" s="708">
        <v>-3.4231193071556656</v>
      </c>
      <c r="D48" s="709">
        <v>-0.1180003558890734</v>
      </c>
      <c r="E48" s="710">
        <v>0.95250404327014748</v>
      </c>
      <c r="F48" s="708">
        <v>0.15488657084361671</v>
      </c>
      <c r="G48" s="711">
        <v>0.26219496129088077</v>
      </c>
      <c r="H48" s="710">
        <v>0.314</v>
      </c>
      <c r="I48" s="708">
        <v>0.52</v>
      </c>
      <c r="J48" s="570">
        <v>4.12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4.12</v>
      </c>
      <c r="N48" s="632">
        <f t="shared" si="240"/>
        <v>0.95079316009317505</v>
      </c>
      <c r="O48" s="629">
        <f t="shared" si="241"/>
        <v>-3.4231193071556656</v>
      </c>
      <c r="P48" s="633">
        <f t="shared" si="242"/>
        <v>-0.1180003558890734</v>
      </c>
      <c r="Q48" s="585">
        <f t="shared" si="113"/>
        <v>285.52297176997564</v>
      </c>
      <c r="R48" s="629">
        <f t="shared" si="79"/>
        <v>3.5527107149755168</v>
      </c>
      <c r="S48" s="634">
        <f t="shared" si="80"/>
        <v>-0.1180003558890734</v>
      </c>
      <c r="T48" s="635">
        <f t="shared" si="81"/>
        <v>-3.4231193071556656</v>
      </c>
      <c r="U48" s="629">
        <f t="shared" si="82"/>
        <v>-0.95079316009317472</v>
      </c>
      <c r="V48" s="636">
        <f t="shared" si="114"/>
        <v>-0.1180003558890734</v>
      </c>
      <c r="W48" s="585">
        <f t="shared" si="224"/>
        <v>195.52297176997564</v>
      </c>
      <c r="X48" s="629">
        <f t="shared" si="83"/>
        <v>3.5527107149755168</v>
      </c>
      <c r="Y48" s="630">
        <f t="shared" si="223"/>
        <v>-0.1180003558890734</v>
      </c>
      <c r="Z48" s="632">
        <f t="shared" si="243"/>
        <v>-0.95250404327014748</v>
      </c>
      <c r="AA48" s="629">
        <f t="shared" si="244"/>
        <v>-0.15488657084361671</v>
      </c>
      <c r="AB48" s="629">
        <f t="shared" si="245"/>
        <v>-0.26219496129088077</v>
      </c>
      <c r="AC48" s="636">
        <f t="shared" si="84"/>
        <v>1</v>
      </c>
      <c r="AD48" s="637">
        <f t="shared" si="115"/>
        <v>-0.95250404327014748</v>
      </c>
      <c r="AE48" s="629">
        <f t="shared" si="85"/>
        <v>-0.15488657084361671</v>
      </c>
      <c r="AF48" s="633">
        <f t="shared" si="86"/>
        <v>-0.26219496129088077</v>
      </c>
      <c r="AG48" s="602">
        <f t="shared" si="87"/>
        <v>-30.571643665204586</v>
      </c>
      <c r="AH48" s="603">
        <f t="shared" si="88"/>
        <v>162.2703544544236</v>
      </c>
      <c r="AI48" s="585">
        <f t="shared" si="89"/>
        <v>-74.799656667308881</v>
      </c>
      <c r="AJ48" s="586">
        <f t="shared" si="90"/>
        <v>-80.763980014209366</v>
      </c>
      <c r="AK48" s="635">
        <f t="shared" si="211"/>
        <v>0.95921124634369781</v>
      </c>
      <c r="AL48" s="629">
        <f t="shared" si="91"/>
        <v>-0.10567680521970638</v>
      </c>
      <c r="AM48" s="634">
        <f t="shared" si="92"/>
        <v>-0.26219496129088077</v>
      </c>
      <c r="AN48" s="581">
        <f t="shared" si="93"/>
        <v>-21.951734965933731</v>
      </c>
      <c r="AO48" s="582">
        <f t="shared" si="94"/>
        <v>16.420833846366982</v>
      </c>
      <c r="AP48" s="585">
        <f t="shared" si="95"/>
        <v>-6.2869517841850042</v>
      </c>
      <c r="AQ48" s="586">
        <f t="shared" si="246"/>
        <v>0.64165970911405446</v>
      </c>
      <c r="AS48" s="52">
        <f t="shared" si="406"/>
        <v>-164.47702823002436</v>
      </c>
      <c r="AT48" s="72">
        <f t="shared" si="247"/>
        <v>-3.7801973960009255E-3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1.0713114527917824</v>
      </c>
      <c r="C49" s="708">
        <v>-4.1101893930167241</v>
      </c>
      <c r="D49" s="709">
        <v>-0.4279012905502923</v>
      </c>
      <c r="E49" s="710">
        <v>0.97308601870427736</v>
      </c>
      <c r="F49" s="708">
        <v>1.3196485350569359E-2</v>
      </c>
      <c r="G49" s="711">
        <v>0.23006401930039178</v>
      </c>
      <c r="H49" s="710">
        <v>0.314</v>
      </c>
      <c r="I49" s="708">
        <v>0.52</v>
      </c>
      <c r="J49" s="570">
        <v>4.1269999999999998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4.1269999999999998</v>
      </c>
      <c r="N49" s="632">
        <f t="shared" si="240"/>
        <v>1.0713114527917824</v>
      </c>
      <c r="O49" s="629">
        <f t="shared" si="241"/>
        <v>-4.1101893930167241</v>
      </c>
      <c r="P49" s="633">
        <f t="shared" si="242"/>
        <v>-0.4279012905502923</v>
      </c>
      <c r="Q49" s="585">
        <f t="shared" si="113"/>
        <v>284.60897190194089</v>
      </c>
      <c r="R49" s="629">
        <f t="shared" si="79"/>
        <v>4.2475128104986366</v>
      </c>
      <c r="S49" s="634">
        <f t="shared" si="80"/>
        <v>-0.4279012905502923</v>
      </c>
      <c r="T49" s="635">
        <f t="shared" si="81"/>
        <v>-4.1101893930167241</v>
      </c>
      <c r="U49" s="629">
        <f t="shared" si="82"/>
        <v>-1.0713114527917815</v>
      </c>
      <c r="V49" s="636">
        <f t="shared" si="114"/>
        <v>-0.4279012905502923</v>
      </c>
      <c r="W49" s="585">
        <f t="shared" si="224"/>
        <v>194.60897190194089</v>
      </c>
      <c r="X49" s="629">
        <f t="shared" si="83"/>
        <v>4.2475128104986366</v>
      </c>
      <c r="Y49" s="630">
        <f t="shared" si="223"/>
        <v>-0.4279012905502923</v>
      </c>
      <c r="Z49" s="632">
        <f t="shared" si="243"/>
        <v>-0.97308601870427736</v>
      </c>
      <c r="AA49" s="629">
        <f t="shared" si="244"/>
        <v>-1.3196485350569359E-2</v>
      </c>
      <c r="AB49" s="629">
        <f t="shared" si="245"/>
        <v>-0.23006401930039178</v>
      </c>
      <c r="AC49" s="636">
        <f t="shared" si="84"/>
        <v>1</v>
      </c>
      <c r="AD49" s="637">
        <f t="shared" si="115"/>
        <v>-0.97308601870427736</v>
      </c>
      <c r="AE49" s="629">
        <f t="shared" si="85"/>
        <v>-1.3196485350569359E-2</v>
      </c>
      <c r="AF49" s="633">
        <f t="shared" si="86"/>
        <v>-0.23006401930039178</v>
      </c>
      <c r="AG49" s="602">
        <f t="shared" si="87"/>
        <v>-3.2828919236804084</v>
      </c>
      <c r="AH49" s="603">
        <f t="shared" si="88"/>
        <v>166.6768936384554</v>
      </c>
      <c r="AI49" s="585">
        <f t="shared" si="89"/>
        <v>-76.699159141038763</v>
      </c>
      <c r="AJ49" s="586">
        <f t="shared" si="90"/>
        <v>-89.223032133837577</v>
      </c>
      <c r="AK49" s="635">
        <f t="shared" si="211"/>
        <v>0.94495427266119769</v>
      </c>
      <c r="AL49" s="629">
        <f t="shared" si="91"/>
        <v>-0.23266278087114825</v>
      </c>
      <c r="AM49" s="634">
        <f t="shared" si="92"/>
        <v>-0.23006401930039178</v>
      </c>
      <c r="AN49" s="581">
        <f t="shared" si="93"/>
        <v>-45.321780593744883</v>
      </c>
      <c r="AO49" s="582">
        <f t="shared" si="94"/>
        <v>19.099061354826457</v>
      </c>
      <c r="AP49" s="585">
        <f t="shared" si="95"/>
        <v>-13.832004035778461</v>
      </c>
      <c r="AQ49" s="586">
        <f t="shared" si="246"/>
        <v>0.53670466802293471</v>
      </c>
      <c r="AS49" s="52">
        <f t="shared" si="406"/>
        <v>-165.39102809805911</v>
      </c>
      <c r="AT49" s="72">
        <f t="shared" si="247"/>
        <v>-0.31304640992664012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4.1269999999999998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1.1329733894214697</v>
      </c>
      <c r="C50" s="708">
        <v>-4.6328916316326012</v>
      </c>
      <c r="D50" s="709">
        <v>-0.9814029599113272</v>
      </c>
      <c r="E50" s="710">
        <v>0.97905784951778185</v>
      </c>
      <c r="F50" s="708">
        <v>-0.1155577158259353</v>
      </c>
      <c r="G50" s="711">
        <v>0.16760710489328562</v>
      </c>
      <c r="H50" s="710">
        <v>0.314</v>
      </c>
      <c r="I50" s="708">
        <v>0.52</v>
      </c>
      <c r="J50" s="570">
        <v>4.1340000000000003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4.1340000000000003</v>
      </c>
      <c r="N50" s="632">
        <f t="shared" si="240"/>
        <v>1.1329733894214697</v>
      </c>
      <c r="O50" s="629">
        <f t="shared" si="241"/>
        <v>-4.6328916316326012</v>
      </c>
      <c r="P50" s="633">
        <f t="shared" si="242"/>
        <v>-0.9814029599113272</v>
      </c>
      <c r="Q50" s="585">
        <f t="shared" si="113"/>
        <v>283.7419720271202</v>
      </c>
      <c r="R50" s="629">
        <f t="shared" si="79"/>
        <v>4.7694143845537846</v>
      </c>
      <c r="S50" s="634">
        <f t="shared" si="80"/>
        <v>-0.9814029599113272</v>
      </c>
      <c r="T50" s="635">
        <f t="shared" si="81"/>
        <v>-4.6328916316326003</v>
      </c>
      <c r="U50" s="629">
        <f t="shared" si="82"/>
        <v>-1.1329733894214706</v>
      </c>
      <c r="V50" s="636">
        <f t="shared" si="114"/>
        <v>-0.9814029599113272</v>
      </c>
      <c r="W50" s="585">
        <f t="shared" si="224"/>
        <v>193.7419720271202</v>
      </c>
      <c r="X50" s="629">
        <f t="shared" si="83"/>
        <v>4.7694143845537846</v>
      </c>
      <c r="Y50" s="630">
        <f t="shared" si="223"/>
        <v>-0.9814029599113272</v>
      </c>
      <c r="Z50" s="632">
        <f t="shared" si="243"/>
        <v>-0.97905784951778185</v>
      </c>
      <c r="AA50" s="629">
        <f t="shared" si="244"/>
        <v>0.1155577158259353</v>
      </c>
      <c r="AB50" s="629">
        <f t="shared" si="245"/>
        <v>-0.16760710489328562</v>
      </c>
      <c r="AC50" s="636">
        <f t="shared" si="84"/>
        <v>1</v>
      </c>
      <c r="AD50" s="637">
        <f t="shared" si="115"/>
        <v>-0.97905784951778185</v>
      </c>
      <c r="AE50" s="629">
        <f t="shared" si="85"/>
        <v>0.1155577158259353</v>
      </c>
      <c r="AF50" s="633">
        <f t="shared" si="86"/>
        <v>-0.16760710489328562</v>
      </c>
      <c r="AG50" s="602">
        <f t="shared" si="87"/>
        <v>34.584552548852635</v>
      </c>
      <c r="AH50" s="603">
        <f t="shared" si="88"/>
        <v>168.25348285850171</v>
      </c>
      <c r="AI50" s="585">
        <f t="shared" si="89"/>
        <v>-80.351279879731507</v>
      </c>
      <c r="AJ50" s="586">
        <f t="shared" si="90"/>
        <v>-96.731449395117735</v>
      </c>
      <c r="AK50" s="635">
        <f t="shared" si="211"/>
        <v>0.92358196327160724</v>
      </c>
      <c r="AL50" s="629">
        <f t="shared" si="91"/>
        <v>-0.34482490558057838</v>
      </c>
      <c r="AM50" s="634">
        <f t="shared" si="92"/>
        <v>-0.16760710489328562</v>
      </c>
      <c r="AN50" s="581">
        <f t="shared" si="93"/>
        <v>-64.077264129810629</v>
      </c>
      <c r="AO50" s="582">
        <f t="shared" si="94"/>
        <v>22.544510654671605</v>
      </c>
      <c r="AP50" s="585">
        <f t="shared" si="95"/>
        <v>-20.473421422237934</v>
      </c>
      <c r="AQ50" s="586">
        <f t="shared" si="246"/>
        <v>0.47797770606991408</v>
      </c>
      <c r="AS50" s="52">
        <f t="shared" si="406"/>
        <v>-166.2580279728798</v>
      </c>
      <c r="AT50" s="72">
        <f t="shared" si="247"/>
        <v>-0.86594599604127176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4.1340000000000003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1.1549694299777904</v>
      </c>
      <c r="C51" s="708">
        <v>-4.9038395892789577</v>
      </c>
      <c r="D51" s="709">
        <v>-1.6932051067066018</v>
      </c>
      <c r="E51" s="710">
        <v>0.95795018831160506</v>
      </c>
      <c r="F51" s="708">
        <v>-0.26684898672144325</v>
      </c>
      <c r="G51" s="711">
        <v>0.10546589495898395</v>
      </c>
      <c r="H51" s="710">
        <v>0.314</v>
      </c>
      <c r="I51" s="708">
        <v>0.52</v>
      </c>
      <c r="J51" s="570">
        <v>4.141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4.141</v>
      </c>
      <c r="N51" s="632">
        <f t="shared" si="240"/>
        <v>1.1549694299777904</v>
      </c>
      <c r="O51" s="629">
        <f t="shared" si="241"/>
        <v>-4.9038395892789577</v>
      </c>
      <c r="P51" s="633">
        <f t="shared" si="242"/>
        <v>-1.6932051067066018</v>
      </c>
      <c r="Q51" s="585">
        <f t="shared" si="113"/>
        <v>283.25297209772305</v>
      </c>
      <c r="R51" s="629">
        <f t="shared" si="79"/>
        <v>5.038015194653827</v>
      </c>
      <c r="S51" s="634">
        <f t="shared" si="80"/>
        <v>-1.6932051067066018</v>
      </c>
      <c r="T51" s="635">
        <f t="shared" si="81"/>
        <v>-4.9038395892789577</v>
      </c>
      <c r="U51" s="629">
        <f t="shared" si="82"/>
        <v>-1.1549694299777893</v>
      </c>
      <c r="V51" s="636">
        <f t="shared" si="114"/>
        <v>-1.6932051067066018</v>
      </c>
      <c r="W51" s="585">
        <f t="shared" si="224"/>
        <v>193.25297209772305</v>
      </c>
      <c r="X51" s="629">
        <f t="shared" si="83"/>
        <v>5.038015194653827</v>
      </c>
      <c r="Y51" s="630">
        <f t="shared" si="223"/>
        <v>-1.6932051067066018</v>
      </c>
      <c r="Z51" s="632">
        <f t="shared" si="243"/>
        <v>-0.95795018831160506</v>
      </c>
      <c r="AA51" s="629">
        <f t="shared" si="244"/>
        <v>0.26684898672144325</v>
      </c>
      <c r="AB51" s="629">
        <f t="shared" si="245"/>
        <v>-0.10546589495898395</v>
      </c>
      <c r="AC51" s="636">
        <f t="shared" si="84"/>
        <v>1</v>
      </c>
      <c r="AD51" s="637">
        <f t="shared" si="115"/>
        <v>-0.95795018831160506</v>
      </c>
      <c r="AE51" s="629">
        <f t="shared" si="85"/>
        <v>0.26684898672144325</v>
      </c>
      <c r="AF51" s="633">
        <f t="shared" si="86"/>
        <v>-0.10546589495898395</v>
      </c>
      <c r="AG51" s="602">
        <f t="shared" si="87"/>
        <v>68.434735688957659</v>
      </c>
      <c r="AH51" s="603">
        <f t="shared" si="88"/>
        <v>163.32547922466046</v>
      </c>
      <c r="AI51" s="585">
        <f t="shared" si="89"/>
        <v>-83.945990582456744</v>
      </c>
      <c r="AJ51" s="586">
        <f t="shared" si="90"/>
        <v>-105.565842394368</v>
      </c>
      <c r="AK51" s="635">
        <f t="shared" si="211"/>
        <v>0.87126208761215795</v>
      </c>
      <c r="AL51" s="629">
        <f t="shared" si="91"/>
        <v>-0.47935302198922758</v>
      </c>
      <c r="AM51" s="634">
        <f t="shared" si="92"/>
        <v>-0.10546589495898395</v>
      </c>
      <c r="AN51" s="581">
        <f t="shared" si="93"/>
        <v>-77.591643165883482</v>
      </c>
      <c r="AO51" s="582">
        <f t="shared" si="94"/>
        <v>29.394364922568148</v>
      </c>
      <c r="AP51" s="585">
        <f t="shared" si="95"/>
        <v>-28.818814492091036</v>
      </c>
      <c r="AQ51" s="586">
        <f t="shared" si="246"/>
        <v>0.4524955061342345</v>
      </c>
      <c r="AS51" s="52">
        <f t="shared" si="406"/>
        <v>-166.74702790227695</v>
      </c>
      <c r="AT51" s="72">
        <f t="shared" si="247"/>
        <v>-1.5774085595522429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4.141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1.1567544446640938</v>
      </c>
      <c r="C52" s="708">
        <v>-4.9299233531991646</v>
      </c>
      <c r="D52" s="709">
        <v>-2.4574074115407534</v>
      </c>
      <c r="E52" s="710">
        <v>0.95723588682906346</v>
      </c>
      <c r="F52" s="708">
        <v>-0.28848533679937416</v>
      </c>
      <c r="G52" s="711">
        <v>2.180980096947744E-2</v>
      </c>
      <c r="H52" s="710">
        <v>0.314</v>
      </c>
      <c r="I52" s="708">
        <v>0.52</v>
      </c>
      <c r="J52" s="570">
        <v>4.1479999999999997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4.1479999999999997</v>
      </c>
      <c r="N52" s="632">
        <f t="shared" si="240"/>
        <v>1.1567544446640938</v>
      </c>
      <c r="O52" s="629">
        <f t="shared" si="241"/>
        <v>-4.9299233531991646</v>
      </c>
      <c r="P52" s="633">
        <f t="shared" si="242"/>
        <v>-2.4574074115407534</v>
      </c>
      <c r="Q52" s="585">
        <f t="shared" si="113"/>
        <v>283.20497210465339</v>
      </c>
      <c r="R52" s="629">
        <f t="shared" si="79"/>
        <v>5.0638152724668615</v>
      </c>
      <c r="S52" s="634">
        <f t="shared" si="80"/>
        <v>-2.4574074115407534</v>
      </c>
      <c r="T52" s="635">
        <f t="shared" si="81"/>
        <v>-4.9299233531991655</v>
      </c>
      <c r="U52" s="629">
        <f t="shared" si="82"/>
        <v>-1.1567544446640934</v>
      </c>
      <c r="V52" s="636">
        <f t="shared" si="114"/>
        <v>-2.4574074115407534</v>
      </c>
      <c r="W52" s="585">
        <f t="shared" si="224"/>
        <v>193.20497210465339</v>
      </c>
      <c r="X52" s="629">
        <f t="shared" si="83"/>
        <v>5.0638152724668615</v>
      </c>
      <c r="Y52" s="630">
        <f t="shared" si="223"/>
        <v>-2.4574074115407534</v>
      </c>
      <c r="Z52" s="632">
        <f t="shared" si="243"/>
        <v>-0.95723588682906346</v>
      </c>
      <c r="AA52" s="629">
        <f t="shared" si="244"/>
        <v>0.28848533679937416</v>
      </c>
      <c r="AB52" s="629">
        <f t="shared" si="245"/>
        <v>-2.180980096947744E-2</v>
      </c>
      <c r="AC52" s="636">
        <f t="shared" si="84"/>
        <v>1</v>
      </c>
      <c r="AD52" s="637">
        <f t="shared" si="115"/>
        <v>-0.95723588682906346</v>
      </c>
      <c r="AE52" s="629">
        <f t="shared" si="85"/>
        <v>0.28848533679937416</v>
      </c>
      <c r="AF52" s="633">
        <f t="shared" si="86"/>
        <v>-2.180980096947744E-2</v>
      </c>
      <c r="AG52" s="602">
        <f t="shared" si="87"/>
        <v>85.676601907182345</v>
      </c>
      <c r="AH52" s="603">
        <f t="shared" si="88"/>
        <v>163.18343349167381</v>
      </c>
      <c r="AI52" s="585">
        <f t="shared" si="89"/>
        <v>-88.75029136479283</v>
      </c>
      <c r="AJ52" s="586">
        <f t="shared" si="90"/>
        <v>-106.77140427604868</v>
      </c>
      <c r="AK52" s="635">
        <f t="shared" si="211"/>
        <v>0.86602544158358574</v>
      </c>
      <c r="AL52" s="629">
        <f t="shared" si="91"/>
        <v>-0.49952404057425237</v>
      </c>
      <c r="AM52" s="634">
        <f t="shared" si="92"/>
        <v>-2.180980096947744E-2</v>
      </c>
      <c r="AN52" s="581">
        <f t="shared" si="93"/>
        <v>-87.499987366564923</v>
      </c>
      <c r="AO52" s="582">
        <f t="shared" si="94"/>
        <v>29.99999566853651</v>
      </c>
      <c r="AP52" s="585">
        <f t="shared" si="95"/>
        <v>-29.97637638070206</v>
      </c>
      <c r="AQ52" s="586">
        <f t="shared" si="246"/>
        <v>0.45019014211149161</v>
      </c>
      <c r="AS52" s="52">
        <f t="shared" si="406"/>
        <v>-166.79502789534661</v>
      </c>
      <c r="AT52" s="72">
        <f t="shared" si="247"/>
        <v>-2.3415775310578737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4.1479999999999997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4.388931819811194E-2</v>
      </c>
      <c r="C53" s="708">
        <v>-3.5618107184991201</v>
      </c>
      <c r="D53" s="709">
        <v>-8.1500000000000017E-2</v>
      </c>
      <c r="E53" s="710">
        <v>0.89841004457794305</v>
      </c>
      <c r="F53" s="708">
        <v>-0.11889882857790898</v>
      </c>
      <c r="G53" s="711">
        <v>0.4227557928216471</v>
      </c>
      <c r="H53" s="710">
        <v>0.26600000000000001</v>
      </c>
      <c r="I53" s="708">
        <v>0.52</v>
      </c>
      <c r="J53" s="570">
        <v>4.22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4.22</v>
      </c>
      <c r="N53" s="632">
        <f t="shared" si="240"/>
        <v>4.388931819811194E-2</v>
      </c>
      <c r="O53" s="629">
        <f t="shared" si="241"/>
        <v>-3.5618107184991201</v>
      </c>
      <c r="P53" s="633">
        <f t="shared" si="242"/>
        <v>-8.1500000000000017E-2</v>
      </c>
      <c r="Q53" s="585">
        <f t="shared" si="113"/>
        <v>270.70597390928543</v>
      </c>
      <c r="R53" s="629">
        <f t="shared" ref="R53:R58" si="410">IF(M53="","",SQRT(N53^2+O53^2))</f>
        <v>3.5620811145546805</v>
      </c>
      <c r="S53" s="634">
        <f t="shared" ref="S53:S58" si="411">IF(M53="","",P53)</f>
        <v>-8.1500000000000017E-2</v>
      </c>
      <c r="T53" s="635">
        <f t="shared" ref="T53:T58" si="412">IF(M53="","",X53*COS(RADIANS(W53)))</f>
        <v>-3.5618107184991201</v>
      </c>
      <c r="U53" s="629">
        <f t="shared" ref="U53:U58" si="413">IF(M53="","",X53*SIN(RADIANS(W53)))</f>
        <v>-4.388931819811074E-2</v>
      </c>
      <c r="V53" s="636">
        <f t="shared" ref="V53:V58" si="414">IF(M53="","",Y53)</f>
        <v>-8.1500000000000017E-2</v>
      </c>
      <c r="W53" s="585">
        <f t="shared" si="224"/>
        <v>180.70597390928543</v>
      </c>
      <c r="X53" s="629">
        <f t="shared" ref="X53:X58" si="415">IF(M53="","",R53)</f>
        <v>3.5620811145546805</v>
      </c>
      <c r="Y53" s="630">
        <f t="shared" si="223"/>
        <v>-8.1500000000000017E-2</v>
      </c>
      <c r="Z53" s="632">
        <f t="shared" si="243"/>
        <v>-0.89841004457794305</v>
      </c>
      <c r="AA53" s="629">
        <f t="shared" si="244"/>
        <v>0.11889882857790898</v>
      </c>
      <c r="AB53" s="629">
        <f t="shared" si="245"/>
        <v>-0.4227557928216471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-0.89841004457794305</v>
      </c>
      <c r="AE53" s="629">
        <f t="shared" ref="AE53:AE58" si="418">IF(M53="","",AA53*(1/SQRT(Z53^2+AA53^2+AB53^2)))</f>
        <v>0.11889882857790898</v>
      </c>
      <c r="AF53" s="633">
        <f t="shared" ref="AF53:AF58" si="419">IF(M53="","",AB53*(1/SQRT(Z53^2+AA53^2+AB53^2)))</f>
        <v>-0.4227557928216471</v>
      </c>
      <c r="AG53" s="602">
        <f t="shared" ref="AG53:AG58" si="420">IF(M53="","",DEGREES(ATAN2(-AF53,AE53)))</f>
        <v>15.708482323623718</v>
      </c>
      <c r="AH53" s="603">
        <f t="shared" ref="AH53:AH58" si="421">IF(M53="","",DEGREES(ACOS(AD53)))</f>
        <v>153.94985537101857</v>
      </c>
      <c r="AI53" s="585">
        <f t="shared" ref="AI53:AI58" si="422">IF(M53="","",DEGREES(-ACOS(-AF53)))</f>
        <v>-64.991305128950827</v>
      </c>
      <c r="AJ53" s="586">
        <f t="shared" ref="AJ53:AJ58" si="423">IF(M53="","",DEGREES(ATAN2(-AE53,AD53)))</f>
        <v>-97.53891970714848</v>
      </c>
      <c r="AK53" s="635">
        <f t="shared" ref="AK53:AK58" si="424">IF(M53="","",(COS(RADIANS((90-$Q$8)-W53))*AD53)+(-SIN(RADIANS((90-$Q$8)-W53))*AE53))</f>
        <v>0.89687686358696184</v>
      </c>
      <c r="AL53" s="629">
        <f t="shared" ref="AL53:AL58" si="425">IF(M53="","",(SIN(RADIANS((90-$Q$8)-W53))*AD53)+(COS(RADIANS((90-$Q$8)-W53))*AE53))</f>
        <v>-0.12995934440491239</v>
      </c>
      <c r="AM53" s="634">
        <f t="shared" ref="AM53:AM58" si="426">IF(M53="","",AF53)</f>
        <v>-0.4227557928216471</v>
      </c>
      <c r="AN53" s="581">
        <f t="shared" ref="AN53:AN58" si="427">IF(M53="","",DEGREES(ATAN2(-AM53,AL53)))</f>
        <v>-17.087949962766295</v>
      </c>
      <c r="AO53" s="582">
        <f t="shared" si="94"/>
        <v>26.249466008175688</v>
      </c>
      <c r="AP53" s="585">
        <f t="shared" ref="AP53:AP58" si="428">IF(M53="","",DEGREES(ATAN2(AK53,AL53)))</f>
        <v>-8.2448936164339131</v>
      </c>
      <c r="AQ53" s="586">
        <f t="shared" si="246"/>
        <v>0.63997190163915896</v>
      </c>
      <c r="AS53" s="52">
        <f t="shared" si="406"/>
        <v>-179.29402609071457</v>
      </c>
      <c r="AT53" s="72">
        <f t="shared" si="247"/>
        <v>4.3009740340773997E-2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4.22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</v>
      </c>
      <c r="II53" s="734" cm="1">
        <f t="array" ref="II53">IFERROR(ROUND(VALUE(IF($IH53&lt;1,$IH53+LARGE((IF($M$9:$M$150="",0,$M$9:$M$150)-MOD(IF($M$9:$M$150="",0,$M$9:$M$150),1)),1),$IH53)),4),"")</f>
        <v>4.12</v>
      </c>
      <c r="IJ53" s="533">
        <f t="shared" si="112"/>
        <v>1613</v>
      </c>
      <c r="IK53" s="533">
        <f t="shared" si="382"/>
        <v>1313</v>
      </c>
      <c r="IL53" s="727">
        <f t="shared" si="225"/>
        <v>14.816997860690208</v>
      </c>
      <c r="IM53" s="759">
        <v>2.5058700065949398E-2</v>
      </c>
      <c r="IN53" s="5">
        <f t="shared" si="226"/>
        <v>0.57999999999999996</v>
      </c>
      <c r="IO53" s="771">
        <v>290</v>
      </c>
      <c r="IP53" s="9">
        <f t="shared" si="227"/>
        <v>-3.5527107149755168</v>
      </c>
      <c r="IQ53" s="5">
        <f t="shared" si="228"/>
        <v>-0.1180003558890734</v>
      </c>
      <c r="IR53" s="5">
        <f t="shared" si="383"/>
        <v>0.314</v>
      </c>
      <c r="IS53" s="5">
        <f t="shared" si="229"/>
        <v>0.30119233135192114</v>
      </c>
      <c r="IT53" s="727">
        <f t="shared" si="230"/>
        <v>21.951734965933731</v>
      </c>
      <c r="IU53" s="9">
        <f t="shared" si="231"/>
        <v>-3.5620811145546805</v>
      </c>
      <c r="IV53" s="5">
        <f t="shared" si="232"/>
        <v>-8.1500000000000017E-2</v>
      </c>
      <c r="IW53" s="5">
        <f t="shared" si="384"/>
        <v>0.26600000000000001</v>
      </c>
      <c r="IX53" s="5">
        <f t="shared" si="233"/>
        <v>0.23856924571413185</v>
      </c>
      <c r="IY53" s="762">
        <f t="shared" si="234"/>
        <v>17.087949962766295</v>
      </c>
    </row>
    <row r="54" spans="1:259" ht="15" customHeight="1" x14ac:dyDescent="0.25">
      <c r="A54" s="79"/>
      <c r="B54" s="707">
        <v>0.13329457084484822</v>
      </c>
      <c r="C54" s="708">
        <v>-4.2724409676558581</v>
      </c>
      <c r="D54" s="709">
        <v>-0.39389999999999997</v>
      </c>
      <c r="E54" s="710">
        <v>0.88621985466516451</v>
      </c>
      <c r="F54" s="708">
        <v>-0.27278798488475486</v>
      </c>
      <c r="G54" s="711">
        <v>0.37443435272390474</v>
      </c>
      <c r="H54" s="710">
        <v>0.26600000000000001</v>
      </c>
      <c r="I54" s="708">
        <v>0.52</v>
      </c>
      <c r="J54" s="570">
        <v>4.2270000000000003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4.2270000000000003</v>
      </c>
      <c r="N54" s="632">
        <f t="shared" si="240"/>
        <v>0.13329457084484822</v>
      </c>
      <c r="O54" s="629">
        <f t="shared" si="241"/>
        <v>-4.2724409676558581</v>
      </c>
      <c r="P54" s="633">
        <f t="shared" si="242"/>
        <v>-0.39389999999999997</v>
      </c>
      <c r="Q54" s="585">
        <f t="shared" si="113"/>
        <v>271.78697375320837</v>
      </c>
      <c r="R54" s="629">
        <f t="shared" si="410"/>
        <v>4.2745197700701816</v>
      </c>
      <c r="S54" s="634">
        <f t="shared" si="411"/>
        <v>-0.39389999999999997</v>
      </c>
      <c r="T54" s="635">
        <f t="shared" si="412"/>
        <v>-4.2724409676558581</v>
      </c>
      <c r="U54" s="629">
        <f t="shared" si="413"/>
        <v>-0.13329457084484775</v>
      </c>
      <c r="V54" s="636">
        <f t="shared" si="414"/>
        <v>-0.39389999999999997</v>
      </c>
      <c r="W54" s="585">
        <f t="shared" si="224"/>
        <v>181.78697375320837</v>
      </c>
      <c r="X54" s="629">
        <f t="shared" si="415"/>
        <v>4.2745197700701816</v>
      </c>
      <c r="Y54" s="630">
        <f t="shared" si="223"/>
        <v>-0.39389999999999997</v>
      </c>
      <c r="Z54" s="632">
        <f t="shared" si="243"/>
        <v>-0.88621985466516451</v>
      </c>
      <c r="AA54" s="629">
        <f t="shared" si="244"/>
        <v>0.27278798488475486</v>
      </c>
      <c r="AB54" s="629">
        <f t="shared" si="245"/>
        <v>-0.37443435272390474</v>
      </c>
      <c r="AC54" s="636">
        <f t="shared" si="416"/>
        <v>1</v>
      </c>
      <c r="AD54" s="637">
        <f t="shared" si="417"/>
        <v>-0.88621985466516451</v>
      </c>
      <c r="AE54" s="629">
        <f t="shared" si="418"/>
        <v>0.27278798488475486</v>
      </c>
      <c r="AF54" s="633">
        <f t="shared" si="419"/>
        <v>-0.37443435272390474</v>
      </c>
      <c r="AG54" s="602">
        <f t="shared" si="420"/>
        <v>36.07459346749549</v>
      </c>
      <c r="AH54" s="603">
        <f t="shared" si="421"/>
        <v>152.40201284910222</v>
      </c>
      <c r="AI54" s="585">
        <f t="shared" si="422"/>
        <v>-68.01064329841617</v>
      </c>
      <c r="AJ54" s="586">
        <f t="shared" si="423"/>
        <v>-107.1089273063843</v>
      </c>
      <c r="AK54" s="635">
        <f t="shared" si="424"/>
        <v>0.87728237504047291</v>
      </c>
      <c r="AL54" s="629">
        <f t="shared" si="425"/>
        <v>-0.30029077565515983</v>
      </c>
      <c r="AM54" s="634">
        <f t="shared" si="426"/>
        <v>-0.37443435272390474</v>
      </c>
      <c r="AN54" s="581">
        <f t="shared" si="427"/>
        <v>-38.729093835081429</v>
      </c>
      <c r="AO54" s="582">
        <f t="shared" si="94"/>
        <v>28.683744324367144</v>
      </c>
      <c r="AP54" s="585">
        <f t="shared" si="428"/>
        <v>-18.895901059592688</v>
      </c>
      <c r="AQ54" s="586">
        <f t="shared" si="246"/>
        <v>0.53331389615088831</v>
      </c>
      <c r="AS54" s="52">
        <f t="shared" si="406"/>
        <v>-178.21302624679163</v>
      </c>
      <c r="AT54" s="72">
        <f t="shared" si="247"/>
        <v>-0.27014095399528354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4.2270000000000003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4.1269999999999998</v>
      </c>
      <c r="II54" s="734" cm="1">
        <f t="array" ref="II54">IFERROR(ROUND(VALUE(IF($IH54&lt;1,$IH54+LARGE((IF($M$9:$M$150="",0,$M$9:$M$150)-MOD(IF($M$9:$M$150="",0,$M$9:$M$150),1)),1),$IH54)),4),"")</f>
        <v>4.1269999999999998</v>
      </c>
      <c r="IJ54" s="533">
        <f t="shared" si="112"/>
        <v>1613</v>
      </c>
      <c r="IK54" s="533">
        <f t="shared" si="382"/>
        <v>1313</v>
      </c>
      <c r="IL54" s="727">
        <f t="shared" si="225"/>
        <v>12.821998148732519</v>
      </c>
      <c r="IM54" s="759">
        <v>1.9515075193654301E-2</v>
      </c>
      <c r="IN54" s="5">
        <f t="shared" si="226"/>
        <v>0.62</v>
      </c>
      <c r="IO54" s="771">
        <v>310</v>
      </c>
      <c r="IP54" s="9">
        <f t="shared" si="227"/>
        <v>-4.2475128104986366</v>
      </c>
      <c r="IQ54" s="5">
        <f t="shared" si="228"/>
        <v>-0.4279012905502923</v>
      </c>
      <c r="IR54" s="5">
        <f t="shared" si="383"/>
        <v>0.314</v>
      </c>
      <c r="IS54" s="5">
        <f t="shared" si="229"/>
        <v>0.29671564161561609</v>
      </c>
      <c r="IT54" s="727">
        <f t="shared" si="230"/>
        <v>45.321780593744883</v>
      </c>
      <c r="IU54" s="9">
        <f t="shared" si="231"/>
        <v>-4.2745197700701816</v>
      </c>
      <c r="IV54" s="5">
        <f t="shared" si="232"/>
        <v>-0.39389999999999997</v>
      </c>
      <c r="IW54" s="5">
        <f t="shared" si="384"/>
        <v>0.26600000000000001</v>
      </c>
      <c r="IX54" s="5">
        <f t="shared" si="233"/>
        <v>0.23335711176076585</v>
      </c>
      <c r="IY54" s="762">
        <f t="shared" si="234"/>
        <v>38.729093835081429</v>
      </c>
    </row>
    <row r="55" spans="1:259" ht="15" customHeight="1" x14ac:dyDescent="0.25">
      <c r="A55" s="79"/>
      <c r="B55" s="707">
        <v>0.17604301302378467</v>
      </c>
      <c r="C55" s="708">
        <v>-4.8078893908516509</v>
      </c>
      <c r="D55" s="709">
        <v>-0.95780000000000021</v>
      </c>
      <c r="E55" s="710">
        <v>0.87220478050579897</v>
      </c>
      <c r="F55" s="708">
        <v>-0.40639113441348851</v>
      </c>
      <c r="G55" s="711">
        <v>0.27222245817152763</v>
      </c>
      <c r="H55" s="710">
        <v>0.26600000000000001</v>
      </c>
      <c r="I55" s="708">
        <v>0.52</v>
      </c>
      <c r="J55" s="570">
        <v>4.234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4.234</v>
      </c>
      <c r="N55" s="632">
        <f t="shared" si="240"/>
        <v>0.17604301302378467</v>
      </c>
      <c r="O55" s="629">
        <f t="shared" si="241"/>
        <v>-4.8078893908516509</v>
      </c>
      <c r="P55" s="633">
        <f t="shared" si="242"/>
        <v>-0.95780000000000021</v>
      </c>
      <c r="Q55" s="585">
        <f t="shared" si="113"/>
        <v>272.09697370844992</v>
      </c>
      <c r="R55" s="629">
        <f t="shared" si="410"/>
        <v>4.8111112580253588</v>
      </c>
      <c r="S55" s="634">
        <f t="shared" si="411"/>
        <v>-0.95780000000000021</v>
      </c>
      <c r="T55" s="635">
        <f t="shared" si="412"/>
        <v>-4.8078893908516509</v>
      </c>
      <c r="U55" s="629">
        <f t="shared" si="413"/>
        <v>-0.17604301302378386</v>
      </c>
      <c r="V55" s="636">
        <f t="shared" si="414"/>
        <v>-0.95780000000000021</v>
      </c>
      <c r="W55" s="585">
        <f t="shared" si="224"/>
        <v>182.09697370844992</v>
      </c>
      <c r="X55" s="629">
        <f t="shared" si="415"/>
        <v>4.8111112580253588</v>
      </c>
      <c r="Y55" s="630">
        <f t="shared" si="223"/>
        <v>-0.95780000000000021</v>
      </c>
      <c r="Z55" s="632">
        <f t="shared" si="243"/>
        <v>-0.87220478050579897</v>
      </c>
      <c r="AA55" s="629">
        <f t="shared" si="244"/>
        <v>0.40639113441348851</v>
      </c>
      <c r="AB55" s="629">
        <f t="shared" si="245"/>
        <v>-0.27222245817152763</v>
      </c>
      <c r="AC55" s="636">
        <f t="shared" si="416"/>
        <v>1</v>
      </c>
      <c r="AD55" s="637">
        <f t="shared" si="417"/>
        <v>-0.87220478050579897</v>
      </c>
      <c r="AE55" s="629">
        <f t="shared" si="418"/>
        <v>0.40639113441348851</v>
      </c>
      <c r="AF55" s="633">
        <f t="shared" si="419"/>
        <v>-0.27222245817152763</v>
      </c>
      <c r="AG55" s="602">
        <f t="shared" si="420"/>
        <v>56.183714801913979</v>
      </c>
      <c r="AH55" s="603">
        <f t="shared" si="421"/>
        <v>150.71586889192096</v>
      </c>
      <c r="AI55" s="585">
        <f t="shared" si="422"/>
        <v>-74.203441039544813</v>
      </c>
      <c r="AJ55" s="586">
        <f t="shared" si="423"/>
        <v>-114.98248090012446</v>
      </c>
      <c r="AK55" s="635">
        <f t="shared" si="424"/>
        <v>0.85675046159032175</v>
      </c>
      <c r="AL55" s="629">
        <f t="shared" si="425"/>
        <v>-0.43803376562979901</v>
      </c>
      <c r="AM55" s="634">
        <f t="shared" si="426"/>
        <v>-0.27222245817152763</v>
      </c>
      <c r="AN55" s="581">
        <f t="shared" si="427"/>
        <v>-58.140513895966656</v>
      </c>
      <c r="AO55" s="582">
        <f>IF(ROUND(IF(M55="",0,DEGREES(ACOS(AK55))),4)=90,0,IF(M55="","",DEGREES(ACOS(AK55))))</f>
        <v>31.046340382202139</v>
      </c>
      <c r="AP55" s="585">
        <f t="shared" si="428"/>
        <v>-27.07945460857437</v>
      </c>
      <c r="AQ55" s="586">
        <f t="shared" si="246"/>
        <v>0.47383536510437935</v>
      </c>
      <c r="AS55" s="52">
        <f t="shared" si="406"/>
        <v>-177.90302629155008</v>
      </c>
      <c r="AT55" s="72">
        <f t="shared" si="247"/>
        <v>-0.83425623174197927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4.234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4.1340000000000003</v>
      </c>
      <c r="II55" s="734" cm="1">
        <f t="array" ref="II55">IFERROR(ROUND(VALUE(IF($IH55&lt;1,$IH55+LARGE((IF($M$9:$M$150="",0,$M$9:$M$150)-MOD(IF($M$9:$M$150="",0,$M$9:$M$150),1)),1),$IH55)),4),"")</f>
        <v>4.1340000000000003</v>
      </c>
      <c r="IJ55" s="533">
        <f t="shared" si="112"/>
        <v>1613</v>
      </c>
      <c r="IK55" s="533">
        <f t="shared" si="382"/>
        <v>1313</v>
      </c>
      <c r="IL55" s="727">
        <f t="shared" si="225"/>
        <v>11.644998318670275</v>
      </c>
      <c r="IM55" s="759">
        <v>1.3148061861003301E-2</v>
      </c>
      <c r="IN55" s="5">
        <f t="shared" si="226"/>
        <v>0.64</v>
      </c>
      <c r="IO55" s="771">
        <v>320</v>
      </c>
      <c r="IP55" s="9">
        <f t="shared" si="227"/>
        <v>-4.7694143845537846</v>
      </c>
      <c r="IQ55" s="5">
        <f t="shared" si="228"/>
        <v>-0.9814029599113272</v>
      </c>
      <c r="IR55" s="5">
        <f t="shared" si="383"/>
        <v>0.314</v>
      </c>
      <c r="IS55" s="5">
        <f t="shared" si="229"/>
        <v>0.2900047364672847</v>
      </c>
      <c r="IT55" s="727">
        <f t="shared" si="230"/>
        <v>64.077264129810629</v>
      </c>
      <c r="IU55" s="9">
        <f t="shared" si="231"/>
        <v>-4.8111112580253588</v>
      </c>
      <c r="IV55" s="5">
        <f t="shared" si="232"/>
        <v>-0.95780000000000021</v>
      </c>
      <c r="IW55" s="5">
        <f t="shared" si="384"/>
        <v>0.26600000000000001</v>
      </c>
      <c r="IX55" s="5">
        <f t="shared" si="233"/>
        <v>0.22789562278302561</v>
      </c>
      <c r="IY55" s="762">
        <f t="shared" si="234"/>
        <v>58.140513895966656</v>
      </c>
    </row>
    <row r="56" spans="1:259" ht="15" customHeight="1" x14ac:dyDescent="0.25">
      <c r="A56" s="79"/>
      <c r="B56" s="707">
        <v>0.18863701869608007</v>
      </c>
      <c r="C56" s="708">
        <v>-5.0505920244560576</v>
      </c>
      <c r="D56" s="709">
        <v>-1.6986637206596329</v>
      </c>
      <c r="E56" s="710">
        <v>3.1755440518509245E-2</v>
      </c>
      <c r="F56" s="708">
        <v>-0.85021820996392283</v>
      </c>
      <c r="G56" s="711">
        <v>0.52547177606720075</v>
      </c>
      <c r="H56" s="710">
        <v>0.25700000000000001</v>
      </c>
      <c r="I56" s="708">
        <v>0.41499999999999992</v>
      </c>
      <c r="J56" s="570">
        <v>4.2409999999999997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CPS-32193r1</v>
      </c>
      <c r="L56" s="320"/>
      <c r="M56" s="168">
        <f t="shared" si="239"/>
        <v>4.2409999999999997</v>
      </c>
      <c r="N56" s="632">
        <f t="shared" si="240"/>
        <v>0.18863701869608007</v>
      </c>
      <c r="O56" s="629">
        <f t="shared" si="241"/>
        <v>-5.0505920244560576</v>
      </c>
      <c r="P56" s="633">
        <f t="shared" si="242"/>
        <v>-1.6986637206596329</v>
      </c>
      <c r="Q56" s="585">
        <f t="shared" si="113"/>
        <v>272.1389737023859</v>
      </c>
      <c r="R56" s="629">
        <f t="shared" si="410"/>
        <v>5.0541135446605949</v>
      </c>
      <c r="S56" s="634">
        <f t="shared" si="411"/>
        <v>-1.6986637206596329</v>
      </c>
      <c r="T56" s="635">
        <f t="shared" si="412"/>
        <v>-5.0505920244560576</v>
      </c>
      <c r="U56" s="629">
        <f t="shared" si="413"/>
        <v>-0.1886370186960809</v>
      </c>
      <c r="V56" s="636">
        <f t="shared" si="414"/>
        <v>-1.6986637206596329</v>
      </c>
      <c r="W56" s="585">
        <f t="shared" si="224"/>
        <v>182.1389737023859</v>
      </c>
      <c r="X56" s="629">
        <f t="shared" si="415"/>
        <v>5.0541135446605949</v>
      </c>
      <c r="Y56" s="630">
        <f t="shared" si="223"/>
        <v>-1.6986637206596329</v>
      </c>
      <c r="Z56" s="632">
        <f t="shared" si="243"/>
        <v>-3.1755440518509245E-2</v>
      </c>
      <c r="AA56" s="629">
        <f t="shared" si="244"/>
        <v>0.85021820996392283</v>
      </c>
      <c r="AB56" s="629">
        <f t="shared" si="245"/>
        <v>-0.52547177606720075</v>
      </c>
      <c r="AC56" s="636">
        <f t="shared" si="416"/>
        <v>1</v>
      </c>
      <c r="AD56" s="637">
        <f t="shared" si="417"/>
        <v>-3.1755440518509245E-2</v>
      </c>
      <c r="AE56" s="629">
        <f t="shared" si="418"/>
        <v>0.85021820996392283</v>
      </c>
      <c r="AF56" s="633">
        <f t="shared" si="419"/>
        <v>-0.52547177606720075</v>
      </c>
      <c r="AG56" s="602">
        <f t="shared" si="420"/>
        <v>58.282134289660981</v>
      </c>
      <c r="AH56" s="603">
        <f t="shared" si="421"/>
        <v>91.819758648916178</v>
      </c>
      <c r="AI56" s="585">
        <f t="shared" si="422"/>
        <v>-58.299991582523582</v>
      </c>
      <c r="AJ56" s="586">
        <f t="shared" si="423"/>
        <v>-177.86101102466878</v>
      </c>
      <c r="AK56" s="635">
        <f t="shared" si="424"/>
        <v>2.2679489655730301E-7</v>
      </c>
      <c r="AL56" s="629">
        <f t="shared" si="425"/>
        <v>-0.85081103222556442</v>
      </c>
      <c r="AM56" s="634">
        <f t="shared" si="426"/>
        <v>-0.52547177606720075</v>
      </c>
      <c r="AN56" s="581">
        <f t="shared" si="427"/>
        <v>-58.299991582522686</v>
      </c>
      <c r="AO56" s="582">
        <f t="shared" ref="AO56:AO119" si="461">IF(ROUND(IF(M56="",0,DEGREES(ACOS(AK56))),4)=90,0,IF(M56="","",DEGREES(ACOS(AK56))))</f>
        <v>0</v>
      </c>
      <c r="AP56" s="585">
        <f t="shared" si="428"/>
        <v>-89.999984727054667</v>
      </c>
      <c r="AQ56" s="586">
        <f t="shared" si="246"/>
        <v>0.45105427820627353</v>
      </c>
      <c r="AS56" s="52">
        <f t="shared" si="406"/>
        <v>-177.8610262976141</v>
      </c>
      <c r="AT56" s="72">
        <f t="shared" si="247"/>
        <v>-1.5751491190640676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>Gage</v>
      </c>
      <c r="IG56" s="847">
        <f t="shared" si="210"/>
        <v>4.2409999999999997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4.141</v>
      </c>
      <c r="II56" s="734" cm="1">
        <f t="array" ref="II56">IFERROR(ROUND(VALUE(IF($IH56&lt;1,$IH56+LARGE((IF($M$9:$M$150="",0,$M$9:$M$150)-MOD(IF($M$9:$M$150="",0,$M$9:$M$150),1)),1),$IH56)),4),"")</f>
        <v>4.141</v>
      </c>
      <c r="IJ56" s="533">
        <f t="shared" si="112"/>
        <v>1613</v>
      </c>
      <c r="IK56" s="533" t="str">
        <f t="shared" si="382"/>
        <v>CPS-32193r1</v>
      </c>
      <c r="IL56" s="727">
        <f t="shared" si="225"/>
        <v>11.113998395337148</v>
      </c>
      <c r="IM56" s="759">
        <v>1.6480978593612799E-3</v>
      </c>
      <c r="IN56" s="5">
        <f t="shared" si="226"/>
        <v>0</v>
      </c>
      <c r="IO56" s="771">
        <v>0</v>
      </c>
      <c r="IP56" s="9">
        <f t="shared" si="227"/>
        <v>-5.038015194653827</v>
      </c>
      <c r="IQ56" s="5">
        <f t="shared" si="228"/>
        <v>-1.6932051067066018</v>
      </c>
      <c r="IR56" s="5">
        <f t="shared" si="383"/>
        <v>0.314</v>
      </c>
      <c r="IS56" s="5">
        <f t="shared" si="229"/>
        <v>0.27357629551021762</v>
      </c>
      <c r="IT56" s="727">
        <f t="shared" si="230"/>
        <v>77.591643165883482</v>
      </c>
      <c r="IU56" s="9">
        <f t="shared" si="231"/>
        <v>-5.0541135446605949</v>
      </c>
      <c r="IV56" s="5">
        <f t="shared" si="232"/>
        <v>-1.6986637206596329</v>
      </c>
      <c r="IW56" s="5">
        <f t="shared" si="384"/>
        <v>0.25700000000000001</v>
      </c>
      <c r="IX56" s="5">
        <f t="shared" si="233"/>
        <v>0.25700000000000001</v>
      </c>
      <c r="IY56" s="762">
        <f t="shared" si="234"/>
        <v>58.299991582522686</v>
      </c>
    </row>
    <row r="57" spans="1:259" ht="15" customHeight="1" x14ac:dyDescent="0.25">
      <c r="A57" s="79"/>
      <c r="B57" s="707">
        <v>0.18959602266887429</v>
      </c>
      <c r="C57" s="708">
        <v>-5.0738941984604358</v>
      </c>
      <c r="D57" s="709">
        <v>-2.4722127957604658</v>
      </c>
      <c r="E57" s="710">
        <v>3.730558990002221E-2</v>
      </c>
      <c r="F57" s="708">
        <v>-0.99835145254095115</v>
      </c>
      <c r="G57" s="711">
        <v>4.3619607650509588E-2</v>
      </c>
      <c r="H57" s="710">
        <v>0.25700000000000001</v>
      </c>
      <c r="I57" s="708">
        <v>0.41499999999999992</v>
      </c>
      <c r="J57" s="570">
        <v>4.2480000000000002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CPS-32193r1</v>
      </c>
      <c r="L57" s="320"/>
      <c r="M57" s="168">
        <f t="shared" si="239"/>
        <v>4.2480000000000002</v>
      </c>
      <c r="N57" s="632">
        <f t="shared" si="240"/>
        <v>0.18959602266887429</v>
      </c>
      <c r="O57" s="629">
        <f t="shared" si="241"/>
        <v>-5.0738941984604358</v>
      </c>
      <c r="P57" s="633">
        <f t="shared" si="242"/>
        <v>-2.4722127957604658</v>
      </c>
      <c r="Q57" s="585">
        <f t="shared" si="113"/>
        <v>272.13997370224149</v>
      </c>
      <c r="R57" s="629">
        <f t="shared" si="410"/>
        <v>5.0774352766906166</v>
      </c>
      <c r="S57" s="634">
        <f t="shared" si="411"/>
        <v>-2.4722127957604658</v>
      </c>
      <c r="T57" s="635">
        <f t="shared" si="412"/>
        <v>-5.0738941984604349</v>
      </c>
      <c r="U57" s="629">
        <f t="shared" si="413"/>
        <v>-0.18959602266887457</v>
      </c>
      <c r="V57" s="636">
        <f t="shared" si="414"/>
        <v>-2.4722127957604658</v>
      </c>
      <c r="W57" s="585">
        <f t="shared" si="224"/>
        <v>182.13997370224149</v>
      </c>
      <c r="X57" s="629">
        <f t="shared" si="415"/>
        <v>5.0774352766906166</v>
      </c>
      <c r="Y57" s="630">
        <f t="shared" si="223"/>
        <v>-2.4722127957604658</v>
      </c>
      <c r="Z57" s="632">
        <f t="shared" si="243"/>
        <v>-3.730558990002221E-2</v>
      </c>
      <c r="AA57" s="629">
        <f t="shared" si="244"/>
        <v>0.99835145254095115</v>
      </c>
      <c r="AB57" s="629">
        <f t="shared" si="245"/>
        <v>-4.3619607650509588E-2</v>
      </c>
      <c r="AC57" s="636">
        <f t="shared" si="416"/>
        <v>1</v>
      </c>
      <c r="AD57" s="637">
        <f t="shared" si="417"/>
        <v>-3.730558990002221E-2</v>
      </c>
      <c r="AE57" s="629">
        <f t="shared" si="418"/>
        <v>0.99835145254095115</v>
      </c>
      <c r="AF57" s="633">
        <f t="shared" si="419"/>
        <v>-4.3619607650509588E-2</v>
      </c>
      <c r="AG57" s="602">
        <f t="shared" si="420"/>
        <v>87.498244798887924</v>
      </c>
      <c r="AH57" s="603">
        <f t="shared" si="421"/>
        <v>92.137948948965303</v>
      </c>
      <c r="AI57" s="585">
        <f t="shared" si="422"/>
        <v>-87.499987366564966</v>
      </c>
      <c r="AJ57" s="586">
        <f t="shared" si="423"/>
        <v>-177.86001329098841</v>
      </c>
      <c r="AK57" s="635">
        <f t="shared" si="424"/>
        <v>2.2679489665444752E-7</v>
      </c>
      <c r="AL57" s="629">
        <f t="shared" si="425"/>
        <v>-0.99904821196394933</v>
      </c>
      <c r="AM57" s="634">
        <f t="shared" si="426"/>
        <v>-4.3619607650509588E-2</v>
      </c>
      <c r="AN57" s="581">
        <f t="shared" si="427"/>
        <v>-87.499987366564909</v>
      </c>
      <c r="AO57" s="582">
        <f t="shared" si="461"/>
        <v>0</v>
      </c>
      <c r="AP57" s="585">
        <f t="shared" si="428"/>
        <v>-89.999986993229925</v>
      </c>
      <c r="AQ57" s="586">
        <f t="shared" si="246"/>
        <v>0.44898257570132993</v>
      </c>
      <c r="AS57" s="52">
        <f t="shared" si="406"/>
        <v>-177.86002629775851</v>
      </c>
      <c r="AT57" s="72">
        <f t="shared" si="247"/>
        <v>-2.3486988886092446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>Gage</v>
      </c>
      <c r="IG57" s="847">
        <f t="shared" si="210"/>
        <v>4.2480000000000002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4.1479999999999997</v>
      </c>
      <c r="II57" s="734" cm="1">
        <f t="array" ref="II57">IFERROR(ROUND(VALUE(IF($IH57&lt;1,$IH57+LARGE((IF($M$9:$M$150="",0,$M$9:$M$150)-MOD(IF($M$9:$M$150="",0,$M$9:$M$150),1)),1),$IH57)),4),"")</f>
        <v>4.1479999999999997</v>
      </c>
      <c r="IJ57" s="533">
        <f t="shared" si="112"/>
        <v>1613</v>
      </c>
      <c r="IK57" s="533" t="str">
        <f t="shared" si="382"/>
        <v>CPS-32193r1</v>
      </c>
      <c r="IL57" s="727">
        <f t="shared" si="225"/>
        <v>11.064998402411902</v>
      </c>
      <c r="IM57" s="759">
        <v>8.4313016175623404E-4</v>
      </c>
      <c r="IN57" s="5">
        <f t="shared" si="226"/>
        <v>0</v>
      </c>
      <c r="IO57" s="771">
        <v>0</v>
      </c>
      <c r="IP57" s="9">
        <f t="shared" si="227"/>
        <v>-5.0638152724668615</v>
      </c>
      <c r="IQ57" s="5">
        <f t="shared" si="228"/>
        <v>-2.4574074115407534</v>
      </c>
      <c r="IR57" s="5">
        <f t="shared" si="383"/>
        <v>0.314</v>
      </c>
      <c r="IS57" s="5">
        <f t="shared" si="229"/>
        <v>0.27193198865724594</v>
      </c>
      <c r="IT57" s="727">
        <f t="shared" si="230"/>
        <v>87.499987366564923</v>
      </c>
      <c r="IU57" s="9">
        <f t="shared" si="231"/>
        <v>-5.0774352766906166</v>
      </c>
      <c r="IV57" s="5">
        <f t="shared" si="232"/>
        <v>-2.4722127957604658</v>
      </c>
      <c r="IW57" s="5">
        <f t="shared" si="384"/>
        <v>0.25700000000000001</v>
      </c>
      <c r="IX57" s="5">
        <f t="shared" si="233"/>
        <v>0.25700000000000001</v>
      </c>
      <c r="IY57" s="762">
        <f t="shared" si="234"/>
        <v>87.499987366564909</v>
      </c>
    </row>
    <row r="58" spans="1:259" ht="15" customHeight="1" x14ac:dyDescent="0.25">
      <c r="A58" s="79"/>
      <c r="B58" s="707">
        <v>-0.3056769844217524</v>
      </c>
      <c r="C58" s="708">
        <v>-0.39124840979030551</v>
      </c>
      <c r="D58" s="709">
        <v>-0.70680213171522932</v>
      </c>
      <c r="E58" s="710">
        <v>0.78368702299893667</v>
      </c>
      <c r="F58" s="708">
        <v>-0.54601951653851133</v>
      </c>
      <c r="G58" s="711">
        <v>0.29613736262436524</v>
      </c>
      <c r="H58" s="710">
        <v>0.314</v>
      </c>
      <c r="I58" s="708">
        <v>0.52</v>
      </c>
      <c r="J58" s="570">
        <v>5.1020000000000003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5.1020000000000003</v>
      </c>
      <c r="N58" s="632">
        <f t="shared" si="240"/>
        <v>-0.3056769844217524</v>
      </c>
      <c r="O58" s="629">
        <f t="shared" si="241"/>
        <v>-0.39124840979030551</v>
      </c>
      <c r="P58" s="633">
        <f t="shared" si="242"/>
        <v>-0.70680213171522932</v>
      </c>
      <c r="Q58" s="585">
        <f t="shared" si="113"/>
        <v>231.99997949773959</v>
      </c>
      <c r="R58" s="629">
        <f t="shared" si="410"/>
        <v>0.49650149744851635</v>
      </c>
      <c r="S58" s="634">
        <f t="shared" si="411"/>
        <v>-0.70680213171522932</v>
      </c>
      <c r="T58" s="635">
        <f t="shared" si="412"/>
        <v>-0.39124840979030551</v>
      </c>
      <c r="U58" s="629">
        <f t="shared" si="413"/>
        <v>0.3056769844217524</v>
      </c>
      <c r="V58" s="636">
        <f t="shared" si="414"/>
        <v>-0.70680213171522932</v>
      </c>
      <c r="W58" s="585">
        <f t="shared" si="224"/>
        <v>141.99997949773959</v>
      </c>
      <c r="X58" s="629">
        <f t="shared" si="415"/>
        <v>0.49650149744851635</v>
      </c>
      <c r="Y58" s="630">
        <f t="shared" si="223"/>
        <v>-0.70680213171522932</v>
      </c>
      <c r="Z58" s="632">
        <f t="shared" si="243"/>
        <v>-0.78368702299893667</v>
      </c>
      <c r="AA58" s="629">
        <f t="shared" si="244"/>
        <v>0.54601951653851133</v>
      </c>
      <c r="AB58" s="629">
        <f t="shared" si="245"/>
        <v>-0.29613736262436524</v>
      </c>
      <c r="AC58" s="636">
        <f t="shared" si="416"/>
        <v>1</v>
      </c>
      <c r="AD58" s="637">
        <f t="shared" si="417"/>
        <v>-0.78368702299893667</v>
      </c>
      <c r="AE58" s="629">
        <f t="shared" si="418"/>
        <v>0.54601951653851133</v>
      </c>
      <c r="AF58" s="633">
        <f t="shared" si="419"/>
        <v>-0.29613736262436524</v>
      </c>
      <c r="AG58" s="602">
        <f t="shared" si="420"/>
        <v>61.526511199226036</v>
      </c>
      <c r="AH58" s="603">
        <f t="shared" si="421"/>
        <v>141.59940649008465</v>
      </c>
      <c r="AI58" s="585">
        <f t="shared" si="422"/>
        <v>-72.774248855664752</v>
      </c>
      <c r="AJ58" s="586">
        <f t="shared" si="423"/>
        <v>-124.86614571344022</v>
      </c>
      <c r="AK58" s="635">
        <f t="shared" si="424"/>
        <v>0.95371696400905348</v>
      </c>
      <c r="AL58" s="629">
        <f t="shared" si="425"/>
        <v>5.2216999332010738E-2</v>
      </c>
      <c r="AM58" s="634">
        <f t="shared" si="426"/>
        <v>-0.29613736262436524</v>
      </c>
      <c r="AN58" s="581">
        <f t="shared" si="427"/>
        <v>9.9999985561788627</v>
      </c>
      <c r="AO58" s="582">
        <f t="shared" si="461"/>
        <v>17.499997473312952</v>
      </c>
      <c r="AP58" s="585">
        <f t="shared" si="428"/>
        <v>3.133874788820195</v>
      </c>
      <c r="AQ58" s="586">
        <f t="shared" si="246"/>
        <v>4.5817890346909724</v>
      </c>
      <c r="AS58" s="52">
        <f t="shared" si="406"/>
        <v>-218.00002050226041</v>
      </c>
      <c r="AT58" s="72">
        <f t="shared" si="247"/>
        <v>-0.5554132285886596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5.1020000000000003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-0.73781127518837464</v>
      </c>
      <c r="C59" s="708">
        <v>-0.94435467128439476</v>
      </c>
      <c r="D59" s="709">
        <v>-0.51880156470551919</v>
      </c>
      <c r="E59" s="710">
        <v>0.78695232995335951</v>
      </c>
      <c r="F59" s="708">
        <v>-0.55409480578492132</v>
      </c>
      <c r="G59" s="711">
        <v>0.2714497680661182</v>
      </c>
      <c r="H59" s="710">
        <v>0.314</v>
      </c>
      <c r="I59" s="708">
        <v>0.52</v>
      </c>
      <c r="J59" s="570">
        <v>5.1050000000000004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5.1050000000000004</v>
      </c>
      <c r="N59" s="632">
        <f t="shared" si="240"/>
        <v>-0.73781127518837464</v>
      </c>
      <c r="O59" s="629">
        <f t="shared" si="241"/>
        <v>-0.94435467128439476</v>
      </c>
      <c r="P59" s="633">
        <f t="shared" si="242"/>
        <v>-0.51880156470551919</v>
      </c>
      <c r="Q59" s="585">
        <f t="shared" si="113"/>
        <v>231.99997949773959</v>
      </c>
      <c r="R59" s="629">
        <f t="shared" si="79"/>
        <v>1.198403614385301</v>
      </c>
      <c r="S59" s="634">
        <f t="shared" si="80"/>
        <v>-0.51880156470551919</v>
      </c>
      <c r="T59" s="635">
        <f t="shared" si="81"/>
        <v>-0.94435467128439488</v>
      </c>
      <c r="U59" s="629">
        <f t="shared" si="82"/>
        <v>0.73781127518837464</v>
      </c>
      <c r="V59" s="636">
        <f t="shared" si="114"/>
        <v>-0.51880156470551919</v>
      </c>
      <c r="W59" s="585">
        <f t="shared" si="224"/>
        <v>141.99997949773959</v>
      </c>
      <c r="X59" s="629">
        <f t="shared" si="83"/>
        <v>1.198403614385301</v>
      </c>
      <c r="Y59" s="630">
        <f t="shared" si="223"/>
        <v>-0.51880156470551919</v>
      </c>
      <c r="Z59" s="632">
        <f t="shared" si="243"/>
        <v>-0.78695232995335951</v>
      </c>
      <c r="AA59" s="629">
        <f t="shared" si="244"/>
        <v>0.55409480578492132</v>
      </c>
      <c r="AB59" s="629">
        <f t="shared" si="245"/>
        <v>-0.2714497680661182</v>
      </c>
      <c r="AC59" s="636">
        <f t="shared" si="84"/>
        <v>1</v>
      </c>
      <c r="AD59" s="637">
        <f t="shared" si="115"/>
        <v>-0.78695232995335951</v>
      </c>
      <c r="AE59" s="629">
        <f t="shared" si="85"/>
        <v>0.55409480578492132</v>
      </c>
      <c r="AF59" s="633">
        <f t="shared" si="86"/>
        <v>-0.2714497680661182</v>
      </c>
      <c r="AG59" s="602">
        <f t="shared" si="87"/>
        <v>63.899872941910097</v>
      </c>
      <c r="AH59" s="603">
        <f t="shared" si="88"/>
        <v>141.90160718796656</v>
      </c>
      <c r="AI59" s="585">
        <f t="shared" si="89"/>
        <v>-74.249445278802412</v>
      </c>
      <c r="AJ59" s="586">
        <f t="shared" si="90"/>
        <v>-125.14945753592104</v>
      </c>
      <c r="AK59" s="635">
        <f t="shared" si="211"/>
        <v>0.96126170705176639</v>
      </c>
      <c r="AL59" s="629">
        <f t="shared" si="91"/>
        <v>4.7863910964055845E-2</v>
      </c>
      <c r="AM59" s="634">
        <f t="shared" si="92"/>
        <v>-0.2714497680661182</v>
      </c>
      <c r="AN59" s="581">
        <f t="shared" si="93"/>
        <v>9.9999985561788431</v>
      </c>
      <c r="AO59" s="582">
        <f t="shared" si="461"/>
        <v>15.999997689886111</v>
      </c>
      <c r="AP59" s="585">
        <f t="shared" si="95"/>
        <v>2.850562966339377</v>
      </c>
      <c r="AQ59" s="586">
        <f t="shared" si="246"/>
        <v>1.9016043369321851</v>
      </c>
      <c r="AS59" s="52">
        <f t="shared" si="406"/>
        <v>-218.00002050226041</v>
      </c>
      <c r="AT59" s="72">
        <f t="shared" si="247"/>
        <v>-0.36741266157894947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5.1050000000000004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-1.1698839995935828</v>
      </c>
      <c r="C60" s="708">
        <v>-1.4973821314874893</v>
      </c>
      <c r="D60" s="709">
        <v>-0.33070099739420816</v>
      </c>
      <c r="E60" s="710">
        <v>0.78695232995335951</v>
      </c>
      <c r="F60" s="708">
        <v>-0.55409480578492132</v>
      </c>
      <c r="G60" s="711">
        <v>0.2714497680661182</v>
      </c>
      <c r="H60" s="710">
        <v>0.314</v>
      </c>
      <c r="I60" s="708">
        <v>0.52</v>
      </c>
      <c r="J60" s="570">
        <v>5.1079999999999997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5.1079999999999997</v>
      </c>
      <c r="N60" s="632">
        <f t="shared" si="240"/>
        <v>-1.1698839995935828</v>
      </c>
      <c r="O60" s="629">
        <f t="shared" si="241"/>
        <v>-1.4973821314874893</v>
      </c>
      <c r="P60" s="633">
        <f t="shared" si="242"/>
        <v>-0.33070099739420816</v>
      </c>
      <c r="Q60" s="585">
        <f t="shared" si="113"/>
        <v>231.99997949773959</v>
      </c>
      <c r="R60" s="629">
        <f t="shared" si="79"/>
        <v>1.9002057310204847</v>
      </c>
      <c r="S60" s="634">
        <f t="shared" si="80"/>
        <v>-0.33070099739420816</v>
      </c>
      <c r="T60" s="635">
        <f t="shared" si="81"/>
        <v>-1.4973821314874893</v>
      </c>
      <c r="U60" s="629">
        <f t="shared" si="82"/>
        <v>1.1698839995935828</v>
      </c>
      <c r="V60" s="636">
        <f t="shared" si="114"/>
        <v>-0.33070099739420816</v>
      </c>
      <c r="W60" s="585">
        <f t="shared" si="224"/>
        <v>141.99997949773959</v>
      </c>
      <c r="X60" s="629">
        <f t="shared" si="83"/>
        <v>1.9002057310204847</v>
      </c>
      <c r="Y60" s="630">
        <f t="shared" si="223"/>
        <v>-0.33070099739420816</v>
      </c>
      <c r="Z60" s="632">
        <f t="shared" si="243"/>
        <v>-0.78695232995335951</v>
      </c>
      <c r="AA60" s="629">
        <f t="shared" si="244"/>
        <v>0.55409480578492132</v>
      </c>
      <c r="AB60" s="629">
        <f t="shared" si="245"/>
        <v>-0.2714497680661182</v>
      </c>
      <c r="AC60" s="636">
        <f t="shared" si="84"/>
        <v>1</v>
      </c>
      <c r="AD60" s="637">
        <f t="shared" si="115"/>
        <v>-0.78695232995335951</v>
      </c>
      <c r="AE60" s="629">
        <f t="shared" si="85"/>
        <v>0.55409480578492132</v>
      </c>
      <c r="AF60" s="633">
        <f t="shared" si="86"/>
        <v>-0.2714497680661182</v>
      </c>
      <c r="AG60" s="602">
        <f t="shared" si="87"/>
        <v>63.899872941910097</v>
      </c>
      <c r="AH60" s="603">
        <f t="shared" si="88"/>
        <v>141.90160718796656</v>
      </c>
      <c r="AI60" s="585">
        <f t="shared" si="89"/>
        <v>-74.249445278802412</v>
      </c>
      <c r="AJ60" s="586">
        <f t="shared" si="90"/>
        <v>-125.14945753592104</v>
      </c>
      <c r="AK60" s="635">
        <f t="shared" si="211"/>
        <v>0.96126170705176639</v>
      </c>
      <c r="AL60" s="629">
        <f t="shared" si="91"/>
        <v>4.7863910964055845E-2</v>
      </c>
      <c r="AM60" s="634">
        <f t="shared" si="92"/>
        <v>-0.2714497680661182</v>
      </c>
      <c r="AN60" s="581">
        <f t="shared" si="93"/>
        <v>9.9999985561788431</v>
      </c>
      <c r="AO60" s="582">
        <f t="shared" si="461"/>
        <v>15.999997689886111</v>
      </c>
      <c r="AP60" s="585">
        <f t="shared" si="95"/>
        <v>2.850562966339377</v>
      </c>
      <c r="AQ60" s="586">
        <f t="shared" si="246"/>
        <v>1.1995509228898933</v>
      </c>
      <c r="AS60" s="52">
        <f t="shared" si="406"/>
        <v>-218.00002050226041</v>
      </c>
      <c r="AT60" s="72">
        <f t="shared" si="247"/>
        <v>-0.17931209426763842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5.1079999999999997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-1.6019567239987909</v>
      </c>
      <c r="C61" s="708">
        <v>-2.0504095916905838</v>
      </c>
      <c r="D61" s="709">
        <v>-0.14270043038449803</v>
      </c>
      <c r="E61" s="710">
        <v>0.7869523299533594</v>
      </c>
      <c r="F61" s="708">
        <v>-0.55409480578492143</v>
      </c>
      <c r="G61" s="711">
        <v>0.2714497680661182</v>
      </c>
      <c r="H61" s="710">
        <v>0.314</v>
      </c>
      <c r="I61" s="708">
        <v>0.52</v>
      </c>
      <c r="J61" s="570">
        <v>5.1120000000000001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5.1120000000000001</v>
      </c>
      <c r="N61" s="632">
        <f t="shared" si="240"/>
        <v>-1.6019567239987909</v>
      </c>
      <c r="O61" s="629">
        <f t="shared" si="241"/>
        <v>-2.0504095916905838</v>
      </c>
      <c r="P61" s="633">
        <f t="shared" si="242"/>
        <v>-0.14270043038449803</v>
      </c>
      <c r="Q61" s="585">
        <f t="shared" si="113"/>
        <v>231.99997949773959</v>
      </c>
      <c r="R61" s="629">
        <f t="shared" si="79"/>
        <v>2.6020078476556683</v>
      </c>
      <c r="S61" s="634">
        <f t="shared" si="80"/>
        <v>-0.14270043038449803</v>
      </c>
      <c r="T61" s="635">
        <f t="shared" si="81"/>
        <v>-2.0504095916905838</v>
      </c>
      <c r="U61" s="629">
        <f t="shared" si="82"/>
        <v>1.6019567239987906</v>
      </c>
      <c r="V61" s="636">
        <f t="shared" si="114"/>
        <v>-0.14270043038449803</v>
      </c>
      <c r="W61" s="585">
        <f t="shared" si="224"/>
        <v>141.99997949773959</v>
      </c>
      <c r="X61" s="629">
        <f t="shared" si="83"/>
        <v>2.6020078476556683</v>
      </c>
      <c r="Y61" s="630">
        <f t="shared" si="223"/>
        <v>-0.14270043038449803</v>
      </c>
      <c r="Z61" s="632">
        <f t="shared" si="243"/>
        <v>-0.7869523299533594</v>
      </c>
      <c r="AA61" s="629">
        <f t="shared" si="244"/>
        <v>0.55409480578492143</v>
      </c>
      <c r="AB61" s="629">
        <f t="shared" si="245"/>
        <v>-0.2714497680661182</v>
      </c>
      <c r="AC61" s="636">
        <f t="shared" si="84"/>
        <v>1</v>
      </c>
      <c r="AD61" s="637">
        <f t="shared" si="115"/>
        <v>-0.7869523299533594</v>
      </c>
      <c r="AE61" s="629">
        <f t="shared" si="85"/>
        <v>0.55409480578492143</v>
      </c>
      <c r="AF61" s="633">
        <f t="shared" si="86"/>
        <v>-0.2714497680661182</v>
      </c>
      <c r="AG61" s="602">
        <f t="shared" si="87"/>
        <v>63.899872941910097</v>
      </c>
      <c r="AH61" s="603">
        <f t="shared" si="88"/>
        <v>141.90160718796656</v>
      </c>
      <c r="AI61" s="585">
        <f t="shared" si="89"/>
        <v>-74.249445278802412</v>
      </c>
      <c r="AJ61" s="586">
        <f t="shared" si="90"/>
        <v>-125.14945753592104</v>
      </c>
      <c r="AK61" s="635">
        <f t="shared" si="211"/>
        <v>0.96126170705176628</v>
      </c>
      <c r="AL61" s="629">
        <f t="shared" si="91"/>
        <v>4.7863910964055678E-2</v>
      </c>
      <c r="AM61" s="634">
        <f t="shared" si="92"/>
        <v>-0.2714497680661182</v>
      </c>
      <c r="AN61" s="581">
        <f t="shared" si="93"/>
        <v>9.9999985561788094</v>
      </c>
      <c r="AO61" s="582">
        <f t="shared" si="461"/>
        <v>15.999997689886136</v>
      </c>
      <c r="AP61" s="585">
        <f t="shared" si="95"/>
        <v>2.8505629663393672</v>
      </c>
      <c r="AQ61" s="586">
        <f t="shared" si="246"/>
        <v>0.87607305576518102</v>
      </c>
      <c r="AS61" s="52">
        <f t="shared" si="406"/>
        <v>-218.00002050226041</v>
      </c>
      <c r="AT61" s="72">
        <f t="shared" si="247"/>
        <v>8.6884727420717123E-3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5.1120000000000001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-2.1386487483155459</v>
      </c>
      <c r="C62" s="708">
        <v>-2.7013023333577917</v>
      </c>
      <c r="D62" s="709">
        <v>-9.7000292552882408E-2</v>
      </c>
      <c r="E62" s="710">
        <v>0.69859855033071028</v>
      </c>
      <c r="F62" s="708">
        <v>-0.66367600700096097</v>
      </c>
      <c r="G62" s="711">
        <v>0.26738403693393992</v>
      </c>
      <c r="H62" s="710">
        <v>0.314</v>
      </c>
      <c r="I62" s="708">
        <v>0.52</v>
      </c>
      <c r="J62" s="570">
        <v>5.1189999999999998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5.1189999999999998</v>
      </c>
      <c r="N62" s="632">
        <f t="shared" si="240"/>
        <v>-2.1386487483155459</v>
      </c>
      <c r="O62" s="629">
        <f t="shared" si="241"/>
        <v>-2.7013023333577917</v>
      </c>
      <c r="P62" s="633">
        <f t="shared" si="242"/>
        <v>-9.7000292552882408E-2</v>
      </c>
      <c r="Q62" s="585">
        <f t="shared" si="113"/>
        <v>231.63097955101659</v>
      </c>
      <c r="R62" s="629">
        <f t="shared" si="79"/>
        <v>3.4454103913577407</v>
      </c>
      <c r="S62" s="634">
        <f t="shared" si="80"/>
        <v>-9.7000292552882408E-2</v>
      </c>
      <c r="T62" s="635">
        <f t="shared" si="81"/>
        <v>-2.7013023333577917</v>
      </c>
      <c r="U62" s="629">
        <f t="shared" si="82"/>
        <v>2.1386487483155459</v>
      </c>
      <c r="V62" s="636">
        <f t="shared" si="114"/>
        <v>-9.7000292552882408E-2</v>
      </c>
      <c r="W62" s="585">
        <f t="shared" si="224"/>
        <v>141.63097955101659</v>
      </c>
      <c r="X62" s="629">
        <f t="shared" si="83"/>
        <v>3.4454103913577407</v>
      </c>
      <c r="Y62" s="630">
        <f t="shared" si="223"/>
        <v>-9.7000292552882408E-2</v>
      </c>
      <c r="Z62" s="632">
        <f t="shared" si="243"/>
        <v>-0.69859855033071028</v>
      </c>
      <c r="AA62" s="629">
        <f t="shared" si="244"/>
        <v>0.66367600700096097</v>
      </c>
      <c r="AB62" s="629">
        <f t="shared" si="245"/>
        <v>-0.26738403693393992</v>
      </c>
      <c r="AC62" s="636">
        <f t="shared" si="84"/>
        <v>1</v>
      </c>
      <c r="AD62" s="637">
        <f t="shared" si="115"/>
        <v>-0.69859855033071028</v>
      </c>
      <c r="AE62" s="629">
        <f t="shared" si="85"/>
        <v>0.66367600700096097</v>
      </c>
      <c r="AF62" s="633">
        <f t="shared" si="86"/>
        <v>-0.26738403693393992</v>
      </c>
      <c r="AG62" s="602">
        <f t="shared" si="87"/>
        <v>68.056313431477193</v>
      </c>
      <c r="AH62" s="603">
        <f t="shared" si="88"/>
        <v>134.31467336074186</v>
      </c>
      <c r="AI62" s="585">
        <f t="shared" si="89"/>
        <v>-74.491339078991388</v>
      </c>
      <c r="AJ62" s="586">
        <f t="shared" si="90"/>
        <v>-133.53151761055605</v>
      </c>
      <c r="AK62" s="635">
        <f t="shared" si="211"/>
        <v>0.95968125133719839</v>
      </c>
      <c r="AL62" s="629">
        <f t="shared" si="91"/>
        <v>-8.6704513289555307E-2</v>
      </c>
      <c r="AM62" s="634">
        <f t="shared" si="92"/>
        <v>-0.26738403693393992</v>
      </c>
      <c r="AN62" s="581">
        <f t="shared" si="93"/>
        <v>-17.966302366818912</v>
      </c>
      <c r="AO62" s="582">
        <f t="shared" si="461"/>
        <v>16.325302761466851</v>
      </c>
      <c r="AP62" s="585">
        <f t="shared" si="95"/>
        <v>-5.162497161572654</v>
      </c>
      <c r="AQ62" s="586">
        <f t="shared" si="246"/>
        <v>0.66164115060147655</v>
      </c>
      <c r="AS62" s="52">
        <f t="shared" si="406"/>
        <v>-218.36902044898341</v>
      </c>
      <c r="AT62" s="72">
        <f t="shared" si="247"/>
        <v>5.4644860536689419E-2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5.1189999999999998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-2.6300734776529233</v>
      </c>
      <c r="C63" s="708">
        <v>-3.2185881942894414</v>
      </c>
      <c r="D63" s="709">
        <v>-0.36720110747854018</v>
      </c>
      <c r="E63" s="710">
        <v>0.59463833472179373</v>
      </c>
      <c r="F63" s="708">
        <v>-0.76667989339141718</v>
      </c>
      <c r="G63" s="711">
        <v>0.24208922311539841</v>
      </c>
      <c r="H63" s="710">
        <v>0.314</v>
      </c>
      <c r="I63" s="708">
        <v>0.52</v>
      </c>
      <c r="J63" s="570">
        <v>5.1260000000000003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5.1260000000000003</v>
      </c>
      <c r="N63" s="632">
        <f t="shared" si="240"/>
        <v>-2.6300734776529233</v>
      </c>
      <c r="O63" s="629">
        <f t="shared" si="241"/>
        <v>-3.2185881942894414</v>
      </c>
      <c r="P63" s="633">
        <f t="shared" si="242"/>
        <v>-0.36720110747854018</v>
      </c>
      <c r="Q63" s="585">
        <f t="shared" si="113"/>
        <v>230.74597967879478</v>
      </c>
      <c r="R63" s="629">
        <f t="shared" si="79"/>
        <v>4.1565125360418094</v>
      </c>
      <c r="S63" s="634">
        <f t="shared" si="80"/>
        <v>-0.36720110747854018</v>
      </c>
      <c r="T63" s="635">
        <f t="shared" si="81"/>
        <v>-3.2185881942894432</v>
      </c>
      <c r="U63" s="629">
        <f t="shared" si="82"/>
        <v>2.6300734776529224</v>
      </c>
      <c r="V63" s="636">
        <f t="shared" si="114"/>
        <v>-0.36720110747854018</v>
      </c>
      <c r="W63" s="585">
        <f t="shared" si="224"/>
        <v>140.74597967879478</v>
      </c>
      <c r="X63" s="629">
        <f t="shared" si="83"/>
        <v>4.1565125360418094</v>
      </c>
      <c r="Y63" s="630">
        <f t="shared" si="223"/>
        <v>-0.36720110747854018</v>
      </c>
      <c r="Z63" s="632">
        <f t="shared" si="243"/>
        <v>-0.59463833472179373</v>
      </c>
      <c r="AA63" s="629">
        <f t="shared" si="244"/>
        <v>0.76667989339141718</v>
      </c>
      <c r="AB63" s="629">
        <f t="shared" si="245"/>
        <v>-0.24208922311539841</v>
      </c>
      <c r="AC63" s="636">
        <f t="shared" si="84"/>
        <v>1</v>
      </c>
      <c r="AD63" s="637">
        <f t="shared" si="115"/>
        <v>-0.59463833472179373</v>
      </c>
      <c r="AE63" s="629">
        <f t="shared" si="85"/>
        <v>0.76667989339141718</v>
      </c>
      <c r="AF63" s="633">
        <f t="shared" si="86"/>
        <v>-0.24208922311539841</v>
      </c>
      <c r="AG63" s="602">
        <f t="shared" si="87"/>
        <v>72.475805488457212</v>
      </c>
      <c r="AH63" s="603">
        <f t="shared" si="88"/>
        <v>126.48685409507887</v>
      </c>
      <c r="AI63" s="585">
        <f t="shared" si="89"/>
        <v>-75.990119129300197</v>
      </c>
      <c r="AJ63" s="586">
        <f t="shared" si="90"/>
        <v>-142.20277863884652</v>
      </c>
      <c r="AK63" s="635">
        <f t="shared" si="211"/>
        <v>0.94558126395279118</v>
      </c>
      <c r="AL63" s="629">
        <f t="shared" si="91"/>
        <v>-0.21741407800053936</v>
      </c>
      <c r="AM63" s="634">
        <f t="shared" si="92"/>
        <v>-0.24208922311539841</v>
      </c>
      <c r="AN63" s="581">
        <f t="shared" si="93"/>
        <v>-41.926191677761956</v>
      </c>
      <c r="AO63" s="582">
        <f t="shared" si="461"/>
        <v>18.988964575040281</v>
      </c>
      <c r="AP63" s="585">
        <f t="shared" si="95"/>
        <v>-12.948758317641326</v>
      </c>
      <c r="AQ63" s="586">
        <f t="shared" si="246"/>
        <v>0.54845425862433728</v>
      </c>
      <c r="AS63" s="52">
        <f t="shared" si="406"/>
        <v>-219.25402032120522</v>
      </c>
      <c r="AT63" s="72">
        <f t="shared" si="247"/>
        <v>-0.21494137114436987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5.1260000000000003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-3.0362646534100746</v>
      </c>
      <c r="C64" s="708">
        <v>-3.5991704796205237</v>
      </c>
      <c r="D64" s="709">
        <v>-0.89030268515289845</v>
      </c>
      <c r="E64" s="710">
        <v>0.49047319191473693</v>
      </c>
      <c r="F64" s="708">
        <v>-0.85172298741538022</v>
      </c>
      <c r="G64" s="711">
        <v>0.18440173730523765</v>
      </c>
      <c r="H64" s="710">
        <v>0.314</v>
      </c>
      <c r="I64" s="708">
        <v>0.52</v>
      </c>
      <c r="J64" s="570">
        <v>5.133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5.133</v>
      </c>
      <c r="N64" s="632">
        <f t="shared" si="240"/>
        <v>-3.0362646534100746</v>
      </c>
      <c r="O64" s="629">
        <f t="shared" si="241"/>
        <v>-3.5991704796205237</v>
      </c>
      <c r="P64" s="633">
        <f t="shared" si="242"/>
        <v>-0.89030268515289845</v>
      </c>
      <c r="Q64" s="585">
        <f t="shared" si="113"/>
        <v>229.84897980830553</v>
      </c>
      <c r="R64" s="629">
        <f t="shared" si="79"/>
        <v>4.7088142017836327</v>
      </c>
      <c r="S64" s="634">
        <f t="shared" si="80"/>
        <v>-0.89030268515289845</v>
      </c>
      <c r="T64" s="635">
        <f t="shared" si="81"/>
        <v>-3.5991704796205242</v>
      </c>
      <c r="U64" s="629">
        <f t="shared" si="82"/>
        <v>3.0362646534100737</v>
      </c>
      <c r="V64" s="636">
        <f t="shared" si="114"/>
        <v>-0.89030268515289845</v>
      </c>
      <c r="W64" s="585">
        <f t="shared" si="224"/>
        <v>139.84897980830553</v>
      </c>
      <c r="X64" s="629">
        <f t="shared" si="83"/>
        <v>4.7088142017836327</v>
      </c>
      <c r="Y64" s="630">
        <f t="shared" si="223"/>
        <v>-0.89030268515289845</v>
      </c>
      <c r="Z64" s="632">
        <f t="shared" si="243"/>
        <v>-0.49047319191473693</v>
      </c>
      <c r="AA64" s="629">
        <f t="shared" si="244"/>
        <v>0.85172298741538022</v>
      </c>
      <c r="AB64" s="629">
        <f t="shared" si="245"/>
        <v>-0.18440173730523765</v>
      </c>
      <c r="AC64" s="636">
        <f t="shared" si="84"/>
        <v>1</v>
      </c>
      <c r="AD64" s="637">
        <f t="shared" si="115"/>
        <v>-0.49047319191473693</v>
      </c>
      <c r="AE64" s="629">
        <f t="shared" si="85"/>
        <v>0.85172298741538022</v>
      </c>
      <c r="AF64" s="633">
        <f t="shared" si="86"/>
        <v>-0.18440173730523765</v>
      </c>
      <c r="AG64" s="602">
        <f t="shared" si="87"/>
        <v>77.783760317034506</v>
      </c>
      <c r="AH64" s="603">
        <f t="shared" si="88"/>
        <v>119.37168785087167</v>
      </c>
      <c r="AI64" s="585">
        <f t="shared" si="89"/>
        <v>-79.373745614030156</v>
      </c>
      <c r="AJ64" s="586">
        <f t="shared" si="90"/>
        <v>-150.06408131110965</v>
      </c>
      <c r="AK64" s="635">
        <f t="shared" si="211"/>
        <v>0.92408679724986675</v>
      </c>
      <c r="AL64" s="629">
        <f t="shared" si="91"/>
        <v>-0.33475302900391191</v>
      </c>
      <c r="AM64" s="634">
        <f t="shared" si="92"/>
        <v>-0.18440173730523765</v>
      </c>
      <c r="AN64" s="581">
        <f t="shared" si="93"/>
        <v>-61.151430912696405</v>
      </c>
      <c r="AO64" s="582">
        <f t="shared" si="461"/>
        <v>22.468947781898617</v>
      </c>
      <c r="AP64" s="585">
        <f t="shared" si="95"/>
        <v>-19.913061119415193</v>
      </c>
      <c r="AQ64" s="586">
        <f t="shared" si="246"/>
        <v>0.48412875922126714</v>
      </c>
      <c r="AS64" s="52">
        <f t="shared" si="406"/>
        <v>-220.15102019169447</v>
      </c>
      <c r="AT64" s="72">
        <f t="shared" si="247"/>
        <v>-0.73742003224199948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5.133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-3.2722503822124218</v>
      </c>
      <c r="C65" s="708">
        <v>-3.8032650599302276</v>
      </c>
      <c r="D65" s="709">
        <v>-1.5858047827872248</v>
      </c>
      <c r="E65" s="710">
        <v>0.36579170469987043</v>
      </c>
      <c r="F65" s="708">
        <v>-0.92319103640176126</v>
      </c>
      <c r="G65" s="711">
        <v>0.1179607522873803</v>
      </c>
      <c r="H65" s="710">
        <v>0.314</v>
      </c>
      <c r="I65" s="708">
        <v>0.52</v>
      </c>
      <c r="J65" s="570">
        <v>5.14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5.14</v>
      </c>
      <c r="N65" s="632">
        <f t="shared" si="240"/>
        <v>-3.2722503822124218</v>
      </c>
      <c r="O65" s="629">
        <f t="shared" si="241"/>
        <v>-3.8032650599302276</v>
      </c>
      <c r="P65" s="633">
        <f t="shared" si="242"/>
        <v>-1.5858047827872248</v>
      </c>
      <c r="Q65" s="585">
        <f t="shared" si="113"/>
        <v>229.29197988872636</v>
      </c>
      <c r="R65" s="629">
        <f t="shared" si="79"/>
        <v>5.0172151319208371</v>
      </c>
      <c r="S65" s="634">
        <f t="shared" si="80"/>
        <v>-1.5858047827872248</v>
      </c>
      <c r="T65" s="635">
        <f t="shared" si="81"/>
        <v>-3.8032650599302276</v>
      </c>
      <c r="U65" s="629">
        <f t="shared" si="82"/>
        <v>3.2722503822124231</v>
      </c>
      <c r="V65" s="636">
        <f t="shared" si="114"/>
        <v>-1.5858047827872248</v>
      </c>
      <c r="W65" s="585">
        <f t="shared" si="224"/>
        <v>139.29197988872636</v>
      </c>
      <c r="X65" s="629">
        <f t="shared" si="83"/>
        <v>5.0172151319208371</v>
      </c>
      <c r="Y65" s="630">
        <f t="shared" si="223"/>
        <v>-1.5858047827872248</v>
      </c>
      <c r="Z65" s="632">
        <f t="shared" si="243"/>
        <v>-0.36579170469987043</v>
      </c>
      <c r="AA65" s="629">
        <f t="shared" si="244"/>
        <v>0.92319103640176126</v>
      </c>
      <c r="AB65" s="629">
        <f t="shared" si="245"/>
        <v>-0.1179607522873803</v>
      </c>
      <c r="AC65" s="636">
        <f t="shared" si="84"/>
        <v>1</v>
      </c>
      <c r="AD65" s="637">
        <f t="shared" si="115"/>
        <v>-0.36579170469987043</v>
      </c>
      <c r="AE65" s="629">
        <f t="shared" si="85"/>
        <v>0.92319103640176126</v>
      </c>
      <c r="AF65" s="633">
        <f t="shared" si="86"/>
        <v>-0.1179607522873803</v>
      </c>
      <c r="AG65" s="602">
        <f t="shared" si="87"/>
        <v>82.71848671522163</v>
      </c>
      <c r="AH65" s="603">
        <f t="shared" si="88"/>
        <v>111.45631368235027</v>
      </c>
      <c r="AI65" s="585">
        <f t="shared" si="89"/>
        <v>-83.225573629874233</v>
      </c>
      <c r="AJ65" s="586">
        <f t="shared" si="90"/>
        <v>-158.38527309471843</v>
      </c>
      <c r="AK65" s="635">
        <f t="shared" si="211"/>
        <v>0.87939522532072578</v>
      </c>
      <c r="AL65" s="629">
        <f t="shared" si="91"/>
        <v>-0.46124754590448014</v>
      </c>
      <c r="AM65" s="634">
        <f t="shared" si="92"/>
        <v>-0.1179607522873803</v>
      </c>
      <c r="AN65" s="581">
        <f t="shared" si="93"/>
        <v>-75.654492852003273</v>
      </c>
      <c r="AO65" s="582">
        <f t="shared" si="461"/>
        <v>28.430504340509835</v>
      </c>
      <c r="AP65" s="585">
        <f t="shared" si="95"/>
        <v>-27.677252983444781</v>
      </c>
      <c r="AQ65" s="586">
        <f t="shared" si="246"/>
        <v>0.4543713557598677</v>
      </c>
      <c r="AS65" s="52">
        <f t="shared" si="406"/>
        <v>-220.70802011127364</v>
      </c>
      <c r="AT65" s="72">
        <f t="shared" si="247"/>
        <v>-1.4325353243766181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5.14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-3.3084680489461964</v>
      </c>
      <c r="C66" s="708">
        <v>-3.8335706962009688</v>
      </c>
      <c r="D66" s="709">
        <v>-2.3480070815893583</v>
      </c>
      <c r="E66" s="710">
        <v>0.32925972559948508</v>
      </c>
      <c r="F66" s="708">
        <v>-0.94398748173893898</v>
      </c>
      <c r="G66" s="711">
        <v>2.1809800969477697E-2</v>
      </c>
      <c r="H66" s="710">
        <v>0.314</v>
      </c>
      <c r="I66" s="708">
        <v>0.52</v>
      </c>
      <c r="J66" s="570">
        <v>5.1470000000000002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5.1470000000000002</v>
      </c>
      <c r="N66" s="632">
        <f t="shared" si="240"/>
        <v>-3.3084680489461964</v>
      </c>
      <c r="O66" s="629">
        <f t="shared" si="241"/>
        <v>-3.8335706962009688</v>
      </c>
      <c r="P66" s="633">
        <f t="shared" si="242"/>
        <v>-2.3480070815893583</v>
      </c>
      <c r="Q66" s="585">
        <f t="shared" si="113"/>
        <v>229.2049799012876</v>
      </c>
      <c r="R66" s="629">
        <f t="shared" si="79"/>
        <v>5.0638152724668606</v>
      </c>
      <c r="S66" s="634">
        <f t="shared" si="80"/>
        <v>-2.3480070815893583</v>
      </c>
      <c r="T66" s="635">
        <f t="shared" si="81"/>
        <v>-3.8335706962009684</v>
      </c>
      <c r="U66" s="629">
        <f t="shared" si="82"/>
        <v>3.3084680489461959</v>
      </c>
      <c r="V66" s="636">
        <f t="shared" si="114"/>
        <v>-2.3480070815893583</v>
      </c>
      <c r="W66" s="585">
        <f t="shared" si="224"/>
        <v>139.2049799012876</v>
      </c>
      <c r="X66" s="629">
        <f t="shared" si="83"/>
        <v>5.0638152724668606</v>
      </c>
      <c r="Y66" s="630">
        <f t="shared" si="223"/>
        <v>-2.3480070815893583</v>
      </c>
      <c r="Z66" s="632">
        <f t="shared" si="243"/>
        <v>-0.32925972559948508</v>
      </c>
      <c r="AA66" s="629">
        <f t="shared" si="244"/>
        <v>0.94398748173893898</v>
      </c>
      <c r="AB66" s="629">
        <f t="shared" si="245"/>
        <v>-2.1809800969477697E-2</v>
      </c>
      <c r="AC66" s="636">
        <f t="shared" si="84"/>
        <v>1</v>
      </c>
      <c r="AD66" s="637">
        <f t="shared" si="115"/>
        <v>-0.32925972559948508</v>
      </c>
      <c r="AE66" s="629">
        <f t="shared" si="85"/>
        <v>0.94398748173893898</v>
      </c>
      <c r="AF66" s="633">
        <f t="shared" si="86"/>
        <v>-2.1809800969477697E-2</v>
      </c>
      <c r="AG66" s="602">
        <f t="shared" si="87"/>
        <v>88.676478979180601</v>
      </c>
      <c r="AH66" s="603">
        <f t="shared" si="88"/>
        <v>109.22385001740139</v>
      </c>
      <c r="AI66" s="585">
        <f t="shared" si="89"/>
        <v>-88.75029136479283</v>
      </c>
      <c r="AJ66" s="586">
        <f t="shared" si="90"/>
        <v>-160.77139647941448</v>
      </c>
      <c r="AK66" s="635">
        <f t="shared" si="211"/>
        <v>0.86602544158358563</v>
      </c>
      <c r="AL66" s="629">
        <f t="shared" si="91"/>
        <v>-0.49952404057425237</v>
      </c>
      <c r="AM66" s="634">
        <f t="shared" si="92"/>
        <v>-2.1809800969477697E-2</v>
      </c>
      <c r="AN66" s="581">
        <f t="shared" si="93"/>
        <v>-87.499987366564895</v>
      </c>
      <c r="AO66" s="582">
        <f t="shared" si="461"/>
        <v>29.999995668536535</v>
      </c>
      <c r="AP66" s="585">
        <f t="shared" si="95"/>
        <v>-29.97637638070206</v>
      </c>
      <c r="AQ66" s="586">
        <f t="shared" si="246"/>
        <v>0.45019014211149172</v>
      </c>
      <c r="AS66" s="52">
        <f t="shared" si="406"/>
        <v>-220.7950200987124</v>
      </c>
      <c r="AT66" s="72">
        <f t="shared" si="247"/>
        <v>-2.194677206520808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5.1470000000000002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-2.7770632937910729</v>
      </c>
      <c r="C67" s="708">
        <v>-2.0507199774788201</v>
      </c>
      <c r="D67" s="709">
        <v>-6.0600000000000119E-2</v>
      </c>
      <c r="E67" s="710">
        <v>0.44917543716728753</v>
      </c>
      <c r="F67" s="708">
        <v>-0.78376414476304235</v>
      </c>
      <c r="G67" s="711">
        <v>0.42889997905039939</v>
      </c>
      <c r="H67" s="710">
        <v>0.26600000000000001</v>
      </c>
      <c r="I67" s="708">
        <v>0.52</v>
      </c>
      <c r="J67" s="570">
        <v>5.2190000000000003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5.2190000000000003</v>
      </c>
      <c r="N67" s="632">
        <f t="shared" si="240"/>
        <v>-2.7770632937910729</v>
      </c>
      <c r="O67" s="629">
        <f t="shared" si="241"/>
        <v>-2.0507199774788201</v>
      </c>
      <c r="P67" s="633">
        <f t="shared" si="242"/>
        <v>-6.0600000000000119E-2</v>
      </c>
      <c r="Q67" s="585">
        <f t="shared" si="113"/>
        <v>216.44398174374777</v>
      </c>
      <c r="R67" s="629">
        <f>IF(M67="","",SQRT(N67^2+O67^2))</f>
        <v>3.4521780029066367</v>
      </c>
      <c r="S67" s="634">
        <f>IF(M67="","",P67)</f>
        <v>-6.0600000000000119E-2</v>
      </c>
      <c r="T67" s="635">
        <f>IF(M67="","",X67*COS(RADIANS(W67)))</f>
        <v>-2.0507199774788196</v>
      </c>
      <c r="U67" s="629">
        <f>IF(M67="","",X67*SIN(RADIANS(W67)))</f>
        <v>2.7770632937910733</v>
      </c>
      <c r="V67" s="636">
        <f>IF(M67="","",Y67)</f>
        <v>-6.0600000000000119E-2</v>
      </c>
      <c r="W67" s="585">
        <f t="shared" si="224"/>
        <v>126.44398174374777</v>
      </c>
      <c r="X67" s="629">
        <f>IF(M67="","",R67)</f>
        <v>3.4521780029066367</v>
      </c>
      <c r="Y67" s="630">
        <f t="shared" si="223"/>
        <v>-6.0600000000000119E-2</v>
      </c>
      <c r="Z67" s="632">
        <f t="shared" si="243"/>
        <v>-0.44917543716728753</v>
      </c>
      <c r="AA67" s="629">
        <f t="shared" si="244"/>
        <v>0.78376414476304235</v>
      </c>
      <c r="AB67" s="629">
        <f t="shared" si="245"/>
        <v>-0.42889997905039939</v>
      </c>
      <c r="AC67" s="636">
        <f>IF(M67="","",SQRT(Z67^2+AA67^2+AB67^2))</f>
        <v>1</v>
      </c>
      <c r="AD67" s="637">
        <f>IF(M67="","",Z67*(1/SQRT(Z67^2+AA67^2+AB67^2)))</f>
        <v>-0.44917543716728753</v>
      </c>
      <c r="AE67" s="629">
        <f>IF(M67="","",AA67*(1/SQRT(Z67^2+AA67^2+AB67^2)))</f>
        <v>0.78376414476304235</v>
      </c>
      <c r="AF67" s="633">
        <f>IF(M67="","",AB67*(1/SQRT(Z67^2+AA67^2+AB67^2)))</f>
        <v>-0.42889997905039939</v>
      </c>
      <c r="AG67" s="602">
        <f>IF(M67="","",DEGREES(ATAN2(-AF67,AE67)))</f>
        <v>61.31115767300534</v>
      </c>
      <c r="AH67" s="603">
        <f>IF(M67="","",DEGREES(ACOS(AD67)))</f>
        <v>116.69079315402604</v>
      </c>
      <c r="AI67" s="585">
        <f>IF(M67="","",DEGREES(-ACOS(-AF67)))</f>
        <v>-64.602229711880767</v>
      </c>
      <c r="AJ67" s="586">
        <f>IF(M67="","",DEGREES(ATAN2(-AE67,AD67)))</f>
        <v>-150.18296667509719</v>
      </c>
      <c r="AK67" s="635">
        <f>IF(M67="","",(COS(RADIANS((90-$Q$8)-W67))*AD67)+(-SIN(RADIANS((90-$Q$8)-W67))*AE67))</f>
        <v>0.89731632528640304</v>
      </c>
      <c r="AL67" s="629">
        <f>IF(M67="","",(SIN(RADIANS((90-$Q$8)-W67))*AD67)+(COS(RADIANS((90-$Q$8)-W67))*AE67))</f>
        <v>-0.10425075704796233</v>
      </c>
      <c r="AM67" s="634">
        <f>IF(M67="","",AF67)</f>
        <v>-0.42889997905039939</v>
      </c>
      <c r="AN67" s="581">
        <f>IF(M67="","",DEGREES(ATAN2(-AM67,AL67)))</f>
        <v>-13.661687811716059</v>
      </c>
      <c r="AO67" s="582">
        <f t="shared" si="461"/>
        <v>26.192477891287968</v>
      </c>
      <c r="AP67" s="585">
        <f>IF(M67="","",DEGREES(ATAN2(AK67,AL67)))</f>
        <v>-6.6269484188449503</v>
      </c>
      <c r="AQ67" s="586">
        <f t="shared" si="246"/>
        <v>0.66034419158251922</v>
      </c>
      <c r="AS67" s="52">
        <f t="shared" si="406"/>
        <v>-233.55601825625223</v>
      </c>
      <c r="AT67" s="72">
        <f t="shared" si="247"/>
        <v>0.10159167934461949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Nose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5.2190000000000003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5.1189999999999998</v>
      </c>
      <c r="II67" s="734" cm="1">
        <f t="array" ref="II67">IFERROR(ROUND(VALUE(IF($IH67&lt;1,$IH67+LARGE((IF($M$9:$M$150="",0,$M$9:$M$150)-MOD(IF($M$9:$M$150="",0,$M$9:$M$150),1)),1),$IH67)),4),"")</f>
        <v>5.1189999999999998</v>
      </c>
      <c r="IJ67" s="533">
        <f t="shared" si="112"/>
        <v>1613</v>
      </c>
      <c r="IK67" s="533">
        <f t="shared" si="382"/>
        <v>1313</v>
      </c>
      <c r="IL67" s="727">
        <f t="shared" si="225"/>
        <v>15.186997807268824</v>
      </c>
      <c r="IM67" s="759">
        <v>2.57577139678924E-2</v>
      </c>
      <c r="IN67" s="5">
        <f t="shared" si="226"/>
        <v>0.57999999999999996</v>
      </c>
      <c r="IO67" s="771">
        <v>290</v>
      </c>
      <c r="IP67" s="9">
        <f t="shared" si="227"/>
        <v>-3.4454103913577407</v>
      </c>
      <c r="IQ67" s="5">
        <f t="shared" si="228"/>
        <v>-9.7000292552882408E-2</v>
      </c>
      <c r="IR67" s="5">
        <f t="shared" si="383"/>
        <v>0.314</v>
      </c>
      <c r="IS67" s="5">
        <f t="shared" si="229"/>
        <v>0.30133991291988027</v>
      </c>
      <c r="IT67" s="727">
        <f t="shared" si="230"/>
        <v>17.966302366818912</v>
      </c>
      <c r="IU67" s="9">
        <f t="shared" si="231"/>
        <v>-3.4521780029066367</v>
      </c>
      <c r="IV67" s="5">
        <f t="shared" si="232"/>
        <v>-6.0600000000000119E-2</v>
      </c>
      <c r="IW67" s="5">
        <f t="shared" si="384"/>
        <v>0.26600000000000001</v>
      </c>
      <c r="IX67" s="5">
        <f t="shared" si="233"/>
        <v>0.23868614252618323</v>
      </c>
      <c r="IY67" s="762">
        <f t="shared" si="234"/>
        <v>13.661687811716059</v>
      </c>
    </row>
    <row r="68" spans="1:259" ht="15" customHeight="1" x14ac:dyDescent="0.25">
      <c r="A68" s="79"/>
      <c r="B68" s="707">
        <v>-3.3083940288407394</v>
      </c>
      <c r="C68" s="708">
        <v>-2.5565546401779344</v>
      </c>
      <c r="D68" s="709">
        <v>-0.33230000000000015</v>
      </c>
      <c r="E68" s="710">
        <v>0.31602813983975286</v>
      </c>
      <c r="F68" s="708">
        <v>-0.86521728053012581</v>
      </c>
      <c r="G68" s="711">
        <v>0.38926247224909732</v>
      </c>
      <c r="H68" s="710">
        <v>0.26600000000000001</v>
      </c>
      <c r="I68" s="708">
        <v>0.52</v>
      </c>
      <c r="J68" s="570">
        <v>5.226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5.226</v>
      </c>
      <c r="N68" s="632">
        <f t="shared" si="240"/>
        <v>-3.3083940288407394</v>
      </c>
      <c r="O68" s="629">
        <f t="shared" si="241"/>
        <v>-2.5565546401779344</v>
      </c>
      <c r="P68" s="633">
        <f t="shared" si="242"/>
        <v>-0.33230000000000015</v>
      </c>
      <c r="Q68" s="585">
        <f t="shared" si="113"/>
        <v>217.69498156312579</v>
      </c>
      <c r="R68" s="629">
        <f>IF(M68="","",SQRT(N68^2+O68^2))</f>
        <v>4.1810815201672868</v>
      </c>
      <c r="S68" s="634">
        <f>IF(M68="","",P68)</f>
        <v>-0.33230000000000015</v>
      </c>
      <c r="T68" s="635">
        <f>IF(M68="","",X68*COS(RADIANS(W68)))</f>
        <v>-2.5565546401779367</v>
      </c>
      <c r="U68" s="629">
        <f>IF(M68="","",X68*SIN(RADIANS(W68)))</f>
        <v>3.3083940288407385</v>
      </c>
      <c r="V68" s="636">
        <f>IF(M68="","",Y68)</f>
        <v>-0.33230000000000015</v>
      </c>
      <c r="W68" s="585">
        <f t="shared" si="224"/>
        <v>127.69498156312579</v>
      </c>
      <c r="X68" s="629">
        <f>IF(M68="","",R68)</f>
        <v>4.1810815201672868</v>
      </c>
      <c r="Y68" s="630">
        <f t="shared" si="223"/>
        <v>-0.33230000000000015</v>
      </c>
      <c r="Z68" s="632">
        <f t="shared" si="243"/>
        <v>-0.31602813983975286</v>
      </c>
      <c r="AA68" s="629">
        <f t="shared" si="244"/>
        <v>0.86521728053012581</v>
      </c>
      <c r="AB68" s="629">
        <f t="shared" si="245"/>
        <v>-0.38926247224909732</v>
      </c>
      <c r="AC68" s="636">
        <f>IF(M68="","",SQRT(Z68^2+AA68^2+AB68^2))</f>
        <v>1</v>
      </c>
      <c r="AD68" s="637">
        <f>IF(M68="","",Z68*(1/SQRT(Z68^2+AA68^2+AB68^2)))</f>
        <v>-0.31602813983975286</v>
      </c>
      <c r="AE68" s="629">
        <f>IF(M68="","",AA68*(1/SQRT(Z68^2+AA68^2+AB68^2)))</f>
        <v>0.86521728053012581</v>
      </c>
      <c r="AF68" s="633">
        <f>IF(M68="","",AB68*(1/SQRT(Z68^2+AA68^2+AB68^2)))</f>
        <v>-0.38926247224909732</v>
      </c>
      <c r="AG68" s="602">
        <f>IF(M68="","",DEGREES(ATAN2(-AF68,AE68)))</f>
        <v>65.776952516707283</v>
      </c>
      <c r="AH68" s="603">
        <f>IF(M68="","",DEGREES(ACOS(AD68)))</f>
        <v>108.42289281178176</v>
      </c>
      <c r="AI68" s="585">
        <f>IF(M68="","",DEGREES(-ACOS(-AF68)))</f>
        <v>-67.091383944775146</v>
      </c>
      <c r="AJ68" s="586">
        <f>IF(M68="","",DEGREES(ATAN2(-AE68,AD68)))</f>
        <v>-159.93483904638299</v>
      </c>
      <c r="AK68" s="635">
        <f>IF(M68="","",(COS(RADIANS((90-$Q$8)-W68))*AD68)+(-SIN(RADIANS((90-$Q$8)-W68))*AE68))</f>
        <v>0.8778644650159696</v>
      </c>
      <c r="AL68" s="629">
        <f>IF(M68="","",(SIN(RADIANS((90-$Q$8)-W68))*AD68)+(COS(RADIANS((90-$Q$8)-W68))*AE68))</f>
        <v>-0.27897797181990258</v>
      </c>
      <c r="AM68" s="634">
        <f>IF(M68="","",AF68)</f>
        <v>-0.38926247224909732</v>
      </c>
      <c r="AN68" s="581">
        <f>IF(M68="","",DEGREES(ATAN2(-AM68,AL68)))</f>
        <v>-35.628542622213637</v>
      </c>
      <c r="AO68" s="582">
        <f t="shared" si="461"/>
        <v>28.614181577281116</v>
      </c>
      <c r="AP68" s="585">
        <f>IF(M68="","",DEGREES(ATAN2(AK68,AL68)))</f>
        <v>-17.629820609508794</v>
      </c>
      <c r="AQ68" s="586">
        <f t="shared" si="246"/>
        <v>0.54523161203691328</v>
      </c>
      <c r="AS68" s="52">
        <f t="shared" si="406"/>
        <v>-232.30501843687421</v>
      </c>
      <c r="AT68" s="72">
        <f t="shared" si="247"/>
        <v>-0.17097707052994862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5.226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5.1260000000000003</v>
      </c>
      <c r="II68" s="734" cm="1">
        <f t="array" ref="II68">IFERROR(ROUND(VALUE(IF($IH68&lt;1,$IH68+LARGE((IF($M$9:$M$150="",0,$M$9:$M$150)-MOD(IF($M$9:$M$150="",0,$M$9:$M$150),1)),1),$IH68)),4),"")</f>
        <v>5.1260000000000003</v>
      </c>
      <c r="IJ68" s="533">
        <f t="shared" si="112"/>
        <v>1613</v>
      </c>
      <c r="IK68" s="533">
        <f t="shared" si="382"/>
        <v>1313</v>
      </c>
      <c r="IL68" s="727">
        <f t="shared" si="225"/>
        <v>13.050998115668989</v>
      </c>
      <c r="IM68" s="759">
        <v>2.0346726883252699E-2</v>
      </c>
      <c r="IN68" s="5">
        <f t="shared" si="226"/>
        <v>0.6</v>
      </c>
      <c r="IO68" s="771">
        <v>300</v>
      </c>
      <c r="IP68" s="9">
        <f t="shared" si="227"/>
        <v>-4.1565125360418094</v>
      </c>
      <c r="IQ68" s="5">
        <f t="shared" si="228"/>
        <v>-0.36720110747854018</v>
      </c>
      <c r="IR68" s="5">
        <f t="shared" si="383"/>
        <v>0.314</v>
      </c>
      <c r="IS68" s="5">
        <f t="shared" si="229"/>
        <v>0.29691251688117642</v>
      </c>
      <c r="IT68" s="727">
        <f t="shared" si="230"/>
        <v>41.926191677761956</v>
      </c>
      <c r="IU68" s="9">
        <f t="shared" si="231"/>
        <v>-4.1810815201672868</v>
      </c>
      <c r="IV68" s="5">
        <f t="shared" si="232"/>
        <v>-0.33230000000000015</v>
      </c>
      <c r="IW68" s="5">
        <f t="shared" si="384"/>
        <v>0.26600000000000001</v>
      </c>
      <c r="IX68" s="5">
        <f t="shared" si="233"/>
        <v>0.23351194769424793</v>
      </c>
      <c r="IY68" s="762">
        <f t="shared" si="234"/>
        <v>35.628542622213637</v>
      </c>
    </row>
    <row r="69" spans="1:259" ht="15" customHeight="1" x14ac:dyDescent="0.25">
      <c r="A69" s="79"/>
      <c r="B69" s="707">
        <v>-3.7378982604600304</v>
      </c>
      <c r="C69" s="708">
        <v>-2.9285677072579599</v>
      </c>
      <c r="D69" s="709">
        <v>-0.86499999999999966</v>
      </c>
      <c r="E69" s="710">
        <v>0.19527044784556058</v>
      </c>
      <c r="F69" s="708">
        <v>-0.9359947673801543</v>
      </c>
      <c r="G69" s="711">
        <v>0.2928877731062961</v>
      </c>
      <c r="H69" s="710">
        <v>0.26600000000000001</v>
      </c>
      <c r="I69" s="708">
        <v>0.52</v>
      </c>
      <c r="J69" s="570">
        <v>5.2329999999999997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5.2329999999999997</v>
      </c>
      <c r="N69" s="632">
        <f t="shared" si="240"/>
        <v>-3.7378982604600304</v>
      </c>
      <c r="O69" s="629">
        <f t="shared" si="241"/>
        <v>-2.9285677072579599</v>
      </c>
      <c r="P69" s="633">
        <f t="shared" si="242"/>
        <v>-0.86499999999999966</v>
      </c>
      <c r="Q69" s="585">
        <f t="shared" si="113"/>
        <v>218.07798150782742</v>
      </c>
      <c r="R69" s="629">
        <f t="shared" si="79"/>
        <v>4.7485147384781552</v>
      </c>
      <c r="S69" s="634">
        <f t="shared" si="80"/>
        <v>-0.86499999999999966</v>
      </c>
      <c r="T69" s="635">
        <f t="shared" si="81"/>
        <v>-2.9285677072579599</v>
      </c>
      <c r="U69" s="629">
        <f t="shared" si="82"/>
        <v>3.7378982604600299</v>
      </c>
      <c r="V69" s="636">
        <f t="shared" si="114"/>
        <v>-0.86499999999999966</v>
      </c>
      <c r="W69" s="585">
        <f t="shared" si="224"/>
        <v>128.07798150782742</v>
      </c>
      <c r="X69" s="629">
        <f t="shared" si="83"/>
        <v>4.7485147384781552</v>
      </c>
      <c r="Y69" s="630">
        <f t="shared" si="223"/>
        <v>-0.86499999999999966</v>
      </c>
      <c r="Z69" s="632">
        <f t="shared" si="243"/>
        <v>-0.19527044784556058</v>
      </c>
      <c r="AA69" s="629">
        <f t="shared" si="244"/>
        <v>0.9359947673801543</v>
      </c>
      <c r="AB69" s="629">
        <f t="shared" si="245"/>
        <v>-0.2928877731062961</v>
      </c>
      <c r="AC69" s="636">
        <f t="shared" si="84"/>
        <v>1</v>
      </c>
      <c r="AD69" s="637">
        <f t="shared" si="115"/>
        <v>-0.19527044784556058</v>
      </c>
      <c r="AE69" s="629">
        <f t="shared" si="85"/>
        <v>0.9359947673801543</v>
      </c>
      <c r="AF69" s="633">
        <f t="shared" si="86"/>
        <v>-0.2928877731062961</v>
      </c>
      <c r="AG69" s="602">
        <f t="shared" si="87"/>
        <v>72.624261525239035</v>
      </c>
      <c r="AH69" s="603">
        <f t="shared" si="88"/>
        <v>101.26052283164118</v>
      </c>
      <c r="AI69" s="585">
        <f t="shared" si="89"/>
        <v>-72.969077868550144</v>
      </c>
      <c r="AJ69" s="586">
        <f t="shared" si="90"/>
        <v>-168.21578155014171</v>
      </c>
      <c r="AK69" s="635">
        <f t="shared" si="211"/>
        <v>0.85721876517473583</v>
      </c>
      <c r="AL69" s="629">
        <f t="shared" si="91"/>
        <v>-0.42354780249357477</v>
      </c>
      <c r="AM69" s="634">
        <f t="shared" si="92"/>
        <v>-0.2928877731062961</v>
      </c>
      <c r="AN69" s="581">
        <f t="shared" si="93"/>
        <v>-55.335732930298697</v>
      </c>
      <c r="AO69" s="582">
        <f t="shared" si="461"/>
        <v>30.994274321742505</v>
      </c>
      <c r="AP69" s="585">
        <f t="shared" si="95"/>
        <v>-26.29376305796912</v>
      </c>
      <c r="AQ69" s="586">
        <f t="shared" si="246"/>
        <v>0.4800813319208253</v>
      </c>
      <c r="AS69" s="52">
        <f t="shared" si="406"/>
        <v>-231.92201849217258</v>
      </c>
      <c r="AT69" s="72">
        <f t="shared" si="247"/>
        <v>-0.70394304271376873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5.2329999999999997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5.133</v>
      </c>
      <c r="II69" s="734" cm="1">
        <f t="array" ref="II69">IFERROR(ROUND(VALUE(IF($IH69&lt;1,$IH69+LARGE((IF($M$9:$M$150="",0,$M$9:$M$150)-MOD(IF($M$9:$M$150="",0,$M$9:$M$150),1)),1),$IH69)),4),"")</f>
        <v>5.133</v>
      </c>
      <c r="IJ69" s="533">
        <f t="shared" si="112"/>
        <v>1613</v>
      </c>
      <c r="IK69" s="533">
        <f t="shared" si="382"/>
        <v>1313</v>
      </c>
      <c r="IL69" s="727">
        <f t="shared" si="225"/>
        <v>11.770998300478112</v>
      </c>
      <c r="IM69" s="759">
        <v>1.4058717752541699E-2</v>
      </c>
      <c r="IN69" s="5">
        <f t="shared" si="226"/>
        <v>0.64</v>
      </c>
      <c r="IO69" s="771">
        <v>320</v>
      </c>
      <c r="IP69" s="9">
        <f t="shared" si="227"/>
        <v>-4.7088142017836327</v>
      </c>
      <c r="IQ69" s="5">
        <f t="shared" si="228"/>
        <v>-0.89030268515289845</v>
      </c>
      <c r="IR69" s="5">
        <f t="shared" si="383"/>
        <v>0.314</v>
      </c>
      <c r="IS69" s="5">
        <f t="shared" si="229"/>
        <v>0.29016325433645818</v>
      </c>
      <c r="IT69" s="727">
        <f t="shared" si="230"/>
        <v>61.151430912696405</v>
      </c>
      <c r="IU69" s="9">
        <f t="shared" si="231"/>
        <v>-4.7485147384781552</v>
      </c>
      <c r="IV69" s="5">
        <f t="shared" si="232"/>
        <v>-0.86499999999999966</v>
      </c>
      <c r="IW69" s="5">
        <f t="shared" si="384"/>
        <v>0.26600000000000001</v>
      </c>
      <c r="IX69" s="5">
        <f t="shared" si="233"/>
        <v>0.22802019153647976</v>
      </c>
      <c r="IY69" s="762">
        <f t="shared" si="234"/>
        <v>55.335732930298697</v>
      </c>
    </row>
    <row r="70" spans="1:259" ht="15" customHeight="1" x14ac:dyDescent="0.25">
      <c r="A70" s="79"/>
      <c r="B70" s="707">
        <v>-3.9600783664208183</v>
      </c>
      <c r="C70" s="708">
        <v>-3.1094511241460476</v>
      </c>
      <c r="D70" s="709">
        <v>-1.5891860626145746</v>
      </c>
      <c r="E70" s="710">
        <v>-0.65128170180994061</v>
      </c>
      <c r="F70" s="708">
        <v>-0.51138628439925493</v>
      </c>
      <c r="G70" s="711">
        <v>0.56063911120779997</v>
      </c>
      <c r="H70" s="710">
        <v>0.25700000000000001</v>
      </c>
      <c r="I70" s="708">
        <v>0.41499999999999992</v>
      </c>
      <c r="J70" s="570">
        <v>5.24</v>
      </c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CPS-32193r1</v>
      </c>
      <c r="L70" s="320"/>
      <c r="M70" s="168">
        <f t="shared" si="239"/>
        <v>5.24</v>
      </c>
      <c r="N70" s="632">
        <f t="shared" si="240"/>
        <v>-3.9600783664208183</v>
      </c>
      <c r="O70" s="629">
        <f t="shared" si="241"/>
        <v>-3.1094511241460476</v>
      </c>
      <c r="P70" s="633">
        <f t="shared" si="242"/>
        <v>-1.5891860626145746</v>
      </c>
      <c r="Q70" s="585">
        <f t="shared" si="113"/>
        <v>218.13898149902008</v>
      </c>
      <c r="R70" s="629">
        <f t="shared" si="79"/>
        <v>5.0349684171449676</v>
      </c>
      <c r="S70" s="634">
        <f t="shared" si="80"/>
        <v>-1.5891860626145746</v>
      </c>
      <c r="T70" s="635">
        <f t="shared" si="81"/>
        <v>-3.1094511241460472</v>
      </c>
      <c r="U70" s="629">
        <f t="shared" si="82"/>
        <v>3.9600783664208192</v>
      </c>
      <c r="V70" s="636">
        <f t="shared" si="114"/>
        <v>-1.5891860626145746</v>
      </c>
      <c r="W70" s="585">
        <f t="shared" si="224"/>
        <v>128.13898149902008</v>
      </c>
      <c r="X70" s="629">
        <f t="shared" si="83"/>
        <v>5.0349684171449676</v>
      </c>
      <c r="Y70" s="630">
        <f t="shared" si="223"/>
        <v>-1.5891860626145746</v>
      </c>
      <c r="Z70" s="632">
        <f t="shared" si="243"/>
        <v>0.65128170180994061</v>
      </c>
      <c r="AA70" s="629">
        <f t="shared" si="244"/>
        <v>0.51138628439925493</v>
      </c>
      <c r="AB70" s="629">
        <f t="shared" si="245"/>
        <v>-0.56063911120779997</v>
      </c>
      <c r="AC70" s="636">
        <f t="shared" si="84"/>
        <v>1</v>
      </c>
      <c r="AD70" s="637">
        <f t="shared" si="115"/>
        <v>0.65128170180994061</v>
      </c>
      <c r="AE70" s="629">
        <f t="shared" si="85"/>
        <v>0.51138628439925493</v>
      </c>
      <c r="AF70" s="633">
        <f t="shared" si="86"/>
        <v>-0.56063911120779997</v>
      </c>
      <c r="AG70" s="602">
        <f t="shared" si="87"/>
        <v>42.36946898839247</v>
      </c>
      <c r="AH70" s="603">
        <f t="shared" si="88"/>
        <v>49.361693458113827</v>
      </c>
      <c r="AI70" s="585">
        <f t="shared" si="89"/>
        <v>-55.899991929040759</v>
      </c>
      <c r="AJ70" s="586">
        <f t="shared" si="90"/>
        <v>128.13899719158633</v>
      </c>
      <c r="AK70" s="635">
        <f t="shared" si="211"/>
        <v>2.2679489697363664E-7</v>
      </c>
      <c r="AL70" s="629">
        <f t="shared" si="91"/>
        <v>-0.82806025564814822</v>
      </c>
      <c r="AM70" s="634">
        <f t="shared" si="92"/>
        <v>-0.56063911120779997</v>
      </c>
      <c r="AN70" s="581">
        <f t="shared" si="93"/>
        <v>-55.899991929039764</v>
      </c>
      <c r="AO70" s="582">
        <f t="shared" si="461"/>
        <v>0</v>
      </c>
      <c r="AP70" s="585">
        <f t="shared" si="95"/>
        <v>-89.999984307433763</v>
      </c>
      <c r="AQ70" s="586">
        <f t="shared" si="246"/>
        <v>0.45276931038483081</v>
      </c>
      <c r="AS70" s="52">
        <f t="shared" si="406"/>
        <v>-231.86101850097992</v>
      </c>
      <c r="AT70" s="72">
        <f t="shared" si="247"/>
        <v>-1.4281714664333385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>Gage</v>
      </c>
      <c r="IG70" s="847">
        <f t="shared" si="210"/>
        <v>5.24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5.14</v>
      </c>
      <c r="II70" s="734" cm="1">
        <f t="array" ref="II70">IFERROR(ROUND(VALUE(IF($IH70&lt;1,$IH70+LARGE((IF($M$9:$M$150="",0,$M$9:$M$150)-MOD(IF($M$9:$M$150="",0,$M$9:$M$150),1)),1),$IH70)),4),"")</f>
        <v>5.14</v>
      </c>
      <c r="IJ70" s="533">
        <f t="shared" si="112"/>
        <v>1613</v>
      </c>
      <c r="IK70" s="533" t="str">
        <f t="shared" si="382"/>
        <v>CPS-32193r1</v>
      </c>
      <c r="IL70" s="727">
        <f t="shared" si="225"/>
        <v>11.152998389706283</v>
      </c>
      <c r="IM70" s="759">
        <v>2.4719425363733099E-3</v>
      </c>
      <c r="IN70" s="5">
        <f t="shared" si="226"/>
        <v>0.14000000000000001</v>
      </c>
      <c r="IO70" s="771">
        <v>70</v>
      </c>
      <c r="IP70" s="9">
        <f t="shared" si="227"/>
        <v>-5.0172151319208371</v>
      </c>
      <c r="IQ70" s="5">
        <f t="shared" si="228"/>
        <v>-1.5858047827872248</v>
      </c>
      <c r="IR70" s="5">
        <f t="shared" si="383"/>
        <v>0.314</v>
      </c>
      <c r="IS70" s="5">
        <f t="shared" si="229"/>
        <v>0.27613010075070787</v>
      </c>
      <c r="IT70" s="727">
        <f t="shared" si="230"/>
        <v>75.654492852003273</v>
      </c>
      <c r="IU70" s="9">
        <f t="shared" si="231"/>
        <v>-5.0349684171449676</v>
      </c>
      <c r="IV70" s="5">
        <f t="shared" si="232"/>
        <v>-1.5891860626145746</v>
      </c>
      <c r="IW70" s="5">
        <f t="shared" si="384"/>
        <v>0.25700000000000001</v>
      </c>
      <c r="IX70" s="5">
        <f t="shared" si="233"/>
        <v>0.25700000000000001</v>
      </c>
      <c r="IY70" s="762">
        <f t="shared" si="234"/>
        <v>55.899991929039764</v>
      </c>
    </row>
    <row r="71" spans="1:259" ht="15" customHeight="1" x14ac:dyDescent="0.25">
      <c r="A71" s="79"/>
      <c r="B71" s="707">
        <v>-3.9934244614940404</v>
      </c>
      <c r="C71" s="708">
        <v>-3.1357471293654009</v>
      </c>
      <c r="D71" s="709">
        <v>-2.3628124658090712</v>
      </c>
      <c r="E71" s="710">
        <v>-0.78575553193415359</v>
      </c>
      <c r="F71" s="708">
        <v>-0.61699722354585274</v>
      </c>
      <c r="G71" s="711">
        <v>4.3619607650509845E-2</v>
      </c>
      <c r="H71" s="710">
        <v>0.25700000000000001</v>
      </c>
      <c r="I71" s="708">
        <v>0.41499999999999992</v>
      </c>
      <c r="J71" s="570">
        <v>5.2469999999999999</v>
      </c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CPS-32193r1</v>
      </c>
      <c r="L71" s="320"/>
      <c r="M71" s="168">
        <f t="shared" si="239"/>
        <v>5.2469999999999999</v>
      </c>
      <c r="N71" s="632">
        <f t="shared" si="240"/>
        <v>-3.9934244614940404</v>
      </c>
      <c r="O71" s="629">
        <f t="shared" si="241"/>
        <v>-3.1357471293654009</v>
      </c>
      <c r="P71" s="633">
        <f t="shared" si="242"/>
        <v>-2.3628124658090712</v>
      </c>
      <c r="Q71" s="585">
        <f t="shared" si="113"/>
        <v>218.13998149887573</v>
      </c>
      <c r="R71" s="629">
        <f t="shared" si="79"/>
        <v>5.0774352766906166</v>
      </c>
      <c r="S71" s="634">
        <f t="shared" si="80"/>
        <v>-2.3628124658090712</v>
      </c>
      <c r="T71" s="635">
        <f t="shared" si="81"/>
        <v>-3.1357471293654009</v>
      </c>
      <c r="U71" s="629">
        <f t="shared" si="82"/>
        <v>3.9934244614940408</v>
      </c>
      <c r="V71" s="636">
        <f t="shared" si="114"/>
        <v>-2.3628124658090712</v>
      </c>
      <c r="W71" s="585">
        <f t="shared" si="224"/>
        <v>128.13998149887573</v>
      </c>
      <c r="X71" s="629">
        <f t="shared" si="83"/>
        <v>5.0774352766906166</v>
      </c>
      <c r="Y71" s="630">
        <f t="shared" si="223"/>
        <v>-2.3628124658090712</v>
      </c>
      <c r="Z71" s="632">
        <f t="shared" si="243"/>
        <v>0.78575553193415359</v>
      </c>
      <c r="AA71" s="629">
        <f t="shared" si="244"/>
        <v>0.61699722354585274</v>
      </c>
      <c r="AB71" s="629">
        <f t="shared" si="245"/>
        <v>-4.3619607650509845E-2</v>
      </c>
      <c r="AC71" s="636">
        <f t="shared" si="84"/>
        <v>1</v>
      </c>
      <c r="AD71" s="637">
        <f t="shared" si="115"/>
        <v>0.78575553193415359</v>
      </c>
      <c r="AE71" s="629">
        <f t="shared" si="85"/>
        <v>0.61699722354585274</v>
      </c>
      <c r="AF71" s="633">
        <f t="shared" si="86"/>
        <v>-4.3619607650509845E-2</v>
      </c>
      <c r="AG71" s="602">
        <f t="shared" si="87"/>
        <v>85.956111208730093</v>
      </c>
      <c r="AH71" s="603">
        <f t="shared" si="88"/>
        <v>38.209390180827135</v>
      </c>
      <c r="AI71" s="585">
        <f t="shared" si="89"/>
        <v>-87.499987366564966</v>
      </c>
      <c r="AJ71" s="586">
        <f t="shared" si="90"/>
        <v>128.1399945056458</v>
      </c>
      <c r="AK71" s="635">
        <f t="shared" si="211"/>
        <v>2.2679489680710319E-7</v>
      </c>
      <c r="AL71" s="629">
        <f t="shared" si="91"/>
        <v>-0.99904821196394933</v>
      </c>
      <c r="AM71" s="634">
        <f t="shared" si="92"/>
        <v>-4.3619607650509845E-2</v>
      </c>
      <c r="AN71" s="581">
        <f t="shared" si="93"/>
        <v>-87.499987366564895</v>
      </c>
      <c r="AO71" s="582">
        <f t="shared" si="461"/>
        <v>0</v>
      </c>
      <c r="AP71" s="585">
        <f t="shared" si="95"/>
        <v>-89.999986993229911</v>
      </c>
      <c r="AQ71" s="586">
        <f t="shared" si="246"/>
        <v>0.44898257570132993</v>
      </c>
      <c r="AS71" s="52">
        <f t="shared" si="406"/>
        <v>-231.86001850112427</v>
      </c>
      <c r="AT71" s="72">
        <f t="shared" si="247"/>
        <v>-2.2017985640721793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>Gage</v>
      </c>
      <c r="IG71" s="847">
        <f t="shared" si="210"/>
        <v>5.2469999999999999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5.1470000000000002</v>
      </c>
      <c r="II71" s="734" cm="1">
        <f t="array" ref="II71">IFERROR(ROUND(VALUE(IF($IH71&lt;1,$IH71+LARGE((IF($M$9:$M$150="",0,$M$9:$M$150)-MOD(IF($M$9:$M$150="",0,$M$9:$M$150),1)),1),$IH71)),4),"")</f>
        <v>5.1470000000000002</v>
      </c>
      <c r="IJ71" s="533">
        <f t="shared" si="112"/>
        <v>1613</v>
      </c>
      <c r="IK71" s="533" t="str">
        <f t="shared" si="382"/>
        <v>CPS-32193r1</v>
      </c>
      <c r="IL71" s="727">
        <f t="shared" si="225"/>
        <v>11.064998402411874</v>
      </c>
      <c r="IM71" s="759">
        <v>8.4313016175809703E-4</v>
      </c>
      <c r="IN71" s="5">
        <f t="shared" si="226"/>
        <v>0</v>
      </c>
      <c r="IO71" s="771">
        <v>0</v>
      </c>
      <c r="IP71" s="9">
        <f t="shared" si="227"/>
        <v>-5.0638152724668606</v>
      </c>
      <c r="IQ71" s="5">
        <f t="shared" si="228"/>
        <v>-2.3480070815893583</v>
      </c>
      <c r="IR71" s="5">
        <f t="shared" si="383"/>
        <v>0.314</v>
      </c>
      <c r="IS71" s="5">
        <f t="shared" si="229"/>
        <v>0.27193198865724588</v>
      </c>
      <c r="IT71" s="727">
        <f t="shared" si="230"/>
        <v>87.499987366564895</v>
      </c>
      <c r="IU71" s="9">
        <f t="shared" si="231"/>
        <v>-5.0774352766906166</v>
      </c>
      <c r="IV71" s="5">
        <f t="shared" si="232"/>
        <v>-2.3628124658090712</v>
      </c>
      <c r="IW71" s="5">
        <f t="shared" si="384"/>
        <v>0.25700000000000001</v>
      </c>
      <c r="IX71" s="5">
        <f t="shared" si="233"/>
        <v>0.25700000000000001</v>
      </c>
      <c r="IY71" s="762">
        <f t="shared" si="234"/>
        <v>87.499987366564895</v>
      </c>
    </row>
    <row r="72" spans="1:259" ht="15" customHeight="1" x14ac:dyDescent="0.25">
      <c r="A72" s="79"/>
      <c r="B72" s="707">
        <v>-3.3203423543488224</v>
      </c>
      <c r="C72" s="708">
        <v>-0.33311082236007983</v>
      </c>
      <c r="D72" s="709">
        <v>-8.2000247312745911E-2</v>
      </c>
      <c r="E72" s="710">
        <v>2.8473557410512208E-2</v>
      </c>
      <c r="F72" s="708">
        <v>-0.96206559927707636</v>
      </c>
      <c r="G72" s="711">
        <v>0.27132828679669657</v>
      </c>
      <c r="H72" s="710">
        <v>0.314</v>
      </c>
      <c r="I72" s="708">
        <v>0.52</v>
      </c>
      <c r="J72" s="570">
        <v>6.1180000000000003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6.1180000000000003</v>
      </c>
      <c r="N72" s="632">
        <f t="shared" si="240"/>
        <v>-3.3203423543488224</v>
      </c>
      <c r="O72" s="629">
        <f t="shared" si="241"/>
        <v>-0.33311082236007983</v>
      </c>
      <c r="P72" s="633">
        <f t="shared" si="242"/>
        <v>-8.2000247312745911E-2</v>
      </c>
      <c r="Q72" s="585">
        <f t="shared" si="113"/>
        <v>185.72898617844447</v>
      </c>
      <c r="R72" s="629">
        <f t="shared" si="79"/>
        <v>3.3370100644223548</v>
      </c>
      <c r="S72" s="634">
        <f t="shared" si="80"/>
        <v>-8.2000247312745911E-2</v>
      </c>
      <c r="T72" s="635">
        <f t="shared" si="81"/>
        <v>-0.33311082236007944</v>
      </c>
      <c r="U72" s="629">
        <f t="shared" si="82"/>
        <v>3.320342354348822</v>
      </c>
      <c r="V72" s="636">
        <f t="shared" si="114"/>
        <v>-8.2000247312745911E-2</v>
      </c>
      <c r="W72" s="585">
        <f t="shared" si="224"/>
        <v>95.728986178444472</v>
      </c>
      <c r="X72" s="629">
        <f t="shared" si="83"/>
        <v>3.3370100644223548</v>
      </c>
      <c r="Y72" s="630">
        <f t="shared" si="223"/>
        <v>-8.2000247312745911E-2</v>
      </c>
      <c r="Z72" s="632">
        <f t="shared" si="243"/>
        <v>-2.8473557410512208E-2</v>
      </c>
      <c r="AA72" s="629">
        <f t="shared" si="244"/>
        <v>0.96206559927707636</v>
      </c>
      <c r="AB72" s="629">
        <f t="shared" si="245"/>
        <v>-0.27132828679669657</v>
      </c>
      <c r="AC72" s="636">
        <f t="shared" si="84"/>
        <v>1</v>
      </c>
      <c r="AD72" s="637">
        <f t="shared" si="115"/>
        <v>-2.8473557410512208E-2</v>
      </c>
      <c r="AE72" s="629">
        <f t="shared" si="85"/>
        <v>0.96206559927707636</v>
      </c>
      <c r="AF72" s="633">
        <f t="shared" si="86"/>
        <v>-0.27132828679669657</v>
      </c>
      <c r="AG72" s="602">
        <f t="shared" si="87"/>
        <v>74.250125450814238</v>
      </c>
      <c r="AH72" s="603">
        <f t="shared" si="88"/>
        <v>91.631635190941736</v>
      </c>
      <c r="AI72" s="585">
        <f t="shared" si="89"/>
        <v>-74.256677053227705</v>
      </c>
      <c r="AJ72" s="586">
        <f t="shared" si="90"/>
        <v>-178.30475325320461</v>
      </c>
      <c r="AK72" s="635">
        <f t="shared" si="211"/>
        <v>0.96010259040701729</v>
      </c>
      <c r="AL72" s="629">
        <f t="shared" si="91"/>
        <v>-6.7705071284983556E-2</v>
      </c>
      <c r="AM72" s="634">
        <f t="shared" si="92"/>
        <v>-0.27132828679669657</v>
      </c>
      <c r="AN72" s="581">
        <f t="shared" si="93"/>
        <v>-14.010999852024733</v>
      </c>
      <c r="AO72" s="582">
        <f t="shared" si="461"/>
        <v>16.239198657903032</v>
      </c>
      <c r="AP72" s="585">
        <f t="shared" si="95"/>
        <v>-4.0337394316490807</v>
      </c>
      <c r="AQ72" s="586">
        <f t="shared" si="246"/>
        <v>0.68313207379923091</v>
      </c>
      <c r="AS72" s="52">
        <f t="shared" si="406"/>
        <v>-264.27101382155553</v>
      </c>
      <c r="AT72" s="72">
        <f t="shared" si="247"/>
        <v>0.10152129006333432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6.1180000000000003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-4.0475625266996902</v>
      </c>
      <c r="C73" s="708">
        <v>-0.34585896644079178</v>
      </c>
      <c r="D73" s="709">
        <v>-0.31160093978843439</v>
      </c>
      <c r="E73" s="710">
        <v>-0.11423373798362671</v>
      </c>
      <c r="F73" s="708">
        <v>-0.96465423669282191</v>
      </c>
      <c r="G73" s="711">
        <v>0.23747180198263015</v>
      </c>
      <c r="H73" s="710">
        <v>0.314</v>
      </c>
      <c r="I73" s="708">
        <v>0.52</v>
      </c>
      <c r="J73" s="570">
        <v>6.125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6.125</v>
      </c>
      <c r="N73" s="632">
        <f t="shared" ref="N73:N104" si="465">IF(M73="","",B73)</f>
        <v>-4.0475625266996902</v>
      </c>
      <c r="O73" s="629">
        <f t="shared" ref="O73:O104" si="466">IF(M73="","",C73)</f>
        <v>-0.34585896644079178</v>
      </c>
      <c r="P73" s="633">
        <f t="shared" ref="P73:P104" si="467">IF(M73="","",D73)</f>
        <v>-0.31160093978843439</v>
      </c>
      <c r="Q73" s="585">
        <f t="shared" si="113"/>
        <v>184.88398630044736</v>
      </c>
      <c r="R73" s="629">
        <f>IF(M73="","",SQRT(N73^2+O73^2))</f>
        <v>4.0623122519337524</v>
      </c>
      <c r="S73" s="634">
        <f>IF(M73="","",P73)</f>
        <v>-0.31160093978843439</v>
      </c>
      <c r="T73" s="635">
        <f>IF(M73="","",X73*COS(RADIANS(W73)))</f>
        <v>-0.34585896644079128</v>
      </c>
      <c r="U73" s="629">
        <f>IF(M73="","",X73*SIN(RADIANS(W73)))</f>
        <v>4.0475625266996902</v>
      </c>
      <c r="V73" s="636">
        <f>IF(M73="","",Y73)</f>
        <v>-0.31160093978843439</v>
      </c>
      <c r="W73" s="585">
        <f t="shared" si="224"/>
        <v>94.883986300447361</v>
      </c>
      <c r="X73" s="629">
        <f>IF(M73="","",R73)</f>
        <v>4.0623122519337524</v>
      </c>
      <c r="Y73" s="630">
        <f t="shared" si="223"/>
        <v>-0.31160093978843439</v>
      </c>
      <c r="Z73" s="632">
        <f t="shared" ref="Z73:Z104" si="468">IF(M73="","",-E73)</f>
        <v>0.11423373798362671</v>
      </c>
      <c r="AA73" s="629">
        <f t="shared" ref="AA73:AA104" si="469">IF(M73="","",-F73)</f>
        <v>0.96465423669282191</v>
      </c>
      <c r="AB73" s="629">
        <f t="shared" ref="AB73:AB104" si="470">IF(M73="","",-G73)</f>
        <v>-0.23747180198263015</v>
      </c>
      <c r="AC73" s="636">
        <f>IF(M73="","",SQRT(Z73^2+AA73^2+AB73^2))</f>
        <v>1</v>
      </c>
      <c r="AD73" s="637">
        <f>IF(M73="","",Z73*(1/SQRT(Z73^2+AA73^2+AB73^2)))</f>
        <v>0.11423373798362671</v>
      </c>
      <c r="AE73" s="629">
        <f>IF(M73="","",AA73*(1/SQRT(Z73^2+AA73^2+AB73^2)))</f>
        <v>0.96465423669282191</v>
      </c>
      <c r="AF73" s="633">
        <f>IF(M73="","",AB73*(1/SQRT(Z73^2+AA73^2+AB73^2)))</f>
        <v>-0.23747180198263015</v>
      </c>
      <c r="AG73" s="602">
        <f>IF(M73="","",DEGREES(ATAN2(-AF73,AE73)))</f>
        <v>76.170315718258124</v>
      </c>
      <c r="AH73" s="603">
        <f>IF(M73="","",DEGREES(ACOS(AD73)))</f>
        <v>83.440569786013953</v>
      </c>
      <c r="AI73" s="585">
        <f>IF(M73="","",DEGREES(-ACOS(-AF73)))</f>
        <v>-76.262628035820597</v>
      </c>
      <c r="AJ73" s="586">
        <f>IF(M73="","",DEGREES(ATAN2(-AE73,AD73)))</f>
        <v>173.24652156567069</v>
      </c>
      <c r="AK73" s="635">
        <f>IF(M73="","",(COS(RADIANS((90-$Q$8)-W73))*AD73)+(-SIN(RADIANS((90-$Q$8)-W73))*AE73))</f>
        <v>0.9514260198162886</v>
      </c>
      <c r="AL73" s="629">
        <f>IF(M73="","",(SIN(RADIANS((90-$Q$8)-W73))*AD73)+(COS(RADIANS((90-$Q$8)-W73))*AE73))</f>
        <v>-0.19594813619847984</v>
      </c>
      <c r="AM73" s="634">
        <f>IF(M73="","",AF73)</f>
        <v>-0.23747180198263015</v>
      </c>
      <c r="AN73" s="581">
        <f>IF(M73="","",DEGREES(ATAN2(-AM73,AL73)))</f>
        <v>-39.527497622155053</v>
      </c>
      <c r="AO73" s="582">
        <f t="shared" si="461"/>
        <v>17.931362683904187</v>
      </c>
      <c r="AP73" s="585">
        <f>IF(M73="","",DEGREES(ATAN2(AK73,AL73)))</f>
        <v>-11.637464734776648</v>
      </c>
      <c r="AQ73" s="586">
        <f t="shared" ref="AQ73:AQ104" si="471">IF(M73="","",DEGREES(ATAN(($AS$5*SIN(RADIANS(90)))/(($X73*2*PI())-($AS$5*COS(RADIANS(90)))))))</f>
        <v>0.56117146922340422</v>
      </c>
      <c r="AS73" s="52">
        <f t="shared" si="406"/>
        <v>-265.11601369955264</v>
      </c>
      <c r="AT73" s="72">
        <f t="shared" ref="AT73:AT104" si="472">IF(M73="","",Y73+(((AS73-$AS$9)*$AS$6)*-1))</f>
        <v>-0.12749259694152285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6.125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-4.6321116399263138</v>
      </c>
      <c r="C74" s="708">
        <v>-0.32090191894522241</v>
      </c>
      <c r="D74" s="709">
        <v>-0.80280242125210244</v>
      </c>
      <c r="E74" s="710">
        <v>-0.24916090569996971</v>
      </c>
      <c r="F74" s="708">
        <v>-0.95016694788411749</v>
      </c>
      <c r="G74" s="711">
        <v>0.18735424793516642</v>
      </c>
      <c r="H74" s="710">
        <v>0.314</v>
      </c>
      <c r="I74" s="708">
        <v>0.52</v>
      </c>
      <c r="J74" s="570">
        <v>6.1319999999999997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6.1319999999999997</v>
      </c>
      <c r="N74" s="632">
        <f t="shared" si="465"/>
        <v>-4.6321116399263138</v>
      </c>
      <c r="O74" s="629">
        <f t="shared" si="466"/>
        <v>-0.32090191894522241</v>
      </c>
      <c r="P74" s="633">
        <f t="shared" si="467"/>
        <v>-0.80280242125210244</v>
      </c>
      <c r="Q74" s="585">
        <f t="shared" ref="Q74:Q129" si="520">IF(M74="","",IF(DEGREES(ATAN2(N74,O74))&lt;0,DEGREES(ATAN2(N74,O74))+360,IF(DEGREES(ATAN2(N74,O74))&gt;360,DEGREES(ATAN2(N74,O74))-360,DEGREES(ATAN2(N74,O74)))))</f>
        <v>183.96298643342328</v>
      </c>
      <c r="R74" s="629">
        <f>IF(M74="","",SQRT(N74^2+O74^2))</f>
        <v>4.6432140039334362</v>
      </c>
      <c r="S74" s="634">
        <f>IF(M74="","",P74)</f>
        <v>-0.80280242125210244</v>
      </c>
      <c r="T74" s="635">
        <f>IF(M74="","",X74*COS(RADIANS(W74)))</f>
        <v>-0.32090191894522119</v>
      </c>
      <c r="U74" s="629">
        <f>IF(M74="","",X74*SIN(RADIANS(W74)))</f>
        <v>4.6321116399263138</v>
      </c>
      <c r="V74" s="636">
        <f>IF(M74="","",Y74)</f>
        <v>-0.80280242125210244</v>
      </c>
      <c r="W74" s="585">
        <f t="shared" si="224"/>
        <v>93.962986433423282</v>
      </c>
      <c r="X74" s="629">
        <f>IF(M74="","",R74)</f>
        <v>4.6432140039334362</v>
      </c>
      <c r="Y74" s="630">
        <f t="shared" si="223"/>
        <v>-0.80280242125210244</v>
      </c>
      <c r="Z74" s="632">
        <f t="shared" si="468"/>
        <v>0.24916090569996971</v>
      </c>
      <c r="AA74" s="629">
        <f t="shared" si="469"/>
        <v>0.95016694788411749</v>
      </c>
      <c r="AB74" s="629">
        <f t="shared" si="470"/>
        <v>-0.18735424793516642</v>
      </c>
      <c r="AC74" s="636">
        <f>IF(M74="","",SQRT(Z74^2+AA74^2+AB74^2))</f>
        <v>1</v>
      </c>
      <c r="AD74" s="637">
        <f>IF(M74="","",Z74*(1/SQRT(Z74^2+AA74^2+AB74^2)))</f>
        <v>0.24916090569996971</v>
      </c>
      <c r="AE74" s="629">
        <f>IF(M74="","",AA74*(1/SQRT(Z74^2+AA74^2+AB74^2)))</f>
        <v>0.95016694788411749</v>
      </c>
      <c r="AF74" s="633">
        <f>IF(M74="","",AB74*(1/SQRT(Z74^2+AA74^2+AB74^2)))</f>
        <v>-0.18735424793516642</v>
      </c>
      <c r="AG74" s="602">
        <f>IF(M74="","",DEGREES(ATAN2(-AF74,AE74)))</f>
        <v>78.845492047656791</v>
      </c>
      <c r="AH74" s="603">
        <f>IF(M74="","",DEGREES(ACOS(AD74)))</f>
        <v>75.572135526086171</v>
      </c>
      <c r="AI74" s="585">
        <f>IF(M74="","",DEGREES(-ACOS(-AF74)))</f>
        <v>-79.201578765036217</v>
      </c>
      <c r="AJ74" s="586">
        <f>IF(M74="","",DEGREES(ATAN2(-AE74,AD74)))</f>
        <v>165.30624713556671</v>
      </c>
      <c r="AK74" s="635">
        <f>IF(M74="","",(COS(RADIANS((90-$Q$8)-W74))*AD74)+(-SIN(RADIANS((90-$Q$8)-W74))*AE74))</f>
        <v>0.93067499424779465</v>
      </c>
      <c r="AL74" s="629">
        <f>IF(M74="","",(SIN(RADIANS((90-$Q$8)-W74))*AD74)+(COS(RADIANS((90-$Q$8)-W74))*AE74))</f>
        <v>-0.31423309956545914</v>
      </c>
      <c r="AM74" s="634">
        <f>IF(M74="","",AF74)</f>
        <v>-0.18735424793516642</v>
      </c>
      <c r="AN74" s="581">
        <f>IF(M74="","",DEGREES(ATAN2(-AM74,AL74)))</f>
        <v>-59.195463133993769</v>
      </c>
      <c r="AO74" s="582">
        <f t="shared" si="461"/>
        <v>21.459720153181099</v>
      </c>
      <c r="AP74" s="585">
        <f>IF(M74="","",DEGREES(ATAN2(AK74,AL74)))</f>
        <v>-18.656739297856561</v>
      </c>
      <c r="AQ74" s="586">
        <f t="shared" si="471"/>
        <v>0.49096828859696379</v>
      </c>
      <c r="AS74" s="52">
        <f t="shared" si="406"/>
        <v>-266.03701356657672</v>
      </c>
      <c r="AT74" s="72">
        <f t="shared" si="472"/>
        <v>-0.61805449516420197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6.1319999999999997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-4.98182834868543</v>
      </c>
      <c r="C75" s="708">
        <v>-0.29091340700857427</v>
      </c>
      <c r="D75" s="709">
        <v>-1.4797044627886597</v>
      </c>
      <c r="E75" s="710">
        <v>-0.39039509897959651</v>
      </c>
      <c r="F75" s="708">
        <v>-0.91162350254078928</v>
      </c>
      <c r="G75" s="711">
        <v>0.12858559914692852</v>
      </c>
      <c r="H75" s="710">
        <v>0.314</v>
      </c>
      <c r="I75" s="708">
        <v>0.52</v>
      </c>
      <c r="J75" s="570">
        <v>6.1390000000000002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6.1390000000000002</v>
      </c>
      <c r="N75" s="632">
        <f t="shared" si="465"/>
        <v>-4.98182834868543</v>
      </c>
      <c r="O75" s="629">
        <f t="shared" si="466"/>
        <v>-0.29091340700857427</v>
      </c>
      <c r="P75" s="633">
        <f t="shared" si="467"/>
        <v>-1.4797044627886597</v>
      </c>
      <c r="Q75" s="585">
        <f t="shared" si="520"/>
        <v>183.34198652308459</v>
      </c>
      <c r="R75" s="629">
        <f>IF(M75="","",SQRT(N75^2+O75^2))</f>
        <v>4.9903150507901932</v>
      </c>
      <c r="S75" s="634">
        <f>IF(M75="","",P75)</f>
        <v>-1.4797044627886597</v>
      </c>
      <c r="T75" s="635">
        <f>IF(M75="","",X75*COS(RADIANS(W75)))</f>
        <v>-0.29091340700857493</v>
      </c>
      <c r="U75" s="629">
        <f>IF(M75="","",X75*SIN(RADIANS(W75)))</f>
        <v>4.98182834868543</v>
      </c>
      <c r="V75" s="636">
        <f>IF(M75="","",Y75)</f>
        <v>-1.4797044627886597</v>
      </c>
      <c r="W75" s="585">
        <f t="shared" si="224"/>
        <v>93.341986523084586</v>
      </c>
      <c r="X75" s="629">
        <f>IF(M75="","",R75)</f>
        <v>4.9903150507901932</v>
      </c>
      <c r="Y75" s="630">
        <f t="shared" si="223"/>
        <v>-1.4797044627886597</v>
      </c>
      <c r="Z75" s="632">
        <f t="shared" si="468"/>
        <v>0.39039509897959651</v>
      </c>
      <c r="AA75" s="629">
        <f t="shared" si="469"/>
        <v>0.91162350254078928</v>
      </c>
      <c r="AB75" s="629">
        <f t="shared" si="470"/>
        <v>-0.12858559914692852</v>
      </c>
      <c r="AC75" s="636">
        <f>IF(M75="","",SQRT(Z75^2+AA75^2+AB75^2))</f>
        <v>1</v>
      </c>
      <c r="AD75" s="637">
        <f>IF(M75="","",Z75*(1/SQRT(Z75^2+AA75^2+AB75^2)))</f>
        <v>0.39039509897959651</v>
      </c>
      <c r="AE75" s="629">
        <f>IF(M75="","",AA75*(1/SQRT(Z75^2+AA75^2+AB75^2)))</f>
        <v>0.91162350254078928</v>
      </c>
      <c r="AF75" s="633">
        <f>IF(M75="","",AB75*(1/SQRT(Z75^2+AA75^2+AB75^2)))</f>
        <v>-0.12858559914692852</v>
      </c>
      <c r="AG75" s="602">
        <f>IF(M75="","",DEGREES(ATAN2(-AF75,AE75)))</f>
        <v>81.971326003658376</v>
      </c>
      <c r="AH75" s="603">
        <f>IF(M75="","",DEGREES(ACOS(AD75)))</f>
        <v>67.020914155542769</v>
      </c>
      <c r="AI75" s="585">
        <f>IF(M75="","",DEGREES(-ACOS(-AF75)))</f>
        <v>-82.612132853689189</v>
      </c>
      <c r="AJ75" s="586">
        <f>IF(M75="","",DEGREES(ATAN2(-AE75,AD75)))</f>
        <v>156.81737720619989</v>
      </c>
      <c r="AK75" s="635">
        <f>IF(M75="","",(COS(RADIANS((90-$Q$8)-W75))*AD75)+(-SIN(RADIANS((90-$Q$8)-W75))*AE75))</f>
        <v>0.88731484783928694</v>
      </c>
      <c r="AL75" s="629">
        <f>IF(M75="","",(SIN(RADIANS((90-$Q$8)-W75))*AD75)+(COS(RADIANS((90-$Q$8)-W75))*AE75))</f>
        <v>-0.44287481808742368</v>
      </c>
      <c r="AM75" s="634">
        <f>IF(M75="","",AF75)</f>
        <v>-0.12858559914692852</v>
      </c>
      <c r="AN75" s="581">
        <f>IF(M75="","",DEGREES(ATAN2(-AM75,AL75)))</f>
        <v>-73.809715248143675</v>
      </c>
      <c r="AO75" s="582">
        <f t="shared" si="461"/>
        <v>27.462252647687666</v>
      </c>
      <c r="AP75" s="585">
        <f>IF(M75="","",DEGREES(ATAN2(AK75,AL75)))</f>
        <v>-26.5246093168847</v>
      </c>
      <c r="AQ75" s="586">
        <f t="shared" si="471"/>
        <v>0.45682052171765591</v>
      </c>
      <c r="AS75" s="52">
        <f t="shared" ref="AS75:AS106" si="543">IF(G75="","",IF(AND(W75&lt;(AS74+180),W75&gt;(AS74-180)),W75,IF(W75&gt;(AS74+180),W75-360,IF(W75&lt;(AS74-180),W75+360,"Error"))))</f>
        <v>-266.65801347691541</v>
      </c>
      <c r="AT75" s="72">
        <f t="shared" si="472"/>
        <v>-1.2945252867630241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6.1390000000000002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-5.0558949699686142</v>
      </c>
      <c r="C76" s="708">
        <v>-0.2831098131727256</v>
      </c>
      <c r="D76" s="709">
        <v>-2.238706751939564</v>
      </c>
      <c r="E76" s="710">
        <v>-0.45032463872587436</v>
      </c>
      <c r="F76" s="708">
        <v>-0.89259848327122016</v>
      </c>
      <c r="G76" s="711">
        <v>2.1809800969477659E-2</v>
      </c>
      <c r="H76" s="710">
        <v>0.314</v>
      </c>
      <c r="I76" s="708">
        <v>0.52</v>
      </c>
      <c r="J76" s="570">
        <v>6.1459999999999999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6.1459999999999999</v>
      </c>
      <c r="N76" s="632">
        <f t="shared" si="465"/>
        <v>-5.0558949699686142</v>
      </c>
      <c r="O76" s="629">
        <f t="shared" si="466"/>
        <v>-0.2831098131727256</v>
      </c>
      <c r="P76" s="633">
        <f t="shared" si="467"/>
        <v>-2.238706751939564</v>
      </c>
      <c r="Q76" s="585">
        <f t="shared" si="520"/>
        <v>183.20498654286493</v>
      </c>
      <c r="R76" s="629">
        <f t="shared" si="79"/>
        <v>5.0638152724668606</v>
      </c>
      <c r="S76" s="634">
        <f t="shared" si="80"/>
        <v>-2.238706751939564</v>
      </c>
      <c r="T76" s="635">
        <f t="shared" si="81"/>
        <v>-0.28310981317272543</v>
      </c>
      <c r="U76" s="629">
        <f t="shared" si="82"/>
        <v>5.0558949699686133</v>
      </c>
      <c r="V76" s="636">
        <f t="shared" si="114"/>
        <v>-2.238706751939564</v>
      </c>
      <c r="W76" s="585">
        <f t="shared" si="224"/>
        <v>93.20498654286493</v>
      </c>
      <c r="X76" s="629">
        <f t="shared" si="83"/>
        <v>5.0638152724668606</v>
      </c>
      <c r="Y76" s="630">
        <f t="shared" ref="Y76:Y129" si="644">IF(M76="","",S76)</f>
        <v>-2.238706751939564</v>
      </c>
      <c r="Z76" s="632">
        <f t="shared" si="468"/>
        <v>0.45032463872587436</v>
      </c>
      <c r="AA76" s="629">
        <f t="shared" si="469"/>
        <v>0.89259848327122016</v>
      </c>
      <c r="AB76" s="629">
        <f t="shared" si="470"/>
        <v>-2.1809800969477659E-2</v>
      </c>
      <c r="AC76" s="636">
        <f t="shared" si="84"/>
        <v>1</v>
      </c>
      <c r="AD76" s="637">
        <f t="shared" si="115"/>
        <v>0.45032463872587436</v>
      </c>
      <c r="AE76" s="629">
        <f t="shared" si="85"/>
        <v>0.89259848327122016</v>
      </c>
      <c r="AF76" s="633">
        <f t="shared" si="86"/>
        <v>-2.1809800969477659E-2</v>
      </c>
      <c r="AG76" s="602">
        <f t="shared" si="87"/>
        <v>88.600310242377645</v>
      </c>
      <c r="AH76" s="603">
        <f t="shared" si="88"/>
        <v>63.235485659452344</v>
      </c>
      <c r="AI76" s="585">
        <f t="shared" si="89"/>
        <v>-88.75029136479283</v>
      </c>
      <c r="AJ76" s="586">
        <f t="shared" si="90"/>
        <v>153.22861016216288</v>
      </c>
      <c r="AK76" s="635">
        <f t="shared" si="211"/>
        <v>0.86602544158358563</v>
      </c>
      <c r="AL76" s="629">
        <f t="shared" si="91"/>
        <v>-0.49952404057425231</v>
      </c>
      <c r="AM76" s="634">
        <f t="shared" si="92"/>
        <v>-2.1809800969477659E-2</v>
      </c>
      <c r="AN76" s="581">
        <f t="shared" si="93"/>
        <v>-87.499987366564895</v>
      </c>
      <c r="AO76" s="582">
        <f t="shared" si="461"/>
        <v>29.999995668536535</v>
      </c>
      <c r="AP76" s="585">
        <f t="shared" si="95"/>
        <v>-29.97637638070206</v>
      </c>
      <c r="AQ76" s="586">
        <f t="shared" si="471"/>
        <v>0.45019014211149172</v>
      </c>
      <c r="AS76" s="52">
        <f t="shared" si="543"/>
        <v>-266.79501345713504</v>
      </c>
      <c r="AT76" s="72">
        <f t="shared" si="472"/>
        <v>-2.0534324370387758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6.1459999999999999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-4.0403820450863916</v>
      </c>
      <c r="C77" s="708">
        <v>0.59756931582058459</v>
      </c>
      <c r="D77" s="709">
        <v>-0.27639999999999998</v>
      </c>
      <c r="E77" s="710">
        <v>-0.37898085745459648</v>
      </c>
      <c r="F77" s="708">
        <v>-0.84005282082839861</v>
      </c>
      <c r="G77" s="711">
        <v>0.38818135954889599</v>
      </c>
      <c r="H77" s="710">
        <v>0.26600000000000001</v>
      </c>
      <c r="I77" s="708">
        <v>0.52</v>
      </c>
      <c r="J77" s="570">
        <v>6.2249999999999996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1313</v>
      </c>
      <c r="L77" s="320"/>
      <c r="M77" s="168">
        <f t="shared" si="464"/>
        <v>6.2249999999999996</v>
      </c>
      <c r="N77" s="632">
        <f t="shared" si="465"/>
        <v>-4.0403820450863916</v>
      </c>
      <c r="O77" s="629">
        <f t="shared" si="466"/>
        <v>0.59756931582058459</v>
      </c>
      <c r="P77" s="633">
        <f t="shared" si="467"/>
        <v>-0.27639999999999998</v>
      </c>
      <c r="Q77" s="585">
        <f t="shared" si="520"/>
        <v>171.58698822029635</v>
      </c>
      <c r="R77" s="629">
        <f t="shared" si="79"/>
        <v>4.0843330125574688</v>
      </c>
      <c r="S77" s="634">
        <f t="shared" si="80"/>
        <v>-0.27639999999999998</v>
      </c>
      <c r="T77" s="635">
        <f t="shared" si="81"/>
        <v>0.59756931582058481</v>
      </c>
      <c r="U77" s="629">
        <f t="shared" si="82"/>
        <v>4.0403820450863908</v>
      </c>
      <c r="V77" s="636">
        <f t="shared" si="114"/>
        <v>-0.27639999999999998</v>
      </c>
      <c r="W77" s="585">
        <f t="shared" si="224"/>
        <v>81.586988220296348</v>
      </c>
      <c r="X77" s="629">
        <f t="shared" si="83"/>
        <v>4.0843330125574688</v>
      </c>
      <c r="Y77" s="630">
        <f t="shared" si="644"/>
        <v>-0.27639999999999998</v>
      </c>
      <c r="Z77" s="632">
        <f t="shared" si="468"/>
        <v>0.37898085745459648</v>
      </c>
      <c r="AA77" s="629">
        <f t="shared" si="469"/>
        <v>0.84005282082839861</v>
      </c>
      <c r="AB77" s="629">
        <f t="shared" si="470"/>
        <v>-0.38818135954889599</v>
      </c>
      <c r="AC77" s="636">
        <f t="shared" si="84"/>
        <v>1</v>
      </c>
      <c r="AD77" s="637">
        <f t="shared" si="115"/>
        <v>0.37898085745459648</v>
      </c>
      <c r="AE77" s="629">
        <f t="shared" si="85"/>
        <v>0.84005282082839861</v>
      </c>
      <c r="AF77" s="633">
        <f t="shared" si="86"/>
        <v>-0.38818135954889599</v>
      </c>
      <c r="AG77" s="602">
        <f t="shared" si="87"/>
        <v>65.198737522473238</v>
      </c>
      <c r="AH77" s="603">
        <f t="shared" si="88"/>
        <v>67.729431095709316</v>
      </c>
      <c r="AI77" s="585">
        <f t="shared" si="89"/>
        <v>-67.158614482122516</v>
      </c>
      <c r="AJ77" s="586">
        <f t="shared" si="90"/>
        <v>155.71799245596827</v>
      </c>
      <c r="AK77" s="635">
        <f t="shared" si="211"/>
        <v>0.88646093615916555</v>
      </c>
      <c r="AL77" s="629">
        <f t="shared" si="91"/>
        <v>-0.25199650942540186</v>
      </c>
      <c r="AM77" s="634">
        <f t="shared" si="92"/>
        <v>-0.38818135954889599</v>
      </c>
      <c r="AN77" s="581">
        <f t="shared" si="93"/>
        <v>-32.990508705438707</v>
      </c>
      <c r="AO77" s="582">
        <f t="shared" si="461"/>
        <v>27.568155762784183</v>
      </c>
      <c r="AP77" s="585">
        <f t="shared" si="95"/>
        <v>-15.868995764328071</v>
      </c>
      <c r="AQ77" s="586">
        <f t="shared" si="471"/>
        <v>0.55814609429287732</v>
      </c>
      <c r="AS77" s="52">
        <f t="shared" si="543"/>
        <v>-278.41301177970365</v>
      </c>
      <c r="AT77" s="72">
        <f t="shared" si="472"/>
        <v>-8.305763070853911E-2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6.2249999999999996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6.125</v>
      </c>
      <c r="II77" s="734" cm="1">
        <f t="array" ref="II77">IFERROR(ROUND(VALUE(IF($IH77&lt;1,$IH77+LARGE((IF($M$9:$M$150="",0,$M$9:$M$150)-MOD(IF($M$9:$M$150="",0,$M$9:$M$150),1)),1),$IH77)),4),"")</f>
        <v>6.125</v>
      </c>
      <c r="IJ77" s="533">
        <f t="shared" si="542"/>
        <v>1613</v>
      </c>
      <c r="IK77" s="533">
        <f t="shared" si="517"/>
        <v>1313</v>
      </c>
      <c r="IL77" s="727">
        <f t="shared" si="225"/>
        <v>13.296998080151013</v>
      </c>
      <c r="IM77" s="759">
        <v>2.1225637713818999E-2</v>
      </c>
      <c r="IN77" s="5">
        <f t="shared" si="226"/>
        <v>0.6</v>
      </c>
      <c r="IO77" s="771">
        <v>300</v>
      </c>
      <c r="IP77" s="9">
        <f t="shared" si="227"/>
        <v>-4.0623122519337524</v>
      </c>
      <c r="IQ77" s="5">
        <f t="shared" si="228"/>
        <v>-0.31160093978843439</v>
      </c>
      <c r="IR77" s="5">
        <f t="shared" si="518"/>
        <v>0.314</v>
      </c>
      <c r="IS77" s="5">
        <f t="shared" si="229"/>
        <v>0.29874777022231463</v>
      </c>
      <c r="IT77" s="727">
        <f t="shared" si="230"/>
        <v>39.527497622155053</v>
      </c>
      <c r="IU77" s="9">
        <f t="shared" si="231"/>
        <v>-4.0843330125574688</v>
      </c>
      <c r="IV77" s="5">
        <f t="shared" si="232"/>
        <v>-0.27639999999999998</v>
      </c>
      <c r="IW77" s="5">
        <f t="shared" si="519"/>
        <v>0.26600000000000001</v>
      </c>
      <c r="IX77" s="5">
        <f t="shared" si="233"/>
        <v>0.23579860901833805</v>
      </c>
      <c r="IY77" s="762">
        <f t="shared" si="234"/>
        <v>32.990508705438707</v>
      </c>
    </row>
    <row r="78" spans="1:259" ht="15" customHeight="1" x14ac:dyDescent="0.25">
      <c r="A78" s="79"/>
      <c r="B78" s="707">
        <v>-4.6371091030320581</v>
      </c>
      <c r="C78" s="708">
        <v>0.64741307559023109</v>
      </c>
      <c r="D78" s="709">
        <v>-0.77449999999999974</v>
      </c>
      <c r="E78" s="710">
        <v>-0.52307237119145589</v>
      </c>
      <c r="F78" s="708">
        <v>-0.79300481058686034</v>
      </c>
      <c r="G78" s="711">
        <v>0.31231180714511197</v>
      </c>
      <c r="H78" s="710">
        <v>0.26600000000000001</v>
      </c>
      <c r="I78" s="708">
        <v>0.52</v>
      </c>
      <c r="J78" s="570">
        <v>6.2320000000000002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1313</v>
      </c>
      <c r="L78" s="320"/>
      <c r="M78" s="168">
        <f t="shared" si="464"/>
        <v>6.2320000000000002</v>
      </c>
      <c r="N78" s="632">
        <f t="shared" si="465"/>
        <v>-4.6371091030320581</v>
      </c>
      <c r="O78" s="629">
        <f t="shared" si="466"/>
        <v>0.64741307559023109</v>
      </c>
      <c r="P78" s="633">
        <f t="shared" si="467"/>
        <v>-0.77449999999999974</v>
      </c>
      <c r="Q78" s="585">
        <f t="shared" si="520"/>
        <v>172.05198815315867</v>
      </c>
      <c r="R78" s="629">
        <f>IF(M78="","",SQRT(N78^2+O78^2))</f>
        <v>4.6820854887398182</v>
      </c>
      <c r="S78" s="634">
        <f>IF(M78="","",P78)</f>
        <v>-0.77449999999999974</v>
      </c>
      <c r="T78" s="635">
        <f>IF(M78="","",X78*COS(RADIANS(W78)))</f>
        <v>0.64741307559023042</v>
      </c>
      <c r="U78" s="629">
        <f>IF(M78="","",X78*SIN(RADIANS(W78)))</f>
        <v>4.6371091030320581</v>
      </c>
      <c r="V78" s="636">
        <f>IF(M78="","",Y78)</f>
        <v>-0.77449999999999974</v>
      </c>
      <c r="W78" s="585">
        <f t="shared" si="224"/>
        <v>82.051988153158675</v>
      </c>
      <c r="X78" s="629">
        <f>IF(M78="","",R78)</f>
        <v>4.6820854887398182</v>
      </c>
      <c r="Y78" s="630">
        <f t="shared" si="644"/>
        <v>-0.77449999999999974</v>
      </c>
      <c r="Z78" s="632">
        <f t="shared" si="468"/>
        <v>0.52307237119145589</v>
      </c>
      <c r="AA78" s="629">
        <f t="shared" si="469"/>
        <v>0.79300481058686034</v>
      </c>
      <c r="AB78" s="629">
        <f t="shared" si="470"/>
        <v>-0.31231180714511197</v>
      </c>
      <c r="AC78" s="636">
        <f>IF(M78="","",SQRT(Z78^2+AA78^2+AB78^2))</f>
        <v>1</v>
      </c>
      <c r="AD78" s="637">
        <f>IF(M78="","",Z78*(1/SQRT(Z78^2+AA78^2+AB78^2)))</f>
        <v>0.52307237119145589</v>
      </c>
      <c r="AE78" s="629">
        <f>IF(M78="","",AA78*(1/SQRT(Z78^2+AA78^2+AB78^2)))</f>
        <v>0.79300481058686034</v>
      </c>
      <c r="AF78" s="633">
        <f>IF(M78="","",AB78*(1/SQRT(Z78^2+AA78^2+AB78^2)))</f>
        <v>-0.31231180714511197</v>
      </c>
      <c r="AG78" s="602">
        <f>IF(M78="","",DEGREES(ATAN2(-AF78,AE78)))</f>
        <v>68.503821372684953</v>
      </c>
      <c r="AH78" s="603">
        <f>IF(M78="","",DEGREES(ACOS(AD78)))</f>
        <v>58.461433351209614</v>
      </c>
      <c r="AI78" s="585">
        <f>IF(M78="","",DEGREES(-ACOS(-AF78)))</f>
        <v>-71.801393913112392</v>
      </c>
      <c r="AJ78" s="586">
        <f>IF(M78="","",DEGREES(ATAN2(-AE78,AD78)))</f>
        <v>146.59083390232846</v>
      </c>
      <c r="AK78" s="635">
        <f>IF(M78="","",(COS(RADIANS((90-$Q$8)-W78))*AD78)+(-SIN(RADIANS((90-$Q$8)-W78))*AE78))</f>
        <v>0.85771473591584402</v>
      </c>
      <c r="AL78" s="629">
        <f>IF(M78="","",(SIN(RADIANS((90-$Q$8)-W78))*AD78)+(COS(RADIANS((90-$Q$8)-W78))*AE78))</f>
        <v>-0.40839535613247185</v>
      </c>
      <c r="AM78" s="634">
        <f>IF(M78="","",AF78)</f>
        <v>-0.31231180714511197</v>
      </c>
      <c r="AN78" s="581">
        <f>IF(M78="","",DEGREES(ATAN2(-AM78,AL78)))</f>
        <v>-52.593804500445096</v>
      </c>
      <c r="AO78" s="582">
        <f t="shared" si="461"/>
        <v>30.939046205688268</v>
      </c>
      <c r="AP78" s="585">
        <f>IF(M78="","",DEGREES(ATAN2(AK78,AL78)))</f>
        <v>-25.461154250830205</v>
      </c>
      <c r="AQ78" s="586">
        <f t="shared" si="471"/>
        <v>0.48689238186715045</v>
      </c>
      <c r="AS78" s="52">
        <f t="shared" si="543"/>
        <v>-277.94801184684133</v>
      </c>
      <c r="AT78" s="72">
        <f t="shared" si="472"/>
        <v>-0.58148054732858212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Taper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6.2320000000000002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6.1319999999999997</v>
      </c>
      <c r="II78" s="734" cm="1">
        <f t="array" ref="II78">IFERROR(ROUND(VALUE(IF($IH78&lt;1,$IH78+LARGE((IF($M$9:$M$150="",0,$M$9:$M$150)-MOD(IF($M$9:$M$150="",0,$M$9:$M$150),1)),1),$IH78)),4),"")</f>
        <v>6.1319999999999997</v>
      </c>
      <c r="IJ78" s="533">
        <f t="shared" si="542"/>
        <v>1613</v>
      </c>
      <c r="IK78" s="533">
        <f t="shared" si="517"/>
        <v>1313</v>
      </c>
      <c r="IL78" s="727">
        <f t="shared" si="225"/>
        <v>11.910998280264607</v>
      </c>
      <c r="IM78" s="759">
        <v>1.49894272249648E-2</v>
      </c>
      <c r="IN78" s="5">
        <f t="shared" si="226"/>
        <v>0.64</v>
      </c>
      <c r="IO78" s="771">
        <v>320</v>
      </c>
      <c r="IP78" s="9">
        <f t="shared" si="227"/>
        <v>-4.6432140039334362</v>
      </c>
      <c r="IQ78" s="5">
        <f t="shared" si="228"/>
        <v>-0.80280242125210244</v>
      </c>
      <c r="IR78" s="5">
        <f t="shared" si="518"/>
        <v>0.314</v>
      </c>
      <c r="IS78" s="5">
        <f t="shared" si="229"/>
        <v>0.29223194819380754</v>
      </c>
      <c r="IT78" s="727">
        <f t="shared" si="230"/>
        <v>59.195463133993769</v>
      </c>
      <c r="IU78" s="9">
        <f t="shared" si="231"/>
        <v>-4.6820854887398182</v>
      </c>
      <c r="IV78" s="5">
        <f t="shared" si="232"/>
        <v>-0.77449999999999974</v>
      </c>
      <c r="IW78" s="5">
        <f t="shared" si="519"/>
        <v>0.26600000000000001</v>
      </c>
      <c r="IX78" s="5">
        <f t="shared" si="233"/>
        <v>0.22815211975361452</v>
      </c>
      <c r="IY78" s="762">
        <f t="shared" si="234"/>
        <v>52.593804500445096</v>
      </c>
    </row>
    <row r="79" spans="1:259" ht="15" customHeight="1" x14ac:dyDescent="0.25">
      <c r="A79" s="79"/>
      <c r="B79" s="707">
        <v>-4.9624307761947133</v>
      </c>
      <c r="C79" s="708">
        <v>0.68532921083159881</v>
      </c>
      <c r="D79" s="709">
        <v>-1.4809410280083479</v>
      </c>
      <c r="E79" s="710">
        <v>-0.79732612639303801</v>
      </c>
      <c r="F79" s="708">
        <v>0.11011332419218718</v>
      </c>
      <c r="G79" s="711">
        <v>0.59341899531984943</v>
      </c>
      <c r="H79" s="710">
        <v>0.25700000000000001</v>
      </c>
      <c r="I79" s="708">
        <v>0.41499999999999992</v>
      </c>
      <c r="J79" s="570">
        <v>6.2389999999999999</v>
      </c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CPS-32193r1</v>
      </c>
      <c r="L79" s="320"/>
      <c r="M79" s="168">
        <f>IF(J79="","",VALUE(J79))</f>
        <v>6.2389999999999999</v>
      </c>
      <c r="N79" s="632">
        <f t="shared" si="465"/>
        <v>-4.9624307761947133</v>
      </c>
      <c r="O79" s="629">
        <f t="shared" si="466"/>
        <v>0.68532921083159881</v>
      </c>
      <c r="P79" s="633">
        <f t="shared" si="467"/>
        <v>-1.4809410280083479</v>
      </c>
      <c r="Q79" s="585">
        <f t="shared" si="520"/>
        <v>172.13698814088619</v>
      </c>
      <c r="R79" s="629">
        <f>IF(M79="","",SQRT(N79^2+O79^2))</f>
        <v>5.0095304506254408</v>
      </c>
      <c r="S79" s="634">
        <f>IF(M79="","",P79)</f>
        <v>-1.4809410280083479</v>
      </c>
      <c r="T79" s="635">
        <f>IF(M79="","",X79*COS(RADIANS(W79)))</f>
        <v>0.68532921083159914</v>
      </c>
      <c r="U79" s="629">
        <f>IF(M79="","",X79*SIN(RADIANS(W79)))</f>
        <v>4.9624307761947142</v>
      </c>
      <c r="V79" s="636">
        <f>IF(M79="","",Y79)</f>
        <v>-1.4809410280083479</v>
      </c>
      <c r="W79" s="585">
        <f t="shared" ref="W79:W129" si="645">IF(M79="","",IF(Q79-$Q$8&lt;0,360+Q79-$Q$8,Q79-$Q$8))</f>
        <v>82.136988140886189</v>
      </c>
      <c r="X79" s="629">
        <f>IF(M79="","",R79)</f>
        <v>5.0095304506254408</v>
      </c>
      <c r="Y79" s="630">
        <f t="shared" si="644"/>
        <v>-1.4809410280083479</v>
      </c>
      <c r="Z79" s="632">
        <f t="shared" si="468"/>
        <v>0.79732612639303801</v>
      </c>
      <c r="AA79" s="629">
        <f t="shared" si="469"/>
        <v>-0.11011332419218718</v>
      </c>
      <c r="AB79" s="629">
        <f t="shared" si="470"/>
        <v>-0.59341899531984943</v>
      </c>
      <c r="AC79" s="636">
        <f>IF(M79="","",SQRT(Z79^2+AA79^2+AB79^2))</f>
        <v>1</v>
      </c>
      <c r="AD79" s="637">
        <f>IF(M79="","",Z79*(1/SQRT(Z79^2+AA79^2+AB79^2)))</f>
        <v>0.79732612639303801</v>
      </c>
      <c r="AE79" s="629">
        <f>IF(M79="","",AA79*(1/SQRT(Z79^2+AA79^2+AB79^2)))</f>
        <v>-0.11011332419218718</v>
      </c>
      <c r="AF79" s="633">
        <f>IF(M79="","",AB79*(1/SQRT(Z79^2+AA79^2+AB79^2)))</f>
        <v>-0.59341899531984943</v>
      </c>
      <c r="AG79" s="602">
        <f>IF(M79="","",DEGREES(ATAN2(-AF79,AE79)))</f>
        <v>-10.512098444454431</v>
      </c>
      <c r="AH79" s="603">
        <f>IF(M79="","",DEGREES(ACOS(AD79)))</f>
        <v>37.124480479100598</v>
      </c>
      <c r="AI79" s="585">
        <f>IF(M79="","",DEGREES(-ACOS(-AF79)))</f>
        <v>-53.599992261119695</v>
      </c>
      <c r="AJ79" s="586">
        <f>IF(M79="","",DEGREES(ATAN2(-AE79,AD79)))</f>
        <v>82.137004285117541</v>
      </c>
      <c r="AK79" s="635">
        <f>IF(M79="","",(COS(RADIANS((90-$Q$8)-W79))*AD79)+(-SIN(RADIANS((90-$Q$8)-W79))*AE79))</f>
        <v>2.2679489669608088E-7</v>
      </c>
      <c r="AL79" s="629">
        <f>IF(M79="","",(SIN(RADIANS((90-$Q$8)-W79))*AD79)+(COS(RADIANS((90-$Q$8)-W79))*AE79))</f>
        <v>-0.80489371720341385</v>
      </c>
      <c r="AM79" s="634">
        <f>IF(M79="","",AF79)</f>
        <v>-0.59341899531984943</v>
      </c>
      <c r="AN79" s="581">
        <f>IF(M79="","",DEGREES(ATAN2(-AM79,AL79)))</f>
        <v>-53.599992261118608</v>
      </c>
      <c r="AO79" s="582">
        <f t="shared" si="461"/>
        <v>0</v>
      </c>
      <c r="AP79" s="585">
        <f>IF(M79="","",DEGREES(ATAN2(AK79,AL79)))</f>
        <v>-89.999983855768633</v>
      </c>
      <c r="AQ79" s="586">
        <f t="shared" si="471"/>
        <v>0.45506833771544086</v>
      </c>
      <c r="AS79" s="52">
        <f t="shared" si="543"/>
        <v>-277.86301185911384</v>
      </c>
      <c r="AT79" s="72">
        <f t="shared" si="472"/>
        <v>-1.2879806031061856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>Taper</v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6.2389999999999999</v>
      </c>
      <c r="IH79" s="731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6.1390000000000002</v>
      </c>
      <c r="II79" s="734" cm="1">
        <f t="array" ref="II79">IFERROR(ROUND(VALUE(IF($IH79&lt;1,$IH79+LARGE((IF($M$9:$M$150="",0,$M$9:$M$150)-MOD(IF($M$9:$M$150="",0,$M$9:$M$150),1)),1),$IH79)),4),"")</f>
        <v>6.1390000000000002</v>
      </c>
      <c r="IJ79" s="533">
        <f t="shared" si="542"/>
        <v>1613</v>
      </c>
      <c r="IK79" s="533" t="str">
        <f t="shared" si="517"/>
        <v>CPS-32193r1</v>
      </c>
      <c r="IL79" s="727">
        <f t="shared" si="225"/>
        <v>11.204998382198397</v>
      </c>
      <c r="IM79" s="759">
        <v>3.2952761508936099E-3</v>
      </c>
      <c r="IN79" s="5">
        <f t="shared" si="226"/>
        <v>0.22</v>
      </c>
      <c r="IO79" s="771">
        <v>110</v>
      </c>
      <c r="IP79" s="9">
        <f t="shared" si="227"/>
        <v>-4.9903150507901932</v>
      </c>
      <c r="IQ79" s="5">
        <f t="shared" si="228"/>
        <v>-1.4797044627886597</v>
      </c>
      <c r="IR79" s="5">
        <f t="shared" si="518"/>
        <v>0.314</v>
      </c>
      <c r="IS79" s="5">
        <f t="shared" si="229"/>
        <v>0.27861686222153609</v>
      </c>
      <c r="IT79" s="727">
        <f t="shared" si="230"/>
        <v>73.809715248143675</v>
      </c>
      <c r="IU79" s="9">
        <f t="shared" si="231"/>
        <v>-5.0095304506254408</v>
      </c>
      <c r="IV79" s="5">
        <f t="shared" si="232"/>
        <v>-1.4809410280083479</v>
      </c>
      <c r="IW79" s="5">
        <f t="shared" si="519"/>
        <v>0.25700000000000001</v>
      </c>
      <c r="IX79" s="5">
        <f t="shared" si="233"/>
        <v>0.25700000000000001</v>
      </c>
      <c r="IY79" s="762">
        <f t="shared" si="234"/>
        <v>53.599992261118608</v>
      </c>
    </row>
    <row r="80" spans="1:259" ht="15" customHeight="1" x14ac:dyDescent="0.25">
      <c r="A80" s="79"/>
      <c r="B80" s="707">
        <v>-5.0297335234106768</v>
      </c>
      <c r="C80" s="708">
        <v>0.69435558070857362</v>
      </c>
      <c r="D80" s="709">
        <v>-2.2535121361592774</v>
      </c>
      <c r="E80" s="710">
        <v>-0.98966233282446592</v>
      </c>
      <c r="F80" s="708">
        <v>0.13662282685134156</v>
      </c>
      <c r="G80" s="711">
        <v>4.3619607650510442E-2</v>
      </c>
      <c r="H80" s="710">
        <v>0.25700000000000001</v>
      </c>
      <c r="I80" s="708">
        <v>0.41499999999999992</v>
      </c>
      <c r="J80" s="570">
        <v>6.2460000000000004</v>
      </c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CPS-32193r1</v>
      </c>
      <c r="L80" s="320"/>
      <c r="M80" s="168">
        <f t="shared" si="464"/>
        <v>6.2460000000000004</v>
      </c>
      <c r="N80" s="632">
        <f t="shared" si="465"/>
        <v>-5.0297335234106768</v>
      </c>
      <c r="O80" s="629">
        <f t="shared" si="466"/>
        <v>0.69435558070857362</v>
      </c>
      <c r="P80" s="633">
        <f t="shared" si="467"/>
        <v>-2.2535121361592774</v>
      </c>
      <c r="Q80" s="585">
        <f t="shared" si="520"/>
        <v>172.13998814045306</v>
      </c>
      <c r="R80" s="629">
        <f t="shared" si="79"/>
        <v>5.0774352766906166</v>
      </c>
      <c r="S80" s="634">
        <f t="shared" si="80"/>
        <v>-2.2535121361592774</v>
      </c>
      <c r="T80" s="635">
        <f t="shared" si="81"/>
        <v>0.69435558070857206</v>
      </c>
      <c r="U80" s="629">
        <f t="shared" si="82"/>
        <v>5.0297335234106768</v>
      </c>
      <c r="V80" s="636">
        <f t="shared" si="114"/>
        <v>-2.2535121361592774</v>
      </c>
      <c r="W80" s="585">
        <f t="shared" si="645"/>
        <v>82.139988140453056</v>
      </c>
      <c r="X80" s="629">
        <f t="shared" si="83"/>
        <v>5.0774352766906166</v>
      </c>
      <c r="Y80" s="630">
        <f t="shared" si="644"/>
        <v>-2.2535121361592774</v>
      </c>
      <c r="Z80" s="632">
        <f t="shared" si="468"/>
        <v>0.98966233282446592</v>
      </c>
      <c r="AA80" s="629">
        <f t="shared" si="469"/>
        <v>-0.13662282685134156</v>
      </c>
      <c r="AB80" s="629">
        <f t="shared" si="470"/>
        <v>-4.3619607650510442E-2</v>
      </c>
      <c r="AC80" s="636">
        <f t="shared" si="84"/>
        <v>1</v>
      </c>
      <c r="AD80" s="637">
        <f t="shared" si="115"/>
        <v>0.98966233282446592</v>
      </c>
      <c r="AE80" s="629">
        <f t="shared" si="85"/>
        <v>-0.13662282685134156</v>
      </c>
      <c r="AF80" s="633">
        <f t="shared" si="86"/>
        <v>-4.3619607650510442E-2</v>
      </c>
      <c r="AG80" s="602">
        <f t="shared" si="87"/>
        <v>-72.293262837623729</v>
      </c>
      <c r="AH80" s="603">
        <f t="shared" si="88"/>
        <v>8.2456281728325234</v>
      </c>
      <c r="AI80" s="585">
        <f t="shared" si="89"/>
        <v>-87.499987366564923</v>
      </c>
      <c r="AJ80" s="586">
        <f t="shared" si="90"/>
        <v>82.140001147223131</v>
      </c>
      <c r="AK80" s="635">
        <f t="shared" si="211"/>
        <v>2.2679489630750282E-7</v>
      </c>
      <c r="AL80" s="629">
        <f t="shared" si="91"/>
        <v>-0.99904821196394922</v>
      </c>
      <c r="AM80" s="634">
        <f t="shared" si="92"/>
        <v>-4.3619607650510442E-2</v>
      </c>
      <c r="AN80" s="581">
        <f t="shared" si="93"/>
        <v>-87.499987366564852</v>
      </c>
      <c r="AO80" s="582">
        <f t="shared" si="461"/>
        <v>0</v>
      </c>
      <c r="AP80" s="585">
        <f t="shared" si="95"/>
        <v>-89.999986993229953</v>
      </c>
      <c r="AQ80" s="586">
        <f t="shared" si="471"/>
        <v>0.44898257570132993</v>
      </c>
      <c r="AS80" s="52">
        <f t="shared" si="543"/>
        <v>-277.86001185954694</v>
      </c>
      <c r="AT80" s="72">
        <f t="shared" si="472"/>
        <v>-2.0605537945901475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>Taper</v>
      </c>
      <c r="IF80" s="533" t="str">
        <f>IFERROR(IF((((($IW80*COS(RADIANS(180-$IY80)))*COS(RADIANS($IY80)))-(($IX80*SIN(RADIANS(180-$IY80)))*SIN(RADIANS($IY80))))+$IU80)&lt;(((Settings!$C$19+$IF$8)/2)*-1),"Gage",""),"")</f>
        <v>Gage</v>
      </c>
      <c r="IG80" s="847">
        <f t="shared" si="643"/>
        <v>6.2460000000000004</v>
      </c>
      <c r="IH80" s="731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6.1459999999999999</v>
      </c>
      <c r="II80" s="734" cm="1">
        <f t="array" ref="II80">IFERROR(ROUND(VALUE(IF($IH80&lt;1,$IH80+LARGE((IF($M$9:$M$150="",0,$M$9:$M$150)-MOD(IF($M$9:$M$150="",0,$M$9:$M$150),1)),1),$IH80)),4),"")</f>
        <v>6.1459999999999999</v>
      </c>
      <c r="IJ80" s="533">
        <f t="shared" si="542"/>
        <v>1613</v>
      </c>
      <c r="IK80" s="533" t="str">
        <f t="shared" si="517"/>
        <v>CPS-32193r1</v>
      </c>
      <c r="IL80" s="727">
        <f t="shared" si="225"/>
        <v>11.064998402411874</v>
      </c>
      <c r="IM80" s="759">
        <v>8.4313016175623404E-4</v>
      </c>
      <c r="IN80" s="5">
        <f t="shared" si="226"/>
        <v>0</v>
      </c>
      <c r="IO80" s="771">
        <v>0</v>
      </c>
      <c r="IP80" s="9">
        <f t="shared" si="227"/>
        <v>-5.0638152724668606</v>
      </c>
      <c r="IQ80" s="5">
        <f t="shared" si="228"/>
        <v>-2.238706751939564</v>
      </c>
      <c r="IR80" s="5">
        <f t="shared" si="518"/>
        <v>0.314</v>
      </c>
      <c r="IS80" s="5">
        <f t="shared" si="229"/>
        <v>0.27193198865724588</v>
      </c>
      <c r="IT80" s="727">
        <f t="shared" si="230"/>
        <v>87.499987366564895</v>
      </c>
      <c r="IU80" s="9">
        <f t="shared" si="231"/>
        <v>-5.0774352766906166</v>
      </c>
      <c r="IV80" s="5">
        <f t="shared" si="232"/>
        <v>-2.2535121361592774</v>
      </c>
      <c r="IW80" s="5">
        <f t="shared" si="519"/>
        <v>0.25700000000000001</v>
      </c>
      <c r="IX80" s="5">
        <f t="shared" si="233"/>
        <v>0.25700000000000001</v>
      </c>
      <c r="IY80" s="762">
        <f t="shared" si="234"/>
        <v>87.499987366564852</v>
      </c>
    </row>
    <row r="81" spans="1:259" ht="15" customHeight="1" x14ac:dyDescent="0.25">
      <c r="A81" s="79"/>
      <c r="B81" s="707">
        <v>-1.9036259812279053</v>
      </c>
      <c r="C81" s="708">
        <v>1.5973322674759349</v>
      </c>
      <c r="D81" s="709">
        <v>-0.17400052478558276</v>
      </c>
      <c r="E81" s="710">
        <v>-0.58122132859594644</v>
      </c>
      <c r="F81" s="708">
        <v>-0.76713544475666984</v>
      </c>
      <c r="G81" s="711">
        <v>0.27144976806611826</v>
      </c>
      <c r="H81" s="710">
        <v>0.314</v>
      </c>
      <c r="I81" s="708">
        <v>0.52</v>
      </c>
      <c r="J81" s="570">
        <v>7.1109999999999998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7.1109999999999998</v>
      </c>
      <c r="N81" s="632">
        <f t="shared" si="465"/>
        <v>-1.9036259812279053</v>
      </c>
      <c r="O81" s="629">
        <f t="shared" si="466"/>
        <v>1.5973322674759349</v>
      </c>
      <c r="P81" s="633">
        <f t="shared" si="467"/>
        <v>-0.17400052478558276</v>
      </c>
      <c r="Q81" s="585">
        <f t="shared" si="520"/>
        <v>139.99999278089422</v>
      </c>
      <c r="R81" s="629">
        <f t="shared" si="79"/>
        <v>2.4850074947826046</v>
      </c>
      <c r="S81" s="634">
        <f t="shared" si="80"/>
        <v>-0.17400052478558276</v>
      </c>
      <c r="T81" s="635">
        <f t="shared" si="81"/>
        <v>1.5973322674759352</v>
      </c>
      <c r="U81" s="629">
        <f t="shared" si="82"/>
        <v>1.9036259812279051</v>
      </c>
      <c r="V81" s="636">
        <f t="shared" si="114"/>
        <v>-0.17400052478558276</v>
      </c>
      <c r="W81" s="585">
        <f t="shared" si="645"/>
        <v>49.999992780894218</v>
      </c>
      <c r="X81" s="629">
        <f t="shared" si="83"/>
        <v>2.4850074947826046</v>
      </c>
      <c r="Y81" s="630">
        <f t="shared" si="644"/>
        <v>-0.17400052478558276</v>
      </c>
      <c r="Z81" s="632">
        <f t="shared" si="468"/>
        <v>0.58122132859594644</v>
      </c>
      <c r="AA81" s="629">
        <f t="shared" si="469"/>
        <v>0.76713544475666984</v>
      </c>
      <c r="AB81" s="629">
        <f t="shared" si="470"/>
        <v>-0.27144976806611826</v>
      </c>
      <c r="AC81" s="636">
        <f t="shared" si="84"/>
        <v>1</v>
      </c>
      <c r="AD81" s="637">
        <f t="shared" si="115"/>
        <v>0.58122132859594644</v>
      </c>
      <c r="AE81" s="629">
        <f t="shared" si="85"/>
        <v>0.76713544475666984</v>
      </c>
      <c r="AF81" s="633">
        <f t="shared" si="86"/>
        <v>-0.27144976806611826</v>
      </c>
      <c r="AG81" s="602">
        <f t="shared" si="87"/>
        <v>70.513748196901503</v>
      </c>
      <c r="AH81" s="603">
        <f t="shared" si="88"/>
        <v>54.463509689257826</v>
      </c>
      <c r="AI81" s="585">
        <f t="shared" si="89"/>
        <v>-74.249445278802412</v>
      </c>
      <c r="AJ81" s="586">
        <f t="shared" si="90"/>
        <v>142.85055574723359</v>
      </c>
      <c r="AK81" s="635">
        <f t="shared" si="211"/>
        <v>0.96126170705176628</v>
      </c>
      <c r="AL81" s="629">
        <f t="shared" si="91"/>
        <v>4.78639109640559E-2</v>
      </c>
      <c r="AM81" s="634">
        <f t="shared" si="92"/>
        <v>-0.27144976806611826</v>
      </c>
      <c r="AN81" s="581">
        <f t="shared" si="93"/>
        <v>9.9999985561788538</v>
      </c>
      <c r="AO81" s="582">
        <f t="shared" si="461"/>
        <v>15.999997689886136</v>
      </c>
      <c r="AP81" s="585">
        <f t="shared" si="95"/>
        <v>2.8505629663393806</v>
      </c>
      <c r="AQ81" s="586">
        <f t="shared" si="471"/>
        <v>0.91731387124816699</v>
      </c>
      <c r="AS81" s="52">
        <f t="shared" si="543"/>
        <v>-310.00000721910578</v>
      </c>
      <c r="AT81" s="72">
        <f t="shared" si="472"/>
        <v>4.1277258005462947E-2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7.1109999999999998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-2.4660497871956992</v>
      </c>
      <c r="C82" s="708">
        <v>2.0829415019870074</v>
      </c>
      <c r="D82" s="709">
        <v>-7.3200220771865859E-2</v>
      </c>
      <c r="E82" s="710">
        <v>-0.65626561011287809</v>
      </c>
      <c r="F82" s="708">
        <v>-0.70292282562877606</v>
      </c>
      <c r="G82" s="711">
        <v>0.27425344153397446</v>
      </c>
      <c r="H82" s="710">
        <v>0.314</v>
      </c>
      <c r="I82" s="708">
        <v>0.52</v>
      </c>
      <c r="J82" s="570">
        <v>7.117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7.117</v>
      </c>
      <c r="N82" s="632">
        <f t="shared" si="465"/>
        <v>-2.4660497871956992</v>
      </c>
      <c r="O82" s="629">
        <f t="shared" si="466"/>
        <v>2.0829415019870074</v>
      </c>
      <c r="P82" s="633">
        <f t="shared" si="467"/>
        <v>-7.3200220771865859E-2</v>
      </c>
      <c r="Q82" s="585">
        <f t="shared" si="520"/>
        <v>139.81399280774932</v>
      </c>
      <c r="R82" s="629">
        <f t="shared" si="79"/>
        <v>3.228009735677364</v>
      </c>
      <c r="S82" s="634">
        <f t="shared" si="80"/>
        <v>-7.3200220771865859E-2</v>
      </c>
      <c r="T82" s="635">
        <f t="shared" si="81"/>
        <v>2.082941501987007</v>
      </c>
      <c r="U82" s="629">
        <f t="shared" si="82"/>
        <v>2.4660497871957001</v>
      </c>
      <c r="V82" s="636">
        <f t="shared" si="114"/>
        <v>-7.3200220771865859E-2</v>
      </c>
      <c r="W82" s="585">
        <f t="shared" si="645"/>
        <v>49.813992807749315</v>
      </c>
      <c r="X82" s="629">
        <f t="shared" si="83"/>
        <v>3.228009735677364</v>
      </c>
      <c r="Y82" s="630">
        <f t="shared" si="644"/>
        <v>-7.3200220771865859E-2</v>
      </c>
      <c r="Z82" s="632">
        <f t="shared" si="468"/>
        <v>0.65626561011287809</v>
      </c>
      <c r="AA82" s="629">
        <f t="shared" si="469"/>
        <v>0.70292282562877606</v>
      </c>
      <c r="AB82" s="629">
        <f t="shared" si="470"/>
        <v>-0.27425344153397446</v>
      </c>
      <c r="AC82" s="636">
        <f t="shared" si="84"/>
        <v>1</v>
      </c>
      <c r="AD82" s="637">
        <f t="shared" si="115"/>
        <v>0.65626561011287809</v>
      </c>
      <c r="AE82" s="629">
        <f t="shared" si="85"/>
        <v>0.70292282562877606</v>
      </c>
      <c r="AF82" s="633">
        <f t="shared" si="86"/>
        <v>-0.27425344153397446</v>
      </c>
      <c r="AG82" s="602">
        <f t="shared" si="87"/>
        <v>68.686183929290578</v>
      </c>
      <c r="AH82" s="603">
        <f t="shared" si="88"/>
        <v>48.984314979684001</v>
      </c>
      <c r="AI82" s="585">
        <f t="shared" si="89"/>
        <v>-74.082470897573799</v>
      </c>
      <c r="AJ82" s="586">
        <f t="shared" si="90"/>
        <v>136.96603515904826</v>
      </c>
      <c r="AK82" s="635">
        <f t="shared" si="211"/>
        <v>0.96046970550328692</v>
      </c>
      <c r="AL82" s="629">
        <f t="shared" si="91"/>
        <v>-4.7780692933443281E-2</v>
      </c>
      <c r="AM82" s="634">
        <f t="shared" si="92"/>
        <v>-0.27425344153397446</v>
      </c>
      <c r="AN82" s="581">
        <f t="shared" si="93"/>
        <v>-9.8829294296677848</v>
      </c>
      <c r="AO82" s="582">
        <f t="shared" si="461"/>
        <v>16.16381186320649</v>
      </c>
      <c r="AP82" s="585">
        <f t="shared" si="95"/>
        <v>-2.8479576487010547</v>
      </c>
      <c r="AQ82" s="586">
        <f t="shared" si="471"/>
        <v>0.7061971227798669</v>
      </c>
      <c r="AS82" s="52">
        <f t="shared" si="543"/>
        <v>-310.18600719225071</v>
      </c>
      <c r="AT82" s="72">
        <f t="shared" si="472"/>
        <v>0.14220672866719714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7.117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-2.9934155199815007</v>
      </c>
      <c r="C83" s="708">
        <v>2.6003031304783604</v>
      </c>
      <c r="D83" s="709">
        <v>-0.26150078868637872</v>
      </c>
      <c r="E83" s="710">
        <v>-0.7599776049180933</v>
      </c>
      <c r="F83" s="708">
        <v>-0.60091018767893212</v>
      </c>
      <c r="G83" s="711">
        <v>0.24767112541963582</v>
      </c>
      <c r="H83" s="710">
        <v>0.314</v>
      </c>
      <c r="I83" s="708">
        <v>0.52</v>
      </c>
      <c r="J83" s="570">
        <v>7.1239999999999997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7.1239999999999997</v>
      </c>
      <c r="N83" s="632">
        <f t="shared" si="465"/>
        <v>-2.9934155199815007</v>
      </c>
      <c r="O83" s="629">
        <f t="shared" si="466"/>
        <v>2.6003031304783604</v>
      </c>
      <c r="P83" s="633">
        <f t="shared" si="467"/>
        <v>-0.26150078868637872</v>
      </c>
      <c r="Q83" s="585">
        <f t="shared" si="520"/>
        <v>139.0199929223887</v>
      </c>
      <c r="R83" s="629">
        <f t="shared" si="79"/>
        <v>3.9651119587776686</v>
      </c>
      <c r="S83" s="634">
        <f t="shared" si="80"/>
        <v>-0.26150078868637872</v>
      </c>
      <c r="T83" s="635">
        <f t="shared" si="81"/>
        <v>2.6003031304783604</v>
      </c>
      <c r="U83" s="629">
        <f t="shared" si="82"/>
        <v>2.9934155199815007</v>
      </c>
      <c r="V83" s="636">
        <f t="shared" si="114"/>
        <v>-0.26150078868637872</v>
      </c>
      <c r="W83" s="585">
        <f t="shared" si="645"/>
        <v>49.019992922388695</v>
      </c>
      <c r="X83" s="629">
        <f t="shared" si="83"/>
        <v>3.9651119587776686</v>
      </c>
      <c r="Y83" s="630">
        <f t="shared" si="644"/>
        <v>-0.26150078868637872</v>
      </c>
      <c r="Z83" s="632">
        <f t="shared" si="468"/>
        <v>0.7599776049180933</v>
      </c>
      <c r="AA83" s="629">
        <f t="shared" si="469"/>
        <v>0.60091018767893212</v>
      </c>
      <c r="AB83" s="629">
        <f t="shared" si="470"/>
        <v>-0.24767112541963582</v>
      </c>
      <c r="AC83" s="636">
        <f t="shared" si="84"/>
        <v>1</v>
      </c>
      <c r="AD83" s="637">
        <f t="shared" si="115"/>
        <v>0.7599776049180933</v>
      </c>
      <c r="AE83" s="629">
        <f t="shared" si="85"/>
        <v>0.60091018767893212</v>
      </c>
      <c r="AF83" s="633">
        <f t="shared" si="86"/>
        <v>-0.24767112541963582</v>
      </c>
      <c r="AG83" s="602">
        <f t="shared" si="87"/>
        <v>67.600503777164533</v>
      </c>
      <c r="AH83" s="603">
        <f t="shared" si="88"/>
        <v>40.537776372393495</v>
      </c>
      <c r="AI83" s="585">
        <f t="shared" si="89"/>
        <v>-75.660255930326827</v>
      </c>
      <c r="AJ83" s="586">
        <f t="shared" si="90"/>
        <v>128.33323169153201</v>
      </c>
      <c r="AK83" s="635">
        <f t="shared" si="211"/>
        <v>0.95204021130308392</v>
      </c>
      <c r="AL83" s="629">
        <f t="shared" si="91"/>
        <v>-0.17966204300115907</v>
      </c>
      <c r="AM83" s="634">
        <f t="shared" si="92"/>
        <v>-0.24767112541963582</v>
      </c>
      <c r="AN83" s="581">
        <f t="shared" si="93"/>
        <v>-35.95734477517734</v>
      </c>
      <c r="AO83" s="582">
        <f t="shared" si="461"/>
        <v>17.816707488507163</v>
      </c>
      <c r="AP83" s="585">
        <f t="shared" si="95"/>
        <v>-10.686761230856673</v>
      </c>
      <c r="AQ83" s="586">
        <f t="shared" si="471"/>
        <v>0.57492704896926228</v>
      </c>
      <c r="AS83" s="52">
        <f t="shared" si="543"/>
        <v>-310.98000707761128</v>
      </c>
      <c r="AT83" s="72">
        <f t="shared" si="472"/>
        <v>-4.5542450438037535E-2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7.1239999999999997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-3.4026914812722966</v>
      </c>
      <c r="C84" s="708">
        <v>3.0548840658824705</v>
      </c>
      <c r="D84" s="709">
        <v>-0.71910216881214128</v>
      </c>
      <c r="E84" s="710">
        <v>-0.84730691162917904</v>
      </c>
      <c r="F84" s="708">
        <v>-0.49077617839833659</v>
      </c>
      <c r="G84" s="711">
        <v>0.20300182319907067</v>
      </c>
      <c r="H84" s="710">
        <v>0.314</v>
      </c>
      <c r="I84" s="708">
        <v>0.52</v>
      </c>
      <c r="J84" s="570">
        <v>7.1310000000000002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7.1310000000000002</v>
      </c>
      <c r="N84" s="632">
        <f t="shared" si="465"/>
        <v>-3.4026914812722966</v>
      </c>
      <c r="O84" s="629">
        <f t="shared" si="466"/>
        <v>3.0548840658824705</v>
      </c>
      <c r="P84" s="633">
        <f t="shared" si="467"/>
        <v>-0.71910216881214128</v>
      </c>
      <c r="Q84" s="585">
        <f t="shared" si="520"/>
        <v>138.08299305767471</v>
      </c>
      <c r="R84" s="629">
        <f t="shared" si="79"/>
        <v>4.5728137916063964</v>
      </c>
      <c r="S84" s="634">
        <f t="shared" si="80"/>
        <v>-0.71910216881214128</v>
      </c>
      <c r="T84" s="635">
        <f t="shared" si="81"/>
        <v>3.0548840658824714</v>
      </c>
      <c r="U84" s="629">
        <f t="shared" si="82"/>
        <v>3.4026914812722953</v>
      </c>
      <c r="V84" s="636">
        <f t="shared" si="114"/>
        <v>-0.71910216881214128</v>
      </c>
      <c r="W84" s="585">
        <f t="shared" si="645"/>
        <v>48.082993057674713</v>
      </c>
      <c r="X84" s="629">
        <f t="shared" si="83"/>
        <v>4.5728137916063964</v>
      </c>
      <c r="Y84" s="630">
        <f t="shared" si="644"/>
        <v>-0.71910216881214128</v>
      </c>
      <c r="Z84" s="632">
        <f t="shared" si="468"/>
        <v>0.84730691162917904</v>
      </c>
      <c r="AA84" s="629">
        <f t="shared" si="469"/>
        <v>0.49077617839833659</v>
      </c>
      <c r="AB84" s="629">
        <f t="shared" si="470"/>
        <v>-0.20300182319907067</v>
      </c>
      <c r="AC84" s="636">
        <f t="shared" si="84"/>
        <v>1</v>
      </c>
      <c r="AD84" s="637">
        <f t="shared" si="115"/>
        <v>0.84730691162917904</v>
      </c>
      <c r="AE84" s="629">
        <f t="shared" si="85"/>
        <v>0.49077617839833659</v>
      </c>
      <c r="AF84" s="633">
        <f t="shared" si="86"/>
        <v>-0.20300182319907067</v>
      </c>
      <c r="AG84" s="602">
        <f t="shared" si="87"/>
        <v>67.528338400148783</v>
      </c>
      <c r="AH84" s="603">
        <f t="shared" si="88"/>
        <v>32.080048679718658</v>
      </c>
      <c r="AI84" s="585">
        <f t="shared" si="89"/>
        <v>-78.287447372780619</v>
      </c>
      <c r="AJ84" s="586">
        <f t="shared" si="90"/>
        <v>120.080233576258</v>
      </c>
      <c r="AK84" s="635">
        <f t="shared" si="211"/>
        <v>0.93123938536747608</v>
      </c>
      <c r="AL84" s="629">
        <f t="shared" si="91"/>
        <v>-0.30262760435601149</v>
      </c>
      <c r="AM84" s="634">
        <f t="shared" si="92"/>
        <v>-0.20300182319907067</v>
      </c>
      <c r="AN84" s="581">
        <f t="shared" si="93"/>
        <v>-56.146392058705231</v>
      </c>
      <c r="AO84" s="582">
        <f t="shared" si="461"/>
        <v>21.371155966627658</v>
      </c>
      <c r="AP84" s="585">
        <f t="shared" si="95"/>
        <v>-18.002759481416707</v>
      </c>
      <c r="AQ84" s="586">
        <f t="shared" si="471"/>
        <v>0.49852655405501062</v>
      </c>
      <c r="AS84" s="52">
        <f t="shared" si="543"/>
        <v>-311.91700694232532</v>
      </c>
      <c r="AT84" s="72">
        <f t="shared" si="472"/>
        <v>-0.50249313621330427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7.1310000000000002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-3.6494026579979311</v>
      </c>
      <c r="C85" s="708">
        <v>3.3555634778296799</v>
      </c>
      <c r="D85" s="709">
        <v>-1.3754041482189114</v>
      </c>
      <c r="E85" s="710">
        <v>-0.91780136187546746</v>
      </c>
      <c r="F85" s="708">
        <v>-0.37195526929267608</v>
      </c>
      <c r="G85" s="711">
        <v>0.13888822046865676</v>
      </c>
      <c r="H85" s="710">
        <v>0.314</v>
      </c>
      <c r="I85" s="708">
        <v>0.52</v>
      </c>
      <c r="J85" s="570">
        <v>7.1379999999999999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7.1379999999999999</v>
      </c>
      <c r="N85" s="632">
        <f t="shared" si="465"/>
        <v>-3.6494026579979311</v>
      </c>
      <c r="O85" s="629">
        <f t="shared" si="466"/>
        <v>3.3555634778296799</v>
      </c>
      <c r="P85" s="633">
        <f t="shared" si="467"/>
        <v>-1.3754041482189114</v>
      </c>
      <c r="Q85" s="585">
        <f t="shared" si="520"/>
        <v>137.40199315599895</v>
      </c>
      <c r="R85" s="629">
        <f t="shared" si="79"/>
        <v>4.9576149521666943</v>
      </c>
      <c r="S85" s="634">
        <f t="shared" si="80"/>
        <v>-1.3754041482189114</v>
      </c>
      <c r="T85" s="635">
        <f t="shared" si="81"/>
        <v>3.3555634778296803</v>
      </c>
      <c r="U85" s="629">
        <f t="shared" si="82"/>
        <v>3.6494026579979297</v>
      </c>
      <c r="V85" s="636">
        <f t="shared" si="114"/>
        <v>-1.3754041482189114</v>
      </c>
      <c r="W85" s="585">
        <f t="shared" si="645"/>
        <v>47.401993155998952</v>
      </c>
      <c r="X85" s="629">
        <f t="shared" si="83"/>
        <v>4.9576149521666943</v>
      </c>
      <c r="Y85" s="630">
        <f t="shared" si="644"/>
        <v>-1.3754041482189114</v>
      </c>
      <c r="Z85" s="632">
        <f t="shared" si="468"/>
        <v>0.91780136187546746</v>
      </c>
      <c r="AA85" s="629">
        <f t="shared" si="469"/>
        <v>0.37195526929267608</v>
      </c>
      <c r="AB85" s="629">
        <f t="shared" si="470"/>
        <v>-0.13888822046865676</v>
      </c>
      <c r="AC85" s="636">
        <f t="shared" si="84"/>
        <v>1</v>
      </c>
      <c r="AD85" s="637">
        <f t="shared" si="115"/>
        <v>0.91780136187546746</v>
      </c>
      <c r="AE85" s="629">
        <f t="shared" si="85"/>
        <v>0.37195526929267608</v>
      </c>
      <c r="AF85" s="633">
        <f t="shared" si="86"/>
        <v>-0.13888822046865676</v>
      </c>
      <c r="AG85" s="602">
        <f t="shared" si="87"/>
        <v>69.52435147643844</v>
      </c>
      <c r="AH85" s="603">
        <f t="shared" si="88"/>
        <v>23.393256540468624</v>
      </c>
      <c r="AI85" s="585">
        <f t="shared" si="89"/>
        <v>-82.016482526915752</v>
      </c>
      <c r="AJ85" s="586">
        <f t="shared" si="90"/>
        <v>112.06112419415804</v>
      </c>
      <c r="AK85" s="635">
        <f t="shared" si="211"/>
        <v>0.89501813292003607</v>
      </c>
      <c r="AL85" s="629">
        <f t="shared" si="91"/>
        <v>-0.42385446082279543</v>
      </c>
      <c r="AM85" s="634">
        <f t="shared" si="92"/>
        <v>-0.13888822046865676</v>
      </c>
      <c r="AN85" s="581">
        <f t="shared" si="93"/>
        <v>-71.857114792193499</v>
      </c>
      <c r="AO85" s="582">
        <f t="shared" si="461"/>
        <v>26.489240989345415</v>
      </c>
      <c r="AP85" s="585">
        <f t="shared" si="95"/>
        <v>-25.340868961840911</v>
      </c>
      <c r="AQ85" s="586">
        <f t="shared" si="471"/>
        <v>0.45983355054748215</v>
      </c>
      <c r="AS85" s="52">
        <f t="shared" si="543"/>
        <v>-312.59800684400102</v>
      </c>
      <c r="AT85" s="72">
        <f t="shared" si="472"/>
        <v>-1.1583221990216885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7.1379999999999999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-3.7157723163156593</v>
      </c>
      <c r="C86" s="708">
        <v>3.4402414460282853</v>
      </c>
      <c r="D86" s="709">
        <v>-2.1293064219881686</v>
      </c>
      <c r="E86" s="710">
        <v>-0.95490336012891963</v>
      </c>
      <c r="F86" s="708">
        <v>-0.29611468284462134</v>
      </c>
      <c r="G86" s="711">
        <v>2.1809800969478307E-2</v>
      </c>
      <c r="H86" s="710">
        <v>0.314</v>
      </c>
      <c r="I86" s="708">
        <v>0.52</v>
      </c>
      <c r="J86" s="570">
        <v>7.1449999999999996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7.1449999999999996</v>
      </c>
      <c r="N86" s="632">
        <f t="shared" si="465"/>
        <v>-3.7157723163156593</v>
      </c>
      <c r="O86" s="629">
        <f t="shared" si="466"/>
        <v>3.4402414460282853</v>
      </c>
      <c r="P86" s="633">
        <f t="shared" si="467"/>
        <v>-2.1293064219881686</v>
      </c>
      <c r="Q86" s="585">
        <f t="shared" si="520"/>
        <v>137.20499318444223</v>
      </c>
      <c r="R86" s="629">
        <f t="shared" si="79"/>
        <v>5.0638152724668606</v>
      </c>
      <c r="S86" s="634">
        <f t="shared" si="80"/>
        <v>-2.1293064219881686</v>
      </c>
      <c r="T86" s="635">
        <f t="shared" si="81"/>
        <v>3.4402414460282857</v>
      </c>
      <c r="U86" s="629">
        <f t="shared" si="82"/>
        <v>3.7157723163156584</v>
      </c>
      <c r="V86" s="636">
        <f t="shared" si="114"/>
        <v>-2.1293064219881686</v>
      </c>
      <c r="W86" s="585">
        <f t="shared" si="645"/>
        <v>47.20499318444223</v>
      </c>
      <c r="X86" s="629">
        <f t="shared" si="83"/>
        <v>5.0638152724668606</v>
      </c>
      <c r="Y86" s="630">
        <f t="shared" si="644"/>
        <v>-2.1293064219881686</v>
      </c>
      <c r="Z86" s="632">
        <f t="shared" si="468"/>
        <v>0.95490336012891963</v>
      </c>
      <c r="AA86" s="629">
        <f t="shared" si="469"/>
        <v>0.29611468284462134</v>
      </c>
      <c r="AB86" s="629">
        <f t="shared" si="470"/>
        <v>-2.1809800969478307E-2</v>
      </c>
      <c r="AC86" s="636">
        <f t="shared" si="84"/>
        <v>1</v>
      </c>
      <c r="AD86" s="637">
        <f t="shared" si="115"/>
        <v>0.95490336012891963</v>
      </c>
      <c r="AE86" s="629">
        <f t="shared" si="85"/>
        <v>0.29611468284462134</v>
      </c>
      <c r="AF86" s="633">
        <f t="shared" si="86"/>
        <v>-2.1809800969478307E-2</v>
      </c>
      <c r="AG86" s="602">
        <f t="shared" si="87"/>
        <v>85.787587309661873</v>
      </c>
      <c r="AH86" s="603">
        <f t="shared" si="88"/>
        <v>17.272511402366348</v>
      </c>
      <c r="AI86" s="585">
        <f t="shared" si="89"/>
        <v>-88.750291364792787</v>
      </c>
      <c r="AJ86" s="586">
        <f t="shared" si="90"/>
        <v>107.22861680374018</v>
      </c>
      <c r="AK86" s="635">
        <f t="shared" si="211"/>
        <v>0.86602544158358574</v>
      </c>
      <c r="AL86" s="629">
        <f t="shared" si="91"/>
        <v>-0.49952404057425215</v>
      </c>
      <c r="AM86" s="634">
        <f t="shared" si="92"/>
        <v>-2.1809800969478307E-2</v>
      </c>
      <c r="AN86" s="581">
        <f t="shared" si="93"/>
        <v>-87.499987366564824</v>
      </c>
      <c r="AO86" s="582">
        <f t="shared" si="461"/>
        <v>29.99999566853651</v>
      </c>
      <c r="AP86" s="585">
        <f t="shared" si="95"/>
        <v>-29.976376380702046</v>
      </c>
      <c r="AQ86" s="586">
        <f t="shared" si="471"/>
        <v>0.45019014211149172</v>
      </c>
      <c r="AS86" s="52">
        <f t="shared" si="543"/>
        <v>-312.79500681555777</v>
      </c>
      <c r="AT86" s="72">
        <f t="shared" si="472"/>
        <v>-1.9120876672551423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7.1449999999999996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-2.3115664544402623</v>
      </c>
      <c r="C87" s="708">
        <v>3.2456074206836933</v>
      </c>
      <c r="D87" s="709">
        <v>-0.22570000000000032</v>
      </c>
      <c r="E87" s="710">
        <v>-0.85558522509262036</v>
      </c>
      <c r="F87" s="708">
        <v>-0.32774689450485217</v>
      </c>
      <c r="G87" s="711">
        <v>0.40069426717340917</v>
      </c>
      <c r="H87" s="710">
        <v>0.26600000000000001</v>
      </c>
      <c r="I87" s="708">
        <v>0.52</v>
      </c>
      <c r="J87" s="570">
        <v>7.2240000000000002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7.2240000000000002</v>
      </c>
      <c r="N87" s="632">
        <f t="shared" si="465"/>
        <v>-2.3115664544402623</v>
      </c>
      <c r="O87" s="629">
        <f t="shared" si="466"/>
        <v>3.2456074206836933</v>
      </c>
      <c r="P87" s="633">
        <f t="shared" si="467"/>
        <v>-0.22570000000000032</v>
      </c>
      <c r="Q87" s="585">
        <f t="shared" si="520"/>
        <v>125.45899488035455</v>
      </c>
      <c r="R87" s="629">
        <f t="shared" si="79"/>
        <v>3.9846338605310505</v>
      </c>
      <c r="S87" s="634">
        <f t="shared" si="80"/>
        <v>-0.22570000000000032</v>
      </c>
      <c r="T87" s="635">
        <f t="shared" si="81"/>
        <v>3.2456074206836942</v>
      </c>
      <c r="U87" s="629">
        <f t="shared" si="82"/>
        <v>2.3115664544402614</v>
      </c>
      <c r="V87" s="636">
        <f t="shared" si="114"/>
        <v>-0.22570000000000032</v>
      </c>
      <c r="W87" s="585">
        <f t="shared" si="645"/>
        <v>35.458994880354552</v>
      </c>
      <c r="X87" s="629">
        <f t="shared" si="83"/>
        <v>3.9846338605310505</v>
      </c>
      <c r="Y87" s="630">
        <f t="shared" si="644"/>
        <v>-0.22570000000000032</v>
      </c>
      <c r="Z87" s="632">
        <f t="shared" si="468"/>
        <v>0.85558522509262036</v>
      </c>
      <c r="AA87" s="629">
        <f t="shared" si="469"/>
        <v>0.32774689450485217</v>
      </c>
      <c r="AB87" s="629">
        <f t="shared" si="470"/>
        <v>-0.40069426717340917</v>
      </c>
      <c r="AC87" s="636">
        <f t="shared" si="84"/>
        <v>1</v>
      </c>
      <c r="AD87" s="637">
        <f t="shared" si="115"/>
        <v>0.85558522509262036</v>
      </c>
      <c r="AE87" s="629">
        <f t="shared" si="85"/>
        <v>0.32774689450485217</v>
      </c>
      <c r="AF87" s="633">
        <f t="shared" si="86"/>
        <v>-0.40069426717340917</v>
      </c>
      <c r="AG87" s="602">
        <f t="shared" si="87"/>
        <v>39.281365713945817</v>
      </c>
      <c r="AH87" s="603">
        <f t="shared" si="88"/>
        <v>31.175551815259276</v>
      </c>
      <c r="AI87" s="585">
        <f t="shared" si="89"/>
        <v>-66.378412353037987</v>
      </c>
      <c r="AJ87" s="586">
        <f t="shared" si="90"/>
        <v>110.96021257349723</v>
      </c>
      <c r="AK87" s="635">
        <f t="shared" si="211"/>
        <v>0.88703318954411181</v>
      </c>
      <c r="AL87" s="629">
        <f t="shared" si="91"/>
        <v>-0.22938226806264794</v>
      </c>
      <c r="AM87" s="634">
        <f t="shared" si="92"/>
        <v>-0.40069426717340917</v>
      </c>
      <c r="AN87" s="581">
        <f t="shared" si="93"/>
        <v>-29.789500335520607</v>
      </c>
      <c r="AO87" s="582">
        <f t="shared" si="461"/>
        <v>27.497225795707774</v>
      </c>
      <c r="AP87" s="585">
        <f t="shared" si="95"/>
        <v>-14.498782306857311</v>
      </c>
      <c r="AQ87" s="586">
        <f t="shared" si="471"/>
        <v>0.57211049871558328</v>
      </c>
      <c r="AS87" s="52">
        <f t="shared" si="543"/>
        <v>-324.54100511964543</v>
      </c>
      <c r="AT87" s="72">
        <f t="shared" si="472"/>
        <v>-3.2430200024652356E-4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7.2240000000000002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0.124</v>
      </c>
      <c r="II87" s="734" cm="1">
        <f t="array" ref="II87">IFERROR(ROUND(VALUE(IF($IH87&lt;1,$IH87+LARGE((IF($M$9:$M$150="",0,$M$9:$M$150)-MOD(IF($M$9:$M$150="",0,$M$9:$M$150),1)),1),$IH87)),4),"")</f>
        <v>7.1239999999999997</v>
      </c>
      <c r="IJ87" s="533">
        <f t="shared" si="542"/>
        <v>1613</v>
      </c>
      <c r="IK87" s="533">
        <f t="shared" si="517"/>
        <v>1313</v>
      </c>
      <c r="IL87" s="727">
        <f t="shared" si="647"/>
        <v>13.560998042034143</v>
      </c>
      <c r="IM87" s="759">
        <v>2.2059527627311899E-2</v>
      </c>
      <c r="IN87" s="5">
        <f t="shared" si="648"/>
        <v>0.6</v>
      </c>
      <c r="IO87" s="771">
        <v>300</v>
      </c>
      <c r="IP87" s="9">
        <f t="shared" si="649"/>
        <v>-3.9651119587776686</v>
      </c>
      <c r="IQ87" s="5">
        <f t="shared" si="650"/>
        <v>-0.26150078868637872</v>
      </c>
      <c r="IR87" s="5">
        <f t="shared" si="518"/>
        <v>0.314</v>
      </c>
      <c r="IS87" s="5">
        <f t="shared" si="651"/>
        <v>0.29894062634916835</v>
      </c>
      <c r="IT87" s="727">
        <f t="shared" si="652"/>
        <v>35.95734477517734</v>
      </c>
      <c r="IU87" s="9">
        <f t="shared" si="653"/>
        <v>-3.9846338605310505</v>
      </c>
      <c r="IV87" s="5">
        <f t="shared" si="654"/>
        <v>-0.22570000000000032</v>
      </c>
      <c r="IW87" s="5">
        <f t="shared" si="519"/>
        <v>0.26600000000000001</v>
      </c>
      <c r="IX87" s="5">
        <f t="shared" si="655"/>
        <v>0.23595082841873377</v>
      </c>
      <c r="IY87" s="762">
        <f t="shared" si="656"/>
        <v>29.789500335520607</v>
      </c>
    </row>
    <row r="88" spans="1:259" ht="15" customHeight="1" x14ac:dyDescent="0.25">
      <c r="A88" s="79"/>
      <c r="B88" s="707">
        <v>-2.7106270118268738</v>
      </c>
      <c r="C88" s="708">
        <v>3.7282581737548979</v>
      </c>
      <c r="D88" s="709">
        <v>-0.68919999999999959</v>
      </c>
      <c r="E88" s="710">
        <v>-0.92439898332420911</v>
      </c>
      <c r="F88" s="708">
        <v>-0.18801109270523589</v>
      </c>
      <c r="G88" s="711">
        <v>0.33187098193266595</v>
      </c>
      <c r="H88" s="710">
        <v>0.26600000000000001</v>
      </c>
      <c r="I88" s="708">
        <v>0.52</v>
      </c>
      <c r="J88" s="570">
        <v>7.2309999999999999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1313</v>
      </c>
      <c r="L88" s="320"/>
      <c r="M88" s="168">
        <f t="shared" si="464"/>
        <v>7.2309999999999999</v>
      </c>
      <c r="N88" s="632">
        <f t="shared" si="465"/>
        <v>-2.7106270118268738</v>
      </c>
      <c r="O88" s="629">
        <f t="shared" si="466"/>
        <v>3.7282581737548979</v>
      </c>
      <c r="P88" s="633">
        <f t="shared" si="467"/>
        <v>-0.68919999999999959</v>
      </c>
      <c r="Q88" s="585">
        <f t="shared" si="520"/>
        <v>126.01899479950058</v>
      </c>
      <c r="R88" s="629">
        <f t="shared" si="79"/>
        <v>4.6094910573094392</v>
      </c>
      <c r="S88" s="634">
        <f t="shared" si="80"/>
        <v>-0.68919999999999959</v>
      </c>
      <c r="T88" s="635">
        <f t="shared" si="81"/>
        <v>3.7282581737548974</v>
      </c>
      <c r="U88" s="629">
        <f t="shared" si="82"/>
        <v>2.7106270118268738</v>
      </c>
      <c r="V88" s="636">
        <f t="shared" si="114"/>
        <v>-0.68919999999999959</v>
      </c>
      <c r="W88" s="585">
        <f t="shared" si="645"/>
        <v>36.018994799500575</v>
      </c>
      <c r="X88" s="629">
        <f t="shared" si="83"/>
        <v>4.6094910573094392</v>
      </c>
      <c r="Y88" s="630">
        <f t="shared" si="644"/>
        <v>-0.68919999999999959</v>
      </c>
      <c r="Z88" s="632">
        <f t="shared" si="468"/>
        <v>0.92439898332420911</v>
      </c>
      <c r="AA88" s="629">
        <f t="shared" si="469"/>
        <v>0.18801109270523589</v>
      </c>
      <c r="AB88" s="629">
        <f t="shared" si="470"/>
        <v>-0.33187098193266595</v>
      </c>
      <c r="AC88" s="636">
        <f t="shared" si="84"/>
        <v>1</v>
      </c>
      <c r="AD88" s="637">
        <f t="shared" si="115"/>
        <v>0.92439898332420911</v>
      </c>
      <c r="AE88" s="629">
        <f t="shared" si="85"/>
        <v>0.18801109270523589</v>
      </c>
      <c r="AF88" s="633">
        <f t="shared" si="86"/>
        <v>-0.33187098193266595</v>
      </c>
      <c r="AG88" s="602">
        <f t="shared" si="87"/>
        <v>29.532361420348401</v>
      </c>
      <c r="AH88" s="603">
        <f t="shared" si="88"/>
        <v>22.422099384399203</v>
      </c>
      <c r="AI88" s="585">
        <f t="shared" si="89"/>
        <v>-70.617624118115984</v>
      </c>
      <c r="AJ88" s="586">
        <f t="shared" si="90"/>
        <v>101.49642851328298</v>
      </c>
      <c r="AK88" s="635">
        <f t="shared" si="211"/>
        <v>0.85823488159845396</v>
      </c>
      <c r="AL88" s="629">
        <f t="shared" si="91"/>
        <v>-0.39152846557911469</v>
      </c>
      <c r="AM88" s="634">
        <f t="shared" si="92"/>
        <v>-0.33187098193266595</v>
      </c>
      <c r="AN88" s="581">
        <f t="shared" si="93"/>
        <v>-49.714414162982266</v>
      </c>
      <c r="AO88" s="582">
        <f t="shared" si="461"/>
        <v>30.881030550365729</v>
      </c>
      <c r="AP88" s="585">
        <f t="shared" si="95"/>
        <v>-24.522566286217604</v>
      </c>
      <c r="AQ88" s="586">
        <f t="shared" si="471"/>
        <v>0.49456002525249559</v>
      </c>
      <c r="AS88" s="52">
        <f t="shared" si="543"/>
        <v>-323.98100520049945</v>
      </c>
      <c r="AT88" s="72">
        <f t="shared" si="472"/>
        <v>-0.46421319083298607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7.2309999999999999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0.13100000000000001</v>
      </c>
      <c r="II88" s="734" cm="1">
        <f t="array" ref="II88">IFERROR(ROUND(VALUE(IF($IH88&lt;1,$IH88+LARGE((IF($M$9:$M$150="",0,$M$9:$M$150)-MOD(IF($M$9:$M$150="",0,$M$9:$M$150),1)),1),$IH88)),4),"")</f>
        <v>7.1310000000000002</v>
      </c>
      <c r="IJ88" s="533">
        <f t="shared" si="542"/>
        <v>1613</v>
      </c>
      <c r="IK88" s="533">
        <f t="shared" si="517"/>
        <v>1313</v>
      </c>
      <c r="IL88" s="727">
        <f t="shared" si="647"/>
        <v>12.063998258174138</v>
      </c>
      <c r="IM88" s="759">
        <v>1.5851840304148102E-2</v>
      </c>
      <c r="IN88" s="5">
        <f t="shared" si="648"/>
        <v>0.62</v>
      </c>
      <c r="IO88" s="771">
        <v>310</v>
      </c>
      <c r="IP88" s="9">
        <f t="shared" si="649"/>
        <v>-4.5728137916063964</v>
      </c>
      <c r="IQ88" s="5">
        <f t="shared" si="650"/>
        <v>-0.71910216881214128</v>
      </c>
      <c r="IR88" s="5">
        <f t="shared" si="518"/>
        <v>0.314</v>
      </c>
      <c r="IS88" s="5">
        <f t="shared" si="651"/>
        <v>0.29240916700538749</v>
      </c>
      <c r="IT88" s="727">
        <f t="shared" si="652"/>
        <v>56.146392058705231</v>
      </c>
      <c r="IU88" s="9">
        <f t="shared" si="653"/>
        <v>-4.6094910573094392</v>
      </c>
      <c r="IV88" s="5">
        <f t="shared" si="654"/>
        <v>-0.68919999999999959</v>
      </c>
      <c r="IW88" s="5">
        <f t="shared" si="519"/>
        <v>0.26600000000000001</v>
      </c>
      <c r="IX88" s="5">
        <f t="shared" si="655"/>
        <v>0.2282904785051888</v>
      </c>
      <c r="IY88" s="762">
        <f t="shared" si="656"/>
        <v>49.714414162982266</v>
      </c>
    </row>
    <row r="89" spans="1:259" ht="15" customHeight="1" x14ac:dyDescent="0.25">
      <c r="A89" s="79"/>
      <c r="B89" s="707">
        <v>-2.9482733201350277</v>
      </c>
      <c r="C89" s="708">
        <v>4.0380570742659563</v>
      </c>
      <c r="D89" s="709">
        <v>-1.3646000000000005</v>
      </c>
      <c r="E89" s="710">
        <v>-0.9757791492822564</v>
      </c>
      <c r="F89" s="708">
        <v>-0.11389163193022152</v>
      </c>
      <c r="G89" s="711">
        <v>0.18677191438293692</v>
      </c>
      <c r="H89" s="710">
        <v>0.26600000000000001</v>
      </c>
      <c r="I89" s="708">
        <v>0.52</v>
      </c>
      <c r="J89" s="570">
        <v>7.2380000000000004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7.2380000000000004</v>
      </c>
      <c r="N89" s="632">
        <f t="shared" si="465"/>
        <v>-2.9482733201350277</v>
      </c>
      <c r="O89" s="629">
        <f t="shared" si="466"/>
        <v>4.0380570742659563</v>
      </c>
      <c r="P89" s="633">
        <f t="shared" si="467"/>
        <v>-1.3646000000000005</v>
      </c>
      <c r="Q89" s="585">
        <f t="shared" si="520"/>
        <v>126.13399478289665</v>
      </c>
      <c r="R89" s="629">
        <f t="shared" si="79"/>
        <v>4.9998220473582213</v>
      </c>
      <c r="S89" s="634">
        <f t="shared" si="80"/>
        <v>-1.3646000000000005</v>
      </c>
      <c r="T89" s="635">
        <f t="shared" si="81"/>
        <v>4.0380570742659563</v>
      </c>
      <c r="U89" s="629">
        <f t="shared" si="82"/>
        <v>2.9482733201350282</v>
      </c>
      <c r="V89" s="636">
        <f t="shared" si="114"/>
        <v>-1.3646000000000005</v>
      </c>
      <c r="W89" s="585">
        <f t="shared" si="645"/>
        <v>36.13399478289665</v>
      </c>
      <c r="X89" s="629">
        <f t="shared" si="83"/>
        <v>4.9998220473582213</v>
      </c>
      <c r="Y89" s="630">
        <f t="shared" si="644"/>
        <v>-1.3646000000000005</v>
      </c>
      <c r="Z89" s="632">
        <f t="shared" si="468"/>
        <v>0.9757791492822564</v>
      </c>
      <c r="AA89" s="629">
        <f t="shared" si="469"/>
        <v>0.11389163193022152</v>
      </c>
      <c r="AB89" s="629">
        <f t="shared" si="470"/>
        <v>-0.18677191438293692</v>
      </c>
      <c r="AC89" s="636">
        <f t="shared" si="84"/>
        <v>1</v>
      </c>
      <c r="AD89" s="637">
        <f t="shared" si="115"/>
        <v>0.9757791492822564</v>
      </c>
      <c r="AE89" s="629">
        <f t="shared" si="85"/>
        <v>0.11389163193022152</v>
      </c>
      <c r="AF89" s="633">
        <f t="shared" si="86"/>
        <v>-0.18677191438293692</v>
      </c>
      <c r="AG89" s="602">
        <f t="shared" si="87"/>
        <v>31.374418041828985</v>
      </c>
      <c r="AH89" s="603">
        <f t="shared" si="88"/>
        <v>12.636093395301396</v>
      </c>
      <c r="AI89" s="585">
        <f t="shared" si="89"/>
        <v>-79.235543570408851</v>
      </c>
      <c r="AJ89" s="586">
        <f t="shared" si="90"/>
        <v>96.65736386004825</v>
      </c>
      <c r="AK89" s="635">
        <f t="shared" si="211"/>
        <v>0.8552375496536504</v>
      </c>
      <c r="AL89" s="629">
        <f t="shared" si="91"/>
        <v>-0.48340974923986896</v>
      </c>
      <c r="AM89" s="634">
        <f t="shared" si="92"/>
        <v>-0.18677191438293692</v>
      </c>
      <c r="AN89" s="581">
        <f t="shared" si="93"/>
        <v>-68.875284379614286</v>
      </c>
      <c r="AO89" s="582">
        <f t="shared" si="461"/>
        <v>31.21401184049029</v>
      </c>
      <c r="AP89" s="585">
        <f t="shared" si="95"/>
        <v>-29.476630922848393</v>
      </c>
      <c r="AQ89" s="586">
        <f t="shared" si="471"/>
        <v>0.4559519292828329</v>
      </c>
      <c r="AS89" s="52">
        <f t="shared" si="543"/>
        <v>-323.86600521710335</v>
      </c>
      <c r="AT89" s="72">
        <f t="shared" si="472"/>
        <v>-1.1396930519325676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7.2380000000000004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0.13800000000000001</v>
      </c>
      <c r="II89" s="734" cm="1">
        <f t="array" ref="II89">IFERROR(ROUND(VALUE(IF($IH89&lt;1,$IH89+LARGE((IF($M$9:$M$150="",0,$M$9:$M$150)-MOD(IF($M$9:$M$150="",0,$M$9:$M$150),1)),1),$IH89)),4),"")</f>
        <v>7.1379999999999999</v>
      </c>
      <c r="IJ89" s="533">
        <f t="shared" si="542"/>
        <v>1613</v>
      </c>
      <c r="IK89" s="533">
        <f t="shared" si="517"/>
        <v>1313</v>
      </c>
      <c r="IL89" s="727">
        <f t="shared" si="647"/>
        <v>11.267998373102301</v>
      </c>
      <c r="IM89" s="759">
        <v>9.1518603162766294E-3</v>
      </c>
      <c r="IN89" s="5">
        <f t="shared" si="648"/>
        <v>0.66</v>
      </c>
      <c r="IO89" s="771">
        <v>330</v>
      </c>
      <c r="IP89" s="9">
        <f t="shared" si="649"/>
        <v>-4.9576149521666943</v>
      </c>
      <c r="IQ89" s="5">
        <f t="shared" si="650"/>
        <v>-1.3754041482189114</v>
      </c>
      <c r="IR89" s="5">
        <f t="shared" si="518"/>
        <v>0.314</v>
      </c>
      <c r="IS89" s="5">
        <f t="shared" si="651"/>
        <v>0.28103569373689136</v>
      </c>
      <c r="IT89" s="727">
        <f t="shared" si="652"/>
        <v>71.857114792193499</v>
      </c>
      <c r="IU89" s="9">
        <f t="shared" si="653"/>
        <v>-4.9998220473582213</v>
      </c>
      <c r="IV89" s="5">
        <f t="shared" si="654"/>
        <v>-1.3646000000000005</v>
      </c>
      <c r="IW89" s="5">
        <f t="shared" si="519"/>
        <v>0.26600000000000001</v>
      </c>
      <c r="IX89" s="5">
        <f t="shared" si="655"/>
        <v>0.22749318820787101</v>
      </c>
      <c r="IY89" s="762">
        <f t="shared" si="656"/>
        <v>68.875284379614286</v>
      </c>
    </row>
    <row r="90" spans="1:259" ht="15" customHeight="1" x14ac:dyDescent="0.25">
      <c r="A90" s="79"/>
      <c r="B90" s="707">
        <v>-2.9944693637353494</v>
      </c>
      <c r="C90" s="708">
        <v>4.1004270775899352</v>
      </c>
      <c r="D90" s="709">
        <v>-2.1441118062078814</v>
      </c>
      <c r="E90" s="710">
        <v>-0.58919907995881871</v>
      </c>
      <c r="F90" s="708">
        <v>0.80680962686627467</v>
      </c>
      <c r="G90" s="711">
        <v>4.3619607650510164E-2</v>
      </c>
      <c r="H90" s="710">
        <v>0.25700000000000001</v>
      </c>
      <c r="I90" s="708">
        <v>0.41499999999999992</v>
      </c>
      <c r="J90" s="570">
        <v>7.2450000000000001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CPS-32193r1</v>
      </c>
      <c r="L90" s="320"/>
      <c r="M90" s="168">
        <f t="shared" si="464"/>
        <v>7.2450000000000001</v>
      </c>
      <c r="N90" s="632">
        <f t="shared" si="465"/>
        <v>-2.9944693637353494</v>
      </c>
      <c r="O90" s="629">
        <f t="shared" si="466"/>
        <v>4.1004270775899352</v>
      </c>
      <c r="P90" s="633">
        <f t="shared" si="467"/>
        <v>-2.1441118062078814</v>
      </c>
      <c r="Q90" s="585">
        <f t="shared" si="520"/>
        <v>126.13999478203036</v>
      </c>
      <c r="R90" s="629">
        <f t="shared" si="79"/>
        <v>5.0774352766906174</v>
      </c>
      <c r="S90" s="634">
        <f t="shared" si="80"/>
        <v>-2.1441118062078814</v>
      </c>
      <c r="T90" s="635">
        <f t="shared" si="81"/>
        <v>4.1004270775899352</v>
      </c>
      <c r="U90" s="629">
        <f t="shared" si="82"/>
        <v>2.9944693637353503</v>
      </c>
      <c r="V90" s="636">
        <f t="shared" si="114"/>
        <v>-2.1441118062078814</v>
      </c>
      <c r="W90" s="585">
        <f t="shared" si="645"/>
        <v>36.139994782030357</v>
      </c>
      <c r="X90" s="629">
        <f t="shared" si="83"/>
        <v>5.0774352766906174</v>
      </c>
      <c r="Y90" s="630">
        <f t="shared" si="644"/>
        <v>-2.1441118062078814</v>
      </c>
      <c r="Z90" s="632">
        <f t="shared" si="468"/>
        <v>0.58919907995881871</v>
      </c>
      <c r="AA90" s="629">
        <f t="shared" si="469"/>
        <v>-0.80680962686627467</v>
      </c>
      <c r="AB90" s="629">
        <f t="shared" si="470"/>
        <v>-4.3619607650510164E-2</v>
      </c>
      <c r="AC90" s="636">
        <f t="shared" si="84"/>
        <v>1</v>
      </c>
      <c r="AD90" s="637">
        <f t="shared" si="115"/>
        <v>0.58919907995881871</v>
      </c>
      <c r="AE90" s="629">
        <f t="shared" si="85"/>
        <v>-0.80680962686627467</v>
      </c>
      <c r="AF90" s="633">
        <f t="shared" si="86"/>
        <v>-4.3619607650510164E-2</v>
      </c>
      <c r="AG90" s="602">
        <f t="shared" si="87"/>
        <v>-86.905355898328764</v>
      </c>
      <c r="AH90" s="603">
        <f t="shared" si="88"/>
        <v>53.899806935708163</v>
      </c>
      <c r="AI90" s="585">
        <f t="shared" si="89"/>
        <v>-87.499987366564937</v>
      </c>
      <c r="AJ90" s="586">
        <f t="shared" si="90"/>
        <v>36.140007788800432</v>
      </c>
      <c r="AK90" s="635">
        <f t="shared" si="211"/>
        <v>2.2679489658505858E-7</v>
      </c>
      <c r="AL90" s="629">
        <f t="shared" si="91"/>
        <v>-0.99904821196394944</v>
      </c>
      <c r="AM90" s="634">
        <f t="shared" si="92"/>
        <v>-4.3619607650510164E-2</v>
      </c>
      <c r="AN90" s="581">
        <f t="shared" si="93"/>
        <v>-87.499987366564881</v>
      </c>
      <c r="AO90" s="582">
        <f t="shared" si="461"/>
        <v>0</v>
      </c>
      <c r="AP90" s="585">
        <f t="shared" si="95"/>
        <v>-89.999986993229925</v>
      </c>
      <c r="AQ90" s="586">
        <f t="shared" si="471"/>
        <v>0.44898257570132982</v>
      </c>
      <c r="AS90" s="52">
        <f t="shared" si="543"/>
        <v>-323.86000521796961</v>
      </c>
      <c r="AT90" s="72">
        <f t="shared" si="472"/>
        <v>-1.9192090248065137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>Gage</v>
      </c>
      <c r="IG90" s="847">
        <f t="shared" si="643"/>
        <v>7.2450000000000001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0.14499999999999999</v>
      </c>
      <c r="II90" s="734" cm="1">
        <f t="array" ref="II90">IFERROR(ROUND(VALUE(IF($IH90&lt;1,$IH90+LARGE((IF($M$9:$M$150="",0,$M$9:$M$150)-MOD(IF($M$9:$M$150="",0,$M$9:$M$150),1)),1),$IH90)),4),"")</f>
        <v>7.1449999999999996</v>
      </c>
      <c r="IJ90" s="533">
        <f t="shared" si="542"/>
        <v>1613</v>
      </c>
      <c r="IK90" s="533" t="str">
        <f t="shared" si="517"/>
        <v>CPS-32193r1</v>
      </c>
      <c r="IL90" s="727">
        <f t="shared" si="647"/>
        <v>11.064998402411874</v>
      </c>
      <c r="IM90" s="759">
        <v>8.4313016175793505E-4</v>
      </c>
      <c r="IN90" s="5">
        <f t="shared" si="648"/>
        <v>0</v>
      </c>
      <c r="IO90" s="771">
        <v>0</v>
      </c>
      <c r="IP90" s="9">
        <f t="shared" si="649"/>
        <v>-5.0638152724668606</v>
      </c>
      <c r="IQ90" s="5">
        <f t="shared" si="650"/>
        <v>-2.1293064219881686</v>
      </c>
      <c r="IR90" s="5">
        <f t="shared" si="518"/>
        <v>0.314</v>
      </c>
      <c r="IS90" s="5">
        <f t="shared" si="651"/>
        <v>0.27193198865724594</v>
      </c>
      <c r="IT90" s="727">
        <f t="shared" si="652"/>
        <v>87.499987366564824</v>
      </c>
      <c r="IU90" s="9">
        <f t="shared" si="653"/>
        <v>-5.0774352766906174</v>
      </c>
      <c r="IV90" s="5">
        <f t="shared" si="654"/>
        <v>-2.1441118062078814</v>
      </c>
      <c r="IW90" s="5">
        <f t="shared" si="519"/>
        <v>0.25700000000000001</v>
      </c>
      <c r="IX90" s="5">
        <f t="shared" si="655"/>
        <v>0.25700000000000001</v>
      </c>
      <c r="IY90" s="762">
        <f t="shared" si="656"/>
        <v>87.499987366564881</v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5.9391157902228854E-2</v>
      </c>
      <c r="G154" s="170">
        <f t="shared" si="929"/>
        <v>-0.33682404369014229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0.96126170705176617</v>
      </c>
      <c r="F155" s="170">
        <f t="shared" si="929"/>
        <v>4.7863910964055859E-2</v>
      </c>
      <c r="G155" s="170">
        <f t="shared" si="929"/>
        <v>-0.27144976806611826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0.96126170705176617</v>
      </c>
      <c r="F156" s="170">
        <f t="shared" si="929"/>
        <v>4.7863910964055845E-2</v>
      </c>
      <c r="G156" s="170">
        <f t="shared" si="929"/>
        <v>-0.27144976806611826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0.96126170705176617</v>
      </c>
      <c r="F157" s="170">
        <f t="shared" si="929"/>
        <v>4.7863910964055845E-2</v>
      </c>
      <c r="G157" s="170">
        <f t="shared" si="929"/>
        <v>-0.27144976806611826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0.9607166887825388</v>
      </c>
      <c r="F158" s="170">
        <f t="shared" si="929"/>
        <v>-3.0355421838620153E-2</v>
      </c>
      <c r="G158" s="170">
        <f t="shared" si="929"/>
        <v>-0.27586589542695189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0.95012220999541663</v>
      </c>
      <c r="F159" s="170">
        <f t="shared" si="929"/>
        <v>-0.17711571941180435</v>
      </c>
      <c r="G159" s="170">
        <f t="shared" si="929"/>
        <v>-0.25670568363529556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0.92835339212635748</v>
      </c>
      <c r="F160" s="170">
        <f t="shared" si="929"/>
        <v>-0.31046553471182187</v>
      </c>
      <c r="G160" s="170">
        <f t="shared" si="929"/>
        <v>-0.20437986956544435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0.88379212283308373</v>
      </c>
      <c r="F161" s="170">
        <f t="shared" si="929"/>
        <v>-0.44384374587428937</v>
      </c>
      <c r="G161" s="170">
        <f t="shared" si="929"/>
        <v>-0.14803449890640644</v>
      </c>
      <c r="H161" s="139"/>
      <c r="I161" s="86"/>
      <c r="J161" s="79">
        <f t="shared" si="930"/>
        <v>1.137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0.84063712384253764</v>
      </c>
      <c r="F162" s="170">
        <f t="shared" si="929"/>
        <v>-0.54115945764572748</v>
      </c>
      <c r="G162" s="170">
        <f t="shared" si="929"/>
        <v>-2.180980096947762E-2</v>
      </c>
      <c r="H162" s="139"/>
      <c r="I162" s="86"/>
      <c r="J162" s="79">
        <f t="shared" si="930"/>
        <v>1.1439999999999999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0.80617198059958917</v>
      </c>
      <c r="F163" s="170">
        <f t="shared" si="929"/>
        <v>-0.42496063772105008</v>
      </c>
      <c r="G163" s="170">
        <f t="shared" si="929"/>
        <v>-0.41169794034444002</v>
      </c>
      <c r="H163" s="139"/>
      <c r="I163" s="86"/>
      <c r="J163" s="79">
        <f t="shared" si="930"/>
        <v>1.2230000000000001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0.75290944058662967</v>
      </c>
      <c r="F164" s="170">
        <f t="shared" si="929"/>
        <v>-0.56469709515092248</v>
      </c>
      <c r="G164" s="170">
        <f t="shared" si="929"/>
        <v>-0.33800083580316542</v>
      </c>
      <c r="H164" s="139"/>
      <c r="I164" s="86"/>
      <c r="J164" s="79">
        <f t="shared" si="930"/>
        <v>1.23</v>
      </c>
    </row>
    <row r="165" spans="5:16" x14ac:dyDescent="0.25">
      <c r="E165" s="170">
        <f t="shared" si="929"/>
        <v>0.7170264411359536</v>
      </c>
      <c r="F165" s="170">
        <f t="shared" si="929"/>
        <v>-0.66506210301363533</v>
      </c>
      <c r="G165" s="170">
        <f t="shared" si="929"/>
        <v>-0.20872345782635407</v>
      </c>
      <c r="H165" s="139"/>
      <c r="I165" s="86"/>
      <c r="J165" s="79">
        <f t="shared" si="930"/>
        <v>1.2370000000000001</v>
      </c>
    </row>
    <row r="166" spans="5:16" x14ac:dyDescent="0.25">
      <c r="E166" s="170">
        <f t="shared" si="929"/>
        <v>-0.23932204086736789</v>
      </c>
      <c r="F166" s="170">
        <f t="shared" si="929"/>
        <v>-0.96995994277263509</v>
      </c>
      <c r="G166" s="170">
        <f t="shared" si="929"/>
        <v>-4.3619607650510255E-2</v>
      </c>
      <c r="H166" s="139"/>
      <c r="I166" s="86"/>
      <c r="J166" s="79">
        <f t="shared" si="930"/>
        <v>1.244</v>
      </c>
    </row>
    <row r="167" spans="5:16" x14ac:dyDescent="0.25">
      <c r="E167" s="170">
        <f t="shared" si="929"/>
        <v>0.53097266947358213</v>
      </c>
      <c r="F167" s="170">
        <f t="shared" si="929"/>
        <v>-0.80106218708913268</v>
      </c>
      <c r="G167" s="170">
        <f t="shared" si="929"/>
        <v>-0.27634651560689838</v>
      </c>
      <c r="H167" s="139"/>
      <c r="I167" s="86"/>
      <c r="J167" s="79">
        <f t="shared" si="930"/>
        <v>2.1150000000000002</v>
      </c>
    </row>
    <row r="168" spans="5:16" x14ac:dyDescent="0.25">
      <c r="E168" s="170">
        <f t="shared" si="929"/>
        <v>0.40166479823671408</v>
      </c>
      <c r="F168" s="170">
        <f t="shared" si="929"/>
        <v>-0.87657113001942422</v>
      </c>
      <c r="G168" s="170">
        <f t="shared" si="929"/>
        <v>-0.26511967839813338</v>
      </c>
      <c r="H168" s="139"/>
      <c r="I168" s="86"/>
      <c r="J168" s="79">
        <f t="shared" si="930"/>
        <v>2.1219999999999999</v>
      </c>
    </row>
    <row r="169" spans="5:16" x14ac:dyDescent="0.25">
      <c r="E169" s="170">
        <f t="shared" si="929"/>
        <v>0.2752504533770021</v>
      </c>
      <c r="F169" s="170">
        <f t="shared" si="929"/>
        <v>-0.93617441460074302</v>
      </c>
      <c r="G169" s="170">
        <f t="shared" si="929"/>
        <v>-0.2186656199833687</v>
      </c>
      <c r="H169" s="139"/>
      <c r="I169" s="86"/>
      <c r="J169" s="79">
        <f t="shared" si="930"/>
        <v>2.129</v>
      </c>
    </row>
    <row r="170" spans="5:16" x14ac:dyDescent="0.25">
      <c r="E170" s="170">
        <f t="shared" si="929"/>
        <v>0.14824413760600119</v>
      </c>
      <c r="F170" s="170">
        <f t="shared" si="929"/>
        <v>-0.9765717979441324</v>
      </c>
      <c r="G170" s="170">
        <f t="shared" si="929"/>
        <v>-0.15598461182314649</v>
      </c>
      <c r="H170" s="139"/>
      <c r="I170" s="86"/>
      <c r="J170" s="79">
        <f t="shared" si="930"/>
        <v>2.1360000000000001</v>
      </c>
    </row>
    <row r="171" spans="5:16" x14ac:dyDescent="0.25">
      <c r="E171" s="170">
        <f t="shared" si="929"/>
        <v>3.1831854622156423E-3</v>
      </c>
      <c r="F171" s="170">
        <f t="shared" si="929"/>
        <v>-0.99700015108748552</v>
      </c>
      <c r="G171" s="170">
        <f t="shared" si="929"/>
        <v>-7.7334119648730409E-2</v>
      </c>
      <c r="H171" s="139"/>
      <c r="I171" s="86"/>
      <c r="J171" s="79">
        <f t="shared" si="930"/>
        <v>2.1429999999999998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2.1436025210516876E-2</v>
      </c>
      <c r="F172" s="170">
        <f t="shared" si="929"/>
        <v>-0.99953230533327231</v>
      </c>
      <c r="G172" s="170">
        <f t="shared" si="929"/>
        <v>-2.1809800969476923E-2</v>
      </c>
      <c r="H172" s="139"/>
      <c r="I172" s="86"/>
      <c r="J172" s="79">
        <f t="shared" si="930"/>
        <v>2.1440000000000001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0.11889140744156645</v>
      </c>
      <c r="F173" s="170">
        <f t="shared" si="929"/>
        <v>-0.89881566066240037</v>
      </c>
      <c r="G173" s="170">
        <f t="shared" si="929"/>
        <v>-0.42189482265675671</v>
      </c>
      <c r="H173" s="139"/>
      <c r="I173" s="86"/>
      <c r="J173" s="79">
        <f t="shared" si="930"/>
        <v>2.222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-3.0223132429472891E-2</v>
      </c>
      <c r="F174" s="170">
        <f t="shared" si="933"/>
        <v>-0.93408019623320604</v>
      </c>
      <c r="G174" s="170">
        <f t="shared" si="933"/>
        <v>-0.35578188440544012</v>
      </c>
      <c r="H174" s="139"/>
      <c r="I174" s="86"/>
      <c r="J174" s="79">
        <f t="shared" si="930"/>
        <v>2.2290000000000001</v>
      </c>
    </row>
    <row r="175" spans="5:16" x14ac:dyDescent="0.25">
      <c r="E175" s="170">
        <f t="shared" si="933"/>
        <v>-0.1402135941761477</v>
      </c>
      <c r="F175" s="170">
        <f t="shared" si="933"/>
        <v>-0.96292721367979528</v>
      </c>
      <c r="G175" s="170">
        <f t="shared" si="933"/>
        <v>-0.23045895331505911</v>
      </c>
      <c r="H175" s="139"/>
      <c r="I175" s="86"/>
      <c r="J175" s="79">
        <f t="shared" si="930"/>
        <v>2.2360000000000002</v>
      </c>
    </row>
    <row r="176" spans="5:16" x14ac:dyDescent="0.25">
      <c r="E176" s="170">
        <f t="shared" si="933"/>
        <v>-0.83726784906397267</v>
      </c>
      <c r="F176" s="170">
        <f t="shared" si="933"/>
        <v>-0.30705904060988243</v>
      </c>
      <c r="G176" s="170">
        <f t="shared" si="933"/>
        <v>-0.45243485111508308</v>
      </c>
      <c r="H176" s="139"/>
      <c r="I176" s="86"/>
      <c r="J176" s="79">
        <f t="shared" si="930"/>
        <v>2.2429999999999999</v>
      </c>
    </row>
    <row r="177" spans="5:10" x14ac:dyDescent="0.25">
      <c r="E177" s="170">
        <f t="shared" si="933"/>
        <v>-0.9379606868449536</v>
      </c>
      <c r="F177" s="170">
        <f t="shared" si="933"/>
        <v>-0.34398703429309446</v>
      </c>
      <c r="G177" s="170">
        <f t="shared" si="933"/>
        <v>-4.3619607650509748E-2</v>
      </c>
      <c r="H177" s="139"/>
      <c r="I177" s="86"/>
      <c r="J177" s="79">
        <f t="shared" si="930"/>
        <v>2.25</v>
      </c>
    </row>
    <row r="178" spans="5:10" x14ac:dyDescent="0.25">
      <c r="E178" s="170">
        <f t="shared" si="933"/>
        <v>-0.21895049083273904</v>
      </c>
      <c r="F178" s="170">
        <f t="shared" si="933"/>
        <v>-0.93721700047585221</v>
      </c>
      <c r="G178" s="170">
        <f t="shared" si="933"/>
        <v>-0.27144976806611826</v>
      </c>
      <c r="H178" s="139"/>
      <c r="I178" s="86"/>
      <c r="J178" s="79">
        <f t="shared" si="930"/>
        <v>3.1030000000000002</v>
      </c>
    </row>
    <row r="179" spans="5:10" x14ac:dyDescent="0.25">
      <c r="E179" s="170">
        <f t="shared" si="933"/>
        <v>-0.2189504908327391</v>
      </c>
      <c r="F179" s="170">
        <f t="shared" si="933"/>
        <v>-0.9372170004758521</v>
      </c>
      <c r="G179" s="170">
        <f t="shared" si="933"/>
        <v>-0.27144976806611826</v>
      </c>
      <c r="H179" s="139"/>
      <c r="I179" s="86"/>
      <c r="J179" s="79">
        <f t="shared" si="930"/>
        <v>3.1059999999999999</v>
      </c>
    </row>
    <row r="180" spans="5:10" x14ac:dyDescent="0.25">
      <c r="E180" s="170">
        <f t="shared" si="933"/>
        <v>-0.21895049083273888</v>
      </c>
      <c r="F180" s="170">
        <f t="shared" si="933"/>
        <v>-0.9372170004758521</v>
      </c>
      <c r="G180" s="170">
        <f t="shared" si="933"/>
        <v>-0.27144976806611826</v>
      </c>
      <c r="H180" s="139"/>
      <c r="I180" s="86"/>
      <c r="J180" s="79">
        <f t="shared" si="930"/>
        <v>3.109</v>
      </c>
    </row>
    <row r="181" spans="5:10" x14ac:dyDescent="0.25">
      <c r="E181" s="170">
        <f t="shared" si="933"/>
        <v>-0.25073051945668745</v>
      </c>
      <c r="F181" s="170">
        <f t="shared" si="933"/>
        <v>-0.92804291967208563</v>
      </c>
      <c r="G181" s="170">
        <f t="shared" si="933"/>
        <v>-0.27544608521358682</v>
      </c>
      <c r="H181" s="139"/>
      <c r="I181" s="86"/>
      <c r="J181" s="79">
        <f t="shared" si="930"/>
        <v>3.1139999999999999</v>
      </c>
    </row>
    <row r="182" spans="5:10" x14ac:dyDescent="0.25">
      <c r="E182" s="170">
        <f t="shared" si="933"/>
        <v>-0.39389986624652251</v>
      </c>
      <c r="F182" s="170">
        <f t="shared" si="933"/>
        <v>-0.87782078725011348</v>
      </c>
      <c r="G182" s="170">
        <f t="shared" si="933"/>
        <v>-0.27253176116291966</v>
      </c>
      <c r="H182" s="139"/>
      <c r="I182" s="86"/>
      <c r="J182" s="79">
        <f t="shared" si="930"/>
        <v>3.121</v>
      </c>
    </row>
    <row r="183" spans="5:10" x14ac:dyDescent="0.25">
      <c r="E183" s="170">
        <f t="shared" si="933"/>
        <v>-0.52551366253210463</v>
      </c>
      <c r="F183" s="170">
        <f t="shared" si="933"/>
        <v>-0.81856882536763109</v>
      </c>
      <c r="G183" s="170">
        <f t="shared" si="933"/>
        <v>-0.23190616341173431</v>
      </c>
      <c r="H183" s="139"/>
      <c r="I183" s="86"/>
      <c r="J183" s="79">
        <f t="shared" si="930"/>
        <v>3.1280000000000001</v>
      </c>
    </row>
    <row r="184" spans="5:10" x14ac:dyDescent="0.25">
      <c r="E184" s="170">
        <f t="shared" si="933"/>
        <v>-0.63308556896145451</v>
      </c>
      <c r="F184" s="170">
        <f t="shared" si="933"/>
        <v>-0.75637754524069534</v>
      </c>
      <c r="G184" s="170">
        <f t="shared" si="933"/>
        <v>-0.16460762870660517</v>
      </c>
      <c r="H184" s="139"/>
      <c r="I184" s="86"/>
      <c r="J184" s="79">
        <f t="shared" si="930"/>
        <v>3.1349999999999998</v>
      </c>
    </row>
    <row r="185" spans="5:10" x14ac:dyDescent="0.25">
      <c r="E185" s="170">
        <f t="shared" si="933"/>
        <v>-0.74820818866262473</v>
      </c>
      <c r="F185" s="170">
        <f t="shared" si="933"/>
        <v>-0.65706746690894657</v>
      </c>
      <c r="G185" s="170">
        <f t="shared" si="933"/>
        <v>-9.1906748109453679E-2</v>
      </c>
      <c r="H185" s="139"/>
      <c r="I185" s="86"/>
      <c r="J185" s="79">
        <f t="shared" si="930"/>
        <v>3.1419999999999999</v>
      </c>
    </row>
    <row r="186" spans="5:10" x14ac:dyDescent="0.25">
      <c r="E186" s="170">
        <f t="shared" si="933"/>
        <v>-0.75190727379166922</v>
      </c>
      <c r="F186" s="170">
        <f t="shared" si="933"/>
        <v>-0.65890802408291527</v>
      </c>
      <c r="G186" s="170">
        <f t="shared" si="933"/>
        <v>-2.1809800969478838E-2</v>
      </c>
      <c r="H186" s="139"/>
      <c r="I186" s="86"/>
      <c r="J186" s="79">
        <f t="shared" si="930"/>
        <v>3.149</v>
      </c>
    </row>
    <row r="187" spans="5:10" x14ac:dyDescent="0.25">
      <c r="E187" s="170">
        <f t="shared" si="933"/>
        <v>-0.5932654484328993</v>
      </c>
      <c r="F187" s="170">
        <f t="shared" si="933"/>
        <v>-0.68002757605321895</v>
      </c>
      <c r="G187" s="170">
        <f t="shared" si="933"/>
        <v>-0.43081156379894742</v>
      </c>
      <c r="H187" s="139"/>
      <c r="I187" s="86"/>
      <c r="J187" s="79">
        <f t="shared" si="930"/>
        <v>3.2210000000000001</v>
      </c>
    </row>
    <row r="188" spans="5:10" x14ac:dyDescent="0.25">
      <c r="E188" s="170">
        <f t="shared" si="933"/>
        <v>-0.71933828686874224</v>
      </c>
      <c r="F188" s="170">
        <f t="shared" si="933"/>
        <v>-0.58656000612969228</v>
      </c>
      <c r="G188" s="170">
        <f t="shared" si="933"/>
        <v>-0.37215559683266658</v>
      </c>
      <c r="H188" s="139"/>
      <c r="I188" s="86"/>
      <c r="J188" s="79">
        <f t="shared" si="930"/>
        <v>3.2280000000000002</v>
      </c>
    </row>
    <row r="189" spans="5:10" x14ac:dyDescent="0.25">
      <c r="E189" s="170">
        <f t="shared" si="933"/>
        <v>-0.81621483602654243</v>
      </c>
      <c r="F189" s="170">
        <f t="shared" si="933"/>
        <v>-0.51906982551281677</v>
      </c>
      <c r="G189" s="170">
        <f t="shared" si="933"/>
        <v>-0.25369244705402355</v>
      </c>
      <c r="H189" s="139"/>
      <c r="I189" s="86"/>
      <c r="J189" s="79">
        <f t="shared" si="930"/>
        <v>3.2349999999999999</v>
      </c>
    </row>
    <row r="190" spans="5:10" x14ac:dyDescent="0.25">
      <c r="E190" s="170">
        <f t="shared" si="933"/>
        <v>-0.75629710702572717</v>
      </c>
      <c r="F190" s="170">
        <f t="shared" si="933"/>
        <v>0.43418817494860196</v>
      </c>
      <c r="G190" s="170">
        <f t="shared" si="933"/>
        <v>-0.48938258514103067</v>
      </c>
      <c r="H190" s="139"/>
      <c r="I190" s="86"/>
      <c r="J190" s="79">
        <f t="shared" si="930"/>
        <v>3.242</v>
      </c>
    </row>
    <row r="191" spans="5:10" x14ac:dyDescent="0.25">
      <c r="E191" s="170">
        <f t="shared" si="933"/>
        <v>-0.86641892667432774</v>
      </c>
      <c r="F191" s="170">
        <f t="shared" si="933"/>
        <v>0.49740885931889256</v>
      </c>
      <c r="G191" s="170">
        <f t="shared" si="933"/>
        <v>-4.3619607650509609E-2</v>
      </c>
      <c r="H191" s="139"/>
      <c r="I191" s="86"/>
      <c r="J191" s="79">
        <f t="shared" si="930"/>
        <v>3.2490000000000001</v>
      </c>
    </row>
    <row r="192" spans="5:10" x14ac:dyDescent="0.25">
      <c r="E192" s="170">
        <f t="shared" si="933"/>
        <v>-0.91305661184597076</v>
      </c>
      <c r="F192" s="170">
        <f t="shared" si="933"/>
        <v>-0.30320773926228312</v>
      </c>
      <c r="G192" s="170">
        <f t="shared" si="933"/>
        <v>-0.27275023449267982</v>
      </c>
      <c r="H192" s="139"/>
      <c r="I192" s="86"/>
      <c r="J192" s="79">
        <f t="shared" si="930"/>
        <v>4.1130000000000004</v>
      </c>
    </row>
    <row r="193" spans="5:10" x14ac:dyDescent="0.25">
      <c r="E193" s="170">
        <f t="shared" si="933"/>
        <v>-0.95250404327014748</v>
      </c>
      <c r="F193" s="170">
        <f t="shared" si="933"/>
        <v>-0.15488657084361671</v>
      </c>
      <c r="G193" s="170">
        <f t="shared" si="933"/>
        <v>-0.26219496129088077</v>
      </c>
      <c r="H193" s="139"/>
      <c r="I193" s="86"/>
      <c r="J193" s="79">
        <f t="shared" si="930"/>
        <v>4.12</v>
      </c>
    </row>
    <row r="194" spans="5:10" x14ac:dyDescent="0.25">
      <c r="E194" s="170">
        <f t="shared" ref="E194:G213" si="934">E49*-1</f>
        <v>-0.97308601870427736</v>
      </c>
      <c r="F194" s="170">
        <f t="shared" si="934"/>
        <v>-1.3196485350569359E-2</v>
      </c>
      <c r="G194" s="170">
        <f t="shared" si="934"/>
        <v>-0.23006401930039178</v>
      </c>
      <c r="H194" s="139"/>
      <c r="I194" s="86"/>
      <c r="J194" s="79">
        <f t="shared" si="930"/>
        <v>4.1269999999999998</v>
      </c>
    </row>
    <row r="195" spans="5:10" x14ac:dyDescent="0.25">
      <c r="E195" s="170">
        <f t="shared" si="934"/>
        <v>-0.97905784951778185</v>
      </c>
      <c r="F195" s="170">
        <f t="shared" si="934"/>
        <v>0.1155577158259353</v>
      </c>
      <c r="G195" s="170">
        <f t="shared" si="934"/>
        <v>-0.16760710489328562</v>
      </c>
      <c r="H195" s="139"/>
      <c r="I195" s="86"/>
      <c r="J195" s="79">
        <f t="shared" si="930"/>
        <v>4.1340000000000003</v>
      </c>
    </row>
    <row r="196" spans="5:10" x14ac:dyDescent="0.25">
      <c r="E196" s="170">
        <f t="shared" si="934"/>
        <v>-0.95795018831160506</v>
      </c>
      <c r="F196" s="170">
        <f t="shared" si="934"/>
        <v>0.26684898672144325</v>
      </c>
      <c r="G196" s="170">
        <f t="shared" si="934"/>
        <v>-0.10546589495898395</v>
      </c>
      <c r="H196" s="139"/>
      <c r="I196" s="86"/>
      <c r="J196" s="79">
        <f t="shared" si="930"/>
        <v>4.141</v>
      </c>
    </row>
    <row r="197" spans="5:10" x14ac:dyDescent="0.25">
      <c r="E197" s="170">
        <f t="shared" si="934"/>
        <v>-0.95723588682906346</v>
      </c>
      <c r="F197" s="170">
        <f t="shared" si="934"/>
        <v>0.28848533679937416</v>
      </c>
      <c r="G197" s="170">
        <f t="shared" si="934"/>
        <v>-2.180980096947744E-2</v>
      </c>
      <c r="H197" s="139"/>
      <c r="I197" s="86"/>
      <c r="J197" s="79">
        <f t="shared" si="930"/>
        <v>4.1479999999999997</v>
      </c>
    </row>
    <row r="198" spans="5:10" x14ac:dyDescent="0.25">
      <c r="E198" s="170">
        <f t="shared" si="934"/>
        <v>-0.89841004457794305</v>
      </c>
      <c r="F198" s="170">
        <f t="shared" si="934"/>
        <v>0.11889882857790898</v>
      </c>
      <c r="G198" s="170">
        <f t="shared" si="934"/>
        <v>-0.4227557928216471</v>
      </c>
      <c r="H198" s="139"/>
      <c r="I198" s="86"/>
      <c r="J198" s="79">
        <f t="shared" si="930"/>
        <v>4.22</v>
      </c>
    </row>
    <row r="199" spans="5:10" x14ac:dyDescent="0.25">
      <c r="E199" s="170">
        <f t="shared" si="934"/>
        <v>-0.88621985466516451</v>
      </c>
      <c r="F199" s="170">
        <f t="shared" si="934"/>
        <v>0.27278798488475486</v>
      </c>
      <c r="G199" s="170">
        <f t="shared" si="934"/>
        <v>-0.37443435272390474</v>
      </c>
      <c r="H199" s="139"/>
      <c r="I199" s="86"/>
      <c r="J199" s="79">
        <f t="shared" si="930"/>
        <v>4.2270000000000003</v>
      </c>
    </row>
    <row r="200" spans="5:10" x14ac:dyDescent="0.25">
      <c r="E200" s="170">
        <f t="shared" si="934"/>
        <v>-0.87220478050579897</v>
      </c>
      <c r="F200" s="170">
        <f t="shared" si="934"/>
        <v>0.40639113441348851</v>
      </c>
      <c r="G200" s="170">
        <f t="shared" si="934"/>
        <v>-0.27222245817152763</v>
      </c>
      <c r="H200" s="139"/>
      <c r="I200" s="86"/>
      <c r="J200" s="79">
        <f t="shared" si="930"/>
        <v>4.234</v>
      </c>
    </row>
    <row r="201" spans="5:10" x14ac:dyDescent="0.25">
      <c r="E201" s="170">
        <f t="shared" si="934"/>
        <v>-3.1755440518509245E-2</v>
      </c>
      <c r="F201" s="170">
        <f t="shared" si="934"/>
        <v>0.85021820996392283</v>
      </c>
      <c r="G201" s="170">
        <f t="shared" si="934"/>
        <v>-0.52547177606720075</v>
      </c>
      <c r="H201" s="139"/>
      <c r="I201" s="86"/>
      <c r="J201" s="79">
        <f t="shared" si="930"/>
        <v>4.2409999999999997</v>
      </c>
    </row>
    <row r="202" spans="5:10" x14ac:dyDescent="0.25">
      <c r="E202" s="170">
        <f t="shared" si="934"/>
        <v>-3.730558990002221E-2</v>
      </c>
      <c r="F202" s="170">
        <f t="shared" si="934"/>
        <v>0.99835145254095115</v>
      </c>
      <c r="G202" s="170">
        <f t="shared" si="934"/>
        <v>-4.3619607650509588E-2</v>
      </c>
      <c r="H202" s="139"/>
      <c r="I202" s="86"/>
      <c r="J202" s="79">
        <f t="shared" si="930"/>
        <v>4.2480000000000002</v>
      </c>
    </row>
    <row r="203" spans="5:10" x14ac:dyDescent="0.25">
      <c r="E203" s="170">
        <f t="shared" si="934"/>
        <v>-0.78368702299893667</v>
      </c>
      <c r="F203" s="170">
        <f t="shared" si="934"/>
        <v>0.54601951653851133</v>
      </c>
      <c r="G203" s="170">
        <f t="shared" si="934"/>
        <v>-0.29613736262436524</v>
      </c>
      <c r="H203" s="139"/>
      <c r="I203" s="86"/>
      <c r="J203" s="79">
        <f t="shared" si="930"/>
        <v>5.1020000000000003</v>
      </c>
    </row>
    <row r="204" spans="5:10" x14ac:dyDescent="0.25">
      <c r="E204" s="170">
        <f t="shared" si="934"/>
        <v>-0.78695232995335951</v>
      </c>
      <c r="F204" s="170">
        <f t="shared" si="934"/>
        <v>0.55409480578492132</v>
      </c>
      <c r="G204" s="170">
        <f t="shared" si="934"/>
        <v>-0.2714497680661182</v>
      </c>
      <c r="H204" s="139"/>
      <c r="I204" s="86"/>
      <c r="J204" s="79">
        <f t="shared" si="930"/>
        <v>5.1050000000000004</v>
      </c>
    </row>
    <row r="205" spans="5:10" x14ac:dyDescent="0.25">
      <c r="E205" s="170">
        <f t="shared" si="934"/>
        <v>-0.78695232995335951</v>
      </c>
      <c r="F205" s="170">
        <f t="shared" si="934"/>
        <v>0.55409480578492132</v>
      </c>
      <c r="G205" s="170">
        <f t="shared" si="934"/>
        <v>-0.2714497680661182</v>
      </c>
      <c r="H205" s="139"/>
      <c r="I205" s="86"/>
      <c r="J205" s="79">
        <f t="shared" si="930"/>
        <v>5.1079999999999997</v>
      </c>
    </row>
    <row r="206" spans="5:10" x14ac:dyDescent="0.25">
      <c r="E206" s="170">
        <f t="shared" si="934"/>
        <v>-0.7869523299533594</v>
      </c>
      <c r="F206" s="170">
        <f t="shared" si="934"/>
        <v>0.55409480578492143</v>
      </c>
      <c r="G206" s="170">
        <f t="shared" si="934"/>
        <v>-0.2714497680661182</v>
      </c>
      <c r="H206" s="139"/>
      <c r="I206" s="86"/>
      <c r="J206" s="79">
        <f t="shared" si="930"/>
        <v>5.1120000000000001</v>
      </c>
    </row>
    <row r="207" spans="5:10" x14ac:dyDescent="0.25">
      <c r="E207" s="170">
        <f t="shared" si="934"/>
        <v>-0.69859855033071028</v>
      </c>
      <c r="F207" s="170">
        <f t="shared" si="934"/>
        <v>0.66367600700096097</v>
      </c>
      <c r="G207" s="170">
        <f t="shared" si="934"/>
        <v>-0.26738403693393992</v>
      </c>
      <c r="H207" s="139"/>
      <c r="I207" s="86"/>
      <c r="J207" s="79">
        <f t="shared" si="930"/>
        <v>5.1189999999999998</v>
      </c>
    </row>
    <row r="208" spans="5:10" x14ac:dyDescent="0.25">
      <c r="E208" s="170">
        <f t="shared" si="934"/>
        <v>-0.59463833472179373</v>
      </c>
      <c r="F208" s="170">
        <f t="shared" si="934"/>
        <v>0.76667989339141718</v>
      </c>
      <c r="G208" s="170">
        <f t="shared" si="934"/>
        <v>-0.24208922311539841</v>
      </c>
      <c r="H208" s="139"/>
      <c r="I208" s="86"/>
      <c r="J208" s="79">
        <f t="shared" si="930"/>
        <v>5.1260000000000003</v>
      </c>
    </row>
    <row r="209" spans="5:10" x14ac:dyDescent="0.25">
      <c r="E209" s="170">
        <f t="shared" si="934"/>
        <v>-0.49047319191473693</v>
      </c>
      <c r="F209" s="170">
        <f t="shared" si="934"/>
        <v>0.85172298741538022</v>
      </c>
      <c r="G209" s="170">
        <f t="shared" si="934"/>
        <v>-0.18440173730523765</v>
      </c>
      <c r="H209" s="139"/>
      <c r="I209" s="86"/>
      <c r="J209" s="79">
        <f t="shared" si="930"/>
        <v>5.133</v>
      </c>
    </row>
    <row r="210" spans="5:10" x14ac:dyDescent="0.25">
      <c r="E210" s="170">
        <f t="shared" si="934"/>
        <v>-0.36579170469987043</v>
      </c>
      <c r="F210" s="170">
        <f t="shared" si="934"/>
        <v>0.92319103640176126</v>
      </c>
      <c r="G210" s="170">
        <f t="shared" si="934"/>
        <v>-0.1179607522873803</v>
      </c>
      <c r="H210" s="139"/>
      <c r="I210" s="86"/>
      <c r="J210" s="79">
        <f t="shared" si="930"/>
        <v>5.14</v>
      </c>
    </row>
    <row r="211" spans="5:10" x14ac:dyDescent="0.25">
      <c r="E211" s="170">
        <f t="shared" si="934"/>
        <v>-0.32925972559948508</v>
      </c>
      <c r="F211" s="170">
        <f t="shared" si="934"/>
        <v>0.94398748173893898</v>
      </c>
      <c r="G211" s="170">
        <f t="shared" si="934"/>
        <v>-2.1809800969477697E-2</v>
      </c>
      <c r="H211" s="139"/>
      <c r="I211" s="86"/>
      <c r="J211" s="79">
        <f t="shared" si="930"/>
        <v>5.1470000000000002</v>
      </c>
    </row>
    <row r="212" spans="5:10" x14ac:dyDescent="0.25">
      <c r="E212" s="170">
        <f t="shared" si="934"/>
        <v>-0.44917543716728753</v>
      </c>
      <c r="F212" s="170">
        <f t="shared" si="934"/>
        <v>0.78376414476304235</v>
      </c>
      <c r="G212" s="170">
        <f t="shared" si="934"/>
        <v>-0.42889997905039939</v>
      </c>
      <c r="H212" s="139"/>
      <c r="I212" s="86"/>
      <c r="J212" s="79">
        <f t="shared" si="930"/>
        <v>5.2190000000000003</v>
      </c>
    </row>
    <row r="213" spans="5:10" x14ac:dyDescent="0.25">
      <c r="E213" s="170">
        <f t="shared" si="934"/>
        <v>-0.31602813983975286</v>
      </c>
      <c r="F213" s="170">
        <f t="shared" si="934"/>
        <v>0.86521728053012581</v>
      </c>
      <c r="G213" s="170">
        <f t="shared" si="934"/>
        <v>-0.38926247224909732</v>
      </c>
      <c r="H213" s="139"/>
      <c r="I213" s="86"/>
      <c r="J213" s="79">
        <f t="shared" si="930"/>
        <v>5.226</v>
      </c>
    </row>
    <row r="214" spans="5:10" x14ac:dyDescent="0.25">
      <c r="E214" s="170">
        <f t="shared" ref="E214:G233" si="935">E69*-1</f>
        <v>-0.19527044784556058</v>
      </c>
      <c r="F214" s="170">
        <f t="shared" si="935"/>
        <v>0.9359947673801543</v>
      </c>
      <c r="G214" s="170">
        <f t="shared" si="935"/>
        <v>-0.2928877731062961</v>
      </c>
      <c r="H214" s="139"/>
      <c r="I214" s="86"/>
      <c r="J214" s="79">
        <f t="shared" si="930"/>
        <v>5.2329999999999997</v>
      </c>
    </row>
    <row r="215" spans="5:10" x14ac:dyDescent="0.25">
      <c r="E215" s="170">
        <f t="shared" si="935"/>
        <v>0.65128170180994061</v>
      </c>
      <c r="F215" s="170">
        <f t="shared" si="935"/>
        <v>0.51138628439925493</v>
      </c>
      <c r="G215" s="170">
        <f t="shared" si="935"/>
        <v>-0.56063911120779997</v>
      </c>
      <c r="H215" s="139"/>
      <c r="I215" s="86"/>
      <c r="J215" s="79">
        <f t="shared" si="930"/>
        <v>5.24</v>
      </c>
    </row>
    <row r="216" spans="5:10" x14ac:dyDescent="0.25">
      <c r="E216" s="170">
        <f t="shared" si="935"/>
        <v>0.78575553193415359</v>
      </c>
      <c r="F216" s="170">
        <f t="shared" si="935"/>
        <v>0.61699722354585274</v>
      </c>
      <c r="G216" s="170">
        <f t="shared" si="935"/>
        <v>-4.3619607650509845E-2</v>
      </c>
      <c r="H216" s="139"/>
      <c r="I216" s="86"/>
      <c r="J216" s="79">
        <f t="shared" si="930"/>
        <v>5.2469999999999999</v>
      </c>
    </row>
    <row r="217" spans="5:10" x14ac:dyDescent="0.25">
      <c r="E217" s="170">
        <f t="shared" si="935"/>
        <v>-2.8473557410512208E-2</v>
      </c>
      <c r="F217" s="170">
        <f t="shared" si="935"/>
        <v>0.96206559927707636</v>
      </c>
      <c r="G217" s="170">
        <f t="shared" si="935"/>
        <v>-0.27132828679669657</v>
      </c>
      <c r="H217" s="139"/>
      <c r="I217" s="86"/>
      <c r="J217" s="79">
        <f t="shared" si="930"/>
        <v>6.1180000000000003</v>
      </c>
    </row>
    <row r="218" spans="5:10" x14ac:dyDescent="0.25">
      <c r="E218" s="170">
        <f t="shared" si="935"/>
        <v>0.11423373798362671</v>
      </c>
      <c r="F218" s="170">
        <f t="shared" si="935"/>
        <v>0.96465423669282191</v>
      </c>
      <c r="G218" s="170">
        <f t="shared" si="935"/>
        <v>-0.23747180198263015</v>
      </c>
      <c r="H218" s="139"/>
      <c r="I218" s="86"/>
      <c r="J218" s="79">
        <f t="shared" si="930"/>
        <v>6.125</v>
      </c>
    </row>
    <row r="219" spans="5:10" x14ac:dyDescent="0.25">
      <c r="E219" s="170">
        <f t="shared" si="935"/>
        <v>0.24916090569996971</v>
      </c>
      <c r="F219" s="170">
        <f t="shared" si="935"/>
        <v>0.95016694788411749</v>
      </c>
      <c r="G219" s="170">
        <f t="shared" si="935"/>
        <v>-0.18735424793516642</v>
      </c>
      <c r="H219" s="139"/>
      <c r="I219" s="86"/>
      <c r="J219" s="79">
        <f t="shared" ref="J219:J282" si="936">J74</f>
        <v>6.1319999999999997</v>
      </c>
    </row>
    <row r="220" spans="5:10" x14ac:dyDescent="0.25">
      <c r="E220" s="170">
        <f t="shared" si="935"/>
        <v>0.39039509897959651</v>
      </c>
      <c r="F220" s="170">
        <f t="shared" si="935"/>
        <v>0.91162350254078928</v>
      </c>
      <c r="G220" s="170">
        <f t="shared" si="935"/>
        <v>-0.12858559914692852</v>
      </c>
      <c r="H220" s="139"/>
      <c r="I220" s="86"/>
      <c r="J220" s="79">
        <f t="shared" si="936"/>
        <v>6.1390000000000002</v>
      </c>
    </row>
    <row r="221" spans="5:10" x14ac:dyDescent="0.25">
      <c r="E221" s="170">
        <f t="shared" si="935"/>
        <v>0.45032463872587436</v>
      </c>
      <c r="F221" s="170">
        <f t="shared" si="935"/>
        <v>0.89259848327122016</v>
      </c>
      <c r="G221" s="170">
        <f t="shared" si="935"/>
        <v>-2.1809800969477659E-2</v>
      </c>
      <c r="H221" s="139"/>
      <c r="I221" s="86"/>
      <c r="J221" s="79">
        <f t="shared" si="936"/>
        <v>6.1459999999999999</v>
      </c>
    </row>
    <row r="222" spans="5:10" x14ac:dyDescent="0.25">
      <c r="E222" s="170">
        <f t="shared" si="935"/>
        <v>0.37898085745459648</v>
      </c>
      <c r="F222" s="170">
        <f t="shared" si="935"/>
        <v>0.84005282082839861</v>
      </c>
      <c r="G222" s="170">
        <f t="shared" si="935"/>
        <v>-0.38818135954889599</v>
      </c>
      <c r="H222" s="139"/>
      <c r="I222" s="86"/>
      <c r="J222" s="79">
        <f t="shared" si="936"/>
        <v>6.2249999999999996</v>
      </c>
    </row>
    <row r="223" spans="5:10" x14ac:dyDescent="0.25">
      <c r="E223" s="170">
        <f t="shared" si="935"/>
        <v>0.52307237119145589</v>
      </c>
      <c r="F223" s="170">
        <f t="shared" si="935"/>
        <v>0.79300481058686034</v>
      </c>
      <c r="G223" s="170">
        <f t="shared" si="935"/>
        <v>-0.31231180714511197</v>
      </c>
      <c r="H223" s="139"/>
      <c r="I223" s="86"/>
      <c r="J223" s="79">
        <f t="shared" si="936"/>
        <v>6.2320000000000002</v>
      </c>
    </row>
    <row r="224" spans="5:10" x14ac:dyDescent="0.25">
      <c r="E224" s="170">
        <f t="shared" si="935"/>
        <v>0.79732612639303801</v>
      </c>
      <c r="F224" s="170">
        <f t="shared" si="935"/>
        <v>-0.11011332419218718</v>
      </c>
      <c r="G224" s="170">
        <f t="shared" si="935"/>
        <v>-0.59341899531984943</v>
      </c>
      <c r="H224" s="139"/>
      <c r="I224" s="86"/>
      <c r="J224" s="79">
        <f t="shared" si="936"/>
        <v>6.2389999999999999</v>
      </c>
    </row>
    <row r="225" spans="5:10" x14ac:dyDescent="0.25">
      <c r="E225" s="170">
        <f t="shared" si="935"/>
        <v>0.98966233282446592</v>
      </c>
      <c r="F225" s="170">
        <f t="shared" si="935"/>
        <v>-0.13662282685134156</v>
      </c>
      <c r="G225" s="170">
        <f t="shared" si="935"/>
        <v>-4.3619607650510442E-2</v>
      </c>
      <c r="H225" s="139"/>
      <c r="I225" s="86"/>
      <c r="J225" s="79">
        <f t="shared" si="936"/>
        <v>6.2460000000000004</v>
      </c>
    </row>
    <row r="226" spans="5:10" x14ac:dyDescent="0.25">
      <c r="E226" s="170">
        <f t="shared" si="935"/>
        <v>0.58122132859594644</v>
      </c>
      <c r="F226" s="170">
        <f t="shared" si="935"/>
        <v>0.76713544475666984</v>
      </c>
      <c r="G226" s="170">
        <f t="shared" si="935"/>
        <v>-0.27144976806611826</v>
      </c>
      <c r="H226" s="139"/>
      <c r="I226" s="86"/>
      <c r="J226" s="79">
        <f t="shared" si="936"/>
        <v>7.1109999999999998</v>
      </c>
    </row>
    <row r="227" spans="5:10" x14ac:dyDescent="0.25">
      <c r="E227" s="170">
        <f t="shared" si="935"/>
        <v>0.65626561011287809</v>
      </c>
      <c r="F227" s="170">
        <f t="shared" si="935"/>
        <v>0.70292282562877606</v>
      </c>
      <c r="G227" s="170">
        <f t="shared" si="935"/>
        <v>-0.27425344153397446</v>
      </c>
      <c r="H227" s="139"/>
      <c r="I227" s="86"/>
      <c r="J227" s="79">
        <f t="shared" si="936"/>
        <v>7.117</v>
      </c>
    </row>
    <row r="228" spans="5:10" x14ac:dyDescent="0.25">
      <c r="E228" s="170">
        <f t="shared" si="935"/>
        <v>0.7599776049180933</v>
      </c>
      <c r="F228" s="170">
        <f t="shared" si="935"/>
        <v>0.60091018767893212</v>
      </c>
      <c r="G228" s="170">
        <f t="shared" si="935"/>
        <v>-0.24767112541963582</v>
      </c>
      <c r="H228" s="139"/>
      <c r="I228" s="86"/>
      <c r="J228" s="79">
        <f t="shared" si="936"/>
        <v>7.1239999999999997</v>
      </c>
    </row>
    <row r="229" spans="5:10" x14ac:dyDescent="0.25">
      <c r="E229" s="170">
        <f t="shared" si="935"/>
        <v>0.84730691162917904</v>
      </c>
      <c r="F229" s="170">
        <f t="shared" si="935"/>
        <v>0.49077617839833659</v>
      </c>
      <c r="G229" s="170">
        <f t="shared" si="935"/>
        <v>-0.20300182319907067</v>
      </c>
      <c r="H229" s="139"/>
      <c r="I229" s="86"/>
      <c r="J229" s="79">
        <f t="shared" si="936"/>
        <v>7.1310000000000002</v>
      </c>
    </row>
    <row r="230" spans="5:10" x14ac:dyDescent="0.25">
      <c r="E230" s="170">
        <f t="shared" si="935"/>
        <v>0.91780136187546746</v>
      </c>
      <c r="F230" s="170">
        <f t="shared" si="935"/>
        <v>0.37195526929267608</v>
      </c>
      <c r="G230" s="170">
        <f t="shared" si="935"/>
        <v>-0.13888822046865676</v>
      </c>
      <c r="H230" s="139"/>
      <c r="I230" s="86"/>
      <c r="J230" s="79">
        <f t="shared" si="936"/>
        <v>7.1379999999999999</v>
      </c>
    </row>
    <row r="231" spans="5:10" x14ac:dyDescent="0.25">
      <c r="E231" s="170">
        <f t="shared" si="935"/>
        <v>0.95490336012891963</v>
      </c>
      <c r="F231" s="170">
        <f t="shared" si="935"/>
        <v>0.29611468284462134</v>
      </c>
      <c r="G231" s="170">
        <f t="shared" si="935"/>
        <v>-2.1809800969478307E-2</v>
      </c>
      <c r="H231" s="139"/>
      <c r="I231" s="86"/>
      <c r="J231" s="79">
        <f t="shared" si="936"/>
        <v>7.1449999999999996</v>
      </c>
    </row>
    <row r="232" spans="5:10" x14ac:dyDescent="0.25">
      <c r="E232" s="170">
        <f t="shared" si="935"/>
        <v>0.85558522509262036</v>
      </c>
      <c r="F232" s="170">
        <f t="shared" si="935"/>
        <v>0.32774689450485217</v>
      </c>
      <c r="G232" s="170">
        <f t="shared" si="935"/>
        <v>-0.40069426717340917</v>
      </c>
      <c r="H232" s="139"/>
      <c r="I232" s="86"/>
      <c r="J232" s="79">
        <f t="shared" si="936"/>
        <v>7.2240000000000002</v>
      </c>
    </row>
    <row r="233" spans="5:10" x14ac:dyDescent="0.25">
      <c r="E233" s="170">
        <f t="shared" si="935"/>
        <v>0.92439898332420911</v>
      </c>
      <c r="F233" s="170">
        <f t="shared" si="935"/>
        <v>0.18801109270523589</v>
      </c>
      <c r="G233" s="170">
        <f t="shared" si="935"/>
        <v>-0.33187098193266595</v>
      </c>
      <c r="H233" s="139"/>
      <c r="I233" s="86"/>
      <c r="J233" s="79">
        <f t="shared" si="936"/>
        <v>7.2309999999999999</v>
      </c>
    </row>
    <row r="234" spans="5:10" x14ac:dyDescent="0.25">
      <c r="E234" s="170">
        <f t="shared" ref="E234:G253" si="937">E89*-1</f>
        <v>0.9757791492822564</v>
      </c>
      <c r="F234" s="170">
        <f t="shared" si="937"/>
        <v>0.11389163193022152</v>
      </c>
      <c r="G234" s="170">
        <f t="shared" si="937"/>
        <v>-0.18677191438293692</v>
      </c>
      <c r="H234" s="139"/>
      <c r="I234" s="86"/>
      <c r="J234" s="79">
        <f t="shared" si="936"/>
        <v>7.2380000000000004</v>
      </c>
    </row>
    <row r="235" spans="5:10" x14ac:dyDescent="0.25">
      <c r="E235" s="170">
        <f t="shared" si="937"/>
        <v>0.58919907995881871</v>
      </c>
      <c r="F235" s="170">
        <f t="shared" si="937"/>
        <v>-0.80680962686627467</v>
      </c>
      <c r="G235" s="170">
        <f t="shared" si="937"/>
        <v>-4.3619607650510164E-2</v>
      </c>
      <c r="H235" s="139"/>
      <c r="I235" s="86"/>
      <c r="J235" s="79">
        <f t="shared" si="936"/>
        <v>7.2450000000000001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ABE5CEC-FF4D-4FBB-A962-E998318067F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E76297E4-EC8C-496E-9EDC-0DD21A3CCCDA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10.625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1.137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1.1439999999999999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1.2230000000000001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1.23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1.2370000000000001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1.244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2.1150000000000002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2.1219999999999999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2.1360000000000001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2.1429999999999998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2.1440000000000001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2.222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2.2290000000000001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2.2360000000000002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2.2429999999999999</v>
      </c>
      <c r="N186" s="869" t="str">
        <f>Assy.Model!K31</f>
        <v>CPS-32193r1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2.25</v>
      </c>
      <c r="N187" s="869" t="str">
        <f>Assy.Model!K32</f>
        <v>CPS-32193r1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3.1030000000000002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3.1059999999999999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3.109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3.1139999999999999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3.1280000000000001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3.1349999999999998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3.1419999999999999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3.149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3.2210000000000001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3.2280000000000002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3.2349999999999999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3.242</v>
      </c>
      <c r="N200" s="869" t="str">
        <f>Assy.Model!K45</f>
        <v>CPS-32193r1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3.2490000000000001</v>
      </c>
      <c r="N201" s="869" t="str">
        <f>Assy.Model!K46</f>
        <v>CPS-32193r1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4.1130000000000004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4.12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4.1269999999999998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4.1340000000000003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4.141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4.1479999999999997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4.22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4.2270000000000003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4.234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4.2409999999999997</v>
      </c>
      <c r="N211" s="869" t="str">
        <f>Assy.Model!K56</f>
        <v>CPS-32193r1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4.2480000000000002</v>
      </c>
      <c r="N212" s="869" t="str">
        <f>Assy.Model!K57</f>
        <v>CPS-32193r1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5.1020000000000003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5.1050000000000004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5.1079999999999997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5.1120000000000001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5.1189999999999998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5.1260000000000003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5.133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5.14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5.1470000000000002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5.2190000000000003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5.226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5.2329999999999997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5.24</v>
      </c>
      <c r="N225" s="869" t="str">
        <f>Assy.Model!K70</f>
        <v>CPS-32193r1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5.2469999999999999</v>
      </c>
      <c r="N226" s="869" t="str">
        <f>Assy.Model!K71</f>
        <v>CPS-32193r1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6.1180000000000003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6.125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6.1319999999999997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6.1390000000000002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6.1459999999999999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6.2249999999999996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6.2320000000000002</v>
      </c>
      <c r="N233" s="869">
        <f>Assy.Model!K78</f>
        <v>1313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6.2389999999999999</v>
      </c>
      <c r="N234" s="869" t="str">
        <f>Assy.Model!K79</f>
        <v>CPS-32193r1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6.2460000000000004</v>
      </c>
      <c r="N235" s="869" t="str">
        <f>Assy.Model!K80</f>
        <v>CPS-32193r1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7.1109999999999998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7.117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7.1239999999999997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7.1310000000000002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7.1379999999999999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7.1449999999999996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7.2240000000000002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7.2309999999999999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7.2380000000000004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7.2450000000000001</v>
      </c>
      <c r="N245" s="869" t="str">
        <f>Assy.Model!K90</f>
        <v>CPS-32193r1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2023-03-29T12:15:15Z</dcterms:modified>
</cp:coreProperties>
</file>