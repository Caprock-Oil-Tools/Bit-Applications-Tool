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5\"/>
    </mc:Choice>
  </mc:AlternateContent>
  <xr:revisionPtr revIDLastSave="0" documentId="8_{1698D233-CBB1-48C1-9C7D-DDA96398CFB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73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2" i="1"/>
  <c r="IF12" i="1"/>
  <c r="IF133" i="1"/>
  <c r="IF149" i="1"/>
  <c r="IF104" i="1"/>
  <c r="IF130" i="1"/>
  <c r="IF90" i="1"/>
  <c r="IF132" i="1"/>
  <c r="IF119" i="1"/>
  <c r="IF110" i="1"/>
  <c r="IF125" i="1"/>
  <c r="IF72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75" i="1" l="1"/>
  <c r="IV69" i="1"/>
  <c r="IV81" i="1"/>
  <c r="IQ88" i="1"/>
  <c r="IQ77" i="1"/>
  <c r="IV71" i="1"/>
  <c r="IQ37" i="1"/>
  <c r="IV62" i="1"/>
  <c r="IQ69" i="1"/>
  <c r="IV36" i="1"/>
  <c r="IQ47" i="1"/>
  <c r="IQ1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R91" i="1" s="1"/>
  <c r="X91" i="1" s="1"/>
  <c r="A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7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Q99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6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20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93" i="1" l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P47" i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6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7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5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20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5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H22" i="1" l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IL88" i="1" s="1"/>
  <c r="W82" i="1"/>
  <c r="W79" i="1"/>
  <c r="IL86" i="1" s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IL71" i="1" s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IL38" i="1" s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1" i="1" l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6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IT32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IT20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S94" i="1" l="1"/>
  <c r="IX85" i="1"/>
  <c r="IY49" i="1"/>
  <c r="IT56" i="1"/>
  <c r="IT76" i="1"/>
  <c r="IY70" i="1"/>
  <c r="IT77" i="1"/>
  <c r="IY71" i="1"/>
  <c r="IF71" i="1" s="1"/>
  <c r="IY62" i="1"/>
  <c r="IT69" i="1"/>
  <c r="IY64" i="1"/>
  <c r="IT71" i="1"/>
  <c r="IS77" i="1"/>
  <c r="IX71" i="1"/>
  <c r="IY63" i="1"/>
  <c r="IT70" i="1"/>
  <c r="IT75" i="1"/>
  <c r="IY69" i="1"/>
  <c r="IX49" i="1"/>
  <c r="IS56" i="1"/>
  <c r="IY77" i="1"/>
  <c r="IT84" i="1"/>
  <c r="IY81" i="1"/>
  <c r="IT88" i="1"/>
  <c r="IT97" i="1"/>
  <c r="IY88" i="1"/>
  <c r="IY61" i="1"/>
  <c r="IT68" i="1"/>
  <c r="IF83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F49" i="1"/>
  <c r="IT48" i="1"/>
  <c r="IT50" i="1"/>
  <c r="IY41" i="1"/>
  <c r="IT55" i="1"/>
  <c r="IT64" i="1"/>
  <c r="IY55" i="1"/>
  <c r="IX41" i="1"/>
  <c r="IS64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IS98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X83" i="1" s="1"/>
  <c r="AO81" i="1"/>
  <c r="AP81" i="1"/>
  <c r="AO82" i="1"/>
  <c r="AP82" i="1"/>
  <c r="AO79" i="1"/>
  <c r="IS86" i="1" s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AP74" i="1"/>
  <c r="AO74" i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IS20" i="1" s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3" i="1" l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F69" i="1"/>
  <c r="IS93" i="1"/>
  <c r="IX84" i="1"/>
  <c r="IT60" i="1"/>
  <c r="IY57" i="1"/>
  <c r="IF57" i="1" s="1"/>
  <c r="IS75" i="1"/>
  <c r="IX69" i="1"/>
  <c r="IS97" i="1"/>
  <c r="IX88" i="1"/>
  <c r="IF88" i="1" s="1"/>
  <c r="IF84" i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<sst xmlns="http://schemas.openxmlformats.org/spreadsheetml/2006/main" count="736" uniqueCount="393">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</sst>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O1" sqref="O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67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1.112's θ about Z Axis</v>
      </c>
      <c r="U5" s="1136"/>
      <c r="V5" s="1137"/>
      <c r="W5" s="1136" t="str">
        <f>CONCATENATE("Relative to ",M8,"'s θ about Z Axis")</f>
        <v>Relative to 1.112's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1.112's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89.988000001732587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-0.20410061556745657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0.34640104474555095</v>
      </c>
      <c r="D9" s="704">
        <v>-0.77660234223266422</v>
      </c>
      <c r="E9" s="705">
        <v>-0.90630781366099955</v>
      </c>
      <c r="F9" s="703">
        <v>-0.10938162473876806</v>
      </c>
      <c r="G9" s="706">
        <v>0.40821784266066358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0.34640104474555095</v>
      </c>
      <c r="P9" s="625">
        <f t="shared" ref="P9:P40" si="4">IF(M9="","",D9)</f>
        <v>-0.77660234223266422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0.34640104474555095</v>
      </c>
      <c r="S9" s="626">
        <f>IF(M9="","",P9)</f>
        <v>-0.77660234223266422</v>
      </c>
      <c r="T9" s="627">
        <f>IF(M9="","",X9*COS(RADIANS(W9)))</f>
        <v>0.34640103714812809</v>
      </c>
      <c r="U9" s="624">
        <f>IF(M9="","",X9*SIN(RADIANS(W9)))</f>
        <v>7.2550054152555353E-5</v>
      </c>
      <c r="V9" s="628">
        <f>IF(M9="","",Y9)</f>
        <v>-0.77660234223266422</v>
      </c>
      <c r="W9" s="583">
        <f t="shared" ref="W9:W14" si="5">IF(M9="","",IF(Q9-$Q$8&lt;0,360+Q9-$Q$8,Q9-$Q$8))</f>
        <v>1.1999998267413048E-2</v>
      </c>
      <c r="X9" s="629">
        <f>IF(M9="","",R9)</f>
        <v>0.34640104474555095</v>
      </c>
      <c r="Y9" s="630">
        <f>IF(M9="","",S9)</f>
        <v>-0.77660234223266422</v>
      </c>
      <c r="Z9" s="623">
        <f t="shared" ref="Z9:Z40" si="6">IF(M9="","",-E9)</f>
        <v>0.90630781366099955</v>
      </c>
      <c r="AA9" s="624">
        <f t="shared" ref="AA9:AA40" si="7">IF(M9="","",-F9)</f>
        <v>0.10938162473876806</v>
      </c>
      <c r="AB9" s="624">
        <f t="shared" ref="AB9:AB40" si="8">IF(M9="","",-G9)</f>
        <v>-0.40821784266066358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0.10938162473876806</v>
      </c>
      <c r="AF9" s="625">
        <f>IF(M9="","",AB9*(1/SQRT(Z9^2+AA9^2+AB9^2)))</f>
        <v>-0.40821784266066358</v>
      </c>
      <c r="AG9" s="599">
        <f>IF(M9="","",DEGREES(ATAN2(-AF9,AE9)))</f>
        <v>14.999997834268264</v>
      </c>
      <c r="AH9" s="600">
        <f>IF(M9="","",DEGREES(ACOS(AD9)))</f>
        <v>24.999996390447112</v>
      </c>
      <c r="AI9" s="583">
        <f>IF(M9="","",DEGREES(-ACOS(-AF9)))</f>
        <v>-65.907068471181375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0.10938162473876806</v>
      </c>
      <c r="AM9" s="626">
        <f>IF(M9="","",AF9)</f>
        <v>-0.40821784266066358</v>
      </c>
      <c r="AN9" s="581">
        <f>IF(M9="","",DEGREES(ATAN2(-AM9,AL9)))</f>
        <v>14.999997834268264</v>
      </c>
      <c r="AO9" s="582">
        <f>IF(ROUND(IF(M9="",0,DEGREES(ACOS(AK9))),4)=90,0,IF(M9="","",DEGREES(ACOS(AK9))))</f>
        <v>24.999996390447112</v>
      </c>
      <c r="AP9" s="781">
        <f>IF(M9="","",DEGREES(ATAN2(AK9,AL9)))</f>
        <v>6.8817016489617533</v>
      </c>
      <c r="AQ9" s="584">
        <f t="shared" ref="AQ9:AQ40" si="9">IF(M9="","",DEGREES(ATAN(($AS$5*SIN(RADIANS(90)))/(($X9*2*PI())-($AS$5*COS(RADIANS(90)))))))</f>
        <v>6.5524610603735836</v>
      </c>
      <c r="AS9" s="51">
        <f>IF(M9="","",W9)</f>
        <v>1.1999998267413048E-2</v>
      </c>
      <c r="AT9" s="71">
        <f t="shared" ref="AT9:AT40" si="10">IF(M9="","",Y9+(((AS9-$AS$9)*$AS$6)*-1))</f>
        <v>-0.77660234223266422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1.0586031927472295</v>
      </c>
      <c r="D10" s="709">
        <v>-0.58580176677812856</v>
      </c>
      <c r="E10" s="710">
        <v>-0.92718387533450819</v>
      </c>
      <c r="F10" s="708">
        <v>-9.6955293815894641E-2</v>
      </c>
      <c r="G10" s="711">
        <v>0.36184213729298681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1.0586031927472295</v>
      </c>
      <c r="P10" s="633">
        <f t="shared" si="4"/>
        <v>-0.58580176677812856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1.0586031927472295</v>
      </c>
      <c r="S10" s="634">
        <f t="shared" ref="S10:S105" si="80">IF(M10="","",P10)</f>
        <v>-0.58580176677812856</v>
      </c>
      <c r="T10" s="635">
        <f t="shared" ref="T10:T105" si="81">IF(M10="","",X10*COS(RADIANS(W10)))</f>
        <v>1.0586031695294702</v>
      </c>
      <c r="U10" s="629">
        <f t="shared" ref="U10:U105" si="82">IF(M10="","",X10*SIN(RADIANS(W10)))</f>
        <v>2.2171330059438541E-4</v>
      </c>
      <c r="V10" s="636">
        <f>IF(M10="","",Y10)</f>
        <v>-0.58580176677812856</v>
      </c>
      <c r="W10" s="585">
        <f t="shared" si="5"/>
        <v>1.1999998267413048E-2</v>
      </c>
      <c r="X10" s="629">
        <f t="shared" ref="X10:X105" si="83">IF(M10="","",R10)</f>
        <v>1.0586031927472295</v>
      </c>
      <c r="Y10" s="630">
        <f>IF(M10="","",S10)</f>
        <v>-0.58580176677812856</v>
      </c>
      <c r="Z10" s="632">
        <f t="shared" si="6"/>
        <v>0.92718387533450819</v>
      </c>
      <c r="AA10" s="629">
        <f t="shared" si="7"/>
        <v>9.6955293815894641E-2</v>
      </c>
      <c r="AB10" s="629">
        <f t="shared" si="8"/>
        <v>-0.36184213729298681</v>
      </c>
      <c r="AC10" s="636">
        <f t="shared" ref="AC10:AC105" si="84">IF(M10="","",SQRT(Z10^2+AA10^2+AB10^2))</f>
        <v>1</v>
      </c>
      <c r="AD10" s="637">
        <f>IF(M10="","",Z10*(1/SQRT(Z10^2+AA10^2+AB10^2)))</f>
        <v>0.92718387533450819</v>
      </c>
      <c r="AE10" s="629">
        <f t="shared" ref="AE10:AE105" si="85">IF(M10="","",AA10*(1/SQRT(Z10^2+AA10^2+AB10^2)))</f>
        <v>9.6955293815894641E-2</v>
      </c>
      <c r="AF10" s="633">
        <f t="shared" ref="AF10:AF105" si="86">IF(M10="","",AB10*(1/SQRT(Z10^2+AA10^2+AB10^2)))</f>
        <v>-0.36184213729298681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21.999996823593456</v>
      </c>
      <c r="AI10" s="585">
        <f t="shared" ref="AI10:AI105" si="89">IF(M10="","",DEGREES(-ACOS(-AF10)))</f>
        <v>-68.786628843697031</v>
      </c>
      <c r="AJ10" s="586">
        <f t="shared" ref="AJ10:AJ105" si="90">IF(M10="","",DEGREES(ATAN2(-AE10,AD10)))</f>
        <v>95.969703533182624</v>
      </c>
      <c r="AK10" s="635">
        <f>IF(M10="","",(COS(RADIANS((90-$Q$8)-W10))*AD10)+(-SIN(RADIANS((90-$Q$8)-W10))*AE10))</f>
        <v>0.92718387533450819</v>
      </c>
      <c r="AL10" s="629">
        <f t="shared" ref="AL10:AL105" si="91">IF(M10="","",(SIN(RADIANS((90-$Q$8)-W10))*AD10)+(COS(RADIANS((90-$Q$8)-W10))*AE10))</f>
        <v>9.6955293815894641E-2</v>
      </c>
      <c r="AM10" s="634">
        <f t="shared" ref="AM10:AM105" si="92">IF(M10="","",AF10)</f>
        <v>-0.36184213729298681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21.999996823593456</v>
      </c>
      <c r="AP10" s="585">
        <f t="shared" ref="AP10:AP105" si="95">IF(M10="","",DEGREES(ATAN2(AK10,AL10)))</f>
        <v>5.969703533182626</v>
      </c>
      <c r="AQ10" s="586">
        <f t="shared" si="9"/>
        <v>2.1525100468256588</v>
      </c>
      <c r="AS10" s="52">
        <f>IF($M10="","",IF(AND($W10&lt;($AS$9+180),$W10&gt;($AS$9-180)),$W10,IF($W10&gt;($AS$9+180),$W10-360,IF($W10&lt;($AS$9-180),$W10+360,"Error"))))</f>
        <v>1.1999998267413048E-2</v>
      </c>
      <c r="AT10" s="72">
        <f t="shared" si="10"/>
        <v>-0.58580176677812856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1.7709053410505087</v>
      </c>
      <c r="D11" s="709">
        <v>-0.39490119102199212</v>
      </c>
      <c r="E11" s="710">
        <v>-0.92718387533450819</v>
      </c>
      <c r="F11" s="708">
        <v>-9.6955293815894628E-2</v>
      </c>
      <c r="G11" s="711">
        <v>0.36184213729298681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1.7709053410505087</v>
      </c>
      <c r="P11" s="633">
        <f t="shared" si="4"/>
        <v>-0.39490119102199212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1.7709053410505087</v>
      </c>
      <c r="S11" s="634">
        <f t="shared" si="80"/>
        <v>-0.39490119102199212</v>
      </c>
      <c r="T11" s="635">
        <f t="shared" si="81"/>
        <v>1.7709053022102197</v>
      </c>
      <c r="U11" s="629">
        <f t="shared" si="82"/>
        <v>3.7089749104722943E-4</v>
      </c>
      <c r="V11" s="636">
        <f t="shared" ref="V11:V105" si="114">IF(M11="","",Y11)</f>
        <v>-0.39490119102199212</v>
      </c>
      <c r="W11" s="585">
        <f t="shared" si="5"/>
        <v>1.1999998267413048E-2</v>
      </c>
      <c r="X11" s="629">
        <f>IF(M11="","",R11)</f>
        <v>1.7709053410505087</v>
      </c>
      <c r="Y11" s="630">
        <f>IF(M11="","",S11)</f>
        <v>-0.39490119102199212</v>
      </c>
      <c r="Z11" s="632">
        <f t="shared" si="6"/>
        <v>0.92718387533450819</v>
      </c>
      <c r="AA11" s="629">
        <f t="shared" si="7"/>
        <v>9.6955293815894628E-2</v>
      </c>
      <c r="AB11" s="629">
        <f t="shared" si="8"/>
        <v>-0.36184213729298681</v>
      </c>
      <c r="AC11" s="636">
        <f t="shared" si="84"/>
        <v>1</v>
      </c>
      <c r="AD11" s="637">
        <f t="shared" ref="AD11:AD105" si="115">IF(M11="","",Z11*(1/SQRT(Z11^2+AA11^2+AB11^2)))</f>
        <v>0.92718387533450819</v>
      </c>
      <c r="AE11" s="629">
        <f t="shared" si="85"/>
        <v>9.6955293815894628E-2</v>
      </c>
      <c r="AF11" s="633">
        <f t="shared" si="86"/>
        <v>-0.36184213729298681</v>
      </c>
      <c r="AG11" s="602">
        <f>IF(M11="","",DEGREES(ATAN2(-AF11,AE11)))</f>
        <v>14.999997834268267</v>
      </c>
      <c r="AH11" s="603">
        <f t="shared" si="88"/>
        <v>21.999996823593456</v>
      </c>
      <c r="AI11" s="585">
        <f t="shared" si="89"/>
        <v>-68.786628843697031</v>
      </c>
      <c r="AJ11" s="586">
        <f t="shared" si="90"/>
        <v>95.969703533182624</v>
      </c>
      <c r="AK11" s="635">
        <f>IF(M11="","",(COS(RADIANS((90-$Q$8)-W11))*AD11)+(-SIN(RADIANS((90-$Q$8)-W11))*AE11))</f>
        <v>0.92718387533450819</v>
      </c>
      <c r="AL11" s="629">
        <f t="shared" si="91"/>
        <v>9.6955293815894628E-2</v>
      </c>
      <c r="AM11" s="634">
        <f t="shared" si="92"/>
        <v>-0.36184213729298681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21.999996823593456</v>
      </c>
      <c r="AP11" s="585">
        <f t="shared" si="95"/>
        <v>5.969703533182626</v>
      </c>
      <c r="AQ11" s="586">
        <f t="shared" si="9"/>
        <v>1.287106139566079</v>
      </c>
      <c r="AS11" s="52">
        <f t="shared" ref="AS11:AS42" si="116">IF(G11="","",IF(AND(W11&lt;(AS10+180),W11&gt;(AS10-180)),W11,IF(W11&gt;(AS10+180),W11-360,IF(W11&lt;(AS10-180),W11+360,"Error"))))</f>
        <v>1.1999998267413048E-2</v>
      </c>
      <c r="AT11" s="72">
        <f t="shared" si="10"/>
        <v>-0.39490119102199212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5.2006073748912742E-4</v>
      </c>
      <c r="C12" s="708">
        <v>2.4831074345915618</v>
      </c>
      <c r="D12" s="709">
        <v>-0.20410061556745657</v>
      </c>
      <c r="E12" s="710">
        <v>-0.92716789685091727</v>
      </c>
      <c r="F12" s="708">
        <v>-8.221477582026171E-2</v>
      </c>
      <c r="G12" s="711">
        <v>0.36551391449009291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5.2006073748912742E-4</v>
      </c>
      <c r="O12" s="629">
        <f t="shared" si="3"/>
        <v>2.4831074345915618</v>
      </c>
      <c r="P12" s="633">
        <f t="shared" si="4"/>
        <v>-0.20410061556745657</v>
      </c>
      <c r="Q12" s="585">
        <f>IF(M12="","",IF(DEGREES(ATAN2(N12,O12))&lt;0,DEGREES(ATAN2(N12,O12))+360,IF(DEGREES(ATAN2(N12,O12))&gt;360,DEGREES(ATAN2(N12,O12))-360,DEGREES(ATAN2(N12,O12)))))</f>
        <v>89.988000001732587</v>
      </c>
      <c r="R12" s="629">
        <f t="shared" si="79"/>
        <v>2.4831074890521871</v>
      </c>
      <c r="S12" s="634">
        <f t="shared" si="80"/>
        <v>-0.20410061556745657</v>
      </c>
      <c r="T12" s="635">
        <f>IF(M12="","",X12*COS(RADIANS(W12)))</f>
        <v>2.4831074890521871</v>
      </c>
      <c r="U12" s="629">
        <f t="shared" si="82"/>
        <v>0</v>
      </c>
      <c r="V12" s="636">
        <f t="shared" si="114"/>
        <v>-0.20410061556745657</v>
      </c>
      <c r="W12" s="585">
        <f>IF(M12="","",IF(Q12-$Q$8&lt;0,360+Q12-$Q$8,Q12-$Q$8))</f>
        <v>0</v>
      </c>
      <c r="X12" s="629">
        <f t="shared" si="83"/>
        <v>2.4831074890521871</v>
      </c>
      <c r="Y12" s="630">
        <f>IF(M12="","",S12)</f>
        <v>-0.20410061556745657</v>
      </c>
      <c r="Z12" s="632">
        <f t="shared" si="6"/>
        <v>0.92716789685091727</v>
      </c>
      <c r="AA12" s="629">
        <f t="shared" si="7"/>
        <v>8.221477582026171E-2</v>
      </c>
      <c r="AB12" s="629">
        <f t="shared" si="8"/>
        <v>-0.36551391449009291</v>
      </c>
      <c r="AC12" s="636">
        <f t="shared" si="84"/>
        <v>1</v>
      </c>
      <c r="AD12" s="637">
        <f t="shared" si="115"/>
        <v>0.92716789685091727</v>
      </c>
      <c r="AE12" s="629">
        <f t="shared" si="85"/>
        <v>8.221477582026171E-2</v>
      </c>
      <c r="AF12" s="633">
        <f t="shared" si="86"/>
        <v>-0.36551391449009291</v>
      </c>
      <c r="AG12" s="602">
        <f t="shared" si="87"/>
        <v>12.676525857116513</v>
      </c>
      <c r="AH12" s="603">
        <f t="shared" si="88"/>
        <v>22.00244059125286</v>
      </c>
      <c r="AI12" s="585">
        <f t="shared" si="89"/>
        <v>-68.560786703462497</v>
      </c>
      <c r="AJ12" s="586">
        <f t="shared" si="90"/>
        <v>95.067336109067654</v>
      </c>
      <c r="AK12" s="635">
        <f t="shared" ref="AK12:AK105" si="211">IF(M12="","",(COS(RADIANS((90-$Q$8)-W12))*AD12)+(-SIN(RADIANS((90-$Q$8)-W12))*AE12))</f>
        <v>0.9271506574960855</v>
      </c>
      <c r="AL12" s="629">
        <f>IF(M12="","",(SIN(RADIANS((90-$Q$8)-W12))*AD12)+(COS(RADIANS((90-$Q$8)-W12))*AE12))</f>
        <v>8.2408959577859903E-2</v>
      </c>
      <c r="AM12" s="634">
        <f t="shared" si="92"/>
        <v>-0.36551391449009291</v>
      </c>
      <c r="AN12" s="581">
        <f>IF(M12="","",DEGREES(ATAN2(-AM12,AL12)))</f>
        <v>12.705495798224728</v>
      </c>
      <c r="AO12" s="582">
        <f t="shared" si="94"/>
        <v>22.00507690875839</v>
      </c>
      <c r="AP12" s="585">
        <f t="shared" si="95"/>
        <v>5.0793361073350587</v>
      </c>
      <c r="AQ12" s="586">
        <f t="shared" si="9"/>
        <v>0.91801565458233569</v>
      </c>
      <c r="AS12" s="52">
        <f t="shared" si="116"/>
        <v>0</v>
      </c>
      <c r="AT12" s="72">
        <f>IF(M12="","",Y12+(((AS12-$AS$9)*$AS$6)*-1))</f>
        <v>-0.20409228223532641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2.9886804087107061E-2</v>
      </c>
      <c r="C13" s="708">
        <v>3.2740734696399514</v>
      </c>
      <c r="D13" s="709">
        <v>-7.9300239169521336E-2</v>
      </c>
      <c r="E13" s="710">
        <v>-0.96383133338914595</v>
      </c>
      <c r="F13" s="708">
        <v>6.5231915103088942E-2</v>
      </c>
      <c r="G13" s="711">
        <v>0.25840657505041259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20</v>
      </c>
      <c r="M13" s="168">
        <f t="shared" si="1"/>
        <v>1.119</v>
      </c>
      <c r="N13" s="632">
        <f t="shared" si="2"/>
        <v>2.9886804087107061E-2</v>
      </c>
      <c r="O13" s="629">
        <f t="shared" si="3"/>
        <v>3.2740734696399514</v>
      </c>
      <c r="P13" s="633">
        <f t="shared" si="4"/>
        <v>-7.9300239169521336E-2</v>
      </c>
      <c r="Q13" s="585">
        <f t="shared" si="113"/>
        <v>89.477000075511853</v>
      </c>
      <c r="R13" s="629">
        <f t="shared" si="79"/>
        <v>3.2742098750169837</v>
      </c>
      <c r="S13" s="634">
        <f t="shared" si="80"/>
        <v>-7.9300239169521336E-2</v>
      </c>
      <c r="T13" s="635">
        <f>IF(M13="","",X13*COS(RADIANS(W13)))</f>
        <v>3.274079657308167</v>
      </c>
      <c r="U13" s="629">
        <f t="shared" si="82"/>
        <v>-2.9201083191664982E-2</v>
      </c>
      <c r="V13" s="636">
        <f t="shared" si="114"/>
        <v>-7.9300239169521336E-2</v>
      </c>
      <c r="W13" s="585">
        <f t="shared" si="5"/>
        <v>359.48900007377927</v>
      </c>
      <c r="X13" s="629">
        <f t="shared" si="83"/>
        <v>3.2742098750169837</v>
      </c>
      <c r="Y13" s="630">
        <f>IF(M13="","",S13)</f>
        <v>-7.9300239169521336E-2</v>
      </c>
      <c r="Z13" s="632">
        <f t="shared" si="6"/>
        <v>0.96383133338914595</v>
      </c>
      <c r="AA13" s="629">
        <f t="shared" si="7"/>
        <v>-6.5231915103088942E-2</v>
      </c>
      <c r="AB13" s="629">
        <f t="shared" si="8"/>
        <v>-0.25840657505041259</v>
      </c>
      <c r="AC13" s="636">
        <f t="shared" si="84"/>
        <v>1</v>
      </c>
      <c r="AD13" s="637">
        <f>IF(M13="","",Z13*(1/SQRT(Z13^2+AA13^2+AB13^2)))</f>
        <v>0.96383133338914595</v>
      </c>
      <c r="AE13" s="629">
        <f t="shared" si="85"/>
        <v>-6.5231915103088942E-2</v>
      </c>
      <c r="AF13" s="633">
        <f t="shared" si="86"/>
        <v>-0.25840657505041259</v>
      </c>
      <c r="AG13" s="602">
        <f>IF(M13="","",DEGREES(ATAN2(-AF13,AE13)))</f>
        <v>-14.167695638531635</v>
      </c>
      <c r="AH13" s="603">
        <f t="shared" si="88"/>
        <v>15.456872854110559</v>
      </c>
      <c r="AI13" s="585">
        <f t="shared" si="89"/>
        <v>-75.024465069016102</v>
      </c>
      <c r="AJ13" s="586">
        <f t="shared" si="90"/>
        <v>86.128137466900952</v>
      </c>
      <c r="AK13" s="635">
        <f t="shared" si="211"/>
        <v>0.96438661290997296</v>
      </c>
      <c r="AL13" s="629">
        <f t="shared" si="91"/>
        <v>-5.6431399156369924E-2</v>
      </c>
      <c r="AM13" s="634">
        <f t="shared" si="92"/>
        <v>-0.25840657505041259</v>
      </c>
      <c r="AN13" s="581">
        <f t="shared" si="93"/>
        <v>-12.318975285068788</v>
      </c>
      <c r="AO13" s="582">
        <f t="shared" si="94"/>
        <v>15.3370439003732</v>
      </c>
      <c r="AP13" s="585">
        <f t="shared" si="95"/>
        <v>-3.3488626086108804</v>
      </c>
      <c r="AQ13" s="586">
        <f t="shared" si="9"/>
        <v>0.69623344541068155</v>
      </c>
      <c r="AS13" s="52">
        <f t="shared" si="116"/>
        <v>-0.51099992622073387</v>
      </c>
      <c r="AT13" s="72">
        <f t="shared" si="10"/>
        <v>-7.8937044777515675E-2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0.1043322678153653</v>
      </c>
      <c r="C14" s="708">
        <v>4.0628728817476167</v>
      </c>
      <c r="D14" s="709">
        <v>-0.20620062190107566</v>
      </c>
      <c r="E14" s="710">
        <v>-0.95742260466122997</v>
      </c>
      <c r="F14" s="708">
        <v>0.16701375894452158</v>
      </c>
      <c r="G14" s="711">
        <v>0.23547475534954376</v>
      </c>
      <c r="H14" s="710">
        <v>0.314</v>
      </c>
      <c r="I14" s="708">
        <v>0.52</v>
      </c>
      <c r="J14" s="570">
        <v>1.1259999999999999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1.1259999999999999</v>
      </c>
      <c r="N14" s="632">
        <f t="shared" si="2"/>
        <v>0.1043322678153653</v>
      </c>
      <c r="O14" s="629">
        <f t="shared" si="3"/>
        <v>4.0628728817476167</v>
      </c>
      <c r="P14" s="633">
        <f t="shared" si="4"/>
        <v>-0.20620062190107566</v>
      </c>
      <c r="Q14" s="585">
        <f t="shared" si="113"/>
        <v>88.529000212386094</v>
      </c>
      <c r="R14" s="629">
        <f t="shared" si="79"/>
        <v>4.0642122576641695</v>
      </c>
      <c r="S14" s="634">
        <f t="shared" si="80"/>
        <v>-0.20620062190107566</v>
      </c>
      <c r="T14" s="635">
        <f t="shared" si="81"/>
        <v>4.0628946439346292</v>
      </c>
      <c r="U14" s="629">
        <f t="shared" si="82"/>
        <v>-0.10348133954966608</v>
      </c>
      <c r="V14" s="636">
        <f t="shared" si="114"/>
        <v>-0.20620062190107566</v>
      </c>
      <c r="W14" s="585">
        <f t="shared" si="5"/>
        <v>358.54100021065352</v>
      </c>
      <c r="X14" s="629">
        <f t="shared" si="83"/>
        <v>4.0642122576641695</v>
      </c>
      <c r="Y14" s="630">
        <f t="shared" ref="Y14:Y75" si="223">IF(M14="","",S14)</f>
        <v>-0.20620062190107566</v>
      </c>
      <c r="Z14" s="632">
        <f t="shared" si="6"/>
        <v>0.95742260466122997</v>
      </c>
      <c r="AA14" s="629">
        <f t="shared" si="7"/>
        <v>-0.16701375894452158</v>
      </c>
      <c r="AB14" s="629">
        <f t="shared" si="8"/>
        <v>-0.23547475534954376</v>
      </c>
      <c r="AC14" s="636">
        <f t="shared" si="84"/>
        <v>1</v>
      </c>
      <c r="AD14" s="637">
        <f>IF(M14="","",Z14*(1/SQRT(Z14^2+AA14^2+AB14^2)))</f>
        <v>0.95742260466122997</v>
      </c>
      <c r="AE14" s="629">
        <f t="shared" si="85"/>
        <v>-0.16701375894452158</v>
      </c>
      <c r="AF14" s="633">
        <f t="shared" si="86"/>
        <v>-0.23547475534954376</v>
      </c>
      <c r="AG14" s="602">
        <f t="shared" si="87"/>
        <v>-35.346704321788899</v>
      </c>
      <c r="AH14" s="603">
        <f t="shared" si="88"/>
        <v>16.77954862496404</v>
      </c>
      <c r="AI14" s="585">
        <f t="shared" si="89"/>
        <v>-76.380390379583048</v>
      </c>
      <c r="AJ14" s="586">
        <f t="shared" si="90"/>
        <v>80.104833922256901</v>
      </c>
      <c r="AK14" s="635">
        <f>IF(M14="","",(COS(RADIANS((90-$Q$8)-W14))*AD14)+(-SIN(RADIANS((90-$Q$8)-W14))*AE14))</f>
        <v>0.96139448763017765</v>
      </c>
      <c r="AL14" s="629">
        <f t="shared" si="91"/>
        <v>-0.14238075272796089</v>
      </c>
      <c r="AM14" s="634">
        <f t="shared" si="92"/>
        <v>-0.23547475534954376</v>
      </c>
      <c r="AN14" s="581">
        <f t="shared" si="93"/>
        <v>-31.159423548486188</v>
      </c>
      <c r="AO14" s="582">
        <f t="shared" si="94"/>
        <v>15.972373824333127</v>
      </c>
      <c r="AP14" s="585">
        <f>IF(M14="","",DEGREES(ATAN2(AK14,AL14)))</f>
        <v>-8.4241662901291914</v>
      </c>
      <c r="AQ14" s="586">
        <f t="shared" si="9"/>
        <v>0.56090914019105231</v>
      </c>
      <c r="AS14" s="52">
        <f t="shared" si="116"/>
        <v>-1.4589997893464783</v>
      </c>
      <c r="AT14" s="72">
        <f t="shared" si="10"/>
        <v>-0.20517909427078823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0.20980797268023002</v>
      </c>
      <c r="C15" s="708">
        <v>4.7691015677708721</v>
      </c>
      <c r="D15" s="709">
        <v>-0.5762017378244414</v>
      </c>
      <c r="E15" s="710">
        <v>-0.94747351809621527</v>
      </c>
      <c r="F15" s="708">
        <v>0.25534609627798882</v>
      </c>
      <c r="G15" s="711">
        <v>0.19259362300443134</v>
      </c>
      <c r="H15" s="710">
        <v>0.314</v>
      </c>
      <c r="I15" s="708">
        <v>0.52</v>
      </c>
      <c r="J15" s="570">
        <v>1.133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>
        <f>IF($L14=$JH$22,$JH$29,IF($L14=$JI$22,$JI$29,""))</f>
        <v>0</v>
      </c>
      <c r="M15" s="168">
        <f t="shared" si="1"/>
        <v>1.133</v>
      </c>
      <c r="N15" s="632">
        <f t="shared" si="2"/>
        <v>0.20980797268023002</v>
      </c>
      <c r="O15" s="629">
        <f t="shared" si="3"/>
        <v>4.7691015677708721</v>
      </c>
      <c r="P15" s="633">
        <f t="shared" si="4"/>
        <v>-0.5762017378244414</v>
      </c>
      <c r="Q15" s="585">
        <f t="shared" si="113"/>
        <v>87.481000363698556</v>
      </c>
      <c r="R15" s="629">
        <f t="shared" si="79"/>
        <v>4.7737143975226228</v>
      </c>
      <c r="S15" s="634">
        <f t="shared" si="80"/>
        <v>-0.5762017378244414</v>
      </c>
      <c r="T15" s="635">
        <f t="shared" si="81"/>
        <v>4.7691454052451778</v>
      </c>
      <c r="U15" s="629">
        <f t="shared" si="82"/>
        <v>-0.20880912993350606</v>
      </c>
      <c r="V15" s="636">
        <f t="shared" si="114"/>
        <v>-0.5762017378244414</v>
      </c>
      <c r="W15" s="585">
        <f t="shared" ref="W15:W78" si="224">IF(M15="","",IF(Q15-$Q$8&lt;0,360+Q15-$Q$8,Q15-$Q$8))</f>
        <v>357.49300036196598</v>
      </c>
      <c r="X15" s="629">
        <f>IF(M15="","",R15)</f>
        <v>4.7737143975226228</v>
      </c>
      <c r="Y15" s="630">
        <f>IF(M15="","",S15)</f>
        <v>-0.5762017378244414</v>
      </c>
      <c r="Z15" s="632">
        <f t="shared" si="6"/>
        <v>0.94747351809621527</v>
      </c>
      <c r="AA15" s="629">
        <f t="shared" si="7"/>
        <v>-0.25534609627798882</v>
      </c>
      <c r="AB15" s="629">
        <f t="shared" si="8"/>
        <v>-0.19259362300443134</v>
      </c>
      <c r="AC15" s="636">
        <f t="shared" si="84"/>
        <v>1</v>
      </c>
      <c r="AD15" s="637">
        <f t="shared" si="115"/>
        <v>0.94747351809621527</v>
      </c>
      <c r="AE15" s="629">
        <f t="shared" si="85"/>
        <v>-0.25534609627798882</v>
      </c>
      <c r="AF15" s="633">
        <f t="shared" si="86"/>
        <v>-0.19259362300443134</v>
      </c>
      <c r="AG15" s="602">
        <f t="shared" si="87"/>
        <v>-52.974742842682261</v>
      </c>
      <c r="AH15" s="603">
        <f t="shared" si="88"/>
        <v>18.652899911783233</v>
      </c>
      <c r="AI15" s="585">
        <f t="shared" si="89"/>
        <v>-78.895816086924569</v>
      </c>
      <c r="AJ15" s="586">
        <f t="shared" si="90"/>
        <v>74.917017791514652</v>
      </c>
      <c r="AK15" s="635">
        <f t="shared" si="211"/>
        <v>0.95778060994573189</v>
      </c>
      <c r="AL15" s="629">
        <f t="shared" si="91"/>
        <v>-0.21345725471393295</v>
      </c>
      <c r="AM15" s="634">
        <f t="shared" si="92"/>
        <v>-0.19259362300443134</v>
      </c>
      <c r="AN15" s="581">
        <f>IF(M15="","",DEGREES(ATAN2(-AM15,AL15)))</f>
        <v>-47.941374553067661</v>
      </c>
      <c r="AO15" s="582">
        <f t="shared" si="94"/>
        <v>16.708349251681035</v>
      </c>
      <c r="AP15" s="585">
        <f t="shared" si="95"/>
        <v>-12.563982572183889</v>
      </c>
      <c r="AQ15" s="586">
        <f t="shared" si="9"/>
        <v>0.4775471786155866</v>
      </c>
      <c r="AS15" s="52">
        <f t="shared" si="116"/>
        <v>-2.5069996380340172</v>
      </c>
      <c r="AT15" s="72">
        <f t="shared" si="10"/>
        <v>-0.57445243252145428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1.133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0.31823372189272375</v>
      </c>
      <c r="C16" s="708">
        <v>5.3204071897816512</v>
      </c>
      <c r="D16" s="709">
        <v>-1.1514034726328735</v>
      </c>
      <c r="E16" s="710">
        <v>-0.93685327538150442</v>
      </c>
      <c r="F16" s="708">
        <v>0.32196143304214603</v>
      </c>
      <c r="G16" s="711">
        <v>0.13655319857255235</v>
      </c>
      <c r="H16" s="710">
        <v>0.314</v>
      </c>
      <c r="I16" s="708">
        <v>0.52</v>
      </c>
      <c r="J16" s="570">
        <v>1.1399999999999999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1.1399999999999999</v>
      </c>
      <c r="N16" s="632">
        <f t="shared" si="2"/>
        <v>0.31823372189272375</v>
      </c>
      <c r="O16" s="629">
        <f t="shared" si="3"/>
        <v>5.3204071897816512</v>
      </c>
      <c r="P16" s="633">
        <f t="shared" si="4"/>
        <v>-1.1514034726328735</v>
      </c>
      <c r="Q16" s="585">
        <f>IF(M16="","",IF(DEGREES(ATAN2(N16,O16))&lt;0,DEGREES(ATAN2(N16,O16))+360,IF(DEGREES(ATAN2(N16,O16))&gt;360,DEGREES(ATAN2(N16,O16))-360,DEGREES(ATAN2(N16,O16)))))</f>
        <v>86.577000494219988</v>
      </c>
      <c r="R16" s="629">
        <f t="shared" si="79"/>
        <v>5.3299160750268841</v>
      </c>
      <c r="S16" s="634">
        <f t="shared" si="80"/>
        <v>-1.1514034726328735</v>
      </c>
      <c r="T16" s="635">
        <f t="shared" si="81"/>
        <v>5.3204737237968427</v>
      </c>
      <c r="U16" s="629">
        <f t="shared" si="82"/>
        <v>-0.31711941160601148</v>
      </c>
      <c r="V16" s="636">
        <f t="shared" si="114"/>
        <v>-1.1514034726328735</v>
      </c>
      <c r="W16" s="585">
        <f>IF(M16="","",IF(Q16-$Q$8&lt;0,360+Q16-$Q$8,Q16-$Q$8))</f>
        <v>356.5890004924874</v>
      </c>
      <c r="X16" s="629">
        <f t="shared" si="83"/>
        <v>5.3299160750268841</v>
      </c>
      <c r="Y16" s="630">
        <f t="shared" si="223"/>
        <v>-1.1514034726328735</v>
      </c>
      <c r="Z16" s="632">
        <f t="shared" si="6"/>
        <v>0.93685327538150442</v>
      </c>
      <c r="AA16" s="629">
        <f t="shared" si="7"/>
        <v>-0.32196143304214603</v>
      </c>
      <c r="AB16" s="629">
        <f t="shared" si="8"/>
        <v>-0.13655319857255235</v>
      </c>
      <c r="AC16" s="636">
        <f t="shared" si="84"/>
        <v>1</v>
      </c>
      <c r="AD16" s="637">
        <f t="shared" si="115"/>
        <v>0.93685327538150442</v>
      </c>
      <c r="AE16" s="629">
        <f t="shared" si="85"/>
        <v>-0.32196143304214603</v>
      </c>
      <c r="AF16" s="633">
        <f t="shared" si="86"/>
        <v>-0.13655319857255235</v>
      </c>
      <c r="AG16" s="602">
        <f t="shared" si="87"/>
        <v>-67.016788201348788</v>
      </c>
      <c r="AH16" s="603">
        <f t="shared" si="88"/>
        <v>20.470352834481488</v>
      </c>
      <c r="AI16" s="585">
        <f t="shared" si="89"/>
        <v>-82.151556565997453</v>
      </c>
      <c r="AJ16" s="586">
        <f t="shared" si="90"/>
        <v>71.034070736993129</v>
      </c>
      <c r="AK16" s="635">
        <f t="shared" si="211"/>
        <v>0.95440525059815418</v>
      </c>
      <c r="AL16" s="629">
        <f t="shared" si="91"/>
        <v>-0.2654502619894733</v>
      </c>
      <c r="AM16" s="634">
        <f t="shared" si="92"/>
        <v>-0.13655319857255235</v>
      </c>
      <c r="AN16" s="581">
        <f t="shared" si="93"/>
        <v>-62.777757201599101</v>
      </c>
      <c r="AO16" s="582">
        <f t="shared" si="94"/>
        <v>17.368373314471867</v>
      </c>
      <c r="AP16" s="585">
        <f t="shared" si="95"/>
        <v>-15.542929757226855</v>
      </c>
      <c r="AQ16" s="586">
        <f t="shared" si="9"/>
        <v>0.42771485563439732</v>
      </c>
      <c r="AS16" s="52">
        <f t="shared" si="116"/>
        <v>-3.4109995075125994</v>
      </c>
      <c r="AT16" s="72">
        <f t="shared" si="10"/>
        <v>-1.1490263896427484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0.39127787093451788</v>
      </c>
      <c r="C17" s="708">
        <v>5.637955882885616</v>
      </c>
      <c r="D17" s="709">
        <v>-1.8801056703987022</v>
      </c>
      <c r="E17" s="710">
        <v>-0.92948919435145094</v>
      </c>
      <c r="F17" s="708">
        <v>0.36096078544499866</v>
      </c>
      <c r="G17" s="711">
        <v>7.5875878609874187E-2</v>
      </c>
      <c r="H17" s="710">
        <v>0.314</v>
      </c>
      <c r="I17" s="708">
        <v>0.52</v>
      </c>
      <c r="J17" s="570">
        <v>1.147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1.147</v>
      </c>
      <c r="N17" s="632">
        <f t="shared" si="2"/>
        <v>0.39127787093451788</v>
      </c>
      <c r="O17" s="629">
        <f t="shared" si="3"/>
        <v>5.637955882885616</v>
      </c>
      <c r="P17" s="633">
        <f t="shared" si="4"/>
        <v>-1.8801056703987022</v>
      </c>
      <c r="Q17" s="585">
        <f>IF(M17="","",IF(DEGREES(ATAN2(N17,O17))&lt;0,DEGREES(ATAN2(N17,O17))+360,IF(DEGREES(ATAN2(N17,O17))&gt;360,DEGREES(ATAN2(N17,O17))-360,DEGREES(ATAN2(N17,O17)))))</f>
        <v>86.030000573197</v>
      </c>
      <c r="R17" s="629">
        <f>IF(M17="","",SQRT(N17^2+O17^2))</f>
        <v>5.6515170449754084</v>
      </c>
      <c r="S17" s="634">
        <f>IF(M17="","",P17)</f>
        <v>-1.8801056703987022</v>
      </c>
      <c r="T17" s="635">
        <f>IF(M17="","",X17*COS(RADIANS(W17)))</f>
        <v>5.6380377082646671</v>
      </c>
      <c r="U17" s="629">
        <f>IF(M17="","",X17*SIN(RADIANS(W17)))</f>
        <v>-0.39009705181309523</v>
      </c>
      <c r="V17" s="636">
        <f>IF(M17="","",Y17)</f>
        <v>-1.8801056703987022</v>
      </c>
      <c r="W17" s="585">
        <f t="shared" si="224"/>
        <v>356.04200057146443</v>
      </c>
      <c r="X17" s="629">
        <f>IF(M17="","",R17)</f>
        <v>5.6515170449754084</v>
      </c>
      <c r="Y17" s="630">
        <f t="shared" si="223"/>
        <v>-1.8801056703987022</v>
      </c>
      <c r="Z17" s="632">
        <f t="shared" si="6"/>
        <v>0.92948919435145094</v>
      </c>
      <c r="AA17" s="629">
        <f t="shared" si="7"/>
        <v>-0.36096078544499866</v>
      </c>
      <c r="AB17" s="629">
        <f t="shared" si="8"/>
        <v>-7.5875878609874187E-2</v>
      </c>
      <c r="AC17" s="636">
        <f>IF(M17="","",SQRT(Z17^2+AA17^2+AB17^2))</f>
        <v>1</v>
      </c>
      <c r="AD17" s="637">
        <f>IF(M17="","",Z17*(1/SQRT(Z17^2+AA17^2+AB17^2)))</f>
        <v>0.92948919435145094</v>
      </c>
      <c r="AE17" s="629">
        <f>IF(M17="","",AA17*(1/SQRT(Z17^2+AA17^2+AB17^2)))</f>
        <v>-0.36096078544499866</v>
      </c>
      <c r="AF17" s="633">
        <f>IF(M17="","",AB17*(1/SQRT(Z17^2+AA17^2+AB17^2)))</f>
        <v>-7.5875878609874187E-2</v>
      </c>
      <c r="AG17" s="602">
        <f>IF(M17="","",DEGREES(ATAN2(-AF17,AE17)))</f>
        <v>-78.128954071609996</v>
      </c>
      <c r="AH17" s="603">
        <f>IF(M17="","",DEGREES(ACOS(AD17)))</f>
        <v>21.644670759218386</v>
      </c>
      <c r="AI17" s="585">
        <f>IF(M17="","",DEGREES(-ACOS(-AF17)))</f>
        <v>-85.648450137542142</v>
      </c>
      <c r="AJ17" s="586">
        <f>IF(M17="","",DEGREES(ATAN2(-AE17,AD17)))</f>
        <v>68.776659095292246</v>
      </c>
      <c r="AK17" s="635">
        <f>IF(M17="","",(COS(RADIANS((90-$Q$8)-W17))*AD17)+(-SIN(RADIANS((90-$Q$8)-W17))*AE17))</f>
        <v>0.95224963424233322</v>
      </c>
      <c r="AL17" s="629">
        <f>IF(M17="","",(SIN(RADIANS((90-$Q$8)-W17))*AD17)+(COS(RADIANS((90-$Q$8)-W17))*AE17))</f>
        <v>-0.29574226131975495</v>
      </c>
      <c r="AM17" s="634">
        <f>IF(M17="","",AF17)</f>
        <v>-7.5875878609874187E-2</v>
      </c>
      <c r="AN17" s="581">
        <f>IF(M17="","",DEGREES(ATAN2(-AM17,AL17)))</f>
        <v>-75.610510945804862</v>
      </c>
      <c r="AO17" s="582">
        <f t="shared" si="94"/>
        <v>17.777449585258655</v>
      </c>
      <c r="AP17" s="585">
        <f>IF(M17="","",DEGREES(ATAN2(AK17,AL17)))</f>
        <v>-17.253341477904755</v>
      </c>
      <c r="AQ17" s="586">
        <f t="shared" si="9"/>
        <v>0.40337646489231099</v>
      </c>
      <c r="AS17" s="52">
        <f t="shared" si="116"/>
        <v>-3.9579994285355724</v>
      </c>
      <c r="AT17" s="72">
        <f t="shared" si="10"/>
        <v>-1.8773487263523112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0.42719615074335943</v>
      </c>
      <c r="C18" s="708">
        <v>5.7827595930701072</v>
      </c>
      <c r="D18" s="709">
        <v>-2.6648080370610403</v>
      </c>
      <c r="E18" s="710">
        <v>-0.89509225836444484</v>
      </c>
      <c r="F18" s="708">
        <v>0.444119575777294</v>
      </c>
      <c r="G18" s="711">
        <v>3.9593578108508914E-2</v>
      </c>
      <c r="H18" s="710">
        <v>0.314</v>
      </c>
      <c r="I18" s="708">
        <v>0.52</v>
      </c>
      <c r="J18" s="570">
        <v>1.1539999999999999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1.1539999999999999</v>
      </c>
      <c r="N18" s="632">
        <f t="shared" si="2"/>
        <v>0.42719615074335943</v>
      </c>
      <c r="O18" s="629">
        <f t="shared" si="3"/>
        <v>5.7827595930701072</v>
      </c>
      <c r="P18" s="633">
        <f t="shared" si="4"/>
        <v>-2.6648080370610403</v>
      </c>
      <c r="Q18" s="585">
        <f t="shared" si="113"/>
        <v>85.775000610014445</v>
      </c>
      <c r="R18" s="629">
        <f>IF(M18="","",SQRT(N18^2+O18^2))</f>
        <v>5.7985174883287449</v>
      </c>
      <c r="S18" s="634">
        <f>IF(M18="","",P18)</f>
        <v>-2.6648080370610403</v>
      </c>
      <c r="T18" s="635">
        <f>IF(M18="","",X18*COS(RADIANS(W18)))</f>
        <v>5.7828489379790495</v>
      </c>
      <c r="U18" s="629">
        <f>IF(M18="","",X18*SIN(RADIANS(W18)))</f>
        <v>-0.42598500322062077</v>
      </c>
      <c r="V18" s="636">
        <f>IF(M18="","",Y18)</f>
        <v>-2.6648080370610403</v>
      </c>
      <c r="W18" s="585">
        <f t="shared" si="224"/>
        <v>355.78700060828186</v>
      </c>
      <c r="X18" s="629">
        <f>IF(M18="","",R18)</f>
        <v>5.7985174883287449</v>
      </c>
      <c r="Y18" s="630">
        <f t="shared" si="223"/>
        <v>-2.6648080370610403</v>
      </c>
      <c r="Z18" s="632">
        <f t="shared" si="6"/>
        <v>0.89509225836444484</v>
      </c>
      <c r="AA18" s="629">
        <f t="shared" si="7"/>
        <v>-0.444119575777294</v>
      </c>
      <c r="AB18" s="629">
        <f t="shared" si="8"/>
        <v>-3.9593578108508914E-2</v>
      </c>
      <c r="AC18" s="636">
        <f>IF(M18="","",SQRT(Z18^2+AA18^2+AB18^2))</f>
        <v>1</v>
      </c>
      <c r="AD18" s="637">
        <f>IF(M18="","",Z18*(1/SQRT(Z18^2+AA18^2+AB18^2)))</f>
        <v>0.89509225836444484</v>
      </c>
      <c r="AE18" s="629">
        <f>IF(M18="","",AA18*(1/SQRT(Z18^2+AA18^2+AB18^2)))</f>
        <v>-0.444119575777294</v>
      </c>
      <c r="AF18" s="633">
        <f>IF(M18="","",AB18*(1/SQRT(Z18^2+AA18^2+AB18^2)))</f>
        <v>-3.9593578108508914E-2</v>
      </c>
      <c r="AG18" s="602">
        <f>IF(M18="","",DEGREES(ATAN2(-AF18,AE18)))</f>
        <v>-84.905508505330971</v>
      </c>
      <c r="AH18" s="603">
        <f>IF(M18="","",DEGREES(ACOS(AD18)))</f>
        <v>26.479717446366877</v>
      </c>
      <c r="AI18" s="585">
        <f>IF(M18="","",DEGREES(-ACOS(-AF18)))</f>
        <v>-87.73086194542978</v>
      </c>
      <c r="AJ18" s="586">
        <f>IF(M18="","",DEGREES(ATAN2(-AE18,AD18)))</f>
        <v>63.610687150903992</v>
      </c>
      <c r="AK18" s="635">
        <f>IF(M18="","",(COS(RADIANS((90-$Q$8)-W18))*AD18)+(-SIN(RADIANS((90-$Q$8)-W18))*AE18))</f>
        <v>0.92537955223588708</v>
      </c>
      <c r="AL18" s="629">
        <f>IF(M18="","",(SIN(RADIANS((90-$Q$8)-W18))*AD18)+(COS(RADIANS((90-$Q$8)-W18))*AE18))</f>
        <v>-0.37696821202360659</v>
      </c>
      <c r="AM18" s="634">
        <f>IF(M18="","",AF18)</f>
        <v>-3.9593578108508914E-2</v>
      </c>
      <c r="AN18" s="581">
        <f>IF(M18="","",DEGREES(ATAN2(-AM18,AL18)))</f>
        <v>-84.004115704946273</v>
      </c>
      <c r="AO18" s="582">
        <f t="shared" si="94"/>
        <v>22.274342020104839</v>
      </c>
      <c r="AP18" s="585">
        <f>IF(M18="","",DEGREES(ATAN2(AK18,AL18)))</f>
        <v>-22.164313459110435</v>
      </c>
      <c r="AQ18" s="586">
        <f t="shared" si="9"/>
        <v>0.39315063840584158</v>
      </c>
      <c r="AS18" s="52">
        <f t="shared" si="116"/>
        <v>-4.2129993917181423</v>
      </c>
      <c r="AT18" s="72">
        <f t="shared" si="10"/>
        <v>-2.6618740097068838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1.1539999999999999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0.4561747320764451</v>
      </c>
      <c r="C19" s="708">
        <v>5.8948936995802921</v>
      </c>
      <c r="D19" s="709">
        <v>-3.4174103069094857</v>
      </c>
      <c r="E19" s="710">
        <v>-0.71416740426718461</v>
      </c>
      <c r="F19" s="708">
        <v>0.69997494146737171</v>
      </c>
      <c r="G19" s="711">
        <v>1.4578093215395225E-7</v>
      </c>
      <c r="H19" s="710">
        <v>0.314</v>
      </c>
      <c r="I19" s="708">
        <v>0.52</v>
      </c>
      <c r="J19" s="570">
        <v>1.161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1.161</v>
      </c>
      <c r="N19" s="632">
        <f t="shared" si="2"/>
        <v>0.4561747320764451</v>
      </c>
      <c r="O19" s="629">
        <f t="shared" si="3"/>
        <v>5.8948936995802921</v>
      </c>
      <c r="P19" s="633">
        <f t="shared" si="4"/>
        <v>-3.4174103069094857</v>
      </c>
      <c r="Q19" s="585">
        <f t="shared" si="113"/>
        <v>85.57500063889087</v>
      </c>
      <c r="R19" s="629">
        <f>IF(M19="","",SQRT(N19^2+O19^2))</f>
        <v>5.9125178321537799</v>
      </c>
      <c r="S19" s="634">
        <f>IF(M19="","",P19)</f>
        <v>-3.4174103069094857</v>
      </c>
      <c r="T19" s="635">
        <f>IF(M19="","",X19*COS(RADIANS(W19)))</f>
        <v>5.8949891112888197</v>
      </c>
      <c r="U19" s="629">
        <f>IF(M19="","",X19*SIN(RADIANS(W19)))</f>
        <v>-0.45494009860934775</v>
      </c>
      <c r="V19" s="636">
        <f>IF(M19="","",Y19)</f>
        <v>-3.4174103069094857</v>
      </c>
      <c r="W19" s="585">
        <f t="shared" si="224"/>
        <v>355.58700063715827</v>
      </c>
      <c r="X19" s="629">
        <f>IF(M19="","",R19)</f>
        <v>5.9125178321537799</v>
      </c>
      <c r="Y19" s="630">
        <f t="shared" si="223"/>
        <v>-3.4174103069094857</v>
      </c>
      <c r="Z19" s="632">
        <f t="shared" si="6"/>
        <v>0.71416740426718461</v>
      </c>
      <c r="AA19" s="629">
        <f t="shared" si="7"/>
        <v>-0.69997494146737171</v>
      </c>
      <c r="AB19" s="629">
        <f t="shared" si="8"/>
        <v>-1.4578093215395225E-7</v>
      </c>
      <c r="AC19" s="636">
        <f>IF(M19="","",SQRT(Z19^2+AA19^2+AB19^2))</f>
        <v>1</v>
      </c>
      <c r="AD19" s="637">
        <f>IF(M19="","",Z19*(1/SQRT(Z19^2+AA19^2+AB19^2)))</f>
        <v>0.71416740426718461</v>
      </c>
      <c r="AE19" s="629">
        <f>IF(M19="","",AA19*(1/SQRT(Z19^2+AA19^2+AB19^2)))</f>
        <v>-0.69997494146737171</v>
      </c>
      <c r="AF19" s="633">
        <f>IF(M19="","",AB19*(1/SQRT(Z19^2+AA19^2+AB19^2)))</f>
        <v>-1.4578093215395225E-7</v>
      </c>
      <c r="AG19" s="602">
        <f>IF(M19="","",DEGREES(ATAN2(-AF19,AE19)))</f>
        <v>-89.999988067241205</v>
      </c>
      <c r="AH19" s="603">
        <f>IF(M19="","",DEGREES(ACOS(AD19)))</f>
        <v>44.424993585824403</v>
      </c>
      <c r="AI19" s="585">
        <f>IF(M19="","",DEGREES(-ACOS(-AF19)))</f>
        <v>-89.99999164736785</v>
      </c>
      <c r="AJ19" s="586">
        <f>IF(M19="","",DEGREES(ATAN2(-AE19,AD19)))</f>
        <v>45.575006414176215</v>
      </c>
      <c r="AK19" s="635">
        <f>IF(M19="","",(COS(RADIANS((90-$Q$8)-W19))*AD19)+(-SIN(RADIANS((90-$Q$8)-W19))*AE19))</f>
        <v>0.76604450791050716</v>
      </c>
      <c r="AL19" s="629">
        <f>IF(M19="","",(SIN(RADIANS((90-$Q$8)-W19))*AD19)+(COS(RADIANS((90-$Q$8)-W19))*AE19))</f>
        <v>-0.6427875324709772</v>
      </c>
      <c r="AM19" s="634">
        <f>IF(M19="","",AF19)</f>
        <v>-1.4578093215395225E-7</v>
      </c>
      <c r="AN19" s="581">
        <f>IF(M19="","",DEGREES(ATAN2(-AM19,AL19)))</f>
        <v>-89.999987005609597</v>
      </c>
      <c r="AO19" s="582">
        <f t="shared" si="94"/>
        <v>39.999994224715394</v>
      </c>
      <c r="AP19" s="585">
        <f>IF(M19="","",DEGREES(ATAN2(AK19,AL19)))</f>
        <v>-39.999994224714662</v>
      </c>
      <c r="AQ19" s="586">
        <f t="shared" si="9"/>
        <v>0.38557045973782411</v>
      </c>
      <c r="AS19" s="52">
        <f t="shared" si="116"/>
        <v>-4.412999362841731</v>
      </c>
      <c r="AT19" s="72">
        <f t="shared" si="10"/>
        <v>-3.4143373906864931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1.161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0.9863557780623825</v>
      </c>
      <c r="C20" s="708">
        <v>3.1221070745158119</v>
      </c>
      <c r="D20" s="709">
        <v>-2.140006454259466E-2</v>
      </c>
      <c r="E20" s="710">
        <v>-0.84582836607831324</v>
      </c>
      <c r="F20" s="708">
        <v>0.32640006130067145</v>
      </c>
      <c r="G20" s="711">
        <v>0.42194475363512818</v>
      </c>
      <c r="H20" s="710">
        <v>0.26600000000000001</v>
      </c>
      <c r="I20" s="708">
        <v>0.52</v>
      </c>
      <c r="J20" s="570">
        <v>1.2190000000000001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1.2190000000000001</v>
      </c>
      <c r="N20" s="632">
        <f t="shared" si="2"/>
        <v>0.9863557780623825</v>
      </c>
      <c r="O20" s="629">
        <f t="shared" si="3"/>
        <v>3.1221070745158119</v>
      </c>
      <c r="P20" s="633">
        <f t="shared" si="4"/>
        <v>-2.140006454259466E-2</v>
      </c>
      <c r="Q20" s="585">
        <f t="shared" si="113"/>
        <v>72.467302531408322</v>
      </c>
      <c r="R20" s="629">
        <f>IF(M20="","",SQRT(N20^2+O20^2))</f>
        <v>3.2742098750169832</v>
      </c>
      <c r="S20" s="634">
        <f>IF(M20="","",P20)</f>
        <v>-2.140006454259466E-2</v>
      </c>
      <c r="T20" s="635">
        <f>IF(M20="","",X20*COS(RADIANS(W20)))</f>
        <v>3.1223135878801034</v>
      </c>
      <c r="U20" s="629">
        <f>IF(M20="","",X20*SIN(RADIANS(W20)))</f>
        <v>-0.9857018639517755</v>
      </c>
      <c r="V20" s="636">
        <f>IF(M20="","",Y20)</f>
        <v>-2.140006454259466E-2</v>
      </c>
      <c r="W20" s="585">
        <f t="shared" si="224"/>
        <v>342.47930252967575</v>
      </c>
      <c r="X20" s="629">
        <f>IF(M20="","",R20)</f>
        <v>3.2742098750169832</v>
      </c>
      <c r="Y20" s="630">
        <f t="shared" si="223"/>
        <v>-2.140006454259466E-2</v>
      </c>
      <c r="Z20" s="632">
        <f t="shared" si="6"/>
        <v>0.84582836607831324</v>
      </c>
      <c r="AA20" s="629">
        <f t="shared" si="7"/>
        <v>-0.32640006130067145</v>
      </c>
      <c r="AB20" s="629">
        <f t="shared" si="8"/>
        <v>-0.42194475363512818</v>
      </c>
      <c r="AC20" s="636">
        <f>IF(M20="","",SQRT(Z20^2+AA20^2+AB20^2))</f>
        <v>1</v>
      </c>
      <c r="AD20" s="637">
        <f>IF(M20="","",Z20*(1/SQRT(Z20^2+AA20^2+AB20^2)))</f>
        <v>0.84582836607831324</v>
      </c>
      <c r="AE20" s="629">
        <f>IF(M20="","",AA20*(1/SQRT(Z20^2+AA20^2+AB20^2)))</f>
        <v>-0.32640006130067145</v>
      </c>
      <c r="AF20" s="633">
        <f>IF(M20="","",AB20*(1/SQRT(Z20^2+AA20^2+AB20^2)))</f>
        <v>-0.42194475363512818</v>
      </c>
      <c r="AG20" s="602">
        <f>IF(M20="","",DEGREES(ATAN2(-AF20,AE20)))</f>
        <v>-37.724142869699087</v>
      </c>
      <c r="AH20" s="603">
        <f>IF(M20="","",DEGREES(ACOS(AD20)))</f>
        <v>32.23920263862545</v>
      </c>
      <c r="AI20" s="585">
        <f>IF(M20="","",DEGREES(-ACOS(-AF20)))</f>
        <v>-65.042571069342159</v>
      </c>
      <c r="AJ20" s="586">
        <f>IF(M20="","",DEGREES(ATAN2(-AE20,AD20)))</f>
        <v>68.898699471559027</v>
      </c>
      <c r="AK20" s="635">
        <f>IF(M20="","",(COS(RADIANS((90-$Q$8)-W20))*AD20)+(-SIN(RADIANS((90-$Q$8)-W20))*AE20))</f>
        <v>0.90486359307303643</v>
      </c>
      <c r="AL20" s="629">
        <f>IF(M20="","",(SIN(RADIANS((90-$Q$8)-W20))*AD20)+(COS(RADIANS((90-$Q$8)-W20))*AE20))</f>
        <v>-5.6431399156370354E-2</v>
      </c>
      <c r="AM20" s="634">
        <f>IF(M20="","",AF20)</f>
        <v>-0.42194475363512818</v>
      </c>
      <c r="AN20" s="581">
        <f>IF(M20="","",DEGREES(ATAN2(-AM20,AL20)))</f>
        <v>-7.6176031826709032</v>
      </c>
      <c r="AO20" s="582">
        <f t="shared" si="94"/>
        <v>25.195082397013987</v>
      </c>
      <c r="AP20" s="585">
        <f>IF(M20="","",DEGREES(ATAN2(AK20,AL20)))</f>
        <v>-3.5686030598492922</v>
      </c>
      <c r="AQ20" s="586">
        <f t="shared" si="9"/>
        <v>0.69623344541068166</v>
      </c>
      <c r="AS20" s="52">
        <f t="shared" si="116"/>
        <v>-17.520697470324251</v>
      </c>
      <c r="AT20" s="72">
        <f t="shared" si="10"/>
        <v>-9.2245801894060044E-3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1.2190000000000001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1.119</v>
      </c>
      <c r="II20" s="734" cm="1">
        <f t="array" ref="II20">IFERROR(IF($IH20&lt;1,$IH20+LARGE((IF($M$9:$M$150="",0,$M$9:$M$150)-MOD(IF($M$9:$M$150="",0,$M$9:$M$150),1)),1),$IH20),"")</f>
        <v>1.119</v>
      </c>
      <c r="IJ20" s="533">
        <f t="shared" si="112"/>
        <v>1613</v>
      </c>
      <c r="IK20" s="533">
        <f t="shared" si="66"/>
        <v>1313</v>
      </c>
      <c r="IL20" s="727">
        <f t="shared" si="225"/>
        <v>17.009697544103517</v>
      </c>
      <c r="IM20" s="759">
        <v>4.1870554074232196E-3</v>
      </c>
      <c r="IN20" s="5">
        <f t="shared" si="226"/>
        <v>0.06</v>
      </c>
      <c r="IO20" s="771">
        <v>30</v>
      </c>
      <c r="IP20" s="9">
        <f t="shared" si="227"/>
        <v>-3.2742098750169837</v>
      </c>
      <c r="IQ20" s="5">
        <f t="shared" si="228"/>
        <v>-7.9300239169521336E-2</v>
      </c>
      <c r="IR20" s="5">
        <f t="shared" si="71"/>
        <v>0.314</v>
      </c>
      <c r="IS20" s="5">
        <f t="shared" si="229"/>
        <v>0.30281739645373151</v>
      </c>
      <c r="IT20" s="727">
        <f t="shared" si="230"/>
        <v>12.318975285068788</v>
      </c>
      <c r="IU20" s="9">
        <f t="shared" si="231"/>
        <v>-3.2742098750169832</v>
      </c>
      <c r="IV20" s="5">
        <f t="shared" si="232"/>
        <v>-2.140006454259466E-2</v>
      </c>
      <c r="IW20" s="5">
        <f t="shared" si="76"/>
        <v>0.26600000000000001</v>
      </c>
      <c r="IX20" s="5">
        <f t="shared" si="233"/>
        <v>0.24069371575742773</v>
      </c>
      <c r="IY20" s="762">
        <f t="shared" si="234"/>
        <v>7.6176031826709032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1.1162845951465927</v>
      </c>
      <c r="C21" s="708">
        <v>3.9197607398564949</v>
      </c>
      <c r="D21" s="709">
        <v>-0.14870044848055261</v>
      </c>
      <c r="E21" s="710">
        <v>-0.82036964021536229</v>
      </c>
      <c r="F21" s="708">
        <v>0.41277861151647405</v>
      </c>
      <c r="G21" s="711">
        <v>0.39573661858292675</v>
      </c>
      <c r="H21" s="710">
        <v>0.26600000000000001</v>
      </c>
      <c r="I21" s="708">
        <v>0.52</v>
      </c>
      <c r="J21" s="570">
        <v>1.226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1.226</v>
      </c>
      <c r="N21" s="632">
        <f t="shared" si="2"/>
        <v>1.1162845951465927</v>
      </c>
      <c r="O21" s="629">
        <f t="shared" si="3"/>
        <v>3.9197607398564949</v>
      </c>
      <c r="P21" s="633">
        <f t="shared" si="4"/>
        <v>-0.14870044848055261</v>
      </c>
      <c r="Q21" s="585">
        <f t="shared" si="113"/>
        <v>74.103902295112562</v>
      </c>
      <c r="R21" s="629">
        <f>IF(M21="","",SQRT(N21^2+O21^2))</f>
        <v>4.0756122920466717</v>
      </c>
      <c r="S21" s="634">
        <f>IF(M21="","",P21)</f>
        <v>-0.14870044848055261</v>
      </c>
      <c r="T21" s="635">
        <f>IF(M21="","",X21*COS(RADIANS(W21)))</f>
        <v>3.9199944479499766</v>
      </c>
      <c r="U21" s="629">
        <f>IF(M21="","",X21*SIN(RADIANS(W21)))</f>
        <v>-1.1154636180186621</v>
      </c>
      <c r="V21" s="636">
        <f>IF(M21="","",Y21)</f>
        <v>-0.14870044848055261</v>
      </c>
      <c r="W21" s="585">
        <f t="shared" si="224"/>
        <v>344.11590229337997</v>
      </c>
      <c r="X21" s="629">
        <f>IF(M21="","",R21)</f>
        <v>4.0756122920466717</v>
      </c>
      <c r="Y21" s="630">
        <f t="shared" si="223"/>
        <v>-0.14870044848055261</v>
      </c>
      <c r="Z21" s="632">
        <f t="shared" si="6"/>
        <v>0.82036964021536229</v>
      </c>
      <c r="AA21" s="629">
        <f t="shared" si="7"/>
        <v>-0.41277861151647405</v>
      </c>
      <c r="AB21" s="629">
        <f t="shared" si="8"/>
        <v>-0.39573661858292675</v>
      </c>
      <c r="AC21" s="636">
        <f>IF(M21="","",SQRT(Z21^2+AA21^2+AB21^2))</f>
        <v>1</v>
      </c>
      <c r="AD21" s="637">
        <f>IF(M21="","",Z21*(1/SQRT(Z21^2+AA21^2+AB21^2)))</f>
        <v>0.82036964021536229</v>
      </c>
      <c r="AE21" s="629">
        <f>IF(M21="","",AA21*(1/SQRT(Z21^2+AA21^2+AB21^2)))</f>
        <v>-0.41277861151647405</v>
      </c>
      <c r="AF21" s="633">
        <f>IF(M21="","",AB21*(1/SQRT(Z21^2+AA21^2+AB21^2)))</f>
        <v>-0.39573661858292675</v>
      </c>
      <c r="AG21" s="602">
        <f>IF(M21="","",DEGREES(ATAN2(-AF21,AE21)))</f>
        <v>-46.207509352751948</v>
      </c>
      <c r="AH21" s="603">
        <f>IF(M21="","",DEGREES(ACOS(AD21)))</f>
        <v>34.878186710581154</v>
      </c>
      <c r="AI21" s="585">
        <f>IF(M21="","",DEGREES(-ACOS(-AF21)))</f>
        <v>-66.68807700444907</v>
      </c>
      <c r="AJ21" s="586">
        <f>IF(M21="","",DEGREES(ATAN2(-AE21,AD21)))</f>
        <v>63.290208925488109</v>
      </c>
      <c r="AK21" s="635">
        <f>IF(M21="","",(COS(RADIANS((90-$Q$8)-W21))*AD21)+(-SIN(RADIANS((90-$Q$8)-W21))*AE21))</f>
        <v>0.90205614511040788</v>
      </c>
      <c r="AL21" s="629">
        <f>IF(M21="","",(SIN(RADIANS((90-$Q$8)-W21))*AD21)+(COS(RADIANS((90-$Q$8)-W21))*AE21))</f>
        <v>-0.17229985426895142</v>
      </c>
      <c r="AM21" s="634">
        <f>IF(M21="","",AF21)</f>
        <v>-0.39573661858292675</v>
      </c>
      <c r="AN21" s="581">
        <f>IF(M21="","",DEGREES(ATAN2(-AM21,AL21)))</f>
        <v>-23.527838087778637</v>
      </c>
      <c r="AO21" s="582">
        <f>IF(ROUND(IF(M21="",0,DEGREES(ACOS(AK21))),4)=90,0,IF(M21="","",DEGREES(ACOS(AK21))))</f>
        <v>25.570331500289381</v>
      </c>
      <c r="AP21" s="585">
        <f>IF(M21="","",DEGREES(ATAN2(AK21,AL21)))</f>
        <v>-10.81369336962443</v>
      </c>
      <c r="AQ21" s="586">
        <f t="shared" si="9"/>
        <v>0.55934030189294204</v>
      </c>
      <c r="AS21" s="52">
        <f t="shared" si="116"/>
        <v>-15.884097706620025</v>
      </c>
      <c r="AT21" s="72">
        <f t="shared" si="10"/>
        <v>-0.13766149174104744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1.226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1.1259999999999999</v>
      </c>
      <c r="II21" s="734" cm="1">
        <f t="array" ref="II21">IFERROR(IF($IH21&lt;1,$IH21+LARGE((IF($M$9:$M$150="",0,$M$9:$M$150)-MOD(IF($M$9:$M$150="",0,$M$9:$M$150),1)),1),$IH21),"")</f>
        <v>1.1259999999999999</v>
      </c>
      <c r="IJ21" s="533">
        <f t="shared" si="112"/>
        <v>1613</v>
      </c>
      <c r="IK21" s="533">
        <f t="shared" si="66"/>
        <v>1313</v>
      </c>
      <c r="IL21" s="727">
        <f t="shared" si="225"/>
        <v>14.425097917273547</v>
      </c>
      <c r="IM21" s="759">
        <v>3.2943547188786899E-3</v>
      </c>
      <c r="IN21" s="5">
        <f t="shared" si="226"/>
        <v>0.06</v>
      </c>
      <c r="IO21" s="771">
        <v>30</v>
      </c>
      <c r="IP21" s="9">
        <f t="shared" si="227"/>
        <v>-4.0642122576641695</v>
      </c>
      <c r="IQ21" s="5">
        <f t="shared" si="228"/>
        <v>-0.20620062190107566</v>
      </c>
      <c r="IR21" s="5">
        <f t="shared" si="71"/>
        <v>0.314</v>
      </c>
      <c r="IS21" s="5">
        <f t="shared" si="229"/>
        <v>0.30187786911587577</v>
      </c>
      <c r="IT21" s="727">
        <f t="shared" si="230"/>
        <v>31.159423548486188</v>
      </c>
      <c r="IU21" s="9">
        <f t="shared" si="231"/>
        <v>-4.0756122920466717</v>
      </c>
      <c r="IV21" s="5">
        <f t="shared" si="232"/>
        <v>-0.14870044848055261</v>
      </c>
      <c r="IW21" s="5">
        <f t="shared" si="76"/>
        <v>0.26600000000000001</v>
      </c>
      <c r="IX21" s="5">
        <f t="shared" si="233"/>
        <v>0.2399469345993685</v>
      </c>
      <c r="IY21" s="762">
        <f t="shared" si="234"/>
        <v>23.527838087778637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1.2500315514005496</v>
      </c>
      <c r="C22" s="708">
        <v>4.6303493477992044</v>
      </c>
      <c r="D22" s="709">
        <v>-0.52140157254714281</v>
      </c>
      <c r="E22" s="710">
        <v>-0.7966978319791731</v>
      </c>
      <c r="F22" s="708">
        <v>0.49687742130096069</v>
      </c>
      <c r="G22" s="711">
        <v>0.34407178425583362</v>
      </c>
      <c r="H22" s="710">
        <v>0.26600000000000001</v>
      </c>
      <c r="I22" s="708">
        <v>0.52</v>
      </c>
      <c r="J22" s="570">
        <v>1.2330000000000001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872">
        <f>IF($L21=$JH$22,$JH$30,IF($L21=$JI$22,$JI$30,""))</f>
        <v>0</v>
      </c>
      <c r="M22" s="168">
        <f t="shared" si="1"/>
        <v>1.2330000000000001</v>
      </c>
      <c r="N22" s="632">
        <f t="shared" si="2"/>
        <v>1.2500315514005496</v>
      </c>
      <c r="O22" s="629">
        <f t="shared" si="3"/>
        <v>4.6303493477992044</v>
      </c>
      <c r="P22" s="633">
        <f t="shared" si="4"/>
        <v>-0.52140157254714281</v>
      </c>
      <c r="Q22" s="585">
        <f t="shared" si="113"/>
        <v>74.892302181281678</v>
      </c>
      <c r="R22" s="629">
        <f t="shared" si="79"/>
        <v>4.7961144650812271</v>
      </c>
      <c r="S22" s="634">
        <f t="shared" si="80"/>
        <v>-0.52140157254714281</v>
      </c>
      <c r="T22" s="635">
        <f t="shared" si="81"/>
        <v>4.6306110522005044</v>
      </c>
      <c r="U22" s="629">
        <f t="shared" si="82"/>
        <v>-1.2490617460317661</v>
      </c>
      <c r="V22" s="636">
        <f t="shared" si="114"/>
        <v>-0.52140157254714281</v>
      </c>
      <c r="W22" s="585">
        <f t="shared" si="224"/>
        <v>344.90430217954912</v>
      </c>
      <c r="X22" s="629">
        <f t="shared" si="83"/>
        <v>4.7961144650812271</v>
      </c>
      <c r="Y22" s="630">
        <f t="shared" si="223"/>
        <v>-0.52140157254714281</v>
      </c>
      <c r="Z22" s="632">
        <f t="shared" si="6"/>
        <v>0.7966978319791731</v>
      </c>
      <c r="AA22" s="629">
        <f t="shared" si="7"/>
        <v>-0.49687742130096069</v>
      </c>
      <c r="AB22" s="629">
        <f t="shared" si="8"/>
        <v>-0.34407178425583362</v>
      </c>
      <c r="AC22" s="636">
        <f t="shared" si="84"/>
        <v>1</v>
      </c>
      <c r="AD22" s="637">
        <f t="shared" si="115"/>
        <v>0.7966978319791731</v>
      </c>
      <c r="AE22" s="629">
        <f t="shared" si="85"/>
        <v>-0.49687742130096069</v>
      </c>
      <c r="AF22" s="633">
        <f t="shared" si="86"/>
        <v>-0.34407178425583362</v>
      </c>
      <c r="AG22" s="602">
        <f t="shared" si="87"/>
        <v>-55.298632443394624</v>
      </c>
      <c r="AH22" s="603">
        <f t="shared" si="88"/>
        <v>37.184084459343943</v>
      </c>
      <c r="AI22" s="585">
        <f t="shared" si="89"/>
        <v>-69.874855670059489</v>
      </c>
      <c r="AJ22" s="586">
        <f t="shared" si="90"/>
        <v>58.049401698183203</v>
      </c>
      <c r="AK22" s="635">
        <f t="shared" si="211"/>
        <v>0.89866531999660126</v>
      </c>
      <c r="AL22" s="629">
        <f t="shared" si="91"/>
        <v>-0.27205743863091392</v>
      </c>
      <c r="AM22" s="634">
        <f t="shared" si="92"/>
        <v>-0.34407178425583362</v>
      </c>
      <c r="AN22" s="581">
        <f t="shared" si="93"/>
        <v>-38.333409679883125</v>
      </c>
      <c r="AO22" s="582">
        <f t="shared" si="94"/>
        <v>26.016819663170562</v>
      </c>
      <c r="AP22" s="585">
        <f t="shared" si="95"/>
        <v>-16.842900483098486</v>
      </c>
      <c r="AQ22" s="586">
        <f t="shared" si="9"/>
        <v>0.47531691551266331</v>
      </c>
      <c r="AS22" s="52">
        <f t="shared" si="116"/>
        <v>-15.09569782045088</v>
      </c>
      <c r="AT22" s="72">
        <f t="shared" si="10"/>
        <v>-0.51091011572858847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1.2330000000000001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</v>
      </c>
      <c r="II22" s="734" cm="1">
        <f t="array" ref="II22">IFERROR(IF($IH22&lt;1,$IH22+LARGE((IF($M$9:$M$150="",0,$M$9:$M$150)-MOD(IF($M$9:$M$150="",0,$M$9:$M$150),1)),1),$IH22),"")</f>
        <v>1.133</v>
      </c>
      <c r="IJ22" s="533">
        <f t="shared" si="112"/>
        <v>1613</v>
      </c>
      <c r="IK22" s="533">
        <f t="shared" si="66"/>
        <v>1313</v>
      </c>
      <c r="IL22" s="727">
        <f t="shared" si="225"/>
        <v>12.588698182416863</v>
      </c>
      <c r="IM22" s="759">
        <v>2.5184272236683999E-3</v>
      </c>
      <c r="IN22" s="5">
        <f t="shared" si="226"/>
        <v>0.04</v>
      </c>
      <c r="IO22" s="771">
        <v>20</v>
      </c>
      <c r="IP22" s="9">
        <f t="shared" si="227"/>
        <v>-4.7737143975226228</v>
      </c>
      <c r="IQ22" s="5">
        <f t="shared" si="228"/>
        <v>-0.5762017378244414</v>
      </c>
      <c r="IR22" s="5">
        <f t="shared" si="71"/>
        <v>0.314</v>
      </c>
      <c r="IS22" s="5">
        <f t="shared" si="229"/>
        <v>0.30074311152295979</v>
      </c>
      <c r="IT22" s="727">
        <f t="shared" si="230"/>
        <v>47.941374553067661</v>
      </c>
      <c r="IU22" s="9">
        <f t="shared" si="231"/>
        <v>-4.7961144650812271</v>
      </c>
      <c r="IV22" s="5">
        <f t="shared" si="232"/>
        <v>-0.52140157254714281</v>
      </c>
      <c r="IW22" s="5">
        <f t="shared" si="76"/>
        <v>0.26600000000000001</v>
      </c>
      <c r="IX22" s="5">
        <f t="shared" si="233"/>
        <v>0.23904497511909595</v>
      </c>
      <c r="IY22" s="762">
        <f t="shared" si="234"/>
        <v>38.333409679883125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1.3901889430552408</v>
      </c>
      <c r="C23" s="708">
        <v>5.1792882646656766</v>
      </c>
      <c r="D23" s="709">
        <v>-1.1014033218324186</v>
      </c>
      <c r="E23" s="710">
        <v>-0.77400815278794177</v>
      </c>
      <c r="F23" s="708">
        <v>0.57071542935987096</v>
      </c>
      <c r="G23" s="711">
        <v>0.27421757439736844</v>
      </c>
      <c r="H23" s="710">
        <v>0.26600000000000001</v>
      </c>
      <c r="I23" s="708">
        <v>0.52</v>
      </c>
      <c r="J23" s="570">
        <v>1.24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1.24</v>
      </c>
      <c r="N23" s="632">
        <f t="shared" si="2"/>
        <v>1.3901889430552408</v>
      </c>
      <c r="O23" s="629">
        <f t="shared" si="3"/>
        <v>5.1792882646656766</v>
      </c>
      <c r="P23" s="633">
        <f t="shared" si="4"/>
        <v>-1.1014033218324186</v>
      </c>
      <c r="Q23" s="585">
        <f t="shared" si="113"/>
        <v>74.975202169312411</v>
      </c>
      <c r="R23" s="629">
        <f t="shared" si="79"/>
        <v>5.3626161736503803</v>
      </c>
      <c r="S23" s="634">
        <f t="shared" si="80"/>
        <v>-1.1014033218324186</v>
      </c>
      <c r="T23" s="635">
        <f t="shared" si="81"/>
        <v>5.1795793115184132</v>
      </c>
      <c r="U23" s="629">
        <f t="shared" si="82"/>
        <v>-1.3891041651320053</v>
      </c>
      <c r="V23" s="636">
        <f t="shared" si="114"/>
        <v>-1.1014033218324186</v>
      </c>
      <c r="W23" s="585">
        <f t="shared" si="224"/>
        <v>344.98720216757982</v>
      </c>
      <c r="X23" s="629">
        <f t="shared" si="83"/>
        <v>5.3626161736503803</v>
      </c>
      <c r="Y23" s="630">
        <f t="shared" si="223"/>
        <v>-1.1014033218324186</v>
      </c>
      <c r="Z23" s="632">
        <f t="shared" si="6"/>
        <v>0.77400815278794177</v>
      </c>
      <c r="AA23" s="629">
        <f t="shared" si="7"/>
        <v>-0.57071542935987096</v>
      </c>
      <c r="AB23" s="629">
        <f t="shared" si="8"/>
        <v>-0.27421757439736844</v>
      </c>
      <c r="AC23" s="636">
        <f t="shared" si="84"/>
        <v>1</v>
      </c>
      <c r="AD23" s="637">
        <f t="shared" si="115"/>
        <v>0.77400815278794177</v>
      </c>
      <c r="AE23" s="629">
        <f t="shared" si="85"/>
        <v>-0.57071542935987096</v>
      </c>
      <c r="AF23" s="633">
        <f t="shared" si="86"/>
        <v>-0.27421757439736844</v>
      </c>
      <c r="AG23" s="602">
        <f t="shared" si="87"/>
        <v>-64.336627958547012</v>
      </c>
      <c r="AH23" s="603">
        <f t="shared" si="88"/>
        <v>39.284805370251604</v>
      </c>
      <c r="AI23" s="585">
        <f t="shared" si="89"/>
        <v>-74.084607858737442</v>
      </c>
      <c r="AJ23" s="586">
        <f t="shared" si="90"/>
        <v>53.596767633845012</v>
      </c>
      <c r="AK23" s="635">
        <f t="shared" si="211"/>
        <v>0.89549829160127137</v>
      </c>
      <c r="AL23" s="629">
        <f t="shared" si="91"/>
        <v>-0.3505531794618727</v>
      </c>
      <c r="AM23" s="634">
        <f t="shared" si="92"/>
        <v>-0.27421757439736844</v>
      </c>
      <c r="AN23" s="581">
        <f t="shared" si="93"/>
        <v>-51.965973871392627</v>
      </c>
      <c r="AO23" s="582">
        <f t="shared" si="94"/>
        <v>26.427494323958562</v>
      </c>
      <c r="AP23" s="585">
        <f t="shared" si="95"/>
        <v>-21.378434535467381</v>
      </c>
      <c r="AQ23" s="586">
        <f t="shared" si="9"/>
        <v>0.42510683696403323</v>
      </c>
      <c r="AS23" s="52">
        <f t="shared" si="116"/>
        <v>-15.012797832420176</v>
      </c>
      <c r="AT23" s="72">
        <f t="shared" si="10"/>
        <v>-1.0909694344499967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1.24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I23" s="734" cm="1">
        <f t="array" ref="II23">IFERROR(IF($IH23&lt;1,$IH23+LARGE((IF($M$9:$M$150="",0,$M$9:$M$150)-MOD(IF($M$9:$M$150="",0,$M$9:$M$150),1)),1),$IH23),"")</f>
        <v>1.1399999999999999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11.601798324907577</v>
      </c>
      <c r="IM23" s="759">
        <v>1.81864373773997E-3</v>
      </c>
      <c r="IN23" s="5">
        <f t="shared" si="226"/>
        <v>0.02</v>
      </c>
      <c r="IO23" s="771">
        <v>10</v>
      </c>
      <c r="IP23" s="9">
        <f t="shared" si="227"/>
        <v>-5.3299160750268841</v>
      </c>
      <c r="IQ23" s="5">
        <f t="shared" si="228"/>
        <v>-1.1514034726328735</v>
      </c>
      <c r="IR23" s="5">
        <f t="shared" si="71"/>
        <v>0.314</v>
      </c>
      <c r="IS23" s="5">
        <f t="shared" si="229"/>
        <v>0.29968324868782042</v>
      </c>
      <c r="IT23" s="727">
        <f t="shared" si="230"/>
        <v>62.777757201599101</v>
      </c>
      <c r="IU23" s="9">
        <f t="shared" si="231"/>
        <v>-5.3626161736503803</v>
      </c>
      <c r="IV23" s="5">
        <f t="shared" si="232"/>
        <v>-1.1014033218324186</v>
      </c>
      <c r="IW23" s="5">
        <f t="shared" si="76"/>
        <v>0.26600000000000001</v>
      </c>
      <c r="IX23" s="5">
        <f t="shared" si="233"/>
        <v>0.2382025455659382</v>
      </c>
      <c r="IY23" s="762">
        <f t="shared" si="234"/>
        <v>51.965973871392627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35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12</v>
      </c>
      <c r="JG23" s="801">
        <v>23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20</v>
      </c>
      <c r="JI23" s="801">
        <v>0</v>
      </c>
    </row>
    <row r="24" spans="1:269" ht="15" customHeight="1" x14ac:dyDescent="0.25">
      <c r="A24" s="79"/>
      <c r="B24" s="707">
        <v>1.4968392434575928</v>
      </c>
      <c r="C24" s="708">
        <v>5.4930258227461897</v>
      </c>
      <c r="D24" s="709">
        <v>-1.836905540107109</v>
      </c>
      <c r="E24" s="710">
        <v>-0.75571707396695653</v>
      </c>
      <c r="F24" s="708">
        <v>0.62509536261972742</v>
      </c>
      <c r="G24" s="711">
        <v>0.19531382886558066</v>
      </c>
      <c r="H24" s="710">
        <v>0.26600000000000001</v>
      </c>
      <c r="I24" s="708">
        <v>0.52</v>
      </c>
      <c r="J24" s="570">
        <v>1.2470000000000001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1.2470000000000001</v>
      </c>
      <c r="N24" s="632">
        <f t="shared" si="2"/>
        <v>1.4968392434575928</v>
      </c>
      <c r="O24" s="629">
        <f t="shared" si="3"/>
        <v>5.4930258227461897</v>
      </c>
      <c r="P24" s="633">
        <f t="shared" si="4"/>
        <v>-1.836905540107109</v>
      </c>
      <c r="Q24" s="585">
        <f t="shared" si="113"/>
        <v>74.757102200802137</v>
      </c>
      <c r="R24" s="629">
        <f t="shared" si="79"/>
        <v>5.6933171710445887</v>
      </c>
      <c r="S24" s="634">
        <f t="shared" si="80"/>
        <v>-1.836905540107109</v>
      </c>
      <c r="T24" s="635">
        <f t="shared" si="81"/>
        <v>5.4933391995011887</v>
      </c>
      <c r="U24" s="629">
        <f t="shared" si="82"/>
        <v>-1.4956887541647164</v>
      </c>
      <c r="V24" s="636">
        <f t="shared" si="114"/>
        <v>-1.836905540107109</v>
      </c>
      <c r="W24" s="585">
        <f t="shared" si="224"/>
        <v>344.76910219906955</v>
      </c>
      <c r="X24" s="629">
        <f t="shared" si="83"/>
        <v>5.6933171710445887</v>
      </c>
      <c r="Y24" s="630">
        <f t="shared" si="223"/>
        <v>-1.836905540107109</v>
      </c>
      <c r="Z24" s="632">
        <f t="shared" si="6"/>
        <v>0.75571707396695653</v>
      </c>
      <c r="AA24" s="629">
        <f t="shared" si="7"/>
        <v>-0.62509536261972742</v>
      </c>
      <c r="AB24" s="629">
        <f t="shared" si="8"/>
        <v>-0.19531382886558066</v>
      </c>
      <c r="AC24" s="636">
        <f t="shared" si="84"/>
        <v>1</v>
      </c>
      <c r="AD24" s="637">
        <f t="shared" si="115"/>
        <v>0.75571707396695653</v>
      </c>
      <c r="AE24" s="629">
        <f t="shared" si="85"/>
        <v>-0.62509536261972742</v>
      </c>
      <c r="AF24" s="633">
        <f t="shared" si="86"/>
        <v>-0.19531382886558066</v>
      </c>
      <c r="AG24" s="602">
        <f t="shared" si="87"/>
        <v>-72.648352931436193</v>
      </c>
      <c r="AH24" s="603">
        <f t="shared" si="88"/>
        <v>40.911934386497492</v>
      </c>
      <c r="AI24" s="585">
        <f t="shared" si="89"/>
        <v>-78.736942820422527</v>
      </c>
      <c r="AJ24" s="586">
        <f t="shared" si="90"/>
        <v>50.403968972011022</v>
      </c>
      <c r="AK24" s="635">
        <f>IF(M24="","",(COS(RADIANS((90-$Q$8)-W24))*AD24)+(-SIN(RADIANS((90-$Q$8)-W24))*AE24))</f>
        <v>0.89347572229669647</v>
      </c>
      <c r="AL24" s="629">
        <f t="shared" si="91"/>
        <v>-0.40441765777505745</v>
      </c>
      <c r="AM24" s="634">
        <f t="shared" si="92"/>
        <v>-0.19531382886558066</v>
      </c>
      <c r="AN24" s="581">
        <f t="shared" si="93"/>
        <v>-64.221743435659661</v>
      </c>
      <c r="AO24" s="582">
        <f t="shared" si="94"/>
        <v>26.686692579781042</v>
      </c>
      <c r="AP24" s="585">
        <f t="shared" si="95"/>
        <v>-24.353133228791101</v>
      </c>
      <c r="AQ24" s="586">
        <f t="shared" si="9"/>
        <v>0.40041498645107865</v>
      </c>
      <c r="AS24" s="52">
        <f t="shared" si="116"/>
        <v>-15.23089780093045</v>
      </c>
      <c r="AT24" s="72">
        <f t="shared" si="10"/>
        <v>-1.8263201944132217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1.2470000000000001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I24" s="734" cm="1">
        <f t="array" ref="II24">IFERROR(IF($IH24&lt;1,$IH24+LARGE((IF($M$9:$M$150="",0,$M$9:$M$150)-MOD(IF($M$9:$M$150="",0,$M$9:$M$150),1)),1),$IH24),"")</f>
        <v>1.147</v>
      </c>
      <c r="IJ24" s="533">
        <f t="shared" si="112"/>
        <v>1613</v>
      </c>
      <c r="IK24" s="533">
        <f t="shared" si="66"/>
        <v>1313</v>
      </c>
      <c r="IL24" s="727">
        <f t="shared" si="225"/>
        <v>11.272898372394877</v>
      </c>
      <c r="IM24" s="759">
        <v>1.37250461553141E-3</v>
      </c>
      <c r="IN24" s="5">
        <f t="shared" si="226"/>
        <v>0</v>
      </c>
      <c r="IO24" s="771">
        <v>0</v>
      </c>
      <c r="IP24" s="9">
        <f t="shared" si="227"/>
        <v>-5.6515170449754084</v>
      </c>
      <c r="IQ24" s="5">
        <f t="shared" si="228"/>
        <v>-1.8801056703987022</v>
      </c>
      <c r="IR24" s="5">
        <f t="shared" si="71"/>
        <v>0.314</v>
      </c>
      <c r="IS24" s="5">
        <f t="shared" si="229"/>
        <v>0.29900638515209266</v>
      </c>
      <c r="IT24" s="727">
        <f t="shared" si="230"/>
        <v>75.610510945804862</v>
      </c>
      <c r="IU24" s="9">
        <f t="shared" si="231"/>
        <v>-5.6933171710445887</v>
      </c>
      <c r="IV24" s="5">
        <f t="shared" si="232"/>
        <v>-1.836905540107109</v>
      </c>
      <c r="IW24" s="5">
        <f t="shared" si="76"/>
        <v>0.26600000000000001</v>
      </c>
      <c r="IX24" s="5">
        <f t="shared" si="233"/>
        <v>0.23766454213092128</v>
      </c>
      <c r="IY24" s="762">
        <f t="shared" si="234"/>
        <v>64.221743435659661</v>
      </c>
      <c r="JA24" s="798" t="str">
        <v>CPS-32193r1</v>
      </c>
      <c r="JB24" s="856" cm="1">
        <f t="array" ref="JB24">IF($JA24="","",COUNT(IF(IF($II$9:$II$150&lt;&gt;"",$IK$9:$IK$150,"")=$JA24,$IG$9:$IG$150,"")))</f>
        <v>7</v>
      </c>
      <c r="JC24" s="5"/>
      <c r="JD24" s="5"/>
      <c r="JE24" s="10"/>
      <c r="JF24" s="247" t="str">
        <v/>
      </c>
      <c r="JG24" s="803">
        <v>1</v>
      </c>
      <c r="JH24" s="787" t="str">
        <v/>
      </c>
      <c r="JI24" s="803">
        <v>0</v>
      </c>
    </row>
    <row r="25" spans="1:269" ht="15" customHeight="1" x14ac:dyDescent="0.25">
      <c r="A25" s="79"/>
      <c r="B25" s="707">
        <v>1.74070938577394</v>
      </c>
      <c r="C25" s="708">
        <v>5.5649226906149787</v>
      </c>
      <c r="D25" s="709">
        <v>-2.6468079827728759</v>
      </c>
      <c r="E25" s="710">
        <v>0.24951840776902987</v>
      </c>
      <c r="F25" s="708">
        <v>0.79769316054000627</v>
      </c>
      <c r="G25" s="711">
        <v>0.54902293741892427</v>
      </c>
      <c r="H25" s="710">
        <v>0.25700000000000001</v>
      </c>
      <c r="I25" s="708">
        <v>0.41499999999999992</v>
      </c>
      <c r="J25" s="570">
        <v>1.254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1.254</v>
      </c>
      <c r="N25" s="632">
        <f t="shared" si="2"/>
        <v>1.74070938577394</v>
      </c>
      <c r="O25" s="629">
        <f t="shared" si="3"/>
        <v>5.5649226906149787</v>
      </c>
      <c r="P25" s="633">
        <f t="shared" si="4"/>
        <v>-2.6468079827728759</v>
      </c>
      <c r="Q25" s="585">
        <f t="shared" si="113"/>
        <v>72.630302507874035</v>
      </c>
      <c r="R25" s="629">
        <f>IF(M25="","",SQRT(N25^2+O25^2))</f>
        <v>5.83081758574584</v>
      </c>
      <c r="S25" s="634">
        <f>IF(M25="","",P25)</f>
        <v>-2.6468079827728759</v>
      </c>
      <c r="T25" s="635">
        <f>IF(M25="","",X25*COS(RADIANS(W25)))</f>
        <v>5.5652871418285246</v>
      </c>
      <c r="U25" s="629">
        <f>IF(M25="","",X25*SIN(RADIANS(W25)))</f>
        <v>-1.7395438330898796</v>
      </c>
      <c r="V25" s="636">
        <f>IF(M25="","",Y25)</f>
        <v>-2.6468079827728759</v>
      </c>
      <c r="W25" s="585">
        <f t="shared" si="224"/>
        <v>342.64230250614145</v>
      </c>
      <c r="X25" s="629">
        <f>IF(M25="","",R25)</f>
        <v>5.83081758574584</v>
      </c>
      <c r="Y25" s="630">
        <f t="shared" si="223"/>
        <v>-2.6468079827728759</v>
      </c>
      <c r="Z25" s="632">
        <f t="shared" si="6"/>
        <v>-0.24951840776902987</v>
      </c>
      <c r="AA25" s="629">
        <f t="shared" si="7"/>
        <v>-0.79769316054000627</v>
      </c>
      <c r="AB25" s="629">
        <f t="shared" si="8"/>
        <v>-0.54902293741892427</v>
      </c>
      <c r="AC25" s="636">
        <f>IF(M25="","",SQRT(Z25^2+AA25^2+AB25^2))</f>
        <v>1</v>
      </c>
      <c r="AD25" s="637">
        <f>IF(M25="","",Z25*(1/SQRT(Z25^2+AA25^2+AB25^2)))</f>
        <v>-0.24951840776902987</v>
      </c>
      <c r="AE25" s="629">
        <f>IF(M25="","",AA25*(1/SQRT(Z25^2+AA25^2+AB25^2)))</f>
        <v>-0.79769316054000627</v>
      </c>
      <c r="AF25" s="633">
        <f>IF(M25="","",AB25*(1/SQRT(Z25^2+AA25^2+AB25^2)))</f>
        <v>-0.54902293741892427</v>
      </c>
      <c r="AG25" s="602">
        <f>IF(M25="","",DEGREES(ATAN2(-AF25,AE25)))</f>
        <v>-55.461789819946006</v>
      </c>
      <c r="AH25" s="603">
        <f>IF(M25="","",DEGREES(ACOS(AD25)))</f>
        <v>104.44901587767713</v>
      </c>
      <c r="AI25" s="585">
        <f>IF(M25="","",DEGREES(-ACOS(-AF25)))</f>
        <v>-56.699991813534986</v>
      </c>
      <c r="AJ25" s="586">
        <f>IF(M25="","",DEGREES(ATAN2(-AE25,AD25)))</f>
        <v>-17.369681945012825</v>
      </c>
      <c r="AK25" s="635">
        <f>IF(M25="","",(COS(RADIANS((90-$Q$8)-W25))*AD25)+(-SIN(RADIANS((90-$Q$8)-W25))*AE25))</f>
        <v>2.2679489647403628E-7</v>
      </c>
      <c r="AL25" s="629">
        <f>IF(M25="","",(SIN(RADIANS((90-$Q$8)-W25))*AD25)+(COS(RADIANS((90-$Q$8)-W25))*AE25))</f>
        <v>-0.83580728292342887</v>
      </c>
      <c r="AM25" s="634">
        <f>IF(M25="","",AF25)</f>
        <v>-0.54902293741892427</v>
      </c>
      <c r="AN25" s="581">
        <f>IF(M25="","",DEGREES(ATAN2(-AM25,AL25)))</f>
        <v>-56.699991813534027</v>
      </c>
      <c r="AO25" s="582">
        <f>IF(ROUND(IF(M25="",0,DEGREES(ACOS(AK25))),4)=90,0,IF(M25="","",DEGREES(ACOS(AK25))))</f>
        <v>0</v>
      </c>
      <c r="AP25" s="585">
        <f>IF(M25="","",DEGREES(ATAN2(AK25,AL25)))</f>
        <v>-89.999984452886878</v>
      </c>
      <c r="AQ25" s="586">
        <f t="shared" si="9"/>
        <v>0.39097282913010983</v>
      </c>
      <c r="AS25" s="52">
        <f t="shared" si="116"/>
        <v>-17.357697493858552</v>
      </c>
      <c r="AT25" s="72">
        <f t="shared" si="10"/>
        <v>-2.6347456928477886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1.254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1.1539999999999999</v>
      </c>
      <c r="II25" s="734" cm="1">
        <f t="array" ref="II25">IFERROR(IF($IH25&lt;1,$IH25+LARGE((IF($M$9:$M$150="",0,$M$9:$M$150)-MOD(IF($M$9:$M$150="",0,$M$9:$M$150),1)),1),$IH25),"")</f>
        <v>1.1539999999999999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13.14469810214041</v>
      </c>
      <c r="IM25" s="759">
        <v>2.0295171980214699E-4</v>
      </c>
      <c r="IN25" s="5">
        <f t="shared" si="226"/>
        <v>0</v>
      </c>
      <c r="IO25" s="771">
        <v>0</v>
      </c>
      <c r="IP25" s="9">
        <f t="shared" si="227"/>
        <v>-5.7985174883287449</v>
      </c>
      <c r="IQ25" s="5">
        <f t="shared" si="228"/>
        <v>-2.6648080370610403</v>
      </c>
      <c r="IR25" s="5">
        <f t="shared" si="71"/>
        <v>0.314</v>
      </c>
      <c r="IS25" s="5">
        <f t="shared" si="229"/>
        <v>0.29056917940206856</v>
      </c>
      <c r="IT25" s="727">
        <f t="shared" si="230"/>
        <v>84.004115704946273</v>
      </c>
      <c r="IU25" s="9">
        <f t="shared" si="231"/>
        <v>-5.83081758574584</v>
      </c>
      <c r="IV25" s="5">
        <f t="shared" si="232"/>
        <v>-2.6468079827728759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56.699991813534027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1.9128466222921634</v>
      </c>
      <c r="C26" s="708">
        <v>1.3897621670467843</v>
      </c>
      <c r="D26" s="709">
        <v>-0.23590071147654582</v>
      </c>
      <c r="E26" s="710">
        <v>-0.62342295401089265</v>
      </c>
      <c r="F26" s="708">
        <v>0.69311910094267049</v>
      </c>
      <c r="G26" s="711">
        <v>0.36184213729298692</v>
      </c>
      <c r="H26" s="710">
        <v>0.314</v>
      </c>
      <c r="I26" s="708">
        <v>0.52</v>
      </c>
      <c r="J26" s="570">
        <v>2.1110000000000002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2.1110000000000002</v>
      </c>
      <c r="N26" s="632">
        <f t="shared" si="2"/>
        <v>1.9128466222921634</v>
      </c>
      <c r="O26" s="629">
        <f t="shared" si="3"/>
        <v>1.3897621670467843</v>
      </c>
      <c r="P26" s="633">
        <f t="shared" si="4"/>
        <v>-0.23590071147654582</v>
      </c>
      <c r="Q26" s="585">
        <f t="shared" si="113"/>
        <v>35.99995581907266</v>
      </c>
      <c r="R26" s="629">
        <f>IF(M26="","",SQRT(N26^2+O26^2))</f>
        <v>2.3644071310519075</v>
      </c>
      <c r="S26" s="634">
        <f>IF(M26="","",P26)</f>
        <v>-0.23590071147654582</v>
      </c>
      <c r="T26" s="635">
        <f>IF(M26="","",X26*COS(RADIANS(W26)))</f>
        <v>1.3901627621648616</v>
      </c>
      <c r="U26" s="629">
        <f>IF(M26="","",X26*SIN(RADIANS(W26)))</f>
        <v>-1.9125555092752926</v>
      </c>
      <c r="V26" s="636">
        <f>IF(M26="","",Y26)</f>
        <v>-0.23590071147654582</v>
      </c>
      <c r="W26" s="585">
        <f t="shared" si="224"/>
        <v>306.01195581734009</v>
      </c>
      <c r="X26" s="629">
        <f>IF(M26="","",R26)</f>
        <v>2.3644071310519075</v>
      </c>
      <c r="Y26" s="630">
        <f t="shared" si="223"/>
        <v>-0.23590071147654582</v>
      </c>
      <c r="Z26" s="632">
        <f t="shared" si="6"/>
        <v>0.62342295401089265</v>
      </c>
      <c r="AA26" s="629">
        <f t="shared" si="7"/>
        <v>-0.69311910094267049</v>
      </c>
      <c r="AB26" s="629">
        <f t="shared" si="8"/>
        <v>-0.36184213729298692</v>
      </c>
      <c r="AC26" s="636">
        <f>IF(M26="","",SQRT(Z26^2+AA26^2+AB26^2))</f>
        <v>1</v>
      </c>
      <c r="AD26" s="637">
        <f>IF(M26="","",Z26*(1/SQRT(Z26^2+AA26^2+AB26^2)))</f>
        <v>0.62342295401089265</v>
      </c>
      <c r="AE26" s="629">
        <f>IF(M26="","",AA26*(1/SQRT(Z26^2+AA26^2+AB26^2)))</f>
        <v>-0.69311910094267049</v>
      </c>
      <c r="AF26" s="633">
        <f>IF(M26="","",AB26*(1/SQRT(Z26^2+AA26^2+AB26^2)))</f>
        <v>-0.36184213729298692</v>
      </c>
      <c r="AG26" s="602">
        <f>IF(M26="","",DEGREES(ATAN2(-AF26,AE26)))</f>
        <v>-62.433234556246546</v>
      </c>
      <c r="AH26" s="603">
        <f>IF(M26="","",DEGREES(ACOS(AD26)))</f>
        <v>51.433470142772769</v>
      </c>
      <c r="AI26" s="585">
        <f>IF(M26="","",DEGREES(-ACOS(-AF26)))</f>
        <v>-68.786628843697017</v>
      </c>
      <c r="AJ26" s="586">
        <f>IF(M26="","",DEGREES(ATAN2(-AE26,AD26)))</f>
        <v>41.969659352255292</v>
      </c>
      <c r="AK26" s="635">
        <f>IF(M26="","",(COS(RADIANS((90-$Q$8)-W26))*AD26)+(-SIN(RADIANS((90-$Q$8)-W26))*AE26))</f>
        <v>0.9271838753345083</v>
      </c>
      <c r="AL26" s="629">
        <f>IF(M26="","",(SIN(RADIANS((90-$Q$8)-W26))*AD26)+(COS(RADIANS((90-$Q$8)-W26))*AE26))</f>
        <v>9.6955293815894461E-2</v>
      </c>
      <c r="AM26" s="634">
        <f>IF(M26="","",AF26)</f>
        <v>-0.36184213729298692</v>
      </c>
      <c r="AN26" s="581">
        <f>IF(M26="","",DEGREES(ATAN2(-AM26,AL26)))</f>
        <v>14.999997834268243</v>
      </c>
      <c r="AO26" s="582">
        <f t="shared" si="94"/>
        <v>21.999996823593442</v>
      </c>
      <c r="AP26" s="585">
        <f>IF(M26="","",DEGREES(ATAN2(AK26,AL26)))</f>
        <v>5.9697035331826145</v>
      </c>
      <c r="AQ26" s="586">
        <f t="shared" si="9"/>
        <v>0.9640943139806325</v>
      </c>
      <c r="AS26" s="52">
        <f t="shared" si="116"/>
        <v>-53.988044182659905</v>
      </c>
      <c r="AT26" s="72">
        <f t="shared" si="10"/>
        <v>-0.19840068079534628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2.1110000000000002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2.5694503487379672</v>
      </c>
      <c r="C27" s="708">
        <v>1.8385933127590606</v>
      </c>
      <c r="D27" s="709">
        <v>-8.2100247614346936E-2</v>
      </c>
      <c r="E27" s="710">
        <v>-0.5257836058176405</v>
      </c>
      <c r="F27" s="708">
        <v>0.80429700762941503</v>
      </c>
      <c r="G27" s="711">
        <v>0.27687167311187472</v>
      </c>
      <c r="H27" s="710">
        <v>0.314</v>
      </c>
      <c r="I27" s="708">
        <v>0.52</v>
      </c>
      <c r="J27" s="570">
        <v>2.1179999999999999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2.1179999999999999</v>
      </c>
      <c r="N27" s="632">
        <f t="shared" si="2"/>
        <v>2.5694503487379672</v>
      </c>
      <c r="O27" s="629">
        <f t="shared" si="3"/>
        <v>1.8385933127590606</v>
      </c>
      <c r="P27" s="633">
        <f t="shared" si="4"/>
        <v>-8.2100247614346936E-2</v>
      </c>
      <c r="Q27" s="585">
        <f t="shared" si="113"/>
        <v>35.58595587884686</v>
      </c>
      <c r="R27" s="629">
        <f t="shared" si="79"/>
        <v>3.15950952908074</v>
      </c>
      <c r="S27" s="634">
        <f t="shared" si="80"/>
        <v>-8.2100247614346936E-2</v>
      </c>
      <c r="T27" s="635">
        <f t="shared" si="81"/>
        <v>1.8391314167751982</v>
      </c>
      <c r="U27" s="629">
        <f t="shared" si="82"/>
        <v>-2.5690652183590923</v>
      </c>
      <c r="V27" s="636">
        <f t="shared" si="114"/>
        <v>-8.2100247614346936E-2</v>
      </c>
      <c r="W27" s="585">
        <f t="shared" si="224"/>
        <v>305.59795587711426</v>
      </c>
      <c r="X27" s="629">
        <f t="shared" si="83"/>
        <v>3.15950952908074</v>
      </c>
      <c r="Y27" s="630">
        <f t="shared" si="223"/>
        <v>-8.2100247614346936E-2</v>
      </c>
      <c r="Z27" s="632">
        <f t="shared" si="6"/>
        <v>0.5257836058176405</v>
      </c>
      <c r="AA27" s="629">
        <f t="shared" si="7"/>
        <v>-0.80429700762941503</v>
      </c>
      <c r="AB27" s="629">
        <f t="shared" si="8"/>
        <v>-0.27687167311187472</v>
      </c>
      <c r="AC27" s="636">
        <f t="shared" si="84"/>
        <v>1</v>
      </c>
      <c r="AD27" s="637">
        <f t="shared" si="115"/>
        <v>0.5257836058176405</v>
      </c>
      <c r="AE27" s="629">
        <f t="shared" si="85"/>
        <v>-0.80429700762941503</v>
      </c>
      <c r="AF27" s="633">
        <f t="shared" si="86"/>
        <v>-0.27687167311187472</v>
      </c>
      <c r="AG27" s="602">
        <f t="shared" si="87"/>
        <v>-71.004457902375236</v>
      </c>
      <c r="AH27" s="603">
        <f t="shared" si="88"/>
        <v>58.278989796055619</v>
      </c>
      <c r="AI27" s="585">
        <f t="shared" si="89"/>
        <v>-73.926415235492726</v>
      </c>
      <c r="AJ27" s="586">
        <f t="shared" si="90"/>
        <v>33.173376394082453</v>
      </c>
      <c r="AK27" s="635">
        <f t="shared" si="211"/>
        <v>0.96005516692950255</v>
      </c>
      <c r="AL27" s="629">
        <f t="shared" si="91"/>
        <v>-4.0449389120185697E-2</v>
      </c>
      <c r="AM27" s="634">
        <f t="shared" si="92"/>
        <v>-0.27687167311187472</v>
      </c>
      <c r="AN27" s="581">
        <f t="shared" si="93"/>
        <v>-8.3117885497717729</v>
      </c>
      <c r="AO27" s="582">
        <f t="shared" si="94"/>
        <v>16.248912206298556</v>
      </c>
      <c r="AP27" s="585">
        <f t="shared" si="95"/>
        <v>-2.4125794847643678</v>
      </c>
      <c r="AQ27" s="586">
        <f t="shared" si="9"/>
        <v>0.72150633098623707</v>
      </c>
      <c r="AS27" s="52">
        <f t="shared" si="116"/>
        <v>-54.402044122885741</v>
      </c>
      <c r="AT27" s="72">
        <f t="shared" si="10"/>
        <v>-4.4312716974657246E-2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2.1179999999999999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3.2520835799466483</v>
      </c>
      <c r="C28" s="708">
        <v>2.2499148802361155</v>
      </c>
      <c r="D28" s="709">
        <v>-0.17260052056316999</v>
      </c>
      <c r="E28" s="710">
        <v>-0.43961730212279643</v>
      </c>
      <c r="F28" s="708">
        <v>0.86549557062770055</v>
      </c>
      <c r="G28" s="711">
        <v>0.24011256713905058</v>
      </c>
      <c r="H28" s="710">
        <v>0.314</v>
      </c>
      <c r="I28" s="708">
        <v>0.52</v>
      </c>
      <c r="J28" s="570">
        <v>2.125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2.125</v>
      </c>
      <c r="N28" s="632">
        <f t="shared" si="2"/>
        <v>3.2520835799466483</v>
      </c>
      <c r="O28" s="629">
        <f t="shared" si="3"/>
        <v>2.2499148802361155</v>
      </c>
      <c r="P28" s="633">
        <f t="shared" si="4"/>
        <v>-0.17260052056316999</v>
      </c>
      <c r="Q28" s="585">
        <f t="shared" si="113"/>
        <v>34.676956010090201</v>
      </c>
      <c r="R28" s="629">
        <f t="shared" si="79"/>
        <v>3.9545119268079723</v>
      </c>
      <c r="S28" s="634">
        <f t="shared" si="80"/>
        <v>-0.17260052056316999</v>
      </c>
      <c r="T28" s="635">
        <f t="shared" si="81"/>
        <v>2.2505959455788944</v>
      </c>
      <c r="U28" s="629">
        <f t="shared" si="82"/>
        <v>-3.2516122876213798</v>
      </c>
      <c r="V28" s="636">
        <f t="shared" si="114"/>
        <v>-0.17260052056316999</v>
      </c>
      <c r="W28" s="585">
        <f t="shared" si="224"/>
        <v>304.68895600835759</v>
      </c>
      <c r="X28" s="629">
        <f t="shared" si="83"/>
        <v>3.9545119268079723</v>
      </c>
      <c r="Y28" s="630">
        <f t="shared" si="223"/>
        <v>-0.17260052056316999</v>
      </c>
      <c r="Z28" s="632">
        <f t="shared" si="6"/>
        <v>0.43961730212279643</v>
      </c>
      <c r="AA28" s="629">
        <f t="shared" si="7"/>
        <v>-0.86549557062770055</v>
      </c>
      <c r="AB28" s="629">
        <f t="shared" si="8"/>
        <v>-0.24011256713905058</v>
      </c>
      <c r="AC28" s="636">
        <f t="shared" si="84"/>
        <v>1</v>
      </c>
      <c r="AD28" s="637">
        <f t="shared" si="115"/>
        <v>0.43961730212279643</v>
      </c>
      <c r="AE28" s="629">
        <f t="shared" si="85"/>
        <v>-0.86549557062770055</v>
      </c>
      <c r="AF28" s="633">
        <f t="shared" si="86"/>
        <v>-0.24011256713905058</v>
      </c>
      <c r="AG28" s="602">
        <f t="shared" si="87"/>
        <v>-74.494504369168638</v>
      </c>
      <c r="AH28" s="603">
        <f t="shared" si="88"/>
        <v>63.920533939929861</v>
      </c>
      <c r="AI28" s="585">
        <f t="shared" si="89"/>
        <v>-76.106815741024761</v>
      </c>
      <c r="AJ28" s="586">
        <f t="shared" si="90"/>
        <v>26.927704391214636</v>
      </c>
      <c r="AK28" s="635">
        <f t="shared" si="211"/>
        <v>0.96187987640755024</v>
      </c>
      <c r="AL28" s="629">
        <f t="shared" si="91"/>
        <v>-0.13089330947031297</v>
      </c>
      <c r="AM28" s="634">
        <f t="shared" si="92"/>
        <v>-0.24011256713905058</v>
      </c>
      <c r="AN28" s="581">
        <f t="shared" si="93"/>
        <v>-28.596263650637308</v>
      </c>
      <c r="AO28" s="582">
        <f t="shared" si="94"/>
        <v>15.870994377914428</v>
      </c>
      <c r="AP28" s="585">
        <f t="shared" si="95"/>
        <v>-7.7492516188755527</v>
      </c>
      <c r="AQ28" s="586">
        <f t="shared" si="9"/>
        <v>0.576468031647692</v>
      </c>
      <c r="AS28" s="52">
        <f t="shared" si="116"/>
        <v>-55.311043991642407</v>
      </c>
      <c r="AT28" s="72">
        <f t="shared" si="10"/>
        <v>-0.13418174001462149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2.125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3.8970307936920463</v>
      </c>
      <c r="C29" s="708">
        <v>2.5918246777478302</v>
      </c>
      <c r="D29" s="709">
        <v>-0.50970153725983647</v>
      </c>
      <c r="E29" s="710">
        <v>-0.36048931149797564</v>
      </c>
      <c r="F29" s="708">
        <v>0.91113667998275538</v>
      </c>
      <c r="G29" s="711">
        <v>0.19969328152373478</v>
      </c>
      <c r="H29" s="710">
        <v>0.314</v>
      </c>
      <c r="I29" s="708">
        <v>0.52</v>
      </c>
      <c r="J29" s="570">
        <v>2.1320000000000001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2.1320000000000001</v>
      </c>
      <c r="N29" s="632">
        <f t="shared" si="2"/>
        <v>3.8970307936920463</v>
      </c>
      <c r="O29" s="629">
        <f t="shared" si="3"/>
        <v>2.5918246777478302</v>
      </c>
      <c r="P29" s="633">
        <f t="shared" si="4"/>
        <v>-0.50970153725983647</v>
      </c>
      <c r="Q29" s="585">
        <f t="shared" si="113"/>
        <v>33.626956161691425</v>
      </c>
      <c r="R29" s="629">
        <f>IF(M29="","",SQRT(N29^2+O29^2))</f>
        <v>4.6802141155257742</v>
      </c>
      <c r="S29" s="634">
        <f>IF(M29="","",P29)</f>
        <v>-0.50970153725983647</v>
      </c>
      <c r="T29" s="635">
        <f>IF(M29="","",X29*COS(RADIANS(W29)))</f>
        <v>2.592640812999778</v>
      </c>
      <c r="U29" s="629">
        <f>IF(M29="","",X29*SIN(RADIANS(W29)))</f>
        <v>-3.8964878778118317</v>
      </c>
      <c r="V29" s="636">
        <f>IF(M29="","",Y29)</f>
        <v>-0.50970153725983647</v>
      </c>
      <c r="W29" s="585">
        <f t="shared" si="224"/>
        <v>303.63895615995881</v>
      </c>
      <c r="X29" s="629">
        <f>IF(M29="","",R29)</f>
        <v>4.6802141155257742</v>
      </c>
      <c r="Y29" s="630">
        <f t="shared" si="223"/>
        <v>-0.50970153725983647</v>
      </c>
      <c r="Z29" s="632">
        <f t="shared" si="6"/>
        <v>0.36048931149797564</v>
      </c>
      <c r="AA29" s="629">
        <f t="shared" si="7"/>
        <v>-0.91113667998275538</v>
      </c>
      <c r="AB29" s="629">
        <f t="shared" si="8"/>
        <v>-0.19969328152373478</v>
      </c>
      <c r="AC29" s="636">
        <f>IF(M29="","",SQRT(Z29^2+AA29^2+AB29^2))</f>
        <v>1</v>
      </c>
      <c r="AD29" s="637">
        <f>IF(M29="","",Z29*(1/SQRT(Z29^2+AA29^2+AB29^2)))</f>
        <v>0.36048931149797564</v>
      </c>
      <c r="AE29" s="629">
        <f>IF(M29="","",AA29*(1/SQRT(Z29^2+AA29^2+AB29^2)))</f>
        <v>-0.91113667998275538</v>
      </c>
      <c r="AF29" s="633">
        <f>IF(M29="","",AB29*(1/SQRT(Z29^2+AA29^2+AB29^2)))</f>
        <v>-0.19969328152373478</v>
      </c>
      <c r="AG29" s="602">
        <f>IF(M29="","",DEGREES(ATAN2(-AF29,AE29)))</f>
        <v>-77.637982113072454</v>
      </c>
      <c r="AH29" s="603">
        <f>IF(M29="","",DEGREES(ACOS(AD29)))</f>
        <v>68.869750646936097</v>
      </c>
      <c r="AI29" s="585">
        <f>IF(M29="","",DEGREES(-ACOS(-AF29)))</f>
        <v>-78.480976450571617</v>
      </c>
      <c r="AJ29" s="586">
        <f>IF(M29="","",DEGREES(ATAN2(-AE29,AD29)))</f>
        <v>21.586124377686549</v>
      </c>
      <c r="AK29" s="635">
        <f>IF(M29="","",(COS(RADIANS((90-$Q$8)-W29))*AD29)+(-SIN(RADIANS((90-$Q$8)-W29))*AE29))</f>
        <v>0.95830077044585438</v>
      </c>
      <c r="AL29" s="629">
        <f>IF(M29="","",(SIN(RADIANS((90-$Q$8)-W29))*AD29)+(COS(RADIANS((90-$Q$8)-W29))*AE29))</f>
        <v>-0.20440701229939384</v>
      </c>
      <c r="AM29" s="634">
        <f>IF(M29="","",AF29)</f>
        <v>-0.19969328152373478</v>
      </c>
      <c r="AN29" s="581">
        <f>IF(M29="","",DEGREES(ATAN2(-AM29,AL29)))</f>
        <v>-45.668310899205608</v>
      </c>
      <c r="AO29" s="582">
        <f t="shared" si="94"/>
        <v>16.604372311054959</v>
      </c>
      <c r="AP29" s="585">
        <f>IF(M29="","",DEGREES(ATAN2(AK29,AL29)))</f>
        <v>-12.040831784004819</v>
      </c>
      <c r="AQ29" s="586">
        <f t="shared" si="9"/>
        <v>0.48708705532607938</v>
      </c>
      <c r="AS29" s="52">
        <f t="shared" si="116"/>
        <v>-56.361043840041191</v>
      </c>
      <c r="AT29" s="72">
        <f t="shared" si="10"/>
        <v>-0.47055359014989995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2.1320000000000001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35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4.4287096655038924</v>
      </c>
      <c r="C30" s="708">
        <v>2.8420848984548406</v>
      </c>
      <c r="D30" s="709">
        <v>-1.0587031930488302</v>
      </c>
      <c r="E30" s="710">
        <v>-0.29747588347296638</v>
      </c>
      <c r="F30" s="708">
        <v>0.94364315009451882</v>
      </c>
      <c r="G30" s="711">
        <v>0.14507137564547901</v>
      </c>
      <c r="H30" s="710">
        <v>0.314</v>
      </c>
      <c r="I30" s="708">
        <v>0.52</v>
      </c>
      <c r="J30" s="570">
        <v>2.1389999999999998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2.1389999999999998</v>
      </c>
      <c r="N30" s="632">
        <f t="shared" si="2"/>
        <v>4.4287096655038924</v>
      </c>
      <c r="O30" s="629">
        <f t="shared" si="3"/>
        <v>2.8420848984548406</v>
      </c>
      <c r="P30" s="633">
        <f t="shared" si="4"/>
        <v>-1.0587031930488302</v>
      </c>
      <c r="Q30" s="585">
        <f t="shared" si="113"/>
        <v>32.689956296977478</v>
      </c>
      <c r="R30" s="629">
        <f>IF(M30="","",SQRT(N30^2+O30^2))</f>
        <v>5.2622158708430673</v>
      </c>
      <c r="S30" s="634">
        <f>IF(M30="","",P30)</f>
        <v>-1.0587031930488302</v>
      </c>
      <c r="T30" s="635">
        <f>IF(M30="","",X30*COS(RADIANS(W30)))</f>
        <v>2.8430123827635936</v>
      </c>
      <c r="U30" s="629">
        <f>IF(M30="","",X30*SIN(RADIANS(W30)))</f>
        <v>-4.4281143235925526</v>
      </c>
      <c r="V30" s="636">
        <f>IF(M30="","",Y30)</f>
        <v>-1.0587031930488302</v>
      </c>
      <c r="W30" s="585">
        <f t="shared" si="224"/>
        <v>302.70195629524488</v>
      </c>
      <c r="X30" s="629">
        <f>IF(M30="","",R30)</f>
        <v>5.2622158708430673</v>
      </c>
      <c r="Y30" s="630">
        <f t="shared" si="223"/>
        <v>-1.0587031930488302</v>
      </c>
      <c r="Z30" s="632">
        <f t="shared" si="6"/>
        <v>0.29747588347296638</v>
      </c>
      <c r="AA30" s="629">
        <f t="shared" si="7"/>
        <v>-0.94364315009451882</v>
      </c>
      <c r="AB30" s="629">
        <f t="shared" si="8"/>
        <v>-0.14507137564547901</v>
      </c>
      <c r="AC30" s="636">
        <f>IF(M30="","",SQRT(Z30^2+AA30^2+AB30^2))</f>
        <v>1</v>
      </c>
      <c r="AD30" s="637">
        <f>IF(M30="","",Z30*(1/SQRT(Z30^2+AA30^2+AB30^2)))</f>
        <v>0.29747588347296638</v>
      </c>
      <c r="AE30" s="629">
        <f>IF(M30="","",AA30*(1/SQRT(Z30^2+AA30^2+AB30^2)))</f>
        <v>-0.94364315009451882</v>
      </c>
      <c r="AF30" s="633">
        <f>IF(M30="","",AB30*(1/SQRT(Z30^2+AA30^2+AB30^2)))</f>
        <v>-0.14507137564547901</v>
      </c>
      <c r="AG30" s="602">
        <f>IF(M30="","",DEGREES(ATAN2(-AF30,AE30)))</f>
        <v>-81.260035748679698</v>
      </c>
      <c r="AH30" s="603">
        <f>IF(M30="","",DEGREES(ACOS(AD30)))</f>
        <v>72.693938264532548</v>
      </c>
      <c r="AI30" s="585">
        <f>IF(M30="","",DEGREES(-ACOS(-AF30)))</f>
        <v>-81.65858758486732</v>
      </c>
      <c r="AJ30" s="586">
        <f>IF(M30="","",DEGREES(ATAN2(-AE30,AD30)))</f>
        <v>17.497036516071717</v>
      </c>
      <c r="AK30" s="635">
        <f>IF(M30="","",(COS(RADIANS((90-$Q$8)-W30))*AD30)+(-SIN(RADIANS((90-$Q$8)-W30))*AE30))</f>
        <v>0.95483982014560942</v>
      </c>
      <c r="AL30" s="629">
        <f>IF(M30="","",(SIN(RADIANS((90-$Q$8)-W30))*AD30)+(COS(RADIANS((90-$Q$8)-W30))*AE30))</f>
        <v>-0.25929753919508908</v>
      </c>
      <c r="AM30" s="634">
        <f>IF(M30="","",AF30)</f>
        <v>-0.14507137564547901</v>
      </c>
      <c r="AN30" s="581">
        <f>IF(M30="","",DEGREES(ATAN2(-AM30,AL30)))</f>
        <v>-60.77392898930092</v>
      </c>
      <c r="AO30" s="582">
        <f>IF(ROUND(IF(M30="",0,DEGREES(ACOS(AK30))),4)=90,0,IF(M30="","",DEGREES(ACOS(AK30))))</f>
        <v>17.284768442898365</v>
      </c>
      <c r="AP30" s="585">
        <f>IF(M30="","",DEGREES(ATAN2(AK30,AL30)))</f>
        <v>-15.192919780905751</v>
      </c>
      <c r="AQ30" s="586">
        <f t="shared" si="9"/>
        <v>0.43321734492237129</v>
      </c>
      <c r="AS30" s="52">
        <f t="shared" si="116"/>
        <v>-57.298043704755116</v>
      </c>
      <c r="AT30" s="72">
        <f t="shared" si="10"/>
        <v>-1.0189045515883979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2.1389999999999998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7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4.7606394391345903</v>
      </c>
      <c r="C31" s="708">
        <v>2.9847177059055867</v>
      </c>
      <c r="D31" s="709">
        <v>-1.771105341653711</v>
      </c>
      <c r="E31" s="710">
        <v>-0.25799718576320213</v>
      </c>
      <c r="F31" s="708">
        <v>0.96243637817720451</v>
      </c>
      <c r="G31" s="711">
        <v>8.4579371595046443E-2</v>
      </c>
      <c r="H31" s="710">
        <v>0.314</v>
      </c>
      <c r="I31" s="708">
        <v>0.52</v>
      </c>
      <c r="J31" s="570">
        <v>2.1459999999999999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2.1459999999999999</v>
      </c>
      <c r="N31" s="632">
        <f t="shared" si="2"/>
        <v>4.7606394391345903</v>
      </c>
      <c r="O31" s="629">
        <f t="shared" si="3"/>
        <v>2.9847177059055867</v>
      </c>
      <c r="P31" s="633">
        <f t="shared" si="4"/>
        <v>-1.771105341653711</v>
      </c>
      <c r="Q31" s="585">
        <f t="shared" si="113"/>
        <v>32.085956384184257</v>
      </c>
      <c r="R31" s="629">
        <f>IF(M31="","",SQRT(N31^2+O31^2))</f>
        <v>5.6189169466535107</v>
      </c>
      <c r="S31" s="634">
        <f>IF(M31="","",P31)</f>
        <v>-1.771105341653711</v>
      </c>
      <c r="T31" s="635">
        <f>IF(M31="","",X31*COS(RADIANS(W31)))</f>
        <v>2.9857147062847309</v>
      </c>
      <c r="U31" s="629">
        <f>IF(M31="","",X31*SIN(RADIANS(W31)))</f>
        <v>-4.7600142170024133</v>
      </c>
      <c r="V31" s="636">
        <f>IF(M31="","",Y31)</f>
        <v>-1.771105341653711</v>
      </c>
      <c r="W31" s="585">
        <f t="shared" si="224"/>
        <v>302.09795638245168</v>
      </c>
      <c r="X31" s="629">
        <f>IF(M31="","",R31)</f>
        <v>5.6189169466535107</v>
      </c>
      <c r="Y31" s="630">
        <f t="shared" si="223"/>
        <v>-1.771105341653711</v>
      </c>
      <c r="Z31" s="632">
        <f t="shared" si="6"/>
        <v>0.25799718576320213</v>
      </c>
      <c r="AA31" s="629">
        <f t="shared" si="7"/>
        <v>-0.96243637817720451</v>
      </c>
      <c r="AB31" s="629">
        <f t="shared" si="8"/>
        <v>-8.4579371595046443E-2</v>
      </c>
      <c r="AC31" s="636">
        <f>IF(M31="","",SQRT(Z31^2+AA31^2+AB31^2))</f>
        <v>1</v>
      </c>
      <c r="AD31" s="637">
        <f>IF(M31="","",Z31*(1/SQRT(Z31^2+AA31^2+AB31^2)))</f>
        <v>0.25799718576320213</v>
      </c>
      <c r="AE31" s="629">
        <f>IF(M31="","",AA31*(1/SQRT(Z31^2+AA31^2+AB31^2)))</f>
        <v>-0.96243637817720451</v>
      </c>
      <c r="AF31" s="633">
        <f>IF(M31="","",AB31*(1/SQRT(Z31^2+AA31^2+AB31^2)))</f>
        <v>-8.4579371595046443E-2</v>
      </c>
      <c r="AG31" s="602">
        <f>IF(M31="","",DEGREES(ATAN2(-AF31,AE31)))</f>
        <v>-84.977721815317182</v>
      </c>
      <c r="AH31" s="603">
        <f>IF(M31="","",DEGREES(ACOS(AD31)))</f>
        <v>75.048744644068336</v>
      </c>
      <c r="AI31" s="585">
        <f>IF(M31="","",DEGREES(-ACOS(-AF31)))</f>
        <v>-85.148162464639356</v>
      </c>
      <c r="AJ31" s="586">
        <f>IF(M31="","",DEGREES(ATAN2(-AE31,AD31)))</f>
        <v>15.006283826095402</v>
      </c>
      <c r="AK31" s="635">
        <f>IF(M31="","",(COS(RADIANS((90-$Q$8)-W31))*AD31)+(-SIN(RADIANS((90-$Q$8)-W31))*AE31))</f>
        <v>0.95247205090243114</v>
      </c>
      <c r="AL31" s="629">
        <f>IF(M31="","",(SIN(RADIANS((90-$Q$8)-W31))*AD31)+(COS(RADIANS((90-$Q$8)-W31))*AE31))</f>
        <v>-0.29264880343220939</v>
      </c>
      <c r="AM31" s="634">
        <f>IF(M31="","",AF31)</f>
        <v>-8.4579371595046443E-2</v>
      </c>
      <c r="AN31" s="581">
        <f>IF(M31="","",DEGREES(ATAN2(-AM31,AL31)))</f>
        <v>-73.880007314671275</v>
      </c>
      <c r="AO31" s="582">
        <f t="shared" si="94"/>
        <v>17.735663839421512</v>
      </c>
      <c r="AP31" s="585">
        <f>IF(M31="","",DEGREES(ATAN2(AK31,AL31)))</f>
        <v>-17.079672558088848</v>
      </c>
      <c r="AQ31" s="586">
        <f t="shared" si="9"/>
        <v>0.40571671555492211</v>
      </c>
      <c r="AS31" s="52">
        <f t="shared" si="116"/>
        <v>-57.902043617548316</v>
      </c>
      <c r="AT31" s="72">
        <f t="shared" si="10"/>
        <v>-1.7308872558093946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2.1459999999999999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4.9162214281001857</v>
      </c>
      <c r="C32" s="708">
        <v>3.0481812534981025</v>
      </c>
      <c r="D32" s="709">
        <v>-2.5514076950456097</v>
      </c>
      <c r="E32" s="710">
        <v>-0.18327522627170126</v>
      </c>
      <c r="F32" s="708">
        <v>0.98204861368164698</v>
      </c>
      <c r="G32" s="711">
        <v>4.4617393480705481E-2</v>
      </c>
      <c r="H32" s="710">
        <v>0.314</v>
      </c>
      <c r="I32" s="708">
        <v>0.52</v>
      </c>
      <c r="J32" s="570">
        <v>2.153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2.153</v>
      </c>
      <c r="N32" s="632">
        <f t="shared" si="2"/>
        <v>4.9162214281001857</v>
      </c>
      <c r="O32" s="629">
        <f t="shared" si="3"/>
        <v>3.0481812534981025</v>
      </c>
      <c r="P32" s="633">
        <f t="shared" si="4"/>
        <v>-2.5514076950456097</v>
      </c>
      <c r="Q32" s="585">
        <f t="shared" si="113"/>
        <v>31.79995642547755</v>
      </c>
      <c r="R32" s="629">
        <f t="shared" si="79"/>
        <v>5.7845174461046183</v>
      </c>
      <c r="S32" s="634">
        <f t="shared" si="80"/>
        <v>-2.5514076950456097</v>
      </c>
      <c r="T32" s="635">
        <f t="shared" si="81"/>
        <v>3.0492108374959628</v>
      </c>
      <c r="U32" s="629">
        <f t="shared" si="82"/>
        <v>-4.9155829107834066</v>
      </c>
      <c r="V32" s="636">
        <f t="shared" si="114"/>
        <v>-2.5514076950456097</v>
      </c>
      <c r="W32" s="585">
        <f t="shared" si="224"/>
        <v>301.81195642374496</v>
      </c>
      <c r="X32" s="629">
        <f t="shared" si="83"/>
        <v>5.7845174461046183</v>
      </c>
      <c r="Y32" s="630">
        <f t="shared" si="223"/>
        <v>-2.5514076950456097</v>
      </c>
      <c r="Z32" s="632">
        <f t="shared" si="6"/>
        <v>0.18327522627170126</v>
      </c>
      <c r="AA32" s="629">
        <f t="shared" si="7"/>
        <v>-0.98204861368164698</v>
      </c>
      <c r="AB32" s="629">
        <f t="shared" si="8"/>
        <v>-4.4617393480705481E-2</v>
      </c>
      <c r="AC32" s="636">
        <f t="shared" si="84"/>
        <v>1</v>
      </c>
      <c r="AD32" s="637">
        <f t="shared" si="115"/>
        <v>0.18327522627170126</v>
      </c>
      <c r="AE32" s="629">
        <f t="shared" si="85"/>
        <v>-0.98204861368164698</v>
      </c>
      <c r="AF32" s="633">
        <f t="shared" si="86"/>
        <v>-4.4617393480705481E-2</v>
      </c>
      <c r="AG32" s="602">
        <f t="shared" si="87"/>
        <v>-87.398670950466396</v>
      </c>
      <c r="AH32" s="603">
        <f t="shared" si="88"/>
        <v>79.439409083349517</v>
      </c>
      <c r="AI32" s="585">
        <f t="shared" si="89"/>
        <v>-87.442762727897232</v>
      </c>
      <c r="AJ32" s="586">
        <f t="shared" si="90"/>
        <v>10.57123922396414</v>
      </c>
      <c r="AK32" s="635">
        <f t="shared" si="211"/>
        <v>0.9312141586844469</v>
      </c>
      <c r="AL32" s="629">
        <f t="shared" si="91"/>
        <v>-0.36173122461933771</v>
      </c>
      <c r="AM32" s="634">
        <f t="shared" si="92"/>
        <v>-4.4617393480705481E-2</v>
      </c>
      <c r="AN32" s="581">
        <f t="shared" si="93"/>
        <v>-82.968422002808765</v>
      </c>
      <c r="AO32" s="582">
        <f t="shared" si="94"/>
        <v>21.375122000722374</v>
      </c>
      <c r="AP32" s="585">
        <f t="shared" si="95"/>
        <v>-21.228717201513394</v>
      </c>
      <c r="AQ32" s="586">
        <f t="shared" si="9"/>
        <v>0.39410213560379398</v>
      </c>
      <c r="AS32" s="52">
        <f t="shared" si="116"/>
        <v>-58.188043576255041</v>
      </c>
      <c r="AT32" s="72">
        <f t="shared" si="10"/>
        <v>-2.5109909981188578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2.153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4.9951360767903479</v>
      </c>
      <c r="C33" s="708">
        <v>3.07951634104773</v>
      </c>
      <c r="D33" s="709">
        <v>-3.3486100994080594</v>
      </c>
      <c r="E33" s="710">
        <v>0.11368238340063659</v>
      </c>
      <c r="F33" s="708">
        <v>0.99351712380412438</v>
      </c>
      <c r="G33" s="711">
        <v>-2.0102818432056815E-4</v>
      </c>
      <c r="H33" s="710">
        <v>0.314</v>
      </c>
      <c r="I33" s="708">
        <v>0.52</v>
      </c>
      <c r="J33" s="570">
        <v>2.16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2.16</v>
      </c>
      <c r="N33" s="632">
        <f t="shared" si="2"/>
        <v>4.9951360767903479</v>
      </c>
      <c r="O33" s="629">
        <f t="shared" si="3"/>
        <v>3.07951634104773</v>
      </c>
      <c r="P33" s="633">
        <f t="shared" si="4"/>
        <v>-3.3486100994080594</v>
      </c>
      <c r="Q33" s="585">
        <f t="shared" si="113"/>
        <v>31.653956446557341</v>
      </c>
      <c r="R33" s="629">
        <f t="shared" si="79"/>
        <v>5.8681176982429779</v>
      </c>
      <c r="S33" s="634">
        <f t="shared" si="80"/>
        <v>-3.3486100994080594</v>
      </c>
      <c r="T33" s="635">
        <f t="shared" si="81"/>
        <v>3.0805624522012005</v>
      </c>
      <c r="U33" s="629">
        <f t="shared" si="82"/>
        <v>-4.9944909949383822</v>
      </c>
      <c r="V33" s="636">
        <f t="shared" si="114"/>
        <v>-3.3486100994080594</v>
      </c>
      <c r="W33" s="585">
        <f t="shared" si="224"/>
        <v>301.66595644482476</v>
      </c>
      <c r="X33" s="629">
        <f t="shared" si="83"/>
        <v>5.8681176982429779</v>
      </c>
      <c r="Y33" s="630">
        <f t="shared" si="223"/>
        <v>-3.3486100994080594</v>
      </c>
      <c r="Z33" s="632">
        <f t="shared" si="6"/>
        <v>-0.11368238340063659</v>
      </c>
      <c r="AA33" s="629">
        <f t="shared" si="7"/>
        <v>-0.99351712380412438</v>
      </c>
      <c r="AB33" s="629">
        <f t="shared" si="8"/>
        <v>2.0102818432056815E-4</v>
      </c>
      <c r="AC33" s="636">
        <f t="shared" si="84"/>
        <v>1</v>
      </c>
      <c r="AD33" s="637">
        <f t="shared" si="115"/>
        <v>-0.11368238340063659</v>
      </c>
      <c r="AE33" s="629">
        <f t="shared" si="85"/>
        <v>-0.99351712380412438</v>
      </c>
      <c r="AF33" s="633">
        <f t="shared" si="86"/>
        <v>2.0102818432056815E-4</v>
      </c>
      <c r="AG33" s="602">
        <f t="shared" si="87"/>
        <v>-90.01159322380218</v>
      </c>
      <c r="AH33" s="603">
        <f t="shared" si="88"/>
        <v>96.527632780511198</v>
      </c>
      <c r="AI33" s="585">
        <f t="shared" si="89"/>
        <v>-90.011518066602321</v>
      </c>
      <c r="AJ33" s="586">
        <f t="shared" si="90"/>
        <v>-6.5276329129832789</v>
      </c>
      <c r="AK33" s="635">
        <f t="shared" si="211"/>
        <v>0.78605554759621943</v>
      </c>
      <c r="AL33" s="629">
        <f t="shared" si="91"/>
        <v>-0.61815583446318501</v>
      </c>
      <c r="AM33" s="634">
        <f t="shared" si="92"/>
        <v>2.0102818432056815E-4</v>
      </c>
      <c r="AN33" s="581">
        <f t="shared" si="93"/>
        <v>-90.018632948969412</v>
      </c>
      <c r="AO33" s="582">
        <f t="shared" si="94"/>
        <v>38.181590831723611</v>
      </c>
      <c r="AP33" s="585">
        <f t="shared" si="95"/>
        <v>-38.18158935954061</v>
      </c>
      <c r="AQ33" s="586">
        <f t="shared" si="9"/>
        <v>0.38848772524024017</v>
      </c>
      <c r="AS33" s="52">
        <f t="shared" si="116"/>
        <v>-58.334043555175242</v>
      </c>
      <c r="AT33" s="72">
        <f t="shared" si="10"/>
        <v>-3.3080920136070575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2.16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5.0372043502158572</v>
      </c>
      <c r="C34" s="708">
        <v>3.0958745855901344</v>
      </c>
      <c r="D34" s="709">
        <v>-4.1081123900669674</v>
      </c>
      <c r="E34" s="710">
        <v>0.14651531816872729</v>
      </c>
      <c r="F34" s="708">
        <v>0.98920840147154809</v>
      </c>
      <c r="G34" s="711">
        <v>1.4578093208816876E-7</v>
      </c>
      <c r="H34" s="710">
        <v>0.314</v>
      </c>
      <c r="I34" s="708">
        <v>0.52</v>
      </c>
      <c r="J34" s="570">
        <v>2.1669999999999998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2.1669999999999998</v>
      </c>
      <c r="N34" s="632">
        <f t="shared" si="2"/>
        <v>5.0372043502158572</v>
      </c>
      <c r="O34" s="629">
        <f t="shared" si="3"/>
        <v>3.0958745855901344</v>
      </c>
      <c r="P34" s="633">
        <f t="shared" si="4"/>
        <v>-4.1081123900669674</v>
      </c>
      <c r="Q34" s="585">
        <f t="shared" si="113"/>
        <v>31.574956457963538</v>
      </c>
      <c r="R34" s="629">
        <f>IF(M34="","",SQRT(N34^2+O34^2))</f>
        <v>5.9125178321537808</v>
      </c>
      <c r="S34" s="634">
        <f>IF(M34="","",P34)</f>
        <v>-4.1081123900669674</v>
      </c>
      <c r="T34" s="635">
        <f>IF(M34="","",X34*COS(RADIANS(W34)))</f>
        <v>3.0969295071420775</v>
      </c>
      <c r="U34" s="629">
        <f>IF(M34="","",X34*SIN(RADIANS(W34)))</f>
        <v>-5.0365558413790241</v>
      </c>
      <c r="V34" s="636">
        <f>IF(M34="","",Y34)</f>
        <v>-4.1081123900669674</v>
      </c>
      <c r="W34" s="585">
        <f t="shared" si="224"/>
        <v>301.58695645623095</v>
      </c>
      <c r="X34" s="629">
        <f>IF(M34="","",R34)</f>
        <v>5.9125178321537808</v>
      </c>
      <c r="Y34" s="630">
        <f t="shared" si="223"/>
        <v>-4.1081123900669674</v>
      </c>
      <c r="Z34" s="632">
        <f t="shared" si="6"/>
        <v>-0.14651531816872729</v>
      </c>
      <c r="AA34" s="629">
        <f t="shared" si="7"/>
        <v>-0.98920840147154809</v>
      </c>
      <c r="AB34" s="629">
        <f t="shared" si="8"/>
        <v>-1.4578093208816876E-7</v>
      </c>
      <c r="AC34" s="636">
        <f>IF(M34="","",SQRT(Z34^2+AA34^2+AB34^2))</f>
        <v>1</v>
      </c>
      <c r="AD34" s="637">
        <f>IF(M34="","",Z34*(1/SQRT(Z34^2+AA34^2+AB34^2)))</f>
        <v>-0.14651531816872729</v>
      </c>
      <c r="AE34" s="629">
        <f>IF(M34="","",AA34*(1/SQRT(Z34^2+AA34^2+AB34^2)))</f>
        <v>-0.98920840147154809</v>
      </c>
      <c r="AF34" s="633">
        <f>IF(M34="","",AB34*(1/SQRT(Z34^2+AA34^2+AB34^2)))</f>
        <v>-1.4578093208816876E-7</v>
      </c>
      <c r="AG34" s="602">
        <f>IF(M34="","",DEGREES(ATAN2(-AF34,AE34)))</f>
        <v>-89.999991556246258</v>
      </c>
      <c r="AH34" s="603">
        <f>IF(M34="","",DEGREES(ACOS(AD34)))</f>
        <v>98.425037766751046</v>
      </c>
      <c r="AI34" s="585">
        <f>IF(M34="","",DEGREES(-ACOS(-AF34)))</f>
        <v>-89.999991647367864</v>
      </c>
      <c r="AJ34" s="586">
        <f>IF(M34="","",DEGREES(ATAN2(-AE34,AD34)))</f>
        <v>-8.4250377667511405</v>
      </c>
      <c r="AK34" s="635">
        <f>IF(M34="","",(COS(RADIANS((90-$Q$8)-W34))*AD34)+(-SIN(RADIANS((90-$Q$8)-W34))*AE34))</f>
        <v>0.76604450791050682</v>
      </c>
      <c r="AL34" s="629">
        <f>IF(M34="","",(SIN(RADIANS((90-$Q$8)-W34))*AD34)+(COS(RADIANS((90-$Q$8)-W34))*AE34))</f>
        <v>-0.64278753247097764</v>
      </c>
      <c r="AM34" s="634">
        <f>IF(M34="","",AF34)</f>
        <v>-1.4578093208816876E-7</v>
      </c>
      <c r="AN34" s="581">
        <f>IF(M34="","",DEGREES(ATAN2(-AM34,AL34)))</f>
        <v>-89.999987005609611</v>
      </c>
      <c r="AO34" s="582">
        <f t="shared" si="94"/>
        <v>39.999994224715422</v>
      </c>
      <c r="AP34" s="585">
        <f>IF(M34="","",DEGREES(ATAN2(AK34,AL34)))</f>
        <v>-39.99999422471469</v>
      </c>
      <c r="AQ34" s="586">
        <f t="shared" si="9"/>
        <v>0.38557045973782411</v>
      </c>
      <c r="AS34" s="52">
        <f t="shared" si="116"/>
        <v>-58.413043543769049</v>
      </c>
      <c r="AT34" s="72">
        <f t="shared" si="10"/>
        <v>-4.0675394431627758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2.1669999999999998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3.7181645321348573</v>
      </c>
      <c r="C35" s="708">
        <v>1.3751442831033309</v>
      </c>
      <c r="D35" s="709">
        <v>-0.11480034623784426</v>
      </c>
      <c r="E35" s="710">
        <v>-0.16619710219914091</v>
      </c>
      <c r="F35" s="708">
        <v>0.90079188379638042</v>
      </c>
      <c r="G35" s="711">
        <v>0.40118886488432942</v>
      </c>
      <c r="H35" s="710">
        <v>0.26600000000000001</v>
      </c>
      <c r="I35" s="708">
        <v>0.52</v>
      </c>
      <c r="J35" s="570">
        <v>2.2250000000000001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2.2250000000000001</v>
      </c>
      <c r="N35" s="632">
        <f t="shared" si="2"/>
        <v>3.7181645321348573</v>
      </c>
      <c r="O35" s="629">
        <f t="shared" si="3"/>
        <v>1.3751442831033309</v>
      </c>
      <c r="P35" s="633">
        <f t="shared" si="4"/>
        <v>-0.11480034623784426</v>
      </c>
      <c r="Q35" s="585">
        <f t="shared" si="113"/>
        <v>20.29665808634833</v>
      </c>
      <c r="R35" s="629">
        <f>IF(M35="","",SQRT(N35^2+O35^2))</f>
        <v>3.9643119563648614</v>
      </c>
      <c r="S35" s="634">
        <f>IF(M35="","",P35)</f>
        <v>-0.11480034623784426</v>
      </c>
      <c r="T35" s="635">
        <f>IF(M35="","",X35*COS(RADIANS(W35)))</f>
        <v>1.3759229833835205</v>
      </c>
      <c r="U35" s="629">
        <f>IF(M35="","",X35*SIN(RADIANS(W35)))</f>
        <v>-3.7178764410849356</v>
      </c>
      <c r="V35" s="636">
        <f>IF(M35="","",Y35)</f>
        <v>-0.11480034623784426</v>
      </c>
      <c r="W35" s="585">
        <f t="shared" si="224"/>
        <v>290.30865808461573</v>
      </c>
      <c r="X35" s="629">
        <f>IF(M35="","",R35)</f>
        <v>3.9643119563648614</v>
      </c>
      <c r="Y35" s="630">
        <f t="shared" si="223"/>
        <v>-0.11480034623784426</v>
      </c>
      <c r="Z35" s="632">
        <f t="shared" si="6"/>
        <v>0.16619710219914091</v>
      </c>
      <c r="AA35" s="629">
        <f t="shared" si="7"/>
        <v>-0.90079188379638042</v>
      </c>
      <c r="AB35" s="629">
        <f t="shared" si="8"/>
        <v>-0.40118886488432942</v>
      </c>
      <c r="AC35" s="636">
        <f>IF(M35="","",SQRT(Z35^2+AA35^2+AB35^2))</f>
        <v>1</v>
      </c>
      <c r="AD35" s="637">
        <f>IF(M35="","",Z35*(1/SQRT(Z35^2+AA35^2+AB35^2)))</f>
        <v>0.16619710219914091</v>
      </c>
      <c r="AE35" s="629">
        <f>IF(M35="","",AA35*(1/SQRT(Z35^2+AA35^2+AB35^2)))</f>
        <v>-0.90079188379638042</v>
      </c>
      <c r="AF35" s="633">
        <f>IF(M35="","",AB35*(1/SQRT(Z35^2+AA35^2+AB35^2)))</f>
        <v>-0.40118886488432942</v>
      </c>
      <c r="AG35" s="602">
        <f>IF(M35="","",DEGREES(ATAN2(-AF35,AE35)))</f>
        <v>-65.993074122250334</v>
      </c>
      <c r="AH35" s="603">
        <f>IF(M35="","",DEGREES(ACOS(AD35)))</f>
        <v>80.433216375217725</v>
      </c>
      <c r="AI35" s="585">
        <f>IF(M35="","",DEGREES(-ACOS(-AF35)))</f>
        <v>-66.347478776299454</v>
      </c>
      <c r="AJ35" s="586">
        <f>IF(M35="","",DEGREES(ATAN2(-AE35,AD35)))</f>
        <v>10.453577296529192</v>
      </c>
      <c r="AK35" s="635">
        <f>IF(M35="","",(COS(RADIANS((90-$Q$8)-W35))*AD35)+(-SIN(RADIANS((90-$Q$8)-W35))*AE35))</f>
        <v>0.90251157514982472</v>
      </c>
      <c r="AL35" s="629">
        <f>IF(M35="","",(SIN(RADIANS((90-$Q$8)-W35))*AD35)+(COS(RADIANS((90-$Q$8)-W35))*AE35))</f>
        <v>-0.15658975513553144</v>
      </c>
      <c r="AM35" s="634">
        <f>IF(M35="","",AF35)</f>
        <v>-0.40118886488432942</v>
      </c>
      <c r="AN35" s="581">
        <f>IF(M35="","",DEGREES(ATAN2(-AM35,AL35)))</f>
        <v>-21.32141311420159</v>
      </c>
      <c r="AO35" s="582">
        <f t="shared" si="94"/>
        <v>25.509808036124966</v>
      </c>
      <c r="AP35" s="585">
        <f>IF(M35="","",DEGREES(ATAN2(AK35,AL35)))</f>
        <v>-9.8430807898191173</v>
      </c>
      <c r="AQ35" s="586">
        <f t="shared" si="9"/>
        <v>0.5750430620753687</v>
      </c>
      <c r="AS35" s="52">
        <f t="shared" si="116"/>
        <v>-69.691341915384271</v>
      </c>
      <c r="AT35" s="72">
        <f t="shared" si="10"/>
        <v>-6.6395247686697245E-2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2.2250000000000001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2.125</v>
      </c>
      <c r="II35" s="734" cm="1">
        <f t="array" ref="II35">IFERROR(IF($IH35&lt;1,$IH35+LARGE((IF($M$9:$M$150="",0,$M$9:$M$150)-MOD(IF($M$9:$M$150="",0,$M$9:$M$150),1)),1),$IH35),"")</f>
        <v>2.125</v>
      </c>
      <c r="IJ35" s="533">
        <f t="shared" si="112"/>
        <v>1613</v>
      </c>
      <c r="IK35" s="533">
        <f t="shared" si="66"/>
        <v>1313</v>
      </c>
      <c r="IL35" s="727">
        <f t="shared" si="225"/>
        <v>14.380297923741864</v>
      </c>
      <c r="IM35" s="759">
        <v>3.3174112413885798E-3</v>
      </c>
      <c r="IN35" s="5">
        <f t="shared" si="226"/>
        <v>0.06</v>
      </c>
      <c r="IO35" s="771">
        <v>30</v>
      </c>
      <c r="IP35" s="9">
        <f t="shared" si="227"/>
        <v>-3.9545119268079723</v>
      </c>
      <c r="IQ35" s="5">
        <f t="shared" si="228"/>
        <v>-0.17260052056316999</v>
      </c>
      <c r="IR35" s="5">
        <f t="shared" si="71"/>
        <v>0.314</v>
      </c>
      <c r="IS35" s="5">
        <f t="shared" si="229"/>
        <v>0.30203028119197078</v>
      </c>
      <c r="IT35" s="727">
        <f t="shared" si="230"/>
        <v>28.596263650637308</v>
      </c>
      <c r="IU35" s="9">
        <f t="shared" si="231"/>
        <v>-3.9643119563648614</v>
      </c>
      <c r="IV35" s="5">
        <f t="shared" si="232"/>
        <v>-0.11480034623784426</v>
      </c>
      <c r="IW35" s="5">
        <f t="shared" si="76"/>
        <v>0.26600000000000001</v>
      </c>
      <c r="IX35" s="5">
        <f t="shared" si="233"/>
        <v>0.24006807898985338</v>
      </c>
      <c r="IY35" s="762">
        <f t="shared" si="234"/>
        <v>21.32141311420159</v>
      </c>
    </row>
    <row r="36" spans="1:267" ht="15" customHeight="1" x14ac:dyDescent="0.25">
      <c r="A36" s="79"/>
      <c r="B36" s="707">
        <v>4.3833712239246756</v>
      </c>
      <c r="C36" s="708">
        <v>1.6989794681309034</v>
      </c>
      <c r="D36" s="709">
        <v>-0.45430137017293248</v>
      </c>
      <c r="E36" s="710">
        <v>-8.3437061674299456E-2</v>
      </c>
      <c r="F36" s="708">
        <v>0.93199152419792131</v>
      </c>
      <c r="G36" s="711">
        <v>0.35274644656239212</v>
      </c>
      <c r="H36" s="710">
        <v>0.26600000000000001</v>
      </c>
      <c r="I36" s="708">
        <v>0.52</v>
      </c>
      <c r="J36" s="570">
        <v>2.2320000000000002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2.2320000000000002</v>
      </c>
      <c r="N36" s="632">
        <f t="shared" si="2"/>
        <v>4.3833712239246756</v>
      </c>
      <c r="O36" s="629">
        <f t="shared" si="3"/>
        <v>1.6989794681309034</v>
      </c>
      <c r="P36" s="633">
        <f t="shared" si="4"/>
        <v>-0.45430137017293248</v>
      </c>
      <c r="Q36" s="585">
        <f t="shared" si="113"/>
        <v>21.186157957920447</v>
      </c>
      <c r="R36" s="629">
        <f>IF(M36="","",SQRT(N36^2+O36^2))</f>
        <v>4.7011141785603625</v>
      </c>
      <c r="S36" s="634">
        <f>IF(M36="","",P36)</f>
        <v>-0.45430137017293248</v>
      </c>
      <c r="T36" s="635">
        <f>IF(M36="","",X36*COS(RADIANS(W36)))</f>
        <v>1.6998974818511996</v>
      </c>
      <c r="U36" s="629">
        <f>IF(M36="","",X36*SIN(RADIANS(W36)))</f>
        <v>-4.3830152944128793</v>
      </c>
      <c r="V36" s="636">
        <f>IF(M36="","",Y36)</f>
        <v>-0.45430137017293248</v>
      </c>
      <c r="W36" s="585">
        <f t="shared" si="224"/>
        <v>291.19815795618786</v>
      </c>
      <c r="X36" s="629">
        <f>IF(M36="","",R36)</f>
        <v>4.7011141785603625</v>
      </c>
      <c r="Y36" s="630">
        <f t="shared" si="223"/>
        <v>-0.45430137017293248</v>
      </c>
      <c r="Z36" s="632">
        <f t="shared" si="6"/>
        <v>8.3437061674299456E-2</v>
      </c>
      <c r="AA36" s="629">
        <f t="shared" si="7"/>
        <v>-0.93199152419792131</v>
      </c>
      <c r="AB36" s="629">
        <f t="shared" si="8"/>
        <v>-0.35274644656239212</v>
      </c>
      <c r="AC36" s="636">
        <f>IF(M36="","",SQRT(Z36^2+AA36^2+AB36^2))</f>
        <v>1</v>
      </c>
      <c r="AD36" s="637">
        <f>IF(M36="","",Z36*(1/SQRT(Z36^2+AA36^2+AB36^2)))</f>
        <v>8.3437061674299456E-2</v>
      </c>
      <c r="AE36" s="629">
        <f>IF(M36="","",AA36*(1/SQRT(Z36^2+AA36^2+AB36^2)))</f>
        <v>-0.93199152419792131</v>
      </c>
      <c r="AF36" s="633">
        <f>IF(M36="","",AB36*(1/SQRT(Z36^2+AA36^2+AB36^2)))</f>
        <v>-0.35274644656239212</v>
      </c>
      <c r="AG36" s="602">
        <f>IF(M36="","",DEGREES(ATAN2(-AF36,AE36)))</f>
        <v>-69.269009544723929</v>
      </c>
      <c r="AH36" s="603">
        <f>IF(M36="","",DEGREES(ACOS(AD36)))</f>
        <v>85.213844186476877</v>
      </c>
      <c r="AI36" s="585">
        <f>IF(M36="","",DEGREES(-ACOS(-AF36)))</f>
        <v>-69.344607642157982</v>
      </c>
      <c r="AJ36" s="586">
        <f>IF(M36="","",DEGREES(ATAN2(-AE36,AD36)))</f>
        <v>5.1157983363828281</v>
      </c>
      <c r="AK36" s="635">
        <f>IF(M36="","",(COS(RADIANS((90-$Q$8)-W36))*AD36)+(-SIN(RADIANS((90-$Q$8)-W36))*AE36))</f>
        <v>0.89915337560916853</v>
      </c>
      <c r="AL36" s="629">
        <f>IF(M36="","",(SIN(RADIANS((90-$Q$8)-W36))*AD36)+(COS(RADIANS((90-$Q$8)-W36))*AE36))</f>
        <v>-0.25902345756367895</v>
      </c>
      <c r="AM36" s="634">
        <f>IF(M36="","",AF36)</f>
        <v>-0.35274644656239212</v>
      </c>
      <c r="AN36" s="581">
        <f>IF(M36="","",DEGREES(ATAN2(-AM36,AL36)))</f>
        <v>-36.290021805895506</v>
      </c>
      <c r="AO36" s="582">
        <f t="shared" si="94"/>
        <v>25.952995572719352</v>
      </c>
      <c r="AP36" s="585">
        <f>IF(M36="","",DEGREES(ATAN2(AK36,AL36)))</f>
        <v>-16.070359621537591</v>
      </c>
      <c r="AQ36" s="586">
        <f t="shared" si="9"/>
        <v>0.48492168291538051</v>
      </c>
      <c r="AS36" s="52">
        <f t="shared" si="116"/>
        <v>-68.801842043812144</v>
      </c>
      <c r="AT36" s="72">
        <f t="shared" si="10"/>
        <v>-0.4065139798659328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2.2320000000000002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2.1320000000000001</v>
      </c>
      <c r="II36" s="734" cm="1">
        <f t="array" ref="II36">IFERROR(IF($IH36&lt;1,$IH36+LARGE((IF($M$9:$M$150="",0,$M$9:$M$150)-MOD(IF($M$9:$M$150="",0,$M$9:$M$150),1)),1),$IH36),"")</f>
        <v>2.1320000000000001</v>
      </c>
      <c r="IJ36" s="533">
        <f t="shared" si="112"/>
        <v>1613</v>
      </c>
      <c r="IK36" s="533">
        <f t="shared" si="66"/>
        <v>1313</v>
      </c>
      <c r="IL36" s="727">
        <f t="shared" si="225"/>
        <v>12.440798203770953</v>
      </c>
      <c r="IM36" s="759">
        <v>2.5452137950957702E-3</v>
      </c>
      <c r="IN36" s="5">
        <f t="shared" si="226"/>
        <v>0.04</v>
      </c>
      <c r="IO36" s="771">
        <v>20</v>
      </c>
      <c r="IP36" s="9">
        <f t="shared" si="227"/>
        <v>-4.6802141155257742</v>
      </c>
      <c r="IQ36" s="5">
        <f t="shared" si="228"/>
        <v>-0.50970153725983647</v>
      </c>
      <c r="IR36" s="5">
        <f t="shared" si="71"/>
        <v>0.314</v>
      </c>
      <c r="IS36" s="5">
        <f t="shared" si="229"/>
        <v>0.30090644191999827</v>
      </c>
      <c r="IT36" s="727">
        <f t="shared" si="230"/>
        <v>45.668310899205608</v>
      </c>
      <c r="IU36" s="9">
        <f t="shared" si="231"/>
        <v>-4.7011141785603625</v>
      </c>
      <c r="IV36" s="5">
        <f t="shared" si="232"/>
        <v>-0.45430137017293248</v>
      </c>
      <c r="IW36" s="5">
        <f t="shared" si="76"/>
        <v>0.26600000000000001</v>
      </c>
      <c r="IX36" s="5">
        <f t="shared" si="233"/>
        <v>0.23917479791203883</v>
      </c>
      <c r="IY36" s="762">
        <f t="shared" si="234"/>
        <v>36.290021805895506</v>
      </c>
    </row>
    <row r="37" spans="1:267" ht="15" customHeight="1" x14ac:dyDescent="0.25">
      <c r="A37" s="79"/>
      <c r="B37" s="707">
        <v>4.9321553307648358</v>
      </c>
      <c r="C37" s="708">
        <v>1.9222786133915992</v>
      </c>
      <c r="D37" s="709">
        <v>-1.0078030395339674</v>
      </c>
      <c r="E37" s="710">
        <v>-7.8224585742202313E-3</v>
      </c>
      <c r="F37" s="708">
        <v>0.9584969773066514</v>
      </c>
      <c r="G37" s="711">
        <v>0.28499535721809077</v>
      </c>
      <c r="H37" s="710">
        <v>0.26600000000000001</v>
      </c>
      <c r="I37" s="708">
        <v>0.52</v>
      </c>
      <c r="J37" s="570">
        <v>2.2389999999999999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2.2389999999999999</v>
      </c>
      <c r="N37" s="632">
        <f t="shared" si="2"/>
        <v>4.9321553307648358</v>
      </c>
      <c r="O37" s="629">
        <f t="shared" si="3"/>
        <v>1.9222786133915992</v>
      </c>
      <c r="P37" s="633">
        <f t="shared" si="4"/>
        <v>-1.0078030395339674</v>
      </c>
      <c r="Q37" s="585">
        <f t="shared" si="113"/>
        <v>21.293057942485994</v>
      </c>
      <c r="R37" s="629">
        <f t="shared" si="79"/>
        <v>5.2935159652441506</v>
      </c>
      <c r="S37" s="634">
        <f t="shared" si="80"/>
        <v>-1.0078030395339674</v>
      </c>
      <c r="T37" s="635">
        <f t="shared" si="81"/>
        <v>1.9233115592715235</v>
      </c>
      <c r="U37" s="629">
        <f t="shared" si="82"/>
        <v>-4.931752621560336</v>
      </c>
      <c r="V37" s="636">
        <f t="shared" si="114"/>
        <v>-1.0078030395339674</v>
      </c>
      <c r="W37" s="585">
        <f t="shared" si="224"/>
        <v>291.30505794075339</v>
      </c>
      <c r="X37" s="629">
        <f t="shared" si="83"/>
        <v>5.2935159652441506</v>
      </c>
      <c r="Y37" s="630">
        <f t="shared" si="223"/>
        <v>-1.0078030395339674</v>
      </c>
      <c r="Z37" s="632">
        <f t="shared" si="6"/>
        <v>7.8224585742202313E-3</v>
      </c>
      <c r="AA37" s="629">
        <f t="shared" si="7"/>
        <v>-0.9584969773066514</v>
      </c>
      <c r="AB37" s="629">
        <f t="shared" si="8"/>
        <v>-0.28499535721809077</v>
      </c>
      <c r="AC37" s="636">
        <f t="shared" si="84"/>
        <v>1</v>
      </c>
      <c r="AD37" s="637">
        <f t="shared" si="115"/>
        <v>7.8224585742202313E-3</v>
      </c>
      <c r="AE37" s="629">
        <f t="shared" si="85"/>
        <v>-0.9584969773066514</v>
      </c>
      <c r="AF37" s="633">
        <f t="shared" si="86"/>
        <v>-0.28499535721809077</v>
      </c>
      <c r="AG37" s="602">
        <f t="shared" si="87"/>
        <v>-73.44090770116911</v>
      </c>
      <c r="AH37" s="603">
        <f t="shared" si="88"/>
        <v>89.551801567260881</v>
      </c>
      <c r="AI37" s="585">
        <f t="shared" si="89"/>
        <v>-73.441428934614152</v>
      </c>
      <c r="AJ37" s="586">
        <f t="shared" si="90"/>
        <v>0.46759032330589034</v>
      </c>
      <c r="AK37" s="635">
        <f t="shared" si="211"/>
        <v>0.89590603903045229</v>
      </c>
      <c r="AL37" s="629">
        <f t="shared" si="91"/>
        <v>-0.34077854332821267</v>
      </c>
      <c r="AM37" s="634">
        <f t="shared" si="92"/>
        <v>-0.28499535721809077</v>
      </c>
      <c r="AN37" s="581">
        <f t="shared" si="93"/>
        <v>-50.094036842367849</v>
      </c>
      <c r="AO37" s="582">
        <f t="shared" si="94"/>
        <v>26.374954167078108</v>
      </c>
      <c r="AP37" s="585">
        <f t="shared" si="95"/>
        <v>-20.825467619180081</v>
      </c>
      <c r="AQ37" s="586">
        <f t="shared" si="9"/>
        <v>0.4306558656226544</v>
      </c>
      <c r="AS37" s="52">
        <f t="shared" si="116"/>
        <v>-68.694942059246614</v>
      </c>
      <c r="AT37" s="72">
        <f t="shared" si="10"/>
        <v>-0.9600898853273605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2.2389999999999999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2.1389999999999998</v>
      </c>
      <c r="II37" s="734" cm="1">
        <f t="array" ref="II37">IFERROR(IF($IH37&lt;1,$IH37+LARGE((IF($M$9:$M$150="",0,$M$9:$M$150)-MOD(IF($M$9:$M$150="",0,$M$9:$M$150),1)),1),$IH37),"")</f>
        <v>2.1389999999999998</v>
      </c>
      <c r="IJ37" s="533">
        <f t="shared" si="112"/>
        <v>1613</v>
      </c>
      <c r="IK37" s="533">
        <f t="shared" si="66"/>
        <v>1313</v>
      </c>
      <c r="IL37" s="727">
        <f t="shared" si="225"/>
        <v>11.396898354491498</v>
      </c>
      <c r="IM37" s="759">
        <v>1.83448961644225E-3</v>
      </c>
      <c r="IN37" s="5">
        <f t="shared" si="226"/>
        <v>0.02</v>
      </c>
      <c r="IO37" s="771">
        <v>10</v>
      </c>
      <c r="IP37" s="9">
        <f t="shared" si="227"/>
        <v>-5.2622158708430673</v>
      </c>
      <c r="IQ37" s="5">
        <f t="shared" si="228"/>
        <v>-1.0587031930488302</v>
      </c>
      <c r="IR37" s="5">
        <f t="shared" si="71"/>
        <v>0.314</v>
      </c>
      <c r="IS37" s="5">
        <f t="shared" si="229"/>
        <v>0.29981970352572135</v>
      </c>
      <c r="IT37" s="727">
        <f t="shared" si="230"/>
        <v>60.77392898930092</v>
      </c>
      <c r="IU37" s="9">
        <f t="shared" si="231"/>
        <v>-5.2935159652441506</v>
      </c>
      <c r="IV37" s="5">
        <f t="shared" si="232"/>
        <v>-1.0078030395339674</v>
      </c>
      <c r="IW37" s="5">
        <f t="shared" si="76"/>
        <v>0.26600000000000001</v>
      </c>
      <c r="IX37" s="5">
        <f t="shared" si="233"/>
        <v>0.23831100638210034</v>
      </c>
      <c r="IY37" s="762">
        <f t="shared" si="234"/>
        <v>50.094036842367849</v>
      </c>
    </row>
    <row r="38" spans="1:267" ht="15" customHeight="1" x14ac:dyDescent="0.25">
      <c r="A38" s="79"/>
      <c r="B38" s="707">
        <v>5.2807823687263529</v>
      </c>
      <c r="C38" s="708">
        <v>2.0355517752252186</v>
      </c>
      <c r="D38" s="709">
        <v>-1.7268052080445075</v>
      </c>
      <c r="E38" s="710">
        <v>5.0086787611077599E-2</v>
      </c>
      <c r="F38" s="708">
        <v>0.97708560369764874</v>
      </c>
      <c r="G38" s="711">
        <v>0.20686961292950762</v>
      </c>
      <c r="H38" s="710">
        <v>0.26600000000000001</v>
      </c>
      <c r="I38" s="708">
        <v>0.52</v>
      </c>
      <c r="J38" s="570">
        <v>2.246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2.246</v>
      </c>
      <c r="N38" s="632">
        <f t="shared" si="2"/>
        <v>5.2807823687263529</v>
      </c>
      <c r="O38" s="629">
        <f t="shared" si="3"/>
        <v>2.0355517752252186</v>
      </c>
      <c r="P38" s="633">
        <f t="shared" si="4"/>
        <v>-1.7268052080445075</v>
      </c>
      <c r="Q38" s="585">
        <f t="shared" si="113"/>
        <v>21.079857973268268</v>
      </c>
      <c r="R38" s="629">
        <f t="shared" si="79"/>
        <v>5.6595170691034804</v>
      </c>
      <c r="S38" s="634">
        <f t="shared" si="80"/>
        <v>-1.7268052080445075</v>
      </c>
      <c r="T38" s="635">
        <f t="shared" si="81"/>
        <v>2.0366577348857944</v>
      </c>
      <c r="U38" s="629">
        <f t="shared" si="82"/>
        <v>-5.2803559280036714</v>
      </c>
      <c r="V38" s="636">
        <f t="shared" si="114"/>
        <v>-1.7268052080445075</v>
      </c>
      <c r="W38" s="585">
        <f t="shared" si="224"/>
        <v>291.09185797153566</v>
      </c>
      <c r="X38" s="629">
        <f t="shared" si="83"/>
        <v>5.6595170691034804</v>
      </c>
      <c r="Y38" s="630">
        <f t="shared" si="223"/>
        <v>-1.7268052080445075</v>
      </c>
      <c r="Z38" s="632">
        <f t="shared" si="6"/>
        <v>-5.0086787611077599E-2</v>
      </c>
      <c r="AA38" s="629">
        <f t="shared" si="7"/>
        <v>-0.97708560369764874</v>
      </c>
      <c r="AB38" s="629">
        <f t="shared" si="8"/>
        <v>-0.20686961292950762</v>
      </c>
      <c r="AC38" s="636">
        <f t="shared" si="84"/>
        <v>1</v>
      </c>
      <c r="AD38" s="637">
        <f t="shared" si="115"/>
        <v>-5.0086787611077599E-2</v>
      </c>
      <c r="AE38" s="629">
        <f t="shared" si="85"/>
        <v>-0.97708560369764874</v>
      </c>
      <c r="AF38" s="633">
        <f t="shared" si="86"/>
        <v>-0.20686961292950762</v>
      </c>
      <c r="AG38" s="602">
        <f t="shared" si="87"/>
        <v>-78.045808431731643</v>
      </c>
      <c r="AH38" s="603">
        <f t="shared" si="88"/>
        <v>92.87096278464702</v>
      </c>
      <c r="AI38" s="585">
        <f t="shared" si="89"/>
        <v>-78.061033649154126</v>
      </c>
      <c r="AJ38" s="586">
        <f t="shared" si="90"/>
        <v>-2.9344939985366061</v>
      </c>
      <c r="AK38" s="635">
        <f t="shared" si="211"/>
        <v>0.89368441115189312</v>
      </c>
      <c r="AL38" s="629">
        <f t="shared" si="91"/>
        <v>-0.39816219874630221</v>
      </c>
      <c r="AM38" s="634">
        <f t="shared" si="92"/>
        <v>-0.20686961292950762</v>
      </c>
      <c r="AN38" s="581">
        <f t="shared" si="93"/>
        <v>-62.545363972338137</v>
      </c>
      <c r="AO38" s="582">
        <f t="shared" si="94"/>
        <v>26.660056603977296</v>
      </c>
      <c r="AP38" s="585">
        <f t="shared" si="95"/>
        <v>-24.014351971804835</v>
      </c>
      <c r="AQ38" s="586">
        <f t="shared" si="9"/>
        <v>0.40280628990957995</v>
      </c>
      <c r="AS38" s="52">
        <f t="shared" si="116"/>
        <v>-68.90814202846434</v>
      </c>
      <c r="AT38" s="72">
        <f t="shared" si="10"/>
        <v>-1.6789439983037215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2.246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I38" s="734" cm="1">
        <f t="array" ref="II38">IFERROR(IF($IH38&lt;1,$IH38+LARGE((IF($M$9:$M$150="",0,$M$9:$M$150)-MOD(IF($M$9:$M$150="",0,$M$9:$M$150),1)),1),$IH38),"")</f>
        <v>2.1459999999999999</v>
      </c>
      <c r="IJ38" s="533">
        <f t="shared" si="112"/>
        <v>1613</v>
      </c>
      <c r="IK38" s="533">
        <f t="shared" si="66"/>
        <v>1313</v>
      </c>
      <c r="IL38" s="727">
        <f t="shared" si="225"/>
        <v>11.006098410916024</v>
      </c>
      <c r="IM38" s="759">
        <v>1.4008517954395101E-3</v>
      </c>
      <c r="IN38" s="5">
        <f t="shared" si="226"/>
        <v>0</v>
      </c>
      <c r="IO38" s="771">
        <v>0</v>
      </c>
      <c r="IP38" s="9">
        <f t="shared" si="227"/>
        <v>-5.6189169466535107</v>
      </c>
      <c r="IQ38" s="5">
        <f t="shared" si="228"/>
        <v>-1.771105341653711</v>
      </c>
      <c r="IR38" s="5">
        <f t="shared" si="71"/>
        <v>0.314</v>
      </c>
      <c r="IS38" s="5">
        <f t="shared" si="229"/>
        <v>0.29907622398336337</v>
      </c>
      <c r="IT38" s="727">
        <f t="shared" si="230"/>
        <v>73.880007314671275</v>
      </c>
      <c r="IU38" s="9">
        <f t="shared" si="231"/>
        <v>-5.6595170691034804</v>
      </c>
      <c r="IV38" s="5">
        <f t="shared" si="232"/>
        <v>-1.7268052080445075</v>
      </c>
      <c r="IW38" s="5">
        <f t="shared" si="76"/>
        <v>0.26600000000000001</v>
      </c>
      <c r="IX38" s="5">
        <f t="shared" si="233"/>
        <v>0.23772005336640359</v>
      </c>
      <c r="IY38" s="762">
        <f t="shared" si="234"/>
        <v>62.545363972338137</v>
      </c>
    </row>
    <row r="39" spans="1:267" ht="15" customHeight="1" x14ac:dyDescent="0.25">
      <c r="A39" s="79"/>
      <c r="B39" s="707">
        <v>5.4653931791128425</v>
      </c>
      <c r="C39" s="708">
        <v>2.0488819239344811</v>
      </c>
      <c r="D39" s="709">
        <v>-2.5170075912948957</v>
      </c>
      <c r="E39" s="710">
        <v>0.15601565298993172</v>
      </c>
      <c r="F39" s="708">
        <v>0.97841484067735962</v>
      </c>
      <c r="G39" s="711">
        <v>0.13551204951745896</v>
      </c>
      <c r="H39" s="710">
        <v>0.26600000000000001</v>
      </c>
      <c r="I39" s="708">
        <v>0.52</v>
      </c>
      <c r="J39" s="570">
        <v>2.2530000000000001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2.2530000000000001</v>
      </c>
      <c r="N39" s="632">
        <f t="shared" si="2"/>
        <v>5.4653931791128425</v>
      </c>
      <c r="O39" s="629">
        <f t="shared" si="3"/>
        <v>2.0488819239344811</v>
      </c>
      <c r="P39" s="633">
        <f t="shared" si="4"/>
        <v>-2.5170075912948957</v>
      </c>
      <c r="Q39" s="585">
        <f t="shared" si="113"/>
        <v>20.55015804974747</v>
      </c>
      <c r="R39" s="629">
        <f t="shared" si="79"/>
        <v>5.8368176038418955</v>
      </c>
      <c r="S39" s="634">
        <f t="shared" si="80"/>
        <v>-2.5170075912948957</v>
      </c>
      <c r="T39" s="635">
        <f t="shared" si="81"/>
        <v>2.0500265480945465</v>
      </c>
      <c r="U39" s="629">
        <f t="shared" si="82"/>
        <v>-5.4649639424817993</v>
      </c>
      <c r="V39" s="636">
        <f t="shared" si="114"/>
        <v>-2.5170075912948957</v>
      </c>
      <c r="W39" s="585">
        <f t="shared" si="224"/>
        <v>290.56215804801491</v>
      </c>
      <c r="X39" s="629">
        <f t="shared" si="83"/>
        <v>5.8368176038418955</v>
      </c>
      <c r="Y39" s="630">
        <f t="shared" si="223"/>
        <v>-2.5170075912948957</v>
      </c>
      <c r="Z39" s="632">
        <f t="shared" si="6"/>
        <v>-0.15601565298993172</v>
      </c>
      <c r="AA39" s="629">
        <f t="shared" si="7"/>
        <v>-0.97841484067735962</v>
      </c>
      <c r="AB39" s="629">
        <f t="shared" si="8"/>
        <v>-0.13551204951745896</v>
      </c>
      <c r="AC39" s="636">
        <f t="shared" si="84"/>
        <v>1</v>
      </c>
      <c r="AD39" s="637">
        <f t="shared" si="115"/>
        <v>-0.15601565298993172</v>
      </c>
      <c r="AE39" s="629">
        <f t="shared" si="85"/>
        <v>-0.97841484067735962</v>
      </c>
      <c r="AF39" s="633">
        <f t="shared" si="86"/>
        <v>-0.13551204951745896</v>
      </c>
      <c r="AG39" s="602">
        <f t="shared" si="87"/>
        <v>-82.114606871896925</v>
      </c>
      <c r="AH39" s="603">
        <f t="shared" si="88"/>
        <v>98.975705536974473</v>
      </c>
      <c r="AI39" s="585">
        <f t="shared" si="89"/>
        <v>-82.211769735660454</v>
      </c>
      <c r="AJ39" s="586">
        <f t="shared" si="90"/>
        <v>-9.0599711735232162</v>
      </c>
      <c r="AK39" s="635">
        <f t="shared" si="211"/>
        <v>0.86138791488182731</v>
      </c>
      <c r="AL39" s="629">
        <f t="shared" si="91"/>
        <v>-0.48953788875950732</v>
      </c>
      <c r="AM39" s="634">
        <f t="shared" si="92"/>
        <v>-0.13551204951745896</v>
      </c>
      <c r="AN39" s="581">
        <f t="shared" si="93"/>
        <v>-74.5270460247919</v>
      </c>
      <c r="AO39" s="582">
        <f t="shared" si="94"/>
        <v>30.527223125396517</v>
      </c>
      <c r="AP39" s="585">
        <f t="shared" si="95"/>
        <v>-29.6101292232707</v>
      </c>
      <c r="AQ39" s="586">
        <f t="shared" si="9"/>
        <v>0.39057093695167872</v>
      </c>
      <c r="AS39" s="52">
        <f t="shared" si="116"/>
        <v>-69.437841951985092</v>
      </c>
      <c r="AT39" s="72">
        <f t="shared" si="10"/>
        <v>-2.4687785343849979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2.2530000000000001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2.153</v>
      </c>
      <c r="II39" s="734" cm="1">
        <f t="array" ref="II39">IFERROR(IF($IH39&lt;1,$IH39+LARGE((IF($M$9:$M$150="",0,$M$9:$M$150)-MOD(IF($M$9:$M$150="",0,$M$9:$M$150),1)),1),$IH39),"")</f>
        <v>2.153</v>
      </c>
      <c r="IJ39" s="533">
        <f t="shared" si="112"/>
        <v>1613</v>
      </c>
      <c r="IK39" s="533">
        <f t="shared" si="66"/>
        <v>1313</v>
      </c>
      <c r="IL39" s="727">
        <f t="shared" si="225"/>
        <v>11.249798375730052</v>
      </c>
      <c r="IM39" s="759">
        <v>8.3908857595949395E-4</v>
      </c>
      <c r="IN39" s="5">
        <f t="shared" si="226"/>
        <v>0</v>
      </c>
      <c r="IO39" s="771">
        <v>0</v>
      </c>
      <c r="IP39" s="9">
        <f t="shared" si="227"/>
        <v>-5.7845174461046183</v>
      </c>
      <c r="IQ39" s="5">
        <f t="shared" si="228"/>
        <v>-2.5514076950456097</v>
      </c>
      <c r="IR39" s="5">
        <f t="shared" si="71"/>
        <v>0.314</v>
      </c>
      <c r="IS39" s="5">
        <f t="shared" si="229"/>
        <v>0.29240124582691635</v>
      </c>
      <c r="IT39" s="727">
        <f t="shared" si="230"/>
        <v>82.968422002808765</v>
      </c>
      <c r="IU39" s="9">
        <f t="shared" si="231"/>
        <v>-5.8368176038418955</v>
      </c>
      <c r="IV39" s="5">
        <f t="shared" si="232"/>
        <v>-2.5170075912948957</v>
      </c>
      <c r="IW39" s="5">
        <f t="shared" si="76"/>
        <v>0.26600000000000001</v>
      </c>
      <c r="IX39" s="5">
        <f t="shared" si="233"/>
        <v>0.22912918535856611</v>
      </c>
      <c r="IY39" s="762">
        <f t="shared" si="234"/>
        <v>74.5270460247919</v>
      </c>
    </row>
    <row r="40" spans="1:267" ht="15" customHeight="1" x14ac:dyDescent="0.25">
      <c r="A40" s="79"/>
      <c r="B40" s="707">
        <v>5.5678905552792308</v>
      </c>
      <c r="C40" s="708">
        <v>1.8364091365771176</v>
      </c>
      <c r="D40" s="709">
        <v>-3.3535101141865051</v>
      </c>
      <c r="E40" s="710">
        <v>0.91009882612553838</v>
      </c>
      <c r="F40" s="708">
        <v>0.30017025524688001</v>
      </c>
      <c r="G40" s="711">
        <v>0.28568854465998489</v>
      </c>
      <c r="H40" s="710">
        <v>0.25700000000000001</v>
      </c>
      <c r="I40" s="708">
        <v>0.41499999999999992</v>
      </c>
      <c r="J40" s="570">
        <v>2.2599999999999998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CPS-32193r1</v>
      </c>
      <c r="L40" s="320"/>
      <c r="M40" s="168">
        <f t="shared" si="1"/>
        <v>2.2599999999999998</v>
      </c>
      <c r="N40" s="632">
        <f t="shared" si="2"/>
        <v>5.5678905552792308</v>
      </c>
      <c r="O40" s="629">
        <f t="shared" si="3"/>
        <v>1.8364091365771176</v>
      </c>
      <c r="P40" s="633">
        <f t="shared" si="4"/>
        <v>-3.3535101141865051</v>
      </c>
      <c r="Q40" s="585">
        <f t="shared" si="113"/>
        <v>18.253658381320996</v>
      </c>
      <c r="R40" s="629">
        <f t="shared" si="79"/>
        <v>5.8629176825597318</v>
      </c>
      <c r="S40" s="634">
        <f t="shared" si="80"/>
        <v>-3.3535101141865051</v>
      </c>
      <c r="T40" s="635">
        <f t="shared" si="81"/>
        <v>1.8375752323942349</v>
      </c>
      <c r="U40" s="629">
        <f t="shared" si="82"/>
        <v>-5.5675058165899429</v>
      </c>
      <c r="V40" s="636">
        <f t="shared" si="114"/>
        <v>-3.3535101141865051</v>
      </c>
      <c r="W40" s="585">
        <f t="shared" si="224"/>
        <v>288.26565837958839</v>
      </c>
      <c r="X40" s="629">
        <f t="shared" si="83"/>
        <v>5.8629176825597318</v>
      </c>
      <c r="Y40" s="630">
        <f t="shared" si="223"/>
        <v>-3.3535101141865051</v>
      </c>
      <c r="Z40" s="632">
        <f t="shared" si="6"/>
        <v>-0.91009882612553838</v>
      </c>
      <c r="AA40" s="629">
        <f t="shared" si="7"/>
        <v>-0.30017025524688001</v>
      </c>
      <c r="AB40" s="629">
        <f t="shared" si="8"/>
        <v>-0.28568854465998489</v>
      </c>
      <c r="AC40" s="636">
        <f t="shared" si="84"/>
        <v>1</v>
      </c>
      <c r="AD40" s="637">
        <f t="shared" si="115"/>
        <v>-0.91009882612553838</v>
      </c>
      <c r="AE40" s="629">
        <f t="shared" si="85"/>
        <v>-0.30017025524688001</v>
      </c>
      <c r="AF40" s="633">
        <f t="shared" si="86"/>
        <v>-0.28568854465998489</v>
      </c>
      <c r="AG40" s="602">
        <f t="shared" si="87"/>
        <v>-46.415993006084229</v>
      </c>
      <c r="AH40" s="603">
        <f t="shared" si="88"/>
        <v>155.51901213929665</v>
      </c>
      <c r="AI40" s="585">
        <f t="shared" si="89"/>
        <v>-73.399989402353043</v>
      </c>
      <c r="AJ40" s="586">
        <f t="shared" si="90"/>
        <v>-71.746328059162138</v>
      </c>
      <c r="AK40" s="635">
        <f t="shared" si="211"/>
        <v>2.26794897473237E-7</v>
      </c>
      <c r="AL40" s="629">
        <f t="shared" si="91"/>
        <v>-0.95832252162307485</v>
      </c>
      <c r="AM40" s="634">
        <f t="shared" si="92"/>
        <v>-0.28568854465998489</v>
      </c>
      <c r="AN40" s="581">
        <f t="shared" si="93"/>
        <v>-73.399989402352588</v>
      </c>
      <c r="AO40" s="582">
        <f t="shared" si="94"/>
        <v>0</v>
      </c>
      <c r="AP40" s="585">
        <f t="shared" si="95"/>
        <v>-89.999986440483084</v>
      </c>
      <c r="AQ40" s="586">
        <f t="shared" si="9"/>
        <v>0.38883227728343028</v>
      </c>
      <c r="AS40" s="52">
        <f t="shared" si="116"/>
        <v>-71.734341620411612</v>
      </c>
      <c r="AT40" s="72">
        <f t="shared" si="10"/>
        <v>-3.3036862658402004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>Gage</v>
      </c>
      <c r="IG40" s="847">
        <f t="shared" si="210"/>
        <v>2.2599999999999998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2.16</v>
      </c>
      <c r="II40" s="734" cm="1">
        <f t="array" ref="II40">IFERROR(IF($IH40&lt;1,$IH40+LARGE((IF($M$9:$M$150="",0,$M$9:$M$150)-MOD(IF($M$9:$M$150="",0,$M$9:$M$150),1)),1),$IH40),"")</f>
        <v>2.16</v>
      </c>
      <c r="IJ40" s="533">
        <f t="shared" si="112"/>
        <v>1613</v>
      </c>
      <c r="IK40" s="533" t="str">
        <f t="shared" si="66"/>
        <v>CPS-32193r1</v>
      </c>
      <c r="IL40" s="727">
        <f t="shared" si="225"/>
        <v>13.40029806523637</v>
      </c>
      <c r="IM40" s="759">
        <v>1.37391043765936E-4</v>
      </c>
      <c r="IN40" s="5">
        <f t="shared" si="226"/>
        <v>0</v>
      </c>
      <c r="IO40" s="771">
        <v>0</v>
      </c>
      <c r="IP40" s="9">
        <f t="shared" si="227"/>
        <v>-5.8681176982429779</v>
      </c>
      <c r="IQ40" s="5">
        <f t="shared" si="228"/>
        <v>-3.3486100994080594</v>
      </c>
      <c r="IR40" s="5">
        <f t="shared" si="71"/>
        <v>0.314</v>
      </c>
      <c r="IS40" s="5">
        <f t="shared" si="229"/>
        <v>0.24682144194521291</v>
      </c>
      <c r="IT40" s="727">
        <f t="shared" si="230"/>
        <v>90.018632948969412</v>
      </c>
      <c r="IU40" s="9">
        <f t="shared" si="231"/>
        <v>-5.8629176825597318</v>
      </c>
      <c r="IV40" s="5">
        <f t="shared" si="232"/>
        <v>-3.3535101141865051</v>
      </c>
      <c r="IW40" s="5">
        <f t="shared" si="76"/>
        <v>0.25700000000000001</v>
      </c>
      <c r="IX40" s="5">
        <f t="shared" si="233"/>
        <v>0.25700000000000001</v>
      </c>
      <c r="IY40" s="762">
        <f t="shared" si="234"/>
        <v>73.399989402352588</v>
      </c>
    </row>
    <row r="41" spans="1:267" ht="15" customHeight="1" x14ac:dyDescent="0.25">
      <c r="A41" s="79"/>
      <c r="B41" s="707">
        <v>0.79680912543331073</v>
      </c>
      <c r="C41" s="708">
        <v>-0.19866737387167391</v>
      </c>
      <c r="D41" s="709">
        <v>-0.64940195859630701</v>
      </c>
      <c r="E41" s="710">
        <v>0.13023136895663226</v>
      </c>
      <c r="F41" s="708">
        <v>0.92309807616467543</v>
      </c>
      <c r="G41" s="711">
        <v>0.36184213729298687</v>
      </c>
      <c r="H41" s="710">
        <v>0.314</v>
      </c>
      <c r="I41" s="708">
        <v>0.52</v>
      </c>
      <c r="J41" s="570">
        <v>3.1030000000000002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3.1030000000000002</v>
      </c>
      <c r="N41" s="632">
        <f t="shared" ref="N41:N72" si="240">IF(M41="","",B41)</f>
        <v>0.79680912543331073</v>
      </c>
      <c r="O41" s="629">
        <f t="shared" ref="O41:O72" si="241">IF(M41="","",C41)</f>
        <v>-0.19866737387167391</v>
      </c>
      <c r="P41" s="633">
        <f t="shared" ref="P41:P72" si="242">IF(M41="","",D41)</f>
        <v>-0.64940195859630701</v>
      </c>
      <c r="Q41" s="585">
        <f t="shared" si="113"/>
        <v>345.99996303817846</v>
      </c>
      <c r="R41" s="629">
        <f t="shared" si="79"/>
        <v>0.82120247674667002</v>
      </c>
      <c r="S41" s="634">
        <f t="shared" si="80"/>
        <v>-0.64940195859630701</v>
      </c>
      <c r="T41" s="635">
        <f t="shared" si="81"/>
        <v>-0.19850048622674177</v>
      </c>
      <c r="U41" s="629">
        <f t="shared" si="82"/>
        <v>-0.79685071674850882</v>
      </c>
      <c r="V41" s="636">
        <f t="shared" si="114"/>
        <v>-0.64940195859630701</v>
      </c>
      <c r="W41" s="585">
        <f t="shared" si="224"/>
        <v>256.01196303644588</v>
      </c>
      <c r="X41" s="629">
        <f t="shared" si="83"/>
        <v>0.82120247674667002</v>
      </c>
      <c r="Y41" s="630">
        <f t="shared" si="223"/>
        <v>-0.64940195859630701</v>
      </c>
      <c r="Z41" s="632">
        <f t="shared" ref="Z41:Z72" si="243">IF(M41="","",-E41)</f>
        <v>-0.13023136895663226</v>
      </c>
      <c r="AA41" s="629">
        <f t="shared" ref="AA41:AA72" si="244">IF(M41="","",-F41)</f>
        <v>-0.92309807616467543</v>
      </c>
      <c r="AB41" s="629">
        <f t="shared" ref="AB41:AB72" si="245">IF(M41="","",-G41)</f>
        <v>-0.36184213729298687</v>
      </c>
      <c r="AC41" s="636">
        <f t="shared" si="84"/>
        <v>1</v>
      </c>
      <c r="AD41" s="637">
        <f t="shared" si="115"/>
        <v>-0.13023136895663226</v>
      </c>
      <c r="AE41" s="629">
        <f t="shared" si="85"/>
        <v>-0.92309807616467543</v>
      </c>
      <c r="AF41" s="633">
        <f t="shared" si="86"/>
        <v>-0.36184213729298687</v>
      </c>
      <c r="AG41" s="602">
        <f t="shared" si="87"/>
        <v>-68.595482793683473</v>
      </c>
      <c r="AH41" s="603">
        <f t="shared" si="88"/>
        <v>97.482962443036442</v>
      </c>
      <c r="AI41" s="585">
        <f t="shared" si="89"/>
        <v>-68.786628843697031</v>
      </c>
      <c r="AJ41" s="586">
        <f t="shared" si="90"/>
        <v>-8.0303334286389383</v>
      </c>
      <c r="AK41" s="635">
        <f t="shared" si="211"/>
        <v>0.92718387533450819</v>
      </c>
      <c r="AL41" s="629">
        <f t="shared" si="91"/>
        <v>9.69552938158946E-2</v>
      </c>
      <c r="AM41" s="634">
        <f t="shared" si="92"/>
        <v>-0.36184213729298687</v>
      </c>
      <c r="AN41" s="581">
        <f t="shared" si="93"/>
        <v>14.999997834268262</v>
      </c>
      <c r="AO41" s="582">
        <f t="shared" si="94"/>
        <v>21.999996823593456</v>
      </c>
      <c r="AP41" s="585">
        <f t="shared" si="95"/>
        <v>5.9697035331826243</v>
      </c>
      <c r="AQ41" s="586">
        <f t="shared" ref="AQ41:AQ72" si="246">IF(M41="","",DEGREES(ATAN(($AS$5*SIN(RADIANS(90)))/(($X41*2*PI())-($AS$5*COS(RADIANS(90)))))))</f>
        <v>2.7739141815657868</v>
      </c>
      <c r="AS41" s="52">
        <f t="shared" si="116"/>
        <v>-103.98803696355412</v>
      </c>
      <c r="AT41" s="72">
        <f t="shared" ref="AT41:AT72" si="247">IF(M41="","",Y41+(((AS41-$AS$9)*$AS$6)*-1))</f>
        <v>-0.57717971070615315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3.1030000000000002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1.4878557147338516</v>
      </c>
      <c r="C42" s="708">
        <v>-0.37096511336437504</v>
      </c>
      <c r="D42" s="709">
        <v>-0.45850138284017045</v>
      </c>
      <c r="E42" s="710">
        <v>0.13023136895663218</v>
      </c>
      <c r="F42" s="708">
        <v>0.92309807616467543</v>
      </c>
      <c r="G42" s="711">
        <v>0.36184213729298681</v>
      </c>
      <c r="H42" s="710">
        <v>0.314</v>
      </c>
      <c r="I42" s="708">
        <v>0.52</v>
      </c>
      <c r="J42" s="570">
        <v>3.1059999999999999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3.1059999999999999</v>
      </c>
      <c r="N42" s="632">
        <f t="shared" si="240"/>
        <v>1.4878557147338516</v>
      </c>
      <c r="O42" s="629">
        <f t="shared" si="241"/>
        <v>-0.37096511336437504</v>
      </c>
      <c r="P42" s="633">
        <f t="shared" si="242"/>
        <v>-0.45850138284017045</v>
      </c>
      <c r="Q42" s="585">
        <f t="shared" si="113"/>
        <v>345.99996303817846</v>
      </c>
      <c r="R42" s="629">
        <f t="shared" ref="R42:R47" si="385">IF(M42="","",SQRT(N42^2+O42^2))</f>
        <v>1.5334046247483486</v>
      </c>
      <c r="S42" s="634">
        <f t="shared" ref="S42:S47" si="386">IF(M42="","",P42)</f>
        <v>-0.45850138284017045</v>
      </c>
      <c r="T42" s="635">
        <f t="shared" ref="T42:T47" si="387">IF(M42="","",X42*COS(RADIANS(W42)))</f>
        <v>-0.37065348950327065</v>
      </c>
      <c r="U42" s="629">
        <f t="shared" ref="U42:U47" si="388">IF(M42="","",X42*SIN(RADIANS(W42)))</f>
        <v>-1.4879333768414071</v>
      </c>
      <c r="V42" s="636">
        <f t="shared" ref="V42:V47" si="389">IF(M42="","",Y42)</f>
        <v>-0.45850138284017045</v>
      </c>
      <c r="W42" s="585">
        <f t="shared" si="224"/>
        <v>256.01196303644588</v>
      </c>
      <c r="X42" s="629">
        <f t="shared" ref="X42:X47" si="390">IF(M42="","",R42)</f>
        <v>1.5334046247483486</v>
      </c>
      <c r="Y42" s="630">
        <f t="shared" si="223"/>
        <v>-0.45850138284017045</v>
      </c>
      <c r="Z42" s="632">
        <f t="shared" si="243"/>
        <v>-0.13023136895663218</v>
      </c>
      <c r="AA42" s="629">
        <f t="shared" si="244"/>
        <v>-0.92309807616467543</v>
      </c>
      <c r="AB42" s="629">
        <f t="shared" si="245"/>
        <v>-0.36184213729298681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-0.13023136895663218</v>
      </c>
      <c r="AE42" s="629">
        <f t="shared" ref="AE42:AE47" si="393">IF(M42="","",AA42*(1/SQRT(Z42^2+AA42^2+AB42^2)))</f>
        <v>-0.92309807616467543</v>
      </c>
      <c r="AF42" s="633">
        <f t="shared" ref="AF42:AF47" si="394">IF(M42="","",AB42*(1/SQRT(Z42^2+AA42^2+AB42^2)))</f>
        <v>-0.36184213729298681</v>
      </c>
      <c r="AG42" s="602">
        <f t="shared" ref="AG42:AG47" si="395">IF(M42="","",DEGREES(ATAN2(-AF42,AE42)))</f>
        <v>-68.595482793683487</v>
      </c>
      <c r="AH42" s="603">
        <f t="shared" ref="AH42:AH47" si="396">IF(M42="","",DEGREES(ACOS(AD42)))</f>
        <v>97.482962443036442</v>
      </c>
      <c r="AI42" s="585">
        <f t="shared" ref="AI42:AI47" si="397">IF(M42="","",DEGREES(-ACOS(-AF42)))</f>
        <v>-68.786628843697031</v>
      </c>
      <c r="AJ42" s="586">
        <f t="shared" ref="AJ42:AJ47" si="398">IF(M42="","",DEGREES(ATAN2(-AE42,AD42)))</f>
        <v>-8.030333428638933</v>
      </c>
      <c r="AK42" s="635">
        <f t="shared" ref="AK42:AK47" si="399">IF(M42="","",(COS(RADIANS((90-$Q$8)-W42))*AD42)+(-SIN(RADIANS((90-$Q$8)-W42))*AE42))</f>
        <v>0.92718387533450819</v>
      </c>
      <c r="AL42" s="629">
        <f t="shared" ref="AL42:AL47" si="400">IF(M42="","",(SIN(RADIANS((90-$Q$8)-W42))*AD42)+(COS(RADIANS((90-$Q$8)-W42))*AE42))</f>
        <v>9.6955293815894683E-2</v>
      </c>
      <c r="AM42" s="634">
        <f t="shared" ref="AM42:AM47" si="401">IF(M42="","",AF42)</f>
        <v>-0.36184213729298681</v>
      </c>
      <c r="AN42" s="581">
        <f t="shared" ref="AN42:AN47" si="402">IF(M42="","",DEGREES(ATAN2(-AM42,AL42)))</f>
        <v>14.999997834268278</v>
      </c>
      <c r="AO42" s="582">
        <f t="shared" si="94"/>
        <v>21.999996823593456</v>
      </c>
      <c r="AP42" s="585">
        <f t="shared" ref="AP42:AP47" si="403">IF(M42="","",DEGREES(ATAN2(AK42,AL42)))</f>
        <v>5.9697035331826287</v>
      </c>
      <c r="AQ42" s="586">
        <f t="shared" si="246"/>
        <v>1.4863755836644093</v>
      </c>
      <c r="AS42" s="52">
        <f t="shared" si="116"/>
        <v>-103.98803696355412</v>
      </c>
      <c r="AT42" s="72">
        <f t="shared" si="247"/>
        <v>-0.38627913495001659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2.1789993338840548</v>
      </c>
      <c r="C43" s="708">
        <v>-0.54328704518219484</v>
      </c>
      <c r="D43" s="709">
        <v>-0.26770080738563495</v>
      </c>
      <c r="E43" s="710">
        <v>0.13023136895663223</v>
      </c>
      <c r="F43" s="708">
        <v>0.92309807616467543</v>
      </c>
      <c r="G43" s="711">
        <v>0.36184213729298692</v>
      </c>
      <c r="H43" s="710">
        <v>0.314</v>
      </c>
      <c r="I43" s="708">
        <v>0.52</v>
      </c>
      <c r="J43" s="570">
        <v>3.11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3.11</v>
      </c>
      <c r="N43" s="632">
        <f t="shared" si="240"/>
        <v>2.1789993338840548</v>
      </c>
      <c r="O43" s="629">
        <f t="shared" si="241"/>
        <v>-0.54328704518219484</v>
      </c>
      <c r="P43" s="633">
        <f t="shared" si="242"/>
        <v>-0.26770080738563495</v>
      </c>
      <c r="Q43" s="585">
        <f t="shared" si="113"/>
        <v>345.99996303817846</v>
      </c>
      <c r="R43" s="629">
        <f t="shared" si="385"/>
        <v>2.2457067730516278</v>
      </c>
      <c r="S43" s="634">
        <f t="shared" si="386"/>
        <v>-0.26770080738563495</v>
      </c>
      <c r="T43" s="635">
        <f t="shared" si="387"/>
        <v>-0.54283066478250608</v>
      </c>
      <c r="U43" s="629">
        <f t="shared" si="388"/>
        <v>-2.179113071848668</v>
      </c>
      <c r="V43" s="636">
        <f t="shared" si="389"/>
        <v>-0.26770080738563495</v>
      </c>
      <c r="W43" s="585">
        <f t="shared" si="224"/>
        <v>256.01196303644588</v>
      </c>
      <c r="X43" s="629">
        <f t="shared" si="390"/>
        <v>2.2457067730516278</v>
      </c>
      <c r="Y43" s="630">
        <f t="shared" si="223"/>
        <v>-0.26770080738563495</v>
      </c>
      <c r="Z43" s="632">
        <f t="shared" si="243"/>
        <v>-0.13023136895663223</v>
      </c>
      <c r="AA43" s="629">
        <f t="shared" si="244"/>
        <v>-0.92309807616467543</v>
      </c>
      <c r="AB43" s="629">
        <f t="shared" si="245"/>
        <v>-0.36184213729298692</v>
      </c>
      <c r="AC43" s="636">
        <f t="shared" si="391"/>
        <v>1</v>
      </c>
      <c r="AD43" s="637">
        <f t="shared" si="392"/>
        <v>-0.13023136895663223</v>
      </c>
      <c r="AE43" s="629">
        <f t="shared" si="393"/>
        <v>-0.92309807616467543</v>
      </c>
      <c r="AF43" s="633">
        <f t="shared" si="394"/>
        <v>-0.36184213729298692</v>
      </c>
      <c r="AG43" s="602">
        <f t="shared" si="395"/>
        <v>-68.595482793683473</v>
      </c>
      <c r="AH43" s="603">
        <f t="shared" si="396"/>
        <v>97.482962443036442</v>
      </c>
      <c r="AI43" s="585">
        <f t="shared" si="397"/>
        <v>-68.786628843697017</v>
      </c>
      <c r="AJ43" s="586">
        <f t="shared" si="398"/>
        <v>-8.0303334286389365</v>
      </c>
      <c r="AK43" s="635">
        <f t="shared" si="399"/>
        <v>0.92718387533450819</v>
      </c>
      <c r="AL43" s="629">
        <f t="shared" si="400"/>
        <v>9.6955293815894628E-2</v>
      </c>
      <c r="AM43" s="634">
        <f t="shared" si="401"/>
        <v>-0.36184213729298692</v>
      </c>
      <c r="AN43" s="581">
        <f t="shared" si="402"/>
        <v>14.999997834268264</v>
      </c>
      <c r="AO43" s="582">
        <f t="shared" si="94"/>
        <v>21.999996823593456</v>
      </c>
      <c r="AP43" s="585">
        <f t="shared" si="403"/>
        <v>5.969703533182626</v>
      </c>
      <c r="AQ43" s="586">
        <f t="shared" si="246"/>
        <v>1.0150426388119929</v>
      </c>
      <c r="AS43" s="52">
        <f t="shared" ref="AS43:AS74" si="406">IF(G43="","",IF(AND(W43&lt;(AS42+180),W43&gt;(AS42-180)),W43,IF(W43&gt;(AS42+180),W43-360,IF(W43&lt;(AS42-180),W43+360,"Error"))))</f>
        <v>-103.98803696355412</v>
      </c>
      <c r="AT43" s="72">
        <f t="shared" si="247"/>
        <v>-0.1954785594954811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2.9504643120668628</v>
      </c>
      <c r="C44" s="708">
        <v>-0.7528886188060212</v>
      </c>
      <c r="D44" s="709">
        <v>-9.020027204402041E-2</v>
      </c>
      <c r="E44" s="710">
        <v>0.25861041778137089</v>
      </c>
      <c r="F44" s="708">
        <v>0.92001955295562443</v>
      </c>
      <c r="G44" s="711">
        <v>0.29442261121435287</v>
      </c>
      <c r="H44" s="710">
        <v>0.314</v>
      </c>
      <c r="I44" s="708">
        <v>0.52</v>
      </c>
      <c r="J44" s="570">
        <v>3.117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3.117</v>
      </c>
      <c r="N44" s="632">
        <f t="shared" si="240"/>
        <v>2.9504643120668628</v>
      </c>
      <c r="O44" s="629">
        <f t="shared" si="241"/>
        <v>-0.7528886188060212</v>
      </c>
      <c r="P44" s="633">
        <f t="shared" si="242"/>
        <v>-9.020027204402041E-2</v>
      </c>
      <c r="Q44" s="585">
        <f t="shared" si="113"/>
        <v>345.68496308365883</v>
      </c>
      <c r="R44" s="629">
        <f t="shared" si="385"/>
        <v>3.0450091837476982</v>
      </c>
      <c r="S44" s="634">
        <f t="shared" si="386"/>
        <v>-9.020027204402041E-2</v>
      </c>
      <c r="T44" s="635">
        <f t="shared" si="387"/>
        <v>-0.75227065858656983</v>
      </c>
      <c r="U44" s="629">
        <f t="shared" si="388"/>
        <v>-2.9506219319556259</v>
      </c>
      <c r="V44" s="636">
        <f t="shared" si="389"/>
        <v>-9.020027204402041E-2</v>
      </c>
      <c r="W44" s="585">
        <f t="shared" si="224"/>
        <v>255.69696308192624</v>
      </c>
      <c r="X44" s="629">
        <f t="shared" si="390"/>
        <v>3.0450091837476982</v>
      </c>
      <c r="Y44" s="630">
        <f t="shared" si="223"/>
        <v>-9.020027204402041E-2</v>
      </c>
      <c r="Z44" s="632">
        <f t="shared" si="243"/>
        <v>-0.25861041778137089</v>
      </c>
      <c r="AA44" s="629">
        <f t="shared" si="244"/>
        <v>-0.92001955295562443</v>
      </c>
      <c r="AB44" s="629">
        <f t="shared" si="245"/>
        <v>-0.29442261121435287</v>
      </c>
      <c r="AC44" s="636">
        <f t="shared" si="391"/>
        <v>1</v>
      </c>
      <c r="AD44" s="637">
        <f t="shared" si="392"/>
        <v>-0.25861041778137089</v>
      </c>
      <c r="AE44" s="629">
        <f t="shared" si="393"/>
        <v>-0.92001955295562443</v>
      </c>
      <c r="AF44" s="633">
        <f t="shared" si="394"/>
        <v>-0.29442261121435287</v>
      </c>
      <c r="AG44" s="602">
        <f t="shared" si="395"/>
        <v>-72.254404495605058</v>
      </c>
      <c r="AH44" s="603">
        <f t="shared" si="396"/>
        <v>104.9876252203988</v>
      </c>
      <c r="AI44" s="585">
        <f t="shared" si="397"/>
        <v>-72.87708214926171</v>
      </c>
      <c r="AJ44" s="586">
        <f t="shared" si="398"/>
        <v>-15.700264597489856</v>
      </c>
      <c r="AK44" s="635">
        <f t="shared" si="399"/>
        <v>0.95539603400177842</v>
      </c>
      <c r="AL44" s="629">
        <f t="shared" si="400"/>
        <v>-2.3102904999045659E-2</v>
      </c>
      <c r="AM44" s="634">
        <f t="shared" si="401"/>
        <v>-0.29442261121435287</v>
      </c>
      <c r="AN44" s="581">
        <f t="shared" si="402"/>
        <v>-4.4867210816273895</v>
      </c>
      <c r="AO44" s="582">
        <f t="shared" si="94"/>
        <v>17.177185466054247</v>
      </c>
      <c r="AP44" s="585">
        <f t="shared" si="403"/>
        <v>-1.3852276811486965</v>
      </c>
      <c r="AQ44" s="586">
        <f t="shared" si="246"/>
        <v>0.7486338327783254</v>
      </c>
      <c r="AS44" s="52">
        <f t="shared" si="406"/>
        <v>-104.30303691807376</v>
      </c>
      <c r="AT44" s="72">
        <f t="shared" si="247"/>
        <v>-1.7759274185450147E-2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3.7092626407272857</v>
      </c>
      <c r="C45" s="708">
        <v>-1.006188178676247</v>
      </c>
      <c r="D45" s="709">
        <v>-0.14410043460691047</v>
      </c>
      <c r="E45" s="710">
        <v>0.36691345531739228</v>
      </c>
      <c r="F45" s="708">
        <v>0.89759746759968329</v>
      </c>
      <c r="G45" s="711">
        <v>0.24432212848141213</v>
      </c>
      <c r="H45" s="710">
        <v>0.314</v>
      </c>
      <c r="I45" s="708">
        <v>0.52</v>
      </c>
      <c r="J45" s="570">
        <v>3.1240000000000001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3.1240000000000001</v>
      </c>
      <c r="N45" s="632">
        <f t="shared" si="240"/>
        <v>3.7092626407272857</v>
      </c>
      <c r="O45" s="629">
        <f t="shared" si="241"/>
        <v>-1.006188178676247</v>
      </c>
      <c r="P45" s="633">
        <f t="shared" si="242"/>
        <v>-0.14410043460691047</v>
      </c>
      <c r="Q45" s="585">
        <f t="shared" si="113"/>
        <v>344.82296320811616</v>
      </c>
      <c r="R45" s="629">
        <f t="shared" si="385"/>
        <v>3.8433115914277596</v>
      </c>
      <c r="S45" s="634">
        <f t="shared" si="386"/>
        <v>-0.14410043460691047</v>
      </c>
      <c r="T45" s="635">
        <f t="shared" si="387"/>
        <v>-1.0054112905751016</v>
      </c>
      <c r="U45" s="629">
        <f t="shared" si="388"/>
        <v>-3.7094732949014588</v>
      </c>
      <c r="V45" s="636">
        <f t="shared" si="389"/>
        <v>-0.14410043460691047</v>
      </c>
      <c r="W45" s="585">
        <f t="shared" si="224"/>
        <v>254.83496320638358</v>
      </c>
      <c r="X45" s="629">
        <f t="shared" si="390"/>
        <v>3.8433115914277596</v>
      </c>
      <c r="Y45" s="630">
        <f t="shared" si="223"/>
        <v>-0.14410043460691047</v>
      </c>
      <c r="Z45" s="632">
        <f t="shared" si="243"/>
        <v>-0.36691345531739228</v>
      </c>
      <c r="AA45" s="629">
        <f t="shared" si="244"/>
        <v>-0.89759746759968329</v>
      </c>
      <c r="AB45" s="629">
        <f t="shared" si="245"/>
        <v>-0.24432212848141213</v>
      </c>
      <c r="AC45" s="636">
        <f t="shared" si="391"/>
        <v>1</v>
      </c>
      <c r="AD45" s="637">
        <f t="shared" si="392"/>
        <v>-0.36691345531739228</v>
      </c>
      <c r="AE45" s="629">
        <f t="shared" si="393"/>
        <v>-0.89759746759968329</v>
      </c>
      <c r="AF45" s="633">
        <f t="shared" si="394"/>
        <v>-0.24432212848141213</v>
      </c>
      <c r="AG45" s="602">
        <f t="shared" si="395"/>
        <v>-74.773235968910356</v>
      </c>
      <c r="AH45" s="603">
        <f t="shared" si="396"/>
        <v>111.52538754810148</v>
      </c>
      <c r="AI45" s="585">
        <f t="shared" si="397"/>
        <v>-75.858222821468487</v>
      </c>
      <c r="AJ45" s="586">
        <f t="shared" si="398"/>
        <v>-22.233409962716003</v>
      </c>
      <c r="AK45" s="635">
        <f t="shared" si="399"/>
        <v>0.96234943390123029</v>
      </c>
      <c r="AL45" s="629">
        <f t="shared" si="400"/>
        <v>-0.11912289706137147</v>
      </c>
      <c r="AM45" s="634">
        <f t="shared" si="401"/>
        <v>-0.24432212848141213</v>
      </c>
      <c r="AN45" s="581">
        <f t="shared" si="402"/>
        <v>-25.992238526353479</v>
      </c>
      <c r="AO45" s="582">
        <f t="shared" si="94"/>
        <v>15.772317442345756</v>
      </c>
      <c r="AP45" s="585">
        <f t="shared" si="403"/>
        <v>-7.0563731708321686</v>
      </c>
      <c r="AQ45" s="586">
        <f t="shared" si="246"/>
        <v>0.5931460764501888</v>
      </c>
      <c r="AS45" s="52">
        <f t="shared" si="406"/>
        <v>-105.16503679361642</v>
      </c>
      <c r="AT45" s="72">
        <f t="shared" si="247"/>
        <v>-7.1060825723657794E-2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3.1240000000000001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4.4011522160983771</v>
      </c>
      <c r="C46" s="708">
        <v>-1.2807386913299756</v>
      </c>
      <c r="D46" s="709">
        <v>-0.44750134966407051</v>
      </c>
      <c r="E46" s="710">
        <v>0.45509249856510231</v>
      </c>
      <c r="F46" s="708">
        <v>0.86616653724306381</v>
      </c>
      <c r="G46" s="711">
        <v>0.20650992109371555</v>
      </c>
      <c r="H46" s="710">
        <v>0.314</v>
      </c>
      <c r="I46" s="708">
        <v>0.52</v>
      </c>
      <c r="J46" s="570">
        <v>3.1309999999999998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3.1309999999999998</v>
      </c>
      <c r="N46" s="632">
        <f t="shared" si="240"/>
        <v>4.4011522160983771</v>
      </c>
      <c r="O46" s="629">
        <f t="shared" si="241"/>
        <v>-1.2807386913299756</v>
      </c>
      <c r="P46" s="633">
        <f t="shared" si="242"/>
        <v>-0.44750134966407051</v>
      </c>
      <c r="Q46" s="585">
        <f t="shared" si="113"/>
        <v>343.77496335942863</v>
      </c>
      <c r="R46" s="629">
        <f t="shared" si="385"/>
        <v>4.5837138244808955</v>
      </c>
      <c r="S46" s="634">
        <f t="shared" si="386"/>
        <v>-0.44750134966407051</v>
      </c>
      <c r="T46" s="635">
        <f t="shared" si="387"/>
        <v>-1.2798168882154426</v>
      </c>
      <c r="U46" s="629">
        <f t="shared" si="388"/>
        <v>-4.4014203568139019</v>
      </c>
      <c r="V46" s="636">
        <f t="shared" si="389"/>
        <v>-0.44750134966407051</v>
      </c>
      <c r="W46" s="585">
        <f t="shared" si="224"/>
        <v>253.78696335769604</v>
      </c>
      <c r="X46" s="629">
        <f t="shared" si="390"/>
        <v>4.5837138244808955</v>
      </c>
      <c r="Y46" s="630">
        <f t="shared" si="223"/>
        <v>-0.44750134966407051</v>
      </c>
      <c r="Z46" s="632">
        <f t="shared" si="243"/>
        <v>-0.45509249856510231</v>
      </c>
      <c r="AA46" s="629">
        <f t="shared" si="244"/>
        <v>-0.86616653724306381</v>
      </c>
      <c r="AB46" s="629">
        <f t="shared" si="245"/>
        <v>-0.20650992109371555</v>
      </c>
      <c r="AC46" s="636">
        <f t="shared" si="391"/>
        <v>1</v>
      </c>
      <c r="AD46" s="637">
        <f t="shared" si="392"/>
        <v>-0.45509249856510231</v>
      </c>
      <c r="AE46" s="629">
        <f t="shared" si="393"/>
        <v>-0.86616653724306381</v>
      </c>
      <c r="AF46" s="633">
        <f t="shared" si="394"/>
        <v>-0.20650992109371555</v>
      </c>
      <c r="AG46" s="602">
        <f t="shared" si="395"/>
        <v>-76.589988485863159</v>
      </c>
      <c r="AH46" s="603">
        <f t="shared" si="396"/>
        <v>117.07088590655636</v>
      </c>
      <c r="AI46" s="585">
        <f t="shared" si="397"/>
        <v>-78.082097310926088</v>
      </c>
      <c r="AJ46" s="586">
        <f t="shared" si="398"/>
        <v>-27.717881996528288</v>
      </c>
      <c r="AK46" s="635">
        <f t="shared" si="399"/>
        <v>0.95882629549667797</v>
      </c>
      <c r="AL46" s="629">
        <f t="shared" si="400"/>
        <v>-0.19495073109374297</v>
      </c>
      <c r="AM46" s="634">
        <f t="shared" si="401"/>
        <v>-0.20650992109371555</v>
      </c>
      <c r="AN46" s="581">
        <f t="shared" si="402"/>
        <v>-43.350747777250668</v>
      </c>
      <c r="AO46" s="582">
        <f t="shared" si="94"/>
        <v>16.4986764412978</v>
      </c>
      <c r="AP46" s="585">
        <f t="shared" si="403"/>
        <v>-11.492845355956904</v>
      </c>
      <c r="AQ46" s="586">
        <f t="shared" si="246"/>
        <v>0.49734112172619915</v>
      </c>
      <c r="AS46" s="52">
        <f t="shared" si="406"/>
        <v>-106.21303664230396</v>
      </c>
      <c r="AT46" s="72">
        <f t="shared" si="247"/>
        <v>-0.37373396310811818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3.1309999999999998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4.9584362870571379</v>
      </c>
      <c r="C47" s="708">
        <v>-1.534042429422851</v>
      </c>
      <c r="D47" s="709">
        <v>-0.96920292311601597</v>
      </c>
      <c r="E47" s="710">
        <v>0.52375827608493908</v>
      </c>
      <c r="F47" s="708">
        <v>0.8379296008991981</v>
      </c>
      <c r="G47" s="711">
        <v>0.15346417226650444</v>
      </c>
      <c r="H47" s="710">
        <v>0.314</v>
      </c>
      <c r="I47" s="708">
        <v>0.52</v>
      </c>
      <c r="J47" s="570">
        <v>3.1379999999999999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3.1379999999999999</v>
      </c>
      <c r="N47" s="632">
        <f t="shared" si="240"/>
        <v>4.9584362870571379</v>
      </c>
      <c r="O47" s="629">
        <f t="shared" si="241"/>
        <v>-1.534042429422851</v>
      </c>
      <c r="P47" s="633">
        <f t="shared" si="242"/>
        <v>-0.96920292311601597</v>
      </c>
      <c r="Q47" s="585">
        <f t="shared" si="113"/>
        <v>342.80896349890179</v>
      </c>
      <c r="R47" s="629">
        <f t="shared" si="385"/>
        <v>5.1903156539920134</v>
      </c>
      <c r="S47" s="634">
        <f t="shared" si="386"/>
        <v>-0.96920292311601597</v>
      </c>
      <c r="T47" s="635">
        <f t="shared" si="387"/>
        <v>-1.5330039034675627</v>
      </c>
      <c r="U47" s="629">
        <f t="shared" si="388"/>
        <v>-4.9587574673528607</v>
      </c>
      <c r="V47" s="636">
        <f t="shared" si="389"/>
        <v>-0.96920292311601597</v>
      </c>
      <c r="W47" s="585">
        <f t="shared" si="224"/>
        <v>252.8209634971692</v>
      </c>
      <c r="X47" s="629">
        <f t="shared" si="390"/>
        <v>5.1903156539920134</v>
      </c>
      <c r="Y47" s="630">
        <f t="shared" si="223"/>
        <v>-0.96920292311601597</v>
      </c>
      <c r="Z47" s="632">
        <f t="shared" si="243"/>
        <v>-0.52375827608493908</v>
      </c>
      <c r="AA47" s="629">
        <f t="shared" si="244"/>
        <v>-0.8379296008991981</v>
      </c>
      <c r="AB47" s="629">
        <f t="shared" si="245"/>
        <v>-0.15346417226650444</v>
      </c>
      <c r="AC47" s="636">
        <f t="shared" si="391"/>
        <v>1</v>
      </c>
      <c r="AD47" s="637">
        <f t="shared" si="392"/>
        <v>-0.52375827608493908</v>
      </c>
      <c r="AE47" s="629">
        <f t="shared" si="393"/>
        <v>-0.8379296008991981</v>
      </c>
      <c r="AF47" s="633">
        <f t="shared" si="394"/>
        <v>-0.15346417226650444</v>
      </c>
      <c r="AG47" s="602">
        <f t="shared" si="395"/>
        <v>-79.621479434180088</v>
      </c>
      <c r="AH47" s="603">
        <f t="shared" si="396"/>
        <v>121.58468856703659</v>
      </c>
      <c r="AI47" s="585">
        <f t="shared" si="397"/>
        <v>-81.172265863368423</v>
      </c>
      <c r="AJ47" s="586">
        <f t="shared" si="398"/>
        <v>-32.007953552232152</v>
      </c>
      <c r="AK47" s="635">
        <f t="shared" si="399"/>
        <v>0.95529603359672333</v>
      </c>
      <c r="AL47" s="629">
        <f t="shared" si="400"/>
        <v>-0.25270187182710929</v>
      </c>
      <c r="AM47" s="634">
        <f t="shared" si="401"/>
        <v>-0.15346417226650444</v>
      </c>
      <c r="AN47" s="581">
        <f t="shared" si="402"/>
        <v>-58.729967529181437</v>
      </c>
      <c r="AO47" s="582">
        <f t="shared" si="94"/>
        <v>17.196575681141603</v>
      </c>
      <c r="AP47" s="585">
        <f t="shared" si="403"/>
        <v>-14.816917051133947</v>
      </c>
      <c r="AQ47" s="586">
        <f t="shared" si="246"/>
        <v>0.43921836898092781</v>
      </c>
      <c r="AS47" s="52">
        <f t="shared" si="406"/>
        <v>-107.1790365028308</v>
      </c>
      <c r="AT47" s="72">
        <f t="shared" si="247"/>
        <v>-0.8947647033235866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3.1379999999999999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5.3136609570703985</v>
      </c>
      <c r="C48" s="708">
        <v>-1.7112524566868377</v>
      </c>
      <c r="D48" s="709">
        <v>-1.6633050165279304</v>
      </c>
      <c r="E48" s="710">
        <v>0.56729053601194623</v>
      </c>
      <c r="F48" s="708">
        <v>0.81821571114529901</v>
      </c>
      <c r="G48" s="711">
        <v>9.3297898080671182E-2</v>
      </c>
      <c r="H48" s="710">
        <v>0.314</v>
      </c>
      <c r="I48" s="708">
        <v>0.52</v>
      </c>
      <c r="J48" s="570">
        <v>3.145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3.145</v>
      </c>
      <c r="N48" s="632">
        <f t="shared" si="240"/>
        <v>5.3136609570703985</v>
      </c>
      <c r="O48" s="629">
        <f t="shared" si="241"/>
        <v>-1.7112524566868377</v>
      </c>
      <c r="P48" s="633">
        <f t="shared" si="242"/>
        <v>-1.6633050165279304</v>
      </c>
      <c r="Q48" s="585">
        <f t="shared" si="113"/>
        <v>342.14896359419396</v>
      </c>
      <c r="R48" s="629">
        <f t="shared" si="79"/>
        <v>5.5824168365691795</v>
      </c>
      <c r="S48" s="634">
        <f t="shared" si="80"/>
        <v>-1.6633050165279304</v>
      </c>
      <c r="T48" s="635">
        <f t="shared" si="81"/>
        <v>-1.7101395287752745</v>
      </c>
      <c r="U48" s="629">
        <f t="shared" si="82"/>
        <v>-5.314019244350864</v>
      </c>
      <c r="V48" s="636">
        <f t="shared" si="114"/>
        <v>-1.6633050165279304</v>
      </c>
      <c r="W48" s="585">
        <f t="shared" si="224"/>
        <v>252.16096359246137</v>
      </c>
      <c r="X48" s="629">
        <f t="shared" si="83"/>
        <v>5.5824168365691795</v>
      </c>
      <c r="Y48" s="630">
        <f t="shared" si="223"/>
        <v>-1.6633050165279304</v>
      </c>
      <c r="Z48" s="632">
        <f t="shared" si="243"/>
        <v>-0.56729053601194623</v>
      </c>
      <c r="AA48" s="629">
        <f t="shared" si="244"/>
        <v>-0.81821571114529901</v>
      </c>
      <c r="AB48" s="629">
        <f t="shared" si="245"/>
        <v>-9.3297898080671182E-2</v>
      </c>
      <c r="AC48" s="636">
        <f t="shared" si="84"/>
        <v>1</v>
      </c>
      <c r="AD48" s="637">
        <f t="shared" si="115"/>
        <v>-0.56729053601194623</v>
      </c>
      <c r="AE48" s="629">
        <f t="shared" si="85"/>
        <v>-0.81821571114529901</v>
      </c>
      <c r="AF48" s="633">
        <f t="shared" si="86"/>
        <v>-9.3297898080671182E-2</v>
      </c>
      <c r="AG48" s="602">
        <f t="shared" si="87"/>
        <v>-83.494885049759802</v>
      </c>
      <c r="AH48" s="603">
        <f t="shared" si="88"/>
        <v>124.56150188175206</v>
      </c>
      <c r="AI48" s="585">
        <f t="shared" si="89"/>
        <v>-84.646638575209408</v>
      </c>
      <c r="AJ48" s="586">
        <f t="shared" si="90"/>
        <v>-34.734590431340138</v>
      </c>
      <c r="AK48" s="635">
        <f t="shared" si="211"/>
        <v>0.95272323043662666</v>
      </c>
      <c r="AL48" s="629">
        <f t="shared" si="91"/>
        <v>-0.28916076566527332</v>
      </c>
      <c r="AM48" s="634">
        <f t="shared" si="92"/>
        <v>-9.3297898080671182E-2</v>
      </c>
      <c r="AN48" s="581">
        <f t="shared" si="93"/>
        <v>-72.117672493499015</v>
      </c>
      <c r="AO48" s="582">
        <f t="shared" si="94"/>
        <v>17.688359509050226</v>
      </c>
      <c r="AP48" s="585">
        <f t="shared" si="95"/>
        <v>-16.883554025534089</v>
      </c>
      <c r="AQ48" s="586">
        <f t="shared" si="246"/>
        <v>0.4083693667864311</v>
      </c>
      <c r="AS48" s="52">
        <f t="shared" si="406"/>
        <v>-107.83903640753863</v>
      </c>
      <c r="AT48" s="72">
        <f t="shared" si="247"/>
        <v>-1.5884084634683429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3.145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5.4817913184656444</v>
      </c>
      <c r="C49" s="708">
        <v>-1.799569086374047</v>
      </c>
      <c r="D49" s="709">
        <v>-2.4381073533317772</v>
      </c>
      <c r="E49" s="710">
        <v>0.62142783268167834</v>
      </c>
      <c r="F49" s="708">
        <v>0.78195458940629825</v>
      </c>
      <c r="G49" s="711">
        <v>4.872852219162483E-2</v>
      </c>
      <c r="H49" s="710">
        <v>0.314</v>
      </c>
      <c r="I49" s="708">
        <v>0.52</v>
      </c>
      <c r="J49" s="570">
        <v>3.1520000000000001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3.1520000000000001</v>
      </c>
      <c r="N49" s="632">
        <f t="shared" si="240"/>
        <v>5.4817913184656444</v>
      </c>
      <c r="O49" s="629">
        <f t="shared" si="241"/>
        <v>-1.799569086374047</v>
      </c>
      <c r="P49" s="633">
        <f t="shared" si="242"/>
        <v>-2.4381073533317772</v>
      </c>
      <c r="Q49" s="585">
        <f t="shared" si="113"/>
        <v>341.8259636408294</v>
      </c>
      <c r="R49" s="629">
        <f t="shared" si="79"/>
        <v>5.7696174011660801</v>
      </c>
      <c r="S49" s="634">
        <f t="shared" si="80"/>
        <v>-2.4381073533317772</v>
      </c>
      <c r="T49" s="635">
        <f t="shared" si="81"/>
        <v>-1.7984209433902769</v>
      </c>
      <c r="U49" s="629">
        <f t="shared" si="82"/>
        <v>-5.4821680990474615</v>
      </c>
      <c r="V49" s="636">
        <f t="shared" si="114"/>
        <v>-2.4381073533317772</v>
      </c>
      <c r="W49" s="585">
        <f t="shared" si="224"/>
        <v>251.83796363909681</v>
      </c>
      <c r="X49" s="629">
        <f t="shared" si="83"/>
        <v>5.7696174011660801</v>
      </c>
      <c r="Y49" s="630">
        <f t="shared" si="223"/>
        <v>-2.4381073533317772</v>
      </c>
      <c r="Z49" s="632">
        <f t="shared" si="243"/>
        <v>-0.62142783268167834</v>
      </c>
      <c r="AA49" s="629">
        <f t="shared" si="244"/>
        <v>-0.78195458940629825</v>
      </c>
      <c r="AB49" s="629">
        <f t="shared" si="245"/>
        <v>-4.872852219162483E-2</v>
      </c>
      <c r="AC49" s="636">
        <f t="shared" si="84"/>
        <v>1</v>
      </c>
      <c r="AD49" s="637">
        <f t="shared" si="115"/>
        <v>-0.62142783268167834</v>
      </c>
      <c r="AE49" s="629">
        <f t="shared" si="85"/>
        <v>-0.78195458940629825</v>
      </c>
      <c r="AF49" s="633">
        <f t="shared" si="86"/>
        <v>-4.872852219162483E-2</v>
      </c>
      <c r="AG49" s="602">
        <f t="shared" si="87"/>
        <v>-86.434149630264571</v>
      </c>
      <c r="AH49" s="603">
        <f t="shared" si="88"/>
        <v>128.4204775144328</v>
      </c>
      <c r="AI49" s="585">
        <f t="shared" si="89"/>
        <v>-87.206955259003408</v>
      </c>
      <c r="AJ49" s="586">
        <f t="shared" si="90"/>
        <v>-38.47454840951491</v>
      </c>
      <c r="AK49" s="635">
        <f t="shared" si="211"/>
        <v>0.93677168188931104</v>
      </c>
      <c r="AL49" s="629">
        <f t="shared" si="91"/>
        <v>-0.34653188473110491</v>
      </c>
      <c r="AM49" s="634">
        <f t="shared" si="92"/>
        <v>-4.872852219162483E-2</v>
      </c>
      <c r="AN49" s="581">
        <f t="shared" si="93"/>
        <v>-81.995680386095302</v>
      </c>
      <c r="AO49" s="582">
        <f t="shared" si="94"/>
        <v>20.483716288655117</v>
      </c>
      <c r="AP49" s="585">
        <f t="shared" si="95"/>
        <v>-20.300512050344302</v>
      </c>
      <c r="AQ49" s="586">
        <f t="shared" si="246"/>
        <v>0.39511987268941678</v>
      </c>
      <c r="AS49" s="52">
        <f t="shared" si="406"/>
        <v>-108.16203636090319</v>
      </c>
      <c r="AT49" s="72">
        <f t="shared" si="247"/>
        <v>-2.3629864947490198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3.1520000000000001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5.5619880786190476</v>
      </c>
      <c r="C50" s="708">
        <v>-1.8427946687626637</v>
      </c>
      <c r="D50" s="709">
        <v>-3.2340097537734178</v>
      </c>
      <c r="E50" s="710">
        <v>0.80522850218788522</v>
      </c>
      <c r="F50" s="708">
        <v>0.59287021982863852</v>
      </c>
      <c r="G50" s="711">
        <v>1.0581195801843732E-2</v>
      </c>
      <c r="H50" s="710">
        <v>0.314</v>
      </c>
      <c r="I50" s="708">
        <v>0.52</v>
      </c>
      <c r="J50" s="570">
        <v>3.1589999999999998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3.1589999999999998</v>
      </c>
      <c r="N50" s="632">
        <f t="shared" si="240"/>
        <v>5.5619880786190476</v>
      </c>
      <c r="O50" s="629">
        <f t="shared" si="241"/>
        <v>-1.8427946687626637</v>
      </c>
      <c r="P50" s="633">
        <f t="shared" si="242"/>
        <v>-3.2340097537734178</v>
      </c>
      <c r="Q50" s="585">
        <f t="shared" si="113"/>
        <v>341.66896366349738</v>
      </c>
      <c r="R50" s="629">
        <f t="shared" si="79"/>
        <v>5.8593176717020992</v>
      </c>
      <c r="S50" s="634">
        <f t="shared" si="80"/>
        <v>-3.2340097537734178</v>
      </c>
      <c r="T50" s="635">
        <f t="shared" si="81"/>
        <v>-1.8416297284632286</v>
      </c>
      <c r="U50" s="629">
        <f t="shared" si="82"/>
        <v>-5.5623739105853867</v>
      </c>
      <c r="V50" s="636">
        <f t="shared" si="114"/>
        <v>-3.2340097537734178</v>
      </c>
      <c r="W50" s="585">
        <f t="shared" si="224"/>
        <v>251.68096366176479</v>
      </c>
      <c r="X50" s="629">
        <f t="shared" si="83"/>
        <v>5.8593176717020992</v>
      </c>
      <c r="Y50" s="630">
        <f t="shared" si="223"/>
        <v>-3.2340097537734178</v>
      </c>
      <c r="Z50" s="632">
        <f t="shared" si="243"/>
        <v>-0.80522850218788522</v>
      </c>
      <c r="AA50" s="629">
        <f t="shared" si="244"/>
        <v>-0.59287021982863852</v>
      </c>
      <c r="AB50" s="629">
        <f t="shared" si="245"/>
        <v>-1.0581195801843732E-2</v>
      </c>
      <c r="AC50" s="636">
        <f t="shared" si="84"/>
        <v>1</v>
      </c>
      <c r="AD50" s="637">
        <f t="shared" si="115"/>
        <v>-0.80522850218788522</v>
      </c>
      <c r="AE50" s="629">
        <f t="shared" si="85"/>
        <v>-0.59287021982863852</v>
      </c>
      <c r="AF50" s="633">
        <f t="shared" si="86"/>
        <v>-1.0581195801843732E-2</v>
      </c>
      <c r="AG50" s="602">
        <f t="shared" si="87"/>
        <v>-88.977527487044924</v>
      </c>
      <c r="AH50" s="603">
        <f t="shared" si="88"/>
        <v>143.63232879315038</v>
      </c>
      <c r="AI50" s="585">
        <f t="shared" si="89"/>
        <v>-89.393730824838855</v>
      </c>
      <c r="AJ50" s="586">
        <f t="shared" si="90"/>
        <v>-53.636685028909199</v>
      </c>
      <c r="AK50" s="635">
        <f t="shared" si="211"/>
        <v>0.81603492995691274</v>
      </c>
      <c r="AL50" s="629">
        <f t="shared" si="91"/>
        <v>-0.57790572880498392</v>
      </c>
      <c r="AM50" s="634">
        <f t="shared" si="92"/>
        <v>-1.0581195801843732E-2</v>
      </c>
      <c r="AN50" s="581">
        <f t="shared" si="93"/>
        <v>-88.95105707070843</v>
      </c>
      <c r="AO50" s="582">
        <f t="shared" si="94"/>
        <v>35.310177687062712</v>
      </c>
      <c r="AP50" s="585">
        <f t="shared" si="95"/>
        <v>-35.30564869240655</v>
      </c>
      <c r="AQ50" s="586">
        <f t="shared" si="246"/>
        <v>0.38907117155072107</v>
      </c>
      <c r="AS50" s="52">
        <f t="shared" si="406"/>
        <v>-108.31903633823521</v>
      </c>
      <c r="AT50" s="72">
        <f t="shared" si="247"/>
        <v>-3.1587798674286245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3.1589999999999998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5.609430302117441</v>
      </c>
      <c r="C51" s="708">
        <v>-1.8687318698045143</v>
      </c>
      <c r="D51" s="709">
        <v>-3.9930120429243203</v>
      </c>
      <c r="E51" s="710">
        <v>0.85195576420818198</v>
      </c>
      <c r="F51" s="708">
        <v>0.52361376589279163</v>
      </c>
      <c r="G51" s="711">
        <v>1.457809316770762E-7</v>
      </c>
      <c r="H51" s="710">
        <v>0.314</v>
      </c>
      <c r="I51" s="708">
        <v>0.52</v>
      </c>
      <c r="J51" s="570">
        <v>3.1659999999999999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3.1659999999999999</v>
      </c>
      <c r="N51" s="632">
        <f t="shared" si="240"/>
        <v>5.609430302117441</v>
      </c>
      <c r="O51" s="629">
        <f t="shared" si="241"/>
        <v>-1.8687318698045143</v>
      </c>
      <c r="P51" s="633">
        <f t="shared" si="242"/>
        <v>-3.9930120429243203</v>
      </c>
      <c r="Q51" s="585">
        <f t="shared" si="113"/>
        <v>341.57496367706926</v>
      </c>
      <c r="R51" s="629">
        <f t="shared" si="79"/>
        <v>5.9125178321537799</v>
      </c>
      <c r="S51" s="634">
        <f t="shared" si="80"/>
        <v>-3.9930120429243203</v>
      </c>
      <c r="T51" s="635">
        <f t="shared" si="81"/>
        <v>-1.8675569926616695</v>
      </c>
      <c r="U51" s="629">
        <f t="shared" si="82"/>
        <v>-5.6098215653171115</v>
      </c>
      <c r="V51" s="636">
        <f t="shared" si="114"/>
        <v>-3.9930120429243203</v>
      </c>
      <c r="W51" s="585">
        <f t="shared" si="224"/>
        <v>251.58696367533668</v>
      </c>
      <c r="X51" s="629">
        <f t="shared" si="83"/>
        <v>5.9125178321537799</v>
      </c>
      <c r="Y51" s="630">
        <f t="shared" si="223"/>
        <v>-3.9930120429243203</v>
      </c>
      <c r="Z51" s="632">
        <f t="shared" si="243"/>
        <v>-0.85195576420818198</v>
      </c>
      <c r="AA51" s="629">
        <f t="shared" si="244"/>
        <v>-0.52361376589279163</v>
      </c>
      <c r="AB51" s="629">
        <f t="shared" si="245"/>
        <v>-1.457809316770762E-7</v>
      </c>
      <c r="AC51" s="636">
        <f t="shared" si="84"/>
        <v>0.99999999999999978</v>
      </c>
      <c r="AD51" s="637">
        <f t="shared" si="115"/>
        <v>-0.8519557642081822</v>
      </c>
      <c r="AE51" s="629">
        <f t="shared" si="85"/>
        <v>-0.52361376589279174</v>
      </c>
      <c r="AF51" s="633">
        <f t="shared" si="86"/>
        <v>-1.4578093167707622E-7</v>
      </c>
      <c r="AG51" s="602">
        <f t="shared" si="87"/>
        <v>-89.999984048104423</v>
      </c>
      <c r="AH51" s="603">
        <f t="shared" si="88"/>
        <v>148.42503054764435</v>
      </c>
      <c r="AI51" s="585">
        <f t="shared" si="89"/>
        <v>-89.999991647367878</v>
      </c>
      <c r="AJ51" s="586">
        <f t="shared" si="90"/>
        <v>-58.425030547645342</v>
      </c>
      <c r="AK51" s="635">
        <f t="shared" si="211"/>
        <v>0.76604450791050771</v>
      </c>
      <c r="AL51" s="629">
        <f t="shared" si="91"/>
        <v>-0.64278753247097675</v>
      </c>
      <c r="AM51" s="634">
        <f t="shared" si="92"/>
        <v>-1.4578093167707622E-7</v>
      </c>
      <c r="AN51" s="581">
        <f t="shared" si="93"/>
        <v>-89.999987005609626</v>
      </c>
      <c r="AO51" s="582">
        <f t="shared" si="94"/>
        <v>39.999994224715337</v>
      </c>
      <c r="AP51" s="585">
        <f t="shared" si="95"/>
        <v>-39.999994224714627</v>
      </c>
      <c r="AQ51" s="586">
        <f t="shared" si="246"/>
        <v>0.38557045973782411</v>
      </c>
      <c r="AS51" s="52">
        <f t="shared" si="406"/>
        <v>-108.41303632466332</v>
      </c>
      <c r="AT51" s="72">
        <f t="shared" si="247"/>
        <v>-3.917716878811174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3.1659999999999999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3.3354452367894414</v>
      </c>
      <c r="C52" s="708">
        <v>-1.9258626123860993</v>
      </c>
      <c r="D52" s="709">
        <v>-8.6200259979984109E-2</v>
      </c>
      <c r="E52" s="710">
        <v>0.57323967492874128</v>
      </c>
      <c r="F52" s="708">
        <v>0.71167405612432533</v>
      </c>
      <c r="G52" s="711">
        <v>0.40609889550101197</v>
      </c>
      <c r="H52" s="710">
        <v>0.26600000000000001</v>
      </c>
      <c r="I52" s="708">
        <v>0.52</v>
      </c>
      <c r="J52" s="570">
        <v>3.2240000000000002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3.2240000000000002</v>
      </c>
      <c r="N52" s="632">
        <f t="shared" si="240"/>
        <v>3.3354452367894414</v>
      </c>
      <c r="O52" s="629">
        <f t="shared" si="241"/>
        <v>-1.9258626123860993</v>
      </c>
      <c r="P52" s="633">
        <f t="shared" si="242"/>
        <v>-8.6200259979984109E-2</v>
      </c>
      <c r="Q52" s="585">
        <f t="shared" si="113"/>
        <v>329.99816534855216</v>
      </c>
      <c r="R52" s="629">
        <f t="shared" si="79"/>
        <v>3.8515116161590353</v>
      </c>
      <c r="S52" s="634">
        <f t="shared" si="80"/>
        <v>-8.6200259979984109E-2</v>
      </c>
      <c r="T52" s="635">
        <f t="shared" si="81"/>
        <v>-1.925163996236364</v>
      </c>
      <c r="U52" s="629">
        <f t="shared" si="82"/>
        <v>-3.3358485152961035</v>
      </c>
      <c r="V52" s="636">
        <f t="shared" si="114"/>
        <v>-8.6200259979984109E-2</v>
      </c>
      <c r="W52" s="585">
        <f t="shared" si="224"/>
        <v>240.01016534681958</v>
      </c>
      <c r="X52" s="629">
        <f t="shared" si="83"/>
        <v>3.8515116161590353</v>
      </c>
      <c r="Y52" s="630">
        <f t="shared" si="223"/>
        <v>-8.6200259979984109E-2</v>
      </c>
      <c r="Z52" s="632">
        <f t="shared" si="243"/>
        <v>-0.57323967492874128</v>
      </c>
      <c r="AA52" s="629">
        <f t="shared" si="244"/>
        <v>-0.71167405612432533</v>
      </c>
      <c r="AB52" s="629">
        <f t="shared" si="245"/>
        <v>-0.40609889550101197</v>
      </c>
      <c r="AC52" s="636">
        <f t="shared" si="84"/>
        <v>1</v>
      </c>
      <c r="AD52" s="637">
        <f t="shared" si="115"/>
        <v>-0.57323967492874128</v>
      </c>
      <c r="AE52" s="629">
        <f t="shared" si="85"/>
        <v>-0.71167405612432533</v>
      </c>
      <c r="AF52" s="633">
        <f t="shared" si="86"/>
        <v>-0.40609889550101197</v>
      </c>
      <c r="AG52" s="602">
        <f t="shared" si="87"/>
        <v>-60.289845586725917</v>
      </c>
      <c r="AH52" s="603">
        <f t="shared" si="88"/>
        <v>124.97644853293572</v>
      </c>
      <c r="AI52" s="585">
        <f t="shared" si="89"/>
        <v>-66.039992066326789</v>
      </c>
      <c r="AJ52" s="586">
        <f t="shared" si="90"/>
        <v>-38.850771155182244</v>
      </c>
      <c r="AK52" s="635">
        <f t="shared" si="211"/>
        <v>0.90295215103007642</v>
      </c>
      <c r="AL52" s="629">
        <f t="shared" si="91"/>
        <v>-0.14057417978781372</v>
      </c>
      <c r="AM52" s="634">
        <f t="shared" si="92"/>
        <v>-0.40609889550101197</v>
      </c>
      <c r="AN52" s="581">
        <f t="shared" si="93"/>
        <v>-19.09367912192474</v>
      </c>
      <c r="AO52" s="582">
        <f t="shared" si="94"/>
        <v>25.451130816692434</v>
      </c>
      <c r="AP52" s="585">
        <f t="shared" si="95"/>
        <v>-8.848936503734409</v>
      </c>
      <c r="AQ52" s="586">
        <f t="shared" si="246"/>
        <v>0.59188333428811946</v>
      </c>
      <c r="AS52" s="52">
        <f t="shared" si="406"/>
        <v>-119.98983465318042</v>
      </c>
      <c r="AT52" s="72">
        <f t="shared" si="247"/>
        <v>-2.8656525831453339E-3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3.2240000000000002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3.1240000000000001</v>
      </c>
      <c r="II52" s="734" cm="1">
        <f t="array" ref="II52">IFERROR(IF($IH52&lt;1,$IH52+LARGE((IF($M$9:$M$150="",0,$M$9:$M$150)-MOD(IF($M$9:$M$150="",0,$M$9:$M$150),1)),1),$IH52),"")</f>
        <v>3.1240000000000001</v>
      </c>
      <c r="IJ52" s="533">
        <f t="shared" si="112"/>
        <v>1613</v>
      </c>
      <c r="IK52" s="533">
        <f t="shared" si="382"/>
        <v>1313</v>
      </c>
      <c r="IL52" s="727">
        <f t="shared" si="225"/>
        <v>14.824797859564001</v>
      </c>
      <c r="IM52" s="759">
        <v>3.4888958523364602E-3</v>
      </c>
      <c r="IN52" s="5">
        <f t="shared" si="226"/>
        <v>0.06</v>
      </c>
      <c r="IO52" s="771">
        <v>30</v>
      </c>
      <c r="IP52" s="9">
        <f t="shared" si="227"/>
        <v>-3.8433115914277596</v>
      </c>
      <c r="IQ52" s="5">
        <f t="shared" si="228"/>
        <v>-0.14410043460691047</v>
      </c>
      <c r="IR52" s="5">
        <f t="shared" si="383"/>
        <v>0.314</v>
      </c>
      <c r="IS52" s="5">
        <f t="shared" si="229"/>
        <v>0.30217772224498629</v>
      </c>
      <c r="IT52" s="727">
        <f t="shared" si="230"/>
        <v>25.992238526353479</v>
      </c>
      <c r="IU52" s="9">
        <f t="shared" si="231"/>
        <v>-3.8515116161590353</v>
      </c>
      <c r="IV52" s="5">
        <f t="shared" si="232"/>
        <v>-8.6200259979984109E-2</v>
      </c>
      <c r="IW52" s="5">
        <f t="shared" si="384"/>
        <v>0.26600000000000001</v>
      </c>
      <c r="IX52" s="5">
        <f t="shared" si="233"/>
        <v>0.24018527217400035</v>
      </c>
      <c r="IY52" s="762">
        <f t="shared" si="234"/>
        <v>19.09367912192474</v>
      </c>
    </row>
    <row r="53" spans="1:259" ht="15" customHeight="1" x14ac:dyDescent="0.25">
      <c r="A53" s="79"/>
      <c r="B53" s="707">
        <v>4.0283171874512824</v>
      </c>
      <c r="C53" s="708">
        <v>-2.2271949715999866</v>
      </c>
      <c r="D53" s="709">
        <v>-0.39160118106916214</v>
      </c>
      <c r="E53" s="710">
        <v>0.65018360578756174</v>
      </c>
      <c r="F53" s="708">
        <v>0.66851724519965694</v>
      </c>
      <c r="G53" s="711">
        <v>0.36103458509642328</v>
      </c>
      <c r="H53" s="710">
        <v>0.26600000000000001</v>
      </c>
      <c r="I53" s="708">
        <v>0.52</v>
      </c>
      <c r="J53" s="570">
        <v>3.2309999999999999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3.2309999999999999</v>
      </c>
      <c r="N53" s="632">
        <f t="shared" si="240"/>
        <v>4.0283171874512824</v>
      </c>
      <c r="O53" s="629">
        <f t="shared" si="241"/>
        <v>-2.2271949715999866</v>
      </c>
      <c r="P53" s="633">
        <f t="shared" si="242"/>
        <v>-0.39160118106916214</v>
      </c>
      <c r="Q53" s="585">
        <f t="shared" si="113"/>
        <v>331.06246519488627</v>
      </c>
      <c r="R53" s="629">
        <f t="shared" ref="R53:R58" si="410">IF(M53="","",SQRT(N53^2+O53^2))</f>
        <v>4.6030138826898703</v>
      </c>
      <c r="S53" s="634">
        <f t="shared" ref="S53:S58" si="411">IF(M53="","",P53)</f>
        <v>-0.39160118106916214</v>
      </c>
      <c r="T53" s="635">
        <f t="shared" ref="T53:T58" si="412">IF(M53="","",X53*COS(RADIANS(W53)))</f>
        <v>-2.226351234101303</v>
      </c>
      <c r="U53" s="629">
        <f t="shared" ref="U53:U58" si="413">IF(M53="","",X53*SIN(RADIANS(W53)))</f>
        <v>-4.028783561653726</v>
      </c>
      <c r="V53" s="636">
        <f t="shared" ref="V53:V58" si="414">IF(M53="","",Y53)</f>
        <v>-0.39160118106916214</v>
      </c>
      <c r="W53" s="585">
        <f t="shared" si="224"/>
        <v>241.07446519315369</v>
      </c>
      <c r="X53" s="629">
        <f t="shared" ref="X53:X58" si="415">IF(M53="","",R53)</f>
        <v>4.6030138826898703</v>
      </c>
      <c r="Y53" s="630">
        <f t="shared" si="223"/>
        <v>-0.39160118106916214</v>
      </c>
      <c r="Z53" s="632">
        <f t="shared" si="243"/>
        <v>-0.65018360578756174</v>
      </c>
      <c r="AA53" s="629">
        <f t="shared" si="244"/>
        <v>-0.66851724519965694</v>
      </c>
      <c r="AB53" s="629">
        <f t="shared" si="245"/>
        <v>-0.36103458509642328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-0.65018360578756174</v>
      </c>
      <c r="AE53" s="629">
        <f t="shared" ref="AE53:AE58" si="418">IF(M53="","",AA53*(1/SQRT(Z53^2+AA53^2+AB53^2)))</f>
        <v>-0.66851724519965694</v>
      </c>
      <c r="AF53" s="633">
        <f t="shared" ref="AF53:AF58" si="419">IF(M53="","",AB53*(1/SQRT(Z53^2+AA53^2+AB53^2)))</f>
        <v>-0.36103458509642328</v>
      </c>
      <c r="AG53" s="602">
        <f t="shared" ref="AG53:AG58" si="420">IF(M53="","",DEGREES(ATAN2(-AF53,AE53)))</f>
        <v>-61.628613194219895</v>
      </c>
      <c r="AH53" s="603">
        <f t="shared" ref="AH53:AH58" si="421">IF(M53="","",DEGREES(ACOS(AD53)))</f>
        <v>130.55544639311586</v>
      </c>
      <c r="AI53" s="585">
        <f t="shared" ref="AI53:AI58" si="422">IF(M53="","",DEGREES(-ACOS(-AF53)))</f>
        <v>-68.836252967379679</v>
      </c>
      <c r="AJ53" s="586">
        <f t="shared" ref="AJ53:AJ58" si="423">IF(M53="","",DEGREES(ATAN2(-AE53,AD53)))</f>
        <v>-44.203479326380425</v>
      </c>
      <c r="AK53" s="635">
        <f t="shared" ref="AK53:AK58" si="424">IF(M53="","",(COS(RADIANS((90-$Q$8)-W53))*AD53)+(-SIN(RADIANS((90-$Q$8)-W53))*AE53))</f>
        <v>0.89964646466637088</v>
      </c>
      <c r="AL53" s="629">
        <f t="shared" ref="AL53:AL58" si="425">IF(M53="","",(SIN(RADIANS((90-$Q$8)-W53))*AD53)+(COS(RADIANS((90-$Q$8)-W53))*AE53))</f>
        <v>-0.24554076439066913</v>
      </c>
      <c r="AM53" s="634">
        <f t="shared" ref="AM53:AM58" si="426">IF(M53="","",AF53)</f>
        <v>-0.36103458509642328</v>
      </c>
      <c r="AN53" s="581">
        <f t="shared" ref="AN53:AN58" si="427">IF(M53="","",DEGREES(ATAN2(-AM53,AL53)))</f>
        <v>-34.219743911548143</v>
      </c>
      <c r="AO53" s="582">
        <f t="shared" si="94"/>
        <v>25.888364562827178</v>
      </c>
      <c r="AP53" s="585">
        <f t="shared" ref="AP53:AP58" si="428">IF(M53="","",DEGREES(ATAN2(AK53,AL53)))</f>
        <v>-15.265944521266714</v>
      </c>
      <c r="AQ53" s="586">
        <f t="shared" si="246"/>
        <v>0.4952559154405945</v>
      </c>
      <c r="AS53" s="52">
        <f t="shared" si="406"/>
        <v>-118.92553480684631</v>
      </c>
      <c r="AT53" s="72">
        <f t="shared" si="247"/>
        <v>-0.30900567078783314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3.2309999999999999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3.1309999999999998</v>
      </c>
      <c r="II53" s="734" cm="1">
        <f t="array" ref="II53">IFERROR(IF($IH53&lt;1,$IH53+LARGE((IF($M$9:$M$150="",0,$M$9:$M$150)-MOD(IF($M$9:$M$150="",0,$M$9:$M$150),1)),1),$IH53),"")</f>
        <v>3.1309999999999998</v>
      </c>
      <c r="IJ53" s="533">
        <f t="shared" si="112"/>
        <v>1613</v>
      </c>
      <c r="IK53" s="533">
        <f t="shared" si="382"/>
        <v>1313</v>
      </c>
      <c r="IL53" s="727">
        <f t="shared" si="225"/>
        <v>12.712498164542353</v>
      </c>
      <c r="IM53" s="759">
        <v>2.6310296760373199E-3</v>
      </c>
      <c r="IN53" s="5">
        <f t="shared" si="226"/>
        <v>0.04</v>
      </c>
      <c r="IO53" s="771">
        <v>20</v>
      </c>
      <c r="IP53" s="9">
        <f t="shared" si="227"/>
        <v>-4.5837138244808955</v>
      </c>
      <c r="IQ53" s="5">
        <f t="shared" si="228"/>
        <v>-0.44750134966407051</v>
      </c>
      <c r="IR53" s="5">
        <f t="shared" si="383"/>
        <v>0.314</v>
      </c>
      <c r="IS53" s="5">
        <f t="shared" si="229"/>
        <v>0.30107145678595687</v>
      </c>
      <c r="IT53" s="727">
        <f t="shared" si="230"/>
        <v>43.350747777250668</v>
      </c>
      <c r="IU53" s="9">
        <f t="shared" si="231"/>
        <v>-4.6030138826898703</v>
      </c>
      <c r="IV53" s="5">
        <f t="shared" si="232"/>
        <v>-0.39160118106916214</v>
      </c>
      <c r="IW53" s="5">
        <f t="shared" si="384"/>
        <v>0.26600000000000001</v>
      </c>
      <c r="IX53" s="5">
        <f t="shared" si="233"/>
        <v>0.23930595960125467</v>
      </c>
      <c r="IY53" s="762">
        <f t="shared" si="234"/>
        <v>34.219743911548143</v>
      </c>
    </row>
    <row r="54" spans="1:259" ht="15" customHeight="1" x14ac:dyDescent="0.25">
      <c r="A54" s="79"/>
      <c r="B54" s="707">
        <v>4.5767275467832826</v>
      </c>
      <c r="C54" s="708">
        <v>-2.5106121448572964</v>
      </c>
      <c r="D54" s="709">
        <v>-0.91760276748994685</v>
      </c>
      <c r="E54" s="710">
        <v>0.72085959201013594</v>
      </c>
      <c r="F54" s="708">
        <v>0.62690401440369059</v>
      </c>
      <c r="G54" s="711">
        <v>0.29555508002996284</v>
      </c>
      <c r="H54" s="710">
        <v>0.26600000000000001</v>
      </c>
      <c r="I54" s="708">
        <v>0.52</v>
      </c>
      <c r="J54" s="570">
        <v>3.238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3.238</v>
      </c>
      <c r="N54" s="632">
        <f t="shared" si="240"/>
        <v>4.5767275467832826</v>
      </c>
      <c r="O54" s="629">
        <f t="shared" si="241"/>
        <v>-2.5106121448572964</v>
      </c>
      <c r="P54" s="633">
        <f t="shared" si="242"/>
        <v>-0.91760276748994685</v>
      </c>
      <c r="Q54" s="585">
        <f t="shared" si="113"/>
        <v>331.25256516743923</v>
      </c>
      <c r="R54" s="629">
        <f t="shared" si="410"/>
        <v>5.2201157438690844</v>
      </c>
      <c r="S54" s="634">
        <f t="shared" si="411"/>
        <v>-0.91760276748994685</v>
      </c>
      <c r="T54" s="635">
        <f t="shared" si="412"/>
        <v>-2.5096535423629356</v>
      </c>
      <c r="U54" s="629">
        <f t="shared" si="413"/>
        <v>-4.5772532677027007</v>
      </c>
      <c r="V54" s="636">
        <f t="shared" si="414"/>
        <v>-0.91760276748994685</v>
      </c>
      <c r="W54" s="585">
        <f t="shared" si="224"/>
        <v>241.26456516570664</v>
      </c>
      <c r="X54" s="629">
        <f t="shared" si="415"/>
        <v>5.2201157438690844</v>
      </c>
      <c r="Y54" s="630">
        <f t="shared" si="223"/>
        <v>-0.91760276748994685</v>
      </c>
      <c r="Z54" s="632">
        <f t="shared" si="243"/>
        <v>-0.72085959201013594</v>
      </c>
      <c r="AA54" s="629">
        <f t="shared" si="244"/>
        <v>-0.62690401440369059</v>
      </c>
      <c r="AB54" s="629">
        <f t="shared" si="245"/>
        <v>-0.29555508002996284</v>
      </c>
      <c r="AC54" s="636">
        <f t="shared" si="416"/>
        <v>1</v>
      </c>
      <c r="AD54" s="637">
        <f t="shared" si="417"/>
        <v>-0.72085959201013594</v>
      </c>
      <c r="AE54" s="629">
        <f t="shared" si="418"/>
        <v>-0.62690401440369059</v>
      </c>
      <c r="AF54" s="633">
        <f t="shared" si="419"/>
        <v>-0.29555508002996284</v>
      </c>
      <c r="AG54" s="602">
        <f t="shared" si="420"/>
        <v>-64.758377808972199</v>
      </c>
      <c r="AH54" s="603">
        <f t="shared" si="421"/>
        <v>136.12549561911558</v>
      </c>
      <c r="AI54" s="585">
        <f t="shared" si="422"/>
        <v>-72.809174623199311</v>
      </c>
      <c r="AJ54" s="586">
        <f t="shared" si="423"/>
        <v>-48.987763780014575</v>
      </c>
      <c r="AK54" s="635">
        <f t="shared" si="424"/>
        <v>0.89633409447736234</v>
      </c>
      <c r="AL54" s="629">
        <f t="shared" si="425"/>
        <v>-0.3305032310673065</v>
      </c>
      <c r="AM54" s="634">
        <f t="shared" si="426"/>
        <v>-0.29555508002996284</v>
      </c>
      <c r="AN54" s="581">
        <f t="shared" si="427"/>
        <v>-48.195078623696993</v>
      </c>
      <c r="AO54" s="582">
        <f t="shared" si="94"/>
        <v>26.319692480585918</v>
      </c>
      <c r="AP54" s="585">
        <f t="shared" si="428"/>
        <v>-20.240328947453829</v>
      </c>
      <c r="AQ54" s="586">
        <f t="shared" si="246"/>
        <v>0.43671109919384632</v>
      </c>
      <c r="AS54" s="52">
        <f t="shared" si="406"/>
        <v>-118.73543483429336</v>
      </c>
      <c r="AT54" s="72">
        <f t="shared" si="247"/>
        <v>-0.83513927107844632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3.238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3.1379999999999999</v>
      </c>
      <c r="II54" s="734" cm="1">
        <f t="array" ref="II54">IFERROR(IF($IH54&lt;1,$IH54+LARGE((IF($M$9:$M$150="",0,$M$9:$M$150)-MOD(IF($M$9:$M$150="",0,$M$9:$M$150),1)),1),$IH54),"")</f>
        <v>3.1379999999999999</v>
      </c>
      <c r="IJ54" s="533">
        <f t="shared" si="112"/>
        <v>1613</v>
      </c>
      <c r="IK54" s="533">
        <f t="shared" si="382"/>
        <v>1313</v>
      </c>
      <c r="IL54" s="727">
        <f t="shared" si="225"/>
        <v>11.55639833146256</v>
      </c>
      <c r="IM54" s="759">
        <v>2.0095362166324699E-3</v>
      </c>
      <c r="IN54" s="5">
        <f t="shared" si="226"/>
        <v>0.02</v>
      </c>
      <c r="IO54" s="771">
        <v>10</v>
      </c>
      <c r="IP54" s="9">
        <f t="shared" si="227"/>
        <v>-5.1903156539920134</v>
      </c>
      <c r="IQ54" s="5">
        <f t="shared" si="228"/>
        <v>-0.96920292311601597</v>
      </c>
      <c r="IR54" s="5">
        <f t="shared" si="383"/>
        <v>0.314</v>
      </c>
      <c r="IS54" s="5">
        <f t="shared" si="229"/>
        <v>0.29996295454937111</v>
      </c>
      <c r="IT54" s="727">
        <f t="shared" si="230"/>
        <v>58.729967529181437</v>
      </c>
      <c r="IU54" s="9">
        <f t="shared" si="231"/>
        <v>-5.2201157438690844</v>
      </c>
      <c r="IV54" s="5">
        <f t="shared" si="232"/>
        <v>-0.91760276748994685</v>
      </c>
      <c r="IW54" s="5">
        <f t="shared" si="384"/>
        <v>0.26600000000000001</v>
      </c>
      <c r="IX54" s="5">
        <f t="shared" si="233"/>
        <v>0.23842486913097841</v>
      </c>
      <c r="IY54" s="762">
        <f t="shared" si="234"/>
        <v>48.195078623696993</v>
      </c>
    </row>
    <row r="55" spans="1:259" ht="15" customHeight="1" x14ac:dyDescent="0.25">
      <c r="A55" s="79"/>
      <c r="B55" s="707">
        <v>4.9202790729417458</v>
      </c>
      <c r="C55" s="708">
        <v>-2.7192931742663626</v>
      </c>
      <c r="D55" s="709">
        <v>-1.6179048796011168</v>
      </c>
      <c r="E55" s="710">
        <v>0.77499930214896529</v>
      </c>
      <c r="F55" s="708">
        <v>0.59303859747318155</v>
      </c>
      <c r="G55" s="711">
        <v>0.21836048996020027</v>
      </c>
      <c r="H55" s="710">
        <v>0.26600000000000001</v>
      </c>
      <c r="I55" s="708">
        <v>0.52</v>
      </c>
      <c r="J55" s="570">
        <v>3.2450000000000001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3.2450000000000001</v>
      </c>
      <c r="N55" s="632">
        <f t="shared" si="240"/>
        <v>4.9202790729417458</v>
      </c>
      <c r="O55" s="629">
        <f t="shared" si="241"/>
        <v>-2.7192931742663626</v>
      </c>
      <c r="P55" s="633">
        <f t="shared" si="242"/>
        <v>-1.6179048796011168</v>
      </c>
      <c r="Q55" s="585">
        <f t="shared" si="113"/>
        <v>331.07186519352911</v>
      </c>
      <c r="R55" s="629">
        <f t="shared" si="410"/>
        <v>5.6217169550983366</v>
      </c>
      <c r="S55" s="634">
        <f t="shared" si="411"/>
        <v>-1.6179048796011168</v>
      </c>
      <c r="T55" s="635">
        <f t="shared" si="412"/>
        <v>-2.7182626139426493</v>
      </c>
      <c r="U55" s="629">
        <f t="shared" si="413"/>
        <v>-4.9208484923722029</v>
      </c>
      <c r="V55" s="636">
        <f t="shared" si="414"/>
        <v>-1.6179048796011168</v>
      </c>
      <c r="W55" s="585">
        <f t="shared" si="224"/>
        <v>241.08386519179652</v>
      </c>
      <c r="X55" s="629">
        <f t="shared" si="415"/>
        <v>5.6217169550983366</v>
      </c>
      <c r="Y55" s="630">
        <f t="shared" si="223"/>
        <v>-1.6179048796011168</v>
      </c>
      <c r="Z55" s="632">
        <f t="shared" si="243"/>
        <v>-0.77499930214896529</v>
      </c>
      <c r="AA55" s="629">
        <f t="shared" si="244"/>
        <v>-0.59303859747318155</v>
      </c>
      <c r="AB55" s="629">
        <f t="shared" si="245"/>
        <v>-0.21836048996020027</v>
      </c>
      <c r="AC55" s="636">
        <f t="shared" si="416"/>
        <v>1</v>
      </c>
      <c r="AD55" s="637">
        <f t="shared" si="417"/>
        <v>-0.77499930214896529</v>
      </c>
      <c r="AE55" s="629">
        <f t="shared" si="418"/>
        <v>-0.59303859747318155</v>
      </c>
      <c r="AF55" s="633">
        <f t="shared" si="419"/>
        <v>-0.21836048996020027</v>
      </c>
      <c r="AG55" s="602">
        <f t="shared" si="420"/>
        <v>-69.785980129984154</v>
      </c>
      <c r="AH55" s="603">
        <f t="shared" si="421"/>
        <v>140.80496930448427</v>
      </c>
      <c r="AI55" s="585">
        <f t="shared" si="422"/>
        <v>-77.387245084731248</v>
      </c>
      <c r="AJ55" s="586">
        <f t="shared" si="423"/>
        <v>-52.576357574389867</v>
      </c>
      <c r="AK55" s="635">
        <f t="shared" si="424"/>
        <v>0.89392008760444419</v>
      </c>
      <c r="AL55" s="629">
        <f t="shared" si="425"/>
        <v>-0.39144038294688532</v>
      </c>
      <c r="AM55" s="634">
        <f t="shared" si="426"/>
        <v>-0.21836048996020027</v>
      </c>
      <c r="AN55" s="581">
        <f t="shared" si="427"/>
        <v>-60.845542396156418</v>
      </c>
      <c r="AO55" s="582">
        <f>IF(ROUND(IF(M55="",0,DEGREES(ACOS(AK55))),4)=90,0,IF(M55="","",DEGREES(ACOS(AK55))))</f>
        <v>26.629946384831175</v>
      </c>
      <c r="AP55" s="585">
        <f t="shared" si="428"/>
        <v>-23.648222767918956</v>
      </c>
      <c r="AQ55" s="586">
        <f t="shared" si="246"/>
        <v>0.40551464698883688</v>
      </c>
      <c r="AS55" s="52">
        <f t="shared" si="406"/>
        <v>-118.91613480820348</v>
      </c>
      <c r="AT55" s="72">
        <f t="shared" si="247"/>
        <v>-1.5353158970966232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3.2450000000000001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3.145</v>
      </c>
      <c r="II55" s="734" cm="1">
        <f t="array" ref="II55">IFERROR(IF($IH55&lt;1,$IH55+LARGE((IF($M$9:$M$150="",0,$M$9:$M$150)-MOD(IF($M$9:$M$150="",0,$M$9:$M$150),1)),1),$IH55),"")</f>
        <v>3.145</v>
      </c>
      <c r="IJ55" s="533">
        <f t="shared" si="112"/>
        <v>1613</v>
      </c>
      <c r="IK55" s="533">
        <f t="shared" si="382"/>
        <v>1313</v>
      </c>
      <c r="IL55" s="727">
        <f t="shared" si="225"/>
        <v>11.077098400664852</v>
      </c>
      <c r="IM55" s="759">
        <v>1.4406778810340799E-3</v>
      </c>
      <c r="IN55" s="5">
        <f t="shared" si="226"/>
        <v>0</v>
      </c>
      <c r="IO55" s="771">
        <v>0</v>
      </c>
      <c r="IP55" s="9">
        <f t="shared" si="227"/>
        <v>-5.5824168365691795</v>
      </c>
      <c r="IQ55" s="5">
        <f t="shared" si="228"/>
        <v>-1.6633050165279304</v>
      </c>
      <c r="IR55" s="5">
        <f t="shared" si="383"/>
        <v>0.314</v>
      </c>
      <c r="IS55" s="5">
        <f t="shared" si="229"/>
        <v>0.29915509435710075</v>
      </c>
      <c r="IT55" s="727">
        <f t="shared" si="230"/>
        <v>72.117672493499015</v>
      </c>
      <c r="IU55" s="9">
        <f t="shared" si="231"/>
        <v>-5.6217169550983366</v>
      </c>
      <c r="IV55" s="5">
        <f t="shared" si="232"/>
        <v>-1.6179048796011168</v>
      </c>
      <c r="IW55" s="5">
        <f t="shared" si="384"/>
        <v>0.26600000000000001</v>
      </c>
      <c r="IX55" s="5">
        <f t="shared" si="233"/>
        <v>0.23778274330278218</v>
      </c>
      <c r="IY55" s="762">
        <f t="shared" si="234"/>
        <v>60.845542396156418</v>
      </c>
    </row>
    <row r="56" spans="1:259" ht="15" customHeight="1" x14ac:dyDescent="0.25">
      <c r="A56" s="79"/>
      <c r="B56" s="707">
        <v>5.0713776757870628</v>
      </c>
      <c r="C56" s="708">
        <v>-2.8556779940656964</v>
      </c>
      <c r="D56" s="709">
        <v>-2.4021072447554497</v>
      </c>
      <c r="E56" s="710">
        <v>0.83782077425406332</v>
      </c>
      <c r="F56" s="708">
        <v>0.52631202983359449</v>
      </c>
      <c r="G56" s="711">
        <v>0.14509306489547885</v>
      </c>
      <c r="H56" s="710">
        <v>0.26600000000000001</v>
      </c>
      <c r="I56" s="708">
        <v>0.52</v>
      </c>
      <c r="J56" s="570">
        <v>3.2519999999999998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3.2519999999999998</v>
      </c>
      <c r="N56" s="632">
        <f t="shared" si="240"/>
        <v>5.0713776757870628</v>
      </c>
      <c r="O56" s="629">
        <f t="shared" si="241"/>
        <v>-2.8556779940656964</v>
      </c>
      <c r="P56" s="633">
        <f t="shared" si="242"/>
        <v>-2.4021072447554497</v>
      </c>
      <c r="Q56" s="585">
        <f t="shared" si="113"/>
        <v>330.61626525930961</v>
      </c>
      <c r="R56" s="629">
        <f t="shared" si="410"/>
        <v>5.8201175534745406</v>
      </c>
      <c r="S56" s="634">
        <f t="shared" si="411"/>
        <v>-2.4021072447554497</v>
      </c>
      <c r="T56" s="635">
        <f t="shared" si="412"/>
        <v>-2.8546157847381521</v>
      </c>
      <c r="U56" s="629">
        <f t="shared" si="413"/>
        <v>-5.071975656269089</v>
      </c>
      <c r="V56" s="636">
        <f t="shared" si="414"/>
        <v>-2.4021072447554497</v>
      </c>
      <c r="W56" s="585">
        <f t="shared" si="224"/>
        <v>240.62826525757703</v>
      </c>
      <c r="X56" s="629">
        <f t="shared" si="415"/>
        <v>5.8201175534745406</v>
      </c>
      <c r="Y56" s="630">
        <f t="shared" si="223"/>
        <v>-2.4021072447554497</v>
      </c>
      <c r="Z56" s="632">
        <f t="shared" si="243"/>
        <v>-0.83782077425406332</v>
      </c>
      <c r="AA56" s="629">
        <f t="shared" si="244"/>
        <v>-0.52631202983359449</v>
      </c>
      <c r="AB56" s="629">
        <f t="shared" si="245"/>
        <v>-0.14509306489547885</v>
      </c>
      <c r="AC56" s="636">
        <f t="shared" si="416"/>
        <v>1</v>
      </c>
      <c r="AD56" s="637">
        <f t="shared" si="417"/>
        <v>-0.83782077425406332</v>
      </c>
      <c r="AE56" s="629">
        <f t="shared" si="418"/>
        <v>-0.52631202983359449</v>
      </c>
      <c r="AF56" s="633">
        <f t="shared" si="419"/>
        <v>-0.14509306489547885</v>
      </c>
      <c r="AG56" s="602">
        <f t="shared" si="420"/>
        <v>-74.58759749442919</v>
      </c>
      <c r="AH56" s="603">
        <f t="shared" si="421"/>
        <v>146.91070919084729</v>
      </c>
      <c r="AI56" s="585">
        <f t="shared" si="422"/>
        <v>-81.657331593493225</v>
      </c>
      <c r="AJ56" s="586">
        <f t="shared" si="423"/>
        <v>-57.863303996839633</v>
      </c>
      <c r="AK56" s="635">
        <f t="shared" si="424"/>
        <v>0.86968577182481799</v>
      </c>
      <c r="AL56" s="629">
        <f t="shared" si="425"/>
        <v>-0.4717993861851742</v>
      </c>
      <c r="AM56" s="634">
        <f t="shared" si="426"/>
        <v>-0.14509306489547885</v>
      </c>
      <c r="AN56" s="581">
        <f t="shared" si="427"/>
        <v>-72.905700147856095</v>
      </c>
      <c r="AO56" s="582">
        <f t="shared" ref="AO56:AO119" si="461">IF(ROUND(IF(M56="",0,DEGREES(ACOS(AK56))),4)=90,0,IF(M56="","",DEGREES(ACOS(AK56))))</f>
        <v>29.577855327883583</v>
      </c>
      <c r="AP56" s="585">
        <f t="shared" si="428"/>
        <v>-28.479569256149233</v>
      </c>
      <c r="AQ56" s="586">
        <f t="shared" si="246"/>
        <v>0.39169159324947417</v>
      </c>
      <c r="AS56" s="52">
        <f t="shared" si="406"/>
        <v>-119.37173474242297</v>
      </c>
      <c r="AT56" s="72">
        <f t="shared" si="247"/>
        <v>-2.319201873407748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3.2519999999999998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3.1520000000000001</v>
      </c>
      <c r="II56" s="734" cm="1">
        <f t="array" ref="II56">IFERROR(IF($IH56&lt;1,$IH56+LARGE((IF($M$9:$M$150="",0,$M$9:$M$150)-MOD(IF($M$9:$M$150="",0,$M$9:$M$150),1)),1),$IH56),"")</f>
        <v>3.1520000000000001</v>
      </c>
      <c r="IJ56" s="533">
        <f t="shared" si="112"/>
        <v>1613</v>
      </c>
      <c r="IK56" s="533">
        <f t="shared" si="382"/>
        <v>1313</v>
      </c>
      <c r="IL56" s="727">
        <f t="shared" si="225"/>
        <v>11.209698381519786</v>
      </c>
      <c r="IM56" s="759">
        <v>9.6206482704525899E-4</v>
      </c>
      <c r="IN56" s="5">
        <f t="shared" si="226"/>
        <v>0</v>
      </c>
      <c r="IO56" s="771">
        <v>0</v>
      </c>
      <c r="IP56" s="9">
        <f t="shared" si="227"/>
        <v>-5.7696174011660801</v>
      </c>
      <c r="IQ56" s="5">
        <f t="shared" si="228"/>
        <v>-2.4381073533317772</v>
      </c>
      <c r="IR56" s="5">
        <f t="shared" si="383"/>
        <v>0.314</v>
      </c>
      <c r="IS56" s="5">
        <f t="shared" si="229"/>
        <v>0.29414630811324366</v>
      </c>
      <c r="IT56" s="727">
        <f t="shared" si="230"/>
        <v>81.995680386095302</v>
      </c>
      <c r="IU56" s="9">
        <f t="shared" si="231"/>
        <v>-5.8201175534745406</v>
      </c>
      <c r="IV56" s="5">
        <f t="shared" si="232"/>
        <v>-2.4021072447554497</v>
      </c>
      <c r="IW56" s="5">
        <f t="shared" si="384"/>
        <v>0.26600000000000001</v>
      </c>
      <c r="IX56" s="5">
        <f t="shared" si="233"/>
        <v>0.23133641530540164</v>
      </c>
      <c r="IY56" s="762">
        <f t="shared" si="234"/>
        <v>72.905700147856095</v>
      </c>
    </row>
    <row r="57" spans="1:259" ht="15" customHeight="1" x14ac:dyDescent="0.25">
      <c r="A57" s="79"/>
      <c r="B57" s="707">
        <v>4.9878273709706544</v>
      </c>
      <c r="C57" s="708">
        <v>-3.0820285075072227</v>
      </c>
      <c r="D57" s="709">
        <v>-3.2360097598054365</v>
      </c>
      <c r="E57" s="710">
        <v>0.80521692652265564</v>
      </c>
      <c r="F57" s="708">
        <v>-0.49755134008163848</v>
      </c>
      <c r="G57" s="711">
        <v>0.32259628829912762</v>
      </c>
      <c r="H57" s="710">
        <v>0.25700000000000001</v>
      </c>
      <c r="I57" s="708">
        <v>0.41499999999999992</v>
      </c>
      <c r="J57" s="570">
        <v>3.2589999999999999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CPS-32193r1</v>
      </c>
      <c r="L57" s="320"/>
      <c r="M57" s="168">
        <f t="shared" si="239"/>
        <v>3.2589999999999999</v>
      </c>
      <c r="N57" s="632">
        <f t="shared" si="240"/>
        <v>4.9878273709706544</v>
      </c>
      <c r="O57" s="629">
        <f t="shared" si="241"/>
        <v>-3.0820285075072227</v>
      </c>
      <c r="P57" s="633">
        <f t="shared" si="242"/>
        <v>-3.2360097598054365</v>
      </c>
      <c r="Q57" s="585">
        <f t="shared" si="113"/>
        <v>328.28766559551781</v>
      </c>
      <c r="R57" s="629">
        <f t="shared" si="410"/>
        <v>5.8632176834645353</v>
      </c>
      <c r="S57" s="634">
        <f t="shared" si="411"/>
        <v>-3.2360097598054365</v>
      </c>
      <c r="T57" s="635">
        <f t="shared" si="412"/>
        <v>-3.0809837919475216</v>
      </c>
      <c r="U57" s="629">
        <f t="shared" si="413"/>
        <v>-4.9884727600186318</v>
      </c>
      <c r="V57" s="636">
        <f t="shared" si="414"/>
        <v>-3.2360097598054365</v>
      </c>
      <c r="W57" s="585">
        <f t="shared" si="224"/>
        <v>238.29966559378522</v>
      </c>
      <c r="X57" s="629">
        <f t="shared" si="415"/>
        <v>5.8632176834645353</v>
      </c>
      <c r="Y57" s="630">
        <f t="shared" si="223"/>
        <v>-3.2360097598054365</v>
      </c>
      <c r="Z57" s="632">
        <f t="shared" si="243"/>
        <v>-0.80521692652265564</v>
      </c>
      <c r="AA57" s="629">
        <f t="shared" si="244"/>
        <v>0.49755134008163848</v>
      </c>
      <c r="AB57" s="629">
        <f t="shared" si="245"/>
        <v>-0.32259628829912762</v>
      </c>
      <c r="AC57" s="636">
        <f t="shared" si="416"/>
        <v>1</v>
      </c>
      <c r="AD57" s="637">
        <f t="shared" si="417"/>
        <v>-0.80521692652265564</v>
      </c>
      <c r="AE57" s="629">
        <f t="shared" si="418"/>
        <v>0.49755134008163848</v>
      </c>
      <c r="AF57" s="633">
        <f t="shared" si="419"/>
        <v>-0.32259628829912762</v>
      </c>
      <c r="AG57" s="602">
        <f t="shared" si="420"/>
        <v>57.041921942150168</v>
      </c>
      <c r="AH57" s="603">
        <f t="shared" si="421"/>
        <v>143.63121029816463</v>
      </c>
      <c r="AI57" s="585">
        <f t="shared" si="422"/>
        <v>-71.179989722881487</v>
      </c>
      <c r="AJ57" s="586">
        <f t="shared" si="423"/>
        <v>-121.71232067612804</v>
      </c>
      <c r="AK57" s="635">
        <f t="shared" si="424"/>
        <v>2.2679489680710319E-7</v>
      </c>
      <c r="AL57" s="629">
        <f t="shared" si="425"/>
        <v>-0.94653665263188547</v>
      </c>
      <c r="AM57" s="634">
        <f t="shared" si="426"/>
        <v>-0.32259628829912762</v>
      </c>
      <c r="AN57" s="581">
        <f t="shared" si="427"/>
        <v>-71.179989722880975</v>
      </c>
      <c r="AO57" s="582">
        <f t="shared" si="461"/>
        <v>0</v>
      </c>
      <c r="AP57" s="585">
        <f t="shared" si="428"/>
        <v>-89.999986271645824</v>
      </c>
      <c r="AQ57" s="586">
        <f t="shared" si="246"/>
        <v>0.38881238266923696</v>
      </c>
      <c r="AS57" s="52">
        <f t="shared" si="406"/>
        <v>-121.70033440621478</v>
      </c>
      <c r="AT57" s="72">
        <f t="shared" si="247"/>
        <v>-3.1514873053578794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3.2589999999999999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3.1589999999999998</v>
      </c>
      <c r="II57" s="734" cm="1">
        <f t="array" ref="II57">IFERROR(IF($IH57&lt;1,$IH57+LARGE((IF($M$9:$M$150="",0,$M$9:$M$150)-MOD(IF($M$9:$M$150="",0,$M$9:$M$150),1)),1),$IH57),"")</f>
        <v>3.1589999999999998</v>
      </c>
      <c r="IJ57" s="533">
        <f t="shared" si="112"/>
        <v>1613</v>
      </c>
      <c r="IK57" s="533" t="str">
        <f t="shared" si="382"/>
        <v>CPS-32193r1</v>
      </c>
      <c r="IL57" s="727">
        <f t="shared" si="225"/>
        <v>13.381298067979571</v>
      </c>
      <c r="IM57" s="759">
        <v>2.0460681395283699E-4</v>
      </c>
      <c r="IN57" s="5">
        <f t="shared" si="226"/>
        <v>0</v>
      </c>
      <c r="IO57" s="771">
        <v>0</v>
      </c>
      <c r="IP57" s="9">
        <f t="shared" si="227"/>
        <v>-5.8593176717020992</v>
      </c>
      <c r="IQ57" s="5">
        <f t="shared" si="228"/>
        <v>-3.2340097537734178</v>
      </c>
      <c r="IR57" s="5">
        <f t="shared" si="383"/>
        <v>0.314</v>
      </c>
      <c r="IS57" s="5">
        <f t="shared" si="229"/>
        <v>0.25623496800647061</v>
      </c>
      <c r="IT57" s="727">
        <f t="shared" si="230"/>
        <v>88.95105707070843</v>
      </c>
      <c r="IU57" s="9">
        <f t="shared" si="231"/>
        <v>-5.8632176834645353</v>
      </c>
      <c r="IV57" s="5">
        <f t="shared" si="232"/>
        <v>-3.2360097598054365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71.179989722880975</v>
      </c>
    </row>
    <row r="58" spans="1:259" ht="15" customHeight="1" x14ac:dyDescent="0.25">
      <c r="A58" s="79"/>
      <c r="B58" s="707">
        <v>1.0871984744606786</v>
      </c>
      <c r="C58" s="708">
        <v>-2.7219133521909105</v>
      </c>
      <c r="D58" s="709">
        <v>-0.10350031215694157</v>
      </c>
      <c r="E58" s="710">
        <v>0.88424838557698082</v>
      </c>
      <c r="F58" s="708">
        <v>0.34842638491375982</v>
      </c>
      <c r="G58" s="711">
        <v>0.31097242144671206</v>
      </c>
      <c r="H58" s="710">
        <v>0.314</v>
      </c>
      <c r="I58" s="708">
        <v>0.52</v>
      </c>
      <c r="J58" s="570">
        <v>4.1159999999999997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4.1159999999999997</v>
      </c>
      <c r="N58" s="632">
        <f t="shared" si="240"/>
        <v>1.0871984744606786</v>
      </c>
      <c r="O58" s="629">
        <f t="shared" si="241"/>
        <v>-2.7219133521909105</v>
      </c>
      <c r="P58" s="633">
        <f t="shared" si="242"/>
        <v>-0.10350031215694157</v>
      </c>
      <c r="Q58" s="585">
        <f t="shared" si="113"/>
        <v>291.77297086758745</v>
      </c>
      <c r="R58" s="629">
        <f t="shared" si="410"/>
        <v>2.9310088399226615</v>
      </c>
      <c r="S58" s="634">
        <f t="shared" si="411"/>
        <v>-0.10350031215694157</v>
      </c>
      <c r="T58" s="635">
        <f t="shared" si="412"/>
        <v>-2.7216855902112043</v>
      </c>
      <c r="U58" s="629">
        <f t="shared" si="413"/>
        <v>-1.0877685267286763</v>
      </c>
      <c r="V58" s="636">
        <f t="shared" si="414"/>
        <v>-0.10350031215694157</v>
      </c>
      <c r="W58" s="585">
        <f t="shared" si="224"/>
        <v>201.78497086585486</v>
      </c>
      <c r="X58" s="629">
        <f t="shared" si="415"/>
        <v>2.9310088399226615</v>
      </c>
      <c r="Y58" s="630">
        <f t="shared" si="223"/>
        <v>-0.10350031215694157</v>
      </c>
      <c r="Z58" s="632">
        <f t="shared" si="243"/>
        <v>-0.88424838557698082</v>
      </c>
      <c r="AA58" s="629">
        <f t="shared" si="244"/>
        <v>-0.34842638491375982</v>
      </c>
      <c r="AB58" s="629">
        <f t="shared" si="245"/>
        <v>-0.31097242144671206</v>
      </c>
      <c r="AC58" s="636">
        <f t="shared" si="416"/>
        <v>1</v>
      </c>
      <c r="AD58" s="637">
        <f t="shared" si="417"/>
        <v>-0.88424838557698082</v>
      </c>
      <c r="AE58" s="629">
        <f t="shared" si="418"/>
        <v>-0.34842638491375982</v>
      </c>
      <c r="AF58" s="633">
        <f t="shared" si="419"/>
        <v>-0.31097242144671206</v>
      </c>
      <c r="AG58" s="602">
        <f t="shared" si="420"/>
        <v>-48.25091684698306</v>
      </c>
      <c r="AH58" s="603">
        <f t="shared" si="421"/>
        <v>152.15916882511294</v>
      </c>
      <c r="AI58" s="585">
        <f t="shared" si="422"/>
        <v>-71.882157112517731</v>
      </c>
      <c r="AJ58" s="586">
        <f t="shared" si="423"/>
        <v>-68.493735712127105</v>
      </c>
      <c r="AK58" s="635">
        <f t="shared" si="424"/>
        <v>0.95040863867501435</v>
      </c>
      <c r="AL58" s="629">
        <f t="shared" si="425"/>
        <v>-4.4240966846015306E-3</v>
      </c>
      <c r="AM58" s="634">
        <f t="shared" si="426"/>
        <v>-0.31097242144671206</v>
      </c>
      <c r="AN58" s="581">
        <f t="shared" si="427"/>
        <v>-0.81507217807624566</v>
      </c>
      <c r="AO58" s="582">
        <f t="shared" si="461"/>
        <v>18.11973996588225</v>
      </c>
      <c r="AP58" s="585">
        <f t="shared" si="428"/>
        <v>-0.26670657971453404</v>
      </c>
      <c r="AQ58" s="586">
        <f t="shared" si="246"/>
        <v>0.77774811793646981</v>
      </c>
      <c r="AS58" s="52">
        <f t="shared" si="406"/>
        <v>-158.21502913414514</v>
      </c>
      <c r="AT58" s="72">
        <f t="shared" si="247"/>
        <v>6.3795691850116049E-3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4.1159999999999997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1.3348484874917927</v>
      </c>
      <c r="C59" s="708">
        <v>-3.4839457930537989</v>
      </c>
      <c r="D59" s="709">
        <v>-0.12070036403229802</v>
      </c>
      <c r="E59" s="710">
        <v>0.9373765157733619</v>
      </c>
      <c r="F59" s="708">
        <v>0.2444928696371278</v>
      </c>
      <c r="G59" s="711">
        <v>0.24808971033316729</v>
      </c>
      <c r="H59" s="710">
        <v>0.314</v>
      </c>
      <c r="I59" s="708">
        <v>0.52</v>
      </c>
      <c r="J59" s="570">
        <v>4.1230000000000002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4.1230000000000002</v>
      </c>
      <c r="N59" s="632">
        <f t="shared" si="240"/>
        <v>1.3348484874917927</v>
      </c>
      <c r="O59" s="629">
        <f t="shared" si="241"/>
        <v>-3.4839457930537989</v>
      </c>
      <c r="P59" s="633">
        <f t="shared" si="242"/>
        <v>-0.12070036403229802</v>
      </c>
      <c r="Q59" s="585">
        <f t="shared" si="113"/>
        <v>290.96397098439257</v>
      </c>
      <c r="R59" s="629">
        <f t="shared" si="79"/>
        <v>3.7309112524283381</v>
      </c>
      <c r="S59" s="634">
        <f t="shared" si="80"/>
        <v>-0.12070036403229802</v>
      </c>
      <c r="T59" s="635">
        <f t="shared" si="81"/>
        <v>-3.4836661466712844</v>
      </c>
      <c r="U59" s="629">
        <f t="shared" si="82"/>
        <v>-1.3355781340052093</v>
      </c>
      <c r="V59" s="636">
        <f t="shared" si="114"/>
        <v>-0.12070036403229802</v>
      </c>
      <c r="W59" s="585">
        <f t="shared" si="224"/>
        <v>200.97597098265999</v>
      </c>
      <c r="X59" s="629">
        <f t="shared" si="83"/>
        <v>3.7309112524283381</v>
      </c>
      <c r="Y59" s="630">
        <f t="shared" si="223"/>
        <v>-0.12070036403229802</v>
      </c>
      <c r="Z59" s="632">
        <f t="shared" si="243"/>
        <v>-0.9373765157733619</v>
      </c>
      <c r="AA59" s="629">
        <f t="shared" si="244"/>
        <v>-0.2444928696371278</v>
      </c>
      <c r="AB59" s="629">
        <f t="shared" si="245"/>
        <v>-0.24808971033316729</v>
      </c>
      <c r="AC59" s="636">
        <f t="shared" si="84"/>
        <v>1</v>
      </c>
      <c r="AD59" s="637">
        <f t="shared" si="115"/>
        <v>-0.9373765157733619</v>
      </c>
      <c r="AE59" s="629">
        <f t="shared" si="85"/>
        <v>-0.2444928696371278</v>
      </c>
      <c r="AF59" s="633">
        <f t="shared" si="86"/>
        <v>-0.24808971033316729</v>
      </c>
      <c r="AG59" s="602">
        <f t="shared" si="87"/>
        <v>-44.581633339841559</v>
      </c>
      <c r="AH59" s="603">
        <f t="shared" si="88"/>
        <v>159.61554322312395</v>
      </c>
      <c r="AI59" s="585">
        <f t="shared" si="89"/>
        <v>-75.635500169670991</v>
      </c>
      <c r="AJ59" s="586">
        <f t="shared" si="90"/>
        <v>-75.381422889454939</v>
      </c>
      <c r="AK59" s="635">
        <f t="shared" si="211"/>
        <v>0.96280229221096336</v>
      </c>
      <c r="AL59" s="629">
        <f t="shared" si="91"/>
        <v>-0.10706652950441628</v>
      </c>
      <c r="AM59" s="634">
        <f t="shared" si="92"/>
        <v>-0.24808971033316729</v>
      </c>
      <c r="AN59" s="581">
        <f t="shared" si="93"/>
        <v>-23.343277667537258</v>
      </c>
      <c r="AO59" s="582">
        <f t="shared" si="461"/>
        <v>15.676576474618287</v>
      </c>
      <c r="AP59" s="585">
        <f t="shared" si="95"/>
        <v>-6.3453938738475131</v>
      </c>
      <c r="AQ59" s="586">
        <f t="shared" si="246"/>
        <v>0.61101432226887864</v>
      </c>
      <c r="AS59" s="52">
        <f t="shared" si="406"/>
        <v>-159.02402901734001</v>
      </c>
      <c r="AT59" s="72">
        <f t="shared" si="247"/>
        <v>-1.0258677215903969E-2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4.1230000000000002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1.528240245868814</v>
      </c>
      <c r="C60" s="708">
        <v>-4.215975143905708</v>
      </c>
      <c r="D60" s="709">
        <v>-0.38980117564034572</v>
      </c>
      <c r="E60" s="710">
        <v>0.96501347309193697</v>
      </c>
      <c r="F60" s="708">
        <v>0.15289018392296039</v>
      </c>
      <c r="G60" s="711">
        <v>0.21301077064561955</v>
      </c>
      <c r="H60" s="710">
        <v>0.314</v>
      </c>
      <c r="I60" s="708">
        <v>0.52</v>
      </c>
      <c r="J60" s="570">
        <v>4.13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4.13</v>
      </c>
      <c r="N60" s="632">
        <f t="shared" si="240"/>
        <v>1.528240245868814</v>
      </c>
      <c r="O60" s="629">
        <f t="shared" si="241"/>
        <v>-4.215975143905708</v>
      </c>
      <c r="P60" s="633">
        <f t="shared" si="242"/>
        <v>-0.38980117564034572</v>
      </c>
      <c r="Q60" s="585">
        <f t="shared" si="113"/>
        <v>289.92497113440561</v>
      </c>
      <c r="R60" s="629">
        <f t="shared" si="79"/>
        <v>4.4844135249911918</v>
      </c>
      <c r="S60" s="634">
        <f t="shared" si="80"/>
        <v>-0.38980117564034572</v>
      </c>
      <c r="T60" s="635">
        <f t="shared" si="81"/>
        <v>-4.215654977598982</v>
      </c>
      <c r="U60" s="629">
        <f t="shared" si="82"/>
        <v>-1.529123203986144</v>
      </c>
      <c r="V60" s="636">
        <f t="shared" si="114"/>
        <v>-0.38980117564034572</v>
      </c>
      <c r="W60" s="585">
        <f t="shared" si="224"/>
        <v>199.93697113267302</v>
      </c>
      <c r="X60" s="629">
        <f t="shared" si="83"/>
        <v>4.4844135249911918</v>
      </c>
      <c r="Y60" s="630">
        <f t="shared" si="223"/>
        <v>-0.38980117564034572</v>
      </c>
      <c r="Z60" s="632">
        <f t="shared" si="243"/>
        <v>-0.96501347309193697</v>
      </c>
      <c r="AA60" s="629">
        <f t="shared" si="244"/>
        <v>-0.15289018392296039</v>
      </c>
      <c r="AB60" s="629">
        <f t="shared" si="245"/>
        <v>-0.21301077064561955</v>
      </c>
      <c r="AC60" s="636">
        <f t="shared" si="84"/>
        <v>1</v>
      </c>
      <c r="AD60" s="637">
        <f t="shared" si="115"/>
        <v>-0.96501347309193697</v>
      </c>
      <c r="AE60" s="629">
        <f t="shared" si="85"/>
        <v>-0.15289018392296039</v>
      </c>
      <c r="AF60" s="633">
        <f t="shared" si="86"/>
        <v>-0.21301077064561955</v>
      </c>
      <c r="AG60" s="602">
        <f t="shared" si="87"/>
        <v>-35.669196811444365</v>
      </c>
      <c r="AH60" s="603">
        <f t="shared" si="88"/>
        <v>164.79933975660779</v>
      </c>
      <c r="AI60" s="585">
        <f t="shared" si="89"/>
        <v>-77.701150294668224</v>
      </c>
      <c r="AJ60" s="586">
        <f t="shared" si="90"/>
        <v>-80.99727400752117</v>
      </c>
      <c r="AK60" s="635">
        <f t="shared" si="211"/>
        <v>0.95935081017478852</v>
      </c>
      <c r="AL60" s="629">
        <f t="shared" si="91"/>
        <v>-0.18512815724771922</v>
      </c>
      <c r="AM60" s="634">
        <f t="shared" si="92"/>
        <v>-0.21301077064561955</v>
      </c>
      <c r="AN60" s="581">
        <f t="shared" si="93"/>
        <v>-40.993981344047185</v>
      </c>
      <c r="AO60" s="582">
        <f t="shared" si="461"/>
        <v>16.39252325740074</v>
      </c>
      <c r="AP60" s="585">
        <f t="shared" si="95"/>
        <v>-10.922245141926762</v>
      </c>
      <c r="AQ60" s="586">
        <f t="shared" si="246"/>
        <v>0.5083533886330035</v>
      </c>
      <c r="AS60" s="52">
        <f t="shared" si="406"/>
        <v>-160.06302886732698</v>
      </c>
      <c r="AT60" s="72">
        <f t="shared" si="247"/>
        <v>-0.27863796115034961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4.13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1.6595168497727564</v>
      </c>
      <c r="C61" s="708">
        <v>-4.8376904578099094</v>
      </c>
      <c r="D61" s="709">
        <v>-0.88310266343763211</v>
      </c>
      <c r="E61" s="710">
        <v>0.98377550373385103</v>
      </c>
      <c r="F61" s="708">
        <v>7.7726661212727144E-2</v>
      </c>
      <c r="G61" s="711">
        <v>0.16169206656459648</v>
      </c>
      <c r="H61" s="710">
        <v>0.314</v>
      </c>
      <c r="I61" s="708">
        <v>0.52</v>
      </c>
      <c r="J61" s="570">
        <v>4.1369999999999996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4.1369999999999996</v>
      </c>
      <c r="N61" s="632">
        <f t="shared" si="240"/>
        <v>1.6595168497727564</v>
      </c>
      <c r="O61" s="629">
        <f t="shared" si="241"/>
        <v>-4.8376904578099094</v>
      </c>
      <c r="P61" s="633">
        <f t="shared" si="242"/>
        <v>-0.88310266343763211</v>
      </c>
      <c r="Q61" s="585">
        <f t="shared" si="113"/>
        <v>288.93397127748824</v>
      </c>
      <c r="R61" s="629">
        <f t="shared" si="79"/>
        <v>5.1144154250769205</v>
      </c>
      <c r="S61" s="634">
        <f t="shared" si="80"/>
        <v>-0.88310266343763211</v>
      </c>
      <c r="T61" s="635">
        <f t="shared" si="81"/>
        <v>-4.8373427833639884</v>
      </c>
      <c r="U61" s="629">
        <f t="shared" si="82"/>
        <v>-1.6605300167419661</v>
      </c>
      <c r="V61" s="636">
        <f t="shared" si="114"/>
        <v>-0.88310266343763211</v>
      </c>
      <c r="W61" s="585">
        <f t="shared" si="224"/>
        <v>198.94597127575565</v>
      </c>
      <c r="X61" s="629">
        <f t="shared" si="83"/>
        <v>5.1144154250769205</v>
      </c>
      <c r="Y61" s="630">
        <f t="shared" si="223"/>
        <v>-0.88310266343763211</v>
      </c>
      <c r="Z61" s="632">
        <f t="shared" si="243"/>
        <v>-0.98377550373385103</v>
      </c>
      <c r="AA61" s="629">
        <f t="shared" si="244"/>
        <v>-7.7726661212727144E-2</v>
      </c>
      <c r="AB61" s="629">
        <f t="shared" si="245"/>
        <v>-0.16169206656459648</v>
      </c>
      <c r="AC61" s="636">
        <f t="shared" si="84"/>
        <v>1</v>
      </c>
      <c r="AD61" s="637">
        <f t="shared" si="115"/>
        <v>-0.98377550373385103</v>
      </c>
      <c r="AE61" s="629">
        <f t="shared" si="85"/>
        <v>-7.7726661212727144E-2</v>
      </c>
      <c r="AF61" s="633">
        <f t="shared" si="86"/>
        <v>-0.16169206656459648</v>
      </c>
      <c r="AG61" s="602">
        <f t="shared" si="87"/>
        <v>-25.673963494574355</v>
      </c>
      <c r="AH61" s="603">
        <f t="shared" si="88"/>
        <v>169.66495957524458</v>
      </c>
      <c r="AI61" s="585">
        <f t="shared" si="89"/>
        <v>-80.694876526089956</v>
      </c>
      <c r="AJ61" s="586">
        <f t="shared" si="90"/>
        <v>-85.48252868573698</v>
      </c>
      <c r="AK61" s="635">
        <f t="shared" si="211"/>
        <v>0.95576711407364179</v>
      </c>
      <c r="AL61" s="629">
        <f t="shared" si="91"/>
        <v>-0.24569269273914607</v>
      </c>
      <c r="AM61" s="634">
        <f t="shared" si="92"/>
        <v>-0.16169206656459648</v>
      </c>
      <c r="AN61" s="581">
        <f t="shared" si="93"/>
        <v>-56.650807847722277</v>
      </c>
      <c r="AO61" s="582">
        <f t="shared" si="461"/>
        <v>17.105046212004208</v>
      </c>
      <c r="AP61" s="585">
        <f t="shared" si="95"/>
        <v>-14.416499963225217</v>
      </c>
      <c r="AQ61" s="586">
        <f t="shared" si="246"/>
        <v>0.44573630637251843</v>
      </c>
      <c r="AS61" s="52">
        <f t="shared" si="406"/>
        <v>-161.05402872424435</v>
      </c>
      <c r="AT61" s="72">
        <f t="shared" si="247"/>
        <v>-0.7712512546025545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4.1369999999999996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1.7326146800551141</v>
      </c>
      <c r="C62" s="708">
        <v>-5.2639025928167538</v>
      </c>
      <c r="D62" s="709">
        <v>-1.5568046953229606</v>
      </c>
      <c r="E62" s="710">
        <v>0.99441702066922455</v>
      </c>
      <c r="F62" s="708">
        <v>2.6984937192067158E-2</v>
      </c>
      <c r="G62" s="711">
        <v>0.10201275492840818</v>
      </c>
      <c r="H62" s="710">
        <v>0.314</v>
      </c>
      <c r="I62" s="708">
        <v>0.52</v>
      </c>
      <c r="J62" s="570">
        <v>4.1440000000000001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4.1440000000000001</v>
      </c>
      <c r="N62" s="632">
        <f t="shared" si="240"/>
        <v>1.7326146800551141</v>
      </c>
      <c r="O62" s="629">
        <f t="shared" si="241"/>
        <v>-5.2639025928167538</v>
      </c>
      <c r="P62" s="633">
        <f t="shared" si="242"/>
        <v>-1.5568046953229606</v>
      </c>
      <c r="Q62" s="585">
        <f t="shared" si="113"/>
        <v>288.21897138072148</v>
      </c>
      <c r="R62" s="629">
        <f t="shared" si="79"/>
        <v>5.5417167138176078</v>
      </c>
      <c r="S62" s="634">
        <f t="shared" si="80"/>
        <v>-1.5568046953229606</v>
      </c>
      <c r="T62" s="635">
        <f t="shared" si="81"/>
        <v>-5.263539599451506</v>
      </c>
      <c r="U62" s="629">
        <f t="shared" si="82"/>
        <v>-1.7337171110683838</v>
      </c>
      <c r="V62" s="636">
        <f t="shared" si="114"/>
        <v>-1.5568046953229606</v>
      </c>
      <c r="W62" s="585">
        <f t="shared" si="224"/>
        <v>198.2309713789889</v>
      </c>
      <c r="X62" s="629">
        <f t="shared" si="83"/>
        <v>5.5417167138176078</v>
      </c>
      <c r="Y62" s="630">
        <f t="shared" si="223"/>
        <v>-1.5568046953229606</v>
      </c>
      <c r="Z62" s="632">
        <f t="shared" si="243"/>
        <v>-0.99441702066922455</v>
      </c>
      <c r="AA62" s="629">
        <f t="shared" si="244"/>
        <v>-2.6984937192067158E-2</v>
      </c>
      <c r="AB62" s="629">
        <f t="shared" si="245"/>
        <v>-0.10201275492840818</v>
      </c>
      <c r="AC62" s="636">
        <f t="shared" si="84"/>
        <v>1</v>
      </c>
      <c r="AD62" s="637">
        <f t="shared" si="115"/>
        <v>-0.99441702066922455</v>
      </c>
      <c r="AE62" s="629">
        <f t="shared" si="85"/>
        <v>-2.6984937192067158E-2</v>
      </c>
      <c r="AF62" s="633">
        <f t="shared" si="86"/>
        <v>-0.10201275492840818</v>
      </c>
      <c r="AG62" s="602">
        <f t="shared" si="87"/>
        <v>-14.816801299520291</v>
      </c>
      <c r="AH62" s="603">
        <f t="shared" si="88"/>
        <v>173.94278621368221</v>
      </c>
      <c r="AI62" s="585">
        <f t="shared" si="89"/>
        <v>-84.144914323831699</v>
      </c>
      <c r="AJ62" s="586">
        <f t="shared" si="90"/>
        <v>-88.445578029767177</v>
      </c>
      <c r="AK62" s="635">
        <f t="shared" si="211"/>
        <v>0.95300231038388716</v>
      </c>
      <c r="AL62" s="629">
        <f t="shared" si="91"/>
        <v>-0.28527179011407716</v>
      </c>
      <c r="AM62" s="634">
        <f t="shared" si="92"/>
        <v>-0.10201275492840818</v>
      </c>
      <c r="AN62" s="581">
        <f t="shared" si="93"/>
        <v>-70.323027743291604</v>
      </c>
      <c r="AO62" s="582">
        <f t="shared" si="461"/>
        <v>17.635656690374997</v>
      </c>
      <c r="AP62" s="585">
        <f t="shared" si="95"/>
        <v>-16.664549410488647</v>
      </c>
      <c r="AQ62" s="586">
        <f t="shared" si="246"/>
        <v>0.41136845806457628</v>
      </c>
      <c r="AS62" s="52">
        <f t="shared" si="406"/>
        <v>-161.7690286210111</v>
      </c>
      <c r="AT62" s="72">
        <f t="shared" si="247"/>
        <v>-1.4444567587817949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4.1440000000000001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1.7634792492383109</v>
      </c>
      <c r="C63" s="708">
        <v>-5.4732340057975915</v>
      </c>
      <c r="D63" s="709">
        <v>-2.3254070134275531</v>
      </c>
      <c r="E63" s="710">
        <v>0.99828005008176579</v>
      </c>
      <c r="F63" s="708">
        <v>-2.6406072556942446E-2</v>
      </c>
      <c r="G63" s="711">
        <v>5.2341770517099949E-2</v>
      </c>
      <c r="H63" s="710">
        <v>0.314</v>
      </c>
      <c r="I63" s="708">
        <v>0.52</v>
      </c>
      <c r="J63" s="570">
        <v>4.1509999999999998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4.1509999999999998</v>
      </c>
      <c r="N63" s="632">
        <f t="shared" si="240"/>
        <v>1.7634792492383109</v>
      </c>
      <c r="O63" s="629">
        <f t="shared" si="241"/>
        <v>-5.4732340057975915</v>
      </c>
      <c r="P63" s="633">
        <f t="shared" si="242"/>
        <v>-2.3254070134275531</v>
      </c>
      <c r="Q63" s="585">
        <f t="shared" si="113"/>
        <v>287.85897143269904</v>
      </c>
      <c r="R63" s="629">
        <f t="shared" si="79"/>
        <v>5.7503173429571062</v>
      </c>
      <c r="S63" s="634">
        <f t="shared" si="80"/>
        <v>-2.3254070134275531</v>
      </c>
      <c r="T63" s="635">
        <f t="shared" si="81"/>
        <v>-5.4728645435819212</v>
      </c>
      <c r="U63" s="629">
        <f t="shared" si="82"/>
        <v>-1.7646255218366085</v>
      </c>
      <c r="V63" s="636">
        <f t="shared" si="114"/>
        <v>-2.3254070134275531</v>
      </c>
      <c r="W63" s="585">
        <f t="shared" si="224"/>
        <v>197.87097143096645</v>
      </c>
      <c r="X63" s="629">
        <f t="shared" si="83"/>
        <v>5.7503173429571062</v>
      </c>
      <c r="Y63" s="630">
        <f t="shared" si="223"/>
        <v>-2.3254070134275531</v>
      </c>
      <c r="Z63" s="632">
        <f t="shared" si="243"/>
        <v>-0.99828005008176579</v>
      </c>
      <c r="AA63" s="629">
        <f t="shared" si="244"/>
        <v>2.6406072556942446E-2</v>
      </c>
      <c r="AB63" s="629">
        <f t="shared" si="245"/>
        <v>-5.2341770517099949E-2</v>
      </c>
      <c r="AC63" s="636">
        <f t="shared" si="84"/>
        <v>1</v>
      </c>
      <c r="AD63" s="637">
        <f t="shared" si="115"/>
        <v>-0.99828005008176579</v>
      </c>
      <c r="AE63" s="629">
        <f t="shared" si="85"/>
        <v>2.6406072556942446E-2</v>
      </c>
      <c r="AF63" s="633">
        <f t="shared" si="86"/>
        <v>-5.2341770517099949E-2</v>
      </c>
      <c r="AG63" s="602">
        <f t="shared" si="87"/>
        <v>26.770638506119781</v>
      </c>
      <c r="AH63" s="603">
        <f t="shared" si="88"/>
        <v>176.63908292153181</v>
      </c>
      <c r="AI63" s="585">
        <f t="shared" si="89"/>
        <v>-86.999666409404782</v>
      </c>
      <c r="AJ63" s="586">
        <f t="shared" si="90"/>
        <v>-91.515209879649802</v>
      </c>
      <c r="AK63" s="635">
        <f t="shared" si="211"/>
        <v>0.94207909465096873</v>
      </c>
      <c r="AL63" s="629">
        <f t="shared" si="91"/>
        <v>-0.33128132830080614</v>
      </c>
      <c r="AM63" s="634">
        <f t="shared" si="92"/>
        <v>-5.2341770517099949E-2</v>
      </c>
      <c r="AN63" s="581">
        <f t="shared" si="93"/>
        <v>-81.02160368317935</v>
      </c>
      <c r="AO63" s="582">
        <f t="shared" si="461"/>
        <v>19.596303192731042</v>
      </c>
      <c r="AP63" s="585">
        <f t="shared" si="95"/>
        <v>-19.374181312348831</v>
      </c>
      <c r="AQ63" s="586">
        <f t="shared" si="246"/>
        <v>0.39644598968399286</v>
      </c>
      <c r="AS63" s="52">
        <f t="shared" si="406"/>
        <v>-162.12902856903355</v>
      </c>
      <c r="AT63" s="72">
        <f t="shared" si="247"/>
        <v>-2.2128090769224831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4.1509999999999998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1.7769972561202163</v>
      </c>
      <c r="C64" s="708">
        <v>-5.572442760151981</v>
      </c>
      <c r="D64" s="709">
        <v>-3.1196094087419768</v>
      </c>
      <c r="E64" s="710">
        <v>0.96685637102271871</v>
      </c>
      <c r="F64" s="708">
        <v>-0.2546415295884869</v>
      </c>
      <c r="G64" s="711">
        <v>1.8613146472720707E-2</v>
      </c>
      <c r="H64" s="710">
        <v>0.314</v>
      </c>
      <c r="I64" s="708">
        <v>0.52</v>
      </c>
      <c r="J64" s="570">
        <v>4.1580000000000004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4.1580000000000004</v>
      </c>
      <c r="N64" s="632">
        <f t="shared" si="240"/>
        <v>1.7769972561202163</v>
      </c>
      <c r="O64" s="629">
        <f t="shared" si="241"/>
        <v>-5.572442760151981</v>
      </c>
      <c r="P64" s="633">
        <f t="shared" si="242"/>
        <v>-3.1196094087419768</v>
      </c>
      <c r="Q64" s="585">
        <f t="shared" si="113"/>
        <v>287.68697145753276</v>
      </c>
      <c r="R64" s="629">
        <f t="shared" si="79"/>
        <v>5.8489176403356034</v>
      </c>
      <c r="S64" s="634">
        <f t="shared" si="80"/>
        <v>-3.1196094087419768</v>
      </c>
      <c r="T64" s="635">
        <f t="shared" si="81"/>
        <v>-5.5720704645561083</v>
      </c>
      <c r="U64" s="629">
        <f t="shared" si="82"/>
        <v>-1.7781643066518007</v>
      </c>
      <c r="V64" s="636">
        <f t="shared" si="114"/>
        <v>-3.1196094087419768</v>
      </c>
      <c r="W64" s="585">
        <f t="shared" si="224"/>
        <v>197.69897145580018</v>
      </c>
      <c r="X64" s="629">
        <f t="shared" si="83"/>
        <v>5.8489176403356034</v>
      </c>
      <c r="Y64" s="630">
        <f t="shared" si="223"/>
        <v>-3.1196094087419768</v>
      </c>
      <c r="Z64" s="632">
        <f t="shared" si="243"/>
        <v>-0.96685637102271871</v>
      </c>
      <c r="AA64" s="629">
        <f t="shared" si="244"/>
        <v>0.2546415295884869</v>
      </c>
      <c r="AB64" s="629">
        <f t="shared" si="245"/>
        <v>-1.8613146472720707E-2</v>
      </c>
      <c r="AC64" s="636">
        <f t="shared" si="84"/>
        <v>1</v>
      </c>
      <c r="AD64" s="637">
        <f t="shared" si="115"/>
        <v>-0.96685637102271871</v>
      </c>
      <c r="AE64" s="629">
        <f t="shared" si="85"/>
        <v>0.2546415295884869</v>
      </c>
      <c r="AF64" s="633">
        <f t="shared" si="86"/>
        <v>-1.8613146472720707E-2</v>
      </c>
      <c r="AG64" s="602">
        <f t="shared" si="87"/>
        <v>85.819372175441501</v>
      </c>
      <c r="AH64" s="603">
        <f t="shared" si="88"/>
        <v>165.20739967404913</v>
      </c>
      <c r="AI64" s="585">
        <f t="shared" si="89"/>
        <v>-88.933483675316495</v>
      </c>
      <c r="AJ64" s="586">
        <f t="shared" si="90"/>
        <v>-104.75495931441424</v>
      </c>
      <c r="AK64" s="635">
        <f t="shared" si="211"/>
        <v>0.84378936222398071</v>
      </c>
      <c r="AL64" s="629">
        <f t="shared" si="91"/>
        <v>-0.53635162251645441</v>
      </c>
      <c r="AM64" s="634">
        <f t="shared" si="92"/>
        <v>-1.8613146472720707E-2</v>
      </c>
      <c r="AN64" s="581">
        <f t="shared" si="93"/>
        <v>-88.012447647075362</v>
      </c>
      <c r="AO64" s="582">
        <f t="shared" si="461"/>
        <v>32.45754286836555</v>
      </c>
      <c r="AP64" s="585">
        <f t="shared" si="95"/>
        <v>-32.441930771947</v>
      </c>
      <c r="AQ64" s="586">
        <f t="shared" si="246"/>
        <v>0.38976296239408548</v>
      </c>
      <c r="AS64" s="52">
        <f t="shared" si="406"/>
        <v>-162.30102854419982</v>
      </c>
      <c r="AT64" s="72">
        <f t="shared" si="247"/>
        <v>-3.006892027809708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4.1580000000000004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1.7853053317479661</v>
      </c>
      <c r="C65" s="708">
        <v>-5.6365372337960071</v>
      </c>
      <c r="D65" s="709">
        <v>-3.8779116957816737</v>
      </c>
      <c r="E65" s="710">
        <v>0.92437952081290509</v>
      </c>
      <c r="F65" s="708">
        <v>-0.38147411642427709</v>
      </c>
      <c r="G65" s="711">
        <v>1.4578093202322137E-7</v>
      </c>
      <c r="H65" s="710">
        <v>0.314</v>
      </c>
      <c r="I65" s="708">
        <v>0.52</v>
      </c>
      <c r="J65" s="570">
        <v>4.165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4.165</v>
      </c>
      <c r="N65" s="632">
        <f t="shared" si="240"/>
        <v>1.7853053317479661</v>
      </c>
      <c r="O65" s="629">
        <f t="shared" si="241"/>
        <v>-5.6365372337960071</v>
      </c>
      <c r="P65" s="633">
        <f t="shared" si="242"/>
        <v>-3.8779116957816737</v>
      </c>
      <c r="Q65" s="585">
        <f t="shared" si="113"/>
        <v>287.57497147370356</v>
      </c>
      <c r="R65" s="629">
        <f t="shared" si="79"/>
        <v>5.9125178321537817</v>
      </c>
      <c r="S65" s="634">
        <f t="shared" si="80"/>
        <v>-3.8779116957816737</v>
      </c>
      <c r="T65" s="635">
        <f t="shared" si="81"/>
        <v>-5.6361631967553594</v>
      </c>
      <c r="U65" s="629">
        <f t="shared" si="82"/>
        <v>-1.7864858060104662</v>
      </c>
      <c r="V65" s="636">
        <f t="shared" si="114"/>
        <v>-3.8779116957816737</v>
      </c>
      <c r="W65" s="585">
        <f t="shared" si="224"/>
        <v>197.58697147197097</v>
      </c>
      <c r="X65" s="629">
        <f t="shared" si="83"/>
        <v>5.9125178321537817</v>
      </c>
      <c r="Y65" s="630">
        <f t="shared" si="223"/>
        <v>-3.8779116957816737</v>
      </c>
      <c r="Z65" s="632">
        <f t="shared" si="243"/>
        <v>-0.92437952081290509</v>
      </c>
      <c r="AA65" s="629">
        <f t="shared" si="244"/>
        <v>0.38147411642427709</v>
      </c>
      <c r="AB65" s="629">
        <f t="shared" si="245"/>
        <v>-1.4578093202322137E-7</v>
      </c>
      <c r="AC65" s="636">
        <f t="shared" si="84"/>
        <v>1</v>
      </c>
      <c r="AD65" s="637">
        <f t="shared" si="115"/>
        <v>-0.92437952081290509</v>
      </c>
      <c r="AE65" s="629">
        <f t="shared" si="85"/>
        <v>0.38147411642427709</v>
      </c>
      <c r="AF65" s="633">
        <f t="shared" si="86"/>
        <v>-1.4578093202322137E-7</v>
      </c>
      <c r="AG65" s="602">
        <f t="shared" si="87"/>
        <v>89.99997810432798</v>
      </c>
      <c r="AH65" s="603">
        <f t="shared" si="88"/>
        <v>157.57497724898744</v>
      </c>
      <c r="AI65" s="585">
        <f t="shared" si="89"/>
        <v>-89.999991647367864</v>
      </c>
      <c r="AJ65" s="586">
        <f t="shared" si="90"/>
        <v>-112.4250227510111</v>
      </c>
      <c r="AK65" s="635">
        <f t="shared" si="211"/>
        <v>0.76604450791050738</v>
      </c>
      <c r="AL65" s="629">
        <f t="shared" si="91"/>
        <v>-0.64278753247097731</v>
      </c>
      <c r="AM65" s="634">
        <f t="shared" si="92"/>
        <v>-1.4578093202322137E-7</v>
      </c>
      <c r="AN65" s="581">
        <f t="shared" si="93"/>
        <v>-89.999987005609611</v>
      </c>
      <c r="AO65" s="582">
        <f t="shared" si="461"/>
        <v>39.999994224715365</v>
      </c>
      <c r="AP65" s="585">
        <f t="shared" si="95"/>
        <v>-39.999994224714662</v>
      </c>
      <c r="AQ65" s="586">
        <f t="shared" si="246"/>
        <v>0.38557045973782406</v>
      </c>
      <c r="AS65" s="52">
        <f t="shared" si="406"/>
        <v>-162.41302852802903</v>
      </c>
      <c r="AT65" s="72">
        <f t="shared" si="247"/>
        <v>-3.7651165370828568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4.165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0.36808131724288762</v>
      </c>
      <c r="C66" s="708">
        <v>-3.719241745330836</v>
      </c>
      <c r="D66" s="709">
        <v>-6.2700189103770343E-2</v>
      </c>
      <c r="E66" s="710">
        <v>0.91122249907189268</v>
      </c>
      <c r="F66" s="708">
        <v>-3.4680262771924646E-2</v>
      </c>
      <c r="G66" s="711">
        <v>0.41045199056557724</v>
      </c>
      <c r="H66" s="710">
        <v>0.26600000000000001</v>
      </c>
      <c r="I66" s="708">
        <v>0.52</v>
      </c>
      <c r="J66" s="570">
        <v>4.2229999999999999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4.2229999999999999</v>
      </c>
      <c r="N66" s="632">
        <f t="shared" si="240"/>
        <v>0.36808131724288762</v>
      </c>
      <c r="O66" s="629">
        <f t="shared" si="241"/>
        <v>-3.719241745330836</v>
      </c>
      <c r="P66" s="633">
        <f t="shared" si="242"/>
        <v>-6.2700189103770343E-2</v>
      </c>
      <c r="Q66" s="585">
        <f t="shared" si="113"/>
        <v>275.65197319517154</v>
      </c>
      <c r="R66" s="629">
        <f t="shared" si="79"/>
        <v>3.7374112720323973</v>
      </c>
      <c r="S66" s="634">
        <f t="shared" si="80"/>
        <v>-6.2700189103770343E-2</v>
      </c>
      <c r="T66" s="635">
        <f t="shared" si="81"/>
        <v>-3.7191645729996425</v>
      </c>
      <c r="U66" s="629">
        <f t="shared" si="82"/>
        <v>-0.36886026522140658</v>
      </c>
      <c r="V66" s="636">
        <f t="shared" si="114"/>
        <v>-6.2700189103770343E-2</v>
      </c>
      <c r="W66" s="585">
        <f t="shared" si="224"/>
        <v>185.66397319343895</v>
      </c>
      <c r="X66" s="629">
        <f t="shared" si="83"/>
        <v>3.7374112720323973</v>
      </c>
      <c r="Y66" s="630">
        <f t="shared" si="223"/>
        <v>-6.2700189103770343E-2</v>
      </c>
      <c r="Z66" s="632">
        <f t="shared" si="243"/>
        <v>-0.91122249907189268</v>
      </c>
      <c r="AA66" s="629">
        <f t="shared" si="244"/>
        <v>3.4680262771924646E-2</v>
      </c>
      <c r="AB66" s="629">
        <f t="shared" si="245"/>
        <v>-0.41045199056557724</v>
      </c>
      <c r="AC66" s="636">
        <f t="shared" si="84"/>
        <v>1</v>
      </c>
      <c r="AD66" s="637">
        <f t="shared" si="115"/>
        <v>-0.91122249907189268</v>
      </c>
      <c r="AE66" s="629">
        <f t="shared" si="85"/>
        <v>3.4680262771924646E-2</v>
      </c>
      <c r="AF66" s="633">
        <f t="shared" si="86"/>
        <v>-0.41045199056557724</v>
      </c>
      <c r="AG66" s="602">
        <f t="shared" si="87"/>
        <v>4.8296131631399621</v>
      </c>
      <c r="AH66" s="603">
        <f t="shared" si="88"/>
        <v>155.6748422923998</v>
      </c>
      <c r="AI66" s="585">
        <f t="shared" si="89"/>
        <v>-65.76676869699179</v>
      </c>
      <c r="AJ66" s="586">
        <f t="shared" si="90"/>
        <v>-92.179570987716204</v>
      </c>
      <c r="AK66" s="635">
        <f t="shared" si="211"/>
        <v>0.90337705841868232</v>
      </c>
      <c r="AL66" s="629">
        <f t="shared" si="91"/>
        <v>-0.12425398892415493</v>
      </c>
      <c r="AM66" s="634">
        <f t="shared" si="92"/>
        <v>-0.41045199056557724</v>
      </c>
      <c r="AN66" s="581">
        <f t="shared" si="93"/>
        <v>-16.84236453761444</v>
      </c>
      <c r="AO66" s="582">
        <f t="shared" si="461"/>
        <v>25.394420518919741</v>
      </c>
      <c r="AP66" s="585">
        <f t="shared" si="95"/>
        <v>-7.8315441828877503</v>
      </c>
      <c r="AQ66" s="586">
        <f t="shared" si="246"/>
        <v>0.60995174058841917</v>
      </c>
      <c r="AS66" s="52">
        <f t="shared" si="406"/>
        <v>-174.33602680656105</v>
      </c>
      <c r="AT66" s="72">
        <f t="shared" si="247"/>
        <v>5.8374829510693879E-2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4.2229999999999999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4.1230000000000002</v>
      </c>
      <c r="II66" s="734" cm="1">
        <f t="array" ref="II66">IFERROR(IF($IH66&lt;1,$IH66+LARGE((IF($M$9:$M$150="",0,$M$9:$M$150)-MOD(IF($M$9:$M$150="",0,$M$9:$M$150),1)),1),$IH66),"")</f>
        <v>4.1230000000000002</v>
      </c>
      <c r="IJ66" s="533">
        <f t="shared" si="112"/>
        <v>1613</v>
      </c>
      <c r="IK66" s="533">
        <f t="shared" si="382"/>
        <v>1313</v>
      </c>
      <c r="IL66" s="727">
        <f t="shared" si="225"/>
        <v>15.311997789221039</v>
      </c>
      <c r="IM66" s="759">
        <v>3.6250115668495699E-3</v>
      </c>
      <c r="IN66" s="5">
        <f t="shared" si="226"/>
        <v>0.06</v>
      </c>
      <c r="IO66" s="771">
        <v>30</v>
      </c>
      <c r="IP66" s="9">
        <f t="shared" si="227"/>
        <v>-3.7309112524283381</v>
      </c>
      <c r="IQ66" s="5">
        <f t="shared" si="228"/>
        <v>-0.12070036403229802</v>
      </c>
      <c r="IR66" s="5">
        <f t="shared" si="383"/>
        <v>0.314</v>
      </c>
      <c r="IS66" s="5">
        <f t="shared" si="229"/>
        <v>0.30231991975424249</v>
      </c>
      <c r="IT66" s="727">
        <f t="shared" si="230"/>
        <v>23.343277667537258</v>
      </c>
      <c r="IU66" s="9">
        <f t="shared" si="231"/>
        <v>-3.7374112720323973</v>
      </c>
      <c r="IV66" s="5">
        <f t="shared" si="232"/>
        <v>-6.2700189103770343E-2</v>
      </c>
      <c r="IW66" s="5">
        <f t="shared" si="384"/>
        <v>0.26600000000000001</v>
      </c>
      <c r="IX66" s="5">
        <f t="shared" si="233"/>
        <v>0.24029829753936952</v>
      </c>
      <c r="IY66" s="762">
        <f t="shared" si="234"/>
        <v>16.84236453761444</v>
      </c>
    </row>
    <row r="67" spans="1:259" ht="15" customHeight="1" x14ac:dyDescent="0.25">
      <c r="A67" s="79"/>
      <c r="B67" s="707">
        <v>0.54245535677362078</v>
      </c>
      <c r="C67" s="708">
        <v>-4.4694148715378326</v>
      </c>
      <c r="D67" s="709">
        <v>-0.33350100583903364</v>
      </c>
      <c r="E67" s="710">
        <v>0.92149199817084071</v>
      </c>
      <c r="F67" s="708">
        <v>-0.1215100680208039</v>
      </c>
      <c r="G67" s="711">
        <v>0.3689008005910141</v>
      </c>
      <c r="H67" s="710">
        <v>0.26600000000000001</v>
      </c>
      <c r="I67" s="708">
        <v>0.52</v>
      </c>
      <c r="J67" s="570">
        <v>4.2300000000000004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4.2300000000000004</v>
      </c>
      <c r="N67" s="632">
        <f t="shared" si="240"/>
        <v>0.54245535677362078</v>
      </c>
      <c r="O67" s="629">
        <f t="shared" si="241"/>
        <v>-4.4694148715378326</v>
      </c>
      <c r="P67" s="633">
        <f t="shared" si="242"/>
        <v>-0.33350100583903364</v>
      </c>
      <c r="Q67" s="585">
        <f t="shared" si="113"/>
        <v>276.92017301206613</v>
      </c>
      <c r="R67" s="629">
        <f>IF(M67="","",SQRT(N67^2+O67^2))</f>
        <v>4.5022135786761535</v>
      </c>
      <c r="S67" s="634">
        <f>IF(M67="","",P67)</f>
        <v>-0.33350100583903364</v>
      </c>
      <c r="T67" s="635">
        <f>IF(M67="","",X67*COS(RADIANS(W67)))</f>
        <v>-4.4693011619456087</v>
      </c>
      <c r="U67" s="629">
        <f>IF(M67="","",X67*SIN(RADIANS(W67)))</f>
        <v>-0.54339141679600311</v>
      </c>
      <c r="V67" s="636">
        <f>IF(M67="","",Y67)</f>
        <v>-0.33350100583903364</v>
      </c>
      <c r="W67" s="585">
        <f t="shared" si="224"/>
        <v>186.93217301033354</v>
      </c>
      <c r="X67" s="629">
        <f>IF(M67="","",R67)</f>
        <v>4.5022135786761535</v>
      </c>
      <c r="Y67" s="630">
        <f t="shared" si="223"/>
        <v>-0.33350100583903364</v>
      </c>
      <c r="Z67" s="632">
        <f t="shared" si="243"/>
        <v>-0.92149199817084071</v>
      </c>
      <c r="AA67" s="629">
        <f t="shared" si="244"/>
        <v>0.1215100680208039</v>
      </c>
      <c r="AB67" s="629">
        <f t="shared" si="245"/>
        <v>-0.3689008005910141</v>
      </c>
      <c r="AC67" s="636">
        <f>IF(M67="","",SQRT(Z67^2+AA67^2+AB67^2))</f>
        <v>1</v>
      </c>
      <c r="AD67" s="637">
        <f>IF(M67="","",Z67*(1/SQRT(Z67^2+AA67^2+AB67^2)))</f>
        <v>-0.92149199817084071</v>
      </c>
      <c r="AE67" s="629">
        <f>IF(M67="","",AA67*(1/SQRT(Z67^2+AA67^2+AB67^2)))</f>
        <v>0.1215100680208039</v>
      </c>
      <c r="AF67" s="633">
        <f>IF(M67="","",AB67*(1/SQRT(Z67^2+AA67^2+AB67^2)))</f>
        <v>-0.3689008005910141</v>
      </c>
      <c r="AG67" s="602">
        <f>IF(M67="","",DEGREES(ATAN2(-AF67,AE67)))</f>
        <v>18.231062537603826</v>
      </c>
      <c r="AH67" s="603">
        <f>IF(M67="","",DEGREES(ACOS(AD67)))</f>
        <v>157.14518580136956</v>
      </c>
      <c r="AI67" s="585">
        <f>IF(M67="","",DEGREES(-ACOS(-AF67)))</f>
        <v>-68.352157224980857</v>
      </c>
      <c r="AJ67" s="586">
        <f>IF(M67="","",DEGREES(ATAN2(-AE67,AD67)))</f>
        <v>-97.511816510420175</v>
      </c>
      <c r="AK67" s="635">
        <f>IF(M67="","",(COS(RADIANS((90-$Q$8)-W67))*AD67)+(-SIN(RADIANS((90-$Q$8)-W67))*AE67))</f>
        <v>0.90013860571219306</v>
      </c>
      <c r="AL67" s="629">
        <f>IF(M67="","",(SIN(RADIANS((90-$Q$8)-W67))*AD67)+(COS(RADIANS((90-$Q$8)-W67))*AE67))</f>
        <v>-0.23165208790299716</v>
      </c>
      <c r="AM67" s="634">
        <f>IF(M67="","",AF67)</f>
        <v>-0.3689008005910141</v>
      </c>
      <c r="AN67" s="581">
        <f>IF(M67="","",DEGREES(ATAN2(-AM67,AL67)))</f>
        <v>-32.126858870137895</v>
      </c>
      <c r="AO67" s="582">
        <f t="shared" si="461"/>
        <v>25.823707676300728</v>
      </c>
      <c r="AP67" s="585">
        <f>IF(M67="","",DEGREES(ATAN2(AK67,AL67)))</f>
        <v>-14.431989522486303</v>
      </c>
      <c r="AQ67" s="586">
        <f t="shared" si="246"/>
        <v>0.50634365599985309</v>
      </c>
      <c r="AS67" s="52">
        <f t="shared" si="406"/>
        <v>-173.06782698966646</v>
      </c>
      <c r="AT67" s="72">
        <f t="shared" si="247"/>
        <v>-0.21330668154185733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4.2300000000000004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4.13</v>
      </c>
      <c r="II67" s="734" cm="1">
        <f t="array" ref="II67">IFERROR(IF($IH67&lt;1,$IH67+LARGE((IF($M$9:$M$150="",0,$M$9:$M$150)-MOD(IF($M$9:$M$150="",0,$M$9:$M$150),1)),1),$IH67),"")</f>
        <v>4.13</v>
      </c>
      <c r="IJ67" s="533">
        <f t="shared" si="112"/>
        <v>1613</v>
      </c>
      <c r="IK67" s="533">
        <f t="shared" si="382"/>
        <v>1313</v>
      </c>
      <c r="IL67" s="727">
        <f t="shared" si="225"/>
        <v>13.00479812233948</v>
      </c>
      <c r="IM67" s="759">
        <v>2.7639869833394298E-3</v>
      </c>
      <c r="IN67" s="5">
        <f t="shared" si="226"/>
        <v>0.04</v>
      </c>
      <c r="IO67" s="771">
        <v>20</v>
      </c>
      <c r="IP67" s="9">
        <f t="shared" si="227"/>
        <v>-4.4844135249911918</v>
      </c>
      <c r="IQ67" s="5">
        <f t="shared" si="228"/>
        <v>-0.38980117564034572</v>
      </c>
      <c r="IR67" s="5">
        <f t="shared" si="383"/>
        <v>0.314</v>
      </c>
      <c r="IS67" s="5">
        <f t="shared" si="229"/>
        <v>0.3012361543948836</v>
      </c>
      <c r="IT67" s="727">
        <f t="shared" si="230"/>
        <v>40.993981344047185</v>
      </c>
      <c r="IU67" s="9">
        <f t="shared" si="231"/>
        <v>-4.5022135786761535</v>
      </c>
      <c r="IV67" s="5">
        <f t="shared" si="232"/>
        <v>-0.33350100583903364</v>
      </c>
      <c r="IW67" s="5">
        <f t="shared" si="384"/>
        <v>0.26600000000000001</v>
      </c>
      <c r="IX67" s="5">
        <f t="shared" si="233"/>
        <v>0.23943686911944337</v>
      </c>
      <c r="IY67" s="762">
        <f t="shared" si="234"/>
        <v>32.126858870137895</v>
      </c>
    </row>
    <row r="68" spans="1:259" ht="15" customHeight="1" x14ac:dyDescent="0.25">
      <c r="A68" s="79"/>
      <c r="B68" s="707">
        <v>0.6448393486978854</v>
      </c>
      <c r="C68" s="708">
        <v>-5.1022282967143111</v>
      </c>
      <c r="D68" s="709">
        <v>-0.83070250539875634</v>
      </c>
      <c r="E68" s="710">
        <v>0.92979196448683454</v>
      </c>
      <c r="F68" s="708">
        <v>-0.20479029108048052</v>
      </c>
      <c r="G68" s="711">
        <v>0.30585591289835323</v>
      </c>
      <c r="H68" s="710">
        <v>0.26600000000000001</v>
      </c>
      <c r="I68" s="708">
        <v>0.52</v>
      </c>
      <c r="J68" s="570">
        <v>4.2370000000000001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4.2370000000000001</v>
      </c>
      <c r="N68" s="632">
        <f t="shared" si="240"/>
        <v>0.6448393486978854</v>
      </c>
      <c r="O68" s="629">
        <f t="shared" si="241"/>
        <v>-5.1022282967143111</v>
      </c>
      <c r="P68" s="633">
        <f t="shared" si="242"/>
        <v>-0.83070250539875634</v>
      </c>
      <c r="Q68" s="585">
        <f t="shared" si="113"/>
        <v>277.20307297122042</v>
      </c>
      <c r="R68" s="629">
        <f>IF(M68="","",SQRT(N68^2+O68^2))</f>
        <v>5.1428155107315812</v>
      </c>
      <c r="S68" s="634">
        <f>IF(M68="","",P68)</f>
        <v>-0.83070250539875634</v>
      </c>
      <c r="T68" s="635">
        <f>IF(M68="","",X68*COS(RADIANS(W68)))</f>
        <v>-5.1020931299930679</v>
      </c>
      <c r="U68" s="629">
        <f>IF(M68="","",X68*SIN(RADIANS(W68)))</f>
        <v>-0.64590794258847295</v>
      </c>
      <c r="V68" s="636">
        <f>IF(M68="","",Y68)</f>
        <v>-0.83070250539875634</v>
      </c>
      <c r="W68" s="585">
        <f t="shared" si="224"/>
        <v>187.21507296948784</v>
      </c>
      <c r="X68" s="629">
        <f>IF(M68="","",R68)</f>
        <v>5.1428155107315812</v>
      </c>
      <c r="Y68" s="630">
        <f t="shared" si="223"/>
        <v>-0.83070250539875634</v>
      </c>
      <c r="Z68" s="632">
        <f t="shared" si="243"/>
        <v>-0.92979196448683454</v>
      </c>
      <c r="AA68" s="629">
        <f t="shared" si="244"/>
        <v>0.20479029108048052</v>
      </c>
      <c r="AB68" s="629">
        <f t="shared" si="245"/>
        <v>-0.30585591289835323</v>
      </c>
      <c r="AC68" s="636">
        <f>IF(M68="","",SQRT(Z68^2+AA68^2+AB68^2))</f>
        <v>1</v>
      </c>
      <c r="AD68" s="637">
        <f>IF(M68="","",Z68*(1/SQRT(Z68^2+AA68^2+AB68^2)))</f>
        <v>-0.92979196448683454</v>
      </c>
      <c r="AE68" s="629">
        <f>IF(M68="","",AA68*(1/SQRT(Z68^2+AA68^2+AB68^2)))</f>
        <v>0.20479029108048052</v>
      </c>
      <c r="AF68" s="633">
        <f>IF(M68="","",AB68*(1/SQRT(Z68^2+AA68^2+AB68^2)))</f>
        <v>-0.30585591289835323</v>
      </c>
      <c r="AG68" s="602">
        <f>IF(M68="","",DEGREES(ATAN2(-AF68,AE68)))</f>
        <v>33.804864033537065</v>
      </c>
      <c r="AH68" s="603">
        <f>IF(M68="","",DEGREES(ACOS(AD68)))</f>
        <v>158.40240925377606</v>
      </c>
      <c r="AI68" s="585">
        <f>IF(M68="","",DEGREES(-ACOS(-AF68)))</f>
        <v>-72.190334920695449</v>
      </c>
      <c r="AJ68" s="586">
        <f>IF(M68="","",DEGREES(ATAN2(-AE68,AD68)))</f>
        <v>-102.42129269872805</v>
      </c>
      <c r="AK68" s="635">
        <f>IF(M68="","",(COS(RADIANS((90-$Q$8)-W68))*AD68)+(-SIN(RADIANS((90-$Q$8)-W68))*AE68))</f>
        <v>0.89677609934062419</v>
      </c>
      <c r="AL68" s="629">
        <f>IF(M68="","",(SIN(RADIANS((90-$Q$8)-W68))*AD68)+(COS(RADIANS((90-$Q$8)-W68))*AE68))</f>
        <v>-0.31975738958862215</v>
      </c>
      <c r="AM68" s="634">
        <f>IF(M68="","",AF68)</f>
        <v>-0.30585591289835323</v>
      </c>
      <c r="AN68" s="581">
        <f>IF(M68="","",DEGREES(ATAN2(-AM68,AL68)))</f>
        <v>-46.272934715744817</v>
      </c>
      <c r="AO68" s="582">
        <f t="shared" si="461"/>
        <v>26.262516629337696</v>
      </c>
      <c r="AP68" s="585">
        <f>IF(M68="","",DEGREES(ATAN2(AK68,AL68)))</f>
        <v>-19.624365669948489</v>
      </c>
      <c r="AQ68" s="586">
        <f t="shared" si="246"/>
        <v>0.44327492257941586</v>
      </c>
      <c r="AS68" s="52">
        <f t="shared" si="406"/>
        <v>-172.78492703051216</v>
      </c>
      <c r="AT68" s="72">
        <f t="shared" si="247"/>
        <v>-0.71070463940654827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4.2370000000000001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4.1369999999999996</v>
      </c>
      <c r="II68" s="734" cm="1">
        <f t="array" ref="II68">IFERROR(IF($IH68&lt;1,$IH68+LARGE((IF($M$9:$M$150="",0,$M$9:$M$150)-MOD(IF($M$9:$M$150="",0,$M$9:$M$150),1)),1),$IH68),"")</f>
        <v>4.1369999999999996</v>
      </c>
      <c r="IJ68" s="533">
        <f t="shared" si="112"/>
        <v>1613</v>
      </c>
      <c r="IK68" s="533">
        <f t="shared" si="382"/>
        <v>1313</v>
      </c>
      <c r="IL68" s="727">
        <f t="shared" si="225"/>
        <v>11.730898306267818</v>
      </c>
      <c r="IM68" s="759">
        <v>2.0200762020487501E-3</v>
      </c>
      <c r="IN68" s="5">
        <f t="shared" si="226"/>
        <v>0.02</v>
      </c>
      <c r="IO68" s="771">
        <v>10</v>
      </c>
      <c r="IP68" s="9">
        <f t="shared" si="227"/>
        <v>-5.1144154250769205</v>
      </c>
      <c r="IQ68" s="5">
        <f t="shared" si="228"/>
        <v>-0.88310266343763211</v>
      </c>
      <c r="IR68" s="5">
        <f t="shared" si="383"/>
        <v>0.314</v>
      </c>
      <c r="IS68" s="5">
        <f t="shared" si="229"/>
        <v>0.30011087381912355</v>
      </c>
      <c r="IT68" s="727">
        <f t="shared" si="230"/>
        <v>56.650807847722277</v>
      </c>
      <c r="IU68" s="9">
        <f t="shared" si="231"/>
        <v>-5.1428155107315812</v>
      </c>
      <c r="IV68" s="5">
        <f t="shared" si="232"/>
        <v>-0.83070250539875634</v>
      </c>
      <c r="IW68" s="5">
        <f t="shared" si="384"/>
        <v>0.26600000000000001</v>
      </c>
      <c r="IX68" s="5">
        <f t="shared" si="233"/>
        <v>0.23854244242460604</v>
      </c>
      <c r="IY68" s="762">
        <f t="shared" si="234"/>
        <v>46.272934715744817</v>
      </c>
    </row>
    <row r="69" spans="1:259" ht="15" customHeight="1" x14ac:dyDescent="0.25">
      <c r="A69" s="79"/>
      <c r="B69" s="707">
        <v>0.6859115578943501</v>
      </c>
      <c r="C69" s="708">
        <v>-5.5374977360625799</v>
      </c>
      <c r="D69" s="709">
        <v>-1.5104045553801393</v>
      </c>
      <c r="E69" s="710">
        <v>0.93463474518878031</v>
      </c>
      <c r="F69" s="708">
        <v>-0.27141448937001489</v>
      </c>
      <c r="G69" s="711">
        <v>0.2297652455135849</v>
      </c>
      <c r="H69" s="710">
        <v>0.26600000000000001</v>
      </c>
      <c r="I69" s="708">
        <v>0.52</v>
      </c>
      <c r="J69" s="570">
        <v>4.2439999999999998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4.2439999999999998</v>
      </c>
      <c r="N69" s="632">
        <f t="shared" si="240"/>
        <v>0.6859115578943501</v>
      </c>
      <c r="O69" s="629">
        <f t="shared" si="241"/>
        <v>-5.5374977360625799</v>
      </c>
      <c r="P69" s="633">
        <f t="shared" si="242"/>
        <v>-1.5104045553801393</v>
      </c>
      <c r="Q69" s="585">
        <f t="shared" si="113"/>
        <v>277.06107299172265</v>
      </c>
      <c r="R69" s="629">
        <f t="shared" si="79"/>
        <v>5.5798168287275569</v>
      </c>
      <c r="S69" s="634">
        <f t="shared" si="80"/>
        <v>-1.5104045553801393</v>
      </c>
      <c r="T69" s="635">
        <f t="shared" si="81"/>
        <v>-5.5373539576527389</v>
      </c>
      <c r="U69" s="629">
        <f t="shared" si="82"/>
        <v>-0.68707131348849149</v>
      </c>
      <c r="V69" s="636">
        <f t="shared" si="114"/>
        <v>-1.5104045553801393</v>
      </c>
      <c r="W69" s="585">
        <f t="shared" si="224"/>
        <v>187.07307298999007</v>
      </c>
      <c r="X69" s="629">
        <f t="shared" si="83"/>
        <v>5.5798168287275569</v>
      </c>
      <c r="Y69" s="630">
        <f t="shared" si="223"/>
        <v>-1.5104045553801393</v>
      </c>
      <c r="Z69" s="632">
        <f t="shared" si="243"/>
        <v>-0.93463474518878031</v>
      </c>
      <c r="AA69" s="629">
        <f t="shared" si="244"/>
        <v>0.27141448937001489</v>
      </c>
      <c r="AB69" s="629">
        <f t="shared" si="245"/>
        <v>-0.2297652455135849</v>
      </c>
      <c r="AC69" s="636">
        <f t="shared" si="84"/>
        <v>1</v>
      </c>
      <c r="AD69" s="637">
        <f t="shared" si="115"/>
        <v>-0.93463474518878031</v>
      </c>
      <c r="AE69" s="629">
        <f t="shared" si="85"/>
        <v>0.27141448937001489</v>
      </c>
      <c r="AF69" s="633">
        <f t="shared" si="86"/>
        <v>-0.2297652455135849</v>
      </c>
      <c r="AG69" s="602">
        <f t="shared" si="87"/>
        <v>49.750501760304914</v>
      </c>
      <c r="AH69" s="603">
        <f t="shared" si="88"/>
        <v>159.16921541148335</v>
      </c>
      <c r="AI69" s="585">
        <f t="shared" si="89"/>
        <v>-76.71674883187093</v>
      </c>
      <c r="AJ69" s="586">
        <f t="shared" si="90"/>
        <v>-106.19310264005472</v>
      </c>
      <c r="AK69" s="635">
        <f t="shared" si="211"/>
        <v>0.89418194242537652</v>
      </c>
      <c r="AL69" s="629">
        <f t="shared" si="91"/>
        <v>-0.38424807845253162</v>
      </c>
      <c r="AM69" s="634">
        <f t="shared" si="92"/>
        <v>-0.2297652455135849</v>
      </c>
      <c r="AN69" s="581">
        <f t="shared" si="93"/>
        <v>-59.122235436939022</v>
      </c>
      <c r="AO69" s="582">
        <f t="shared" si="461"/>
        <v>26.596454541567546</v>
      </c>
      <c r="AP69" s="585">
        <f t="shared" si="95"/>
        <v>-23.254175631777379</v>
      </c>
      <c r="AQ69" s="586">
        <f t="shared" si="246"/>
        <v>0.40855964679123608</v>
      </c>
      <c r="AS69" s="52">
        <f t="shared" si="406"/>
        <v>-172.92692701000993</v>
      </c>
      <c r="AT69" s="72">
        <f t="shared" si="247"/>
        <v>-1.3903080782910577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4.2439999999999998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4.1440000000000001</v>
      </c>
      <c r="II69" s="734" cm="1">
        <f t="array" ref="II69">IFERROR(IF($IH69&lt;1,$IH69+LARGE((IF($M$9:$M$150="",0,$M$9:$M$150)-MOD(IF($M$9:$M$150="",0,$M$9:$M$150),1)),1),$IH69),"")</f>
        <v>4.1440000000000001</v>
      </c>
      <c r="IJ69" s="533">
        <f t="shared" si="112"/>
        <v>1613</v>
      </c>
      <c r="IK69" s="533">
        <f t="shared" si="382"/>
        <v>1313</v>
      </c>
      <c r="IL69" s="727">
        <f t="shared" si="225"/>
        <v>11.157898388998831</v>
      </c>
      <c r="IM69" s="759">
        <v>1.47880351247904E-3</v>
      </c>
      <c r="IN69" s="5">
        <f t="shared" si="226"/>
        <v>0</v>
      </c>
      <c r="IO69" s="771">
        <v>0</v>
      </c>
      <c r="IP69" s="9">
        <f t="shared" si="227"/>
        <v>-5.5417167138176078</v>
      </c>
      <c r="IQ69" s="5">
        <f t="shared" si="228"/>
        <v>-1.5568046953229606</v>
      </c>
      <c r="IR69" s="5">
        <f t="shared" si="383"/>
        <v>0.314</v>
      </c>
      <c r="IS69" s="5">
        <f t="shared" si="229"/>
        <v>0.29924272546054059</v>
      </c>
      <c r="IT69" s="727">
        <f t="shared" si="230"/>
        <v>70.323027743291604</v>
      </c>
      <c r="IU69" s="9">
        <f t="shared" si="231"/>
        <v>-5.5798168287275569</v>
      </c>
      <c r="IV69" s="5">
        <f t="shared" si="232"/>
        <v>-1.5104045553801393</v>
      </c>
      <c r="IW69" s="5">
        <f t="shared" si="384"/>
        <v>0.26600000000000001</v>
      </c>
      <c r="IX69" s="5">
        <f t="shared" si="233"/>
        <v>0.23785239668515021</v>
      </c>
      <c r="IY69" s="762">
        <f t="shared" si="234"/>
        <v>59.122235436939022</v>
      </c>
    </row>
    <row r="70" spans="1:259" ht="15" customHeight="1" x14ac:dyDescent="0.25">
      <c r="A70" s="79"/>
      <c r="B70" s="707">
        <v>0.67356414780548746</v>
      </c>
      <c r="C70" s="708">
        <v>-5.7595655749571897</v>
      </c>
      <c r="D70" s="709">
        <v>-2.2877068997240095</v>
      </c>
      <c r="E70" s="710">
        <v>0.92449925599220872</v>
      </c>
      <c r="F70" s="708">
        <v>-0.34857715177173426</v>
      </c>
      <c r="G70" s="711">
        <v>0.15425658797133454</v>
      </c>
      <c r="H70" s="710">
        <v>0.26600000000000001</v>
      </c>
      <c r="I70" s="708">
        <v>0.52</v>
      </c>
      <c r="J70" s="570">
        <v>4.2510000000000003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4.2510000000000003</v>
      </c>
      <c r="N70" s="632">
        <f t="shared" si="240"/>
        <v>0.67356414780548746</v>
      </c>
      <c r="O70" s="629">
        <f t="shared" si="241"/>
        <v>-5.7595655749571897</v>
      </c>
      <c r="P70" s="633">
        <f t="shared" si="242"/>
        <v>-2.2877068997240095</v>
      </c>
      <c r="Q70" s="585">
        <f t="shared" si="113"/>
        <v>276.67027304814718</v>
      </c>
      <c r="R70" s="629">
        <f t="shared" si="79"/>
        <v>5.7988174892335485</v>
      </c>
      <c r="S70" s="634">
        <f t="shared" si="80"/>
        <v>-2.2877068997240095</v>
      </c>
      <c r="T70" s="635">
        <f t="shared" si="81"/>
        <v>-5.7594243777119871</v>
      </c>
      <c r="U70" s="629">
        <f t="shared" si="82"/>
        <v>-0.67477041344280042</v>
      </c>
      <c r="V70" s="636">
        <f t="shared" si="114"/>
        <v>-2.2877068997240095</v>
      </c>
      <c r="W70" s="585">
        <f t="shared" si="224"/>
        <v>186.68227304641459</v>
      </c>
      <c r="X70" s="629">
        <f t="shared" si="83"/>
        <v>5.7988174892335485</v>
      </c>
      <c r="Y70" s="630">
        <f t="shared" si="223"/>
        <v>-2.2877068997240095</v>
      </c>
      <c r="Z70" s="632">
        <f t="shared" si="243"/>
        <v>-0.92449925599220872</v>
      </c>
      <c r="AA70" s="629">
        <f t="shared" si="244"/>
        <v>0.34857715177173426</v>
      </c>
      <c r="AB70" s="629">
        <f t="shared" si="245"/>
        <v>-0.15425658797133454</v>
      </c>
      <c r="AC70" s="636">
        <f t="shared" si="84"/>
        <v>1</v>
      </c>
      <c r="AD70" s="637">
        <f t="shared" si="115"/>
        <v>-0.92449925599220872</v>
      </c>
      <c r="AE70" s="629">
        <f t="shared" si="85"/>
        <v>0.34857715177173426</v>
      </c>
      <c r="AF70" s="633">
        <f t="shared" si="86"/>
        <v>-0.15425658797133454</v>
      </c>
      <c r="AG70" s="602">
        <f t="shared" si="87"/>
        <v>66.129070681199437</v>
      </c>
      <c r="AH70" s="603">
        <f t="shared" si="88"/>
        <v>157.59296780491317</v>
      </c>
      <c r="AI70" s="585">
        <f t="shared" si="89"/>
        <v>-81.126316650839499</v>
      </c>
      <c r="AJ70" s="586">
        <f t="shared" si="90"/>
        <v>-110.65866399450765</v>
      </c>
      <c r="AK70" s="635">
        <f t="shared" si="211"/>
        <v>0.87775223589273943</v>
      </c>
      <c r="AL70" s="629">
        <f t="shared" si="91"/>
        <v>-0.4536032599670542</v>
      </c>
      <c r="AM70" s="634">
        <f t="shared" si="92"/>
        <v>-0.15425658797133454</v>
      </c>
      <c r="AN70" s="581">
        <f t="shared" si="93"/>
        <v>-71.218402613072342</v>
      </c>
      <c r="AO70" s="582">
        <f t="shared" si="461"/>
        <v>28.627605573360917</v>
      </c>
      <c r="AP70" s="585">
        <f t="shared" si="95"/>
        <v>-27.328937042654829</v>
      </c>
      <c r="AQ70" s="586">
        <f t="shared" si="246"/>
        <v>0.39313029945819228</v>
      </c>
      <c r="AS70" s="52">
        <f t="shared" si="406"/>
        <v>-173.31772695358541</v>
      </c>
      <c r="AT70" s="72">
        <f t="shared" si="247"/>
        <v>-2.1673390337852227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4.2510000000000003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4.1509999999999998</v>
      </c>
      <c r="II70" s="734" cm="1">
        <f t="array" ref="II70">IFERROR(IF($IH70&lt;1,$IH70+LARGE((IF($M$9:$M$150="",0,$M$9:$M$150)-MOD(IF($M$9:$M$150="",0,$M$9:$M$150),1)),1),$IH70),"")</f>
        <v>4.1509999999999998</v>
      </c>
      <c r="IJ70" s="533">
        <f t="shared" si="112"/>
        <v>1613</v>
      </c>
      <c r="IK70" s="533">
        <f t="shared" si="382"/>
        <v>1313</v>
      </c>
      <c r="IL70" s="727">
        <f t="shared" si="225"/>
        <v>11.188698384551856</v>
      </c>
      <c r="IM70" s="759">
        <v>1.0699155019845701E-3</v>
      </c>
      <c r="IN70" s="5">
        <f t="shared" si="226"/>
        <v>0</v>
      </c>
      <c r="IO70" s="771">
        <v>0</v>
      </c>
      <c r="IP70" s="9">
        <f t="shared" si="227"/>
        <v>-5.7503173429571062</v>
      </c>
      <c r="IQ70" s="5">
        <f t="shared" si="228"/>
        <v>-2.3254070134275531</v>
      </c>
      <c r="IR70" s="5">
        <f t="shared" si="383"/>
        <v>0.314</v>
      </c>
      <c r="IS70" s="5">
        <f t="shared" si="229"/>
        <v>0.29581283572040418</v>
      </c>
      <c r="IT70" s="727">
        <f t="shared" si="230"/>
        <v>81.02160368317935</v>
      </c>
      <c r="IU70" s="9">
        <f t="shared" si="231"/>
        <v>-5.7988174892335485</v>
      </c>
      <c r="IV70" s="5">
        <f t="shared" si="232"/>
        <v>-2.2877068997240095</v>
      </c>
      <c r="IW70" s="5">
        <f t="shared" si="384"/>
        <v>0.26600000000000001</v>
      </c>
      <c r="IX70" s="5">
        <f t="shared" si="233"/>
        <v>0.2334820947474687</v>
      </c>
      <c r="IY70" s="762">
        <f t="shared" si="234"/>
        <v>71.218402613072342</v>
      </c>
    </row>
    <row r="71" spans="1:259" ht="15" customHeight="1" x14ac:dyDescent="0.25">
      <c r="A71" s="79"/>
      <c r="B71" s="707">
        <v>0.44307270128902027</v>
      </c>
      <c r="C71" s="708">
        <v>-5.8441460105311762</v>
      </c>
      <c r="D71" s="709">
        <v>-3.118309404821165</v>
      </c>
      <c r="E71" s="710">
        <v>7.051523160867508E-2</v>
      </c>
      <c r="F71" s="708">
        <v>-0.93009562327444029</v>
      </c>
      <c r="G71" s="711">
        <v>0.36048541395860312</v>
      </c>
      <c r="H71" s="710">
        <v>0.25700000000000001</v>
      </c>
      <c r="I71" s="708">
        <v>0.41499999999999992</v>
      </c>
      <c r="J71" s="570">
        <v>4.258</v>
      </c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CPS-32193r1</v>
      </c>
      <c r="L71" s="320"/>
      <c r="M71" s="168">
        <f t="shared" si="239"/>
        <v>4.258</v>
      </c>
      <c r="N71" s="632">
        <f t="shared" si="240"/>
        <v>0.44307270128902027</v>
      </c>
      <c r="O71" s="629">
        <f t="shared" si="241"/>
        <v>-5.8441460105311762</v>
      </c>
      <c r="P71" s="633">
        <f t="shared" si="242"/>
        <v>-3.118309404821165</v>
      </c>
      <c r="Q71" s="585">
        <f t="shared" si="113"/>
        <v>274.3355733852361</v>
      </c>
      <c r="R71" s="629">
        <f t="shared" si="79"/>
        <v>5.8609176765277136</v>
      </c>
      <c r="S71" s="634">
        <f t="shared" si="80"/>
        <v>-3.118309404821165</v>
      </c>
      <c r="T71" s="635">
        <f t="shared" si="81"/>
        <v>-5.8440530854392669</v>
      </c>
      <c r="U71" s="629">
        <f t="shared" si="82"/>
        <v>-0.4442966864638907</v>
      </c>
      <c r="V71" s="636">
        <f t="shared" si="114"/>
        <v>-3.118309404821165</v>
      </c>
      <c r="W71" s="585">
        <f t="shared" si="224"/>
        <v>184.34757338350352</v>
      </c>
      <c r="X71" s="629">
        <f t="shared" si="83"/>
        <v>5.8609176765277136</v>
      </c>
      <c r="Y71" s="630">
        <f t="shared" si="223"/>
        <v>-3.118309404821165</v>
      </c>
      <c r="Z71" s="632">
        <f t="shared" si="243"/>
        <v>-7.051523160867508E-2</v>
      </c>
      <c r="AA71" s="629">
        <f t="shared" si="244"/>
        <v>0.93009562327444029</v>
      </c>
      <c r="AB71" s="629">
        <f t="shared" si="245"/>
        <v>-0.36048541395860312</v>
      </c>
      <c r="AC71" s="636">
        <f t="shared" si="84"/>
        <v>1</v>
      </c>
      <c r="AD71" s="637">
        <f t="shared" si="115"/>
        <v>-7.051523160867508E-2</v>
      </c>
      <c r="AE71" s="629">
        <f t="shared" si="85"/>
        <v>0.93009562327444029</v>
      </c>
      <c r="AF71" s="633">
        <f t="shared" si="86"/>
        <v>-0.36048541395860312</v>
      </c>
      <c r="AG71" s="602">
        <f t="shared" si="87"/>
        <v>68.814721467310093</v>
      </c>
      <c r="AH71" s="603">
        <f t="shared" si="88"/>
        <v>94.043580944673238</v>
      </c>
      <c r="AI71" s="585">
        <f t="shared" si="89"/>
        <v>-68.869990056404347</v>
      </c>
      <c r="AJ71" s="586">
        <f t="shared" si="90"/>
        <v>-175.66441268371747</v>
      </c>
      <c r="AK71" s="635">
        <f t="shared" si="211"/>
        <v>2.2679489732058133E-7</v>
      </c>
      <c r="AL71" s="629">
        <f t="shared" si="91"/>
        <v>-0.93276485049718894</v>
      </c>
      <c r="AM71" s="634">
        <f t="shared" si="92"/>
        <v>-0.36048541395860312</v>
      </c>
      <c r="AN71" s="581">
        <f t="shared" si="93"/>
        <v>-68.869990056403765</v>
      </c>
      <c r="AO71" s="582">
        <f t="shared" si="461"/>
        <v>0</v>
      </c>
      <c r="AP71" s="585">
        <f t="shared" si="95"/>
        <v>-89.999986068953575</v>
      </c>
      <c r="AQ71" s="586">
        <f t="shared" si="246"/>
        <v>0.38896496009076853</v>
      </c>
      <c r="AS71" s="52">
        <f t="shared" si="406"/>
        <v>-175.65242661649648</v>
      </c>
      <c r="AT71" s="72">
        <f t="shared" si="247"/>
        <v>-2.9963202196720236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>Gage</v>
      </c>
      <c r="IG71" s="847">
        <f t="shared" si="210"/>
        <v>4.258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4.1580000000000004</v>
      </c>
      <c r="II71" s="734" cm="1">
        <f t="array" ref="II71">IFERROR(IF($IH71&lt;1,$IH71+LARGE((IF($M$9:$M$150="",0,$M$9:$M$150)-MOD(IF($M$9:$M$150="",0,$M$9:$M$150),1)),1),$IH71),"")</f>
        <v>4.1580000000000004</v>
      </c>
      <c r="IJ71" s="533">
        <f t="shared" si="112"/>
        <v>1613</v>
      </c>
      <c r="IK71" s="533" t="str">
        <f t="shared" si="382"/>
        <v>CPS-32193r1</v>
      </c>
      <c r="IL71" s="727">
        <f t="shared" si="225"/>
        <v>13.351398072296661</v>
      </c>
      <c r="IM71" s="759">
        <v>3.0900902480455198E-4</v>
      </c>
      <c r="IN71" s="5">
        <f t="shared" si="226"/>
        <v>0</v>
      </c>
      <c r="IO71" s="771">
        <v>0</v>
      </c>
      <c r="IP71" s="9">
        <f t="shared" si="227"/>
        <v>-5.8489176403356034</v>
      </c>
      <c r="IQ71" s="5">
        <f t="shared" si="228"/>
        <v>-3.1196094087419768</v>
      </c>
      <c r="IR71" s="5">
        <f t="shared" si="383"/>
        <v>0.314</v>
      </c>
      <c r="IS71" s="5">
        <f t="shared" si="229"/>
        <v>0.26494985973832996</v>
      </c>
      <c r="IT71" s="727">
        <f t="shared" si="230"/>
        <v>88.012447647075362</v>
      </c>
      <c r="IU71" s="9">
        <f t="shared" si="231"/>
        <v>-5.8609176765277136</v>
      </c>
      <c r="IV71" s="5">
        <f t="shared" si="232"/>
        <v>-3.118309404821165</v>
      </c>
      <c r="IW71" s="5">
        <f t="shared" si="384"/>
        <v>0.25700000000000001</v>
      </c>
      <c r="IX71" s="5">
        <f t="shared" si="233"/>
        <v>0.25700000000000001</v>
      </c>
      <c r="IY71" s="762">
        <f t="shared" si="234"/>
        <v>68.869990056403765</v>
      </c>
    </row>
    <row r="72" spans="1:259" ht="15" customHeight="1" x14ac:dyDescent="0.25">
      <c r="A72" s="79"/>
      <c r="B72" s="707">
        <v>-0.30936798415795325</v>
      </c>
      <c r="C72" s="708">
        <v>-0.49509185635425584</v>
      </c>
      <c r="D72" s="709">
        <v>-0.71300215041448545</v>
      </c>
      <c r="E72" s="710">
        <v>0.83422226667379684</v>
      </c>
      <c r="F72" s="708">
        <v>-0.4020316360813766</v>
      </c>
      <c r="G72" s="711">
        <v>0.37741724043207714</v>
      </c>
      <c r="H72" s="710">
        <v>0.314</v>
      </c>
      <c r="I72" s="708">
        <v>0.52</v>
      </c>
      <c r="J72" s="570">
        <v>5.1020000000000003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5.1020000000000003</v>
      </c>
      <c r="N72" s="632">
        <f t="shared" si="240"/>
        <v>-0.30936798415795325</v>
      </c>
      <c r="O72" s="629">
        <f t="shared" si="241"/>
        <v>-0.49509185635425584</v>
      </c>
      <c r="P72" s="633">
        <f t="shared" si="242"/>
        <v>-0.71300215041448545</v>
      </c>
      <c r="Q72" s="585">
        <f t="shared" si="113"/>
        <v>237.99997863144696</v>
      </c>
      <c r="R72" s="629">
        <f t="shared" si="79"/>
        <v>0.58380176074611034</v>
      </c>
      <c r="S72" s="634">
        <f t="shared" si="80"/>
        <v>-0.71300215041448545</v>
      </c>
      <c r="T72" s="635">
        <f t="shared" si="81"/>
        <v>-0.49515663936493642</v>
      </c>
      <c r="U72" s="629">
        <f t="shared" si="82"/>
        <v>0.30926428559256719</v>
      </c>
      <c r="V72" s="636">
        <f t="shared" si="114"/>
        <v>-0.71300215041448545</v>
      </c>
      <c r="W72" s="585">
        <f t="shared" si="224"/>
        <v>148.01197862971438</v>
      </c>
      <c r="X72" s="629">
        <f t="shared" si="83"/>
        <v>0.58380176074611034</v>
      </c>
      <c r="Y72" s="630">
        <f t="shared" si="223"/>
        <v>-0.71300215041448545</v>
      </c>
      <c r="Z72" s="632">
        <f t="shared" si="243"/>
        <v>-0.83422226667379684</v>
      </c>
      <c r="AA72" s="629">
        <f t="shared" si="244"/>
        <v>0.4020316360813766</v>
      </c>
      <c r="AB72" s="629">
        <f t="shared" si="245"/>
        <v>-0.37741724043207714</v>
      </c>
      <c r="AC72" s="636">
        <f t="shared" si="84"/>
        <v>1</v>
      </c>
      <c r="AD72" s="637">
        <f t="shared" si="115"/>
        <v>-0.83422226667379684</v>
      </c>
      <c r="AE72" s="629">
        <f t="shared" si="85"/>
        <v>0.4020316360813766</v>
      </c>
      <c r="AF72" s="633">
        <f t="shared" si="86"/>
        <v>-0.37741724043207714</v>
      </c>
      <c r="AG72" s="602">
        <f t="shared" si="87"/>
        <v>46.808755522327054</v>
      </c>
      <c r="AH72" s="603">
        <f t="shared" si="88"/>
        <v>146.53494192726436</v>
      </c>
      <c r="AI72" s="585">
        <f t="shared" si="89"/>
        <v>-67.82620793537923</v>
      </c>
      <c r="AJ72" s="586">
        <f t="shared" si="90"/>
        <v>-115.73052773286919</v>
      </c>
      <c r="AK72" s="635">
        <f t="shared" si="211"/>
        <v>0.92050487609870546</v>
      </c>
      <c r="AL72" s="629">
        <f t="shared" si="91"/>
        <v>0.10112862949305018</v>
      </c>
      <c r="AM72" s="634">
        <f t="shared" si="92"/>
        <v>-0.37741724043207714</v>
      </c>
      <c r="AN72" s="581">
        <f t="shared" si="93"/>
        <v>14.999997834268141</v>
      </c>
      <c r="AO72" s="582">
        <f t="shared" si="461"/>
        <v>22.999996679211336</v>
      </c>
      <c r="AP72" s="585">
        <f t="shared" si="95"/>
        <v>6.2694936356838458</v>
      </c>
      <c r="AQ72" s="586">
        <f t="shared" si="246"/>
        <v>3.898937589487752</v>
      </c>
      <c r="AS72" s="52">
        <f t="shared" si="406"/>
        <v>-211.98802137028562</v>
      </c>
      <c r="AT72" s="72">
        <f t="shared" si="247"/>
        <v>-0.56577991335299027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5.1020000000000003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-0.68677784766822181</v>
      </c>
      <c r="C73" s="708">
        <v>-1.0990733912900228</v>
      </c>
      <c r="D73" s="709">
        <v>-0.52220157495995001</v>
      </c>
      <c r="E73" s="710">
        <v>0.83767484564856731</v>
      </c>
      <c r="F73" s="708">
        <v>-0.40911015710550674</v>
      </c>
      <c r="G73" s="711">
        <v>0.36184213729298681</v>
      </c>
      <c r="H73" s="710">
        <v>0.314</v>
      </c>
      <c r="I73" s="708">
        <v>0.52</v>
      </c>
      <c r="J73" s="570">
        <v>5.1050000000000004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5.1050000000000004</v>
      </c>
      <c r="N73" s="632">
        <f t="shared" ref="N73:N104" si="465">IF(M73="","",B73)</f>
        <v>-0.68677784766822181</v>
      </c>
      <c r="O73" s="629">
        <f t="shared" ref="O73:O104" si="466">IF(M73="","",C73)</f>
        <v>-1.0990733912900228</v>
      </c>
      <c r="P73" s="633">
        <f t="shared" ref="P73:P104" si="467">IF(M73="","",D73)</f>
        <v>-0.52220157495995001</v>
      </c>
      <c r="Q73" s="585">
        <f t="shared" si="113"/>
        <v>237.99997863144694</v>
      </c>
      <c r="R73" s="629">
        <f>IF(M73="","",SQRT(N73^2+O73^2))</f>
        <v>1.2960039087477888</v>
      </c>
      <c r="S73" s="634">
        <f>IF(M73="","",P73)</f>
        <v>-0.52220157495995001</v>
      </c>
      <c r="T73" s="635">
        <f>IF(M73="","",X73*COS(RADIANS(W73)))</f>
        <v>-1.0992172055788927</v>
      </c>
      <c r="U73" s="629">
        <f>IF(M73="","",X73*SIN(RADIANS(W73)))</f>
        <v>0.68654764324763162</v>
      </c>
      <c r="V73" s="636">
        <f>IF(M73="","",Y73)</f>
        <v>-0.52220157495995001</v>
      </c>
      <c r="W73" s="585">
        <f t="shared" si="224"/>
        <v>148.01197862971435</v>
      </c>
      <c r="X73" s="629">
        <f>IF(M73="","",R73)</f>
        <v>1.2960039087477888</v>
      </c>
      <c r="Y73" s="630">
        <f t="shared" si="223"/>
        <v>-0.52220157495995001</v>
      </c>
      <c r="Z73" s="632">
        <f t="shared" ref="Z73:Z104" si="468">IF(M73="","",-E73)</f>
        <v>-0.83767484564856731</v>
      </c>
      <c r="AA73" s="629">
        <f t="shared" ref="AA73:AA104" si="469">IF(M73="","",-F73)</f>
        <v>0.40911015710550674</v>
      </c>
      <c r="AB73" s="629">
        <f t="shared" ref="AB73:AB104" si="470">IF(M73="","",-G73)</f>
        <v>-0.36184213729298681</v>
      </c>
      <c r="AC73" s="636">
        <f>IF(M73="","",SQRT(Z73^2+AA73^2+AB73^2))</f>
        <v>1</v>
      </c>
      <c r="AD73" s="637">
        <f>IF(M73="","",Z73*(1/SQRT(Z73^2+AA73^2+AB73^2)))</f>
        <v>-0.83767484564856731</v>
      </c>
      <c r="AE73" s="629">
        <f>IF(M73="","",AA73*(1/SQRT(Z73^2+AA73^2+AB73^2)))</f>
        <v>0.40911015710550674</v>
      </c>
      <c r="AF73" s="633">
        <f>IF(M73="","",AB73*(1/SQRT(Z73^2+AA73^2+AB73^2)))</f>
        <v>-0.36184213729298681</v>
      </c>
      <c r="AG73" s="602">
        <f>IF(M73="","",DEGREES(ATAN2(-AF73,AE73)))</f>
        <v>48.508481897544115</v>
      </c>
      <c r="AH73" s="603">
        <f>IF(M73="","",DEGREES(ACOS(AD73)))</f>
        <v>146.8953974406765</v>
      </c>
      <c r="AI73" s="585">
        <f>IF(M73="","",DEGREES(-ACOS(-AF73)))</f>
        <v>-68.786628843697031</v>
      </c>
      <c r="AJ73" s="586">
        <f>IF(M73="","",DEGREES(ATAN2(-AE73,AD73)))</f>
        <v>-116.03031783537047</v>
      </c>
      <c r="AK73" s="635">
        <f>IF(M73="","",(COS(RADIANS((90-$Q$8)-W73))*AD73)+(-SIN(RADIANS((90-$Q$8)-W73))*AE73))</f>
        <v>0.9271838753345083</v>
      </c>
      <c r="AL73" s="629">
        <f>IF(M73="","",(SIN(RADIANS((90-$Q$8)-W73))*AD73)+(COS(RADIANS((90-$Q$8)-W73))*AE73))</f>
        <v>9.6955293815894461E-2</v>
      </c>
      <c r="AM73" s="634">
        <f>IF(M73="","",AF73)</f>
        <v>-0.36184213729298681</v>
      </c>
      <c r="AN73" s="581">
        <f>IF(M73="","",DEGREES(ATAN2(-AM73,AL73)))</f>
        <v>14.999997834268246</v>
      </c>
      <c r="AO73" s="582">
        <f t="shared" si="461"/>
        <v>21.999996823593442</v>
      </c>
      <c r="AP73" s="585">
        <f>IF(M73="","",DEGREES(ATAN2(AK73,AL73)))</f>
        <v>5.9697035331826145</v>
      </c>
      <c r="AQ73" s="586">
        <f t="shared" ref="AQ73:AQ104" si="471">IF(M73="","",DEGREES(ATAN(($AS$5*SIN(RADIANS(90)))/(($X73*2*PI())-($AS$5*COS(RADIANS(90)))))))</f>
        <v>1.7584906680267522</v>
      </c>
      <c r="AS73" s="52">
        <f t="shared" si="406"/>
        <v>-211.98802137028565</v>
      </c>
      <c r="AT73" s="72">
        <f t="shared" ref="AT73:AT104" si="472">IF(M73="","",Y73+(((AS73-$AS$9)*$AS$6)*-1))</f>
        <v>-0.37497933789845483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5.1050000000000004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-1.0642407032963661</v>
      </c>
      <c r="C74" s="708">
        <v>-1.7031397312714143</v>
      </c>
      <c r="D74" s="709">
        <v>-0.33130099920381367</v>
      </c>
      <c r="E74" s="710">
        <v>0.8376748456485672</v>
      </c>
      <c r="F74" s="708">
        <v>-0.40911015710550674</v>
      </c>
      <c r="G74" s="711">
        <v>0.36184213729298681</v>
      </c>
      <c r="H74" s="710">
        <v>0.314</v>
      </c>
      <c r="I74" s="708">
        <v>0.52</v>
      </c>
      <c r="J74" s="570">
        <v>5.1079999999999997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5.1079999999999997</v>
      </c>
      <c r="N74" s="632">
        <f t="shared" si="465"/>
        <v>-1.0642407032963661</v>
      </c>
      <c r="O74" s="629">
        <f t="shared" si="466"/>
        <v>-1.7031397312714143</v>
      </c>
      <c r="P74" s="633">
        <f t="shared" si="467"/>
        <v>-0.33130099920381367</v>
      </c>
      <c r="Q74" s="585">
        <f t="shared" ref="Q74:Q129" si="520">IF(M74="","",IF(DEGREES(ATAN2(N74,O74))&lt;0,DEGREES(ATAN2(N74,O74))+360,IF(DEGREES(ATAN2(N74,O74))&gt;360,DEGREES(ATAN2(N74,O74))-360,DEGREES(ATAN2(N74,O74)))))</f>
        <v>237.99997863144694</v>
      </c>
      <c r="R74" s="629">
        <f>IF(M74="","",SQRT(N74^2+O74^2))</f>
        <v>2.0083060570510685</v>
      </c>
      <c r="S74" s="634">
        <f>IF(M74="","",P74)</f>
        <v>-0.33130099920381367</v>
      </c>
      <c r="T74" s="635">
        <f>IF(M74="","",X74*COS(RADIANS(W74)))</f>
        <v>-1.703362587935255</v>
      </c>
      <c r="U74" s="629">
        <f>IF(M74="","",X74*SIN(RADIANS(W74)))</f>
        <v>1.063883975257885</v>
      </c>
      <c r="V74" s="636">
        <f>IF(M74="","",Y74)</f>
        <v>-0.33130099920381367</v>
      </c>
      <c r="W74" s="585">
        <f t="shared" si="224"/>
        <v>148.01197862971435</v>
      </c>
      <c r="X74" s="629">
        <f>IF(M74="","",R74)</f>
        <v>2.0083060570510685</v>
      </c>
      <c r="Y74" s="630">
        <f t="shared" si="223"/>
        <v>-0.33130099920381367</v>
      </c>
      <c r="Z74" s="632">
        <f t="shared" si="468"/>
        <v>-0.8376748456485672</v>
      </c>
      <c r="AA74" s="629">
        <f t="shared" si="469"/>
        <v>0.40911015710550674</v>
      </c>
      <c r="AB74" s="629">
        <f t="shared" si="470"/>
        <v>-0.36184213729298681</v>
      </c>
      <c r="AC74" s="636">
        <f>IF(M74="","",SQRT(Z74^2+AA74^2+AB74^2))</f>
        <v>1</v>
      </c>
      <c r="AD74" s="637">
        <f>IF(M74="","",Z74*(1/SQRT(Z74^2+AA74^2+AB74^2)))</f>
        <v>-0.8376748456485672</v>
      </c>
      <c r="AE74" s="629">
        <f>IF(M74="","",AA74*(1/SQRT(Z74^2+AA74^2+AB74^2)))</f>
        <v>0.40911015710550674</v>
      </c>
      <c r="AF74" s="633">
        <f>IF(M74="","",AB74*(1/SQRT(Z74^2+AA74^2+AB74^2)))</f>
        <v>-0.36184213729298681</v>
      </c>
      <c r="AG74" s="602">
        <f>IF(M74="","",DEGREES(ATAN2(-AF74,AE74)))</f>
        <v>48.508481897544115</v>
      </c>
      <c r="AH74" s="603">
        <f>IF(M74="","",DEGREES(ACOS(AD74)))</f>
        <v>146.8953974406765</v>
      </c>
      <c r="AI74" s="585">
        <f>IF(M74="","",DEGREES(-ACOS(-AF74)))</f>
        <v>-68.786628843697031</v>
      </c>
      <c r="AJ74" s="586">
        <f>IF(M74="","",DEGREES(ATAN2(-AE74,AD74)))</f>
        <v>-116.03031783537047</v>
      </c>
      <c r="AK74" s="635">
        <f>IF(M74="","",(COS(RADIANS((90-$Q$8)-W74))*AD74)+(-SIN(RADIANS((90-$Q$8)-W74))*AE74))</f>
        <v>0.9271838753345083</v>
      </c>
      <c r="AL74" s="629">
        <f>IF(M74="","",(SIN(RADIANS((90-$Q$8)-W74))*AD74)+(COS(RADIANS((90-$Q$8)-W74))*AE74))</f>
        <v>9.6955293815894406E-2</v>
      </c>
      <c r="AM74" s="634">
        <f>IF(M74="","",AF74)</f>
        <v>-0.36184213729298681</v>
      </c>
      <c r="AN74" s="581">
        <f>IF(M74="","",DEGREES(ATAN2(-AM74,AL74)))</f>
        <v>14.999997834268235</v>
      </c>
      <c r="AO74" s="582">
        <f t="shared" si="461"/>
        <v>21.999996823593442</v>
      </c>
      <c r="AP74" s="585">
        <f>IF(M74="","",DEGREES(ATAN2(AK74,AL74)))</f>
        <v>5.9697035331826118</v>
      </c>
      <c r="AQ74" s="586">
        <f t="shared" si="471"/>
        <v>1.1350005222770592</v>
      </c>
      <c r="AS74" s="52">
        <f t="shared" si="406"/>
        <v>-211.98802137028565</v>
      </c>
      <c r="AT74" s="72">
        <f t="shared" si="472"/>
        <v>-0.1840787621423185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5.1079999999999997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-1.4994928856965701</v>
      </c>
      <c r="C75" s="708">
        <v>-2.3855821651378171</v>
      </c>
      <c r="D75" s="709">
        <v>-0.12200036795310946</v>
      </c>
      <c r="E75" s="710">
        <v>0.80839799705815185</v>
      </c>
      <c r="F75" s="708">
        <v>-0.48982557610002359</v>
      </c>
      <c r="G75" s="711">
        <v>0.32644078077141092</v>
      </c>
      <c r="H75" s="710">
        <v>0.314</v>
      </c>
      <c r="I75" s="708">
        <v>0.52</v>
      </c>
      <c r="J75" s="570">
        <v>5.1150000000000002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5.1150000000000002</v>
      </c>
      <c r="N75" s="632">
        <f t="shared" si="465"/>
        <v>-1.4994928856965701</v>
      </c>
      <c r="O75" s="629">
        <f t="shared" si="466"/>
        <v>-2.3855821651378171</v>
      </c>
      <c r="P75" s="633">
        <f t="shared" si="467"/>
        <v>-0.12200036795310946</v>
      </c>
      <c r="Q75" s="585">
        <f t="shared" si="520"/>
        <v>237.847978653393</v>
      </c>
      <c r="R75" s="629">
        <f>IF(M75="","",SQRT(N75^2+O75^2))</f>
        <v>2.8177084982088303</v>
      </c>
      <c r="S75" s="634">
        <f>IF(M75="","",P75)</f>
        <v>-0.12200036795310946</v>
      </c>
      <c r="T75" s="635">
        <f>IF(M75="","",X75*COS(RADIANS(W75)))</f>
        <v>-2.3858961658241085</v>
      </c>
      <c r="U75" s="629">
        <f>IF(M75="","",X75*SIN(RADIANS(W75)))</f>
        <v>1.4989932177245098</v>
      </c>
      <c r="V75" s="636">
        <f>IF(M75="","",Y75)</f>
        <v>-0.12200036795310946</v>
      </c>
      <c r="W75" s="585">
        <f t="shared" si="224"/>
        <v>147.85997865166041</v>
      </c>
      <c r="X75" s="629">
        <f>IF(M75="","",R75)</f>
        <v>2.8177084982088303</v>
      </c>
      <c r="Y75" s="630">
        <f t="shared" si="223"/>
        <v>-0.12200036795310946</v>
      </c>
      <c r="Z75" s="632">
        <f t="shared" si="468"/>
        <v>-0.80839799705815185</v>
      </c>
      <c r="AA75" s="629">
        <f t="shared" si="469"/>
        <v>0.48982557610002359</v>
      </c>
      <c r="AB75" s="629">
        <f t="shared" si="470"/>
        <v>-0.32644078077141092</v>
      </c>
      <c r="AC75" s="636">
        <f>IF(M75="","",SQRT(Z75^2+AA75^2+AB75^2))</f>
        <v>1</v>
      </c>
      <c r="AD75" s="637">
        <f>IF(M75="","",Z75*(1/SQRT(Z75^2+AA75^2+AB75^2)))</f>
        <v>-0.80839799705815185</v>
      </c>
      <c r="AE75" s="629">
        <f>IF(M75="","",AA75*(1/SQRT(Z75^2+AA75^2+AB75^2)))</f>
        <v>0.48982557610002359</v>
      </c>
      <c r="AF75" s="633">
        <f>IF(M75="","",AB75*(1/SQRT(Z75^2+AA75^2+AB75^2)))</f>
        <v>-0.32644078077141092</v>
      </c>
      <c r="AG75" s="602">
        <f>IF(M75="","",DEGREES(ATAN2(-AF75,AE75)))</f>
        <v>56.318809117826667</v>
      </c>
      <c r="AH75" s="603">
        <f>IF(M75="","",DEGREES(ACOS(AD75)))</f>
        <v>143.93970540435495</v>
      </c>
      <c r="AI75" s="585">
        <f>IF(M75="","",DEGREES(-ACOS(-AF75)))</f>
        <v>-70.947112875375041</v>
      </c>
      <c r="AJ75" s="586">
        <f>IF(M75="","",DEGREES(ATAN2(-AE75,AD75)))</f>
        <v>-121.21256547841411</v>
      </c>
      <c r="AK75" s="635">
        <f>IF(M75="","",(COS(RADIANS((90-$Q$8)-W75))*AD75)+(-SIN(RADIANS((90-$Q$8)-W75))*AE75))</f>
        <v>0.94509059840721199</v>
      </c>
      <c r="AL75" s="629">
        <f>IF(M75="","",(SIN(RADIANS((90-$Q$8)-W75))*AD75)+(COS(RADIANS((90-$Q$8)-W75))*AE75))</f>
        <v>1.5497659553939447E-2</v>
      </c>
      <c r="AM75" s="634">
        <f>IF(M75="","",AF75)</f>
        <v>-0.32644078077141092</v>
      </c>
      <c r="AN75" s="581">
        <f>IF(M75="","",DEGREES(ATAN2(-AM75,AL75)))</f>
        <v>2.7180558856449908</v>
      </c>
      <c r="AO75" s="582">
        <f t="shared" si="461"/>
        <v>19.075175238584769</v>
      </c>
      <c r="AP75" s="585">
        <f>IF(M75="","",DEGREES(ATAN2(AK75,AL75)))</f>
        <v>0.93945586819288751</v>
      </c>
      <c r="AQ75" s="586">
        <f t="shared" si="471"/>
        <v>0.80901737161598097</v>
      </c>
      <c r="AS75" s="52">
        <f t="shared" ref="AS75:AS106" si="543">IF(G75="","",IF(AND(W75&lt;(AS74+180),W75&gt;(AS74-180)),W75,IF(W75&gt;(AS74+180),W75-360,IF(W75&lt;(AS74-180),W75+360,"Error"))))</f>
        <v>-212.14002134833959</v>
      </c>
      <c r="AT75" s="72">
        <f t="shared" si="472"/>
        <v>2.5327424648700955E-2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5.1150000000000002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-1.964888915438467</v>
      </c>
      <c r="C76" s="708">
        <v>-3.0374858438036685</v>
      </c>
      <c r="D76" s="709">
        <v>-0.10250030914093221</v>
      </c>
      <c r="E76" s="710">
        <v>0.75730247821475594</v>
      </c>
      <c r="F76" s="708">
        <v>-0.60273764745343839</v>
      </c>
      <c r="G76" s="711">
        <v>0.2513966682994902</v>
      </c>
      <c r="H76" s="710">
        <v>0.314</v>
      </c>
      <c r="I76" s="708">
        <v>0.52</v>
      </c>
      <c r="J76" s="570">
        <v>5.1219999999999999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5.1219999999999999</v>
      </c>
      <c r="N76" s="632">
        <f t="shared" si="465"/>
        <v>-1.964888915438467</v>
      </c>
      <c r="O76" s="629">
        <f t="shared" si="466"/>
        <v>-3.0374858438036685</v>
      </c>
      <c r="P76" s="633">
        <f t="shared" si="467"/>
        <v>-0.10250030914093221</v>
      </c>
      <c r="Q76" s="585">
        <f t="shared" si="520"/>
        <v>237.10197876110203</v>
      </c>
      <c r="R76" s="629">
        <f t="shared" si="79"/>
        <v>3.617610910714506</v>
      </c>
      <c r="S76" s="634">
        <f t="shared" si="80"/>
        <v>-0.10250030914093221</v>
      </c>
      <c r="T76" s="635">
        <f t="shared" si="81"/>
        <v>-3.0378973024938665</v>
      </c>
      <c r="U76" s="629">
        <f t="shared" si="82"/>
        <v>1.964252702892662</v>
      </c>
      <c r="V76" s="636">
        <f t="shared" si="114"/>
        <v>-0.10250030914093221</v>
      </c>
      <c r="W76" s="585">
        <f t="shared" si="224"/>
        <v>147.11397875936945</v>
      </c>
      <c r="X76" s="629">
        <f t="shared" si="83"/>
        <v>3.617610910714506</v>
      </c>
      <c r="Y76" s="630">
        <f t="shared" ref="Y76:Y129" si="644">IF(M76="","",S76)</f>
        <v>-0.10250030914093221</v>
      </c>
      <c r="Z76" s="632">
        <f t="shared" si="468"/>
        <v>-0.75730247821475594</v>
      </c>
      <c r="AA76" s="629">
        <f t="shared" si="469"/>
        <v>0.60273764745343839</v>
      </c>
      <c r="AB76" s="629">
        <f t="shared" si="470"/>
        <v>-0.2513966682994902</v>
      </c>
      <c r="AC76" s="636">
        <f t="shared" si="84"/>
        <v>1</v>
      </c>
      <c r="AD76" s="637">
        <f t="shared" si="115"/>
        <v>-0.75730247821475594</v>
      </c>
      <c r="AE76" s="629">
        <f t="shared" si="85"/>
        <v>0.60273764745343839</v>
      </c>
      <c r="AF76" s="633">
        <f t="shared" si="86"/>
        <v>-0.2513966682994902</v>
      </c>
      <c r="AG76" s="602">
        <f t="shared" si="87"/>
        <v>67.359404360147295</v>
      </c>
      <c r="AH76" s="603">
        <f t="shared" si="88"/>
        <v>139.22696397830558</v>
      </c>
      <c r="AI76" s="585">
        <f t="shared" si="89"/>
        <v>-75.439824784329531</v>
      </c>
      <c r="AJ76" s="586">
        <f t="shared" si="90"/>
        <v>-128.51631007658384</v>
      </c>
      <c r="AK76" s="635">
        <f t="shared" si="211"/>
        <v>0.96323462236717983</v>
      </c>
      <c r="AL76" s="629">
        <f t="shared" si="91"/>
        <v>-9.4756411081639458E-2</v>
      </c>
      <c r="AM76" s="634">
        <f t="shared" si="92"/>
        <v>-0.2513966682994902</v>
      </c>
      <c r="AN76" s="581">
        <f t="shared" si="93"/>
        <v>-20.652425349469706</v>
      </c>
      <c r="AO76" s="582">
        <f t="shared" si="461"/>
        <v>15.584640540980379</v>
      </c>
      <c r="AP76" s="585">
        <f t="shared" si="95"/>
        <v>-5.6182888376858839</v>
      </c>
      <c r="AQ76" s="586">
        <f t="shared" si="471"/>
        <v>0.63014922526091299</v>
      </c>
      <c r="AS76" s="52">
        <f t="shared" si="543"/>
        <v>-212.88602124063055</v>
      </c>
      <c r="AT76" s="72">
        <f t="shared" si="472"/>
        <v>4.534553894163583E-2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5.1219999999999999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-2.4459617443742245</v>
      </c>
      <c r="C77" s="708">
        <v>-3.6366806704185071</v>
      </c>
      <c r="D77" s="709">
        <v>-0.33670101549026232</v>
      </c>
      <c r="E77" s="710">
        <v>0.69884393129649003</v>
      </c>
      <c r="F77" s="708">
        <v>-0.68086613672924423</v>
      </c>
      <c r="G77" s="711">
        <v>0.21917678605514077</v>
      </c>
      <c r="H77" s="710">
        <v>0.314</v>
      </c>
      <c r="I77" s="708">
        <v>0.52</v>
      </c>
      <c r="J77" s="570">
        <v>5.1289999999999996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5.1289999999999996</v>
      </c>
      <c r="N77" s="632">
        <f t="shared" si="465"/>
        <v>-2.4459617443742245</v>
      </c>
      <c r="O77" s="629">
        <f t="shared" si="466"/>
        <v>-3.6366806704185071</v>
      </c>
      <c r="P77" s="633">
        <f t="shared" si="467"/>
        <v>-0.33670101549026232</v>
      </c>
      <c r="Q77" s="585">
        <f t="shared" si="520"/>
        <v>236.07597890923813</v>
      </c>
      <c r="R77" s="629">
        <f t="shared" si="79"/>
        <v>4.3827132182630661</v>
      </c>
      <c r="S77" s="634">
        <f t="shared" si="80"/>
        <v>-0.33670101549026232</v>
      </c>
      <c r="T77" s="635">
        <f t="shared" si="81"/>
        <v>-3.6371928716092947</v>
      </c>
      <c r="U77" s="629">
        <f t="shared" si="82"/>
        <v>2.4452000262253253</v>
      </c>
      <c r="V77" s="636">
        <f t="shared" si="114"/>
        <v>-0.33670101549026232</v>
      </c>
      <c r="W77" s="585">
        <f t="shared" si="224"/>
        <v>146.08797890750554</v>
      </c>
      <c r="X77" s="629">
        <f t="shared" si="83"/>
        <v>4.3827132182630661</v>
      </c>
      <c r="Y77" s="630">
        <f t="shared" si="644"/>
        <v>-0.33670101549026232</v>
      </c>
      <c r="Z77" s="632">
        <f t="shared" si="468"/>
        <v>-0.69884393129649003</v>
      </c>
      <c r="AA77" s="629">
        <f t="shared" si="469"/>
        <v>0.68086613672924423</v>
      </c>
      <c r="AB77" s="629">
        <f t="shared" si="470"/>
        <v>-0.21917678605514077</v>
      </c>
      <c r="AC77" s="636">
        <f t="shared" si="84"/>
        <v>1</v>
      </c>
      <c r="AD77" s="637">
        <f t="shared" si="115"/>
        <v>-0.69884393129649003</v>
      </c>
      <c r="AE77" s="629">
        <f t="shared" si="85"/>
        <v>0.68086613672924423</v>
      </c>
      <c r="AF77" s="633">
        <f t="shared" si="86"/>
        <v>-0.21917678605514077</v>
      </c>
      <c r="AG77" s="602">
        <f t="shared" si="87"/>
        <v>72.156177203179368</v>
      </c>
      <c r="AH77" s="603">
        <f t="shared" si="88"/>
        <v>134.33432587845718</v>
      </c>
      <c r="AI77" s="585">
        <f t="shared" si="89"/>
        <v>-77.339313708808916</v>
      </c>
      <c r="AJ77" s="586">
        <f t="shared" si="90"/>
        <v>-134.25347108209556</v>
      </c>
      <c r="AK77" s="635">
        <f t="shared" si="211"/>
        <v>0.95987223679948208</v>
      </c>
      <c r="AL77" s="629">
        <f t="shared" si="91"/>
        <v>-0.17494806508246458</v>
      </c>
      <c r="AM77" s="634">
        <f t="shared" si="92"/>
        <v>-0.21917678605514077</v>
      </c>
      <c r="AN77" s="581">
        <f t="shared" si="93"/>
        <v>-38.597051743587912</v>
      </c>
      <c r="AO77" s="582">
        <f t="shared" si="461"/>
        <v>16.286328191364639</v>
      </c>
      <c r="AP77" s="585">
        <f t="shared" si="95"/>
        <v>-10.329449991333719</v>
      </c>
      <c r="AQ77" s="586">
        <f t="shared" si="471"/>
        <v>0.52014902404179331</v>
      </c>
      <c r="AS77" s="52">
        <f t="shared" si="543"/>
        <v>-213.91202109249446</v>
      </c>
      <c r="AT77" s="72">
        <f t="shared" si="472"/>
        <v>-0.18814266751056657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5.1289999999999996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-2.8831296630237961</v>
      </c>
      <c r="C78" s="708">
        <v>-4.1273373258285124</v>
      </c>
      <c r="D78" s="709">
        <v>-0.80060241461688264</v>
      </c>
      <c r="E78" s="710">
        <v>0.64748895288324626</v>
      </c>
      <c r="F78" s="708">
        <v>-0.74293031169363399</v>
      </c>
      <c r="G78" s="711">
        <v>0.16974276968683383</v>
      </c>
      <c r="H78" s="710">
        <v>0.314</v>
      </c>
      <c r="I78" s="708">
        <v>0.52</v>
      </c>
      <c r="J78" s="570">
        <v>5.1360000000000001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5.1360000000000001</v>
      </c>
      <c r="N78" s="632">
        <f t="shared" si="465"/>
        <v>-2.8831296630237961</v>
      </c>
      <c r="O78" s="629">
        <f t="shared" si="466"/>
        <v>-4.1273373258285124</v>
      </c>
      <c r="P78" s="633">
        <f t="shared" si="467"/>
        <v>-0.80060241461688264</v>
      </c>
      <c r="Q78" s="585">
        <f t="shared" si="520"/>
        <v>235.06397905535277</v>
      </c>
      <c r="R78" s="629">
        <f>IF(M78="","",SQRT(N78^2+O78^2))</f>
        <v>5.0346151843993958</v>
      </c>
      <c r="S78" s="634">
        <f>IF(M78="","",P78)</f>
        <v>-0.80060241461688264</v>
      </c>
      <c r="T78" s="635">
        <f>IF(M78="","",X78*COS(RADIANS(W78)))</f>
        <v>-4.1279410764788826</v>
      </c>
      <c r="U78" s="629">
        <f>IF(M78="","",X78*SIN(RADIANS(W78)))</f>
        <v>2.88226517241272</v>
      </c>
      <c r="V78" s="636">
        <f>IF(M78="","",Y78)</f>
        <v>-0.80060241461688264</v>
      </c>
      <c r="W78" s="585">
        <f t="shared" si="224"/>
        <v>145.07597905362019</v>
      </c>
      <c r="X78" s="629">
        <f>IF(M78="","",R78)</f>
        <v>5.0346151843993958</v>
      </c>
      <c r="Y78" s="630">
        <f t="shared" si="644"/>
        <v>-0.80060241461688264</v>
      </c>
      <c r="Z78" s="632">
        <f t="shared" si="468"/>
        <v>-0.64748895288324626</v>
      </c>
      <c r="AA78" s="629">
        <f t="shared" si="469"/>
        <v>0.74293031169363399</v>
      </c>
      <c r="AB78" s="629">
        <f t="shared" si="470"/>
        <v>-0.16974276968683383</v>
      </c>
      <c r="AC78" s="636">
        <f>IF(M78="","",SQRT(Z78^2+AA78^2+AB78^2))</f>
        <v>1</v>
      </c>
      <c r="AD78" s="637">
        <f>IF(M78="","",Z78*(1/SQRT(Z78^2+AA78^2+AB78^2)))</f>
        <v>-0.64748895288324626</v>
      </c>
      <c r="AE78" s="629">
        <f>IF(M78="","",AA78*(1/SQRT(Z78^2+AA78^2+AB78^2)))</f>
        <v>0.74293031169363399</v>
      </c>
      <c r="AF78" s="633">
        <f>IF(M78="","",AB78*(1/SQRT(Z78^2+AA78^2+AB78^2)))</f>
        <v>-0.16974276968683383</v>
      </c>
      <c r="AG78" s="602">
        <f>IF(M78="","",DEGREES(ATAN2(-AF78,AE78)))</f>
        <v>77.130119689484104</v>
      </c>
      <c r="AH78" s="603">
        <f>IF(M78="","",DEGREES(ACOS(AD78)))</f>
        <v>130.35254613563538</v>
      </c>
      <c r="AI78" s="585">
        <f>IF(M78="","",DEGREES(-ACOS(-AF78)))</f>
        <v>-80.227136515314911</v>
      </c>
      <c r="AJ78" s="586">
        <f>IF(M78="","",DEGREES(ATAN2(-AE78,AD78)))</f>
        <v>-138.9267455812263</v>
      </c>
      <c r="AK78" s="635">
        <f>IF(M78="","",(COS(RADIANS((90-$Q$8)-W78))*AD78)+(-SIN(RADIANS((90-$Q$8)-W78))*AE78))</f>
        <v>0.95625376839489318</v>
      </c>
      <c r="AL78" s="629">
        <f>IF(M78="","",(SIN(RADIANS((90-$Q$8)-W78))*AD78)+(COS(RADIANS((90-$Q$8)-W78))*AE78))</f>
        <v>-0.23825642188534796</v>
      </c>
      <c r="AM78" s="634">
        <f>IF(M78="","",AF78)</f>
        <v>-0.16974276968683383</v>
      </c>
      <c r="AN78" s="581">
        <f>IF(M78="","",DEGREES(ATAN2(-AM78,AL78)))</f>
        <v>-54.532509464955645</v>
      </c>
      <c r="AO78" s="582">
        <f t="shared" si="461"/>
        <v>17.009989132701005</v>
      </c>
      <c r="AP78" s="585">
        <f>IF(M78="","",DEGREES(ATAN2(AK78,AL78)))</f>
        <v>-13.990724636579097</v>
      </c>
      <c r="AQ78" s="586">
        <f t="shared" si="471"/>
        <v>0.4528010757297411</v>
      </c>
      <c r="AS78" s="52">
        <f t="shared" si="543"/>
        <v>-214.92402094637981</v>
      </c>
      <c r="AT78" s="72">
        <f t="shared" si="472"/>
        <v>-0.65134128896087762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5.1360000000000001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-3.2072707655776842</v>
      </c>
      <c r="C79" s="708">
        <v>-4.4628930153570785</v>
      </c>
      <c r="D79" s="709">
        <v>-1.4522043798484106</v>
      </c>
      <c r="E79" s="710">
        <v>0.61017342662217633</v>
      </c>
      <c r="F79" s="708">
        <v>-0.78449375363807006</v>
      </c>
      <c r="G79" s="711">
        <v>0.11071558131989662</v>
      </c>
      <c r="H79" s="710">
        <v>0.314</v>
      </c>
      <c r="I79" s="708">
        <v>0.52</v>
      </c>
      <c r="J79" s="570">
        <v>5.1429999999999998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 t="shared" si="464"/>
        <v>5.1429999999999998</v>
      </c>
      <c r="N79" s="632">
        <f t="shared" si="465"/>
        <v>-3.2072707655776842</v>
      </c>
      <c r="O79" s="629">
        <f t="shared" si="466"/>
        <v>-4.4628930153570785</v>
      </c>
      <c r="P79" s="633">
        <f t="shared" si="467"/>
        <v>-1.4522043798484106</v>
      </c>
      <c r="Q79" s="585">
        <f t="shared" si="520"/>
        <v>234.29697916609388</v>
      </c>
      <c r="R79" s="629">
        <f>IF(M79="","",SQRT(N79^2+O79^2))</f>
        <v>5.4958165753827943</v>
      </c>
      <c r="S79" s="634">
        <f>IF(M79="","",P79)</f>
        <v>-1.4522043798484106</v>
      </c>
      <c r="T79" s="635">
        <f>IF(M79="","",X79*COS(RADIANS(W79)))</f>
        <v>-4.4635646465913608</v>
      </c>
      <c r="U79" s="629">
        <f>IF(M79="","",X79*SIN(RADIANS(W79)))</f>
        <v>3.2063359892487888</v>
      </c>
      <c r="V79" s="636">
        <f>IF(M79="","",Y79)</f>
        <v>-1.4522043798484106</v>
      </c>
      <c r="W79" s="585">
        <f t="shared" ref="W79:W129" si="645">IF(M79="","",IF(Q79-$Q$8&lt;0,360+Q79-$Q$8,Q79-$Q$8))</f>
        <v>144.30897916436129</v>
      </c>
      <c r="X79" s="629">
        <f>IF(M79="","",R79)</f>
        <v>5.4958165753827943</v>
      </c>
      <c r="Y79" s="630">
        <f t="shared" si="644"/>
        <v>-1.4522043798484106</v>
      </c>
      <c r="Z79" s="632">
        <f t="shared" si="468"/>
        <v>-0.61017342662217633</v>
      </c>
      <c r="AA79" s="629">
        <f t="shared" si="469"/>
        <v>0.78449375363807006</v>
      </c>
      <c r="AB79" s="629">
        <f t="shared" si="470"/>
        <v>-0.11071558131989662</v>
      </c>
      <c r="AC79" s="636">
        <f>IF(M79="","",SQRT(Z79^2+AA79^2+AB79^2))</f>
        <v>1</v>
      </c>
      <c r="AD79" s="637">
        <f>IF(M79="","",Z79*(1/SQRT(Z79^2+AA79^2+AB79^2)))</f>
        <v>-0.61017342662217633</v>
      </c>
      <c r="AE79" s="629">
        <f>IF(M79="","",AA79*(1/SQRT(Z79^2+AA79^2+AB79^2)))</f>
        <v>0.78449375363807006</v>
      </c>
      <c r="AF79" s="633">
        <f>IF(M79="","",AB79*(1/SQRT(Z79^2+AA79^2+AB79^2)))</f>
        <v>-0.11071558131989662</v>
      </c>
      <c r="AG79" s="602">
        <f>IF(M79="","",DEGREES(ATAN2(-AF79,AE79)))</f>
        <v>81.96690142950699</v>
      </c>
      <c r="AH79" s="603">
        <f>IF(M79="","",DEGREES(ACOS(AD79)))</f>
        <v>127.60204389503609</v>
      </c>
      <c r="AI79" s="585">
        <f>IF(M79="","",DEGREES(-ACOS(-AF79)))</f>
        <v>-83.643432671344982</v>
      </c>
      <c r="AJ79" s="586">
        <f>IF(M79="","",DEGREES(ATAN2(-AE79,AD79)))</f>
        <v>-142.12448764572025</v>
      </c>
      <c r="AK79" s="635">
        <f>IF(M79="","",(COS(RADIANS((90-$Q$8)-W79))*AD79)+(-SIN(RADIANS((90-$Q$8)-W79))*AE79))</f>
        <v>0.95331103827557562</v>
      </c>
      <c r="AL79" s="629">
        <f>IF(M79="","",(SIN(RADIANS((90-$Q$8)-W79))*AD79)+(COS(RADIANS((90-$Q$8)-W79))*AE79))</f>
        <v>-0.28096285226866058</v>
      </c>
      <c r="AM79" s="634">
        <f>IF(M79="","",AF79)</f>
        <v>-0.11071558131989662</v>
      </c>
      <c r="AN79" s="581">
        <f>IF(M79="","",DEGREES(ATAN2(-AM79,AL79)))</f>
        <v>-68.492697037887027</v>
      </c>
      <c r="AO79" s="582">
        <f t="shared" si="461"/>
        <v>17.577176782648422</v>
      </c>
      <c r="AP79" s="585">
        <f>IF(M79="","",DEGREES(ATAN2(AK79,AL79)))</f>
        <v>-16.421466811814124</v>
      </c>
      <c r="AQ79" s="586">
        <f t="shared" si="471"/>
        <v>0.41480401889165697</v>
      </c>
      <c r="AS79" s="52">
        <f t="shared" si="543"/>
        <v>-215.69102083563871</v>
      </c>
      <c r="AT79" s="72">
        <f t="shared" si="472"/>
        <v>-1.3024106153804202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5.1429999999999998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-3.3764520748287357</v>
      </c>
      <c r="C80" s="708">
        <v>-4.6294193413883837</v>
      </c>
      <c r="D80" s="709">
        <v>-2.2130066744281298</v>
      </c>
      <c r="E80" s="710">
        <v>0.57894562088646206</v>
      </c>
      <c r="F80" s="708">
        <v>-0.8134695773843017</v>
      </c>
      <c r="G80" s="711">
        <v>5.5580704624847488E-2</v>
      </c>
      <c r="H80" s="710">
        <v>0.314</v>
      </c>
      <c r="I80" s="708">
        <v>0.52</v>
      </c>
      <c r="J80" s="570">
        <v>5.15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5.15</v>
      </c>
      <c r="N80" s="632">
        <f t="shared" si="465"/>
        <v>-3.3764520748287357</v>
      </c>
      <c r="O80" s="629">
        <f t="shared" si="466"/>
        <v>-4.6294193413883837</v>
      </c>
      <c r="P80" s="633">
        <f t="shared" si="467"/>
        <v>-2.2130066744281298</v>
      </c>
      <c r="Q80" s="585">
        <f t="shared" si="520"/>
        <v>233.89497922413551</v>
      </c>
      <c r="R80" s="629">
        <f t="shared" si="79"/>
        <v>5.729917281430521</v>
      </c>
      <c r="S80" s="634">
        <f t="shared" si="80"/>
        <v>-2.2130066744281298</v>
      </c>
      <c r="T80" s="635">
        <f t="shared" si="81"/>
        <v>-4.6301264022155131</v>
      </c>
      <c r="U80" s="629">
        <f t="shared" si="82"/>
        <v>3.3754824176024019</v>
      </c>
      <c r="V80" s="636">
        <f t="shared" si="114"/>
        <v>-2.2130066744281298</v>
      </c>
      <c r="W80" s="585">
        <f t="shared" si="645"/>
        <v>143.90697922240292</v>
      </c>
      <c r="X80" s="629">
        <f t="shared" si="83"/>
        <v>5.729917281430521</v>
      </c>
      <c r="Y80" s="630">
        <f t="shared" si="644"/>
        <v>-2.2130066744281298</v>
      </c>
      <c r="Z80" s="632">
        <f t="shared" si="468"/>
        <v>-0.57894562088646206</v>
      </c>
      <c r="AA80" s="629">
        <f t="shared" si="469"/>
        <v>0.8134695773843017</v>
      </c>
      <c r="AB80" s="629">
        <f t="shared" si="470"/>
        <v>-5.5580704624847488E-2</v>
      </c>
      <c r="AC80" s="636">
        <f t="shared" si="84"/>
        <v>1</v>
      </c>
      <c r="AD80" s="637">
        <f t="shared" si="115"/>
        <v>-0.57894562088646206</v>
      </c>
      <c r="AE80" s="629">
        <f t="shared" si="85"/>
        <v>0.8134695773843017</v>
      </c>
      <c r="AF80" s="633">
        <f t="shared" si="86"/>
        <v>-5.5580704624847488E-2</v>
      </c>
      <c r="AG80" s="602">
        <f t="shared" si="87"/>
        <v>86.091312839094002</v>
      </c>
      <c r="AH80" s="603">
        <f t="shared" si="88"/>
        <v>125.37641735259305</v>
      </c>
      <c r="AI80" s="585">
        <f t="shared" si="89"/>
        <v>-86.813818297912448</v>
      </c>
      <c r="AJ80" s="586">
        <f t="shared" si="90"/>
        <v>-144.56057356512602</v>
      </c>
      <c r="AK80" s="635">
        <f t="shared" si="211"/>
        <v>0.94710321820881904</v>
      </c>
      <c r="AL80" s="629">
        <f t="shared" si="91"/>
        <v>-0.31607954589296594</v>
      </c>
      <c r="AM80" s="634">
        <f t="shared" si="92"/>
        <v>-5.5580704624847488E-2</v>
      </c>
      <c r="AN80" s="581">
        <f t="shared" si="93"/>
        <v>-80.026838257156882</v>
      </c>
      <c r="AO80" s="582">
        <f t="shared" si="461"/>
        <v>18.71912285902998</v>
      </c>
      <c r="AP80" s="585">
        <f t="shared" si="95"/>
        <v>-18.455552789261532</v>
      </c>
      <c r="AQ80" s="586">
        <f t="shared" si="471"/>
        <v>0.39785739977450141</v>
      </c>
      <c r="AS80" s="52">
        <f t="shared" si="543"/>
        <v>-216.09302077759708</v>
      </c>
      <c r="AT80" s="72">
        <f t="shared" si="472"/>
        <v>-2.0629337433337795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5.15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-3.4553734461096406</v>
      </c>
      <c r="C81" s="708">
        <v>-4.7051220669367604</v>
      </c>
      <c r="D81" s="709">
        <v>-3.0056090649169396</v>
      </c>
      <c r="E81" s="710">
        <v>0.40836057661527503</v>
      </c>
      <c r="F81" s="708">
        <v>-0.91246484610254797</v>
      </c>
      <c r="G81" s="711">
        <v>2.5486154937409546E-2</v>
      </c>
      <c r="H81" s="710">
        <v>0.314</v>
      </c>
      <c r="I81" s="708">
        <v>0.52</v>
      </c>
      <c r="J81" s="570">
        <v>5.157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5.157</v>
      </c>
      <c r="N81" s="632">
        <f t="shared" si="465"/>
        <v>-3.4553734461096406</v>
      </c>
      <c r="O81" s="629">
        <f t="shared" si="466"/>
        <v>-4.7051220669367604</v>
      </c>
      <c r="P81" s="633">
        <f t="shared" si="467"/>
        <v>-3.0056090649169396</v>
      </c>
      <c r="Q81" s="585">
        <f t="shared" si="520"/>
        <v>233.70697925127934</v>
      </c>
      <c r="R81" s="629">
        <f t="shared" si="79"/>
        <v>5.8376176062547014</v>
      </c>
      <c r="S81" s="634">
        <f t="shared" si="80"/>
        <v>-3.0056090649169396</v>
      </c>
      <c r="T81" s="635">
        <f t="shared" si="81"/>
        <v>-4.7058456553543841</v>
      </c>
      <c r="U81" s="629">
        <f t="shared" si="82"/>
        <v>3.4543879320130122</v>
      </c>
      <c r="V81" s="636">
        <f t="shared" si="114"/>
        <v>-3.0056090649169396</v>
      </c>
      <c r="W81" s="585">
        <f t="shared" si="645"/>
        <v>143.71897924954675</v>
      </c>
      <c r="X81" s="629">
        <f t="shared" si="83"/>
        <v>5.8376176062547014</v>
      </c>
      <c r="Y81" s="630">
        <f t="shared" si="644"/>
        <v>-3.0056090649169396</v>
      </c>
      <c r="Z81" s="632">
        <f t="shared" si="468"/>
        <v>-0.40836057661527503</v>
      </c>
      <c r="AA81" s="629">
        <f t="shared" si="469"/>
        <v>0.91246484610254797</v>
      </c>
      <c r="AB81" s="629">
        <f t="shared" si="470"/>
        <v>-2.5486154937409546E-2</v>
      </c>
      <c r="AC81" s="636">
        <f t="shared" si="84"/>
        <v>1</v>
      </c>
      <c r="AD81" s="637">
        <f t="shared" si="115"/>
        <v>-0.40836057661527503</v>
      </c>
      <c r="AE81" s="629">
        <f t="shared" si="85"/>
        <v>0.91246484610254797</v>
      </c>
      <c r="AF81" s="633">
        <f t="shared" si="86"/>
        <v>-2.5486154937409546E-2</v>
      </c>
      <c r="AG81" s="602">
        <f t="shared" si="87"/>
        <v>88.400081316478108</v>
      </c>
      <c r="AH81" s="603">
        <f t="shared" si="88"/>
        <v>114.10189031685383</v>
      </c>
      <c r="AI81" s="585">
        <f t="shared" si="89"/>
        <v>-88.539592757147474</v>
      </c>
      <c r="AJ81" s="586">
        <f t="shared" si="90"/>
        <v>-155.88978082708198</v>
      </c>
      <c r="AK81" s="635">
        <f t="shared" si="211"/>
        <v>0.8692404166031662</v>
      </c>
      <c r="AL81" s="629">
        <f t="shared" si="91"/>
        <v>-0.49373226960576577</v>
      </c>
      <c r="AM81" s="634">
        <f t="shared" si="92"/>
        <v>-2.5486154937409546E-2</v>
      </c>
      <c r="AN81" s="581">
        <f t="shared" si="93"/>
        <v>-87.045049920352355</v>
      </c>
      <c r="AO81" s="582">
        <f t="shared" si="461"/>
        <v>29.629509359902606</v>
      </c>
      <c r="AP81" s="585">
        <f t="shared" si="95"/>
        <v>-29.596760078361346</v>
      </c>
      <c r="AQ81" s="586">
        <f t="shared" si="471"/>
        <v>0.39051741374485849</v>
      </c>
      <c r="AS81" s="52">
        <f t="shared" si="543"/>
        <v>-216.28102075045325</v>
      </c>
      <c r="AT81" s="72">
        <f t="shared" si="472"/>
        <v>-2.8554055782858834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5.157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-3.5106776193529421</v>
      </c>
      <c r="C82" s="708">
        <v>-4.7574162912773161</v>
      </c>
      <c r="D82" s="709">
        <v>-3.7628113486390284</v>
      </c>
      <c r="E82" s="710">
        <v>0.23471773902903709</v>
      </c>
      <c r="F82" s="708">
        <v>-0.97206356941564054</v>
      </c>
      <c r="G82" s="711">
        <v>1.4578093164421206E-7</v>
      </c>
      <c r="H82" s="710">
        <v>0.314</v>
      </c>
      <c r="I82" s="708">
        <v>0.52</v>
      </c>
      <c r="J82" s="570">
        <v>5.1639999999999997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5.1639999999999997</v>
      </c>
      <c r="N82" s="632">
        <f t="shared" si="465"/>
        <v>-3.5106776193529421</v>
      </c>
      <c r="O82" s="629">
        <f t="shared" si="466"/>
        <v>-4.7574162912773161</v>
      </c>
      <c r="P82" s="633">
        <f t="shared" si="467"/>
        <v>-3.7628113486390284</v>
      </c>
      <c r="Q82" s="585">
        <f t="shared" si="520"/>
        <v>233.57497927033779</v>
      </c>
      <c r="R82" s="629">
        <f t="shared" si="79"/>
        <v>5.9125178321537817</v>
      </c>
      <c r="S82" s="634">
        <f t="shared" si="80"/>
        <v>-3.7628113486390284</v>
      </c>
      <c r="T82" s="635">
        <f t="shared" si="81"/>
        <v>-4.7581514614252027</v>
      </c>
      <c r="U82" s="629">
        <f t="shared" si="82"/>
        <v>3.509681151568282</v>
      </c>
      <c r="V82" s="636">
        <f t="shared" si="114"/>
        <v>-3.7628113486390284</v>
      </c>
      <c r="W82" s="585">
        <f t="shared" si="645"/>
        <v>143.58697926860521</v>
      </c>
      <c r="X82" s="629">
        <f t="shared" si="83"/>
        <v>5.9125178321537817</v>
      </c>
      <c r="Y82" s="630">
        <f t="shared" si="644"/>
        <v>-3.7628113486390284</v>
      </c>
      <c r="Z82" s="632">
        <f t="shared" si="468"/>
        <v>-0.23471773902903709</v>
      </c>
      <c r="AA82" s="629">
        <f t="shared" si="469"/>
        <v>0.97206356941564054</v>
      </c>
      <c r="AB82" s="629">
        <f t="shared" si="470"/>
        <v>-1.4578093164421206E-7</v>
      </c>
      <c r="AC82" s="636">
        <f t="shared" si="84"/>
        <v>1</v>
      </c>
      <c r="AD82" s="637">
        <f t="shared" si="115"/>
        <v>-0.23471773902903709</v>
      </c>
      <c r="AE82" s="629">
        <f t="shared" si="85"/>
        <v>0.97206356941564054</v>
      </c>
      <c r="AF82" s="633">
        <f t="shared" si="86"/>
        <v>-1.4578093164421206E-7</v>
      </c>
      <c r="AG82" s="602">
        <f t="shared" si="87"/>
        <v>89.999991407319044</v>
      </c>
      <c r="AH82" s="603">
        <f t="shared" si="88"/>
        <v>103.57498504562295</v>
      </c>
      <c r="AI82" s="585">
        <f t="shared" si="89"/>
        <v>-89.999991647367892</v>
      </c>
      <c r="AJ82" s="586">
        <f t="shared" si="90"/>
        <v>-166.42501495437688</v>
      </c>
      <c r="AK82" s="635">
        <f t="shared" si="211"/>
        <v>0.76604450791050682</v>
      </c>
      <c r="AL82" s="629">
        <f t="shared" si="91"/>
        <v>-0.64278753247097775</v>
      </c>
      <c r="AM82" s="634">
        <f t="shared" si="92"/>
        <v>-1.4578093164421206E-7</v>
      </c>
      <c r="AN82" s="581">
        <f t="shared" si="93"/>
        <v>-89.99998700560964</v>
      </c>
      <c r="AO82" s="582">
        <f t="shared" si="461"/>
        <v>39.999994224715422</v>
      </c>
      <c r="AP82" s="585">
        <f t="shared" si="95"/>
        <v>-39.99999422471469</v>
      </c>
      <c r="AQ82" s="586">
        <f t="shared" si="471"/>
        <v>0.38557045973782406</v>
      </c>
      <c r="AS82" s="52">
        <f t="shared" si="543"/>
        <v>-216.41302073139479</v>
      </c>
      <c r="AT82" s="72">
        <f t="shared" si="472"/>
        <v>-3.6125161953545408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5.1639999999999997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-2.7220724690911009</v>
      </c>
      <c r="C83" s="708">
        <v>-2.3901687970375813</v>
      </c>
      <c r="D83" s="709">
        <v>-4.4500134212404785E-2</v>
      </c>
      <c r="E83" s="710">
        <v>0.51542329080559068</v>
      </c>
      <c r="F83" s="708">
        <v>-0.75016887984848502</v>
      </c>
      <c r="G83" s="711">
        <v>0.41422878099186322</v>
      </c>
      <c r="H83" s="710">
        <v>0.26600000000000001</v>
      </c>
      <c r="I83" s="708">
        <v>0.52</v>
      </c>
      <c r="J83" s="570">
        <v>5.2220000000000004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5.2220000000000004</v>
      </c>
      <c r="N83" s="632">
        <f t="shared" si="465"/>
        <v>-2.7220724690911009</v>
      </c>
      <c r="O83" s="629">
        <f t="shared" si="466"/>
        <v>-2.3901687970375813</v>
      </c>
      <c r="P83" s="633">
        <f t="shared" si="467"/>
        <v>-4.4500134212404785E-2</v>
      </c>
      <c r="Q83" s="585">
        <f t="shared" si="520"/>
        <v>221.28538104473623</v>
      </c>
      <c r="R83" s="629">
        <f t="shared" si="79"/>
        <v>3.6225109254929517</v>
      </c>
      <c r="S83" s="634">
        <f t="shared" si="80"/>
        <v>-4.4500134212404785E-2</v>
      </c>
      <c r="T83" s="635">
        <f t="shared" si="81"/>
        <v>-2.3907388540536103</v>
      </c>
      <c r="U83" s="629">
        <f t="shared" si="82"/>
        <v>2.721571813683084</v>
      </c>
      <c r="V83" s="636">
        <f t="shared" si="114"/>
        <v>-4.4500134212404785E-2</v>
      </c>
      <c r="W83" s="585">
        <f t="shared" si="645"/>
        <v>131.29738104300364</v>
      </c>
      <c r="X83" s="629">
        <f t="shared" si="83"/>
        <v>3.6225109254929517</v>
      </c>
      <c r="Y83" s="630">
        <f t="shared" si="644"/>
        <v>-4.4500134212404785E-2</v>
      </c>
      <c r="Z83" s="632">
        <f t="shared" si="468"/>
        <v>-0.51542329080559068</v>
      </c>
      <c r="AA83" s="629">
        <f t="shared" si="469"/>
        <v>0.75016887984848502</v>
      </c>
      <c r="AB83" s="629">
        <f t="shared" si="470"/>
        <v>-0.41422878099186322</v>
      </c>
      <c r="AC83" s="636">
        <f t="shared" si="84"/>
        <v>1</v>
      </c>
      <c r="AD83" s="637">
        <f t="shared" si="115"/>
        <v>-0.51542329080559068</v>
      </c>
      <c r="AE83" s="629">
        <f t="shared" si="85"/>
        <v>0.75016887984848502</v>
      </c>
      <c r="AF83" s="633">
        <f t="shared" si="86"/>
        <v>-0.41422878099186322</v>
      </c>
      <c r="AG83" s="602">
        <f t="shared" si="87"/>
        <v>61.093367384066475</v>
      </c>
      <c r="AH83" s="603">
        <f t="shared" si="88"/>
        <v>121.02575252987049</v>
      </c>
      <c r="AI83" s="585">
        <f t="shared" si="89"/>
        <v>-65.52924146416872</v>
      </c>
      <c r="AJ83" s="586">
        <f t="shared" si="90"/>
        <v>-145.50796323811161</v>
      </c>
      <c r="AK83" s="635">
        <f t="shared" si="211"/>
        <v>0.90378270467435495</v>
      </c>
      <c r="AL83" s="629">
        <f t="shared" si="91"/>
        <v>-0.10766308433953925</v>
      </c>
      <c r="AM83" s="634">
        <f t="shared" si="92"/>
        <v>-0.41422878099186322</v>
      </c>
      <c r="AN83" s="581">
        <f t="shared" si="93"/>
        <v>-14.569500248155055</v>
      </c>
      <c r="AO83" s="582">
        <f t="shared" si="461"/>
        <v>25.34017036768104</v>
      </c>
      <c r="AP83" s="585">
        <f t="shared" si="95"/>
        <v>-6.7933442828478459</v>
      </c>
      <c r="AQ83" s="586">
        <f t="shared" si="471"/>
        <v>0.62929691809177346</v>
      </c>
      <c r="AS83" s="52">
        <f t="shared" si="543"/>
        <v>-228.70261895699636</v>
      </c>
      <c r="AT83" s="72">
        <f t="shared" si="472"/>
        <v>0.11432946228430618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Nose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5.2220000000000004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5.1219999999999999</v>
      </c>
      <c r="II83" s="734" cm="1">
        <f t="array" ref="II83">IFERROR(IF($IH83&lt;1,$IH83+LARGE((IF($M$9:$M$150="",0,$M$9:$M$150)-MOD(IF($M$9:$M$150="",0,$M$9:$M$150),1)),1),$IH83),"")</f>
        <v>5.1219999999999999</v>
      </c>
      <c r="IJ83" s="533">
        <f t="shared" si="542"/>
        <v>1613</v>
      </c>
      <c r="IK83" s="533">
        <f t="shared" si="517"/>
        <v>1313</v>
      </c>
      <c r="IL83" s="727">
        <f t="shared" si="647"/>
        <v>15.816597716365806</v>
      </c>
      <c r="IM83" s="759">
        <v>3.8149326141608902E-3</v>
      </c>
      <c r="IN83" s="5">
        <f t="shared" si="648"/>
        <v>0.06</v>
      </c>
      <c r="IO83" s="771">
        <v>30</v>
      </c>
      <c r="IP83" s="9">
        <f t="shared" si="649"/>
        <v>-3.617610910714506</v>
      </c>
      <c r="IQ83" s="5">
        <f t="shared" si="650"/>
        <v>-0.10250030914093221</v>
      </c>
      <c r="IR83" s="5">
        <f t="shared" si="518"/>
        <v>0.314</v>
      </c>
      <c r="IS83" s="5">
        <f t="shared" si="651"/>
        <v>0.30245567142329449</v>
      </c>
      <c r="IT83" s="727">
        <f t="shared" si="652"/>
        <v>20.652425349469706</v>
      </c>
      <c r="IU83" s="9">
        <f t="shared" si="653"/>
        <v>-3.6225109254929517</v>
      </c>
      <c r="IV83" s="5">
        <f t="shared" si="654"/>
        <v>-4.4500134212404785E-2</v>
      </c>
      <c r="IW83" s="5">
        <f t="shared" si="519"/>
        <v>0.26600000000000001</v>
      </c>
      <c r="IX83" s="5">
        <f t="shared" si="655"/>
        <v>0.24040619944337843</v>
      </c>
      <c r="IY83" s="762">
        <f t="shared" si="656"/>
        <v>14.569500248155055</v>
      </c>
    </row>
    <row r="84" spans="1:259" ht="15" customHeight="1" x14ac:dyDescent="0.25">
      <c r="A84" s="79"/>
      <c r="B84" s="707">
        <v>-3.2299614394137053</v>
      </c>
      <c r="C84" s="708">
        <v>-2.9862664033147039</v>
      </c>
      <c r="D84" s="709">
        <v>-0.28000084448254703</v>
      </c>
      <c r="E84" s="710">
        <v>0.45179780476211684</v>
      </c>
      <c r="F84" s="708">
        <v>-0.8088626562858886</v>
      </c>
      <c r="G84" s="711">
        <v>0.37632425762667576</v>
      </c>
      <c r="H84" s="710">
        <v>0.26600000000000001</v>
      </c>
      <c r="I84" s="708">
        <v>0.52</v>
      </c>
      <c r="J84" s="570">
        <v>5.2290000000000001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5.2290000000000001</v>
      </c>
      <c r="N84" s="632">
        <f t="shared" si="465"/>
        <v>-3.2299614394137053</v>
      </c>
      <c r="O84" s="629">
        <f t="shared" si="466"/>
        <v>-2.9862664033147039</v>
      </c>
      <c r="P84" s="633">
        <f t="shared" si="467"/>
        <v>-0.28000084448254703</v>
      </c>
      <c r="Q84" s="585">
        <f t="shared" si="520"/>
        <v>222.75498083255226</v>
      </c>
      <c r="R84" s="629">
        <f t="shared" si="79"/>
        <v>4.3989132671224143</v>
      </c>
      <c r="S84" s="634">
        <f t="shared" si="80"/>
        <v>-0.28000084448254703</v>
      </c>
      <c r="T84" s="635">
        <f t="shared" si="81"/>
        <v>-2.9869428192579175</v>
      </c>
      <c r="U84" s="629">
        <f t="shared" si="82"/>
        <v>3.2293359264946653</v>
      </c>
      <c r="V84" s="636">
        <f t="shared" si="114"/>
        <v>-0.28000084448254703</v>
      </c>
      <c r="W84" s="585">
        <f t="shared" si="645"/>
        <v>132.76698083081968</v>
      </c>
      <c r="X84" s="629">
        <f t="shared" si="83"/>
        <v>4.3989132671224143</v>
      </c>
      <c r="Y84" s="630">
        <f t="shared" si="644"/>
        <v>-0.28000084448254703</v>
      </c>
      <c r="Z84" s="632">
        <f t="shared" si="468"/>
        <v>-0.45179780476211684</v>
      </c>
      <c r="AA84" s="629">
        <f t="shared" si="469"/>
        <v>0.8088626562858886</v>
      </c>
      <c r="AB84" s="629">
        <f t="shared" si="470"/>
        <v>-0.37632425762667576</v>
      </c>
      <c r="AC84" s="636">
        <f t="shared" si="84"/>
        <v>1</v>
      </c>
      <c r="AD84" s="637">
        <f t="shared" si="115"/>
        <v>-0.45179780476211684</v>
      </c>
      <c r="AE84" s="629">
        <f t="shared" si="85"/>
        <v>0.8088626562858886</v>
      </c>
      <c r="AF84" s="633">
        <f t="shared" si="86"/>
        <v>-0.37632425762667576</v>
      </c>
      <c r="AG84" s="602">
        <f t="shared" si="87"/>
        <v>65.049743286746846</v>
      </c>
      <c r="AH84" s="603">
        <f t="shared" si="88"/>
        <v>116.85908786919879</v>
      </c>
      <c r="AI84" s="585">
        <f t="shared" si="89"/>
        <v>-67.893816286447304</v>
      </c>
      <c r="AJ84" s="586">
        <f t="shared" si="90"/>
        <v>-150.81404933863104</v>
      </c>
      <c r="AK84" s="635">
        <f t="shared" si="211"/>
        <v>0.90062784930270778</v>
      </c>
      <c r="AL84" s="629">
        <f t="shared" si="91"/>
        <v>-0.21736957050633954</v>
      </c>
      <c r="AM84" s="634">
        <f t="shared" si="92"/>
        <v>-0.37632425762667576</v>
      </c>
      <c r="AN84" s="581">
        <f t="shared" si="93"/>
        <v>-30.01126443373213</v>
      </c>
      <c r="AO84" s="582">
        <f t="shared" si="461"/>
        <v>25.75928166177064</v>
      </c>
      <c r="AP84" s="585">
        <f t="shared" si="95"/>
        <v>-13.5690301711833</v>
      </c>
      <c r="AQ84" s="586">
        <f t="shared" si="471"/>
        <v>0.51823355568113272</v>
      </c>
      <c r="AS84" s="52">
        <f t="shared" si="543"/>
        <v>-227.23301916918032</v>
      </c>
      <c r="AT84" s="72">
        <f t="shared" si="472"/>
        <v>-0.12219180339404165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5.2290000000000001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5.1289999999999996</v>
      </c>
      <c r="II84" s="734" cm="1">
        <f t="array" ref="II84">IFERROR(IF($IH84&lt;1,$IH84+LARGE((IF($M$9:$M$150="",0,$M$9:$M$150)-MOD(IF($M$9:$M$150="",0,$M$9:$M$150),1)),1),$IH84),"")</f>
        <v>5.1289999999999996</v>
      </c>
      <c r="IJ84" s="533">
        <f t="shared" si="542"/>
        <v>1613</v>
      </c>
      <c r="IK84" s="533">
        <f t="shared" si="517"/>
        <v>1313</v>
      </c>
      <c r="IL84" s="727">
        <f t="shared" si="647"/>
        <v>13.320998076685868</v>
      </c>
      <c r="IM84" s="759">
        <v>2.85952077466743E-3</v>
      </c>
      <c r="IN84" s="5">
        <f t="shared" si="648"/>
        <v>0.04</v>
      </c>
      <c r="IO84" s="771">
        <v>20</v>
      </c>
      <c r="IP84" s="9">
        <f t="shared" si="649"/>
        <v>-4.3827132182630661</v>
      </c>
      <c r="IQ84" s="5">
        <f t="shared" si="650"/>
        <v>-0.33670101549026232</v>
      </c>
      <c r="IR84" s="5">
        <f t="shared" si="518"/>
        <v>0.314</v>
      </c>
      <c r="IS84" s="5">
        <f t="shared" si="651"/>
        <v>0.3013998823550374</v>
      </c>
      <c r="IT84" s="727">
        <f t="shared" si="652"/>
        <v>38.597051743587912</v>
      </c>
      <c r="IU84" s="9">
        <f t="shared" si="653"/>
        <v>-4.3989132671224143</v>
      </c>
      <c r="IV84" s="5">
        <f t="shared" si="654"/>
        <v>-0.28000084448254703</v>
      </c>
      <c r="IW84" s="5">
        <f t="shared" si="519"/>
        <v>0.26600000000000001</v>
      </c>
      <c r="IX84" s="5">
        <f t="shared" si="655"/>
        <v>0.23956700791452029</v>
      </c>
      <c r="IY84" s="762">
        <f t="shared" si="656"/>
        <v>30.01126443373213</v>
      </c>
    </row>
    <row r="85" spans="1:259" ht="15" customHeight="1" x14ac:dyDescent="0.25">
      <c r="A85" s="79"/>
      <c r="B85" s="707">
        <v>-3.6930777611923213</v>
      </c>
      <c r="C85" s="708">
        <v>-3.4612300462379482</v>
      </c>
      <c r="D85" s="709">
        <v>-0.74760225476840048</v>
      </c>
      <c r="E85" s="710">
        <v>0.38844143137375903</v>
      </c>
      <c r="F85" s="708">
        <v>-0.86563894565167077</v>
      </c>
      <c r="G85" s="711">
        <v>0.31588363389604279</v>
      </c>
      <c r="H85" s="710">
        <v>0.26600000000000001</v>
      </c>
      <c r="I85" s="708">
        <v>0.52</v>
      </c>
      <c r="J85" s="570">
        <v>5.2359999999999998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5.2359999999999998</v>
      </c>
      <c r="N85" s="632">
        <f t="shared" si="465"/>
        <v>-3.6930777611923213</v>
      </c>
      <c r="O85" s="629">
        <f t="shared" si="466"/>
        <v>-3.4612300462379482</v>
      </c>
      <c r="P85" s="633">
        <f t="shared" si="467"/>
        <v>-0.74760225476840048</v>
      </c>
      <c r="Q85" s="585">
        <f t="shared" si="520"/>
        <v>223.14388077640206</v>
      </c>
      <c r="R85" s="629">
        <f t="shared" si="79"/>
        <v>5.0615152655300406</v>
      </c>
      <c r="S85" s="634">
        <f t="shared" si="80"/>
        <v>-0.74760225476840048</v>
      </c>
      <c r="T85" s="635">
        <f t="shared" si="81"/>
        <v>-3.4620034466049487</v>
      </c>
      <c r="U85" s="629">
        <f t="shared" si="82"/>
        <v>3.6923527619783418</v>
      </c>
      <c r="V85" s="636">
        <f t="shared" si="114"/>
        <v>-0.74760225476840048</v>
      </c>
      <c r="W85" s="585">
        <f t="shared" si="645"/>
        <v>133.15588077466947</v>
      </c>
      <c r="X85" s="629">
        <f t="shared" si="83"/>
        <v>5.0615152655300406</v>
      </c>
      <c r="Y85" s="630">
        <f t="shared" si="644"/>
        <v>-0.74760225476840048</v>
      </c>
      <c r="Z85" s="632">
        <f t="shared" si="468"/>
        <v>-0.38844143137375903</v>
      </c>
      <c r="AA85" s="629">
        <f t="shared" si="469"/>
        <v>0.86563894565167077</v>
      </c>
      <c r="AB85" s="629">
        <f t="shared" si="470"/>
        <v>-0.31588363389604279</v>
      </c>
      <c r="AC85" s="636">
        <f t="shared" si="84"/>
        <v>1</v>
      </c>
      <c r="AD85" s="637">
        <f t="shared" si="115"/>
        <v>-0.38844143137375903</v>
      </c>
      <c r="AE85" s="629">
        <f t="shared" si="85"/>
        <v>0.86563894565167077</v>
      </c>
      <c r="AF85" s="633">
        <f t="shared" si="86"/>
        <v>-0.31588363389604279</v>
      </c>
      <c r="AG85" s="602">
        <f t="shared" si="87"/>
        <v>69.952274090959605</v>
      </c>
      <c r="AH85" s="603">
        <f t="shared" si="88"/>
        <v>112.85755541662633</v>
      </c>
      <c r="AI85" s="585">
        <f t="shared" si="89"/>
        <v>-71.585833799336328</v>
      </c>
      <c r="AJ85" s="586">
        <f t="shared" si="90"/>
        <v>-155.83261538723846</v>
      </c>
      <c r="AK85" s="635">
        <f t="shared" si="211"/>
        <v>0.8972327168131371</v>
      </c>
      <c r="AL85" s="629">
        <f t="shared" si="91"/>
        <v>-0.30853035785275351</v>
      </c>
      <c r="AM85" s="634">
        <f t="shared" si="92"/>
        <v>-0.31588363389604279</v>
      </c>
      <c r="AN85" s="581">
        <f t="shared" si="93"/>
        <v>-44.325299858573217</v>
      </c>
      <c r="AO85" s="582">
        <f t="shared" si="461"/>
        <v>26.203328866203321</v>
      </c>
      <c r="AP85" s="585">
        <f t="shared" si="95"/>
        <v>-18.976496163640526</v>
      </c>
      <c r="AQ85" s="586">
        <f t="shared" si="471"/>
        <v>0.45039470492522021</v>
      </c>
      <c r="AS85" s="52">
        <f t="shared" si="543"/>
        <v>-226.84411922533053</v>
      </c>
      <c r="AT85" s="72">
        <f t="shared" si="472"/>
        <v>-0.59006328308534628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5.2359999999999998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5.1360000000000001</v>
      </c>
      <c r="II85" s="734" cm="1">
        <f t="array" ref="II85">IFERROR(IF($IH85&lt;1,$IH85+LARGE((IF($M$9:$M$150="",0,$M$9:$M$150)-MOD(IF($M$9:$M$150="",0,$M$9:$M$150),1)),1),$IH85),"")</f>
        <v>5.1360000000000001</v>
      </c>
      <c r="IJ85" s="533">
        <f t="shared" si="542"/>
        <v>1613</v>
      </c>
      <c r="IK85" s="533">
        <f t="shared" si="517"/>
        <v>1313</v>
      </c>
      <c r="IL85" s="727">
        <f t="shared" si="647"/>
        <v>11.920098278950718</v>
      </c>
      <c r="IM85" s="759">
        <v>2.2100671911190698E-3</v>
      </c>
      <c r="IN85" s="5">
        <f t="shared" si="648"/>
        <v>0.02</v>
      </c>
      <c r="IO85" s="771">
        <v>10</v>
      </c>
      <c r="IP85" s="9">
        <f t="shared" si="649"/>
        <v>-5.0346151843993958</v>
      </c>
      <c r="IQ85" s="5">
        <f t="shared" si="650"/>
        <v>-0.80060241461688264</v>
      </c>
      <c r="IR85" s="5">
        <f t="shared" si="518"/>
        <v>0.314</v>
      </c>
      <c r="IS85" s="5">
        <f t="shared" si="651"/>
        <v>0.30026368327599645</v>
      </c>
      <c r="IT85" s="727">
        <f t="shared" si="652"/>
        <v>54.532509464955645</v>
      </c>
      <c r="IU85" s="9">
        <f t="shared" si="653"/>
        <v>-5.0615152655300406</v>
      </c>
      <c r="IV85" s="5">
        <f t="shared" si="654"/>
        <v>-0.74760225476840048</v>
      </c>
      <c r="IW85" s="5">
        <f t="shared" si="519"/>
        <v>0.26600000000000001</v>
      </c>
      <c r="IX85" s="5">
        <f t="shared" si="655"/>
        <v>0.23866390267229448</v>
      </c>
      <c r="IY85" s="762">
        <f t="shared" si="656"/>
        <v>44.325299858573217</v>
      </c>
    </row>
    <row r="86" spans="1:259" ht="15" customHeight="1" x14ac:dyDescent="0.25">
      <c r="A86" s="79"/>
      <c r="B86" s="707">
        <v>-4.0431972271601895</v>
      </c>
      <c r="C86" s="708">
        <v>-3.776413253860166</v>
      </c>
      <c r="D86" s="709">
        <v>-1.4049042371911795</v>
      </c>
      <c r="E86" s="710">
        <v>0.33535503371984055</v>
      </c>
      <c r="F86" s="708">
        <v>-0.91072478927440081</v>
      </c>
      <c r="G86" s="711">
        <v>0.24107542296937484</v>
      </c>
      <c r="H86" s="710">
        <v>0.26600000000000001</v>
      </c>
      <c r="I86" s="708">
        <v>0.52</v>
      </c>
      <c r="J86" s="570">
        <v>5.2430000000000003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5.2430000000000003</v>
      </c>
      <c r="N86" s="632">
        <f t="shared" si="465"/>
        <v>-4.0431972271601895</v>
      </c>
      <c r="O86" s="629">
        <f t="shared" si="466"/>
        <v>-3.776413253860166</v>
      </c>
      <c r="P86" s="633">
        <f t="shared" si="467"/>
        <v>-1.4049042371911795</v>
      </c>
      <c r="Q86" s="585">
        <f t="shared" si="520"/>
        <v>223.04598079053704</v>
      </c>
      <c r="R86" s="629">
        <f t="shared" si="79"/>
        <v>5.5325166860703252</v>
      </c>
      <c r="S86" s="634">
        <f t="shared" si="80"/>
        <v>-1.4049042371911795</v>
      </c>
      <c r="T86" s="635">
        <f t="shared" si="81"/>
        <v>-3.7772599761527808</v>
      </c>
      <c r="U86" s="629">
        <f t="shared" si="82"/>
        <v>4.0424062084606076</v>
      </c>
      <c r="V86" s="636">
        <f t="shared" si="114"/>
        <v>-1.4049042371911795</v>
      </c>
      <c r="W86" s="585">
        <f t="shared" si="645"/>
        <v>133.05798078880446</v>
      </c>
      <c r="X86" s="629">
        <f t="shared" si="83"/>
        <v>5.5325166860703252</v>
      </c>
      <c r="Y86" s="630">
        <f t="shared" si="644"/>
        <v>-1.4049042371911795</v>
      </c>
      <c r="Z86" s="632">
        <f t="shared" si="468"/>
        <v>-0.33535503371984055</v>
      </c>
      <c r="AA86" s="629">
        <f t="shared" si="469"/>
        <v>0.91072478927440081</v>
      </c>
      <c r="AB86" s="629">
        <f t="shared" si="470"/>
        <v>-0.24107542296937484</v>
      </c>
      <c r="AC86" s="636">
        <f t="shared" si="84"/>
        <v>1</v>
      </c>
      <c r="AD86" s="637">
        <f t="shared" si="115"/>
        <v>-0.33535503371984055</v>
      </c>
      <c r="AE86" s="629">
        <f t="shared" si="85"/>
        <v>0.91072478927440081</v>
      </c>
      <c r="AF86" s="633">
        <f t="shared" si="86"/>
        <v>-0.24107542296937484</v>
      </c>
      <c r="AG86" s="602">
        <f t="shared" si="87"/>
        <v>75.173448652721575</v>
      </c>
      <c r="AH86" s="603">
        <f t="shared" si="88"/>
        <v>109.59412880159503</v>
      </c>
      <c r="AI86" s="585">
        <f t="shared" si="89"/>
        <v>-76.049978620560296</v>
      </c>
      <c r="AJ86" s="586">
        <f t="shared" si="90"/>
        <v>-159.78484344572712</v>
      </c>
      <c r="AK86" s="635">
        <f t="shared" si="211"/>
        <v>0.89447161528646335</v>
      </c>
      <c r="AL86" s="629">
        <f t="shared" si="91"/>
        <v>-0.37656761662012617</v>
      </c>
      <c r="AM86" s="634">
        <f t="shared" si="92"/>
        <v>-0.24107542296937484</v>
      </c>
      <c r="AN86" s="581">
        <f t="shared" si="93"/>
        <v>-57.372969890885777</v>
      </c>
      <c r="AO86" s="582">
        <f t="shared" si="461"/>
        <v>26.559359093812379</v>
      </c>
      <c r="AP86" s="585">
        <f t="shared" si="95"/>
        <v>-22.830824236264132</v>
      </c>
      <c r="AQ86" s="586">
        <f t="shared" si="471"/>
        <v>0.4120524995342193</v>
      </c>
      <c r="AS86" s="52">
        <f t="shared" si="543"/>
        <v>-226.94201921119554</v>
      </c>
      <c r="AT86" s="72">
        <f t="shared" si="472"/>
        <v>-1.2472972794068302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5.2430000000000003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5.1429999999999998</v>
      </c>
      <c r="II86" s="734" cm="1">
        <f t="array" ref="II86">IFERROR(IF($IH86&lt;1,$IH86+LARGE((IF($M$9:$M$150="",0,$M$9:$M$150)-MOD(IF($M$9:$M$150="",0,$M$9:$M$150),1)),1),$IH86),"")</f>
        <v>5.1429999999999998</v>
      </c>
      <c r="IJ86" s="533">
        <f t="shared" si="542"/>
        <v>1613</v>
      </c>
      <c r="IK86" s="533">
        <f t="shared" si="517"/>
        <v>1313</v>
      </c>
      <c r="IL86" s="727">
        <f t="shared" si="647"/>
        <v>11.250998375556833</v>
      </c>
      <c r="IM86" s="759">
        <v>1.6502252938449299E-3</v>
      </c>
      <c r="IN86" s="5">
        <f t="shared" si="648"/>
        <v>0.02</v>
      </c>
      <c r="IO86" s="771">
        <v>10</v>
      </c>
      <c r="IP86" s="9">
        <f t="shared" si="649"/>
        <v>-5.4958165753827943</v>
      </c>
      <c r="IQ86" s="5">
        <f t="shared" si="650"/>
        <v>-1.4522043798484106</v>
      </c>
      <c r="IR86" s="5">
        <f t="shared" si="518"/>
        <v>0.314</v>
      </c>
      <c r="IS86" s="5">
        <f t="shared" si="651"/>
        <v>0.29933966601853074</v>
      </c>
      <c r="IT86" s="727">
        <f t="shared" si="652"/>
        <v>68.492697037887027</v>
      </c>
      <c r="IU86" s="9">
        <f t="shared" si="653"/>
        <v>-5.5325166860703252</v>
      </c>
      <c r="IV86" s="5">
        <f t="shared" si="654"/>
        <v>-1.4049042371911795</v>
      </c>
      <c r="IW86" s="5">
        <f t="shared" si="519"/>
        <v>0.26600000000000001</v>
      </c>
      <c r="IX86" s="5">
        <f t="shared" si="655"/>
        <v>0.23792944966619928</v>
      </c>
      <c r="IY86" s="762">
        <f t="shared" si="656"/>
        <v>57.372969890885777</v>
      </c>
    </row>
    <row r="87" spans="1:259" ht="15" customHeight="1" x14ac:dyDescent="0.25">
      <c r="A87" s="79"/>
      <c r="B87" s="707">
        <v>-4.2436173742057965</v>
      </c>
      <c r="C87" s="708">
        <v>-3.9188715893481243</v>
      </c>
      <c r="D87" s="709">
        <v>-2.1737065558989728</v>
      </c>
      <c r="E87" s="710">
        <v>0.28128121416416368</v>
      </c>
      <c r="F87" s="708">
        <v>-0.94564268338856639</v>
      </c>
      <c r="G87" s="711">
        <v>0.16322007815218614</v>
      </c>
      <c r="H87" s="710">
        <v>0.26600000000000001</v>
      </c>
      <c r="I87" s="708">
        <v>0.52</v>
      </c>
      <c r="J87" s="570">
        <v>5.25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5.25</v>
      </c>
      <c r="N87" s="632">
        <f t="shared" si="465"/>
        <v>-4.2436173742057965</v>
      </c>
      <c r="O87" s="629">
        <f t="shared" si="466"/>
        <v>-3.9188715893481243</v>
      </c>
      <c r="P87" s="633">
        <f t="shared" si="467"/>
        <v>-2.1737065558989728</v>
      </c>
      <c r="Q87" s="585">
        <f t="shared" si="520"/>
        <v>222.7216808373602</v>
      </c>
      <c r="R87" s="629">
        <f t="shared" si="79"/>
        <v>5.7763174213733439</v>
      </c>
      <c r="S87" s="634">
        <f t="shared" si="80"/>
        <v>-2.1737065558989728</v>
      </c>
      <c r="T87" s="635">
        <f t="shared" si="81"/>
        <v>-3.9197602844073525</v>
      </c>
      <c r="U87" s="629">
        <f t="shared" si="82"/>
        <v>4.2427965147110216</v>
      </c>
      <c r="V87" s="636">
        <f t="shared" si="114"/>
        <v>-2.1737065558989728</v>
      </c>
      <c r="W87" s="585">
        <f t="shared" si="645"/>
        <v>132.73368083562761</v>
      </c>
      <c r="X87" s="629">
        <f t="shared" si="83"/>
        <v>5.7763174213733439</v>
      </c>
      <c r="Y87" s="630">
        <f t="shared" si="644"/>
        <v>-2.1737065558989728</v>
      </c>
      <c r="Z87" s="632">
        <f t="shared" si="468"/>
        <v>-0.28128121416416368</v>
      </c>
      <c r="AA87" s="629">
        <f t="shared" si="469"/>
        <v>0.94564268338856639</v>
      </c>
      <c r="AB87" s="629">
        <f t="shared" si="470"/>
        <v>-0.16322007815218614</v>
      </c>
      <c r="AC87" s="636">
        <f t="shared" si="84"/>
        <v>1</v>
      </c>
      <c r="AD87" s="637">
        <f t="shared" si="115"/>
        <v>-0.28128121416416368</v>
      </c>
      <c r="AE87" s="629">
        <f t="shared" si="85"/>
        <v>0.94564268338856639</v>
      </c>
      <c r="AF87" s="633">
        <f t="shared" si="86"/>
        <v>-0.16322007815218614</v>
      </c>
      <c r="AG87" s="602">
        <f t="shared" si="87"/>
        <v>80.207105857650035</v>
      </c>
      <c r="AH87" s="603">
        <f t="shared" si="88"/>
        <v>106.33668645725307</v>
      </c>
      <c r="AI87" s="585">
        <f t="shared" si="89"/>
        <v>-80.60614922840476</v>
      </c>
      <c r="AJ87" s="586">
        <f t="shared" si="90"/>
        <v>-163.43490149120836</v>
      </c>
      <c r="AK87" s="635">
        <f t="shared" si="211"/>
        <v>0.88555567616424813</v>
      </c>
      <c r="AL87" s="629">
        <f t="shared" si="91"/>
        <v>-0.43491418751435984</v>
      </c>
      <c r="AM87" s="634">
        <f t="shared" si="92"/>
        <v>-0.16322007815218614</v>
      </c>
      <c r="AN87" s="581">
        <f t="shared" si="93"/>
        <v>-69.42925811141717</v>
      </c>
      <c r="AO87" s="582">
        <f t="shared" si="461"/>
        <v>27.680019257114459</v>
      </c>
      <c r="AP87" s="585">
        <f t="shared" si="95"/>
        <v>-26.156582328568543</v>
      </c>
      <c r="AQ87" s="586">
        <f t="shared" si="471"/>
        <v>0.39466158289105085</v>
      </c>
      <c r="AS87" s="52">
        <f t="shared" si="543"/>
        <v>-227.26631916437239</v>
      </c>
      <c r="AT87" s="72">
        <f t="shared" si="472"/>
        <v>-2.0158743898138063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5.25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5.15</v>
      </c>
      <c r="II87" s="734" cm="1">
        <f t="array" ref="II87">IFERROR(IF($IH87&lt;1,$IH87+LARGE((IF($M$9:$M$150="",0,$M$9:$M$150)-MOD(IF($M$9:$M$150="",0,$M$9:$M$150),1)),1),$IH87),"")</f>
        <v>5.15</v>
      </c>
      <c r="IJ87" s="533">
        <f t="shared" si="542"/>
        <v>1613</v>
      </c>
      <c r="IK87" s="533">
        <f t="shared" si="517"/>
        <v>1313</v>
      </c>
      <c r="IL87" s="727">
        <f t="shared" si="647"/>
        <v>11.173298386775315</v>
      </c>
      <c r="IM87" s="759">
        <v>1.1864397731111099E-3</v>
      </c>
      <c r="IN87" s="5">
        <f t="shared" si="648"/>
        <v>0</v>
      </c>
      <c r="IO87" s="771">
        <v>0</v>
      </c>
      <c r="IP87" s="9">
        <f t="shared" si="649"/>
        <v>-5.729917281430521</v>
      </c>
      <c r="IQ87" s="5">
        <f t="shared" si="650"/>
        <v>-2.2130066744281298</v>
      </c>
      <c r="IR87" s="5">
        <f t="shared" si="518"/>
        <v>0.314</v>
      </c>
      <c r="IS87" s="5">
        <f t="shared" si="651"/>
        <v>0.2973904105175692</v>
      </c>
      <c r="IT87" s="727">
        <f t="shared" si="652"/>
        <v>80.026838257156882</v>
      </c>
      <c r="IU87" s="9">
        <f t="shared" si="653"/>
        <v>-5.7763174213733439</v>
      </c>
      <c r="IV87" s="5">
        <f t="shared" si="654"/>
        <v>-2.1737065558989728</v>
      </c>
      <c r="IW87" s="5">
        <f t="shared" si="519"/>
        <v>0.26600000000000001</v>
      </c>
      <c r="IX87" s="5">
        <f t="shared" si="655"/>
        <v>0.23555780985969002</v>
      </c>
      <c r="IY87" s="762">
        <f t="shared" si="656"/>
        <v>69.42925811141717</v>
      </c>
    </row>
    <row r="88" spans="1:259" ht="15" customHeight="1" x14ac:dyDescent="0.25">
      <c r="A88" s="79"/>
      <c r="B88" s="707">
        <v>-4.4602949751953478</v>
      </c>
      <c r="C88" s="708">
        <v>-3.7956436250552312</v>
      </c>
      <c r="D88" s="709">
        <v>-3.0005090495352933</v>
      </c>
      <c r="E88" s="710">
        <v>-0.69707270601708216</v>
      </c>
      <c r="F88" s="708">
        <v>-0.59319863726087652</v>
      </c>
      <c r="G88" s="711">
        <v>0.40274684266653404</v>
      </c>
      <c r="H88" s="710">
        <v>0.25700000000000001</v>
      </c>
      <c r="I88" s="708">
        <v>0.41499999999999992</v>
      </c>
      <c r="J88" s="570">
        <v>5.2569999999999997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CPS-32193r1</v>
      </c>
      <c r="L88" s="320"/>
      <c r="M88" s="168">
        <f t="shared" si="464"/>
        <v>5.2569999999999997</v>
      </c>
      <c r="N88" s="632">
        <f t="shared" si="465"/>
        <v>-4.4602949751953478</v>
      </c>
      <c r="O88" s="629">
        <f t="shared" si="466"/>
        <v>-3.7956436250552312</v>
      </c>
      <c r="P88" s="633">
        <f t="shared" si="467"/>
        <v>-3.0005090495352933</v>
      </c>
      <c r="Q88" s="585">
        <f t="shared" si="520"/>
        <v>220.39728117296195</v>
      </c>
      <c r="R88" s="629">
        <f t="shared" si="79"/>
        <v>5.8567176638604739</v>
      </c>
      <c r="S88" s="634">
        <f t="shared" si="80"/>
        <v>-3.0005090495352933</v>
      </c>
      <c r="T88" s="635">
        <f t="shared" si="81"/>
        <v>-3.7965777036608959</v>
      </c>
      <c r="U88" s="629">
        <f t="shared" si="82"/>
        <v>4.4594999197488772</v>
      </c>
      <c r="V88" s="636">
        <f t="shared" si="114"/>
        <v>-3.0005090495352933</v>
      </c>
      <c r="W88" s="585">
        <f t="shared" si="645"/>
        <v>130.40928117122937</v>
      </c>
      <c r="X88" s="629">
        <f t="shared" si="83"/>
        <v>5.8567176638604739</v>
      </c>
      <c r="Y88" s="630">
        <f t="shared" si="644"/>
        <v>-3.0005090495352933</v>
      </c>
      <c r="Z88" s="632">
        <f t="shared" si="468"/>
        <v>0.69707270601708216</v>
      </c>
      <c r="AA88" s="629">
        <f t="shared" si="469"/>
        <v>0.59319863726087652</v>
      </c>
      <c r="AB88" s="629">
        <f t="shared" si="470"/>
        <v>-0.40274684266653404</v>
      </c>
      <c r="AC88" s="636">
        <f t="shared" si="84"/>
        <v>1</v>
      </c>
      <c r="AD88" s="637">
        <f t="shared" si="115"/>
        <v>0.69707270601708216</v>
      </c>
      <c r="AE88" s="629">
        <f t="shared" si="85"/>
        <v>0.59319863726087652</v>
      </c>
      <c r="AF88" s="633">
        <f t="shared" si="86"/>
        <v>-0.40274684266653404</v>
      </c>
      <c r="AG88" s="602">
        <f t="shared" si="87"/>
        <v>55.825811361747974</v>
      </c>
      <c r="AH88" s="603">
        <f t="shared" si="88"/>
        <v>45.807383929149111</v>
      </c>
      <c r="AI88" s="585">
        <f t="shared" si="89"/>
        <v>-66.2499904346855</v>
      </c>
      <c r="AJ88" s="586">
        <f t="shared" si="90"/>
        <v>130.39729536964981</v>
      </c>
      <c r="AK88" s="635">
        <f t="shared" si="211"/>
        <v>2.2679489702914779E-7</v>
      </c>
      <c r="AL88" s="629">
        <f t="shared" si="91"/>
        <v>-0.9153114118823642</v>
      </c>
      <c r="AM88" s="634">
        <f t="shared" si="92"/>
        <v>-0.40274684266653404</v>
      </c>
      <c r="AN88" s="581">
        <f t="shared" si="93"/>
        <v>-66.249990434684875</v>
      </c>
      <c r="AO88" s="582">
        <f t="shared" si="461"/>
        <v>0</v>
      </c>
      <c r="AP88" s="585">
        <f t="shared" si="95"/>
        <v>-89.999985803312143</v>
      </c>
      <c r="AQ88" s="586">
        <f t="shared" si="471"/>
        <v>0.38924388893904832</v>
      </c>
      <c r="AS88" s="52">
        <f t="shared" si="543"/>
        <v>-229.59071882877063</v>
      </c>
      <c r="AT88" s="72">
        <f t="shared" si="472"/>
        <v>-2.8410627170165168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>Gage</v>
      </c>
      <c r="IG88" s="847">
        <f t="shared" si="643"/>
        <v>5.2569999999999997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5.157</v>
      </c>
      <c r="II88" s="734" cm="1">
        <f t="array" ref="II88">IFERROR(IF($IH88&lt;1,$IH88+LARGE((IF($M$9:$M$150="",0,$M$9:$M$150)-MOD(IF($M$9:$M$150="",0,$M$9:$M$150),1)),1),$IH88),"")</f>
        <v>5.157</v>
      </c>
      <c r="IJ88" s="533">
        <f t="shared" si="542"/>
        <v>1613</v>
      </c>
      <c r="IK88" s="533" t="str">
        <f t="shared" si="517"/>
        <v>CPS-32193r1</v>
      </c>
      <c r="IL88" s="727">
        <f t="shared" si="647"/>
        <v>13.309698078317382</v>
      </c>
      <c r="IM88" s="759">
        <v>2.50595944348621E-4</v>
      </c>
      <c r="IN88" s="5">
        <f t="shared" si="648"/>
        <v>0</v>
      </c>
      <c r="IO88" s="771">
        <v>0</v>
      </c>
      <c r="IP88" s="9">
        <f t="shared" si="649"/>
        <v>-5.8376176062547014</v>
      </c>
      <c r="IQ88" s="5">
        <f t="shared" si="650"/>
        <v>-3.0056090649169396</v>
      </c>
      <c r="IR88" s="5">
        <f t="shared" si="518"/>
        <v>0.314</v>
      </c>
      <c r="IS88" s="5">
        <f t="shared" si="651"/>
        <v>0.27294149081339419</v>
      </c>
      <c r="IT88" s="727">
        <f t="shared" si="652"/>
        <v>87.045049920352355</v>
      </c>
      <c r="IU88" s="9">
        <f t="shared" si="653"/>
        <v>-5.8567176638604739</v>
      </c>
      <c r="IV88" s="5">
        <f t="shared" si="654"/>
        <v>-3.0005090495352933</v>
      </c>
      <c r="IW88" s="5">
        <f t="shared" si="519"/>
        <v>0.25700000000000001</v>
      </c>
      <c r="IX88" s="5">
        <f t="shared" si="655"/>
        <v>0.25700000000000001</v>
      </c>
      <c r="IY88" s="762">
        <f t="shared" si="656"/>
        <v>66.249990434684875</v>
      </c>
    </row>
    <row r="89" spans="1:259" ht="15" customHeight="1" x14ac:dyDescent="0.25">
      <c r="A89" s="79"/>
      <c r="B89" s="707">
        <v>-2.6650417036575975</v>
      </c>
      <c r="C89" s="708">
        <v>-0.46560286437538095</v>
      </c>
      <c r="D89" s="709">
        <v>-0.14580043973412585</v>
      </c>
      <c r="E89" s="710">
        <v>0.22109601650503657</v>
      </c>
      <c r="F89" s="708">
        <v>-0.91504439830171291</v>
      </c>
      <c r="G89" s="711">
        <v>0.33735782282653654</v>
      </c>
      <c r="H89" s="710">
        <v>0.314</v>
      </c>
      <c r="I89" s="708">
        <v>0.52</v>
      </c>
      <c r="J89" s="570">
        <v>6.1139999999999999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6.1139999999999999</v>
      </c>
      <c r="N89" s="632">
        <f t="shared" si="465"/>
        <v>-2.6650417036575975</v>
      </c>
      <c r="O89" s="629">
        <f t="shared" si="466"/>
        <v>-0.46560286437538095</v>
      </c>
      <c r="P89" s="633">
        <f t="shared" si="467"/>
        <v>-0.14580043973412585</v>
      </c>
      <c r="Q89" s="585">
        <f t="shared" si="520"/>
        <v>189.90998557478287</v>
      </c>
      <c r="R89" s="629">
        <f t="shared" si="79"/>
        <v>2.7054081595110095</v>
      </c>
      <c r="S89" s="634">
        <f t="shared" si="80"/>
        <v>-0.14580043973412585</v>
      </c>
      <c r="T89" s="635">
        <f t="shared" si="81"/>
        <v>-0.4661610191080825</v>
      </c>
      <c r="U89" s="629">
        <f t="shared" si="82"/>
        <v>2.6649441295856207</v>
      </c>
      <c r="V89" s="636">
        <f t="shared" si="114"/>
        <v>-0.14580043973412585</v>
      </c>
      <c r="W89" s="585">
        <f t="shared" si="645"/>
        <v>99.921985573050279</v>
      </c>
      <c r="X89" s="629">
        <f t="shared" si="83"/>
        <v>2.7054081595110095</v>
      </c>
      <c r="Y89" s="630">
        <f t="shared" si="644"/>
        <v>-0.14580043973412585</v>
      </c>
      <c r="Z89" s="632">
        <f t="shared" si="468"/>
        <v>-0.22109601650503657</v>
      </c>
      <c r="AA89" s="629">
        <f t="shared" si="469"/>
        <v>0.91504439830171291</v>
      </c>
      <c r="AB89" s="629">
        <f t="shared" si="470"/>
        <v>-0.33735782282653654</v>
      </c>
      <c r="AC89" s="636">
        <f t="shared" si="84"/>
        <v>1</v>
      </c>
      <c r="AD89" s="637">
        <f t="shared" si="115"/>
        <v>-0.22109601650503657</v>
      </c>
      <c r="AE89" s="629">
        <f t="shared" si="85"/>
        <v>0.91504439830171291</v>
      </c>
      <c r="AF89" s="633">
        <f t="shared" si="86"/>
        <v>-0.33735782282653654</v>
      </c>
      <c r="AG89" s="602">
        <f t="shared" si="87"/>
        <v>69.762119346800077</v>
      </c>
      <c r="AH89" s="603">
        <f t="shared" si="88"/>
        <v>102.77341546441778</v>
      </c>
      <c r="AI89" s="585">
        <f t="shared" si="89"/>
        <v>-70.284020122954232</v>
      </c>
      <c r="AJ89" s="586">
        <f t="shared" si="90"/>
        <v>-166.41635824866532</v>
      </c>
      <c r="AK89" s="635">
        <f t="shared" si="211"/>
        <v>0.93944213623516526</v>
      </c>
      <c r="AL89" s="629">
        <f t="shared" si="91"/>
        <v>6.0317261572856468E-2</v>
      </c>
      <c r="AM89" s="634">
        <f t="shared" si="92"/>
        <v>-0.33735782282653654</v>
      </c>
      <c r="AN89" s="581">
        <f t="shared" si="93"/>
        <v>10.136981282530328</v>
      </c>
      <c r="AO89" s="582">
        <f t="shared" si="461"/>
        <v>20.041919457474275</v>
      </c>
      <c r="AP89" s="585">
        <f t="shared" si="95"/>
        <v>3.6736561765518334</v>
      </c>
      <c r="AQ89" s="586">
        <f t="shared" si="471"/>
        <v>0.84259459249034274</v>
      </c>
      <c r="AS89" s="52">
        <f t="shared" si="543"/>
        <v>-260.07801442694972</v>
      </c>
      <c r="AT89" s="72">
        <f t="shared" si="472"/>
        <v>3.4817625838941602E-2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6.1139999999999999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-3.4581094700363368</v>
      </c>
      <c r="C90" s="708">
        <v>-0.56219674797872532</v>
      </c>
      <c r="D90" s="709">
        <v>-8.9500269932813944E-2</v>
      </c>
      <c r="E90" s="710">
        <v>7.3489666402068318E-2</v>
      </c>
      <c r="F90" s="708">
        <v>-0.96434817711772636</v>
      </c>
      <c r="G90" s="711">
        <v>0.25422797293341082</v>
      </c>
      <c r="H90" s="710">
        <v>0.314</v>
      </c>
      <c r="I90" s="708">
        <v>0.52</v>
      </c>
      <c r="J90" s="570">
        <v>6.1210000000000004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6.1210000000000004</v>
      </c>
      <c r="N90" s="632">
        <f t="shared" si="465"/>
        <v>-3.4581094700363368</v>
      </c>
      <c r="O90" s="629">
        <f t="shared" si="466"/>
        <v>-0.56219674797872532</v>
      </c>
      <c r="P90" s="633">
        <f t="shared" si="467"/>
        <v>-8.9500269932813944E-2</v>
      </c>
      <c r="Q90" s="585">
        <f t="shared" si="520"/>
        <v>189.23398567238516</v>
      </c>
      <c r="R90" s="629">
        <f t="shared" si="79"/>
        <v>3.503510566587869</v>
      </c>
      <c r="S90" s="634">
        <f t="shared" si="80"/>
        <v>-8.9500269932813944E-2</v>
      </c>
      <c r="T90" s="635">
        <f t="shared" si="81"/>
        <v>-0.56292100029226699</v>
      </c>
      <c r="U90" s="629">
        <f t="shared" si="82"/>
        <v>3.4579916479978383</v>
      </c>
      <c r="V90" s="636">
        <f t="shared" si="114"/>
        <v>-8.9500269932813944E-2</v>
      </c>
      <c r="W90" s="585">
        <f t="shared" si="645"/>
        <v>99.245985670652573</v>
      </c>
      <c r="X90" s="629">
        <f t="shared" si="83"/>
        <v>3.503510566587869</v>
      </c>
      <c r="Y90" s="630">
        <f t="shared" si="644"/>
        <v>-8.9500269932813944E-2</v>
      </c>
      <c r="Z90" s="632">
        <f t="shared" si="468"/>
        <v>-7.3489666402068318E-2</v>
      </c>
      <c r="AA90" s="629">
        <f t="shared" si="469"/>
        <v>0.96434817711772636</v>
      </c>
      <c r="AB90" s="629">
        <f t="shared" si="470"/>
        <v>-0.25422797293341082</v>
      </c>
      <c r="AC90" s="636">
        <f t="shared" si="84"/>
        <v>1</v>
      </c>
      <c r="AD90" s="637">
        <f t="shared" si="115"/>
        <v>-7.3489666402068318E-2</v>
      </c>
      <c r="AE90" s="629">
        <f t="shared" si="85"/>
        <v>0.96434817711772636</v>
      </c>
      <c r="AF90" s="633">
        <f t="shared" si="86"/>
        <v>-0.25422797293341082</v>
      </c>
      <c r="AG90" s="602">
        <f t="shared" si="87"/>
        <v>75.231316654747431</v>
      </c>
      <c r="AH90" s="603">
        <f t="shared" si="88"/>
        <v>94.21444705955895</v>
      </c>
      <c r="AI90" s="585">
        <f t="shared" si="89"/>
        <v>-75.272156253095503</v>
      </c>
      <c r="AJ90" s="586">
        <f t="shared" si="90"/>
        <v>-175.64210823711898</v>
      </c>
      <c r="AK90" s="635">
        <f t="shared" si="211"/>
        <v>0.96364407955887876</v>
      </c>
      <c r="AL90" s="629">
        <f t="shared" si="91"/>
        <v>-8.2208428456518226E-2</v>
      </c>
      <c r="AM90" s="634">
        <f t="shared" si="92"/>
        <v>-0.25422797293341082</v>
      </c>
      <c r="AN90" s="581">
        <f t="shared" si="93"/>
        <v>-17.919391834797697</v>
      </c>
      <c r="AO90" s="582">
        <f t="shared" si="461"/>
        <v>15.497078248422262</v>
      </c>
      <c r="AP90" s="585">
        <f t="shared" si="95"/>
        <v>-4.87609390950416</v>
      </c>
      <c r="AQ90" s="586">
        <f t="shared" si="471"/>
        <v>0.65066983106913767</v>
      </c>
      <c r="AS90" s="52">
        <f t="shared" si="543"/>
        <v>-260.75401432934746</v>
      </c>
      <c r="AT90" s="72">
        <f t="shared" si="472"/>
        <v>9.1587240016918606E-2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6.1210000000000004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-4.2345814598553444</v>
      </c>
      <c r="C91" s="708">
        <v>-0.61224851544293335</v>
      </c>
      <c r="D91" s="709">
        <v>-0.28830086951542222</v>
      </c>
      <c r="E91" s="710">
        <v>-2.5318028100397846E-2</v>
      </c>
      <c r="F91" s="708">
        <v>-0.97403333923137003</v>
      </c>
      <c r="G91" s="711">
        <v>0.22498455840100309</v>
      </c>
      <c r="H91" s="710">
        <v>0.314</v>
      </c>
      <c r="I91" s="708">
        <v>0.52</v>
      </c>
      <c r="J91" s="570">
        <v>6.1280000000000001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6.1280000000000001</v>
      </c>
      <c r="N91" s="632">
        <f t="shared" si="465"/>
        <v>-4.2345814598553444</v>
      </c>
      <c r="O91" s="629">
        <f t="shared" si="466"/>
        <v>-0.61224851544293335</v>
      </c>
      <c r="P91" s="633">
        <f t="shared" si="467"/>
        <v>-0.28830086951542222</v>
      </c>
      <c r="Q91" s="585">
        <f t="shared" si="520"/>
        <v>188.22698581777794</v>
      </c>
      <c r="R91" s="629">
        <f t="shared" si="79"/>
        <v>4.2786129042965193</v>
      </c>
      <c r="S91" s="634">
        <f t="shared" si="80"/>
        <v>-0.28830086951542222</v>
      </c>
      <c r="T91" s="635">
        <f t="shared" si="81"/>
        <v>-0.61313539054731026</v>
      </c>
      <c r="U91" s="629">
        <f t="shared" si="82"/>
        <v>4.2344531379708394</v>
      </c>
      <c r="V91" s="636">
        <f t="shared" si="114"/>
        <v>-0.28830086951542222</v>
      </c>
      <c r="W91" s="585">
        <f t="shared" si="645"/>
        <v>98.238985816045357</v>
      </c>
      <c r="X91" s="629">
        <f t="shared" si="83"/>
        <v>4.2786129042965193</v>
      </c>
      <c r="Y91" s="630">
        <f t="shared" si="644"/>
        <v>-0.28830086951542222</v>
      </c>
      <c r="Z91" s="632">
        <f t="shared" si="468"/>
        <v>2.5318028100397846E-2</v>
      </c>
      <c r="AA91" s="629">
        <f t="shared" si="469"/>
        <v>0.97403333923137003</v>
      </c>
      <c r="AB91" s="629">
        <f t="shared" si="470"/>
        <v>-0.22498455840100309</v>
      </c>
      <c r="AC91" s="636">
        <f t="shared" si="84"/>
        <v>1</v>
      </c>
      <c r="AD91" s="637">
        <f t="shared" si="115"/>
        <v>2.5318028100397846E-2</v>
      </c>
      <c r="AE91" s="629">
        <f t="shared" si="85"/>
        <v>0.97403333923137003</v>
      </c>
      <c r="AF91" s="633">
        <f t="shared" si="86"/>
        <v>-0.22498455840100309</v>
      </c>
      <c r="AG91" s="602">
        <f t="shared" si="87"/>
        <v>76.993787597652343</v>
      </c>
      <c r="AH91" s="603">
        <f t="shared" si="88"/>
        <v>88.549228824758799</v>
      </c>
      <c r="AI91" s="585">
        <f t="shared" si="89"/>
        <v>-76.998029856663379</v>
      </c>
      <c r="AJ91" s="586">
        <f t="shared" si="90"/>
        <v>178.51104727729083</v>
      </c>
      <c r="AK91" s="635">
        <f t="shared" si="211"/>
        <v>0.96038662210956738</v>
      </c>
      <c r="AL91" s="629">
        <f t="shared" si="91"/>
        <v>-0.16443687102982929</v>
      </c>
      <c r="AM91" s="634">
        <f t="shared" si="92"/>
        <v>-0.22498455840100309</v>
      </c>
      <c r="AN91" s="581">
        <f t="shared" si="93"/>
        <v>-36.16234851059891</v>
      </c>
      <c r="AO91" s="582">
        <f t="shared" si="461"/>
        <v>16.180902897733343</v>
      </c>
      <c r="AP91" s="585">
        <f t="shared" si="95"/>
        <v>-9.7159385404871355</v>
      </c>
      <c r="AQ91" s="586">
        <f t="shared" si="471"/>
        <v>0.53280373093912281</v>
      </c>
      <c r="AS91" s="52">
        <f t="shared" si="543"/>
        <v>-261.76101418395467</v>
      </c>
      <c r="AT91" s="72">
        <f t="shared" si="472"/>
        <v>-0.10651405411110132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6.1280000000000001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-4.9120848941690642</v>
      </c>
      <c r="C92" s="708">
        <v>-0.62045230914295124</v>
      </c>
      <c r="D92" s="709">
        <v>-0.72180217695536597</v>
      </c>
      <c r="E92" s="710">
        <v>-0.10868250739187879</v>
      </c>
      <c r="F92" s="708">
        <v>-0.97808398595456891</v>
      </c>
      <c r="G92" s="711">
        <v>0.17759456356047898</v>
      </c>
      <c r="H92" s="710">
        <v>0.314</v>
      </c>
      <c r="I92" s="708">
        <v>0.52</v>
      </c>
      <c r="J92" s="570">
        <v>6.1349999999999998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6.1349999999999998</v>
      </c>
      <c r="N92" s="632">
        <f t="shared" si="465"/>
        <v>-4.9120848941690642</v>
      </c>
      <c r="O92" s="629">
        <f t="shared" si="466"/>
        <v>-0.62045230914295124</v>
      </c>
      <c r="P92" s="633">
        <f t="shared" si="467"/>
        <v>-0.72180217695536597</v>
      </c>
      <c r="Q92" s="585">
        <f t="shared" si="520"/>
        <v>187.19898596620277</v>
      </c>
      <c r="R92" s="629">
        <f t="shared" si="79"/>
        <v>4.9511149325626373</v>
      </c>
      <c r="S92" s="634">
        <f t="shared" si="80"/>
        <v>-0.72180217695536597</v>
      </c>
      <c r="T92" s="635">
        <f t="shared" si="81"/>
        <v>-0.62148108003334368</v>
      </c>
      <c r="U92" s="629">
        <f t="shared" si="82"/>
        <v>4.9119548392269765</v>
      </c>
      <c r="V92" s="636">
        <f t="shared" si="114"/>
        <v>-0.72180217695536597</v>
      </c>
      <c r="W92" s="585">
        <f t="shared" si="645"/>
        <v>97.210985964470183</v>
      </c>
      <c r="X92" s="629">
        <f t="shared" si="83"/>
        <v>4.9511149325626373</v>
      </c>
      <c r="Y92" s="630">
        <f t="shared" si="644"/>
        <v>-0.72180217695536597</v>
      </c>
      <c r="Z92" s="632">
        <f t="shared" si="468"/>
        <v>0.10868250739187879</v>
      </c>
      <c r="AA92" s="629">
        <f t="shared" si="469"/>
        <v>0.97808398595456891</v>
      </c>
      <c r="AB92" s="629">
        <f t="shared" si="470"/>
        <v>-0.17759456356047898</v>
      </c>
      <c r="AC92" s="636">
        <f t="shared" si="84"/>
        <v>1</v>
      </c>
      <c r="AD92" s="637">
        <f t="shared" si="115"/>
        <v>0.10868250739187879</v>
      </c>
      <c r="AE92" s="629">
        <f t="shared" si="85"/>
        <v>0.97808398595456891</v>
      </c>
      <c r="AF92" s="633">
        <f t="shared" si="86"/>
        <v>-0.17759456356047898</v>
      </c>
      <c r="AG92" s="602">
        <f t="shared" si="87"/>
        <v>79.708700296982045</v>
      </c>
      <c r="AH92" s="603">
        <f t="shared" si="88"/>
        <v>83.760626530625103</v>
      </c>
      <c r="AI92" s="585">
        <f t="shared" si="89"/>
        <v>-79.770318824340848</v>
      </c>
      <c r="AJ92" s="586">
        <f t="shared" si="90"/>
        <v>173.65943161236146</v>
      </c>
      <c r="AK92" s="635">
        <f t="shared" si="211"/>
        <v>0.95675404923584639</v>
      </c>
      <c r="AL92" s="629">
        <f t="shared" si="91"/>
        <v>-0.23039500920066552</v>
      </c>
      <c r="AM92" s="634">
        <f t="shared" si="92"/>
        <v>-0.17759456356047898</v>
      </c>
      <c r="AN92" s="581">
        <f t="shared" si="93"/>
        <v>-52.374014295403001</v>
      </c>
      <c r="AO92" s="582">
        <f t="shared" si="461"/>
        <v>16.911730029028412</v>
      </c>
      <c r="AP92" s="585">
        <f t="shared" si="95"/>
        <v>-13.539554353841323</v>
      </c>
      <c r="AQ92" s="586">
        <f t="shared" si="471"/>
        <v>0.46043721225547002</v>
      </c>
      <c r="AS92" s="52">
        <f t="shared" si="543"/>
        <v>-262.78901403552982</v>
      </c>
      <c r="AT92" s="73">
        <f t="shared" si="472"/>
        <v>-0.539301472765229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6.1349999999999998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-5.4117701016017374</v>
      </c>
      <c r="C93" s="708">
        <v>-0.60530445888931117</v>
      </c>
      <c r="D93" s="709">
        <v>-1.3494040698026741</v>
      </c>
      <c r="E93" s="710">
        <v>-0.16851233949910308</v>
      </c>
      <c r="F93" s="708">
        <v>-0.9784429640399912</v>
      </c>
      <c r="G93" s="711">
        <v>0.11938575106425267</v>
      </c>
      <c r="H93" s="710">
        <v>0.314</v>
      </c>
      <c r="I93" s="708">
        <v>0.52</v>
      </c>
      <c r="J93" s="570">
        <v>6.1420000000000003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6.1420000000000003</v>
      </c>
      <c r="N93" s="632">
        <f t="shared" si="465"/>
        <v>-5.4117701016017374</v>
      </c>
      <c r="O93" s="629">
        <f t="shared" si="466"/>
        <v>-0.60530445888931117</v>
      </c>
      <c r="P93" s="633">
        <f t="shared" si="467"/>
        <v>-1.3494040698026741</v>
      </c>
      <c r="Q93" s="585">
        <f t="shared" si="520"/>
        <v>186.38198608416295</v>
      </c>
      <c r="R93" s="629">
        <f t="shared" si="79"/>
        <v>5.4455164236775344</v>
      </c>
      <c r="S93" s="634">
        <f t="shared" si="80"/>
        <v>-1.3494040698026741</v>
      </c>
      <c r="T93" s="635">
        <f t="shared" si="81"/>
        <v>-0.60643788392117659</v>
      </c>
      <c r="U93" s="629">
        <f t="shared" si="82"/>
        <v>5.4116432082581873</v>
      </c>
      <c r="V93" s="636">
        <f t="shared" si="114"/>
        <v>-1.3494040698026741</v>
      </c>
      <c r="W93" s="585">
        <f t="shared" si="645"/>
        <v>96.393986082430359</v>
      </c>
      <c r="X93" s="629">
        <f t="shared" si="83"/>
        <v>5.4455164236775344</v>
      </c>
      <c r="Y93" s="630">
        <f t="shared" si="644"/>
        <v>-1.3494040698026741</v>
      </c>
      <c r="Z93" s="632">
        <f t="shared" si="468"/>
        <v>0.16851233949910308</v>
      </c>
      <c r="AA93" s="629">
        <f t="shared" si="469"/>
        <v>0.9784429640399912</v>
      </c>
      <c r="AB93" s="629">
        <f t="shared" si="470"/>
        <v>-0.11938575106425267</v>
      </c>
      <c r="AC93" s="636">
        <f t="shared" si="84"/>
        <v>1</v>
      </c>
      <c r="AD93" s="637">
        <f t="shared" si="115"/>
        <v>0.16851233949910308</v>
      </c>
      <c r="AE93" s="629">
        <f t="shared" si="85"/>
        <v>0.9784429640399912</v>
      </c>
      <c r="AF93" s="633">
        <f t="shared" si="86"/>
        <v>-0.11938575106425267</v>
      </c>
      <c r="AG93" s="602">
        <f t="shared" si="87"/>
        <v>83.04338216610131</v>
      </c>
      <c r="AH93" s="603">
        <f t="shared" si="88"/>
        <v>80.298665410052706</v>
      </c>
      <c r="AI93" s="585">
        <f t="shared" si="89"/>
        <v>-83.143346134815644</v>
      </c>
      <c r="AJ93" s="586">
        <f t="shared" si="90"/>
        <v>170.22809807675486</v>
      </c>
      <c r="AK93" s="635">
        <f t="shared" si="211"/>
        <v>0.95364823175585212</v>
      </c>
      <c r="AL93" s="629">
        <f t="shared" si="91"/>
        <v>-0.27622833401329638</v>
      </c>
      <c r="AM93" s="634">
        <f t="shared" si="92"/>
        <v>-0.11938575106425267</v>
      </c>
      <c r="AN93" s="581">
        <f t="shared" si="93"/>
        <v>-66.626022864283598</v>
      </c>
      <c r="AO93" s="582">
        <f t="shared" si="461"/>
        <v>17.513088814539014</v>
      </c>
      <c r="AP93" s="585">
        <f t="shared" si="95"/>
        <v>-16.153888007408082</v>
      </c>
      <c r="AQ93" s="586">
        <f t="shared" si="471"/>
        <v>0.41863542151232819</v>
      </c>
      <c r="AS93" s="52">
        <f t="shared" si="543"/>
        <v>-263.60601391756961</v>
      </c>
      <c r="AT93" s="73">
        <f t="shared" si="472"/>
        <v>-1.1663360045833429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6.1420000000000003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-5.6751131917174522</v>
      </c>
      <c r="C94" s="708">
        <v>-0.59016872495777406</v>
      </c>
      <c r="D94" s="709">
        <v>-2.1012063372383127</v>
      </c>
      <c r="E94" s="710">
        <v>-0.20080865492458047</v>
      </c>
      <c r="F94" s="708">
        <v>-0.97788392002440827</v>
      </c>
      <c r="G94" s="711">
        <v>5.8471557744579239E-2</v>
      </c>
      <c r="H94" s="710">
        <v>0.314</v>
      </c>
      <c r="I94" s="708">
        <v>0.52</v>
      </c>
      <c r="J94" s="570">
        <v>6.149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6.149</v>
      </c>
      <c r="N94" s="632">
        <f t="shared" si="465"/>
        <v>-5.6751131917174522</v>
      </c>
      <c r="O94" s="629">
        <f t="shared" si="466"/>
        <v>-0.59016872495777406</v>
      </c>
      <c r="P94" s="633">
        <f t="shared" si="467"/>
        <v>-2.1012063372383127</v>
      </c>
      <c r="Q94" s="585">
        <f t="shared" si="520"/>
        <v>185.93698614841298</v>
      </c>
      <c r="R94" s="629">
        <f t="shared" si="79"/>
        <v>5.7057172084431018</v>
      </c>
      <c r="S94" s="634">
        <f t="shared" si="80"/>
        <v>-2.1012063372383127</v>
      </c>
      <c r="T94" s="635">
        <f t="shared" si="81"/>
        <v>-0.59135730476105408</v>
      </c>
      <c r="U94" s="629">
        <f t="shared" si="82"/>
        <v>5.6749894626183659</v>
      </c>
      <c r="V94" s="636">
        <f t="shared" si="114"/>
        <v>-2.1012063372383127</v>
      </c>
      <c r="W94" s="585">
        <f t="shared" si="645"/>
        <v>95.948986146680397</v>
      </c>
      <c r="X94" s="629">
        <f t="shared" si="83"/>
        <v>5.7057172084431018</v>
      </c>
      <c r="Y94" s="630">
        <f t="shared" si="644"/>
        <v>-2.1012063372383127</v>
      </c>
      <c r="Z94" s="632">
        <f t="shared" si="468"/>
        <v>0.20080865492458047</v>
      </c>
      <c r="AA94" s="629">
        <f t="shared" si="469"/>
        <v>0.97788392002440827</v>
      </c>
      <c r="AB94" s="629">
        <f t="shared" si="470"/>
        <v>-5.8471557744579239E-2</v>
      </c>
      <c r="AC94" s="636">
        <f t="shared" si="84"/>
        <v>1</v>
      </c>
      <c r="AD94" s="637">
        <f t="shared" si="115"/>
        <v>0.20080865492458047</v>
      </c>
      <c r="AE94" s="629">
        <f t="shared" si="85"/>
        <v>0.97788392002440827</v>
      </c>
      <c r="AF94" s="633">
        <f t="shared" si="86"/>
        <v>-5.8471557744579239E-2</v>
      </c>
      <c r="AG94" s="602">
        <f t="shared" si="87"/>
        <v>86.578132322871127</v>
      </c>
      <c r="AH94" s="603">
        <f t="shared" si="88"/>
        <v>78.415749053499951</v>
      </c>
      <c r="AI94" s="585">
        <f t="shared" si="89"/>
        <v>-86.647914579103045</v>
      </c>
      <c r="AJ94" s="586">
        <f t="shared" si="90"/>
        <v>168.39561954772907</v>
      </c>
      <c r="AK94" s="635">
        <f t="shared" si="211"/>
        <v>0.95186823115328056</v>
      </c>
      <c r="AL94" s="629">
        <f t="shared" si="91"/>
        <v>-0.30087862578795377</v>
      </c>
      <c r="AM94" s="634">
        <f t="shared" si="92"/>
        <v>-5.8471557744579239E-2</v>
      </c>
      <c r="AN94" s="581">
        <f t="shared" si="93"/>
        <v>-79.002444642607799</v>
      </c>
      <c r="AO94" s="582">
        <f t="shared" si="461"/>
        <v>17.848883980497487</v>
      </c>
      <c r="AP94" s="585">
        <f t="shared" si="95"/>
        <v>-17.541366600683929</v>
      </c>
      <c r="AQ94" s="586">
        <f t="shared" si="471"/>
        <v>0.3995448066843314</v>
      </c>
      <c r="AS94" s="52">
        <f t="shared" si="543"/>
        <v>-264.0510138533196</v>
      </c>
      <c r="AT94" s="73">
        <f t="shared" si="472"/>
        <v>-1.9178292442858218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6.149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-5.7972365580378407</v>
      </c>
      <c r="C95" s="708">
        <v>-0.58139895250228124</v>
      </c>
      <c r="D95" s="709">
        <v>-2.8917087213935049</v>
      </c>
      <c r="E95" s="710">
        <v>-0.35904670960502344</v>
      </c>
      <c r="F95" s="708">
        <v>-0.93280018822804944</v>
      </c>
      <c r="G95" s="711">
        <v>3.1133087921402555E-2</v>
      </c>
      <c r="H95" s="710">
        <v>0.314</v>
      </c>
      <c r="I95" s="708">
        <v>0.52</v>
      </c>
      <c r="J95" s="570">
        <v>6.1559999999999997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6.1559999999999997</v>
      </c>
      <c r="N95" s="632">
        <f t="shared" si="465"/>
        <v>-5.7972365580378407</v>
      </c>
      <c r="O95" s="629">
        <f t="shared" si="466"/>
        <v>-0.58139895250228124</v>
      </c>
      <c r="P95" s="633">
        <f t="shared" si="467"/>
        <v>-2.8917087213935049</v>
      </c>
      <c r="Q95" s="585">
        <f t="shared" si="520"/>
        <v>185.72698617873323</v>
      </c>
      <c r="R95" s="629">
        <f t="shared" si="79"/>
        <v>5.8263175721737985</v>
      </c>
      <c r="S95" s="634">
        <f t="shared" si="80"/>
        <v>-2.8917087213935049</v>
      </c>
      <c r="T95" s="635">
        <f t="shared" si="81"/>
        <v>-0.58261310995205451</v>
      </c>
      <c r="U95" s="629">
        <f t="shared" si="82"/>
        <v>5.7971146629968588</v>
      </c>
      <c r="V95" s="636">
        <f t="shared" si="114"/>
        <v>-2.8917087213935049</v>
      </c>
      <c r="W95" s="585">
        <f t="shared" si="645"/>
        <v>95.738986177000641</v>
      </c>
      <c r="X95" s="629">
        <f t="shared" si="83"/>
        <v>5.8263175721737985</v>
      </c>
      <c r="Y95" s="630">
        <f t="shared" si="644"/>
        <v>-2.8917087213935049</v>
      </c>
      <c r="Z95" s="632">
        <f t="shared" si="468"/>
        <v>0.35904670960502344</v>
      </c>
      <c r="AA95" s="629">
        <f t="shared" si="469"/>
        <v>0.93280018822804944</v>
      </c>
      <c r="AB95" s="629">
        <f t="shared" si="470"/>
        <v>-3.1133087921402555E-2</v>
      </c>
      <c r="AC95" s="636">
        <f t="shared" si="84"/>
        <v>1</v>
      </c>
      <c r="AD95" s="637">
        <f t="shared" si="115"/>
        <v>0.35904670960502344</v>
      </c>
      <c r="AE95" s="629">
        <f t="shared" si="85"/>
        <v>0.93280018822804944</v>
      </c>
      <c r="AF95" s="633">
        <f t="shared" si="86"/>
        <v>-3.1133087921402555E-2</v>
      </c>
      <c r="AG95" s="602">
        <f t="shared" si="87"/>
        <v>88.088408802758607</v>
      </c>
      <c r="AH95" s="603">
        <f t="shared" si="88"/>
        <v>68.958337260023853</v>
      </c>
      <c r="AI95" s="585">
        <f t="shared" si="89"/>
        <v>-88.215917170292585</v>
      </c>
      <c r="AJ95" s="586">
        <f t="shared" si="90"/>
        <v>158.94764698096299</v>
      </c>
      <c r="AK95" s="635">
        <f t="shared" si="211"/>
        <v>0.89231558480544038</v>
      </c>
      <c r="AL95" s="629">
        <f t="shared" si="91"/>
        <v>-0.45033723802257747</v>
      </c>
      <c r="AM95" s="634">
        <f t="shared" si="92"/>
        <v>-3.1133087921402555E-2</v>
      </c>
      <c r="AN95" s="581">
        <f t="shared" si="93"/>
        <v>-86.045272919053645</v>
      </c>
      <c r="AO95" s="582">
        <f t="shared" si="461"/>
        <v>26.834319903559951</v>
      </c>
      <c r="AP95" s="585">
        <f t="shared" si="95"/>
        <v>-26.779339197770248</v>
      </c>
      <c r="AQ95" s="586">
        <f t="shared" si="471"/>
        <v>0.39127479144801847</v>
      </c>
      <c r="AS95" s="52">
        <f t="shared" si="543"/>
        <v>-264.26101382299936</v>
      </c>
      <c r="AT95" s="73">
        <f t="shared" si="472"/>
        <v>-2.7081857951287365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6.1559999999999997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-5.8845510741958922</v>
      </c>
      <c r="C96" s="708">
        <v>-0.57439165272175208</v>
      </c>
      <c r="D96" s="709">
        <v>-3.6476110011947798</v>
      </c>
      <c r="E96" s="710">
        <v>-0.56532708883299698</v>
      </c>
      <c r="F96" s="708">
        <v>-0.824866827210058</v>
      </c>
      <c r="G96" s="711">
        <v>1.4578093219790013E-7</v>
      </c>
      <c r="H96" s="710">
        <v>0.314</v>
      </c>
      <c r="I96" s="708">
        <v>0.52</v>
      </c>
      <c r="J96" s="570">
        <v>6.1630000000000003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6.1630000000000003</v>
      </c>
      <c r="N96" s="632">
        <f t="shared" si="465"/>
        <v>-5.8845510741958922</v>
      </c>
      <c r="O96" s="629">
        <f t="shared" si="466"/>
        <v>-0.57439165272175208</v>
      </c>
      <c r="P96" s="633">
        <f t="shared" si="467"/>
        <v>-3.6476110011947798</v>
      </c>
      <c r="Q96" s="585">
        <f t="shared" si="520"/>
        <v>185.57498620067932</v>
      </c>
      <c r="R96" s="629">
        <f t="shared" si="79"/>
        <v>5.9125178321537817</v>
      </c>
      <c r="S96" s="634">
        <f t="shared" si="80"/>
        <v>-3.6476110011947798</v>
      </c>
      <c r="T96" s="635">
        <f t="shared" si="81"/>
        <v>-0.57562409743193943</v>
      </c>
      <c r="U96" s="629">
        <f t="shared" si="82"/>
        <v>5.8844306448451</v>
      </c>
      <c r="V96" s="636">
        <f t="shared" si="114"/>
        <v>-3.6476110011947798</v>
      </c>
      <c r="W96" s="585">
        <f t="shared" si="645"/>
        <v>95.586986198946732</v>
      </c>
      <c r="X96" s="629">
        <f t="shared" si="83"/>
        <v>5.9125178321537817</v>
      </c>
      <c r="Y96" s="630">
        <f t="shared" si="644"/>
        <v>-3.6476110011947798</v>
      </c>
      <c r="Z96" s="632">
        <f t="shared" si="468"/>
        <v>0.56532708883299698</v>
      </c>
      <c r="AA96" s="629">
        <f t="shared" si="469"/>
        <v>0.824866827210058</v>
      </c>
      <c r="AB96" s="629">
        <f t="shared" si="470"/>
        <v>-1.4578093219790013E-7</v>
      </c>
      <c r="AC96" s="636">
        <f t="shared" si="84"/>
        <v>1</v>
      </c>
      <c r="AD96" s="637">
        <f t="shared" si="115"/>
        <v>0.56532708883299698</v>
      </c>
      <c r="AE96" s="629">
        <f t="shared" si="85"/>
        <v>0.824866827210058</v>
      </c>
      <c r="AF96" s="633">
        <f t="shared" si="86"/>
        <v>-1.4578093219790013E-7</v>
      </c>
      <c r="AG96" s="602">
        <f t="shared" si="87"/>
        <v>89.999989873962832</v>
      </c>
      <c r="AH96" s="603">
        <f t="shared" si="88"/>
        <v>55.574991975965062</v>
      </c>
      <c r="AI96" s="585">
        <f t="shared" si="89"/>
        <v>-89.99999164736785</v>
      </c>
      <c r="AJ96" s="586">
        <f t="shared" si="90"/>
        <v>145.57499197596465</v>
      </c>
      <c r="AK96" s="635">
        <f t="shared" si="211"/>
        <v>0.76604450791050727</v>
      </c>
      <c r="AL96" s="629">
        <f t="shared" si="91"/>
        <v>-0.64278753247097731</v>
      </c>
      <c r="AM96" s="634">
        <f t="shared" si="92"/>
        <v>-1.4578093219790013E-7</v>
      </c>
      <c r="AN96" s="581">
        <f t="shared" si="93"/>
        <v>-89.999987005609597</v>
      </c>
      <c r="AO96" s="582">
        <f t="shared" si="461"/>
        <v>39.99999422471538</v>
      </c>
      <c r="AP96" s="585">
        <f t="shared" si="95"/>
        <v>-39.999994224714662</v>
      </c>
      <c r="AQ96" s="586">
        <f t="shared" si="471"/>
        <v>0.38557045973782406</v>
      </c>
      <c r="AS96" s="52">
        <f t="shared" si="543"/>
        <v>-264.41301380105324</v>
      </c>
      <c r="AT96" s="73">
        <f t="shared" si="472"/>
        <v>-3.4639825193896958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6.1630000000000003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-3.4796067024951749</v>
      </c>
      <c r="C97" s="708">
        <v>0.4359559790716997</v>
      </c>
      <c r="D97" s="709">
        <v>-3.1500095004286535E-2</v>
      </c>
      <c r="E97" s="710">
        <v>-0.20252000699368392</v>
      </c>
      <c r="F97" s="708">
        <v>-0.88586224461908114</v>
      </c>
      <c r="G97" s="711">
        <v>0.4174131410553838</v>
      </c>
      <c r="H97" s="710">
        <v>0.26600000000000001</v>
      </c>
      <c r="I97" s="708">
        <v>0.52</v>
      </c>
      <c r="J97" s="570">
        <v>6.2210000000000001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6.2210000000000001</v>
      </c>
      <c r="N97" s="632">
        <f t="shared" si="465"/>
        <v>-3.4796067024951749</v>
      </c>
      <c r="O97" s="629">
        <f t="shared" si="466"/>
        <v>0.4359559790716997</v>
      </c>
      <c r="P97" s="633">
        <f t="shared" si="467"/>
        <v>-3.1500095004286535E-2</v>
      </c>
      <c r="Q97" s="585">
        <f t="shared" si="520"/>
        <v>172.85868803668561</v>
      </c>
      <c r="R97" s="629">
        <f t="shared" si="79"/>
        <v>3.5068105765406985</v>
      </c>
      <c r="S97" s="634">
        <f t="shared" si="80"/>
        <v>-3.1500095004286535E-2</v>
      </c>
      <c r="T97" s="635">
        <f t="shared" si="81"/>
        <v>0.43522720249707081</v>
      </c>
      <c r="U97" s="629">
        <f t="shared" si="82"/>
        <v>3.4796979325717743</v>
      </c>
      <c r="V97" s="636">
        <f t="shared" si="114"/>
        <v>-3.1500095004286535E-2</v>
      </c>
      <c r="W97" s="585">
        <f t="shared" si="645"/>
        <v>82.870688034953019</v>
      </c>
      <c r="X97" s="629">
        <f t="shared" si="83"/>
        <v>3.5068105765406985</v>
      </c>
      <c r="Y97" s="630">
        <f t="shared" si="644"/>
        <v>-3.1500095004286535E-2</v>
      </c>
      <c r="Z97" s="632">
        <f t="shared" si="468"/>
        <v>0.20252000699368392</v>
      </c>
      <c r="AA97" s="629">
        <f t="shared" si="469"/>
        <v>0.88586224461908114</v>
      </c>
      <c r="AB97" s="629">
        <f t="shared" si="470"/>
        <v>-0.4174131410553838</v>
      </c>
      <c r="AC97" s="636">
        <f t="shared" si="84"/>
        <v>1</v>
      </c>
      <c r="AD97" s="637">
        <f t="shared" si="115"/>
        <v>0.20252000699368392</v>
      </c>
      <c r="AE97" s="629">
        <f t="shared" si="85"/>
        <v>0.88586224461908114</v>
      </c>
      <c r="AF97" s="633">
        <f t="shared" si="86"/>
        <v>-0.4174131410553838</v>
      </c>
      <c r="AG97" s="602">
        <f t="shared" si="87"/>
        <v>64.770459035362379</v>
      </c>
      <c r="AH97" s="603">
        <f t="shared" si="88"/>
        <v>78.315638996874355</v>
      </c>
      <c r="AI97" s="585">
        <f t="shared" si="89"/>
        <v>-65.328624336470156</v>
      </c>
      <c r="AJ97" s="586">
        <f t="shared" si="90"/>
        <v>167.12271139604471</v>
      </c>
      <c r="AK97" s="635">
        <f t="shared" si="211"/>
        <v>0.90416688971045001</v>
      </c>
      <c r="AL97" s="629">
        <f t="shared" si="91"/>
        <v>-9.0821281787967473E-2</v>
      </c>
      <c r="AM97" s="634">
        <f t="shared" si="92"/>
        <v>-0.4174131410553838</v>
      </c>
      <c r="AN97" s="581">
        <f t="shared" si="93"/>
        <v>-12.275166440451471</v>
      </c>
      <c r="AO97" s="582">
        <f t="shared" si="461"/>
        <v>25.288690185649056</v>
      </c>
      <c r="AP97" s="585">
        <f t="shared" si="95"/>
        <v>-5.735976640640903</v>
      </c>
      <c r="AQ97" s="586">
        <f t="shared" si="471"/>
        <v>0.65005758454924101</v>
      </c>
      <c r="AS97" s="52">
        <f t="shared" si="543"/>
        <v>-277.12931196504701</v>
      </c>
      <c r="AT97" s="73">
        <f t="shared" si="472"/>
        <v>0.16095914941468181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Nose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6.2210000000000001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6.1210000000000004</v>
      </c>
      <c r="II97" s="734" cm="1">
        <f t="array" ref="II97">IFERROR(IF($IH97&lt;1,$IH97+LARGE((IF($M$9:$M$150="",0,$M$9:$M$150)-MOD(IF($M$9:$M$150="",0,$M$9:$M$150),1)),1),$IH97),"")</f>
        <v>6.1210000000000004</v>
      </c>
      <c r="IJ97" s="533">
        <f t="shared" si="542"/>
        <v>1613</v>
      </c>
      <c r="IK97" s="533">
        <f t="shared" si="517"/>
        <v>1313</v>
      </c>
      <c r="IL97" s="727">
        <f t="shared" si="647"/>
        <v>16.375297635699553</v>
      </c>
      <c r="IM97" s="759">
        <v>3.9485298050612704E-3</v>
      </c>
      <c r="IN97" s="5">
        <f t="shared" si="648"/>
        <v>0.06</v>
      </c>
      <c r="IO97" s="771">
        <v>30</v>
      </c>
      <c r="IP97" s="9">
        <f t="shared" si="649"/>
        <v>-3.503510566587869</v>
      </c>
      <c r="IQ97" s="5">
        <f t="shared" si="650"/>
        <v>-8.9500269932813944E-2</v>
      </c>
      <c r="IR97" s="5">
        <f t="shared" si="518"/>
        <v>0.314</v>
      </c>
      <c r="IS97" s="5">
        <f t="shared" si="651"/>
        <v>0.30258424098148795</v>
      </c>
      <c r="IT97" s="727">
        <f t="shared" si="652"/>
        <v>17.919391834797697</v>
      </c>
      <c r="IU97" s="9">
        <f t="shared" si="653"/>
        <v>-3.5068105765406985</v>
      </c>
      <c r="IV97" s="5">
        <f t="shared" si="654"/>
        <v>-3.1500095004286535E-2</v>
      </c>
      <c r="IW97" s="5">
        <f t="shared" si="519"/>
        <v>0.26600000000000001</v>
      </c>
      <c r="IX97" s="5">
        <f t="shared" si="655"/>
        <v>0.24050839266297971</v>
      </c>
      <c r="IY97" s="762">
        <f t="shared" si="656"/>
        <v>12.275166440451471</v>
      </c>
    </row>
    <row r="98" spans="1:259" ht="15" customHeight="1" x14ac:dyDescent="0.25">
      <c r="A98" s="79"/>
      <c r="B98" s="707">
        <v>-4.2739189236618005</v>
      </c>
      <c r="C98" s="708">
        <v>0.40656420609307709</v>
      </c>
      <c r="D98" s="709">
        <v>-0.23130069760290412</v>
      </c>
      <c r="E98" s="710">
        <v>-0.28714450570849404</v>
      </c>
      <c r="F98" s="708">
        <v>-0.87786329037726918</v>
      </c>
      <c r="G98" s="711">
        <v>0.38328067554915829</v>
      </c>
      <c r="H98" s="710">
        <v>0.26600000000000001</v>
      </c>
      <c r="I98" s="708">
        <v>0.52</v>
      </c>
      <c r="J98" s="570">
        <v>6.2279999999999998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6.2279999999999998</v>
      </c>
      <c r="N98" s="632">
        <f t="shared" si="465"/>
        <v>-4.2739189236618005</v>
      </c>
      <c r="O98" s="629">
        <f t="shared" si="466"/>
        <v>0.40656420609307709</v>
      </c>
      <c r="P98" s="633">
        <f t="shared" si="467"/>
        <v>-0.23130069760290412</v>
      </c>
      <c r="Q98" s="585">
        <f t="shared" si="520"/>
        <v>174.56598779018202</v>
      </c>
      <c r="R98" s="629">
        <f t="shared" si="79"/>
        <v>4.2932129483302521</v>
      </c>
      <c r="S98" s="634">
        <f t="shared" si="80"/>
        <v>-0.23130069760290412</v>
      </c>
      <c r="T98" s="635">
        <f t="shared" si="81"/>
        <v>0.40566906982573891</v>
      </c>
      <c r="U98" s="629">
        <f t="shared" si="82"/>
        <v>4.2740039805195851</v>
      </c>
      <c r="V98" s="636">
        <f t="shared" si="114"/>
        <v>-0.23130069760290412</v>
      </c>
      <c r="W98" s="585">
        <f t="shared" si="645"/>
        <v>84.577987788449434</v>
      </c>
      <c r="X98" s="629">
        <f t="shared" si="83"/>
        <v>4.2932129483302521</v>
      </c>
      <c r="Y98" s="630">
        <f t="shared" si="644"/>
        <v>-0.23130069760290412</v>
      </c>
      <c r="Z98" s="632">
        <f t="shared" si="468"/>
        <v>0.28714450570849404</v>
      </c>
      <c r="AA98" s="629">
        <f t="shared" si="469"/>
        <v>0.87786329037726918</v>
      </c>
      <c r="AB98" s="629">
        <f t="shared" si="470"/>
        <v>-0.38328067554915829</v>
      </c>
      <c r="AC98" s="636">
        <f t="shared" si="84"/>
        <v>1</v>
      </c>
      <c r="AD98" s="637">
        <f t="shared" si="115"/>
        <v>0.28714450570849404</v>
      </c>
      <c r="AE98" s="629">
        <f t="shared" si="85"/>
        <v>0.87786329037726918</v>
      </c>
      <c r="AF98" s="633">
        <f t="shared" si="86"/>
        <v>-0.38328067554915829</v>
      </c>
      <c r="AG98" s="602">
        <f t="shared" si="87"/>
        <v>66.413613415633904</v>
      </c>
      <c r="AH98" s="603">
        <f t="shared" si="88"/>
        <v>73.312921266827715</v>
      </c>
      <c r="AI98" s="585">
        <f t="shared" si="89"/>
        <v>-67.462956102328377</v>
      </c>
      <c r="AJ98" s="586">
        <f t="shared" si="90"/>
        <v>161.88734913891582</v>
      </c>
      <c r="AK98" s="635">
        <f t="shared" si="211"/>
        <v>0.90111048617642298</v>
      </c>
      <c r="AL98" s="629">
        <f t="shared" si="91"/>
        <v>-0.20272102864150926</v>
      </c>
      <c r="AM98" s="634">
        <f t="shared" si="92"/>
        <v>-0.38328067554915829</v>
      </c>
      <c r="AN98" s="581">
        <f t="shared" si="93"/>
        <v>-27.874816507982999</v>
      </c>
      <c r="AO98" s="582">
        <f t="shared" si="461"/>
        <v>25.695578211706511</v>
      </c>
      <c r="AP98" s="585">
        <f t="shared" si="95"/>
        <v>-12.678638651266189</v>
      </c>
      <c r="AQ98" s="586">
        <f t="shared" si="471"/>
        <v>0.53099191497199483</v>
      </c>
      <c r="AS98" s="52">
        <f t="shared" si="543"/>
        <v>-275.42201221155057</v>
      </c>
      <c r="AT98" s="73">
        <f t="shared" si="472"/>
        <v>-4.0027078012752737E-2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Nose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6.2279999999999998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6.1280000000000001</v>
      </c>
      <c r="II98" s="734" cm="1">
        <f t="array" ref="II98">IFERROR(IF($IH98&lt;1,$IH98+LARGE((IF($M$9:$M$150="",0,$M$9:$M$150)-MOD(IF($M$9:$M$150="",0,$M$9:$M$150),1)),1),$IH98),"")</f>
        <v>6.1280000000000001</v>
      </c>
      <c r="IJ98" s="533">
        <f t="shared" si="542"/>
        <v>1613</v>
      </c>
      <c r="IK98" s="533">
        <f t="shared" si="517"/>
        <v>1313</v>
      </c>
      <c r="IL98" s="727">
        <f t="shared" si="647"/>
        <v>13.660998027595923</v>
      </c>
      <c r="IM98" s="759">
        <v>3.0249795940033302E-3</v>
      </c>
      <c r="IN98" s="5">
        <f t="shared" si="648"/>
        <v>0.04</v>
      </c>
      <c r="IO98" s="771">
        <v>20</v>
      </c>
      <c r="IP98" s="9">
        <f t="shared" si="649"/>
        <v>-4.2786129042965193</v>
      </c>
      <c r="IQ98" s="5">
        <f t="shared" si="650"/>
        <v>-0.28830086951542222</v>
      </c>
      <c r="IR98" s="5">
        <f t="shared" si="518"/>
        <v>0.314</v>
      </c>
      <c r="IS98" s="5">
        <f t="shared" si="651"/>
        <v>0.30156139934240417</v>
      </c>
      <c r="IT98" s="727">
        <f t="shared" si="652"/>
        <v>36.16234851059891</v>
      </c>
      <c r="IU98" s="9">
        <f t="shared" si="653"/>
        <v>-4.2932129483302521</v>
      </c>
      <c r="IV98" s="5">
        <f t="shared" si="654"/>
        <v>-0.23130069760290412</v>
      </c>
      <c r="IW98" s="5">
        <f t="shared" si="519"/>
        <v>0.26600000000000001</v>
      </c>
      <c r="IX98" s="5">
        <f t="shared" si="655"/>
        <v>0.23969538932292855</v>
      </c>
      <c r="IY98" s="762">
        <f t="shared" si="656"/>
        <v>27.874816507982999</v>
      </c>
    </row>
    <row r="99" spans="1:259" ht="15" customHeight="1" x14ac:dyDescent="0.25">
      <c r="A99" s="79"/>
      <c r="B99" s="707">
        <v>-4.9581300947988245</v>
      </c>
      <c r="C99" s="708">
        <v>0.42737290454261745</v>
      </c>
      <c r="D99" s="709">
        <v>-0.66810201499567734</v>
      </c>
      <c r="E99" s="710">
        <v>-0.37282315543745637</v>
      </c>
      <c r="F99" s="708">
        <v>-0.86889482033852117</v>
      </c>
      <c r="G99" s="711">
        <v>0.32561432087447773</v>
      </c>
      <c r="H99" s="710">
        <v>0.26600000000000001</v>
      </c>
      <c r="I99" s="708">
        <v>0.52</v>
      </c>
      <c r="J99" s="570">
        <v>6.2350000000000003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6.2350000000000003</v>
      </c>
      <c r="N99" s="632">
        <f t="shared" si="465"/>
        <v>-4.9581300947988245</v>
      </c>
      <c r="O99" s="629">
        <f t="shared" si="466"/>
        <v>0.42737290454261745</v>
      </c>
      <c r="P99" s="633">
        <f t="shared" si="467"/>
        <v>-0.66810201499567734</v>
      </c>
      <c r="Q99" s="585">
        <f t="shared" si="520"/>
        <v>175.07348771690809</v>
      </c>
      <c r="R99" s="629">
        <f t="shared" si="79"/>
        <v>4.9765150091692671</v>
      </c>
      <c r="S99" s="634">
        <f t="shared" si="80"/>
        <v>-0.66810201499567734</v>
      </c>
      <c r="T99" s="635">
        <f t="shared" si="81"/>
        <v>0.42633446698804855</v>
      </c>
      <c r="U99" s="629">
        <f t="shared" si="82"/>
        <v>4.9582194948131333</v>
      </c>
      <c r="V99" s="636">
        <f t="shared" si="114"/>
        <v>-0.66810201499567734</v>
      </c>
      <c r="W99" s="585">
        <f t="shared" si="645"/>
        <v>85.085487715175503</v>
      </c>
      <c r="X99" s="629">
        <f t="shared" si="83"/>
        <v>4.9765150091692671</v>
      </c>
      <c r="Y99" s="630">
        <f t="shared" si="644"/>
        <v>-0.66810201499567734</v>
      </c>
      <c r="Z99" s="632">
        <f t="shared" si="468"/>
        <v>0.37282315543745637</v>
      </c>
      <c r="AA99" s="629">
        <f t="shared" si="469"/>
        <v>0.86889482033852117</v>
      </c>
      <c r="AB99" s="629">
        <f t="shared" si="470"/>
        <v>-0.32561432087447773</v>
      </c>
      <c r="AC99" s="636">
        <f t="shared" si="84"/>
        <v>1</v>
      </c>
      <c r="AD99" s="637">
        <f t="shared" si="115"/>
        <v>0.37282315543745637</v>
      </c>
      <c r="AE99" s="629">
        <f t="shared" si="85"/>
        <v>0.86889482033852117</v>
      </c>
      <c r="AF99" s="633">
        <f t="shared" si="86"/>
        <v>-0.32561432087447773</v>
      </c>
      <c r="AG99" s="602">
        <f t="shared" si="87"/>
        <v>69.456745829397548</v>
      </c>
      <c r="AH99" s="603">
        <f t="shared" si="88"/>
        <v>68.110165698808814</v>
      </c>
      <c r="AI99" s="585">
        <f t="shared" si="89"/>
        <v>-70.997202420795404</v>
      </c>
      <c r="AJ99" s="586">
        <f t="shared" si="90"/>
        <v>156.77692100374321</v>
      </c>
      <c r="AK99" s="635">
        <f t="shared" si="211"/>
        <v>0.89770211976132264</v>
      </c>
      <c r="AL99" s="629">
        <f t="shared" si="91"/>
        <v>-0.29682691626178498</v>
      </c>
      <c r="AM99" s="634">
        <f t="shared" si="92"/>
        <v>-0.32561432087447773</v>
      </c>
      <c r="AN99" s="581">
        <f t="shared" si="93"/>
        <v>-42.352003397455675</v>
      </c>
      <c r="AO99" s="582">
        <f t="shared" si="461"/>
        <v>26.14235403449258</v>
      </c>
      <c r="AP99" s="585">
        <f t="shared" si="95"/>
        <v>-18.296566713164875</v>
      </c>
      <c r="AQ99" s="586">
        <f t="shared" si="471"/>
        <v>0.45808724630842695</v>
      </c>
      <c r="AS99" s="52">
        <f t="shared" si="543"/>
        <v>-274.91451228482447</v>
      </c>
      <c r="AT99" s="73">
        <f t="shared" si="472"/>
        <v>-0.47718082591019684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6.2350000000000003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6.1349999999999998</v>
      </c>
      <c r="II99" s="734" cm="1">
        <f t="array" ref="II99">IFERROR(IF($IH99&lt;1,$IH99+LARGE((IF($M$9:$M$150="",0,$M$9:$M$150)-MOD(IF($M$9:$M$150="",0,$M$9:$M$150),1)),1),$IH99),"")</f>
        <v>6.1349999999999998</v>
      </c>
      <c r="IJ99" s="533">
        <f t="shared" si="542"/>
        <v>1613</v>
      </c>
      <c r="IK99" s="533">
        <f t="shared" si="517"/>
        <v>1313</v>
      </c>
      <c r="IL99" s="727">
        <f t="shared" si="647"/>
        <v>12.125498249294679</v>
      </c>
      <c r="IM99" s="759">
        <v>2.2667488660549399E-3</v>
      </c>
      <c r="IN99" s="5">
        <f t="shared" si="648"/>
        <v>0.02</v>
      </c>
      <c r="IO99" s="771">
        <v>10</v>
      </c>
      <c r="IP99" s="9">
        <f t="shared" si="649"/>
        <v>-4.9511149325626373</v>
      </c>
      <c r="IQ99" s="5">
        <f t="shared" si="650"/>
        <v>-0.72180217695536597</v>
      </c>
      <c r="IR99" s="5">
        <f t="shared" si="518"/>
        <v>0.314</v>
      </c>
      <c r="IS99" s="5">
        <f t="shared" si="651"/>
        <v>0.30042077146005575</v>
      </c>
      <c r="IT99" s="727">
        <f t="shared" si="652"/>
        <v>52.374014295403001</v>
      </c>
      <c r="IU99" s="9">
        <f t="shared" si="653"/>
        <v>-4.9765150091692671</v>
      </c>
      <c r="IV99" s="5">
        <f t="shared" si="654"/>
        <v>-0.66810201499567734</v>
      </c>
      <c r="IW99" s="5">
        <f t="shared" si="519"/>
        <v>0.26600000000000001</v>
      </c>
      <c r="IX99" s="5">
        <f t="shared" si="655"/>
        <v>0.23878876385651182</v>
      </c>
      <c r="IY99" s="762">
        <f t="shared" si="656"/>
        <v>42.352003397455675</v>
      </c>
    </row>
    <row r="100" spans="1:259" ht="15" customHeight="1" x14ac:dyDescent="0.25">
      <c r="A100" s="79"/>
      <c r="B100" s="707">
        <v>-5.4602877047841014</v>
      </c>
      <c r="C100" s="708">
        <v>0.47508335550792929</v>
      </c>
      <c r="D100" s="709">
        <v>-1.3012039244310363</v>
      </c>
      <c r="E100" s="710">
        <v>-0.44456889499596425</v>
      </c>
      <c r="F100" s="708">
        <v>-0.85948786845940117</v>
      </c>
      <c r="G100" s="711">
        <v>0.25226791625805794</v>
      </c>
      <c r="H100" s="710">
        <v>0.26600000000000001</v>
      </c>
      <c r="I100" s="708">
        <v>0.52</v>
      </c>
      <c r="J100" s="570">
        <v>6.242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6.242</v>
      </c>
      <c r="N100" s="632">
        <f t="shared" si="465"/>
        <v>-5.4602877047841014</v>
      </c>
      <c r="O100" s="629">
        <f t="shared" si="466"/>
        <v>0.47508335550792929</v>
      </c>
      <c r="P100" s="633">
        <f t="shared" si="467"/>
        <v>-1.3012039244310363</v>
      </c>
      <c r="Q100" s="585">
        <f t="shared" si="520"/>
        <v>175.02738772356412</v>
      </c>
      <c r="R100" s="629">
        <f t="shared" si="79"/>
        <v>5.4809165304442562</v>
      </c>
      <c r="S100" s="634">
        <f t="shared" si="80"/>
        <v>-1.3012039244310363</v>
      </c>
      <c r="T100" s="635">
        <f t="shared" si="81"/>
        <v>0.4739397452790084</v>
      </c>
      <c r="U100" s="629">
        <f t="shared" si="82"/>
        <v>5.4603870862368327</v>
      </c>
      <c r="V100" s="636">
        <f t="shared" si="114"/>
        <v>-1.3012039244310363</v>
      </c>
      <c r="W100" s="585">
        <f t="shared" si="645"/>
        <v>85.039387721831531</v>
      </c>
      <c r="X100" s="629">
        <f t="shared" si="83"/>
        <v>5.4809165304442562</v>
      </c>
      <c r="Y100" s="630">
        <f t="shared" si="644"/>
        <v>-1.3012039244310363</v>
      </c>
      <c r="Z100" s="632">
        <f t="shared" si="468"/>
        <v>0.44456889499596425</v>
      </c>
      <c r="AA100" s="629">
        <f t="shared" si="469"/>
        <v>0.85948786845940117</v>
      </c>
      <c r="AB100" s="629">
        <f t="shared" si="470"/>
        <v>-0.25226791625805794</v>
      </c>
      <c r="AC100" s="636">
        <f t="shared" si="84"/>
        <v>1</v>
      </c>
      <c r="AD100" s="637">
        <f t="shared" si="115"/>
        <v>0.44456889499596425</v>
      </c>
      <c r="AE100" s="629">
        <f t="shared" si="85"/>
        <v>0.85948786845940117</v>
      </c>
      <c r="AF100" s="633">
        <f t="shared" si="86"/>
        <v>-0.25226791625805794</v>
      </c>
      <c r="AG100" s="602">
        <f t="shared" si="87"/>
        <v>73.642531189597818</v>
      </c>
      <c r="AH100" s="603">
        <f t="shared" si="88"/>
        <v>63.604239906959954</v>
      </c>
      <c r="AI100" s="585">
        <f t="shared" si="89"/>
        <v>-75.388243533589545</v>
      </c>
      <c r="AJ100" s="586">
        <f t="shared" si="90"/>
        <v>152.64979791688378</v>
      </c>
      <c r="AK100" s="635">
        <f t="shared" si="211"/>
        <v>0.89478799680818766</v>
      </c>
      <c r="AL100" s="629">
        <f t="shared" si="91"/>
        <v>-0.36839562863151387</v>
      </c>
      <c r="AM100" s="634">
        <f t="shared" si="92"/>
        <v>-0.25226791625805794</v>
      </c>
      <c r="AN100" s="581">
        <f t="shared" si="93"/>
        <v>-55.59765313632267</v>
      </c>
      <c r="AO100" s="582">
        <f t="shared" si="461"/>
        <v>26.518788366926099</v>
      </c>
      <c r="AP100" s="585">
        <f t="shared" si="95"/>
        <v>-22.377589806680341</v>
      </c>
      <c r="AQ100" s="586">
        <f t="shared" si="471"/>
        <v>0.41593163717327419</v>
      </c>
      <c r="AS100" s="52">
        <f t="shared" si="543"/>
        <v>-274.96061227816847</v>
      </c>
      <c r="AT100" s="73">
        <f t="shared" si="472"/>
        <v>-1.1102507214612891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6.242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6.1420000000000003</v>
      </c>
      <c r="II100" s="734" cm="1">
        <f t="array" ref="II100">IFERROR(IF($IH100&lt;1,$IH100+LARGE((IF($M$9:$M$150="",0,$M$9:$M$150)-MOD(IF($M$9:$M$150="",0,$M$9:$M$150),1)),1),$IH100),"")</f>
        <v>6.1420000000000003</v>
      </c>
      <c r="IJ100" s="533">
        <f t="shared" si="542"/>
        <v>1613</v>
      </c>
      <c r="IK100" s="533">
        <f t="shared" si="517"/>
        <v>1313</v>
      </c>
      <c r="IL100" s="727">
        <f t="shared" si="647"/>
        <v>11.354598360598828</v>
      </c>
      <c r="IM100" s="759">
        <v>1.7301093939365E-3</v>
      </c>
      <c r="IN100" s="5">
        <f t="shared" si="648"/>
        <v>0.02</v>
      </c>
      <c r="IO100" s="771">
        <v>10</v>
      </c>
      <c r="IP100" s="9">
        <f t="shared" si="649"/>
        <v>-5.4455164236775344</v>
      </c>
      <c r="IQ100" s="5">
        <f t="shared" si="650"/>
        <v>-1.3494040698026741</v>
      </c>
      <c r="IR100" s="5">
        <f t="shared" si="518"/>
        <v>0.314</v>
      </c>
      <c r="IS100" s="5">
        <f t="shared" si="651"/>
        <v>0.29944554477133756</v>
      </c>
      <c r="IT100" s="727">
        <f t="shared" si="652"/>
        <v>66.626022864283598</v>
      </c>
      <c r="IU100" s="9">
        <f t="shared" si="653"/>
        <v>-5.4809165304442562</v>
      </c>
      <c r="IV100" s="5">
        <f t="shared" si="654"/>
        <v>-1.3012039244310363</v>
      </c>
      <c r="IW100" s="5">
        <f t="shared" si="519"/>
        <v>0.26600000000000001</v>
      </c>
      <c r="IX100" s="5">
        <f t="shared" si="655"/>
        <v>0.23801360715097797</v>
      </c>
      <c r="IY100" s="762">
        <f t="shared" si="656"/>
        <v>55.59765313632267</v>
      </c>
    </row>
    <row r="101" spans="1:259" ht="15" customHeight="1" x14ac:dyDescent="0.25">
      <c r="A101" s="79"/>
      <c r="B101" s="707">
        <v>-5.7259709804321126</v>
      </c>
      <c r="C101" s="708">
        <v>0.52421919863239663</v>
      </c>
      <c r="D101" s="709">
        <v>-2.0603062138835408</v>
      </c>
      <c r="E101" s="710">
        <v>-0.49534657268578508</v>
      </c>
      <c r="F101" s="708">
        <v>-0.85150338759358402</v>
      </c>
      <c r="G101" s="711">
        <v>0.17197021208656157</v>
      </c>
      <c r="H101" s="710">
        <v>0.26600000000000001</v>
      </c>
      <c r="I101" s="708">
        <v>0.52</v>
      </c>
      <c r="J101" s="570">
        <v>6.2489999999999997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1313</v>
      </c>
      <c r="L101" s="320"/>
      <c r="M101" s="168">
        <f t="shared" si="464"/>
        <v>6.2489999999999997</v>
      </c>
      <c r="N101" s="632">
        <f t="shared" si="465"/>
        <v>-5.7259709804321126</v>
      </c>
      <c r="O101" s="629">
        <f t="shared" si="466"/>
        <v>0.52421919863239663</v>
      </c>
      <c r="P101" s="633">
        <f t="shared" si="467"/>
        <v>-2.0603062138835408</v>
      </c>
      <c r="Q101" s="585">
        <f t="shared" si="520"/>
        <v>174.76908776085801</v>
      </c>
      <c r="R101" s="629">
        <f t="shared" si="79"/>
        <v>5.7499173417507032</v>
      </c>
      <c r="S101" s="634">
        <f t="shared" si="80"/>
        <v>-2.0603062138835408</v>
      </c>
      <c r="T101" s="635">
        <f t="shared" si="81"/>
        <v>0.52301994275911645</v>
      </c>
      <c r="U101" s="629">
        <f t="shared" si="82"/>
        <v>5.7260806470431174</v>
      </c>
      <c r="V101" s="636">
        <f t="shared" si="114"/>
        <v>-2.0603062138835408</v>
      </c>
      <c r="W101" s="585">
        <f t="shared" si="645"/>
        <v>84.781087759125427</v>
      </c>
      <c r="X101" s="629">
        <f t="shared" si="83"/>
        <v>5.7499173417507032</v>
      </c>
      <c r="Y101" s="630">
        <f t="shared" si="644"/>
        <v>-2.0603062138835408</v>
      </c>
      <c r="Z101" s="632">
        <f t="shared" si="468"/>
        <v>0.49534657268578508</v>
      </c>
      <c r="AA101" s="629">
        <f t="shared" si="469"/>
        <v>0.85150338759358402</v>
      </c>
      <c r="AB101" s="629">
        <f t="shared" si="470"/>
        <v>-0.17197021208656157</v>
      </c>
      <c r="AC101" s="636">
        <f t="shared" si="84"/>
        <v>1</v>
      </c>
      <c r="AD101" s="637">
        <f t="shared" si="115"/>
        <v>0.49534657268578508</v>
      </c>
      <c r="AE101" s="629">
        <f t="shared" si="85"/>
        <v>0.85150338759358402</v>
      </c>
      <c r="AF101" s="633">
        <f t="shared" si="86"/>
        <v>-0.17197021208656157</v>
      </c>
      <c r="AG101" s="602">
        <f t="shared" si="87"/>
        <v>78.582089821109008</v>
      </c>
      <c r="AH101" s="603">
        <f t="shared" si="88"/>
        <v>60.307393672383789</v>
      </c>
      <c r="AI101" s="585">
        <f t="shared" si="89"/>
        <v>-80.097608852586632</v>
      </c>
      <c r="AJ101" s="586">
        <f t="shared" si="90"/>
        <v>149.81207609172438</v>
      </c>
      <c r="AK101" s="635">
        <f t="shared" si="211"/>
        <v>0.89311785983267045</v>
      </c>
      <c r="AL101" s="629">
        <f t="shared" si="91"/>
        <v>-0.41565217983647534</v>
      </c>
      <c r="AM101" s="634">
        <f t="shared" si="92"/>
        <v>-0.17197021208656157</v>
      </c>
      <c r="AN101" s="581">
        <f t="shared" si="93"/>
        <v>-67.523365982778017</v>
      </c>
      <c r="AO101" s="582">
        <f t="shared" si="461"/>
        <v>26.732311062676068</v>
      </c>
      <c r="AP101" s="585">
        <f t="shared" si="95"/>
        <v>-24.957011669133621</v>
      </c>
      <c r="AQ101" s="586">
        <f t="shared" si="471"/>
        <v>0.39647356813473755</v>
      </c>
      <c r="AS101" s="52">
        <f t="shared" si="543"/>
        <v>-275.2189122408746</v>
      </c>
      <c r="AT101" s="73">
        <f t="shared" si="472"/>
        <v>-1.8691736359396922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Taper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6.2489999999999997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6.149</v>
      </c>
      <c r="II101" s="734" cm="1">
        <f t="array" ref="II101">IFERROR(IF($IH101&lt;1,$IH101+LARGE((IF($M$9:$M$150="",0,$M$9:$M$150)-MOD(IF($M$9:$M$150="",0,$M$9:$M$150),1)),1),$IH101),"")</f>
        <v>6.149</v>
      </c>
      <c r="IJ101" s="533">
        <f t="shared" si="542"/>
        <v>1613</v>
      </c>
      <c r="IK101" s="533">
        <f t="shared" si="517"/>
        <v>1313</v>
      </c>
      <c r="IL101" s="727">
        <f t="shared" si="647"/>
        <v>11.16789838755497</v>
      </c>
      <c r="IM101" s="759">
        <v>1.2633913375557099E-3</v>
      </c>
      <c r="IN101" s="5">
        <f t="shared" si="648"/>
        <v>0</v>
      </c>
      <c r="IO101" s="771">
        <v>0</v>
      </c>
      <c r="IP101" s="9">
        <f t="shared" si="649"/>
        <v>-5.7057172084431018</v>
      </c>
      <c r="IQ101" s="5">
        <f t="shared" si="650"/>
        <v>-2.1012063372383127</v>
      </c>
      <c r="IR101" s="5">
        <f t="shared" si="518"/>
        <v>0.314</v>
      </c>
      <c r="IS101" s="5">
        <f t="shared" si="651"/>
        <v>0.29888662458213011</v>
      </c>
      <c r="IT101" s="727">
        <f t="shared" si="652"/>
        <v>79.002444642607799</v>
      </c>
      <c r="IU101" s="9">
        <f t="shared" si="653"/>
        <v>-5.7499173417507032</v>
      </c>
      <c r="IV101" s="5">
        <f t="shared" si="654"/>
        <v>-2.0603062138835408</v>
      </c>
      <c r="IW101" s="5">
        <f t="shared" si="519"/>
        <v>0.26600000000000001</v>
      </c>
      <c r="IX101" s="5">
        <f t="shared" si="655"/>
        <v>0.23756935071549035</v>
      </c>
      <c r="IY101" s="762">
        <f t="shared" si="656"/>
        <v>67.523365982778017</v>
      </c>
    </row>
    <row r="102" spans="1:259" ht="15" customHeight="1" x14ac:dyDescent="0.25">
      <c r="A102" s="79"/>
      <c r="B102" s="707">
        <v>-5.8010696191487758</v>
      </c>
      <c r="C102" s="708">
        <v>0.76671380626582364</v>
      </c>
      <c r="D102" s="709">
        <v>-2.8823086930430182</v>
      </c>
      <c r="E102" s="710">
        <v>-0.88512439734948989</v>
      </c>
      <c r="F102" s="708">
        <v>0.1169845930440342</v>
      </c>
      <c r="G102" s="711">
        <v>0.45041026432245557</v>
      </c>
      <c r="H102" s="710">
        <v>0.25700000000000001</v>
      </c>
      <c r="I102" s="708">
        <v>0.41499999999999992</v>
      </c>
      <c r="J102" s="570">
        <v>6.2560000000000002</v>
      </c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CPS-32193r1</v>
      </c>
      <c r="L102" s="320"/>
      <c r="M102" s="168">
        <f t="shared" si="464"/>
        <v>6.2560000000000002</v>
      </c>
      <c r="N102" s="632">
        <f t="shared" si="465"/>
        <v>-5.8010696191487758</v>
      </c>
      <c r="O102" s="629">
        <f t="shared" si="466"/>
        <v>0.76671380626582364</v>
      </c>
      <c r="P102" s="633">
        <f t="shared" si="467"/>
        <v>-2.8823086930430182</v>
      </c>
      <c r="Q102" s="585">
        <f t="shared" si="520"/>
        <v>172.47098809266257</v>
      </c>
      <c r="R102" s="629">
        <f t="shared" si="79"/>
        <v>5.8515176481772277</v>
      </c>
      <c r="S102" s="634">
        <f t="shared" si="80"/>
        <v>-2.8823086930430182</v>
      </c>
      <c r="T102" s="635">
        <f t="shared" si="81"/>
        <v>0.7654988164543165</v>
      </c>
      <c r="U102" s="629">
        <f t="shared" si="82"/>
        <v>5.801230072056839</v>
      </c>
      <c r="V102" s="636">
        <f t="shared" si="114"/>
        <v>-2.8823086930430182</v>
      </c>
      <c r="W102" s="585">
        <f t="shared" si="645"/>
        <v>82.482988090929979</v>
      </c>
      <c r="X102" s="629">
        <f t="shared" si="83"/>
        <v>5.8515176481772277</v>
      </c>
      <c r="Y102" s="630">
        <f t="shared" si="644"/>
        <v>-2.8823086930430182</v>
      </c>
      <c r="Z102" s="632">
        <f t="shared" si="468"/>
        <v>0.88512439734948989</v>
      </c>
      <c r="AA102" s="629">
        <f t="shared" si="469"/>
        <v>-0.1169845930440342</v>
      </c>
      <c r="AB102" s="629">
        <f t="shared" si="470"/>
        <v>-0.45041026432245557</v>
      </c>
      <c r="AC102" s="636">
        <f t="shared" si="84"/>
        <v>1</v>
      </c>
      <c r="AD102" s="637">
        <f t="shared" si="115"/>
        <v>0.88512439734948989</v>
      </c>
      <c r="AE102" s="629">
        <f t="shared" si="85"/>
        <v>-0.1169845930440342</v>
      </c>
      <c r="AF102" s="633">
        <f t="shared" si="86"/>
        <v>-0.45041026432245557</v>
      </c>
      <c r="AG102" s="602">
        <f t="shared" si="87"/>
        <v>-14.559669527677375</v>
      </c>
      <c r="AH102" s="603">
        <f t="shared" si="88"/>
        <v>27.733166433773377</v>
      </c>
      <c r="AI102" s="585">
        <f t="shared" si="89"/>
        <v>-63.229990870719611</v>
      </c>
      <c r="AJ102" s="586">
        <f t="shared" si="90"/>
        <v>82.471002646957501</v>
      </c>
      <c r="AK102" s="635">
        <f t="shared" si="211"/>
        <v>2.2679489646015849E-7</v>
      </c>
      <c r="AL102" s="629">
        <f t="shared" si="91"/>
        <v>-0.89282170324926835</v>
      </c>
      <c r="AM102" s="634">
        <f t="shared" si="92"/>
        <v>-0.45041026432245557</v>
      </c>
      <c r="AN102" s="581">
        <f t="shared" si="93"/>
        <v>-63.229990870718886</v>
      </c>
      <c r="AO102" s="582">
        <f t="shared" si="461"/>
        <v>0</v>
      </c>
      <c r="AP102" s="585">
        <f t="shared" si="95"/>
        <v>-89.999985445705079</v>
      </c>
      <c r="AQ102" s="586">
        <f t="shared" si="471"/>
        <v>0.38958978415606432</v>
      </c>
      <c r="AS102" s="52">
        <f t="shared" si="543"/>
        <v>-277.51701190906999</v>
      </c>
      <c r="AT102" s="73">
        <f t="shared" si="472"/>
        <v>-2.6895802125518116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>Gage</v>
      </c>
      <c r="IG102" s="847">
        <f t="shared" si="643"/>
        <v>6.2560000000000002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6.1559999999999997</v>
      </c>
      <c r="II102" s="734" cm="1">
        <f t="array" ref="II102">IFERROR(IF($IH102&lt;1,$IH102+LARGE((IF($M$9:$M$150="",0,$M$9:$M$150)-MOD(IF($M$9:$M$150="",0,$M$9:$M$150),1)),1),$IH102),"")</f>
        <v>6.1559999999999997</v>
      </c>
      <c r="IJ102" s="533">
        <f t="shared" si="542"/>
        <v>1613</v>
      </c>
      <c r="IK102" s="533" t="str">
        <f t="shared" si="517"/>
        <v>CPS-32193r1</v>
      </c>
      <c r="IL102" s="727">
        <f t="shared" si="647"/>
        <v>13.255998086070662</v>
      </c>
      <c r="IM102" s="759">
        <v>2.21367543062996E-4</v>
      </c>
      <c r="IN102" s="5">
        <f t="shared" si="648"/>
        <v>0</v>
      </c>
      <c r="IO102" s="771">
        <v>0</v>
      </c>
      <c r="IP102" s="9">
        <f t="shared" si="649"/>
        <v>-5.8263175721737985</v>
      </c>
      <c r="IQ102" s="5">
        <f t="shared" si="650"/>
        <v>-2.8917087213935049</v>
      </c>
      <c r="IR102" s="5">
        <f t="shared" si="518"/>
        <v>0.314</v>
      </c>
      <c r="IS102" s="5">
        <f t="shared" si="651"/>
        <v>0.28018709362890826</v>
      </c>
      <c r="IT102" s="727">
        <f t="shared" si="652"/>
        <v>86.045272919053645</v>
      </c>
      <c r="IU102" s="9">
        <f t="shared" si="653"/>
        <v>-5.8515176481772277</v>
      </c>
      <c r="IV102" s="5">
        <f t="shared" si="654"/>
        <v>-2.8823086930430182</v>
      </c>
      <c r="IW102" s="5">
        <f t="shared" si="519"/>
        <v>0.25700000000000001</v>
      </c>
      <c r="IX102" s="5">
        <f t="shared" si="655"/>
        <v>0.25700000000000001</v>
      </c>
      <c r="IY102" s="762">
        <f t="shared" si="656"/>
        <v>63.229990870718886</v>
      </c>
    </row>
    <row r="103" spans="1:259" ht="15" customHeight="1" x14ac:dyDescent="0.25">
      <c r="A103" s="79"/>
      <c r="B103" s="707">
        <v>-2.0148521127634087</v>
      </c>
      <c r="C103" s="708">
        <v>1.6341007308223916</v>
      </c>
      <c r="D103" s="709">
        <v>-0.17430052569038545</v>
      </c>
      <c r="E103" s="710">
        <v>-0.54222138305405665</v>
      </c>
      <c r="F103" s="708">
        <v>-0.76211575211607263</v>
      </c>
      <c r="G103" s="711">
        <v>0.3538015716973274</v>
      </c>
      <c r="H103" s="710">
        <v>0.314</v>
      </c>
      <c r="I103" s="708">
        <v>0.52</v>
      </c>
      <c r="J103" s="570">
        <v>7.1130000000000004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7.1130000000000004</v>
      </c>
      <c r="N103" s="632">
        <f t="shared" si="465"/>
        <v>-2.0148521127634087</v>
      </c>
      <c r="O103" s="629">
        <f t="shared" si="466"/>
        <v>1.6341007308223916</v>
      </c>
      <c r="P103" s="633">
        <f t="shared" si="467"/>
        <v>-0.17430052569038545</v>
      </c>
      <c r="Q103" s="585">
        <f t="shared" si="520"/>
        <v>140.95699264272054</v>
      </c>
      <c r="R103" s="629">
        <f t="shared" si="79"/>
        <v>2.5942078241307973</v>
      </c>
      <c r="S103" s="634">
        <f t="shared" si="80"/>
        <v>-0.17430052569038545</v>
      </c>
      <c r="T103" s="635">
        <f t="shared" si="81"/>
        <v>1.6336787054068742</v>
      </c>
      <c r="U103" s="629">
        <f t="shared" si="82"/>
        <v>2.0151943137775983</v>
      </c>
      <c r="V103" s="636">
        <f t="shared" si="114"/>
        <v>-0.17430052569038545</v>
      </c>
      <c r="W103" s="585">
        <f t="shared" si="645"/>
        <v>50.968992640987949</v>
      </c>
      <c r="X103" s="629">
        <f t="shared" si="83"/>
        <v>2.5942078241307973</v>
      </c>
      <c r="Y103" s="630">
        <f t="shared" si="644"/>
        <v>-0.17430052569038545</v>
      </c>
      <c r="Z103" s="632">
        <f t="shared" si="468"/>
        <v>0.54222138305405665</v>
      </c>
      <c r="AA103" s="629">
        <f t="shared" si="469"/>
        <v>0.76211575211607263</v>
      </c>
      <c r="AB103" s="629">
        <f t="shared" si="470"/>
        <v>-0.3538015716973274</v>
      </c>
      <c r="AC103" s="636">
        <f t="shared" si="84"/>
        <v>1</v>
      </c>
      <c r="AD103" s="637">
        <f t="shared" si="115"/>
        <v>0.54222138305405665</v>
      </c>
      <c r="AE103" s="629">
        <f t="shared" si="85"/>
        <v>0.76211575211607263</v>
      </c>
      <c r="AF103" s="633">
        <f t="shared" si="86"/>
        <v>-0.3538015716973274</v>
      </c>
      <c r="AG103" s="602">
        <f t="shared" si="87"/>
        <v>65.097574321410207</v>
      </c>
      <c r="AH103" s="603">
        <f t="shared" si="88"/>
        <v>57.165013572857227</v>
      </c>
      <c r="AI103" s="585">
        <f t="shared" si="89"/>
        <v>-69.279986652300252</v>
      </c>
      <c r="AJ103" s="586">
        <f t="shared" si="90"/>
        <v>144.56934565699706</v>
      </c>
      <c r="AK103" s="635">
        <f t="shared" si="211"/>
        <v>0.93346218028961236</v>
      </c>
      <c r="AL103" s="629">
        <f t="shared" si="91"/>
        <v>5.8930516996413052E-2</v>
      </c>
      <c r="AM103" s="634">
        <f t="shared" si="92"/>
        <v>-0.3538015716973274</v>
      </c>
      <c r="AN103" s="581">
        <f t="shared" si="93"/>
        <v>9.4565848639320631</v>
      </c>
      <c r="AO103" s="582">
        <f t="shared" si="461"/>
        <v>21.018897056717336</v>
      </c>
      <c r="AP103" s="585">
        <f t="shared" si="95"/>
        <v>3.6123530142765015</v>
      </c>
      <c r="AQ103" s="586">
        <f t="shared" si="471"/>
        <v>0.87870673859817083</v>
      </c>
      <c r="AS103" s="52">
        <f t="shared" si="543"/>
        <v>-309.03100735901205</v>
      </c>
      <c r="AT103" s="73">
        <f t="shared" si="472"/>
        <v>4.0312673863280857E-2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7.1130000000000004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-2.6097304798068253</v>
      </c>
      <c r="C104" s="708">
        <v>2.1621047852814477</v>
      </c>
      <c r="D104" s="709">
        <v>-8.1800246709543945E-2</v>
      </c>
      <c r="E104" s="710">
        <v>-0.66848564151095469</v>
      </c>
      <c r="F104" s="708">
        <v>-0.69806795038774005</v>
      </c>
      <c r="G104" s="711">
        <v>0.25656984182702985</v>
      </c>
      <c r="H104" s="710">
        <v>0.314</v>
      </c>
      <c r="I104" s="708">
        <v>0.52</v>
      </c>
      <c r="J104" s="570">
        <v>7.12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7.12</v>
      </c>
      <c r="N104" s="632">
        <f t="shared" si="465"/>
        <v>-2.6097304798068253</v>
      </c>
      <c r="O104" s="629">
        <f t="shared" si="466"/>
        <v>2.1621047852814477</v>
      </c>
      <c r="P104" s="633">
        <f t="shared" si="467"/>
        <v>-8.1800246709543945E-2</v>
      </c>
      <c r="Q104" s="585">
        <f t="shared" si="520"/>
        <v>140.35899272906104</v>
      </c>
      <c r="R104" s="629">
        <f t="shared" si="79"/>
        <v>3.3890102212548276</v>
      </c>
      <c r="S104" s="634">
        <f t="shared" si="80"/>
        <v>-8.1800246709543945E-2</v>
      </c>
      <c r="T104" s="635">
        <f t="shared" si="81"/>
        <v>2.1615581572705627</v>
      </c>
      <c r="U104" s="629">
        <f t="shared" si="82"/>
        <v>2.6101832526676714</v>
      </c>
      <c r="V104" s="636">
        <f t="shared" si="114"/>
        <v>-8.1800246709543945E-2</v>
      </c>
      <c r="W104" s="585">
        <f t="shared" si="645"/>
        <v>50.370992727328456</v>
      </c>
      <c r="X104" s="629">
        <f t="shared" si="83"/>
        <v>3.3890102212548276</v>
      </c>
      <c r="Y104" s="630">
        <f t="shared" si="644"/>
        <v>-8.1800246709543945E-2</v>
      </c>
      <c r="Z104" s="632">
        <f t="shared" si="468"/>
        <v>0.66848564151095469</v>
      </c>
      <c r="AA104" s="629">
        <f t="shared" si="469"/>
        <v>0.69806795038774005</v>
      </c>
      <c r="AB104" s="629">
        <f t="shared" si="470"/>
        <v>-0.25656984182702985</v>
      </c>
      <c r="AC104" s="636">
        <f t="shared" si="84"/>
        <v>1</v>
      </c>
      <c r="AD104" s="637">
        <f t="shared" si="115"/>
        <v>0.66848564151095469</v>
      </c>
      <c r="AE104" s="629">
        <f t="shared" si="85"/>
        <v>0.69806795038774005</v>
      </c>
      <c r="AF104" s="633">
        <f t="shared" si="86"/>
        <v>-0.25656984182702985</v>
      </c>
      <c r="AG104" s="602">
        <f t="shared" si="87"/>
        <v>69.819460005718838</v>
      </c>
      <c r="AH104" s="603">
        <f t="shared" si="88"/>
        <v>48.049706786127587</v>
      </c>
      <c r="AI104" s="585">
        <f t="shared" si="89"/>
        <v>-75.133374416317992</v>
      </c>
      <c r="AJ104" s="586">
        <f t="shared" si="90"/>
        <v>136.24010999371649</v>
      </c>
      <c r="AK104" s="635">
        <f t="shared" si="211"/>
        <v>0.96402931776825584</v>
      </c>
      <c r="AL104" s="629">
        <f t="shared" si="91"/>
        <v>-6.9421831927169275E-2</v>
      </c>
      <c r="AM104" s="634">
        <f t="shared" si="92"/>
        <v>-0.25656984182702985</v>
      </c>
      <c r="AN104" s="581">
        <f t="shared" si="93"/>
        <v>-15.140370248253214</v>
      </c>
      <c r="AO104" s="582">
        <f t="shared" si="461"/>
        <v>15.414252229197286</v>
      </c>
      <c r="AP104" s="585">
        <f t="shared" si="95"/>
        <v>-4.118882735344525</v>
      </c>
      <c r="AQ104" s="586">
        <f t="shared" si="471"/>
        <v>0.67265123033758878</v>
      </c>
      <c r="AS104" s="52">
        <f t="shared" si="543"/>
        <v>-309.62900727267152</v>
      </c>
      <c r="AT104" s="73">
        <f t="shared" si="472"/>
        <v>0.13322823056194144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7.12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-3.1669214942246318</v>
      </c>
      <c r="C105" s="708">
        <v>2.716394769814507</v>
      </c>
      <c r="D105" s="709">
        <v>-0.24480073831902674</v>
      </c>
      <c r="E105" s="710">
        <v>-0.74215939907168038</v>
      </c>
      <c r="F105" s="708">
        <v>-0.62936773112290667</v>
      </c>
      <c r="G105" s="711">
        <v>0.23042501034125396</v>
      </c>
      <c r="H105" s="710">
        <v>0.314</v>
      </c>
      <c r="I105" s="708">
        <v>0.52</v>
      </c>
      <c r="J105" s="570">
        <v>7.1269999999999998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7.1269999999999998</v>
      </c>
      <c r="N105" s="632">
        <f t="shared" ref="N105:N136" si="661">IF(M105="","",B105)</f>
        <v>-3.1669214942246318</v>
      </c>
      <c r="O105" s="629">
        <f t="shared" ref="O105:O136" si="662">IF(M105="","",C105)</f>
        <v>2.716394769814507</v>
      </c>
      <c r="P105" s="633">
        <f t="shared" ref="P105:P136" si="663">IF(M105="","",D105)</f>
        <v>-0.24480073831902674</v>
      </c>
      <c r="Q105" s="585">
        <f t="shared" si="520"/>
        <v>139.37899287055552</v>
      </c>
      <c r="R105" s="629">
        <f t="shared" si="79"/>
        <v>4.1723125836947528</v>
      </c>
      <c r="S105" s="634">
        <f t="shared" si="80"/>
        <v>-0.24480073831902674</v>
      </c>
      <c r="T105" s="635">
        <f t="shared" si="81"/>
        <v>2.7157314318512182</v>
      </c>
      <c r="U105" s="629">
        <f t="shared" si="82"/>
        <v>3.1674903450701968</v>
      </c>
      <c r="V105" s="636">
        <f t="shared" si="114"/>
        <v>-0.24480073831902674</v>
      </c>
      <c r="W105" s="585">
        <f t="shared" si="645"/>
        <v>49.390992868822934</v>
      </c>
      <c r="X105" s="629">
        <f t="shared" si="83"/>
        <v>4.1723125836947528</v>
      </c>
      <c r="Y105" s="630">
        <f t="shared" si="644"/>
        <v>-0.24480073831902674</v>
      </c>
      <c r="Z105" s="632">
        <f t="shared" ref="Z105:Z136" si="664">IF(M105="","",-E105)</f>
        <v>0.74215939907168038</v>
      </c>
      <c r="AA105" s="629">
        <f t="shared" ref="AA105:AA136" si="665">IF(M105="","",-F105)</f>
        <v>0.62936773112290667</v>
      </c>
      <c r="AB105" s="629">
        <f t="shared" ref="AB105:AB136" si="666">IF(M105="","",-G105)</f>
        <v>-0.23042501034125396</v>
      </c>
      <c r="AC105" s="636">
        <f t="shared" si="84"/>
        <v>1</v>
      </c>
      <c r="AD105" s="637">
        <f t="shared" si="115"/>
        <v>0.74215939907168038</v>
      </c>
      <c r="AE105" s="629">
        <f t="shared" si="85"/>
        <v>0.62936773112290667</v>
      </c>
      <c r="AF105" s="633">
        <f t="shared" si="86"/>
        <v>-0.23042501034125396</v>
      </c>
      <c r="AG105" s="602">
        <f t="shared" si="87"/>
        <v>69.891239190570374</v>
      </c>
      <c r="AH105" s="603">
        <f t="shared" si="88"/>
        <v>42.084310440658292</v>
      </c>
      <c r="AI105" s="585">
        <f t="shared" si="89"/>
        <v>-76.67790483429178</v>
      </c>
      <c r="AJ105" s="586">
        <f t="shared" si="90"/>
        <v>130.29868827614121</v>
      </c>
      <c r="AK105" s="635">
        <f t="shared" si="211"/>
        <v>0.9608954327005963</v>
      </c>
      <c r="AL105" s="629">
        <f t="shared" si="91"/>
        <v>-0.15357174878331975</v>
      </c>
      <c r="AM105" s="634">
        <f t="shared" si="92"/>
        <v>-0.23042501034125396</v>
      </c>
      <c r="AN105" s="581">
        <f t="shared" si="93"/>
        <v>-33.682333294118393</v>
      </c>
      <c r="AO105" s="582">
        <f t="shared" si="461"/>
        <v>16.075958298350535</v>
      </c>
      <c r="AP105" s="585">
        <f t="shared" si="95"/>
        <v>-9.080304594414315</v>
      </c>
      <c r="AQ105" s="586">
        <f t="shared" ref="AQ105:AQ136" si="667">IF(M105="","",DEGREES(ATAN(($AS$5*SIN(RADIANS(90)))/(($X105*2*PI())-($AS$5*COS(RADIANS(90)))))))</f>
        <v>0.54637745423584061</v>
      </c>
      <c r="AS105" s="52">
        <f t="shared" si="543"/>
        <v>-310.60900713117707</v>
      </c>
      <c r="AT105" s="73">
        <f t="shared" ref="AT105:AT136" si="668">IF(M105="","",Y105+(((AS105-$AS$9)*$AS$6)*-1))</f>
        <v>-2.9091705590245848E-2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7.1269999999999998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-3.6338785781441105</v>
      </c>
      <c r="C106" s="708">
        <v>3.2333478012528807</v>
      </c>
      <c r="D106" s="709">
        <v>-0.64700195135788541</v>
      </c>
      <c r="E106" s="710">
        <v>-0.8022732883664484</v>
      </c>
      <c r="F106" s="708">
        <v>-0.56749600777050779</v>
      </c>
      <c r="G106" s="711">
        <v>0.18521838984890593</v>
      </c>
      <c r="H106" s="710">
        <v>0.314</v>
      </c>
      <c r="I106" s="708">
        <v>0.52</v>
      </c>
      <c r="J106" s="570">
        <v>7.1340000000000003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7.1340000000000003</v>
      </c>
      <c r="N106" s="632">
        <f t="shared" si="661"/>
        <v>-3.6338785781441105</v>
      </c>
      <c r="O106" s="629">
        <f t="shared" si="662"/>
        <v>3.2333478012528807</v>
      </c>
      <c r="P106" s="633">
        <f t="shared" si="663"/>
        <v>-0.64700195135788541</v>
      </c>
      <c r="Q106" s="585">
        <f t="shared" si="520"/>
        <v>138.33799302085728</v>
      </c>
      <c r="R106" s="629">
        <f t="shared" ref="R106:R129" si="716">IF(M106="","",SQRT(N106^2+O106^2))</f>
        <v>4.8641146701698448</v>
      </c>
      <c r="S106" s="634">
        <f t="shared" ref="S106:S129" si="717">IF(M106="","",P106)</f>
        <v>-0.64700195135788541</v>
      </c>
      <c r="T106" s="635">
        <f t="shared" ref="T106:T129" si="718">IF(M106="","",X106*COS(RADIANS(W106)))</f>
        <v>3.2325866527034237</v>
      </c>
      <c r="U106" s="629">
        <f t="shared" ref="U106:U129" si="719">IF(M106="","",X106*SIN(RADIANS(W106)))</f>
        <v>3.6345556891214601</v>
      </c>
      <c r="V106" s="636">
        <f t="shared" ref="V106:V129" si="720">IF(M106="","",Y106)</f>
        <v>-0.64700195135788541</v>
      </c>
      <c r="W106" s="585">
        <f t="shared" si="645"/>
        <v>48.349993019124696</v>
      </c>
      <c r="X106" s="629">
        <f t="shared" ref="X106:X129" si="721">IF(M106="","",R106)</f>
        <v>4.8641146701698448</v>
      </c>
      <c r="Y106" s="630">
        <f t="shared" si="644"/>
        <v>-0.64700195135788541</v>
      </c>
      <c r="Z106" s="632">
        <f t="shared" si="664"/>
        <v>0.8022732883664484</v>
      </c>
      <c r="AA106" s="629">
        <f t="shared" si="665"/>
        <v>0.56749600777050779</v>
      </c>
      <c r="AB106" s="629">
        <f t="shared" si="666"/>
        <v>-0.18521838984890593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0.8022732883664484</v>
      </c>
      <c r="AE106" s="629">
        <f t="shared" ref="AE106:AE129" si="724">IF(M106="","",AA106*(1/SQRT(Z106^2+AA106^2+AB106^2)))</f>
        <v>0.56749600777050779</v>
      </c>
      <c r="AF106" s="633">
        <f t="shared" ref="AF106:AF129" si="725">IF(M106="","",AB106*(1/SQRT(Z106^2+AA106^2+AB106^2)))</f>
        <v>-0.18521838984890593</v>
      </c>
      <c r="AG106" s="602">
        <f t="shared" ref="AG106:AG129" si="726">IF(M106="","",DEGREES(ATAN2(-AF106,AE106)))</f>
        <v>71.924440303405319</v>
      </c>
      <c r="AH106" s="603">
        <f t="shared" ref="AH106:AH129" si="727">IF(M106="","",DEGREES(ACOS(AD106)))</f>
        <v>36.652262959674317</v>
      </c>
      <c r="AI106" s="585">
        <f t="shared" ref="AI106:AI129" si="728">IF(M106="","",DEGREES(-ACOS(-AF106)))</f>
        <v>-79.326134735710696</v>
      </c>
      <c r="AJ106" s="586">
        <f t="shared" ref="AJ106:AJ129" si="729">IF(M106="","",DEGREES(ATAN2(-AE106,AD106)))</f>
        <v>125.27405956119932</v>
      </c>
      <c r="AK106" s="635">
        <f t="shared" ref="AK106:AK129" si="730">IF(M106="","",(COS(RADIANS((90-$Q$8)-W106))*AD106)+(-SIN(RADIANS((90-$Q$8)-W106))*AE106))</f>
        <v>0.95726364909085082</v>
      </c>
      <c r="AL106" s="629">
        <f t="shared" ref="AL106:AL129" si="731">IF(M106="","",(SIN(RADIANS((90-$Q$8)-W106))*AD106)+(COS(RADIANS((90-$Q$8)-W106))*AE106))</f>
        <v>-0.222127112687864</v>
      </c>
      <c r="AM106" s="634">
        <f t="shared" ref="AM106:AM129" si="732">IF(M106="","",AF106)</f>
        <v>-0.18521838984890593</v>
      </c>
      <c r="AN106" s="581">
        <f t="shared" ref="AN106:AN129" si="733">IF(M106="","",DEGREES(ATAN2(-AM106,AL106)))</f>
        <v>-50.177313244108326</v>
      </c>
      <c r="AO106" s="582">
        <f t="shared" si="461"/>
        <v>16.811067490596812</v>
      </c>
      <c r="AP106" s="585">
        <f t="shared" ref="AP106:AP129" si="734">IF(M106="","",DEGREES(ATAN2(AK106,AL106)))</f>
        <v>-13.063933459657958</v>
      </c>
      <c r="AQ106" s="586">
        <f t="shared" si="667"/>
        <v>0.46867229507104369</v>
      </c>
      <c r="AS106" s="52">
        <f t="shared" si="543"/>
        <v>-311.65000698087533</v>
      </c>
      <c r="AT106" s="73">
        <f t="shared" si="668"/>
        <v>-0.43057000206681406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7.1340000000000003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-3.9726318215466754</v>
      </c>
      <c r="C107" s="708">
        <v>3.6433097264716441</v>
      </c>
      <c r="D107" s="709">
        <v>-1.2490037669953622</v>
      </c>
      <c r="E107" s="710">
        <v>-0.84458844765115948</v>
      </c>
      <c r="F107" s="708">
        <v>-0.51989016801223142</v>
      </c>
      <c r="G107" s="711">
        <v>0.12800221599026576</v>
      </c>
      <c r="H107" s="710">
        <v>0.314</v>
      </c>
      <c r="I107" s="708">
        <v>0.52</v>
      </c>
      <c r="J107" s="570">
        <v>7.141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7.141</v>
      </c>
      <c r="N107" s="632">
        <f t="shared" si="661"/>
        <v>-3.9726318215466754</v>
      </c>
      <c r="O107" s="629">
        <f t="shared" si="662"/>
        <v>3.6433097264716441</v>
      </c>
      <c r="P107" s="633">
        <f t="shared" si="663"/>
        <v>-1.2490037669953622</v>
      </c>
      <c r="Q107" s="585">
        <f t="shared" si="520"/>
        <v>137.47599314531467</v>
      </c>
      <c r="R107" s="629">
        <f t="shared" si="716"/>
        <v>5.3903162571938337</v>
      </c>
      <c r="S107" s="634">
        <f t="shared" si="717"/>
        <v>-1.2490037669953622</v>
      </c>
      <c r="T107" s="635">
        <f t="shared" si="718"/>
        <v>3.6424776206280902</v>
      </c>
      <c r="U107" s="629">
        <f t="shared" si="719"/>
        <v>3.9733947873061477</v>
      </c>
      <c r="V107" s="636">
        <f t="shared" si="720"/>
        <v>-1.2490037669953622</v>
      </c>
      <c r="W107" s="585">
        <f t="shared" si="645"/>
        <v>47.487993143582088</v>
      </c>
      <c r="X107" s="629">
        <f t="shared" si="721"/>
        <v>5.3903162571938337</v>
      </c>
      <c r="Y107" s="630">
        <f t="shared" si="644"/>
        <v>-1.2490037669953622</v>
      </c>
      <c r="Z107" s="632">
        <f t="shared" si="664"/>
        <v>0.84458844765115948</v>
      </c>
      <c r="AA107" s="629">
        <f t="shared" si="665"/>
        <v>0.51989016801223142</v>
      </c>
      <c r="AB107" s="629">
        <f t="shared" si="666"/>
        <v>-0.12800221599026576</v>
      </c>
      <c r="AC107" s="636">
        <f t="shared" si="722"/>
        <v>1</v>
      </c>
      <c r="AD107" s="637">
        <f t="shared" si="723"/>
        <v>0.84458844765115948</v>
      </c>
      <c r="AE107" s="629">
        <f t="shared" si="724"/>
        <v>0.51989016801223142</v>
      </c>
      <c r="AF107" s="633">
        <f t="shared" si="725"/>
        <v>-0.12800221599026576</v>
      </c>
      <c r="AG107" s="602">
        <f t="shared" si="726"/>
        <v>76.168309500017855</v>
      </c>
      <c r="AH107" s="603">
        <f t="shared" si="727"/>
        <v>32.372131773306513</v>
      </c>
      <c r="AI107" s="585">
        <f t="shared" si="728"/>
        <v>-82.645836769622321</v>
      </c>
      <c r="AJ107" s="586">
        <f t="shared" si="729"/>
        <v>121.61455921790088</v>
      </c>
      <c r="AK107" s="635">
        <f t="shared" si="730"/>
        <v>0.95401258219027252</v>
      </c>
      <c r="AL107" s="629">
        <f t="shared" si="731"/>
        <v>-0.27106350865476186</v>
      </c>
      <c r="AM107" s="634">
        <f t="shared" si="732"/>
        <v>-0.12800221599026576</v>
      </c>
      <c r="AN107" s="581">
        <f t="shared" si="733"/>
        <v>-64.722277147438973</v>
      </c>
      <c r="AO107" s="582">
        <f t="shared" si="461"/>
        <v>17.443582973754094</v>
      </c>
      <c r="AP107" s="585">
        <f t="shared" si="734"/>
        <v>-15.86143392741379</v>
      </c>
      <c r="AQ107" s="586">
        <f t="shared" si="667"/>
        <v>0.42292235176637205</v>
      </c>
      <c r="AS107" s="52">
        <f t="shared" ref="AS107:AS138" si="737">IF(G107="","",IF(AND(W107&lt;(AS106+180),W107&gt;(AS106-180)),W107,IF(W107&gt;(AS106+180),W107-360,IF(W107&lt;(AS106-180),W107+360,"Error"))))</f>
        <v>-312.51200685641788</v>
      </c>
      <c r="AT107" s="73">
        <f t="shared" si="668"/>
        <v>-1.0319732066796086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7.141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-4.1530356174485439</v>
      </c>
      <c r="C108" s="708">
        <v>3.8753448721937889</v>
      </c>
      <c r="D108" s="709">
        <v>-1.9899060015565011</v>
      </c>
      <c r="E108" s="710">
        <v>-0.86775603434618254</v>
      </c>
      <c r="F108" s="708">
        <v>-0.49243059035696701</v>
      </c>
      <c r="G108" s="711">
        <v>6.7168285198268785E-2</v>
      </c>
      <c r="H108" s="710">
        <v>0.314</v>
      </c>
      <c r="I108" s="708">
        <v>0.52</v>
      </c>
      <c r="J108" s="570">
        <v>7.1479999999999997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7.1479999999999997</v>
      </c>
      <c r="N108" s="632">
        <f t="shared" si="661"/>
        <v>-4.1530356174485439</v>
      </c>
      <c r="O108" s="629">
        <f t="shared" si="662"/>
        <v>3.8753448721937889</v>
      </c>
      <c r="P108" s="633">
        <f t="shared" si="663"/>
        <v>-1.9899060015565011</v>
      </c>
      <c r="Q108" s="585">
        <f t="shared" si="520"/>
        <v>136.98099321678384</v>
      </c>
      <c r="R108" s="629">
        <f t="shared" si="716"/>
        <v>5.6803171318364702</v>
      </c>
      <c r="S108" s="634">
        <f t="shared" si="717"/>
        <v>-1.9899060015565011</v>
      </c>
      <c r="T108" s="635">
        <f t="shared" si="718"/>
        <v>3.8744749775842089</v>
      </c>
      <c r="U108" s="629">
        <f t="shared" si="719"/>
        <v>4.1538471765712268</v>
      </c>
      <c r="V108" s="636">
        <f t="shared" si="720"/>
        <v>-1.9899060015565011</v>
      </c>
      <c r="W108" s="585">
        <f t="shared" si="645"/>
        <v>46.992993215051257</v>
      </c>
      <c r="X108" s="629">
        <f t="shared" si="721"/>
        <v>5.6803171318364702</v>
      </c>
      <c r="Y108" s="630">
        <f t="shared" si="644"/>
        <v>-1.9899060015565011</v>
      </c>
      <c r="Z108" s="632">
        <f t="shared" si="664"/>
        <v>0.86775603434618254</v>
      </c>
      <c r="AA108" s="629">
        <f t="shared" si="665"/>
        <v>0.49243059035696701</v>
      </c>
      <c r="AB108" s="629">
        <f t="shared" si="666"/>
        <v>-6.7168285198268785E-2</v>
      </c>
      <c r="AC108" s="636">
        <f t="shared" si="722"/>
        <v>1</v>
      </c>
      <c r="AD108" s="637">
        <f t="shared" si="723"/>
        <v>0.86775603434618254</v>
      </c>
      <c r="AE108" s="629">
        <f t="shared" si="724"/>
        <v>0.49243059035696701</v>
      </c>
      <c r="AF108" s="633">
        <f t="shared" si="725"/>
        <v>-6.7168285198268785E-2</v>
      </c>
      <c r="AG108" s="602">
        <f t="shared" si="726"/>
        <v>82.232702567595041</v>
      </c>
      <c r="AH108" s="603">
        <f t="shared" si="727"/>
        <v>29.801085894560629</v>
      </c>
      <c r="AI108" s="585">
        <f t="shared" si="728"/>
        <v>-86.148641079186788</v>
      </c>
      <c r="AJ108" s="586">
        <f t="shared" si="729"/>
        <v>119.57386372315766</v>
      </c>
      <c r="AK108" s="635">
        <f t="shared" si="730"/>
        <v>0.9520481961442856</v>
      </c>
      <c r="AL108" s="629">
        <f t="shared" si="731"/>
        <v>-0.29848392533256501</v>
      </c>
      <c r="AM108" s="634">
        <f t="shared" si="732"/>
        <v>-6.7168285198268785E-2</v>
      </c>
      <c r="AN108" s="581">
        <f t="shared" si="733"/>
        <v>-77.317898713714271</v>
      </c>
      <c r="AO108" s="582">
        <f t="shared" si="461"/>
        <v>17.815212205013996</v>
      </c>
      <c r="AP108" s="585">
        <f t="shared" si="734"/>
        <v>-17.407129493626197</v>
      </c>
      <c r="AQ108" s="586">
        <f t="shared" si="667"/>
        <v>0.40133135086065541</v>
      </c>
      <c r="AS108" s="52">
        <f t="shared" si="737"/>
        <v>-313.00700678494877</v>
      </c>
      <c r="AT108" s="73">
        <f t="shared" si="668"/>
        <v>-1.7725316912903788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7.1479999999999997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-4.2336652330010729</v>
      </c>
      <c r="C109" s="708">
        <v>3.9824962323711324</v>
      </c>
      <c r="D109" s="709">
        <v>-2.7782083790764713</v>
      </c>
      <c r="E109" s="710">
        <v>-0.92162740672349086</v>
      </c>
      <c r="F109" s="708">
        <v>-0.38646394428231351</v>
      </c>
      <c r="G109" s="711">
        <v>3.5334727194219706E-2</v>
      </c>
      <c r="H109" s="710">
        <v>0.314</v>
      </c>
      <c r="I109" s="708">
        <v>0.52</v>
      </c>
      <c r="J109" s="570">
        <v>7.1550000000000002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0"/>
        <v>7.1550000000000002</v>
      </c>
      <c r="N109" s="632">
        <f t="shared" si="661"/>
        <v>-4.2336652330010729</v>
      </c>
      <c r="O109" s="629">
        <f t="shared" si="662"/>
        <v>3.9824962323711324</v>
      </c>
      <c r="P109" s="633">
        <f t="shared" si="663"/>
        <v>-2.7782083790764713</v>
      </c>
      <c r="Q109" s="585">
        <f t="shared" si="520"/>
        <v>136.75099324999172</v>
      </c>
      <c r="R109" s="629">
        <f t="shared" si="716"/>
        <v>5.8124175302512713</v>
      </c>
      <c r="S109" s="634">
        <f t="shared" si="717"/>
        <v>-2.7782083790764713</v>
      </c>
      <c r="T109" s="635">
        <f t="shared" si="718"/>
        <v>3.9816094483868301</v>
      </c>
      <c r="U109" s="629">
        <f t="shared" si="719"/>
        <v>4.234499232080343</v>
      </c>
      <c r="V109" s="636">
        <f t="shared" si="720"/>
        <v>-2.7782083790764713</v>
      </c>
      <c r="W109" s="585">
        <f t="shared" si="645"/>
        <v>46.762993248259136</v>
      </c>
      <c r="X109" s="629">
        <f t="shared" si="721"/>
        <v>5.8124175302512713</v>
      </c>
      <c r="Y109" s="630">
        <f t="shared" si="644"/>
        <v>-2.7782083790764713</v>
      </c>
      <c r="Z109" s="632">
        <f t="shared" si="664"/>
        <v>0.92162740672349086</v>
      </c>
      <c r="AA109" s="629">
        <f t="shared" si="665"/>
        <v>0.38646394428231351</v>
      </c>
      <c r="AB109" s="629">
        <f t="shared" si="666"/>
        <v>-3.5334727194219706E-2</v>
      </c>
      <c r="AC109" s="636">
        <f t="shared" si="722"/>
        <v>1</v>
      </c>
      <c r="AD109" s="637">
        <f t="shared" si="723"/>
        <v>0.92162740672349086</v>
      </c>
      <c r="AE109" s="629">
        <f t="shared" si="724"/>
        <v>0.38646394428231351</v>
      </c>
      <c r="AF109" s="633">
        <f t="shared" si="725"/>
        <v>-3.5334727194219706E-2</v>
      </c>
      <c r="AG109" s="602">
        <f t="shared" si="726"/>
        <v>84.775922893192458</v>
      </c>
      <c r="AH109" s="603">
        <f t="shared" si="727"/>
        <v>22.834830668464626</v>
      </c>
      <c r="AI109" s="585">
        <f t="shared" si="728"/>
        <v>-87.97504773905672</v>
      </c>
      <c r="AJ109" s="586">
        <f t="shared" si="729"/>
        <v>112.74965625175598</v>
      </c>
      <c r="AK109" s="635">
        <f t="shared" si="730"/>
        <v>0.91296549362195778</v>
      </c>
      <c r="AL109" s="629">
        <f t="shared" si="731"/>
        <v>-0.40650395386727128</v>
      </c>
      <c r="AM109" s="634">
        <f t="shared" si="732"/>
        <v>-3.5334727194219706E-2</v>
      </c>
      <c r="AN109" s="581">
        <f t="shared" si="733"/>
        <v>-85.032139776067012</v>
      </c>
      <c r="AO109" s="582">
        <f t="shared" si="461"/>
        <v>24.081567425784165</v>
      </c>
      <c r="AP109" s="585">
        <f t="shared" si="734"/>
        <v>-24.00133699823575</v>
      </c>
      <c r="AQ109" s="586">
        <f t="shared" si="667"/>
        <v>0.3922104720452535</v>
      </c>
      <c r="AS109" s="52">
        <f t="shared" si="737"/>
        <v>-313.23700675174086</v>
      </c>
      <c r="AT109" s="73">
        <f t="shared" si="668"/>
        <v>-2.5606743466111879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7.1550000000000002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>
        <f t="shared" si="542"/>
        <v>1613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-4.294112248738581</v>
      </c>
      <c r="C110" s="708">
        <v>4.0642917108359411</v>
      </c>
      <c r="D110" s="709">
        <v>-3.5325106540521327</v>
      </c>
      <c r="E110" s="710">
        <v>-0.99342282372660995</v>
      </c>
      <c r="F110" s="708">
        <v>-0.1145036824692891</v>
      </c>
      <c r="G110" s="711">
        <v>1.4578093126044298E-7</v>
      </c>
      <c r="H110" s="710">
        <v>0.314</v>
      </c>
      <c r="I110" s="708">
        <v>0.52</v>
      </c>
      <c r="J110" s="570">
        <v>7.1619999999999999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1613</v>
      </c>
      <c r="L110" s="320"/>
      <c r="M110" s="168">
        <f t="shared" si="660"/>
        <v>7.1619999999999999</v>
      </c>
      <c r="N110" s="632">
        <f t="shared" si="661"/>
        <v>-4.294112248738581</v>
      </c>
      <c r="O110" s="629">
        <f t="shared" si="662"/>
        <v>4.0642917108359411</v>
      </c>
      <c r="P110" s="633">
        <f t="shared" si="663"/>
        <v>-3.5325106540521327</v>
      </c>
      <c r="Q110" s="585">
        <f t="shared" si="520"/>
        <v>136.57499327540296</v>
      </c>
      <c r="R110" s="629">
        <f t="shared" si="716"/>
        <v>5.9125178321537817</v>
      </c>
      <c r="S110" s="634">
        <f t="shared" si="717"/>
        <v>-3.5325106540521327</v>
      </c>
      <c r="T110" s="635">
        <f t="shared" si="718"/>
        <v>4.0633922650662138</v>
      </c>
      <c r="U110" s="629">
        <f t="shared" si="719"/>
        <v>4.29496337769445</v>
      </c>
      <c r="V110" s="636">
        <f t="shared" si="720"/>
        <v>-3.5325106540521327</v>
      </c>
      <c r="W110" s="585">
        <f t="shared" si="645"/>
        <v>46.586993273670373</v>
      </c>
      <c r="X110" s="629">
        <f t="shared" si="721"/>
        <v>5.9125178321537817</v>
      </c>
      <c r="Y110" s="630">
        <f t="shared" si="644"/>
        <v>-3.5325106540521327</v>
      </c>
      <c r="Z110" s="632">
        <f t="shared" si="664"/>
        <v>0.99342282372660995</v>
      </c>
      <c r="AA110" s="629">
        <f t="shared" si="665"/>
        <v>0.1145036824692891</v>
      </c>
      <c r="AB110" s="629">
        <f t="shared" si="666"/>
        <v>-1.4578093126044298E-7</v>
      </c>
      <c r="AC110" s="636">
        <f t="shared" si="722"/>
        <v>1</v>
      </c>
      <c r="AD110" s="637">
        <f t="shared" si="723"/>
        <v>0.99342282372660995</v>
      </c>
      <c r="AE110" s="629">
        <f t="shared" si="724"/>
        <v>0.1145036824692891</v>
      </c>
      <c r="AF110" s="633">
        <f t="shared" si="725"/>
        <v>-1.4578093126044298E-7</v>
      </c>
      <c r="AG110" s="602">
        <f t="shared" si="726"/>
        <v>89.999927053594135</v>
      </c>
      <c r="AH110" s="603">
        <f t="shared" si="727"/>
        <v>6.5749990506935321</v>
      </c>
      <c r="AI110" s="585">
        <f t="shared" si="728"/>
        <v>-89.999991647367906</v>
      </c>
      <c r="AJ110" s="586">
        <f t="shared" si="729"/>
        <v>96.574999050688305</v>
      </c>
      <c r="AK110" s="635">
        <f t="shared" si="730"/>
        <v>0.76604450791050738</v>
      </c>
      <c r="AL110" s="629">
        <f t="shared" si="731"/>
        <v>-0.6427875324709772</v>
      </c>
      <c r="AM110" s="634">
        <f t="shared" si="732"/>
        <v>-1.4578093126044298E-7</v>
      </c>
      <c r="AN110" s="581">
        <f t="shared" si="733"/>
        <v>-89.999987005609668</v>
      </c>
      <c r="AO110" s="582">
        <f t="shared" si="461"/>
        <v>39.999994224715365</v>
      </c>
      <c r="AP110" s="585">
        <f t="shared" si="734"/>
        <v>-39.999994224714648</v>
      </c>
      <c r="AQ110" s="586">
        <f t="shared" si="667"/>
        <v>0.38557045973782406</v>
      </c>
      <c r="AS110" s="52">
        <f t="shared" si="737"/>
        <v>-313.41300672632963</v>
      </c>
      <c r="AT110" s="73">
        <f t="shared" si="668"/>
        <v>-3.3148543993822734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7.1619999999999999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>
        <f t="shared" si="542"/>
        <v>1613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-1.8937966419833749</v>
      </c>
      <c r="C111" s="708">
        <v>2.8124316852172178</v>
      </c>
      <c r="D111" s="709">
        <v>-2.370007147941558E-2</v>
      </c>
      <c r="E111" s="710">
        <v>-0.79146735627350762</v>
      </c>
      <c r="F111" s="708">
        <v>-0.44405781805596733</v>
      </c>
      <c r="G111" s="711">
        <v>0.41999056915221111</v>
      </c>
      <c r="H111" s="710">
        <v>0.26600000000000001</v>
      </c>
      <c r="I111" s="708">
        <v>0.52</v>
      </c>
      <c r="J111" s="570">
        <v>7.22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7.22</v>
      </c>
      <c r="N111" s="632">
        <f t="shared" si="661"/>
        <v>-1.8937966419833749</v>
      </c>
      <c r="O111" s="629">
        <f t="shared" si="662"/>
        <v>2.8124316852172178</v>
      </c>
      <c r="P111" s="633">
        <f t="shared" si="663"/>
        <v>-2.370007147941558E-2</v>
      </c>
      <c r="Q111" s="585">
        <f t="shared" si="520"/>
        <v>123.95499509750528</v>
      </c>
      <c r="R111" s="629">
        <f t="shared" si="716"/>
        <v>3.390610226080442</v>
      </c>
      <c r="S111" s="634">
        <f t="shared" si="717"/>
        <v>-2.370007147941558E-2</v>
      </c>
      <c r="T111" s="635">
        <f t="shared" si="718"/>
        <v>2.8120349877526833</v>
      </c>
      <c r="U111" s="629">
        <f t="shared" si="719"/>
        <v>1.8943856346731605</v>
      </c>
      <c r="V111" s="636">
        <f t="shared" si="720"/>
        <v>-2.370007147941558E-2</v>
      </c>
      <c r="W111" s="585">
        <f t="shared" si="645"/>
        <v>33.966995095772688</v>
      </c>
      <c r="X111" s="629">
        <f t="shared" si="721"/>
        <v>3.390610226080442</v>
      </c>
      <c r="Y111" s="630">
        <f t="shared" si="644"/>
        <v>-2.370007147941558E-2</v>
      </c>
      <c r="Z111" s="632">
        <f t="shared" si="664"/>
        <v>0.79146735627350762</v>
      </c>
      <c r="AA111" s="629">
        <f t="shared" si="665"/>
        <v>0.44405781805596733</v>
      </c>
      <c r="AB111" s="629">
        <f t="shared" si="666"/>
        <v>-0.41999056915221111</v>
      </c>
      <c r="AC111" s="636">
        <f t="shared" si="722"/>
        <v>1</v>
      </c>
      <c r="AD111" s="637">
        <f t="shared" si="723"/>
        <v>0.79146735627350762</v>
      </c>
      <c r="AE111" s="629">
        <f t="shared" si="724"/>
        <v>0.44405781805596733</v>
      </c>
      <c r="AF111" s="633">
        <f t="shared" si="725"/>
        <v>-0.41999056915221111</v>
      </c>
      <c r="AG111" s="602">
        <f t="shared" si="726"/>
        <v>46.59550709648218</v>
      </c>
      <c r="AH111" s="603">
        <f t="shared" si="727"/>
        <v>37.67714957625526</v>
      </c>
      <c r="AI111" s="585">
        <f t="shared" si="728"/>
        <v>-65.166007917597909</v>
      </c>
      <c r="AJ111" s="586">
        <f t="shared" si="729"/>
        <v>119.29488255943525</v>
      </c>
      <c r="AK111" s="635">
        <f t="shared" si="730"/>
        <v>0.90452835058688641</v>
      </c>
      <c r="AL111" s="629">
        <f t="shared" si="731"/>
        <v>-7.3731843919494167E-2</v>
      </c>
      <c r="AM111" s="634">
        <f t="shared" si="732"/>
        <v>-0.41999056915221111</v>
      </c>
      <c r="AN111" s="581">
        <f t="shared" si="733"/>
        <v>-9.9571497204426898</v>
      </c>
      <c r="AO111" s="582">
        <f t="shared" si="461"/>
        <v>25.240165457185054</v>
      </c>
      <c r="AP111" s="585">
        <f t="shared" si="734"/>
        <v>-4.6601125380700328</v>
      </c>
      <c r="AQ111" s="586">
        <f t="shared" si="667"/>
        <v>0.67233384015560405</v>
      </c>
      <c r="AS111" s="52">
        <f t="shared" si="737"/>
        <v>-326.03300490422731</v>
      </c>
      <c r="AT111" s="73">
        <f t="shared" si="668"/>
        <v>0.20272007081398355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Nose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7.22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0.12</v>
      </c>
      <c r="II111" s="734" cm="1">
        <f t="array" ref="II111">IFERROR(IF($IH111&lt;1,$IH111+LARGE((IF($M$9:$M$150="",0,$M$9:$M$150)-MOD(IF($M$9:$M$150="",0,$M$9:$M$150),1)),1),$IH111),"")</f>
        <v>7.12</v>
      </c>
      <c r="IJ111" s="533">
        <f t="shared" si="542"/>
        <v>1613</v>
      </c>
      <c r="IK111" s="533">
        <f t="shared" si="713"/>
        <v>1313</v>
      </c>
      <c r="IL111" s="727">
        <f t="shared" si="647"/>
        <v>16.403997631555768</v>
      </c>
      <c r="IM111" s="759">
        <v>3.9361780871920802E-3</v>
      </c>
      <c r="IN111" s="5">
        <f t="shared" si="648"/>
        <v>0.06</v>
      </c>
      <c r="IO111" s="771">
        <v>30</v>
      </c>
      <c r="IP111" s="9">
        <f t="shared" si="649"/>
        <v>-3.3890102212548276</v>
      </c>
      <c r="IQ111" s="5">
        <f t="shared" si="650"/>
        <v>-8.1800246709543945E-2</v>
      </c>
      <c r="IR111" s="5">
        <f t="shared" si="714"/>
        <v>0.314</v>
      </c>
      <c r="IS111" s="5">
        <f t="shared" si="651"/>
        <v>0.30270520577923232</v>
      </c>
      <c r="IT111" s="727">
        <f t="shared" si="652"/>
        <v>15.140370248253214</v>
      </c>
      <c r="IU111" s="9">
        <f t="shared" si="653"/>
        <v>-3.390610226080442</v>
      </c>
      <c r="IV111" s="5">
        <f t="shared" si="654"/>
        <v>-2.370007147941558E-2</v>
      </c>
      <c r="IW111" s="5">
        <f t="shared" si="715"/>
        <v>0.26600000000000001</v>
      </c>
      <c r="IX111" s="5">
        <f t="shared" si="655"/>
        <v>0.2406045412561118</v>
      </c>
      <c r="IY111" s="762">
        <f t="shared" si="656"/>
        <v>9.9571497204426898</v>
      </c>
    </row>
    <row r="112" spans="1:259" ht="15" customHeight="1" x14ac:dyDescent="0.25">
      <c r="A112" s="79"/>
      <c r="B112" s="707">
        <v>-2.4215182560556769</v>
      </c>
      <c r="C112" s="708">
        <v>3.4136624155032051</v>
      </c>
      <c r="D112" s="709">
        <v>-0.18750056550170555</v>
      </c>
      <c r="E112" s="710">
        <v>-0.84395245268592289</v>
      </c>
      <c r="F112" s="708">
        <v>-0.36855324807820566</v>
      </c>
      <c r="G112" s="711">
        <v>0.38975987599600331</v>
      </c>
      <c r="H112" s="710">
        <v>0.26600000000000001</v>
      </c>
      <c r="I112" s="708">
        <v>0.52</v>
      </c>
      <c r="J112" s="570">
        <v>7.2270000000000003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1313</v>
      </c>
      <c r="L112" s="320"/>
      <c r="M112" s="168">
        <f t="shared" si="660"/>
        <v>7.2270000000000003</v>
      </c>
      <c r="N112" s="632">
        <f t="shared" si="661"/>
        <v>-2.4215182560556769</v>
      </c>
      <c r="O112" s="629">
        <f t="shared" si="662"/>
        <v>3.4136624155032051</v>
      </c>
      <c r="P112" s="633">
        <f t="shared" si="663"/>
        <v>-0.18750056550170555</v>
      </c>
      <c r="Q112" s="585">
        <f t="shared" si="520"/>
        <v>125.35039489603446</v>
      </c>
      <c r="R112" s="629">
        <f t="shared" si="716"/>
        <v>4.1853126229028703</v>
      </c>
      <c r="S112" s="634">
        <f t="shared" si="717"/>
        <v>-0.18750056550170555</v>
      </c>
      <c r="T112" s="635">
        <f t="shared" si="718"/>
        <v>3.4131551791125818</v>
      </c>
      <c r="U112" s="629">
        <f t="shared" si="719"/>
        <v>2.4222331586218253</v>
      </c>
      <c r="V112" s="636">
        <f t="shared" si="720"/>
        <v>-0.18750056550170555</v>
      </c>
      <c r="W112" s="585">
        <f t="shared" si="645"/>
        <v>35.362394894301872</v>
      </c>
      <c r="X112" s="629">
        <f t="shared" si="721"/>
        <v>4.1853126229028703</v>
      </c>
      <c r="Y112" s="630">
        <f t="shared" si="644"/>
        <v>-0.18750056550170555</v>
      </c>
      <c r="Z112" s="632">
        <f t="shared" si="664"/>
        <v>0.84395245268592289</v>
      </c>
      <c r="AA112" s="629">
        <f t="shared" si="665"/>
        <v>0.36855324807820566</v>
      </c>
      <c r="AB112" s="629">
        <f t="shared" si="666"/>
        <v>-0.38975987599600331</v>
      </c>
      <c r="AC112" s="636">
        <f t="shared" si="722"/>
        <v>1</v>
      </c>
      <c r="AD112" s="637">
        <f t="shared" si="723"/>
        <v>0.84395245268592289</v>
      </c>
      <c r="AE112" s="629">
        <f t="shared" si="724"/>
        <v>0.36855324807820566</v>
      </c>
      <c r="AF112" s="633">
        <f t="shared" si="725"/>
        <v>-0.38975987599600331</v>
      </c>
      <c r="AG112" s="602">
        <f t="shared" si="726"/>
        <v>43.398110707059004</v>
      </c>
      <c r="AH112" s="603">
        <f t="shared" si="727"/>
        <v>32.440127044030845</v>
      </c>
      <c r="AI112" s="585">
        <f t="shared" si="728"/>
        <v>-67.060440987935465</v>
      </c>
      <c r="AJ112" s="586">
        <f t="shared" si="729"/>
        <v>113.59084879445331</v>
      </c>
      <c r="AK112" s="635">
        <f t="shared" si="730"/>
        <v>0.90158789240897397</v>
      </c>
      <c r="AL112" s="629">
        <f t="shared" si="731"/>
        <v>-0.1876872700135111</v>
      </c>
      <c r="AM112" s="634">
        <f t="shared" si="732"/>
        <v>-0.38975987599600331</v>
      </c>
      <c r="AN112" s="581">
        <f t="shared" si="733"/>
        <v>-25.712949969625562</v>
      </c>
      <c r="AO112" s="582">
        <f t="shared" si="461"/>
        <v>25.632420010378823</v>
      </c>
      <c r="AP112" s="585">
        <f t="shared" si="734"/>
        <v>-11.75954610158114</v>
      </c>
      <c r="AQ112" s="586">
        <f t="shared" si="667"/>
        <v>0.54468044845228702</v>
      </c>
      <c r="AS112" s="52">
        <f t="shared" si="737"/>
        <v>-324.63760510569813</v>
      </c>
      <c r="AT112" s="73">
        <f t="shared" si="668"/>
        <v>3.7950549153826091E-2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Nose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7.2270000000000003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0.127</v>
      </c>
      <c r="II112" s="734" cm="1">
        <f t="array" ref="II112">IFERROR(IF($IH112&lt;1,$IH112+LARGE((IF($M$9:$M$150="",0,$M$9:$M$150)-MOD(IF($M$9:$M$150="",0,$M$9:$M$150),1)),1),$IH112),"")</f>
        <v>7.1269999999999998</v>
      </c>
      <c r="IJ112" s="533">
        <f t="shared" si="542"/>
        <v>1613</v>
      </c>
      <c r="IK112" s="533">
        <f t="shared" si="713"/>
        <v>1313</v>
      </c>
      <c r="IL112" s="727">
        <f t="shared" si="647"/>
        <v>14.028597974521062</v>
      </c>
      <c r="IM112" s="759">
        <v>3.1262209665006702E-3</v>
      </c>
      <c r="IN112" s="5">
        <f t="shared" si="648"/>
        <v>0.04</v>
      </c>
      <c r="IO112" s="771">
        <v>20</v>
      </c>
      <c r="IP112" s="9">
        <f t="shared" si="649"/>
        <v>-4.1723125836947528</v>
      </c>
      <c r="IQ112" s="5">
        <f t="shared" si="650"/>
        <v>-0.24480073831902674</v>
      </c>
      <c r="IR112" s="5">
        <f t="shared" si="714"/>
        <v>0.314</v>
      </c>
      <c r="IS112" s="5">
        <f t="shared" si="651"/>
        <v>0.30172116586798725</v>
      </c>
      <c r="IT112" s="727">
        <f t="shared" si="652"/>
        <v>33.682333294118393</v>
      </c>
      <c r="IU112" s="9">
        <f t="shared" si="653"/>
        <v>-4.1853126229028703</v>
      </c>
      <c r="IV112" s="5">
        <f t="shared" si="654"/>
        <v>-0.18750056550170555</v>
      </c>
      <c r="IW112" s="5">
        <f t="shared" si="715"/>
        <v>0.26600000000000001</v>
      </c>
      <c r="IX112" s="5">
        <f t="shared" si="655"/>
        <v>0.2398223793807871</v>
      </c>
      <c r="IY112" s="762">
        <f t="shared" si="656"/>
        <v>25.712949969625562</v>
      </c>
    </row>
    <row r="113" spans="1:259" ht="15" customHeight="1" x14ac:dyDescent="0.25">
      <c r="A113" s="79"/>
      <c r="B113" s="707">
        <v>-2.8724399988115916</v>
      </c>
      <c r="C113" s="708">
        <v>3.9549685932640073</v>
      </c>
      <c r="D113" s="709">
        <v>-0.59270178758859138</v>
      </c>
      <c r="E113" s="710">
        <v>-0.89401591714854722</v>
      </c>
      <c r="F113" s="708">
        <v>-0.29748698326797085</v>
      </c>
      <c r="G113" s="711">
        <v>0.33501796171423998</v>
      </c>
      <c r="H113" s="710">
        <v>0.26600000000000001</v>
      </c>
      <c r="I113" s="708">
        <v>0.52</v>
      </c>
      <c r="J113" s="570">
        <v>7.234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1313</v>
      </c>
      <c r="L113" s="320"/>
      <c r="M113" s="168">
        <f t="shared" si="660"/>
        <v>7.234</v>
      </c>
      <c r="N113" s="632">
        <f t="shared" si="661"/>
        <v>-2.8724399988115916</v>
      </c>
      <c r="O113" s="629">
        <f t="shared" si="662"/>
        <v>3.9549685932640073</v>
      </c>
      <c r="P113" s="633">
        <f t="shared" si="663"/>
        <v>-0.59270178758859138</v>
      </c>
      <c r="Q113" s="585">
        <f t="shared" si="520"/>
        <v>125.99039480362991</v>
      </c>
      <c r="R113" s="629">
        <f t="shared" si="716"/>
        <v>4.8880147422524631</v>
      </c>
      <c r="S113" s="634">
        <f t="shared" si="717"/>
        <v>-0.59270178758859138</v>
      </c>
      <c r="T113" s="635">
        <f t="shared" si="718"/>
        <v>3.954366904186581</v>
      </c>
      <c r="U113" s="629">
        <f t="shared" si="719"/>
        <v>2.873268262371484</v>
      </c>
      <c r="V113" s="636">
        <f t="shared" si="720"/>
        <v>-0.59270178758859138</v>
      </c>
      <c r="W113" s="585">
        <f t="shared" si="645"/>
        <v>36.002394801897324</v>
      </c>
      <c r="X113" s="629">
        <f t="shared" si="721"/>
        <v>4.8880147422524631</v>
      </c>
      <c r="Y113" s="630">
        <f t="shared" si="644"/>
        <v>-0.59270178758859138</v>
      </c>
      <c r="Z113" s="632">
        <f t="shared" si="664"/>
        <v>0.89401591714854722</v>
      </c>
      <c r="AA113" s="629">
        <f t="shared" si="665"/>
        <v>0.29748698326797085</v>
      </c>
      <c r="AB113" s="629">
        <f t="shared" si="666"/>
        <v>-0.33501796171423998</v>
      </c>
      <c r="AC113" s="636">
        <f t="shared" si="722"/>
        <v>1</v>
      </c>
      <c r="AD113" s="637">
        <f t="shared" si="723"/>
        <v>0.89401591714854722</v>
      </c>
      <c r="AE113" s="629">
        <f t="shared" si="724"/>
        <v>0.29748698326797085</v>
      </c>
      <c r="AF113" s="633">
        <f t="shared" si="725"/>
        <v>-0.33501796171423998</v>
      </c>
      <c r="AG113" s="602">
        <f t="shared" si="726"/>
        <v>41.604219035170786</v>
      </c>
      <c r="AH113" s="603">
        <f t="shared" si="727"/>
        <v>26.61769409463237</v>
      </c>
      <c r="AI113" s="585">
        <f t="shared" si="728"/>
        <v>-70.426369809650168</v>
      </c>
      <c r="AJ113" s="586">
        <f t="shared" si="729"/>
        <v>108.40504715505362</v>
      </c>
      <c r="AK113" s="635">
        <f t="shared" si="730"/>
        <v>0.89818026654359417</v>
      </c>
      <c r="AL113" s="629">
        <f t="shared" si="731"/>
        <v>-0.28466677733889889</v>
      </c>
      <c r="AM113" s="634">
        <f t="shared" si="732"/>
        <v>-0.33501796171423998</v>
      </c>
      <c r="AN113" s="581">
        <f t="shared" si="733"/>
        <v>-40.354756300201913</v>
      </c>
      <c r="AO113" s="582">
        <f t="shared" si="461"/>
        <v>26.080107161589083</v>
      </c>
      <c r="AP113" s="585">
        <f t="shared" si="734"/>
        <v>-17.585347648576292</v>
      </c>
      <c r="AQ113" s="586">
        <f t="shared" si="667"/>
        <v>0.46638081146559307</v>
      </c>
      <c r="AS113" s="52">
        <f t="shared" si="737"/>
        <v>-323.99760519810269</v>
      </c>
      <c r="AT113" s="73">
        <f t="shared" si="668"/>
        <v>-0.36769511731333437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Taper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7.234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0.13400000000000001</v>
      </c>
      <c r="II113" s="734" cm="1">
        <f t="array" ref="II113">IFERROR(IF($IH113&lt;1,$IH113+LARGE((IF($M$9:$M$150="",0,$M$9:$M$150)-MOD(IF($M$9:$M$150="",0,$M$9:$M$150),1)),1),$IH113),"")</f>
        <v>7.1340000000000003</v>
      </c>
      <c r="IJ113" s="533">
        <f t="shared" si="542"/>
        <v>1613</v>
      </c>
      <c r="IK113" s="533">
        <f t="shared" si="713"/>
        <v>1313</v>
      </c>
      <c r="IL113" s="727">
        <f t="shared" si="647"/>
        <v>12.347598217227372</v>
      </c>
      <c r="IM113" s="759">
        <v>2.3573164456376899E-3</v>
      </c>
      <c r="IN113" s="5">
        <f t="shared" si="648"/>
        <v>0.04</v>
      </c>
      <c r="IO113" s="771">
        <v>20</v>
      </c>
      <c r="IP113" s="9">
        <f t="shared" si="649"/>
        <v>-4.8641146701698448</v>
      </c>
      <c r="IQ113" s="5">
        <f t="shared" si="650"/>
        <v>-0.64700195135788541</v>
      </c>
      <c r="IR113" s="5">
        <f t="shared" si="714"/>
        <v>0.314</v>
      </c>
      <c r="IS113" s="5">
        <f t="shared" si="651"/>
        <v>0.30058078581452718</v>
      </c>
      <c r="IT113" s="727">
        <f t="shared" si="652"/>
        <v>50.177313244108326</v>
      </c>
      <c r="IU113" s="9">
        <f t="shared" si="653"/>
        <v>-4.8880147422524631</v>
      </c>
      <c r="IV113" s="5">
        <f t="shared" si="654"/>
        <v>-0.59270178758859138</v>
      </c>
      <c r="IW113" s="5">
        <f t="shared" si="715"/>
        <v>0.26600000000000001</v>
      </c>
      <c r="IX113" s="5">
        <f t="shared" si="655"/>
        <v>0.23891595090059606</v>
      </c>
      <c r="IY113" s="762">
        <f t="shared" si="656"/>
        <v>40.354756300201913</v>
      </c>
    </row>
    <row r="114" spans="1:259" ht="15" customHeight="1" x14ac:dyDescent="0.25">
      <c r="A114" s="79"/>
      <c r="B114" s="707">
        <v>-3.1887515160874043</v>
      </c>
      <c r="C114" s="708">
        <v>4.388183749083109</v>
      </c>
      <c r="D114" s="709">
        <v>-1.1999036189093146</v>
      </c>
      <c r="E114" s="710">
        <v>-0.93559984649507644</v>
      </c>
      <c r="F114" s="708">
        <v>-0.23519330571472824</v>
      </c>
      <c r="G114" s="711">
        <v>0.26331926664292499</v>
      </c>
      <c r="H114" s="710">
        <v>0.26600000000000001</v>
      </c>
      <c r="I114" s="708">
        <v>0.52</v>
      </c>
      <c r="J114" s="570">
        <v>7.2409999999999997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1313</v>
      </c>
      <c r="L114" s="320"/>
      <c r="M114" s="168">
        <f t="shared" si="660"/>
        <v>7.2409999999999997</v>
      </c>
      <c r="N114" s="632">
        <f t="shared" si="661"/>
        <v>-3.1887515160874043</v>
      </c>
      <c r="O114" s="629">
        <f t="shared" si="662"/>
        <v>4.388183749083109</v>
      </c>
      <c r="P114" s="633">
        <f t="shared" si="663"/>
        <v>-1.1999036189093146</v>
      </c>
      <c r="Q114" s="585">
        <f t="shared" si="520"/>
        <v>126.00469480156526</v>
      </c>
      <c r="R114" s="629">
        <f t="shared" si="716"/>
        <v>5.4244163600397428</v>
      </c>
      <c r="S114" s="634">
        <f t="shared" si="717"/>
        <v>-1.1999036189093146</v>
      </c>
      <c r="T114" s="635">
        <f t="shared" si="718"/>
        <v>4.3875158023850016</v>
      </c>
      <c r="U114" s="629">
        <f t="shared" si="719"/>
        <v>3.1896705050661125</v>
      </c>
      <c r="V114" s="636">
        <f t="shared" si="720"/>
        <v>-1.1999036189093146</v>
      </c>
      <c r="W114" s="585">
        <f t="shared" si="645"/>
        <v>36.016694799832678</v>
      </c>
      <c r="X114" s="629">
        <f t="shared" si="721"/>
        <v>5.4244163600397428</v>
      </c>
      <c r="Y114" s="630">
        <f t="shared" si="644"/>
        <v>-1.1999036189093146</v>
      </c>
      <c r="Z114" s="632">
        <f t="shared" si="664"/>
        <v>0.93559984649507644</v>
      </c>
      <c r="AA114" s="629">
        <f t="shared" si="665"/>
        <v>0.23519330571472824</v>
      </c>
      <c r="AB114" s="629">
        <f t="shared" si="666"/>
        <v>-0.26331926664292499</v>
      </c>
      <c r="AC114" s="636">
        <f t="shared" si="722"/>
        <v>1</v>
      </c>
      <c r="AD114" s="637">
        <f t="shared" si="723"/>
        <v>0.93559984649507644</v>
      </c>
      <c r="AE114" s="629">
        <f t="shared" si="724"/>
        <v>0.23519330571472824</v>
      </c>
      <c r="AF114" s="633">
        <f t="shared" si="725"/>
        <v>-0.26331926664292499</v>
      </c>
      <c r="AG114" s="602">
        <f t="shared" si="726"/>
        <v>41.770809200360773</v>
      </c>
      <c r="AH114" s="603">
        <f t="shared" si="727"/>
        <v>20.674728629587371</v>
      </c>
      <c r="AI114" s="585">
        <f t="shared" si="728"/>
        <v>-74.732892761881047</v>
      </c>
      <c r="AJ114" s="586">
        <f t="shared" si="729"/>
        <v>104.11076403534371</v>
      </c>
      <c r="AK114" s="635">
        <f t="shared" si="730"/>
        <v>0.89512985912648835</v>
      </c>
      <c r="AL114" s="629">
        <f t="shared" si="731"/>
        <v>-0.35972975845045868</v>
      </c>
      <c r="AM114" s="634">
        <f t="shared" si="732"/>
        <v>-0.26331926664292499</v>
      </c>
      <c r="AN114" s="581">
        <f t="shared" si="733"/>
        <v>-53.796174743965608</v>
      </c>
      <c r="AO114" s="582">
        <f t="shared" si="461"/>
        <v>26.474885333197388</v>
      </c>
      <c r="AP114" s="585">
        <f t="shared" si="734"/>
        <v>-21.893930766221555</v>
      </c>
      <c r="AQ114" s="586">
        <f t="shared" si="667"/>
        <v>0.42026378431400818</v>
      </c>
      <c r="AS114" s="52">
        <f t="shared" si="737"/>
        <v>-323.98330520016731</v>
      </c>
      <c r="AT114" s="73">
        <f t="shared" si="668"/>
        <v>-0.97490687918817942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Taper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7.2409999999999997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0.14099999999999999</v>
      </c>
      <c r="II114" s="734" cm="1">
        <f t="array" ref="II114">IFERROR(IF($IH114&lt;1,$IH114+LARGE((IF($M$9:$M$150="",0,$M$9:$M$150)-MOD(IF($M$9:$M$150="",0,$M$9:$M$150),1)),1),$IH114),"")</f>
        <v>7.141</v>
      </c>
      <c r="IJ114" s="533">
        <f t="shared" si="542"/>
        <v>1613</v>
      </c>
      <c r="IK114" s="533">
        <f t="shared" si="713"/>
        <v>1313</v>
      </c>
      <c r="IL114" s="727">
        <f t="shared" si="647"/>
        <v>11.47129834374941</v>
      </c>
      <c r="IM114" s="759">
        <v>1.7719643680461201E-3</v>
      </c>
      <c r="IN114" s="5">
        <f t="shared" si="648"/>
        <v>0.02</v>
      </c>
      <c r="IO114" s="771">
        <v>10</v>
      </c>
      <c r="IP114" s="9">
        <f t="shared" si="649"/>
        <v>-5.3903162571938337</v>
      </c>
      <c r="IQ114" s="5">
        <f t="shared" si="650"/>
        <v>-1.2490037669953622</v>
      </c>
      <c r="IR114" s="5">
        <f t="shared" si="714"/>
        <v>0.314</v>
      </c>
      <c r="IS114" s="5">
        <f t="shared" si="651"/>
        <v>0.29955995080774556</v>
      </c>
      <c r="IT114" s="727">
        <f t="shared" si="652"/>
        <v>64.722277147438973</v>
      </c>
      <c r="IU114" s="9">
        <f t="shared" si="653"/>
        <v>-5.4244163600397428</v>
      </c>
      <c r="IV114" s="5">
        <f t="shared" si="654"/>
        <v>-1.1999036189093146</v>
      </c>
      <c r="IW114" s="5">
        <f t="shared" si="715"/>
        <v>0.26600000000000001</v>
      </c>
      <c r="IX114" s="5">
        <f t="shared" si="655"/>
        <v>0.23810454252764587</v>
      </c>
      <c r="IY114" s="762">
        <f t="shared" si="656"/>
        <v>53.796174743965608</v>
      </c>
    </row>
    <row r="115" spans="1:259" ht="15" customHeight="1" x14ac:dyDescent="0.25">
      <c r="A115" s="79"/>
      <c r="B115" s="707">
        <v>-3.3449968509283536</v>
      </c>
      <c r="C115" s="708">
        <v>4.6440668108187078</v>
      </c>
      <c r="D115" s="709">
        <v>-1.9478058745825184</v>
      </c>
      <c r="E115" s="710">
        <v>-0.96460775867564941</v>
      </c>
      <c r="F115" s="708">
        <v>-0.18919611546011239</v>
      </c>
      <c r="G115" s="711">
        <v>0.18367553402003206</v>
      </c>
      <c r="H115" s="710">
        <v>0.26600000000000001</v>
      </c>
      <c r="I115" s="708">
        <v>0.52</v>
      </c>
      <c r="J115" s="570">
        <v>7.2480000000000002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1313</v>
      </c>
      <c r="L115" s="320"/>
      <c r="M115" s="168">
        <f t="shared" si="660"/>
        <v>7.2480000000000002</v>
      </c>
      <c r="N115" s="632">
        <f t="shared" si="661"/>
        <v>-3.3449968509283536</v>
      </c>
      <c r="O115" s="629">
        <f t="shared" si="662"/>
        <v>4.6440668108187078</v>
      </c>
      <c r="P115" s="633">
        <f t="shared" si="663"/>
        <v>-1.9478058745825184</v>
      </c>
      <c r="Q115" s="585">
        <f t="shared" si="520"/>
        <v>125.76419483628915</v>
      </c>
      <c r="R115" s="629">
        <f t="shared" si="716"/>
        <v>5.723317261524862</v>
      </c>
      <c r="S115" s="634">
        <f t="shared" si="717"/>
        <v>-1.9478058745825184</v>
      </c>
      <c r="T115" s="635">
        <f t="shared" si="718"/>
        <v>4.6433661345670165</v>
      </c>
      <c r="U115" s="629">
        <f t="shared" si="719"/>
        <v>3.3459694284952173</v>
      </c>
      <c r="V115" s="636">
        <f t="shared" si="720"/>
        <v>-1.9478058745825184</v>
      </c>
      <c r="W115" s="585">
        <f t="shared" si="645"/>
        <v>35.776194834556563</v>
      </c>
      <c r="X115" s="629">
        <f t="shared" si="721"/>
        <v>5.723317261524862</v>
      </c>
      <c r="Y115" s="630">
        <f t="shared" si="644"/>
        <v>-1.9478058745825184</v>
      </c>
      <c r="Z115" s="632">
        <f t="shared" si="664"/>
        <v>0.96460775867564941</v>
      </c>
      <c r="AA115" s="629">
        <f t="shared" si="665"/>
        <v>0.18919611546011239</v>
      </c>
      <c r="AB115" s="629">
        <f t="shared" si="666"/>
        <v>-0.18367553402003206</v>
      </c>
      <c r="AC115" s="636">
        <f t="shared" si="722"/>
        <v>1</v>
      </c>
      <c r="AD115" s="637">
        <f t="shared" si="723"/>
        <v>0.96460775867564941</v>
      </c>
      <c r="AE115" s="629">
        <f t="shared" si="724"/>
        <v>0.18919611546011239</v>
      </c>
      <c r="AF115" s="633">
        <f t="shared" si="725"/>
        <v>-0.18367553402003206</v>
      </c>
      <c r="AG115" s="602">
        <f t="shared" si="726"/>
        <v>45.848235333732774</v>
      </c>
      <c r="AH115" s="603">
        <f t="shared" si="727"/>
        <v>15.289065619149683</v>
      </c>
      <c r="AI115" s="585">
        <f t="shared" si="728"/>
        <v>-79.416077061408359</v>
      </c>
      <c r="AJ115" s="586">
        <f t="shared" si="729"/>
        <v>101.09700271651818</v>
      </c>
      <c r="AK115" s="635">
        <f t="shared" si="730"/>
        <v>0.89328671718324748</v>
      </c>
      <c r="AL115" s="629">
        <f t="shared" si="731"/>
        <v>-0.41024643704294733</v>
      </c>
      <c r="AM115" s="634">
        <f t="shared" si="732"/>
        <v>-0.18367553402003206</v>
      </c>
      <c r="AN115" s="581">
        <f t="shared" si="733"/>
        <v>-65.880983067767431</v>
      </c>
      <c r="AO115" s="582">
        <f t="shared" si="461"/>
        <v>26.710794982581636</v>
      </c>
      <c r="AP115" s="585">
        <f t="shared" si="734"/>
        <v>-24.667192119770981</v>
      </c>
      <c r="AQ115" s="586">
        <f t="shared" si="667"/>
        <v>0.39831618653809542</v>
      </c>
      <c r="AS115" s="52">
        <f t="shared" si="737"/>
        <v>-324.22380516544342</v>
      </c>
      <c r="AT115" s="73">
        <f t="shared" si="668"/>
        <v>-1.7226421209966081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7.2480000000000002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0.14799999999999999</v>
      </c>
      <c r="II115" s="734" cm="1">
        <f t="array" ref="II115">IFERROR(IF($IH115&lt;1,$IH115+LARGE((IF($M$9:$M$150="",0,$M$9:$M$150)-MOD(IF($M$9:$M$150="",0,$M$9:$M$150),1)),1),$IH115),"")</f>
        <v>7.1479999999999997</v>
      </c>
      <c r="IJ115" s="533">
        <f t="shared" si="542"/>
        <v>1613</v>
      </c>
      <c r="IK115" s="533">
        <f t="shared" si="713"/>
        <v>1313</v>
      </c>
      <c r="IL115" s="727">
        <f t="shared" si="647"/>
        <v>11.216798380494694</v>
      </c>
      <c r="IM115" s="759">
        <v>1.3098946548498001E-3</v>
      </c>
      <c r="IN115" s="5">
        <f t="shared" si="648"/>
        <v>0</v>
      </c>
      <c r="IO115" s="771">
        <v>0</v>
      </c>
      <c r="IP115" s="9">
        <f t="shared" si="649"/>
        <v>-5.6803171318364702</v>
      </c>
      <c r="IQ115" s="5">
        <f t="shared" si="650"/>
        <v>-1.9899060015565011</v>
      </c>
      <c r="IR115" s="5">
        <f t="shared" si="714"/>
        <v>0.314</v>
      </c>
      <c r="IS115" s="5">
        <f t="shared" si="651"/>
        <v>0.29894313358930569</v>
      </c>
      <c r="IT115" s="727">
        <f t="shared" si="652"/>
        <v>77.317898713714271</v>
      </c>
      <c r="IU115" s="9">
        <f t="shared" si="653"/>
        <v>-5.723317261524862</v>
      </c>
      <c r="IV115" s="5">
        <f t="shared" si="654"/>
        <v>-1.9478058745825184</v>
      </c>
      <c r="IW115" s="5">
        <f t="shared" si="715"/>
        <v>0.26600000000000001</v>
      </c>
      <c r="IX115" s="5">
        <f t="shared" si="655"/>
        <v>0.23761426677074385</v>
      </c>
      <c r="IY115" s="762">
        <f t="shared" si="656"/>
        <v>65.880983067767431</v>
      </c>
    </row>
    <row r="116" spans="1:259" ht="15" customHeight="1" x14ac:dyDescent="0.25">
      <c r="A116" s="79"/>
      <c r="B116" s="707">
        <v>-3.2298989869196291</v>
      </c>
      <c r="C116" s="708">
        <v>4.8684285133223426</v>
      </c>
      <c r="D116" s="709">
        <v>-2.7639083359475407</v>
      </c>
      <c r="E116" s="710">
        <v>-0.47741365181285428</v>
      </c>
      <c r="F116" s="708">
        <v>0.71960544881349242</v>
      </c>
      <c r="G116" s="711">
        <v>0.50422634114120501</v>
      </c>
      <c r="H116" s="710">
        <v>0.25700000000000001</v>
      </c>
      <c r="I116" s="708">
        <v>0.41499999999999992</v>
      </c>
      <c r="J116" s="570">
        <v>7.2549999999999999</v>
      </c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CPS-32193r1</v>
      </c>
      <c r="L116" s="320"/>
      <c r="M116" s="168">
        <f t="shared" si="660"/>
        <v>7.2549999999999999</v>
      </c>
      <c r="N116" s="632">
        <f t="shared" si="661"/>
        <v>-3.2298989869196291</v>
      </c>
      <c r="O116" s="629">
        <f t="shared" si="662"/>
        <v>4.8684285133223426</v>
      </c>
      <c r="P116" s="633">
        <f t="shared" si="663"/>
        <v>-2.7639083359475407</v>
      </c>
      <c r="Q116" s="585">
        <f t="shared" si="520"/>
        <v>123.56179515427631</v>
      </c>
      <c r="R116" s="629">
        <f t="shared" si="716"/>
        <v>5.8424176207315446</v>
      </c>
      <c r="S116" s="634">
        <f t="shared" si="717"/>
        <v>-2.7639083359475407</v>
      </c>
      <c r="T116" s="635">
        <f t="shared" si="718"/>
        <v>4.8677519381864611</v>
      </c>
      <c r="U116" s="629">
        <f t="shared" si="719"/>
        <v>3.2309185572088306</v>
      </c>
      <c r="V116" s="636">
        <f t="shared" si="720"/>
        <v>-2.7639083359475407</v>
      </c>
      <c r="W116" s="585">
        <f t="shared" si="645"/>
        <v>33.573795152543724</v>
      </c>
      <c r="X116" s="629">
        <f t="shared" si="721"/>
        <v>5.8424176207315446</v>
      </c>
      <c r="Y116" s="630">
        <f t="shared" si="644"/>
        <v>-2.7639083359475407</v>
      </c>
      <c r="Z116" s="632">
        <f t="shared" si="664"/>
        <v>0.47741365181285428</v>
      </c>
      <c r="AA116" s="629">
        <f t="shared" si="665"/>
        <v>-0.71960544881349242</v>
      </c>
      <c r="AB116" s="629">
        <f t="shared" si="666"/>
        <v>-0.50422634114120501</v>
      </c>
      <c r="AC116" s="636">
        <f t="shared" si="722"/>
        <v>1</v>
      </c>
      <c r="AD116" s="637">
        <f t="shared" si="723"/>
        <v>0.47741365181285428</v>
      </c>
      <c r="AE116" s="629">
        <f t="shared" si="724"/>
        <v>-0.71960544881349242</v>
      </c>
      <c r="AF116" s="633">
        <f t="shared" si="725"/>
        <v>-0.50422634114120501</v>
      </c>
      <c r="AG116" s="602">
        <f t="shared" si="726"/>
        <v>-54.981135085896604</v>
      </c>
      <c r="AH116" s="603">
        <f t="shared" si="727"/>
        <v>61.48338065982697</v>
      </c>
      <c r="AI116" s="585">
        <f t="shared" si="728"/>
        <v>-59.719991377500904</v>
      </c>
      <c r="AJ116" s="586">
        <f t="shared" si="729"/>
        <v>33.561810201542073</v>
      </c>
      <c r="AK116" s="635">
        <f t="shared" si="730"/>
        <v>2.2679489669608088E-7</v>
      </c>
      <c r="AL116" s="629">
        <f t="shared" si="731"/>
        <v>-0.86357153548464161</v>
      </c>
      <c r="AM116" s="634">
        <f t="shared" si="732"/>
        <v>-0.50422634114120501</v>
      </c>
      <c r="AN116" s="581">
        <f t="shared" si="733"/>
        <v>-59.719991377500037</v>
      </c>
      <c r="AO116" s="582">
        <f t="shared" si="461"/>
        <v>0</v>
      </c>
      <c r="AP116" s="585">
        <f t="shared" si="734"/>
        <v>-89.999984952734238</v>
      </c>
      <c r="AQ116" s="586">
        <f t="shared" si="667"/>
        <v>0.39019658230489102</v>
      </c>
      <c r="AS116" s="52">
        <f t="shared" si="737"/>
        <v>-326.42620484745629</v>
      </c>
      <c r="AT116" s="73">
        <f t="shared" si="668"/>
        <v>-2.5372151381380101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Taper</v>
      </c>
      <c r="IF116" s="533" t="str">
        <f>IFERROR(IF((((($IW116*COS(RADIANS(180-$IY116)))*COS(RADIANS($IY116)))-(($IX116*SIN(RADIANS(180-$IY116)))*SIN(RADIANS($IY116))))+$IU116)&lt;(((Settings!$C$19+$IF$8)/2)*-1),"Gage",""),"")</f>
        <v>Gage</v>
      </c>
      <c r="IG116" s="847">
        <f t="shared" si="643"/>
        <v>7.2549999999999999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0.155</v>
      </c>
      <c r="II116" s="734" cm="1">
        <f t="array" ref="II116">IFERROR(IF($IH116&lt;1,$IH116+LARGE((IF($M$9:$M$150="",0,$M$9:$M$150)-MOD(IF($M$9:$M$150="",0,$M$9:$M$150),1)),1),$IH116),"")</f>
        <v>7.1550000000000002</v>
      </c>
      <c r="IJ116" s="533">
        <f t="shared" si="542"/>
        <v>1613</v>
      </c>
      <c r="IK116" s="533" t="str">
        <f t="shared" si="713"/>
        <v>CPS-32193r1</v>
      </c>
      <c r="IL116" s="727">
        <f t="shared" si="647"/>
        <v>13.189198095715412</v>
      </c>
      <c r="IM116" s="759">
        <v>4.01593173581264E-4</v>
      </c>
      <c r="IN116" s="5">
        <f t="shared" si="648"/>
        <v>0</v>
      </c>
      <c r="IO116" s="771">
        <v>0</v>
      </c>
      <c r="IP116" s="9">
        <f t="shared" si="649"/>
        <v>-5.8124175302512713</v>
      </c>
      <c r="IQ116" s="5">
        <f t="shared" si="650"/>
        <v>-2.7782083790764713</v>
      </c>
      <c r="IR116" s="5">
        <f t="shared" si="714"/>
        <v>0.314</v>
      </c>
      <c r="IS116" s="5">
        <f t="shared" si="651"/>
        <v>0.28667116499729473</v>
      </c>
      <c r="IT116" s="727">
        <f t="shared" si="652"/>
        <v>85.032139776067012</v>
      </c>
      <c r="IU116" s="9">
        <f t="shared" si="653"/>
        <v>-5.8424176207315446</v>
      </c>
      <c r="IV116" s="5">
        <f t="shared" si="654"/>
        <v>-2.7639083359475407</v>
      </c>
      <c r="IW116" s="5">
        <f t="shared" si="715"/>
        <v>0.25700000000000001</v>
      </c>
      <c r="IX116" s="5">
        <f t="shared" si="655"/>
        <v>0.25700000000000001</v>
      </c>
      <c r="IY116" s="762">
        <f t="shared" si="656"/>
        <v>59.719991377500037</v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0.10938162473876806</v>
      </c>
      <c r="G154" s="170">
        <f t="shared" si="929"/>
        <v>-0.40821784266066358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0.92718387533450819</v>
      </c>
      <c r="F155" s="170">
        <f t="shared" si="929"/>
        <v>9.6955293815894641E-2</v>
      </c>
      <c r="G155" s="170">
        <f t="shared" si="929"/>
        <v>-0.36184213729298681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0.92718387533450819</v>
      </c>
      <c r="F156" s="170">
        <f t="shared" si="929"/>
        <v>9.6955293815894628E-2</v>
      </c>
      <c r="G156" s="170">
        <f t="shared" si="929"/>
        <v>-0.36184213729298681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0.92716789685091727</v>
      </c>
      <c r="F157" s="170">
        <f t="shared" si="929"/>
        <v>8.221477582026171E-2</v>
      </c>
      <c r="G157" s="170">
        <f t="shared" si="929"/>
        <v>-0.36551391449009291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0.96383133338914595</v>
      </c>
      <c r="F158" s="170">
        <f t="shared" si="929"/>
        <v>-6.5231915103088942E-2</v>
      </c>
      <c r="G158" s="170">
        <f t="shared" si="929"/>
        <v>-0.25840657505041259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0.95742260466122997</v>
      </c>
      <c r="F159" s="170">
        <f t="shared" si="929"/>
        <v>-0.16701375894452158</v>
      </c>
      <c r="G159" s="170">
        <f t="shared" si="929"/>
        <v>-0.23547475534954376</v>
      </c>
      <c r="H159" s="139"/>
      <c r="I159" s="86"/>
      <c r="J159" s="79">
        <f t="shared" si="930"/>
        <v>1.1259999999999999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0.94747351809621527</v>
      </c>
      <c r="F160" s="170">
        <f t="shared" si="929"/>
        <v>-0.25534609627798882</v>
      </c>
      <c r="G160" s="170">
        <f t="shared" si="929"/>
        <v>-0.19259362300443134</v>
      </c>
      <c r="H160" s="139"/>
      <c r="I160" s="86"/>
      <c r="J160" s="79">
        <f t="shared" si="930"/>
        <v>1.133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0.93685327538150442</v>
      </c>
      <c r="F161" s="170">
        <f t="shared" si="929"/>
        <v>-0.32196143304214603</v>
      </c>
      <c r="G161" s="170">
        <f t="shared" si="929"/>
        <v>-0.13655319857255235</v>
      </c>
      <c r="H161" s="139"/>
      <c r="I161" s="86"/>
      <c r="J161" s="79">
        <f t="shared" si="930"/>
        <v>1.1399999999999999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0.92948919435145094</v>
      </c>
      <c r="F162" s="170">
        <f t="shared" si="929"/>
        <v>-0.36096078544499866</v>
      </c>
      <c r="G162" s="170">
        <f t="shared" si="929"/>
        <v>-7.5875878609874187E-2</v>
      </c>
      <c r="H162" s="139"/>
      <c r="I162" s="86"/>
      <c r="J162" s="79">
        <f t="shared" si="930"/>
        <v>1.147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0.89509225836444484</v>
      </c>
      <c r="F163" s="170">
        <f t="shared" si="929"/>
        <v>-0.444119575777294</v>
      </c>
      <c r="G163" s="170">
        <f t="shared" si="929"/>
        <v>-3.9593578108508914E-2</v>
      </c>
      <c r="H163" s="139"/>
      <c r="I163" s="86"/>
      <c r="J163" s="79">
        <f t="shared" si="930"/>
        <v>1.1539999999999999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0.71416740426718461</v>
      </c>
      <c r="F164" s="170">
        <f t="shared" si="929"/>
        <v>-0.69997494146737171</v>
      </c>
      <c r="G164" s="170">
        <f t="shared" si="929"/>
        <v>-1.4578093215395225E-7</v>
      </c>
      <c r="H164" s="139"/>
      <c r="I164" s="86"/>
      <c r="J164" s="79">
        <f t="shared" si="930"/>
        <v>1.161</v>
      </c>
    </row>
    <row r="165" spans="5:16" x14ac:dyDescent="0.25">
      <c r="E165" s="170">
        <f t="shared" si="929"/>
        <v>0.84582836607831324</v>
      </c>
      <c r="F165" s="170">
        <f t="shared" si="929"/>
        <v>-0.32640006130067145</v>
      </c>
      <c r="G165" s="170">
        <f t="shared" si="929"/>
        <v>-0.42194475363512818</v>
      </c>
      <c r="H165" s="139"/>
      <c r="I165" s="86"/>
      <c r="J165" s="79">
        <f t="shared" si="930"/>
        <v>1.2190000000000001</v>
      </c>
    </row>
    <row r="166" spans="5:16" x14ac:dyDescent="0.25">
      <c r="E166" s="170">
        <f t="shared" si="929"/>
        <v>0.82036964021536229</v>
      </c>
      <c r="F166" s="170">
        <f t="shared" si="929"/>
        <v>-0.41277861151647405</v>
      </c>
      <c r="G166" s="170">
        <f t="shared" si="929"/>
        <v>-0.39573661858292675</v>
      </c>
      <c r="H166" s="139"/>
      <c r="I166" s="86"/>
      <c r="J166" s="79">
        <f t="shared" si="930"/>
        <v>1.226</v>
      </c>
    </row>
    <row r="167" spans="5:16" x14ac:dyDescent="0.25">
      <c r="E167" s="170">
        <f t="shared" si="929"/>
        <v>0.7966978319791731</v>
      </c>
      <c r="F167" s="170">
        <f t="shared" si="929"/>
        <v>-0.49687742130096069</v>
      </c>
      <c r="G167" s="170">
        <f t="shared" si="929"/>
        <v>-0.34407178425583362</v>
      </c>
      <c r="H167" s="139"/>
      <c r="I167" s="86"/>
      <c r="J167" s="79">
        <f t="shared" si="930"/>
        <v>1.2330000000000001</v>
      </c>
    </row>
    <row r="168" spans="5:16" x14ac:dyDescent="0.25">
      <c r="E168" s="170">
        <f t="shared" si="929"/>
        <v>0.77400815278794177</v>
      </c>
      <c r="F168" s="170">
        <f t="shared" si="929"/>
        <v>-0.57071542935987096</v>
      </c>
      <c r="G168" s="170">
        <f t="shared" si="929"/>
        <v>-0.27421757439736844</v>
      </c>
      <c r="H168" s="139"/>
      <c r="I168" s="86"/>
      <c r="J168" s="79">
        <f t="shared" si="930"/>
        <v>1.24</v>
      </c>
    </row>
    <row r="169" spans="5:16" x14ac:dyDescent="0.25">
      <c r="E169" s="170">
        <f t="shared" si="929"/>
        <v>0.75571707396695653</v>
      </c>
      <c r="F169" s="170">
        <f t="shared" si="929"/>
        <v>-0.62509536261972742</v>
      </c>
      <c r="G169" s="170">
        <f t="shared" si="929"/>
        <v>-0.19531382886558066</v>
      </c>
      <c r="H169" s="139"/>
      <c r="I169" s="86"/>
      <c r="J169" s="79">
        <f t="shared" si="930"/>
        <v>1.2470000000000001</v>
      </c>
    </row>
    <row r="170" spans="5:16" x14ac:dyDescent="0.25">
      <c r="E170" s="170">
        <f t="shared" si="929"/>
        <v>-0.24951840776902987</v>
      </c>
      <c r="F170" s="170">
        <f t="shared" si="929"/>
        <v>-0.79769316054000627</v>
      </c>
      <c r="G170" s="170">
        <f t="shared" si="929"/>
        <v>-0.54902293741892427</v>
      </c>
      <c r="H170" s="139"/>
      <c r="I170" s="86"/>
      <c r="J170" s="79">
        <f t="shared" si="930"/>
        <v>1.254</v>
      </c>
    </row>
    <row r="171" spans="5:16" x14ac:dyDescent="0.25">
      <c r="E171" s="170">
        <f t="shared" si="929"/>
        <v>0.62342295401089265</v>
      </c>
      <c r="F171" s="170">
        <f t="shared" si="929"/>
        <v>-0.69311910094267049</v>
      </c>
      <c r="G171" s="170">
        <f t="shared" si="929"/>
        <v>-0.36184213729298692</v>
      </c>
      <c r="H171" s="139"/>
      <c r="I171" s="86"/>
      <c r="J171" s="79">
        <f t="shared" si="930"/>
        <v>2.1110000000000002</v>
      </c>
    </row>
    <row r="172" spans="5:16" x14ac:dyDescent="0.25">
      <c r="E172" s="170">
        <f t="shared" si="929"/>
        <v>0.5257836058176405</v>
      </c>
      <c r="F172" s="170">
        <f t="shared" si="929"/>
        <v>-0.80429700762941503</v>
      </c>
      <c r="G172" s="170">
        <f t="shared" si="929"/>
        <v>-0.27687167311187472</v>
      </c>
      <c r="H172" s="139"/>
      <c r="I172" s="86"/>
      <c r="J172" s="79">
        <f t="shared" si="930"/>
        <v>2.1179999999999999</v>
      </c>
    </row>
    <row r="173" spans="5:16" x14ac:dyDescent="0.25">
      <c r="E173" s="170">
        <f t="shared" si="929"/>
        <v>0.43961730212279643</v>
      </c>
      <c r="F173" s="170">
        <f t="shared" si="929"/>
        <v>-0.86549557062770055</v>
      </c>
      <c r="G173" s="170">
        <f t="shared" si="929"/>
        <v>-0.24011256713905058</v>
      </c>
      <c r="H173" s="139"/>
      <c r="I173" s="86"/>
      <c r="J173" s="79">
        <f t="shared" si="930"/>
        <v>2.125</v>
      </c>
    </row>
    <row r="174" spans="5:16" x14ac:dyDescent="0.25">
      <c r="E174" s="170">
        <f t="shared" ref="E174:G193" si="933">E29*-1</f>
        <v>0.36048931149797564</v>
      </c>
      <c r="F174" s="170">
        <f t="shared" si="933"/>
        <v>-0.91113667998275538</v>
      </c>
      <c r="G174" s="170">
        <f t="shared" si="933"/>
        <v>-0.19969328152373478</v>
      </c>
      <c r="H174" s="139"/>
      <c r="I174" s="86"/>
      <c r="J174" s="79">
        <f t="shared" si="930"/>
        <v>2.1320000000000001</v>
      </c>
    </row>
    <row r="175" spans="5:16" x14ac:dyDescent="0.25">
      <c r="E175" s="170">
        <f t="shared" si="933"/>
        <v>0.29747588347296638</v>
      </c>
      <c r="F175" s="170">
        <f t="shared" si="933"/>
        <v>-0.94364315009451882</v>
      </c>
      <c r="G175" s="170">
        <f t="shared" si="933"/>
        <v>-0.14507137564547901</v>
      </c>
      <c r="H175" s="139"/>
      <c r="I175" s="86"/>
      <c r="J175" s="79">
        <f t="shared" si="930"/>
        <v>2.1389999999999998</v>
      </c>
    </row>
    <row r="176" spans="5:16" x14ac:dyDescent="0.25">
      <c r="E176" s="170">
        <f t="shared" si="933"/>
        <v>0.25799718576320213</v>
      </c>
      <c r="F176" s="170">
        <f t="shared" si="933"/>
        <v>-0.96243637817720451</v>
      </c>
      <c r="G176" s="170">
        <f t="shared" si="933"/>
        <v>-8.4579371595046443E-2</v>
      </c>
      <c r="H176" s="139"/>
      <c r="I176" s="86"/>
      <c r="J176" s="79">
        <f t="shared" si="930"/>
        <v>2.1459999999999999</v>
      </c>
    </row>
    <row r="177" spans="5:21" x14ac:dyDescent="0.25">
      <c r="E177" s="170">
        <f t="shared" si="933"/>
        <v>0.18327522627170126</v>
      </c>
      <c r="F177" s="170">
        <f t="shared" si="933"/>
        <v>-0.98204861368164698</v>
      </c>
      <c r="G177" s="170">
        <f t="shared" si="933"/>
        <v>-4.4617393480705481E-2</v>
      </c>
      <c r="H177" s="139"/>
      <c r="I177" s="86"/>
      <c r="J177" s="79">
        <f t="shared" si="930"/>
        <v>2.153</v>
      </c>
    </row>
    <row r="178" spans="5:21" x14ac:dyDescent="0.25">
      <c r="E178" s="170">
        <f t="shared" si="933"/>
        <v>-0.11368238340063659</v>
      </c>
      <c r="F178" s="170">
        <f t="shared" si="933"/>
        <v>-0.99351712380412438</v>
      </c>
      <c r="G178" s="170">
        <f t="shared" si="933"/>
        <v>2.0102818432056815E-4</v>
      </c>
      <c r="H178" s="139"/>
      <c r="I178" s="86"/>
      <c r="J178" s="79">
        <f t="shared" si="930"/>
        <v>2.16</v>
      </c>
    </row>
    <row r="179" spans="5:21" x14ac:dyDescent="0.25">
      <c r="E179" s="170">
        <f t="shared" si="933"/>
        <v>-0.14651531816872729</v>
      </c>
      <c r="F179" s="170">
        <f t="shared" si="933"/>
        <v>-0.98920840147154809</v>
      </c>
      <c r="G179" s="170">
        <f t="shared" si="933"/>
        <v>-1.4578093208816876E-7</v>
      </c>
      <c r="H179" s="139"/>
      <c r="I179" s="86"/>
      <c r="J179" s="79">
        <f t="shared" si="930"/>
        <v>2.1669999999999998</v>
      </c>
      <c r="M179" t="s">
        <v>392</v>
      </c>
    </row>
    <row r="180" spans="5:21" x14ac:dyDescent="0.25">
      <c r="E180" s="170">
        <f t="shared" si="933"/>
        <v>0.16619710219914091</v>
      </c>
      <c r="F180" s="170">
        <f t="shared" si="933"/>
        <v>-0.90079188379638042</v>
      </c>
      <c r="G180" s="170">
        <f t="shared" si="933"/>
        <v>-0.40118886488432942</v>
      </c>
      <c r="H180" s="139"/>
      <c r="I180" s="86"/>
      <c r="J180" s="79">
        <f t="shared" si="930"/>
        <v>2.2250000000000001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8.3437061674299456E-2</v>
      </c>
      <c r="F181" s="170">
        <f t="shared" si="933"/>
        <v>-0.93199152419792131</v>
      </c>
      <c r="G181" s="170">
        <f t="shared" si="933"/>
        <v>-0.35274644656239212</v>
      </c>
      <c r="H181" s="139"/>
      <c r="I181" s="86"/>
      <c r="J181" s="79">
        <f t="shared" si="930"/>
        <v>2.2320000000000002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7.8224585742202313E-3</v>
      </c>
      <c r="F182" s="170">
        <f t="shared" si="933"/>
        <v>-0.9584969773066514</v>
      </c>
      <c r="G182" s="170">
        <f t="shared" si="933"/>
        <v>-0.28499535721809077</v>
      </c>
      <c r="H182" s="139"/>
      <c r="I182" s="86"/>
      <c r="J182" s="79">
        <f t="shared" si="930"/>
        <v>2.2389999999999999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-5.0086787611077599E-2</v>
      </c>
      <c r="F183" s="170">
        <f t="shared" si="933"/>
        <v>-0.97708560369764874</v>
      </c>
      <c r="G183" s="170">
        <f t="shared" si="933"/>
        <v>-0.20686961292950762</v>
      </c>
      <c r="H183" s="139"/>
      <c r="I183" s="86"/>
      <c r="J183" s="79">
        <f t="shared" si="930"/>
        <v>2.246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-0.15601565298993172</v>
      </c>
      <c r="F184" s="170">
        <f t="shared" si="933"/>
        <v>-0.97841484067735962</v>
      </c>
      <c r="G184" s="170">
        <f t="shared" si="933"/>
        <v>-0.13551204951745896</v>
      </c>
      <c r="H184" s="139"/>
      <c r="I184" s="86"/>
      <c r="J184" s="79">
        <f t="shared" si="930"/>
        <v>2.2530000000000001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-0.91009882612553838</v>
      </c>
      <c r="F185" s="170">
        <f t="shared" si="933"/>
        <v>-0.30017025524688001</v>
      </c>
      <c r="G185" s="170">
        <f t="shared" si="933"/>
        <v>-0.28568854465998489</v>
      </c>
      <c r="H185" s="139"/>
      <c r="I185" s="86"/>
      <c r="J185" s="79">
        <f t="shared" si="930"/>
        <v>2.2599999999999998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-0.13023136895663226</v>
      </c>
      <c r="F186" s="170">
        <f t="shared" si="933"/>
        <v>-0.92309807616467543</v>
      </c>
      <c r="G186" s="170">
        <f t="shared" si="933"/>
        <v>-0.36184213729298687</v>
      </c>
      <c r="H186" s="139"/>
      <c r="I186" s="86"/>
      <c r="J186" s="79">
        <f t="shared" si="930"/>
        <v>3.1030000000000002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-0.13023136895663218</v>
      </c>
      <c r="F187" s="170">
        <f t="shared" si="933"/>
        <v>-0.92309807616467543</v>
      </c>
      <c r="G187" s="170">
        <f t="shared" si="933"/>
        <v>-0.36184213729298681</v>
      </c>
      <c r="H187" s="139"/>
      <c r="I187" s="86"/>
      <c r="J187" s="79">
        <f t="shared" si="930"/>
        <v>3.1059999999999999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-0.13023136895663223</v>
      </c>
      <c r="F188" s="170">
        <f t="shared" si="933"/>
        <v>-0.92309807616467543</v>
      </c>
      <c r="G188" s="170">
        <f t="shared" si="933"/>
        <v>-0.36184213729298692</v>
      </c>
      <c r="H188" s="139"/>
      <c r="I188" s="86"/>
      <c r="J188" s="79">
        <f t="shared" si="930"/>
        <v>3.11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-0.25861041778137089</v>
      </c>
      <c r="F189" s="170">
        <f t="shared" si="933"/>
        <v>-0.92001955295562443</v>
      </c>
      <c r="G189" s="170">
        <f t="shared" si="933"/>
        <v>-0.29442261121435287</v>
      </c>
      <c r="H189" s="139"/>
      <c r="I189" s="86"/>
      <c r="J189" s="79">
        <f t="shared" si="930"/>
        <v>3.117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-0.36691345531739228</v>
      </c>
      <c r="F190" s="170">
        <f t="shared" si="933"/>
        <v>-0.89759746759968329</v>
      </c>
      <c r="G190" s="170">
        <f t="shared" si="933"/>
        <v>-0.24432212848141213</v>
      </c>
      <c r="H190" s="139"/>
      <c r="I190" s="86"/>
      <c r="J190" s="79">
        <f t="shared" si="930"/>
        <v>3.1240000000000001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-0.45509249856510231</v>
      </c>
      <c r="F191" s="170">
        <f t="shared" si="933"/>
        <v>-0.86616653724306381</v>
      </c>
      <c r="G191" s="170">
        <f t="shared" si="933"/>
        <v>-0.20650992109371555</v>
      </c>
      <c r="H191" s="139"/>
      <c r="I191" s="86"/>
      <c r="J191" s="79">
        <f t="shared" si="930"/>
        <v>3.1309999999999998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-0.52375827608493908</v>
      </c>
      <c r="F192" s="170">
        <f t="shared" si="933"/>
        <v>-0.8379296008991981</v>
      </c>
      <c r="G192" s="170">
        <f t="shared" si="933"/>
        <v>-0.15346417226650444</v>
      </c>
      <c r="H192" s="139"/>
      <c r="I192" s="86"/>
      <c r="J192" s="79">
        <f t="shared" si="930"/>
        <v>3.1379999999999999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-0.56729053601194623</v>
      </c>
      <c r="F193" s="170">
        <f t="shared" si="933"/>
        <v>-0.81821571114529901</v>
      </c>
      <c r="G193" s="170">
        <f t="shared" si="933"/>
        <v>-9.3297898080671182E-2</v>
      </c>
      <c r="H193" s="139"/>
      <c r="I193" s="86"/>
      <c r="J193" s="79">
        <f t="shared" si="930"/>
        <v>3.145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-0.62142783268167834</v>
      </c>
      <c r="F194" s="170">
        <f t="shared" si="934"/>
        <v>-0.78195458940629825</v>
      </c>
      <c r="G194" s="170">
        <f t="shared" si="934"/>
        <v>-4.872852219162483E-2</v>
      </c>
      <c r="H194" s="139"/>
      <c r="I194" s="86"/>
      <c r="J194" s="79">
        <f t="shared" si="930"/>
        <v>3.1520000000000001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-0.80522850218788522</v>
      </c>
      <c r="F195" s="170">
        <f t="shared" si="934"/>
        <v>-0.59287021982863852</v>
      </c>
      <c r="G195" s="170">
        <f t="shared" si="934"/>
        <v>-1.0581195801843732E-2</v>
      </c>
      <c r="H195" s="139"/>
      <c r="I195" s="86"/>
      <c r="J195" s="79">
        <f t="shared" si="930"/>
        <v>3.1589999999999998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-0.85195576420818198</v>
      </c>
      <c r="F196" s="170">
        <f t="shared" si="934"/>
        <v>-0.52361376589279163</v>
      </c>
      <c r="G196" s="170">
        <f t="shared" si="934"/>
        <v>-1.457809316770762E-7</v>
      </c>
      <c r="H196" s="139"/>
      <c r="I196" s="86"/>
      <c r="J196" s="79">
        <f t="shared" si="930"/>
        <v>3.1659999999999999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-0.57323967492874128</v>
      </c>
      <c r="F197" s="170">
        <f t="shared" si="934"/>
        <v>-0.71167405612432533</v>
      </c>
      <c r="G197" s="170">
        <f t="shared" si="934"/>
        <v>-0.40609889550101197</v>
      </c>
      <c r="H197" s="139"/>
      <c r="I197" s="86"/>
      <c r="J197" s="79">
        <f t="shared" si="930"/>
        <v>3.2240000000000002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-0.65018360578756174</v>
      </c>
      <c r="F198" s="170">
        <f t="shared" si="934"/>
        <v>-0.66851724519965694</v>
      </c>
      <c r="G198" s="170">
        <f t="shared" si="934"/>
        <v>-0.36103458509642328</v>
      </c>
      <c r="H198" s="139"/>
      <c r="I198" s="86"/>
      <c r="J198" s="79">
        <f t="shared" si="930"/>
        <v>3.2309999999999999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-0.72085959201013594</v>
      </c>
      <c r="F199" s="170">
        <f t="shared" si="934"/>
        <v>-0.62690401440369059</v>
      </c>
      <c r="G199" s="170">
        <f t="shared" si="934"/>
        <v>-0.29555508002996284</v>
      </c>
      <c r="H199" s="139"/>
      <c r="I199" s="86"/>
      <c r="J199" s="79">
        <f t="shared" si="930"/>
        <v>3.238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-0.77499930214896529</v>
      </c>
      <c r="F200" s="170">
        <f t="shared" si="934"/>
        <v>-0.59303859747318155</v>
      </c>
      <c r="G200" s="170">
        <f t="shared" si="934"/>
        <v>-0.21836048996020027</v>
      </c>
      <c r="H200" s="139"/>
      <c r="I200" s="86"/>
      <c r="J200" s="79">
        <f t="shared" si="930"/>
        <v>3.2450000000000001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-0.83782077425406332</v>
      </c>
      <c r="F201" s="170">
        <f t="shared" si="934"/>
        <v>-0.52631202983359449</v>
      </c>
      <c r="G201" s="170">
        <f t="shared" si="934"/>
        <v>-0.14509306489547885</v>
      </c>
      <c r="H201" s="139"/>
      <c r="I201" s="86"/>
      <c r="J201" s="79">
        <f t="shared" si="930"/>
        <v>3.2519999999999998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-0.80521692652265564</v>
      </c>
      <c r="F202" s="170">
        <f t="shared" si="934"/>
        <v>0.49755134008163848</v>
      </c>
      <c r="G202" s="170">
        <f t="shared" si="934"/>
        <v>-0.32259628829912762</v>
      </c>
      <c r="H202" s="139"/>
      <c r="I202" s="86"/>
      <c r="J202" s="79">
        <f t="shared" si="930"/>
        <v>3.2589999999999999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-0.88424838557698082</v>
      </c>
      <c r="F203" s="170">
        <f t="shared" si="934"/>
        <v>-0.34842638491375982</v>
      </c>
      <c r="G203" s="170">
        <f t="shared" si="934"/>
        <v>-0.31097242144671206</v>
      </c>
      <c r="H203" s="139"/>
      <c r="I203" s="86"/>
      <c r="J203" s="79">
        <f t="shared" si="930"/>
        <v>4.1159999999999997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-0.9373765157733619</v>
      </c>
      <c r="F204" s="170">
        <f t="shared" si="934"/>
        <v>-0.2444928696371278</v>
      </c>
      <c r="G204" s="170">
        <f t="shared" si="934"/>
        <v>-0.24808971033316729</v>
      </c>
      <c r="H204" s="139"/>
      <c r="I204" s="86"/>
      <c r="J204" s="79">
        <f t="shared" si="930"/>
        <v>4.1230000000000002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-0.96501347309193697</v>
      </c>
      <c r="F205" s="170">
        <f t="shared" si="934"/>
        <v>-0.15289018392296039</v>
      </c>
      <c r="G205" s="170">
        <f t="shared" si="934"/>
        <v>-0.21301077064561955</v>
      </c>
      <c r="H205" s="139"/>
      <c r="I205" s="86"/>
      <c r="J205" s="79">
        <f t="shared" si="930"/>
        <v>4.13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-0.98377550373385103</v>
      </c>
      <c r="F206" s="170">
        <f t="shared" si="934"/>
        <v>-7.7726661212727144E-2</v>
      </c>
      <c r="G206" s="170">
        <f t="shared" si="934"/>
        <v>-0.16169206656459648</v>
      </c>
      <c r="H206" s="139"/>
      <c r="I206" s="86"/>
      <c r="J206" s="79">
        <f t="shared" si="930"/>
        <v>4.1369999999999996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-0.99441702066922455</v>
      </c>
      <c r="F207" s="170">
        <f t="shared" si="934"/>
        <v>-2.6984937192067158E-2</v>
      </c>
      <c r="G207" s="170">
        <f t="shared" si="934"/>
        <v>-0.10201275492840818</v>
      </c>
      <c r="H207" s="139"/>
      <c r="I207" s="86"/>
      <c r="J207" s="79">
        <f t="shared" si="930"/>
        <v>4.1440000000000001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-0.99828005008176579</v>
      </c>
      <c r="F208" s="170">
        <f t="shared" si="934"/>
        <v>2.6406072556942446E-2</v>
      </c>
      <c r="G208" s="170">
        <f t="shared" si="934"/>
        <v>-5.2341770517099949E-2</v>
      </c>
      <c r="H208" s="139"/>
      <c r="I208" s="86"/>
      <c r="J208" s="79">
        <f t="shared" si="930"/>
        <v>4.1509999999999998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-0.96685637102271871</v>
      </c>
      <c r="F209" s="170">
        <f t="shared" si="934"/>
        <v>0.2546415295884869</v>
      </c>
      <c r="G209" s="170">
        <f t="shared" si="934"/>
        <v>-1.8613146472720707E-2</v>
      </c>
      <c r="H209" s="139"/>
      <c r="I209" s="86"/>
      <c r="J209" s="79">
        <f t="shared" si="930"/>
        <v>4.1580000000000004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-0.92437952081290509</v>
      </c>
      <c r="F210" s="170">
        <f t="shared" si="934"/>
        <v>0.38147411642427709</v>
      </c>
      <c r="G210" s="170">
        <f t="shared" si="934"/>
        <v>-1.4578093202322137E-7</v>
      </c>
      <c r="H210" s="139"/>
      <c r="I210" s="86"/>
      <c r="J210" s="79">
        <f t="shared" si="930"/>
        <v>4.165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-0.91122249907189268</v>
      </c>
      <c r="F211" s="170">
        <f t="shared" si="934"/>
        <v>3.4680262771924646E-2</v>
      </c>
      <c r="G211" s="170">
        <f t="shared" si="934"/>
        <v>-0.41045199056557724</v>
      </c>
      <c r="H211" s="139"/>
      <c r="I211" s="86"/>
      <c r="J211" s="79">
        <f t="shared" si="930"/>
        <v>4.2229999999999999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-0.92149199817084071</v>
      </c>
      <c r="F212" s="170">
        <f t="shared" si="934"/>
        <v>0.1215100680208039</v>
      </c>
      <c r="G212" s="170">
        <f t="shared" si="934"/>
        <v>-0.3689008005910141</v>
      </c>
      <c r="H212" s="139"/>
      <c r="I212" s="86"/>
      <c r="J212" s="79">
        <f t="shared" si="930"/>
        <v>4.2300000000000004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-0.92979196448683454</v>
      </c>
      <c r="F213" s="170">
        <f t="shared" si="934"/>
        <v>0.20479029108048052</v>
      </c>
      <c r="G213" s="170">
        <f t="shared" si="934"/>
        <v>-0.30585591289835323</v>
      </c>
      <c r="H213" s="139"/>
      <c r="I213" s="86"/>
      <c r="J213" s="79">
        <f t="shared" si="930"/>
        <v>4.2370000000000001</v>
      </c>
    </row>
    <row r="214" spans="5:21" x14ac:dyDescent="0.25">
      <c r="E214" s="170">
        <f t="shared" ref="E214:G233" si="935">E69*-1</f>
        <v>-0.93463474518878031</v>
      </c>
      <c r="F214" s="170">
        <f t="shared" si="935"/>
        <v>0.27141448937001489</v>
      </c>
      <c r="G214" s="170">
        <f t="shared" si="935"/>
        <v>-0.2297652455135849</v>
      </c>
      <c r="H214" s="139"/>
      <c r="I214" s="86"/>
      <c r="J214" s="79">
        <f t="shared" si="930"/>
        <v>4.2439999999999998</v>
      </c>
    </row>
    <row r="215" spans="5:21" x14ac:dyDescent="0.25">
      <c r="E215" s="170">
        <f t="shared" si="935"/>
        <v>-0.92449925599220872</v>
      </c>
      <c r="F215" s="170">
        <f t="shared" si="935"/>
        <v>0.34857715177173426</v>
      </c>
      <c r="G215" s="170">
        <f t="shared" si="935"/>
        <v>-0.15425658797133454</v>
      </c>
      <c r="H215" s="139"/>
      <c r="I215" s="86"/>
      <c r="J215" s="79">
        <f t="shared" si="930"/>
        <v>4.2510000000000003</v>
      </c>
    </row>
    <row r="216" spans="5:21" x14ac:dyDescent="0.25">
      <c r="E216" s="170">
        <f t="shared" si="935"/>
        <v>-7.051523160867508E-2</v>
      </c>
      <c r="F216" s="170">
        <f t="shared" si="935"/>
        <v>0.93009562327444029</v>
      </c>
      <c r="G216" s="170">
        <f t="shared" si="935"/>
        <v>-0.36048541395860312</v>
      </c>
      <c r="H216" s="139"/>
      <c r="I216" s="86"/>
      <c r="J216" s="79">
        <f t="shared" si="930"/>
        <v>4.258</v>
      </c>
      <c r="M216" t="s">
        <v>391</v>
      </c>
    </row>
    <row r="217" spans="5:21" x14ac:dyDescent="0.25">
      <c r="E217" s="170">
        <f t="shared" si="935"/>
        <v>-0.83422226667379684</v>
      </c>
      <c r="F217" s="170">
        <f t="shared" si="935"/>
        <v>0.4020316360813766</v>
      </c>
      <c r="G217" s="170">
        <f t="shared" si="935"/>
        <v>-0.37741724043207714</v>
      </c>
      <c r="H217" s="139"/>
      <c r="I217" s="86"/>
      <c r="J217" s="79">
        <f t="shared" si="930"/>
        <v>5.1020000000000003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-0.83767484564856731</v>
      </c>
      <c r="F218" s="170">
        <f t="shared" si="935"/>
        <v>0.40911015710550674</v>
      </c>
      <c r="G218" s="170">
        <f t="shared" si="935"/>
        <v>-0.36184213729298681</v>
      </c>
      <c r="H218" s="139"/>
      <c r="I218" s="86"/>
      <c r="J218" s="79">
        <f t="shared" si="930"/>
        <v>5.1050000000000004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-0.8376748456485672</v>
      </c>
      <c r="F219" s="170">
        <f t="shared" si="935"/>
        <v>0.40911015710550674</v>
      </c>
      <c r="G219" s="170">
        <f t="shared" si="935"/>
        <v>-0.36184213729298681</v>
      </c>
      <c r="H219" s="139"/>
      <c r="I219" s="86"/>
      <c r="J219" s="79">
        <f t="shared" ref="J219:J282" si="936">J74</f>
        <v>5.1079999999999997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-0.80839799705815185</v>
      </c>
      <c r="F220" s="170">
        <f t="shared" si="935"/>
        <v>0.48982557610002359</v>
      </c>
      <c r="G220" s="170">
        <f t="shared" si="935"/>
        <v>-0.32644078077141092</v>
      </c>
      <c r="H220" s="139"/>
      <c r="I220" s="86"/>
      <c r="J220" s="79">
        <f t="shared" si="936"/>
        <v>5.1150000000000002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-0.75730247821475594</v>
      </c>
      <c r="F221" s="170">
        <f t="shared" si="935"/>
        <v>0.60273764745343839</v>
      </c>
      <c r="G221" s="170">
        <f t="shared" si="935"/>
        <v>-0.2513966682994902</v>
      </c>
      <c r="H221" s="139"/>
      <c r="I221" s="86"/>
      <c r="J221" s="79">
        <f t="shared" si="936"/>
        <v>5.1219999999999999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-0.69884393129649003</v>
      </c>
      <c r="F222" s="170">
        <f t="shared" si="935"/>
        <v>0.68086613672924423</v>
      </c>
      <c r="G222" s="170">
        <f t="shared" si="935"/>
        <v>-0.21917678605514077</v>
      </c>
      <c r="H222" s="139"/>
      <c r="I222" s="86"/>
      <c r="J222" s="79">
        <f t="shared" si="936"/>
        <v>5.1289999999999996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-0.64748895288324626</v>
      </c>
      <c r="F223" s="170">
        <f t="shared" si="935"/>
        <v>0.74293031169363399</v>
      </c>
      <c r="G223" s="170">
        <f t="shared" si="935"/>
        <v>-0.16974276968683383</v>
      </c>
      <c r="H223" s="139"/>
      <c r="I223" s="86"/>
      <c r="J223" s="79">
        <f t="shared" si="936"/>
        <v>5.1360000000000001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-0.61017342662217633</v>
      </c>
      <c r="F224" s="170">
        <f t="shared" si="935"/>
        <v>0.78449375363807006</v>
      </c>
      <c r="G224" s="170">
        <f t="shared" si="935"/>
        <v>-0.11071558131989662</v>
      </c>
      <c r="H224" s="139"/>
      <c r="I224" s="86"/>
      <c r="J224" s="79">
        <f t="shared" si="936"/>
        <v>5.1429999999999998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-0.57894562088646206</v>
      </c>
      <c r="F225" s="170">
        <f t="shared" si="935"/>
        <v>0.8134695773843017</v>
      </c>
      <c r="G225" s="170">
        <f t="shared" si="935"/>
        <v>-5.5580704624847488E-2</v>
      </c>
      <c r="H225" s="139"/>
      <c r="I225" s="86"/>
      <c r="J225" s="79">
        <f t="shared" si="936"/>
        <v>5.15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-0.40836057661527503</v>
      </c>
      <c r="F226" s="170">
        <f t="shared" si="935"/>
        <v>0.91246484610254797</v>
      </c>
      <c r="G226" s="170">
        <f t="shared" si="935"/>
        <v>-2.5486154937409546E-2</v>
      </c>
      <c r="H226" s="139"/>
      <c r="I226" s="86"/>
      <c r="J226" s="79">
        <f t="shared" si="936"/>
        <v>5.157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-0.23471773902903709</v>
      </c>
      <c r="F227" s="170">
        <f t="shared" si="935"/>
        <v>0.97206356941564054</v>
      </c>
      <c r="G227" s="170">
        <f t="shared" si="935"/>
        <v>-1.4578093164421206E-7</v>
      </c>
      <c r="H227" s="139"/>
      <c r="I227" s="86"/>
      <c r="J227" s="79">
        <f t="shared" si="936"/>
        <v>5.1639999999999997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-0.51542329080559068</v>
      </c>
      <c r="F228" s="170">
        <f t="shared" si="935"/>
        <v>0.75016887984848502</v>
      </c>
      <c r="G228" s="170">
        <f t="shared" si="935"/>
        <v>-0.41422878099186322</v>
      </c>
      <c r="H228" s="139"/>
      <c r="I228" s="86"/>
      <c r="J228" s="79">
        <f t="shared" si="936"/>
        <v>5.2220000000000004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-0.45179780476211684</v>
      </c>
      <c r="F229" s="170">
        <f t="shared" si="935"/>
        <v>0.8088626562858886</v>
      </c>
      <c r="G229" s="170">
        <f t="shared" si="935"/>
        <v>-0.37632425762667576</v>
      </c>
      <c r="H229" s="139"/>
      <c r="I229" s="86"/>
      <c r="J229" s="79">
        <f t="shared" si="936"/>
        <v>5.2290000000000001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-0.38844143137375903</v>
      </c>
      <c r="F230" s="170">
        <f t="shared" si="935"/>
        <v>0.86563894565167077</v>
      </c>
      <c r="G230" s="170">
        <f t="shared" si="935"/>
        <v>-0.31588363389604279</v>
      </c>
      <c r="H230" s="139"/>
      <c r="I230" s="86"/>
      <c r="J230" s="79">
        <f t="shared" si="936"/>
        <v>5.2359999999999998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-0.33535503371984055</v>
      </c>
      <c r="F231" s="170">
        <f t="shared" si="935"/>
        <v>0.91072478927440081</v>
      </c>
      <c r="G231" s="170">
        <f t="shared" si="935"/>
        <v>-0.24107542296937484</v>
      </c>
      <c r="H231" s="139"/>
      <c r="I231" s="86"/>
      <c r="J231" s="79">
        <f t="shared" si="936"/>
        <v>5.2430000000000003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-0.28128121416416368</v>
      </c>
      <c r="F232" s="170">
        <f t="shared" si="935"/>
        <v>0.94564268338856639</v>
      </c>
      <c r="G232" s="170">
        <f t="shared" si="935"/>
        <v>-0.16322007815218614</v>
      </c>
      <c r="H232" s="139"/>
      <c r="I232" s="86"/>
      <c r="J232" s="79">
        <f t="shared" si="936"/>
        <v>5.25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0.69707270601708216</v>
      </c>
      <c r="F233" s="170">
        <f t="shared" si="935"/>
        <v>0.59319863726087652</v>
      </c>
      <c r="G233" s="170">
        <f t="shared" si="935"/>
        <v>-0.40274684266653404</v>
      </c>
      <c r="H233" s="139"/>
      <c r="I233" s="86"/>
      <c r="J233" s="79">
        <f t="shared" si="936"/>
        <v>5.2569999999999997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-0.22109601650503657</v>
      </c>
      <c r="F234" s="170">
        <f t="shared" si="937"/>
        <v>0.91504439830171291</v>
      </c>
      <c r="G234" s="170">
        <f t="shared" si="937"/>
        <v>-0.33735782282653654</v>
      </c>
      <c r="H234" s="139"/>
      <c r="I234" s="86"/>
      <c r="J234" s="79">
        <f t="shared" si="936"/>
        <v>6.1139999999999999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-7.3489666402068318E-2</v>
      </c>
      <c r="F235" s="170">
        <f t="shared" si="937"/>
        <v>0.96434817711772636</v>
      </c>
      <c r="G235" s="170">
        <f t="shared" si="937"/>
        <v>-0.25422797293341082</v>
      </c>
      <c r="H235" s="139"/>
      <c r="I235" s="86"/>
      <c r="J235" s="79">
        <f t="shared" si="936"/>
        <v>6.1210000000000004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2.5318028100397846E-2</v>
      </c>
      <c r="F236" s="170">
        <f t="shared" si="937"/>
        <v>0.97403333923137003</v>
      </c>
      <c r="G236" s="170">
        <f t="shared" si="937"/>
        <v>-0.22498455840100309</v>
      </c>
      <c r="H236" s="139"/>
      <c r="I236" s="86"/>
      <c r="J236" s="79">
        <f t="shared" si="936"/>
        <v>6.1280000000000001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0.10868250739187879</v>
      </c>
      <c r="F237" s="170">
        <f t="shared" si="937"/>
        <v>0.97808398595456891</v>
      </c>
      <c r="G237" s="170">
        <f t="shared" si="937"/>
        <v>-0.17759456356047898</v>
      </c>
      <c r="H237" s="139"/>
      <c r="I237" s="86"/>
      <c r="J237" s="79">
        <f t="shared" si="936"/>
        <v>6.1349999999999998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0.16851233949910308</v>
      </c>
      <c r="F238" s="170">
        <f t="shared" si="937"/>
        <v>0.9784429640399912</v>
      </c>
      <c r="G238" s="170">
        <f t="shared" si="937"/>
        <v>-0.11938575106425267</v>
      </c>
      <c r="H238" s="139"/>
      <c r="I238" s="86"/>
      <c r="J238" s="79">
        <f t="shared" si="936"/>
        <v>6.1420000000000003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0.20080865492458047</v>
      </c>
      <c r="F239" s="170">
        <f t="shared" si="937"/>
        <v>0.97788392002440827</v>
      </c>
      <c r="G239" s="170">
        <f t="shared" si="937"/>
        <v>-5.8471557744579239E-2</v>
      </c>
      <c r="H239" s="139"/>
      <c r="I239" s="86"/>
      <c r="J239" s="79">
        <f t="shared" si="936"/>
        <v>6.149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0.35904670960502344</v>
      </c>
      <c r="F240" s="170">
        <f t="shared" si="937"/>
        <v>0.93280018822804944</v>
      </c>
      <c r="G240" s="170">
        <f t="shared" si="937"/>
        <v>-3.1133087921402555E-2</v>
      </c>
      <c r="H240" s="139"/>
      <c r="I240" s="86"/>
      <c r="J240" s="79">
        <f t="shared" si="936"/>
        <v>6.1559999999999997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0.56532708883299698</v>
      </c>
      <c r="F241" s="170">
        <f t="shared" si="937"/>
        <v>0.824866827210058</v>
      </c>
      <c r="G241" s="170">
        <f t="shared" si="937"/>
        <v>-1.4578093219790013E-7</v>
      </c>
      <c r="H241" s="139"/>
      <c r="I241" s="86"/>
      <c r="J241" s="79">
        <f t="shared" si="936"/>
        <v>6.1630000000000003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0.20252000699368392</v>
      </c>
      <c r="F242" s="170">
        <f t="shared" si="937"/>
        <v>0.88586224461908114</v>
      </c>
      <c r="G242" s="170">
        <f t="shared" si="937"/>
        <v>-0.4174131410553838</v>
      </c>
      <c r="H242" s="139"/>
      <c r="I242" s="86"/>
      <c r="J242" s="79">
        <f t="shared" si="936"/>
        <v>6.2210000000000001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0.28714450570849404</v>
      </c>
      <c r="F243" s="170">
        <f t="shared" si="937"/>
        <v>0.87786329037726918</v>
      </c>
      <c r="G243" s="170">
        <f t="shared" si="937"/>
        <v>-0.38328067554915829</v>
      </c>
      <c r="H243" s="139"/>
      <c r="I243" s="86"/>
      <c r="J243" s="79">
        <f t="shared" si="936"/>
        <v>6.2279999999999998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0.37282315543745637</v>
      </c>
      <c r="F244" s="170">
        <f t="shared" si="937"/>
        <v>0.86889482033852117</v>
      </c>
      <c r="G244" s="170">
        <f t="shared" si="937"/>
        <v>-0.32561432087447773</v>
      </c>
      <c r="H244" s="139"/>
      <c r="I244" s="86"/>
      <c r="J244" s="79">
        <f t="shared" si="936"/>
        <v>6.2350000000000003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0.44456889499596425</v>
      </c>
      <c r="F245" s="170">
        <f t="shared" si="937"/>
        <v>0.85948786845940117</v>
      </c>
      <c r="G245" s="170">
        <f t="shared" si="937"/>
        <v>-0.25226791625805794</v>
      </c>
      <c r="H245" s="139"/>
      <c r="I245" s="86"/>
      <c r="J245" s="79">
        <f t="shared" si="936"/>
        <v>6.242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0.49534657268578508</v>
      </c>
      <c r="F246" s="170">
        <f t="shared" si="937"/>
        <v>0.85150338759358402</v>
      </c>
      <c r="G246" s="170">
        <f t="shared" si="937"/>
        <v>-0.17197021208656157</v>
      </c>
      <c r="H246" s="139"/>
      <c r="I246" s="86"/>
      <c r="J246" s="79">
        <f t="shared" si="936"/>
        <v>6.2489999999999997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0.88512439734948989</v>
      </c>
      <c r="F247" s="170">
        <f t="shared" si="937"/>
        <v>-0.1169845930440342</v>
      </c>
      <c r="G247" s="170">
        <f t="shared" si="937"/>
        <v>-0.45041026432245557</v>
      </c>
      <c r="H247" s="139"/>
      <c r="I247" s="86"/>
      <c r="J247" s="79">
        <f t="shared" si="936"/>
        <v>6.2560000000000002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0.54222138305405665</v>
      </c>
      <c r="F248" s="170">
        <f t="shared" si="937"/>
        <v>0.76211575211607263</v>
      </c>
      <c r="G248" s="170">
        <f t="shared" si="937"/>
        <v>-0.3538015716973274</v>
      </c>
      <c r="H248" s="139"/>
      <c r="I248" s="86"/>
      <c r="J248" s="79">
        <f t="shared" si="936"/>
        <v>7.1130000000000004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0.66848564151095469</v>
      </c>
      <c r="F249" s="170">
        <f t="shared" si="937"/>
        <v>0.69806795038774005</v>
      </c>
      <c r="G249" s="170">
        <f t="shared" si="937"/>
        <v>-0.25656984182702985</v>
      </c>
      <c r="H249" s="139"/>
      <c r="I249" s="86"/>
      <c r="J249" s="79">
        <f t="shared" si="936"/>
        <v>7.12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0.74215939907168038</v>
      </c>
      <c r="F250" s="170">
        <f t="shared" si="937"/>
        <v>0.62936773112290667</v>
      </c>
      <c r="G250" s="170">
        <f t="shared" si="937"/>
        <v>-0.23042501034125396</v>
      </c>
      <c r="H250" s="139"/>
      <c r="I250" s="86"/>
      <c r="J250" s="79">
        <f t="shared" si="936"/>
        <v>7.1269999999999998</v>
      </c>
    </row>
    <row r="251" spans="5:21" x14ac:dyDescent="0.25">
      <c r="E251" s="170">
        <f t="shared" si="937"/>
        <v>0.8022732883664484</v>
      </c>
      <c r="F251" s="170">
        <f t="shared" si="937"/>
        <v>0.56749600777050779</v>
      </c>
      <c r="G251" s="170">
        <f t="shared" si="937"/>
        <v>-0.18521838984890593</v>
      </c>
      <c r="H251" s="139"/>
      <c r="I251" s="86"/>
      <c r="J251" s="79">
        <f t="shared" si="936"/>
        <v>7.1340000000000003</v>
      </c>
    </row>
    <row r="252" spans="5:21" x14ac:dyDescent="0.25">
      <c r="E252" s="170">
        <f t="shared" si="937"/>
        <v>0.84458844765115948</v>
      </c>
      <c r="F252" s="170">
        <f t="shared" si="937"/>
        <v>0.51989016801223142</v>
      </c>
      <c r="G252" s="170">
        <f t="shared" si="937"/>
        <v>-0.12800221599026576</v>
      </c>
      <c r="H252" s="139"/>
      <c r="I252" s="86"/>
      <c r="J252" s="79">
        <f t="shared" si="936"/>
        <v>7.141</v>
      </c>
    </row>
    <row r="253" spans="5:21" x14ac:dyDescent="0.25">
      <c r="E253" s="170">
        <f t="shared" si="937"/>
        <v>0.86775603434618254</v>
      </c>
      <c r="F253" s="170">
        <f t="shared" si="937"/>
        <v>0.49243059035696701</v>
      </c>
      <c r="G253" s="170">
        <f t="shared" si="937"/>
        <v>-6.7168285198268785E-2</v>
      </c>
      <c r="H253" s="139"/>
      <c r="I253" s="86"/>
      <c r="J253" s="79">
        <f t="shared" si="936"/>
        <v>7.1479999999999997</v>
      </c>
    </row>
    <row r="254" spans="5:21" x14ac:dyDescent="0.25">
      <c r="E254" s="170">
        <f t="shared" ref="E254:G273" si="938">E109*-1</f>
        <v>0.92162740672349086</v>
      </c>
      <c r="F254" s="170">
        <f t="shared" si="938"/>
        <v>0.38646394428231351</v>
      </c>
      <c r="G254" s="170">
        <f t="shared" si="938"/>
        <v>-3.5334727194219706E-2</v>
      </c>
      <c r="H254" s="139"/>
      <c r="I254" s="86"/>
      <c r="J254" s="79">
        <f t="shared" si="936"/>
        <v>7.1550000000000002</v>
      </c>
    </row>
    <row r="255" spans="5:21" x14ac:dyDescent="0.25">
      <c r="E255" s="170">
        <f t="shared" si="938"/>
        <v>0.99342282372660995</v>
      </c>
      <c r="F255" s="170">
        <f t="shared" si="938"/>
        <v>0.1145036824692891</v>
      </c>
      <c r="G255" s="170">
        <f t="shared" si="938"/>
        <v>-1.4578093126044298E-7</v>
      </c>
      <c r="H255" s="139"/>
      <c r="I255" s="86"/>
      <c r="J255" s="79">
        <f t="shared" si="936"/>
        <v>7.1619999999999999</v>
      </c>
    </row>
    <row r="256" spans="5:21" x14ac:dyDescent="0.25">
      <c r="E256" s="170">
        <f t="shared" si="938"/>
        <v>0.79146735627350762</v>
      </c>
      <c r="F256" s="170">
        <f t="shared" si="938"/>
        <v>0.44405781805596733</v>
      </c>
      <c r="G256" s="170">
        <f t="shared" si="938"/>
        <v>-0.41999056915221111</v>
      </c>
      <c r="H256" s="139"/>
      <c r="I256" s="86"/>
      <c r="J256" s="79">
        <f t="shared" si="936"/>
        <v>7.22</v>
      </c>
    </row>
    <row r="257" spans="5:10" x14ac:dyDescent="0.25">
      <c r="E257" s="170">
        <f t="shared" si="938"/>
        <v>0.84395245268592289</v>
      </c>
      <c r="F257" s="170">
        <f t="shared" si="938"/>
        <v>0.36855324807820566</v>
      </c>
      <c r="G257" s="170">
        <f t="shared" si="938"/>
        <v>-0.38975987599600331</v>
      </c>
      <c r="H257" s="139"/>
      <c r="I257" s="86"/>
      <c r="J257" s="79">
        <f t="shared" si="936"/>
        <v>7.2270000000000003</v>
      </c>
    </row>
    <row r="258" spans="5:10" x14ac:dyDescent="0.25">
      <c r="E258" s="170">
        <f t="shared" si="938"/>
        <v>0.89401591714854722</v>
      </c>
      <c r="F258" s="170">
        <f t="shared" si="938"/>
        <v>0.29748698326797085</v>
      </c>
      <c r="G258" s="170">
        <f t="shared" si="938"/>
        <v>-0.33501796171423998</v>
      </c>
      <c r="H258" s="139"/>
      <c r="I258" s="86"/>
      <c r="J258" s="79">
        <f t="shared" si="936"/>
        <v>7.234</v>
      </c>
    </row>
    <row r="259" spans="5:10" x14ac:dyDescent="0.25">
      <c r="E259" s="170">
        <f t="shared" si="938"/>
        <v>0.93559984649507644</v>
      </c>
      <c r="F259" s="170">
        <f t="shared" si="938"/>
        <v>0.23519330571472824</v>
      </c>
      <c r="G259" s="170">
        <f t="shared" si="938"/>
        <v>-0.26331926664292499</v>
      </c>
      <c r="H259" s="139"/>
      <c r="I259" s="86"/>
      <c r="J259" s="79">
        <f t="shared" si="936"/>
        <v>7.2409999999999997</v>
      </c>
    </row>
    <row r="260" spans="5:10" x14ac:dyDescent="0.25">
      <c r="E260" s="170">
        <f t="shared" si="938"/>
        <v>0.96460775867564941</v>
      </c>
      <c r="F260" s="170">
        <f t="shared" si="938"/>
        <v>0.18919611546011239</v>
      </c>
      <c r="G260" s="170">
        <f t="shared" si="938"/>
        <v>-0.18367553402003206</v>
      </c>
      <c r="H260" s="139"/>
      <c r="I260" s="86"/>
      <c r="J260" s="79">
        <f t="shared" si="936"/>
        <v>7.2480000000000002</v>
      </c>
    </row>
    <row r="261" spans="5:10" x14ac:dyDescent="0.25">
      <c r="E261" s="170">
        <f t="shared" si="938"/>
        <v>0.47741365181285428</v>
      </c>
      <c r="F261" s="170">
        <f t="shared" si="938"/>
        <v>-0.71960544881349242</v>
      </c>
      <c r="G261" s="170">
        <f t="shared" si="938"/>
        <v>-0.50422634114120501</v>
      </c>
      <c r="H261" s="139"/>
      <c r="I261" s="86"/>
      <c r="J261" s="79">
        <f t="shared" si="936"/>
        <v>7.2549999999999999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1.1259999999999999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1.133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1.1539999999999999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1.161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1.2190000000000001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1.226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1.2330000000000001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1.24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1.2470000000000001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1.254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2.1110000000000002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2.1179999999999999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2.125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2.1320000000000001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2.1389999999999998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2.1459999999999999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2.153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2.16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2.1669999999999998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2.2250000000000001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2.2320000000000002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2.2389999999999999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2.246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2.2530000000000001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2.2599999999999998</v>
      </c>
      <c r="N195" s="869" t="str">
        <f>Assy.Model!K40</f>
        <v>CPS-32193r1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3.1030000000000002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3.1240000000000001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3.1309999999999998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3.1379999999999999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3.145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3.1520000000000001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3.1589999999999998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3.1659999999999999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3.2240000000000002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3.2309999999999999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3.238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3.2450000000000001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3.2519999999999998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3.2589999999999999</v>
      </c>
      <c r="N212" s="869" t="str">
        <f>Assy.Model!K57</f>
        <v>CPS-32193r1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4.1159999999999997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4.1230000000000002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4.13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4.1369999999999996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4.1440000000000001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4.1509999999999998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4.1580000000000004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4.165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4.2229999999999999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4.2300000000000004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4.2370000000000001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4.2439999999999998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4.2510000000000003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4.258</v>
      </c>
      <c r="N226" s="869" t="str">
        <f>Assy.Model!K71</f>
        <v>CPS-32193r1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5.1020000000000003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5.1050000000000004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5.1079999999999997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5.1150000000000002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5.1219999999999999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5.1289999999999996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5.1360000000000001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5.1429999999999998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5.15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5.157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5.1639999999999997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5.2220000000000004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5.2290000000000001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5.2359999999999998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5.2430000000000003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5.25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5.2569999999999997</v>
      </c>
      <c r="N243" s="869" t="str">
        <f>Assy.Model!K88</f>
        <v>CPS-32193r1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6.1139999999999999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6.1210000000000004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6.1280000000000001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6.1349999999999998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6.1420000000000003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6.149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6.1559999999999997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6.1630000000000003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6.2210000000000001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6.2279999999999998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6.2350000000000003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6.242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6.2489999999999997</v>
      </c>
      <c r="N256" s="869">
        <f>Assy.Model!K101</f>
        <v>1313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6.2560000000000002</v>
      </c>
      <c r="N257" s="869" t="str">
        <f>Assy.Model!K102</f>
        <v>CPS-32193r1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7.1130000000000004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7.12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7.1269999999999998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7.1340000000000003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7.141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7.1479999999999997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7.1550000000000002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7.1619999999999999</v>
      </c>
      <c r="N265" s="869">
        <f>Assy.Model!K110</f>
        <v>1613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7.22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7.2270000000000003</v>
      </c>
      <c r="N267" s="869">
        <f>Assy.Model!K112</f>
        <v>1313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7.234</v>
      </c>
      <c r="N268" s="869">
        <f>Assy.Model!K113</f>
        <v>1313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7.2409999999999997</v>
      </c>
      <c r="N269" s="869">
        <f>Assy.Model!K114</f>
        <v>1313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7.2480000000000002</v>
      </c>
      <c r="N270" s="869">
        <f>Assy.Model!K115</f>
        <v>1313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7.2549999999999999</v>
      </c>
      <c r="N271" s="869" t="str">
        <f>Assy.Model!K116</f>
        <v>CPS-32193r1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2023-03-28T18:20:35Z</dcterms:modified>
</cp:coreProperties>
</file>