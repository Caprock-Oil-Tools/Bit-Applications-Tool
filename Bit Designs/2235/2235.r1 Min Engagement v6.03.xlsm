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35\"/>
    </mc:Choice>
  </mc:AlternateContent>
  <xr:revisionPtr revIDLastSave="0" documentId="8_{00207F0C-2A3A-488F-95C7-D99D1A81E701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P47" i="1"/>
  <c r="IQ47" i="1"/>
  <c r="IN92" i="1"/>
  <c r="IJ92" i="1"/>
  <c r="IQ92" i="1"/>
  <c r="IP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Q68" i="1"/>
  <c r="IJ68" i="1"/>
  <c r="IP68" i="1"/>
  <c r="IK68" i="1"/>
  <c r="IN68" i="1"/>
  <c r="IR68" i="1"/>
  <c r="IW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Q87" i="1"/>
  <c r="IN87" i="1"/>
  <c r="IW87" i="1"/>
  <c r="IK87" i="1"/>
  <c r="IJ87" i="1"/>
  <c r="IR87" i="1"/>
  <c r="IP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Q111" i="1"/>
  <c r="IK111" i="1"/>
  <c r="IW111" i="1"/>
  <c r="IN111" i="1"/>
  <c r="IP111" i="1"/>
  <c r="IJ111" i="1"/>
  <c r="IR111" i="1"/>
  <c r="IQ69" i="1"/>
  <c r="IN69" i="1"/>
  <c r="IR69" i="1"/>
  <c r="IW69" i="1"/>
  <c r="IP69" i="1"/>
  <c r="IJ69" i="1"/>
  <c r="IK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J84" i="1"/>
  <c r="IR84" i="1"/>
  <c r="IP84" i="1"/>
  <c r="IW84" i="1"/>
  <c r="IQ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J99" i="1"/>
  <c r="IP99" i="1"/>
  <c r="IQ99" i="1"/>
  <c r="IN99" i="1"/>
  <c r="IK66" i="1"/>
  <c r="IQ66" i="1"/>
  <c r="IR66" i="1"/>
  <c r="IN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W117" i="1"/>
  <c r="IQ117" i="1"/>
  <c r="IN117" i="1"/>
  <c r="IR117" i="1"/>
  <c r="IP117" i="1"/>
  <c r="IJ117" i="1"/>
  <c r="IR57" i="1"/>
  <c r="IK57" i="1"/>
  <c r="IJ57" i="1"/>
  <c r="IW57" i="1"/>
  <c r="IQ57" i="1"/>
  <c r="IN57" i="1"/>
  <c r="IP57" i="1"/>
  <c r="IJ113" i="1"/>
  <c r="IQ113" i="1"/>
  <c r="IR113" i="1"/>
  <c r="IP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N21" i="1"/>
  <c r="IW21" i="1"/>
  <c r="IK21" i="1"/>
  <c r="IR21" i="1"/>
  <c r="IP21" i="1"/>
  <c r="IJ21" i="1"/>
  <c r="IQ21" i="1"/>
  <c r="IR15" i="1"/>
  <c r="IJ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Q62" i="1"/>
  <c r="IP62" i="1"/>
  <c r="IK62" i="1"/>
  <c r="IW62" i="1"/>
  <c r="IJ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Q102" i="1"/>
  <c r="IN102" i="1"/>
  <c r="IW102" i="1"/>
  <c r="IJ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R83" i="1"/>
  <c r="IK83" i="1"/>
  <c r="IJ83" i="1"/>
  <c r="IW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P38" i="1"/>
  <c r="IR38" i="1"/>
  <c r="IQ38" i="1"/>
  <c r="IN38" i="1"/>
  <c r="IJ38" i="1"/>
  <c r="IW38" i="1"/>
  <c r="IK38" i="1"/>
  <c r="IQ91" i="1"/>
  <c r="IK91" i="1"/>
  <c r="IP91" i="1"/>
  <c r="IW91" i="1"/>
  <c r="IJ91" i="1"/>
  <c r="IR91" i="1"/>
  <c r="IN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Q20" i="1"/>
  <c r="IJ20" i="1"/>
  <c r="IP20" i="1"/>
  <c r="IN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K112" i="1"/>
  <c r="IR112" i="1"/>
  <c r="IP112" i="1"/>
  <c r="IJ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N101" i="1"/>
  <c r="IQ101" i="1"/>
  <c r="IP101" i="1"/>
  <c r="IK101" i="1"/>
  <c r="IW101" i="1"/>
  <c r="IR101" i="1"/>
  <c r="IJ101" i="1"/>
  <c r="IR116" i="1"/>
  <c r="IJ116" i="1"/>
  <c r="IW116" i="1"/>
  <c r="IK116" i="1"/>
  <c r="IN116" i="1"/>
  <c r="IQ116" i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N114" i="1"/>
  <c r="IR114" i="1"/>
  <c r="IK114" i="1"/>
  <c r="IW114" i="1"/>
  <c r="IQ114" i="1"/>
  <c r="IP114" i="1"/>
  <c r="IJ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P40" i="1"/>
  <c r="IJ40" i="1"/>
  <c r="IW40" i="1"/>
  <c r="IR40" i="1"/>
  <c r="IN40" i="1"/>
  <c r="IK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Q70" i="1"/>
  <c r="IP70" i="1"/>
  <c r="IN70" i="1"/>
  <c r="IJ70" i="1"/>
  <c r="IW70" i="1"/>
  <c r="IK70" i="1"/>
  <c r="IR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J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K58" i="1"/>
  <c r="IJ58" i="1"/>
  <c r="IW58" i="1"/>
  <c r="IQ58" i="1"/>
  <c r="IN58" i="1"/>
  <c r="IR58" i="1"/>
  <c r="IP58" i="1"/>
  <c r="IQ56" i="1"/>
  <c r="IP56" i="1"/>
  <c r="IW56" i="1"/>
  <c r="IJ56" i="1"/>
  <c r="IR56" i="1"/>
  <c r="IN56" i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W71" i="1"/>
  <c r="IK71" i="1"/>
  <c r="IP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Q97" i="1"/>
  <c r="IP97" i="1"/>
  <c r="IR97" i="1"/>
  <c r="IJ97" i="1"/>
  <c r="IR33" i="1"/>
  <c r="IW33" i="1"/>
  <c r="IJ33" i="1"/>
  <c r="IN33" i="1"/>
  <c r="IK33" i="1"/>
  <c r="IJ67" i="1"/>
  <c r="IR67" i="1"/>
  <c r="IQ67" i="1"/>
  <c r="IN67" i="1"/>
  <c r="IW67" i="1"/>
  <c r="IK67" i="1"/>
  <c r="IP67" i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Q85" i="1"/>
  <c r="IK85" i="1"/>
  <c r="IR85" i="1"/>
  <c r="IJ85" i="1"/>
  <c r="IW85" i="1"/>
  <c r="IP85" i="1"/>
  <c r="IK63" i="1"/>
  <c r="IW63" i="1"/>
  <c r="IJ63" i="1"/>
  <c r="IR63" i="1"/>
  <c r="IQ63" i="1"/>
  <c r="IN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J48" i="1"/>
  <c r="IW48" i="1"/>
  <c r="IR48" i="1"/>
  <c r="IN48" i="1"/>
  <c r="IQ48" i="1"/>
  <c r="IW22" i="1"/>
  <c r="IK22" i="1"/>
  <c r="IR22" i="1"/>
  <c r="IQ22" i="1"/>
  <c r="IJ22" i="1"/>
  <c r="IP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N75" i="1"/>
  <c r="IW75" i="1"/>
  <c r="IK75" i="1"/>
  <c r="IQ75" i="1"/>
  <c r="IP75" i="1"/>
  <c r="IJ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J100" i="1"/>
  <c r="IP100" i="1"/>
  <c r="IQ100" i="1"/>
  <c r="IN100" i="1"/>
  <c r="IW100" i="1"/>
  <c r="IK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J98" i="1"/>
  <c r="IN98" i="1"/>
  <c r="IW98" i="1"/>
  <c r="IK98" i="1"/>
  <c r="IP98" i="1"/>
  <c r="IQ98" i="1"/>
  <c r="IJ37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J32" i="1"/>
  <c r="IW32" i="1"/>
  <c r="IP32" i="1"/>
  <c r="IN32" i="1"/>
  <c r="IR32" i="1"/>
  <c r="IQ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Q115" i="1"/>
  <c r="IK115" i="1"/>
  <c r="IJ115" i="1"/>
  <c r="IW115" i="1"/>
  <c r="IR115" i="1"/>
  <c r="IN115" i="1"/>
  <c r="IP115" i="1"/>
  <c r="IK49" i="1"/>
  <c r="IJ49" i="1"/>
  <c r="IR49" i="1"/>
  <c r="IQ49" i="1"/>
  <c r="IW49" i="1"/>
  <c r="IP49" i="1"/>
  <c r="IN49" i="1"/>
  <c r="IQ72" i="1"/>
  <c r="IJ72" i="1"/>
  <c r="IW72" i="1"/>
  <c r="IK72" i="1"/>
  <c r="IR72" i="1"/>
  <c r="IP72" i="1"/>
  <c r="IN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J74" i="1"/>
  <c r="IQ74" i="1"/>
  <c r="IN74" i="1"/>
  <c r="IP74" i="1"/>
  <c r="IW74" i="1"/>
  <c r="IK74" i="1"/>
  <c r="IR74" i="1"/>
  <c r="IQ89" i="1"/>
  <c r="IW89" i="1"/>
  <c r="IR89" i="1"/>
  <c r="IK89" i="1"/>
  <c r="IP89" i="1"/>
  <c r="IN89" i="1"/>
  <c r="IJ89" i="1"/>
  <c r="IK103" i="1"/>
  <c r="IN103" i="1"/>
  <c r="IW103" i="1"/>
  <c r="IR103" i="1"/>
  <c r="IJ103" i="1"/>
  <c r="IQ103" i="1"/>
  <c r="IP103" i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Q88" i="1"/>
  <c r="IR88" i="1"/>
  <c r="IW88" i="1"/>
  <c r="IP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W86" i="1"/>
  <c r="IQ86" i="1"/>
  <c r="IK86" i="1"/>
  <c r="IN86" i="1"/>
  <c r="IJ86" i="1"/>
  <c r="IP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29" i="1" l="1"/>
  <c r="IF130" i="1"/>
  <c r="IF137" i="1"/>
  <c r="IF150" i="1"/>
  <c r="IF139" i="1"/>
  <c r="IF82" i="1"/>
  <c r="IF132" i="1"/>
  <c r="IF78" i="1"/>
  <c r="IF136" i="1"/>
  <c r="IF11" i="1"/>
  <c r="IF44" i="1"/>
  <c r="IF76" i="1"/>
  <c r="IF140" i="1"/>
  <c r="IF144" i="1"/>
  <c r="IF96" i="1"/>
  <c r="IF13" i="1"/>
  <c r="IF106" i="1"/>
  <c r="IF127" i="1"/>
  <c r="IF135" i="1"/>
  <c r="IF105" i="1"/>
  <c r="IF123" i="1"/>
  <c r="IF131" i="1"/>
  <c r="IF12" i="1"/>
  <c r="IF126" i="1"/>
  <c r="IF149" i="1"/>
  <c r="IF27" i="1"/>
  <c r="IF147" i="1"/>
  <c r="IF109" i="1"/>
  <c r="IF145" i="1"/>
  <c r="IF94" i="1"/>
  <c r="IF9" i="1"/>
  <c r="IF79" i="1"/>
  <c r="IF134" i="1"/>
  <c r="IF125" i="1"/>
  <c r="IF143" i="1"/>
  <c r="IF95" i="1"/>
  <c r="IF107" i="1"/>
  <c r="IF10" i="1"/>
  <c r="IF146" i="1"/>
  <c r="IF28" i="1"/>
  <c r="IF121" i="1"/>
  <c r="IF122" i="1"/>
  <c r="IF118" i="1"/>
  <c r="IF64" i="1"/>
  <c r="IF80" i="1"/>
  <c r="IF141" i="1"/>
  <c r="IF138" i="1"/>
  <c r="IF119" i="1"/>
  <c r="IF45" i="1"/>
  <c r="IF110" i="1"/>
  <c r="IF77" i="1"/>
  <c r="IF133" i="1"/>
  <c r="IF128" i="1"/>
  <c r="IF129" i="1"/>
  <c r="IF124" i="1"/>
  <c r="IF120" i="1"/>
  <c r="IF14" i="1"/>
  <c r="IF73" i="1"/>
  <c r="IF81" i="1"/>
  <c r="IF104" i="1"/>
  <c r="IF93" i="1"/>
  <c r="IF65" i="1"/>
  <c r="IF142" i="1"/>
  <c r="IF148" i="1"/>
  <c r="IF50" i="1"/>
  <c r="IF108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IV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61" i="1" l="1"/>
  <c r="IV58" i="1"/>
  <c r="IQ19" i="1"/>
  <c r="IV15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V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IV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IV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IV117" i="1" s="1"/>
  <c r="AA101" i="1"/>
  <c r="O101" i="1"/>
  <c r="R101" i="1" s="1"/>
  <c r="X101" i="1" s="1"/>
  <c r="P101" i="1"/>
  <c r="S101" i="1" s="1"/>
  <c r="Y101" i="1" s="1"/>
  <c r="IV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V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IV66" i="1" s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IV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V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111" i="1" l="1"/>
  <c r="IU111" i="1"/>
  <c r="IE111" i="1" s="1"/>
  <c r="AQ97" i="1"/>
  <c r="IU97" i="1"/>
  <c r="IE97" i="1" s="1"/>
  <c r="AQ102" i="1"/>
  <c r="IU102" i="1"/>
  <c r="IE102" i="1" s="1"/>
  <c r="AQ101" i="1"/>
  <c r="IU101" i="1"/>
  <c r="IE101" i="1" s="1"/>
  <c r="IQ60" i="1"/>
  <c r="IV57" i="1"/>
  <c r="IP60" i="1"/>
  <c r="IU57" i="1"/>
  <c r="IE57" i="1" s="1"/>
  <c r="IQ59" i="1"/>
  <c r="IV56" i="1"/>
  <c r="IQ43" i="1"/>
  <c r="IV40" i="1"/>
  <c r="IQ24" i="1"/>
  <c r="IV21" i="1"/>
  <c r="AQ91" i="1"/>
  <c r="IU91" i="1"/>
  <c r="IE91" i="1" s="1"/>
  <c r="AQ90" i="1"/>
  <c r="IU90" i="1"/>
  <c r="IE90" i="1" s="1"/>
  <c r="IQ53" i="1"/>
  <c r="IV49" i="1"/>
  <c r="IQ52" i="1"/>
  <c r="IV48" i="1"/>
  <c r="IQ51" i="1"/>
  <c r="IV47" i="1"/>
  <c r="IQ42" i="1"/>
  <c r="IV39" i="1"/>
  <c r="IQ41" i="1"/>
  <c r="IV38" i="1"/>
  <c r="IQ36" i="1"/>
  <c r="IV32" i="1"/>
  <c r="IQ35" i="1"/>
  <c r="IV31" i="1"/>
  <c r="IQ34" i="1"/>
  <c r="IV30" i="1"/>
  <c r="IQ26" i="1"/>
  <c r="IV23" i="1"/>
  <c r="IQ25" i="1"/>
  <c r="IV2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Q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83" i="1" l="1"/>
  <c r="IU83" i="1"/>
  <c r="IE83" i="1" s="1"/>
  <c r="AQ66" i="1"/>
  <c r="IU66" i="1"/>
  <c r="IE66" i="1" s="1"/>
  <c r="AQ117" i="1"/>
  <c r="IU117" i="1"/>
  <c r="IE117" i="1" s="1"/>
  <c r="AQ116" i="1"/>
  <c r="IU116" i="1"/>
  <c r="IE116" i="1" s="1"/>
  <c r="AQ115" i="1"/>
  <c r="IU115" i="1"/>
  <c r="IE115" i="1" s="1"/>
  <c r="AQ114" i="1"/>
  <c r="IU114" i="1"/>
  <c r="IE114" i="1" s="1"/>
  <c r="AQ113" i="1"/>
  <c r="IU113" i="1"/>
  <c r="IE113" i="1" s="1"/>
  <c r="AQ112" i="1"/>
  <c r="IU112" i="1"/>
  <c r="IE112" i="1" s="1"/>
  <c r="AQ103" i="1"/>
  <c r="IU103" i="1"/>
  <c r="IE103" i="1" s="1"/>
  <c r="AQ100" i="1"/>
  <c r="IU100" i="1"/>
  <c r="IE100" i="1" s="1"/>
  <c r="AQ99" i="1"/>
  <c r="IU99" i="1"/>
  <c r="IE99" i="1" s="1"/>
  <c r="AQ98" i="1"/>
  <c r="IU98" i="1"/>
  <c r="IE98" i="1" s="1"/>
  <c r="AQ87" i="1"/>
  <c r="IU87" i="1"/>
  <c r="IE87" i="1" s="1"/>
  <c r="AQ86" i="1"/>
  <c r="IU86" i="1"/>
  <c r="IE86" i="1" s="1"/>
  <c r="AQ85" i="1"/>
  <c r="IU85" i="1"/>
  <c r="IE85" i="1" s="1"/>
  <c r="AQ84" i="1"/>
  <c r="IU84" i="1"/>
  <c r="IE84" i="1" s="1"/>
  <c r="AQ72" i="1"/>
  <c r="IU72" i="1"/>
  <c r="IE72" i="1" s="1"/>
  <c r="AQ71" i="1"/>
  <c r="IU71" i="1"/>
  <c r="IE71" i="1" s="1"/>
  <c r="AQ70" i="1"/>
  <c r="IU70" i="1"/>
  <c r="IE70" i="1" s="1"/>
  <c r="AQ69" i="1"/>
  <c r="IU69" i="1"/>
  <c r="IE69" i="1" s="1"/>
  <c r="AQ68" i="1"/>
  <c r="IU68" i="1"/>
  <c r="IE68" i="1" s="1"/>
  <c r="AQ67" i="1"/>
  <c r="IU67" i="1"/>
  <c r="IE67" i="1" s="1"/>
  <c r="IP61" i="1"/>
  <c r="IU58" i="1"/>
  <c r="IE58" i="1" s="1"/>
  <c r="IP59" i="1"/>
  <c r="IU56" i="1"/>
  <c r="IE56" i="1" s="1"/>
  <c r="IP43" i="1"/>
  <c r="IU40" i="1"/>
  <c r="IE40" i="1" s="1"/>
  <c r="IP24" i="1"/>
  <c r="IU21" i="1"/>
  <c r="IE21" i="1" s="1"/>
  <c r="AQ92" i="1"/>
  <c r="IU92" i="1"/>
  <c r="IE92" i="1" s="1"/>
  <c r="AQ89" i="1"/>
  <c r="IU89" i="1"/>
  <c r="IE89" i="1" s="1"/>
  <c r="AQ88" i="1"/>
  <c r="IU88" i="1"/>
  <c r="IE88" i="1" s="1"/>
  <c r="AJ75" i="1"/>
  <c r="AQ75" i="1"/>
  <c r="IU75" i="1"/>
  <c r="IE75" i="1" s="1"/>
  <c r="AQ74" i="1"/>
  <c r="IU74" i="1"/>
  <c r="IE74" i="1" s="1"/>
  <c r="AQ63" i="1"/>
  <c r="IU63" i="1"/>
  <c r="IE63" i="1" s="1"/>
  <c r="AQ62" i="1"/>
  <c r="IU62" i="1"/>
  <c r="IE62" i="1" s="1"/>
  <c r="AQ37" i="1"/>
  <c r="IU37" i="1"/>
  <c r="IE37" i="1" s="1"/>
  <c r="AQ20" i="1"/>
  <c r="IU20" i="1"/>
  <c r="IE20" i="1" s="1"/>
  <c r="AQ55" i="1"/>
  <c r="IU55" i="1"/>
  <c r="IE55" i="1" s="1"/>
  <c r="IP53" i="1"/>
  <c r="IU49" i="1"/>
  <c r="IE49" i="1" s="1"/>
  <c r="IP52" i="1"/>
  <c r="IU48" i="1"/>
  <c r="IE48" i="1" s="1"/>
  <c r="IP51" i="1"/>
  <c r="IU47" i="1"/>
  <c r="IE47" i="1" s="1"/>
  <c r="AQ46" i="1"/>
  <c r="IU46" i="1"/>
  <c r="IE46" i="1" s="1"/>
  <c r="IP42" i="1"/>
  <c r="IU39" i="1"/>
  <c r="IE39" i="1" s="1"/>
  <c r="IP41" i="1"/>
  <c r="IU38" i="1"/>
  <c r="IE38" i="1" s="1"/>
  <c r="IP36" i="1"/>
  <c r="IU32" i="1"/>
  <c r="IE32" i="1" s="1"/>
  <c r="IP35" i="1"/>
  <c r="IU31" i="1"/>
  <c r="IE31" i="1" s="1"/>
  <c r="IP34" i="1"/>
  <c r="IU30" i="1"/>
  <c r="IE30" i="1" s="1"/>
  <c r="IP26" i="1"/>
  <c r="IU23" i="1"/>
  <c r="IE23" i="1" s="1"/>
  <c r="IP25" i="1"/>
  <c r="IU22" i="1"/>
  <c r="IE22" i="1" s="1"/>
  <c r="IP19" i="1"/>
  <c r="IU15" i="1"/>
  <c r="IE15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IL112" i="1" s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IL91" i="1" s="1"/>
  <c r="W86" i="1"/>
  <c r="IL92" i="1" s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IL75" i="1" s="1"/>
  <c r="W68" i="1"/>
  <c r="W65" i="1"/>
  <c r="W66" i="1"/>
  <c r="IL74" i="1" s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IL46" i="1" s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IL30" i="1" s="1"/>
  <c r="W23" i="1"/>
  <c r="W24" i="1"/>
  <c r="W21" i="1"/>
  <c r="W22" i="1"/>
  <c r="W19" i="1"/>
  <c r="W20" i="1"/>
  <c r="W17" i="1"/>
  <c r="W18" i="1"/>
  <c r="W15" i="1"/>
  <c r="IL15" i="1" s="1"/>
  <c r="W13" i="1"/>
  <c r="IL16" i="1" s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11" i="1" l="1"/>
  <c r="IL97" i="1"/>
  <c r="IL83" i="1"/>
  <c r="IL66" i="1"/>
  <c r="IL21" i="1"/>
  <c r="IL117" i="1"/>
  <c r="IL114" i="1"/>
  <c r="IL116" i="1"/>
  <c r="IL115" i="1"/>
  <c r="IL113" i="1"/>
  <c r="IL100" i="1"/>
  <c r="IL103" i="1"/>
  <c r="IL102" i="1"/>
  <c r="IL101" i="1"/>
  <c r="IL99" i="1"/>
  <c r="IL98" i="1"/>
  <c r="IL86" i="1"/>
  <c r="IL87" i="1"/>
  <c r="IL85" i="1"/>
  <c r="IL84" i="1"/>
  <c r="IL69" i="1"/>
  <c r="IL70" i="1"/>
  <c r="IL72" i="1"/>
  <c r="IL71" i="1"/>
  <c r="IL67" i="1"/>
  <c r="IL68" i="1"/>
  <c r="IL57" i="1"/>
  <c r="IL56" i="1"/>
  <c r="IL58" i="1"/>
  <c r="IL55" i="1"/>
  <c r="IL40" i="1"/>
  <c r="IL20" i="1"/>
  <c r="IL90" i="1"/>
  <c r="IL88" i="1"/>
  <c r="IL89" i="1"/>
  <c r="IL63" i="1"/>
  <c r="IL62" i="1"/>
  <c r="IL37" i="1"/>
  <c r="IL49" i="1"/>
  <c r="IL48" i="1"/>
  <c r="IL47" i="1"/>
  <c r="IL39" i="1"/>
  <c r="IL38" i="1"/>
  <c r="IL32" i="1"/>
  <c r="IL31" i="1"/>
  <c r="IL22" i="1"/>
  <c r="IL23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T103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IT116" i="1" s="1"/>
  <c r="AK109" i="1"/>
  <c r="T109" i="1"/>
  <c r="U109" i="1"/>
  <c r="AL100" i="1"/>
  <c r="AN100" i="1" s="1"/>
  <c r="IY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IT117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T102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Y101" i="1" s="1"/>
  <c r="AL102" i="1"/>
  <c r="AN102" i="1" s="1"/>
  <c r="IY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T101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T100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IY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IY89" i="1" s="1"/>
  <c r="T89" i="1"/>
  <c r="T88" i="1"/>
  <c r="AL88" i="1"/>
  <c r="AN88" i="1" s="1"/>
  <c r="IY88" i="1" s="1"/>
  <c r="AK88" i="1"/>
  <c r="U88" i="1"/>
  <c r="T87" i="1"/>
  <c r="AK87" i="1"/>
  <c r="AL87" i="1"/>
  <c r="AN87" i="1" s="1"/>
  <c r="IY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T86" i="1" s="1"/>
  <c r="U80" i="1"/>
  <c r="AL80" i="1"/>
  <c r="AN80" i="1" s="1"/>
  <c r="IT87" i="1" s="1"/>
  <c r="AK80" i="1"/>
  <c r="T80" i="1"/>
  <c r="U79" i="1"/>
  <c r="AK79" i="1"/>
  <c r="U78" i="1"/>
  <c r="T78" i="1"/>
  <c r="AK78" i="1"/>
  <c r="AL78" i="1"/>
  <c r="AN78" i="1" s="1"/>
  <c r="IT85" i="1" s="1"/>
  <c r="U77" i="1"/>
  <c r="AK77" i="1"/>
  <c r="AL77" i="1"/>
  <c r="AN77" i="1" s="1"/>
  <c r="IT84" i="1" s="1"/>
  <c r="AK76" i="1"/>
  <c r="T76" i="1"/>
  <c r="AL76" i="1"/>
  <c r="AN76" i="1" s="1"/>
  <c r="IT83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X71" i="1" s="1"/>
  <c r="AL71" i="1"/>
  <c r="AN71" i="1" s="1"/>
  <c r="IY71" i="1" s="1"/>
  <c r="AK72" i="1"/>
  <c r="T72" i="1"/>
  <c r="U72" i="1"/>
  <c r="AL72" i="1"/>
  <c r="AN72" i="1" s="1"/>
  <c r="IY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IT72" i="1" s="1"/>
  <c r="AK65" i="1"/>
  <c r="AK64" i="1"/>
  <c r="U64" i="1"/>
  <c r="T64" i="1"/>
  <c r="AL64" i="1"/>
  <c r="AN64" i="1" s="1"/>
  <c r="IT71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T51" i="1"/>
  <c r="AK51" i="1"/>
  <c r="U51" i="1"/>
  <c r="AL49" i="1"/>
  <c r="AN49" i="1" s="1"/>
  <c r="IT56" i="1" s="1"/>
  <c r="AK50" i="1"/>
  <c r="AL50" i="1"/>
  <c r="AN50" i="1" s="1"/>
  <c r="IT57" i="1" s="1"/>
  <c r="U50" i="1"/>
  <c r="T50" i="1"/>
  <c r="T49" i="1"/>
  <c r="AK49" i="1"/>
  <c r="AO49" i="1" s="1"/>
  <c r="IS56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IT49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T32" i="1" s="1"/>
  <c r="AK28" i="1"/>
  <c r="U28" i="1"/>
  <c r="T28" i="1"/>
  <c r="AL27" i="1"/>
  <c r="AN27" i="1" s="1"/>
  <c r="IT31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IX21" i="1" s="1"/>
  <c r="T21" i="1"/>
  <c r="AL21" i="1"/>
  <c r="AN21" i="1" s="1"/>
  <c r="IY21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90" i="1" l="1"/>
  <c r="IT97" i="1"/>
  <c r="IY59" i="1"/>
  <c r="IT66" i="1"/>
  <c r="IT74" i="1"/>
  <c r="IY66" i="1"/>
  <c r="IY92" i="1"/>
  <c r="IT99" i="1"/>
  <c r="IY91" i="1"/>
  <c r="IT98" i="1"/>
  <c r="IT89" i="1"/>
  <c r="IT88" i="1"/>
  <c r="IT92" i="1"/>
  <c r="IY86" i="1"/>
  <c r="IT91" i="1"/>
  <c r="IY85" i="1"/>
  <c r="IS91" i="1"/>
  <c r="IX85" i="1"/>
  <c r="IT90" i="1"/>
  <c r="IY84" i="1"/>
  <c r="IY62" i="1"/>
  <c r="IT69" i="1"/>
  <c r="IF71" i="1"/>
  <c r="IY63" i="1"/>
  <c r="IT70" i="1"/>
  <c r="IY61" i="1"/>
  <c r="IT68" i="1"/>
  <c r="IY60" i="1"/>
  <c r="IT67" i="1"/>
  <c r="IT75" i="1"/>
  <c r="IY67" i="1"/>
  <c r="IY51" i="1"/>
  <c r="IT58" i="1"/>
  <c r="IT63" i="1"/>
  <c r="IY58" i="1"/>
  <c r="IT59" i="1"/>
  <c r="IY56" i="1"/>
  <c r="IT43" i="1"/>
  <c r="IY40" i="1"/>
  <c r="IY33" i="1"/>
  <c r="IT40" i="1"/>
  <c r="IT37" i="1"/>
  <c r="IF21" i="1"/>
  <c r="IT18" i="1"/>
  <c r="IT21" i="1"/>
  <c r="IT20" i="1"/>
  <c r="IF89" i="1"/>
  <c r="IS60" i="1"/>
  <c r="IS62" i="1"/>
  <c r="IT61" i="1"/>
  <c r="IT48" i="1"/>
  <c r="IT39" i="1"/>
  <c r="IY37" i="1"/>
  <c r="IT33" i="1"/>
  <c r="IT22" i="1"/>
  <c r="IY20" i="1"/>
  <c r="IF55" i="1"/>
  <c r="IY53" i="1"/>
  <c r="IT55" i="1"/>
  <c r="IX49" i="1"/>
  <c r="IT53" i="1"/>
  <c r="IY49" i="1"/>
  <c r="IT52" i="1"/>
  <c r="IY48" i="1"/>
  <c r="IX43" i="1"/>
  <c r="IY43" i="1"/>
  <c r="IT47" i="1"/>
  <c r="IS51" i="1"/>
  <c r="IX47" i="1"/>
  <c r="IY42" i="1"/>
  <c r="IT46" i="1"/>
  <c r="IT42" i="1"/>
  <c r="IY39" i="1"/>
  <c r="IY36" i="1"/>
  <c r="IT38" i="1"/>
  <c r="IT41" i="1"/>
  <c r="IY38" i="1"/>
  <c r="IT36" i="1"/>
  <c r="IY32" i="1"/>
  <c r="IT35" i="1"/>
  <c r="IY31" i="1"/>
  <c r="IX30" i="1"/>
  <c r="IT34" i="1"/>
  <c r="IY30" i="1"/>
  <c r="IY26" i="1"/>
  <c r="IT30" i="1"/>
  <c r="IT17" i="1"/>
  <c r="IT26" i="1"/>
  <c r="IY23" i="1"/>
  <c r="IT24" i="1"/>
  <c r="IT23" i="1"/>
  <c r="IT25" i="1"/>
  <c r="IY22" i="1"/>
  <c r="IT19" i="1"/>
  <c r="IY15" i="1"/>
  <c r="IT16" i="1"/>
  <c r="IT15" i="1"/>
  <c r="IF41" i="1"/>
  <c r="IF25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IS112" i="1" s="1"/>
  <c r="AP105" i="1"/>
  <c r="AP126" i="1"/>
  <c r="AO126" i="1"/>
  <c r="AO120" i="1"/>
  <c r="AP120" i="1"/>
  <c r="AO102" i="1"/>
  <c r="IX102" i="1" s="1"/>
  <c r="IF102" i="1" s="1"/>
  <c r="AP102" i="1"/>
  <c r="AO101" i="1"/>
  <c r="IX101" i="1" s="1"/>
  <c r="IF101" i="1" s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S101" i="1" s="1"/>
  <c r="AO114" i="1"/>
  <c r="IX114" i="1" s="1"/>
  <c r="IF114" i="1" s="1"/>
  <c r="AP114" i="1"/>
  <c r="AZ101" i="7"/>
  <c r="AP123" i="1"/>
  <c r="AO123" i="1"/>
  <c r="AO108" i="1"/>
  <c r="IS115" i="1" s="1"/>
  <c r="AP108" i="1"/>
  <c r="AO133" i="1"/>
  <c r="AP133" i="1"/>
  <c r="AP93" i="1"/>
  <c r="AO93" i="1"/>
  <c r="IS100" i="1" s="1"/>
  <c r="AO104" i="1"/>
  <c r="IS111" i="1" s="1"/>
  <c r="AP104" i="1"/>
  <c r="AZ96" i="7"/>
  <c r="AO113" i="1"/>
  <c r="IX113" i="1" s="1"/>
  <c r="IF113" i="1" s="1"/>
  <c r="AP113" i="1"/>
  <c r="AO95" i="1"/>
  <c r="IS102" i="1" s="1"/>
  <c r="AP95" i="1"/>
  <c r="AO118" i="1"/>
  <c r="AP118" i="1"/>
  <c r="AO135" i="1"/>
  <c r="AP135" i="1"/>
  <c r="BA58" i="7"/>
  <c r="AZ103" i="7"/>
  <c r="AP117" i="1"/>
  <c r="AO117" i="1"/>
  <c r="IX117" i="1" s="1"/>
  <c r="IF117" i="1" s="1"/>
  <c r="AO103" i="1"/>
  <c r="IX103" i="1" s="1"/>
  <c r="IF103" i="1" s="1"/>
  <c r="AP103" i="1"/>
  <c r="AP91" i="1"/>
  <c r="AO91" i="1"/>
  <c r="AP125" i="1"/>
  <c r="AO125" i="1"/>
  <c r="AP115" i="1"/>
  <c r="AO115" i="1"/>
  <c r="IX115" i="1" s="1"/>
  <c r="IF115" i="1" s="1"/>
  <c r="AP110" i="1"/>
  <c r="AO110" i="1"/>
  <c r="IS117" i="1" s="1"/>
  <c r="AP134" i="1"/>
  <c r="AO134" i="1"/>
  <c r="AO109" i="1"/>
  <c r="IS116" i="1" s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S103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IX100" i="1" s="1"/>
  <c r="IF100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IX87" i="1" s="1"/>
  <c r="IF87" i="1" s="1"/>
  <c r="AP87" i="1"/>
  <c r="AO88" i="1"/>
  <c r="IX88" i="1" s="1"/>
  <c r="IF88" i="1" s="1"/>
  <c r="AP88" i="1"/>
  <c r="AP86" i="1"/>
  <c r="AO86" i="1"/>
  <c r="AP85" i="1"/>
  <c r="AP84" i="1"/>
  <c r="AO84" i="1"/>
  <c r="AP83" i="1"/>
  <c r="AO83" i="1"/>
  <c r="IX83" i="1" s="1"/>
  <c r="IF83" i="1" s="1"/>
  <c r="AO81" i="1"/>
  <c r="AP81" i="1"/>
  <c r="AO82" i="1"/>
  <c r="AP82" i="1"/>
  <c r="AO79" i="1"/>
  <c r="IS86" i="1" s="1"/>
  <c r="AP79" i="1"/>
  <c r="AP80" i="1"/>
  <c r="AO80" i="1"/>
  <c r="IS87" i="1" s="1"/>
  <c r="AO77" i="1"/>
  <c r="IS84" i="1" s="1"/>
  <c r="AP77" i="1"/>
  <c r="AP78" i="1"/>
  <c r="AO78" i="1"/>
  <c r="IS85" i="1" s="1"/>
  <c r="AO75" i="1"/>
  <c r="IX75" i="1" s="1"/>
  <c r="IF75" i="1" s="1"/>
  <c r="AP75" i="1"/>
  <c r="AO76" i="1"/>
  <c r="IS83" i="1" s="1"/>
  <c r="AP76" i="1"/>
  <c r="AP73" i="1"/>
  <c r="AO73" i="1"/>
  <c r="AP74" i="1"/>
  <c r="AO74" i="1"/>
  <c r="IX74" i="1" s="1"/>
  <c r="IF74" i="1" s="1"/>
  <c r="AP71" i="1"/>
  <c r="AO72" i="1"/>
  <c r="IX72" i="1" s="1"/>
  <c r="IF72" i="1" s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S71" i="1" s="1"/>
  <c r="AP64" i="1"/>
  <c r="AP62" i="1"/>
  <c r="AO62" i="1"/>
  <c r="AO61" i="1"/>
  <c r="AP61" i="1"/>
  <c r="AO59" i="1"/>
  <c r="AP59" i="1"/>
  <c r="AO60" i="1"/>
  <c r="AP60" i="1"/>
  <c r="AN57" i="1"/>
  <c r="IY57" i="1" s="1"/>
  <c r="IF57" i="1" s="1"/>
  <c r="AP57" i="1"/>
  <c r="AO58" i="1"/>
  <c r="AP58" i="1"/>
  <c r="AP56" i="1"/>
  <c r="AO56" i="1"/>
  <c r="AP55" i="1"/>
  <c r="AO53" i="1"/>
  <c r="AP53" i="1"/>
  <c r="AP54" i="1"/>
  <c r="AO54" i="1"/>
  <c r="IX54" i="1" s="1"/>
  <c r="IF54" i="1" s="1"/>
  <c r="AP51" i="1"/>
  <c r="AO51" i="1"/>
  <c r="AO52" i="1"/>
  <c r="IX52" i="1" s="1"/>
  <c r="IF52" i="1" s="1"/>
  <c r="AP52" i="1"/>
  <c r="AP49" i="1"/>
  <c r="AP50" i="1"/>
  <c r="AO50" i="1"/>
  <c r="IS57" i="1" s="1"/>
  <c r="AN47" i="1"/>
  <c r="IT54" i="1" s="1"/>
  <c r="AP47" i="1"/>
  <c r="AO48" i="1"/>
  <c r="AP48" i="1"/>
  <c r="AP45" i="1"/>
  <c r="AO45" i="1"/>
  <c r="IS49" i="1" s="1"/>
  <c r="AP46" i="1"/>
  <c r="AO46" i="1"/>
  <c r="IX46" i="1" s="1"/>
  <c r="IF46" i="1" s="1"/>
  <c r="AP43" i="1"/>
  <c r="AO44" i="1"/>
  <c r="AP44" i="1"/>
  <c r="AO42" i="1"/>
  <c r="AP42" i="1"/>
  <c r="AP41" i="1"/>
  <c r="AO40" i="1"/>
  <c r="AP40" i="1"/>
  <c r="AO39" i="1"/>
  <c r="IS47" i="1" s="1"/>
  <c r="AP39" i="1"/>
  <c r="AP37" i="1"/>
  <c r="AO37" i="1"/>
  <c r="AO38" i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7" i="1" s="1"/>
  <c r="AP31" i="1"/>
  <c r="AO32" i="1"/>
  <c r="AP32" i="1"/>
  <c r="AO29" i="1"/>
  <c r="AP29" i="1"/>
  <c r="AP30" i="1"/>
  <c r="AO27" i="1"/>
  <c r="IS31" i="1" s="1"/>
  <c r="AP27" i="1"/>
  <c r="AP28" i="1"/>
  <c r="AO28" i="1"/>
  <c r="IS32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IX18" i="1" s="1"/>
  <c r="IF18" i="1" s="1"/>
  <c r="AP18" i="1"/>
  <c r="AP15" i="1"/>
  <c r="AO15" i="1"/>
  <c r="AO16" i="1"/>
  <c r="IS23" i="1" s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90" i="1" l="1"/>
  <c r="IF90" i="1" s="1"/>
  <c r="IS97" i="1"/>
  <c r="IX59" i="1"/>
  <c r="IF59" i="1" s="1"/>
  <c r="IS66" i="1"/>
  <c r="IS74" i="1"/>
  <c r="IX66" i="1"/>
  <c r="IF66" i="1" s="1"/>
  <c r="IX92" i="1"/>
  <c r="IF92" i="1" s="1"/>
  <c r="IS99" i="1"/>
  <c r="IX91" i="1"/>
  <c r="IF91" i="1" s="1"/>
  <c r="IS98" i="1"/>
  <c r="IS88" i="1"/>
  <c r="IS89" i="1"/>
  <c r="IS92" i="1"/>
  <c r="IX86" i="1"/>
  <c r="IF86" i="1" s="1"/>
  <c r="IF85" i="1"/>
  <c r="IS90" i="1"/>
  <c r="IX84" i="1"/>
  <c r="IF84" i="1" s="1"/>
  <c r="IX62" i="1"/>
  <c r="IF62" i="1" s="1"/>
  <c r="IS69" i="1"/>
  <c r="IX63" i="1"/>
  <c r="IF63" i="1" s="1"/>
  <c r="IS70" i="1"/>
  <c r="IX61" i="1"/>
  <c r="IF61" i="1" s="1"/>
  <c r="IS68" i="1"/>
  <c r="IX60" i="1"/>
  <c r="IF60" i="1" s="1"/>
  <c r="IS67" i="1"/>
  <c r="IS75" i="1"/>
  <c r="IX67" i="1"/>
  <c r="IF67" i="1" s="1"/>
  <c r="IX51" i="1"/>
  <c r="IF51" i="1" s="1"/>
  <c r="IS58" i="1"/>
  <c r="IS63" i="1"/>
  <c r="IX58" i="1"/>
  <c r="IF58" i="1" s="1"/>
  <c r="IS59" i="1"/>
  <c r="IX56" i="1"/>
  <c r="IF56" i="1" s="1"/>
  <c r="IS53" i="1"/>
  <c r="IX33" i="1"/>
  <c r="IF33" i="1" s="1"/>
  <c r="IS40" i="1"/>
  <c r="IS43" i="1"/>
  <c r="IX40" i="1"/>
  <c r="IF40" i="1" s="1"/>
  <c r="IS24" i="1"/>
  <c r="IS20" i="1"/>
  <c r="IS18" i="1"/>
  <c r="IS21" i="1"/>
  <c r="IT60" i="1"/>
  <c r="IT62" i="1"/>
  <c r="IS61" i="1"/>
  <c r="IS48" i="1"/>
  <c r="IS39" i="1"/>
  <c r="IX37" i="1"/>
  <c r="IF37" i="1" s="1"/>
  <c r="IS33" i="1"/>
  <c r="IS34" i="1"/>
  <c r="IS22" i="1"/>
  <c r="IX20" i="1"/>
  <c r="IF20" i="1" s="1"/>
  <c r="IX53" i="1"/>
  <c r="IF53" i="1" s="1"/>
  <c r="IS55" i="1"/>
  <c r="IS54" i="1"/>
  <c r="IF49" i="1"/>
  <c r="IS52" i="1"/>
  <c r="IX48" i="1"/>
  <c r="IF48" i="1" s="1"/>
  <c r="IF43" i="1"/>
  <c r="IT51" i="1"/>
  <c r="IY47" i="1"/>
  <c r="IF47" i="1" s="1"/>
  <c r="IX42" i="1"/>
  <c r="IF42" i="1" s="1"/>
  <c r="IS46" i="1"/>
  <c r="IS42" i="1"/>
  <c r="IX39" i="1"/>
  <c r="IF39" i="1" s="1"/>
  <c r="IS41" i="1"/>
  <c r="IX38" i="1"/>
  <c r="IF38" i="1" s="1"/>
  <c r="IX36" i="1"/>
  <c r="IF36" i="1" s="1"/>
  <c r="IS38" i="1"/>
  <c r="IS36" i="1"/>
  <c r="IX32" i="1"/>
  <c r="IF32" i="1" s="1"/>
  <c r="IS35" i="1"/>
  <c r="IX31" i="1"/>
  <c r="IF31" i="1" s="1"/>
  <c r="IX26" i="1"/>
  <c r="IF26" i="1" s="1"/>
  <c r="IS30" i="1"/>
  <c r="IF30" i="1"/>
  <c r="IS26" i="1"/>
  <c r="IX23" i="1"/>
  <c r="IF23" i="1" s="1"/>
  <c r="IS25" i="1"/>
  <c r="IX22" i="1"/>
  <c r="IF22" i="1" s="1"/>
  <c r="IS17" i="1"/>
  <c r="IS19" i="1"/>
  <c r="IS5" i="1" s="1"/>
  <c r="IX15" i="1"/>
  <c r="IF15" i="1" s="1"/>
  <c r="IS16" i="1"/>
  <c r="IS15" i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<sst xmlns="http://schemas.openxmlformats.org/spreadsheetml/2006/main" count="704" uniqueCount="379">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</sst>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H19" sqref="H1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95" t="s">
        <v>77</v>
      </c>
      <c r="D1" s="895"/>
      <c r="E1" s="895"/>
      <c r="F1" s="895"/>
      <c r="G1" s="895"/>
      <c r="H1" s="895"/>
      <c r="I1" s="895"/>
      <c r="J1" s="895"/>
      <c r="K1" s="895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63" t="s">
        <v>80</v>
      </c>
      <c r="B6" s="863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63"/>
      <c r="AL8" s="863"/>
      <c r="AM8" s="863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87"/>
      <c r="E9" s="887"/>
      <c r="F9" s="887"/>
      <c r="G9" s="887"/>
      <c r="H9" s="887"/>
      <c r="I9" s="887"/>
      <c r="J9" s="887"/>
      <c r="K9" s="888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63"/>
      <c r="AL9" s="863"/>
      <c r="AM9" s="863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76"/>
      <c r="C10" s="877"/>
      <c r="D10" s="877"/>
      <c r="E10" s="877"/>
      <c r="F10" s="877"/>
      <c r="G10" s="87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93"/>
      <c r="B11" s="882" t="s">
        <v>33</v>
      </c>
      <c r="C11" s="892" t="s">
        <v>34</v>
      </c>
      <c r="D11" s="892"/>
      <c r="E11" s="889" t="s">
        <v>39</v>
      </c>
      <c r="F11" s="882" t="s">
        <v>35</v>
      </c>
      <c r="G11" s="882" t="s">
        <v>36</v>
      </c>
      <c r="H11" s="882" t="s">
        <v>43</v>
      </c>
      <c r="I11" s="890" t="s">
        <v>67</v>
      </c>
      <c r="J11" s="892" t="s">
        <v>56</v>
      </c>
      <c r="K11" s="892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69" t="s">
        <v>349</v>
      </c>
      <c r="AL11" s="870"/>
      <c r="AM11" s="870"/>
      <c r="AN11" s="870"/>
      <c r="AO11" s="871"/>
      <c r="AP11" s="873" t="s">
        <v>356</v>
      </c>
      <c r="AQ11" s="870"/>
      <c r="AR11" s="870"/>
      <c r="AS11" s="871"/>
    </row>
    <row r="12" spans="1:48" ht="15.75" thickBot="1" x14ac:dyDescent="0.3">
      <c r="A12" s="900"/>
      <c r="B12" s="883"/>
      <c r="C12" s="52" t="s">
        <v>8</v>
      </c>
      <c r="D12" s="53" t="s">
        <v>10</v>
      </c>
      <c r="E12" s="883"/>
      <c r="F12" s="883"/>
      <c r="G12" s="883"/>
      <c r="H12" s="883"/>
      <c r="I12" s="891"/>
      <c r="J12" s="58" t="s">
        <v>8</v>
      </c>
      <c r="K12" s="59" t="s">
        <v>10</v>
      </c>
      <c r="M12" s="34"/>
      <c r="N12" s="34"/>
      <c r="O12" s="909" t="s">
        <v>46</v>
      </c>
      <c r="P12" s="910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86"/>
      <c r="AF12" s="898" t="s">
        <v>56</v>
      </c>
      <c r="AG12" s="899"/>
      <c r="AI12" s="878" t="s">
        <v>357</v>
      </c>
      <c r="AJ12" s="879"/>
      <c r="AK12" s="864" t="s">
        <v>354</v>
      </c>
      <c r="AL12" s="865"/>
      <c r="AM12" s="866"/>
      <c r="AN12" s="867" t="s">
        <v>355</v>
      </c>
      <c r="AO12" s="868"/>
      <c r="AP12" s="872" t="s">
        <v>354</v>
      </c>
      <c r="AQ12" s="866"/>
      <c r="AR12" s="867" t="s">
        <v>355</v>
      </c>
      <c r="AS12" s="868"/>
      <c r="AT12" s="874" t="s">
        <v>353</v>
      </c>
      <c r="AU12" s="875"/>
    </row>
    <row r="13" spans="1:48" ht="15.75" thickBot="1" x14ac:dyDescent="0.3">
      <c r="A13" s="69" t="s">
        <v>57</v>
      </c>
      <c r="B13" s="901" t="s">
        <v>97</v>
      </c>
      <c r="C13" s="903" t="str">
        <f>SUBSTITUTE(ADDRESS(1,COLUMN(Assy.Model!X9),4),"1","")</f>
        <v>X</v>
      </c>
      <c r="D13" s="106" t="str">
        <f>SUBSTITUTE(ADDRESS(1,COLUMN(Assy.Model!Y9),4),"1","")</f>
        <v>Y</v>
      </c>
      <c r="E13" s="880" t="str">
        <f>SUBSTITUTE(ADDRESS(1,COLUMN(Assy.Model!H9),4),"1","")</f>
        <v>H</v>
      </c>
      <c r="F13" s="880" t="str">
        <f>SUBSTITUTE(ADDRESS(1,COLUMN(Assy.Model!AN9),4),"1","")</f>
        <v>AN</v>
      </c>
      <c r="G13" s="880" t="str">
        <f>SUBSTITUTE(ADDRESS(1,COLUMN(Assy.Model!AO9),4),"1","")</f>
        <v>AO</v>
      </c>
      <c r="H13" s="880" t="str">
        <f>SUBSTITUTE(ADDRESS(1,COLUMN(Assy.Model!AO9),4),"1","")</f>
        <v>AO</v>
      </c>
      <c r="I13" s="880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911"/>
      <c r="P13" s="912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902"/>
      <c r="C14" s="904"/>
      <c r="D14" s="107" t="str">
        <f>SUBSTITUTE(ADDRESS(1,COLUMN(Assy.Model!AT9),4),"1","")</f>
        <v>AT</v>
      </c>
      <c r="E14" s="881"/>
      <c r="F14" s="881"/>
      <c r="G14" s="881"/>
      <c r="H14" s="881"/>
      <c r="I14" s="881"/>
      <c r="J14" s="96">
        <v>0</v>
      </c>
      <c r="K14" s="97">
        <v>0</v>
      </c>
      <c r="L14" s="34"/>
      <c r="M14" s="197">
        <v>6.25E-2</v>
      </c>
      <c r="N14" s="34">
        <v>32</v>
      </c>
      <c r="O14" s="907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907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907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907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907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12.25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907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908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87"/>
      <c r="D21" s="887"/>
      <c r="E21" s="887"/>
      <c r="F21" s="888"/>
      <c r="G21" s="34"/>
      <c r="H21" s="34"/>
      <c r="I21" s="34"/>
    </row>
    <row r="22" spans="2:48" x14ac:dyDescent="0.25">
      <c r="B22" s="893"/>
      <c r="C22" s="886" t="s">
        <v>63</v>
      </c>
      <c r="D22" s="888"/>
      <c r="E22" s="890" t="s">
        <v>60</v>
      </c>
      <c r="F22" s="890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94"/>
      <c r="C23" s="62" t="s">
        <v>8</v>
      </c>
      <c r="D23" s="62" t="s">
        <v>9</v>
      </c>
      <c r="E23" s="891"/>
      <c r="F23" s="891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905">
        <v>0</v>
      </c>
      <c r="E24" s="905">
        <v>2</v>
      </c>
      <c r="F24" s="905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6.125</v>
      </c>
      <c r="D25" s="906"/>
      <c r="E25" s="906"/>
      <c r="F25" s="906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96" t="s">
        <v>311</v>
      </c>
      <c r="C27" s="896"/>
      <c r="D27" s="896"/>
      <c r="E27" s="896"/>
      <c r="F27" s="896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97" t="s">
        <v>323</v>
      </c>
      <c r="C28" s="897"/>
      <c r="D28" s="897"/>
      <c r="E28" s="897"/>
      <c r="F28" s="897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7" t="s">
        <v>95</v>
      </c>
      <c r="D3" s="887"/>
      <c r="E3" s="887"/>
      <c r="F3" s="887"/>
      <c r="G3" s="887"/>
      <c r="H3" s="887"/>
      <c r="I3" s="887"/>
      <c r="J3" s="887"/>
      <c r="K3" s="913"/>
      <c r="L3" s="919"/>
      <c r="M3" s="887"/>
      <c r="N3" s="887"/>
      <c r="O3" s="887"/>
      <c r="P3" s="887"/>
      <c r="Q3" s="887"/>
      <c r="R3" s="888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41" t="s">
        <v>86</v>
      </c>
      <c r="C4" s="958" t="s">
        <v>82</v>
      </c>
      <c r="D4" s="887" t="s">
        <v>83</v>
      </c>
      <c r="E4" s="887"/>
      <c r="F4" s="887"/>
      <c r="G4" s="887"/>
      <c r="H4" s="887"/>
      <c r="I4" s="887"/>
      <c r="J4" s="887"/>
      <c r="K4" s="887"/>
      <c r="L4" s="155" t="s">
        <v>91</v>
      </c>
      <c r="M4" s="886" t="s">
        <v>94</v>
      </c>
      <c r="N4" s="887"/>
      <c r="O4" s="887"/>
      <c r="P4" s="913"/>
      <c r="Q4" s="887" t="s">
        <v>52</v>
      </c>
      <c r="R4" s="888"/>
      <c r="S4" s="112"/>
      <c r="T4" s="886">
        <v>350</v>
      </c>
      <c r="U4" s="887"/>
      <c r="V4" s="887" t="s">
        <v>76</v>
      </c>
      <c r="W4" s="887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42"/>
      <c r="C5" s="959"/>
      <c r="D5" s="947" t="s">
        <v>85</v>
      </c>
      <c r="E5" s="961" t="s">
        <v>89</v>
      </c>
      <c r="F5" s="892" t="s">
        <v>34</v>
      </c>
      <c r="G5" s="892"/>
      <c r="H5" s="889" t="s">
        <v>39</v>
      </c>
      <c r="I5" s="882" t="s">
        <v>35</v>
      </c>
      <c r="J5" s="882" t="s">
        <v>36</v>
      </c>
      <c r="K5" s="931" t="s">
        <v>67</v>
      </c>
      <c r="L5" s="156" t="s">
        <v>92</v>
      </c>
      <c r="M5" s="890" t="s">
        <v>90</v>
      </c>
      <c r="N5" s="890" t="s">
        <v>47</v>
      </c>
      <c r="O5" s="914" t="s">
        <v>84</v>
      </c>
      <c r="P5" s="915"/>
      <c r="Q5" s="916" t="s">
        <v>84</v>
      </c>
      <c r="R5" s="917"/>
      <c r="S5" s="112"/>
      <c r="T5" s="909" t="s">
        <v>46</v>
      </c>
      <c r="U5" s="920"/>
      <c r="V5" s="875" t="s">
        <v>45</v>
      </c>
      <c r="W5" s="899"/>
      <c r="X5" s="899"/>
      <c r="Y5" s="899"/>
      <c r="Z5" s="899"/>
      <c r="AA5" s="899"/>
      <c r="AB5" s="899"/>
      <c r="AC5" s="899"/>
      <c r="AD5" s="899"/>
      <c r="AE5" s="899"/>
      <c r="AF5" s="899"/>
      <c r="AG5" s="899"/>
      <c r="AH5" s="899"/>
      <c r="AI5" s="899"/>
      <c r="AJ5" s="899"/>
      <c r="AK5" s="34"/>
      <c r="AL5" s="34"/>
    </row>
    <row r="6" spans="2:38" ht="15" customHeight="1" thickBot="1" x14ac:dyDescent="0.3">
      <c r="B6" s="943"/>
      <c r="C6" s="960"/>
      <c r="D6" s="948"/>
      <c r="E6" s="962"/>
      <c r="F6" s="113" t="s">
        <v>8</v>
      </c>
      <c r="G6" s="114" t="s">
        <v>10</v>
      </c>
      <c r="H6" s="932"/>
      <c r="I6" s="932"/>
      <c r="J6" s="932"/>
      <c r="K6" s="921"/>
      <c r="L6" s="157" t="s">
        <v>93</v>
      </c>
      <c r="M6" s="918"/>
      <c r="N6" s="918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21"/>
      <c r="U6" s="92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49">
        <f>ROW(Assy.Model!B9)</f>
        <v>9</v>
      </c>
      <c r="D7" s="938" t="str">
        <f>SUBSTITUTE(ADDRESS(1,COLUMN(Assy.Model!B9),4),"1","")</f>
        <v>B</v>
      </c>
      <c r="E7" s="952" t="str">
        <f>SUBSTITUTE(ADDRESS(1,COLUMN(Assy.Model!M9),4),"1","")</f>
        <v>M</v>
      </c>
      <c r="F7" s="955" t="str">
        <f>SUBSTITUTE(ADDRESS(1,COLUMN(Assy.Model!X9),4),"1","")</f>
        <v>X</v>
      </c>
      <c r="G7" s="944" t="str">
        <f>SUBSTITUTE(ADDRESS(1,COLUMN(Assy.Model!AT9),4),"1","")</f>
        <v>AT</v>
      </c>
      <c r="H7" s="923" t="str">
        <f>SUBSTITUTE(ADDRESS(1,COLUMN(Assy.Model!H9),4),"1","")</f>
        <v>H</v>
      </c>
      <c r="I7" s="923" t="str">
        <f>SUBSTITUTE(ADDRESS(1,COLUMN(Assy.Model!AN9),4),"1","")</f>
        <v>AN</v>
      </c>
      <c r="J7" s="923" t="str">
        <f>SUBSTITUTE(ADDRESS(1,COLUMN(Assy.Model!AO9),4),"1","")</f>
        <v>AO</v>
      </c>
      <c r="K7" s="926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3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33" t="s">
        <v>81</v>
      </c>
      <c r="C8" s="950"/>
      <c r="D8" s="939"/>
      <c r="E8" s="953"/>
      <c r="F8" s="956"/>
      <c r="G8" s="945"/>
      <c r="H8" s="924"/>
      <c r="I8" s="924"/>
      <c r="J8" s="924"/>
      <c r="K8" s="927"/>
      <c r="L8" s="158" t="s">
        <v>93</v>
      </c>
      <c r="M8" s="929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3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33"/>
      <c r="C9" s="950"/>
      <c r="D9" s="939"/>
      <c r="E9" s="953"/>
      <c r="F9" s="956"/>
      <c r="G9" s="945"/>
      <c r="H9" s="924"/>
      <c r="I9" s="924"/>
      <c r="J9" s="924"/>
      <c r="K9" s="927"/>
      <c r="L9" s="158" t="s">
        <v>92</v>
      </c>
      <c r="M9" s="929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3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33"/>
      <c r="C10" s="950"/>
      <c r="D10" s="939"/>
      <c r="E10" s="953"/>
      <c r="F10" s="956"/>
      <c r="G10" s="945"/>
      <c r="H10" s="924"/>
      <c r="I10" s="924"/>
      <c r="J10" s="924"/>
      <c r="K10" s="927"/>
      <c r="L10" s="158" t="s">
        <v>92</v>
      </c>
      <c r="M10" s="929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3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33"/>
      <c r="C11" s="950"/>
      <c r="D11" s="939"/>
      <c r="E11" s="953"/>
      <c r="F11" s="956"/>
      <c r="G11" s="945"/>
      <c r="H11" s="924"/>
      <c r="I11" s="924"/>
      <c r="J11" s="924"/>
      <c r="K11" s="927"/>
      <c r="L11" s="158" t="s">
        <v>92</v>
      </c>
      <c r="M11" s="929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3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33"/>
      <c r="C12" s="950"/>
      <c r="D12" s="939"/>
      <c r="E12" s="953"/>
      <c r="F12" s="956"/>
      <c r="G12" s="945"/>
      <c r="H12" s="924"/>
      <c r="I12" s="924"/>
      <c r="J12" s="924"/>
      <c r="K12" s="927"/>
      <c r="L12" s="158" t="s">
        <v>92</v>
      </c>
      <c r="M12" s="929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3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33"/>
      <c r="C13" s="950"/>
      <c r="D13" s="939"/>
      <c r="E13" s="953"/>
      <c r="F13" s="956"/>
      <c r="G13" s="945"/>
      <c r="H13" s="924"/>
      <c r="I13" s="924"/>
      <c r="J13" s="924"/>
      <c r="K13" s="927"/>
      <c r="L13" s="158" t="s">
        <v>92</v>
      </c>
      <c r="M13" s="929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3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34"/>
      <c r="C14" s="951"/>
      <c r="D14" s="940"/>
      <c r="E14" s="954"/>
      <c r="F14" s="957"/>
      <c r="G14" s="946"/>
      <c r="H14" s="925"/>
      <c r="I14" s="925"/>
      <c r="J14" s="925"/>
      <c r="K14" s="928"/>
      <c r="L14" s="159" t="s">
        <v>93</v>
      </c>
      <c r="M14" s="930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3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I30" sqref="I30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963">
        <f>Settings!C19</f>
        <v>12.25</v>
      </c>
      <c r="E1" s="963"/>
      <c r="F1" s="963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198" t="s">
        <v>315</v>
      </c>
      <c r="C2" s="1199"/>
      <c r="D2" s="1199"/>
      <c r="E2" s="1199"/>
      <c r="F2" s="1199"/>
      <c r="G2" s="1199"/>
      <c r="H2" s="1199"/>
      <c r="I2" s="1199"/>
      <c r="J2" s="1199"/>
      <c r="K2" s="1200"/>
      <c r="M2" s="1206" t="s">
        <v>0</v>
      </c>
      <c r="N2" s="1114" t="s">
        <v>1</v>
      </c>
      <c r="O2" s="1115"/>
      <c r="P2" s="1115"/>
      <c r="Q2" s="1115"/>
      <c r="R2" s="1115"/>
      <c r="S2" s="1115"/>
      <c r="T2" s="1115"/>
      <c r="U2" s="1115"/>
      <c r="V2" s="1115"/>
      <c r="W2" s="1115"/>
      <c r="X2" s="1115"/>
      <c r="Y2" s="1153"/>
      <c r="Z2" s="1114" t="s">
        <v>2</v>
      </c>
      <c r="AA2" s="1115"/>
      <c r="AB2" s="1115"/>
      <c r="AC2" s="1115"/>
      <c r="AD2" s="1115"/>
      <c r="AE2" s="1115"/>
      <c r="AF2" s="1115"/>
      <c r="AG2" s="1115"/>
      <c r="AH2" s="1115"/>
      <c r="AI2" s="1115"/>
      <c r="AJ2" s="1115"/>
      <c r="AK2" s="1115"/>
      <c r="AL2" s="1115"/>
      <c r="AM2" s="1115"/>
      <c r="AN2" s="1115"/>
      <c r="AO2" s="1115"/>
      <c r="AP2" s="1115"/>
      <c r="AQ2" s="1116"/>
      <c r="AS2" s="1159" t="s">
        <v>44</v>
      </c>
      <c r="AT2" s="1160"/>
      <c r="AV2" s="1151" t="s">
        <v>0</v>
      </c>
      <c r="AW2" s="1114" t="s">
        <v>109</v>
      </c>
      <c r="AX2" s="1115"/>
      <c r="AY2" s="1115"/>
      <c r="AZ2" s="1115"/>
      <c r="BA2" s="1115"/>
      <c r="BB2" s="1115"/>
      <c r="BC2" s="1115"/>
      <c r="BD2" s="1115"/>
      <c r="BE2" s="1116"/>
      <c r="BF2" s="1183" t="s">
        <v>115</v>
      </c>
      <c r="BG2" s="1115"/>
      <c r="BH2" s="1115"/>
      <c r="BI2" s="1115"/>
      <c r="BJ2" s="1115"/>
      <c r="BK2" s="1115"/>
      <c r="BL2" s="1115"/>
      <c r="BM2" s="1115"/>
      <c r="BN2" s="1115"/>
      <c r="BO2" s="1115"/>
      <c r="BP2" s="1115"/>
      <c r="BQ2" s="1115"/>
      <c r="BR2" s="1115"/>
      <c r="BS2" s="1115"/>
      <c r="BT2" s="1115"/>
      <c r="BU2" s="1115"/>
      <c r="BV2" s="1115"/>
      <c r="BW2" s="1115"/>
      <c r="BX2" s="1115"/>
      <c r="BY2" s="1115"/>
      <c r="BZ2" s="1115"/>
      <c r="CA2" s="1115"/>
      <c r="CB2" s="1115"/>
      <c r="CC2" s="1115"/>
      <c r="CD2" s="1115"/>
      <c r="CE2" s="1115"/>
      <c r="CF2" s="1115"/>
      <c r="CG2" s="1115"/>
      <c r="CH2" s="1115"/>
      <c r="CI2" s="1115"/>
      <c r="CJ2" s="1115"/>
      <c r="CK2" s="1115"/>
      <c r="CL2" s="1115"/>
      <c r="CM2" s="1115"/>
      <c r="CN2" s="1115"/>
      <c r="CO2" s="1115"/>
      <c r="CP2" s="1115"/>
      <c r="CQ2" s="1115"/>
      <c r="CR2" s="1115"/>
      <c r="CS2" s="1115"/>
      <c r="CT2" s="1115"/>
      <c r="CU2" s="1115"/>
      <c r="CV2" s="1115"/>
      <c r="CW2" s="1115"/>
      <c r="CX2" s="1115"/>
      <c r="CY2" s="1115"/>
      <c r="CZ2" s="1115"/>
      <c r="DA2" s="1115"/>
      <c r="DB2" s="1115"/>
      <c r="DC2" s="1115"/>
      <c r="DD2" s="1115"/>
      <c r="DE2" s="1115"/>
      <c r="DF2" s="1115"/>
      <c r="DG2" s="1115"/>
      <c r="DH2" s="1115"/>
      <c r="DI2" s="1115"/>
      <c r="DJ2" s="1115"/>
      <c r="DK2" s="1115"/>
      <c r="DL2" s="1115"/>
      <c r="DM2" s="1115"/>
      <c r="DN2" s="1115"/>
      <c r="DO2" s="1115"/>
      <c r="DP2" s="1115"/>
      <c r="DQ2" s="1115"/>
      <c r="DR2" s="1115"/>
      <c r="DS2" s="1115"/>
      <c r="DT2" s="1115"/>
      <c r="DU2" s="1115"/>
      <c r="DV2" s="1115"/>
      <c r="DW2" s="1115"/>
      <c r="DX2" s="1115"/>
      <c r="DY2" s="1115"/>
      <c r="DZ2" s="1115"/>
      <c r="EA2" s="1115"/>
      <c r="EB2" s="1115"/>
      <c r="EC2" s="1115"/>
      <c r="ED2" s="1115"/>
      <c r="EE2" s="1115"/>
      <c r="EF2" s="1115"/>
      <c r="EG2" s="1115"/>
      <c r="EH2" s="1115"/>
      <c r="EI2" s="1115"/>
      <c r="EJ2" s="1115"/>
      <c r="EK2" s="1115"/>
      <c r="EL2" s="1115"/>
      <c r="EM2" s="1115"/>
      <c r="EN2" s="1115"/>
      <c r="EO2" s="1115"/>
      <c r="EP2" s="1115"/>
      <c r="EQ2" s="1115"/>
      <c r="ER2" s="1153"/>
      <c r="ES2" s="1055" t="s">
        <v>197</v>
      </c>
      <c r="ET2" s="1056"/>
      <c r="EU2" s="1056"/>
      <c r="EV2" s="1056"/>
      <c r="EW2" s="1056"/>
      <c r="EX2" s="1056"/>
      <c r="EY2" s="1056"/>
      <c r="EZ2" s="1056"/>
      <c r="FA2" s="1056"/>
      <c r="FB2" s="1056"/>
      <c r="FC2" s="1056"/>
      <c r="FD2" s="1056"/>
      <c r="FE2" s="1056"/>
      <c r="FF2" s="1057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91" t="s">
        <v>266</v>
      </c>
      <c r="HQ2" s="998" t="str">
        <f>IFERROR(CONCATENATE("Sum of Lateral Forces = ",ROUND(HE3,0)," lbs @ ",ROUND(HF3,1),"° Relative to Blade 1"),"")</f>
        <v/>
      </c>
      <c r="HR2" s="999"/>
      <c r="HS2" s="999"/>
      <c r="HT2" s="999"/>
      <c r="HU2" s="999"/>
      <c r="HV2" s="100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201"/>
      <c r="C3" s="1149"/>
      <c r="D3" s="1149"/>
      <c r="E3" s="1149"/>
      <c r="F3" s="1149"/>
      <c r="G3" s="1149"/>
      <c r="H3" s="1149"/>
      <c r="I3" s="1149"/>
      <c r="J3" s="1149"/>
      <c r="K3" s="1202"/>
      <c r="M3" s="1201"/>
      <c r="N3" s="1154"/>
      <c r="O3" s="1155"/>
      <c r="P3" s="1155"/>
      <c r="Q3" s="1155"/>
      <c r="R3" s="1155"/>
      <c r="S3" s="1155"/>
      <c r="T3" s="1155"/>
      <c r="U3" s="1155"/>
      <c r="V3" s="1155"/>
      <c r="W3" s="1155"/>
      <c r="X3" s="1155"/>
      <c r="Y3" s="1156"/>
      <c r="Z3" s="1154"/>
      <c r="AA3" s="1155"/>
      <c r="AB3" s="1155"/>
      <c r="AC3" s="1155"/>
      <c r="AD3" s="1155"/>
      <c r="AE3" s="1155"/>
      <c r="AF3" s="1155"/>
      <c r="AG3" s="1155"/>
      <c r="AH3" s="1155"/>
      <c r="AI3" s="1155"/>
      <c r="AJ3" s="1155"/>
      <c r="AK3" s="1155"/>
      <c r="AL3" s="1155"/>
      <c r="AM3" s="1155"/>
      <c r="AN3" s="1155"/>
      <c r="AO3" s="1155"/>
      <c r="AP3" s="1155"/>
      <c r="AQ3" s="1178"/>
      <c r="AS3" s="488">
        <v>100</v>
      </c>
      <c r="AT3" s="485" t="s">
        <v>45</v>
      </c>
      <c r="AV3" s="1152"/>
      <c r="AW3" s="1058"/>
      <c r="AX3" s="1059"/>
      <c r="AY3" s="1059"/>
      <c r="AZ3" s="1059"/>
      <c r="BA3" s="1059"/>
      <c r="BB3" s="1059"/>
      <c r="BC3" s="1059"/>
      <c r="BD3" s="1059"/>
      <c r="BE3" s="1117"/>
      <c r="BF3" s="1184"/>
      <c r="BG3" s="1059"/>
      <c r="BH3" s="1059"/>
      <c r="BI3" s="1059"/>
      <c r="BJ3" s="1059"/>
      <c r="BK3" s="1059"/>
      <c r="BL3" s="1059"/>
      <c r="BM3" s="1059"/>
      <c r="BN3" s="1059"/>
      <c r="BO3" s="1059"/>
      <c r="BP3" s="1059"/>
      <c r="BQ3" s="1059"/>
      <c r="BR3" s="1059"/>
      <c r="BS3" s="1059"/>
      <c r="BT3" s="1059"/>
      <c r="BU3" s="1059"/>
      <c r="BV3" s="1059"/>
      <c r="BW3" s="1059"/>
      <c r="BX3" s="1059"/>
      <c r="BY3" s="1059"/>
      <c r="BZ3" s="1059"/>
      <c r="CA3" s="1059"/>
      <c r="CB3" s="1059"/>
      <c r="CC3" s="1059"/>
      <c r="CD3" s="1059"/>
      <c r="CE3" s="1059"/>
      <c r="CF3" s="1059"/>
      <c r="CG3" s="1059"/>
      <c r="CH3" s="1059"/>
      <c r="CI3" s="1059"/>
      <c r="CJ3" s="1059"/>
      <c r="CK3" s="1059"/>
      <c r="CL3" s="1059"/>
      <c r="CM3" s="1059"/>
      <c r="CN3" s="1059"/>
      <c r="CO3" s="1059"/>
      <c r="CP3" s="1059"/>
      <c r="CQ3" s="1059"/>
      <c r="CR3" s="1059"/>
      <c r="CS3" s="1059"/>
      <c r="CT3" s="1059"/>
      <c r="CU3" s="1059"/>
      <c r="CV3" s="1059"/>
      <c r="CW3" s="1059"/>
      <c r="CX3" s="1059"/>
      <c r="CY3" s="1059"/>
      <c r="CZ3" s="1059"/>
      <c r="DA3" s="1059"/>
      <c r="DB3" s="1059"/>
      <c r="DC3" s="1059"/>
      <c r="DD3" s="1059"/>
      <c r="DE3" s="1059"/>
      <c r="DF3" s="1059"/>
      <c r="DG3" s="1059"/>
      <c r="DH3" s="1059"/>
      <c r="DI3" s="1059"/>
      <c r="DJ3" s="1059"/>
      <c r="DK3" s="1059"/>
      <c r="DL3" s="1059"/>
      <c r="DM3" s="1059"/>
      <c r="DN3" s="1059"/>
      <c r="DO3" s="1059"/>
      <c r="DP3" s="1059"/>
      <c r="DQ3" s="1059"/>
      <c r="DR3" s="1059"/>
      <c r="DS3" s="1059"/>
      <c r="DT3" s="1059"/>
      <c r="DU3" s="1059"/>
      <c r="DV3" s="1059"/>
      <c r="DW3" s="1059"/>
      <c r="DX3" s="1059"/>
      <c r="DY3" s="1059"/>
      <c r="DZ3" s="1059"/>
      <c r="EA3" s="1059"/>
      <c r="EB3" s="1059"/>
      <c r="EC3" s="1059"/>
      <c r="ED3" s="1059"/>
      <c r="EE3" s="1059"/>
      <c r="EF3" s="1059"/>
      <c r="EG3" s="1059"/>
      <c r="EH3" s="1059"/>
      <c r="EI3" s="1059"/>
      <c r="EJ3" s="1059"/>
      <c r="EK3" s="1059"/>
      <c r="EL3" s="1059"/>
      <c r="EM3" s="1059"/>
      <c r="EN3" s="1059"/>
      <c r="EO3" s="1059"/>
      <c r="EP3" s="1059"/>
      <c r="EQ3" s="1059"/>
      <c r="ER3" s="1060"/>
      <c r="ES3" s="1058"/>
      <c r="ET3" s="1059"/>
      <c r="EU3" s="1059"/>
      <c r="EV3" s="1059"/>
      <c r="EW3" s="1059"/>
      <c r="EX3" s="1059"/>
      <c r="EY3" s="1059"/>
      <c r="EZ3" s="1059"/>
      <c r="FA3" s="1059"/>
      <c r="FB3" s="1059"/>
      <c r="FC3" s="1059"/>
      <c r="FD3" s="1059"/>
      <c r="FE3" s="1059"/>
      <c r="FF3" s="1060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92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203"/>
      <c r="C4" s="1204"/>
      <c r="D4" s="1204"/>
      <c r="E4" s="1204"/>
      <c r="F4" s="1204"/>
      <c r="G4" s="1204"/>
      <c r="H4" s="1204"/>
      <c r="I4" s="1204"/>
      <c r="J4" s="1204"/>
      <c r="K4" s="1205"/>
      <c r="M4" s="1201"/>
      <c r="N4" s="1208" t="s">
        <v>3</v>
      </c>
      <c r="O4" s="1145"/>
      <c r="P4" s="1145"/>
      <c r="Q4" s="1146" t="s">
        <v>4</v>
      </c>
      <c r="R4" s="1145"/>
      <c r="S4" s="1147"/>
      <c r="T4" s="1217" t="str">
        <f>N4</f>
        <v>Cartesian Coordinates</v>
      </c>
      <c r="U4" s="1121"/>
      <c r="V4" s="1218"/>
      <c r="W4" s="1121" t="str">
        <f>$Q$4</f>
        <v>Polar XY; Cartesian Z</v>
      </c>
      <c r="X4" s="1121"/>
      <c r="Y4" s="1191"/>
      <c r="Z4" s="1208" t="s">
        <v>3</v>
      </c>
      <c r="AA4" s="1145"/>
      <c r="AB4" s="1145"/>
      <c r="AC4" s="1145"/>
      <c r="AD4" s="1145"/>
      <c r="AE4" s="1145"/>
      <c r="AF4" s="1145"/>
      <c r="AG4" s="1144" t="s">
        <v>31</v>
      </c>
      <c r="AH4" s="1145"/>
      <c r="AI4" s="1145"/>
      <c r="AJ4" s="1147"/>
      <c r="AK4" s="1179" t="s">
        <v>32</v>
      </c>
      <c r="AL4" s="1180"/>
      <c r="AM4" s="1180"/>
      <c r="AN4" s="1180"/>
      <c r="AO4" s="1180"/>
      <c r="AP4" s="1180"/>
      <c r="AQ4" s="1181"/>
      <c r="AS4" s="489">
        <v>680</v>
      </c>
      <c r="AT4" s="486" t="s">
        <v>46</v>
      </c>
      <c r="AV4" s="1152"/>
      <c r="AW4" s="1076" t="s">
        <v>112</v>
      </c>
      <c r="AX4" s="979"/>
      <c r="AY4" s="910"/>
      <c r="AZ4" s="1112"/>
      <c r="BA4" s="1113"/>
      <c r="BB4" s="1118" t="s">
        <v>113</v>
      </c>
      <c r="BC4" s="1121" t="str">
        <f>$Q$4</f>
        <v>Polar XY; Cartesian Z</v>
      </c>
      <c r="BD4" s="1121"/>
      <c r="BE4" s="1122"/>
      <c r="BF4" s="1138" t="s">
        <v>129</v>
      </c>
      <c r="BG4" s="1139"/>
      <c r="BH4" s="1139"/>
      <c r="BI4" s="1139"/>
      <c r="BJ4" s="1139"/>
      <c r="BK4" s="1139"/>
      <c r="BL4" s="1139"/>
      <c r="BM4" s="1139"/>
      <c r="BN4" s="1139"/>
      <c r="BO4" s="1139"/>
      <c r="BP4" s="1139"/>
      <c r="BQ4" s="1139"/>
      <c r="BR4" s="1139"/>
      <c r="BS4" s="1139"/>
      <c r="BT4" s="1139"/>
      <c r="BU4" s="1139"/>
      <c r="BV4" s="1139"/>
      <c r="BW4" s="1139"/>
      <c r="BX4" s="1139"/>
      <c r="BY4" s="1139"/>
      <c r="BZ4" s="1139"/>
      <c r="CA4" s="1139"/>
      <c r="CB4" s="1139"/>
      <c r="CC4" s="1139"/>
      <c r="CD4" s="1139"/>
      <c r="CE4" s="1139"/>
      <c r="CF4" s="1139"/>
      <c r="CG4" s="1139"/>
      <c r="CH4" s="1139"/>
      <c r="CI4" s="1139"/>
      <c r="CJ4" s="1139"/>
      <c r="CK4" s="1139"/>
      <c r="CL4" s="1139"/>
      <c r="CM4" s="1139"/>
      <c r="CN4" s="1140"/>
      <c r="CO4" s="1185" t="s">
        <v>193</v>
      </c>
      <c r="CP4" s="1186"/>
      <c r="CQ4" s="1186"/>
      <c r="CR4" s="1186"/>
      <c r="CS4" s="1186"/>
      <c r="CT4" s="1186"/>
      <c r="CU4" s="1186"/>
      <c r="CV4" s="1186"/>
      <c r="CW4" s="1186"/>
      <c r="CX4" s="1186"/>
      <c r="CY4" s="1186"/>
      <c r="CZ4" s="1186"/>
      <c r="DA4" s="1187"/>
      <c r="DB4" s="1017" t="s">
        <v>162</v>
      </c>
      <c r="DC4" s="1018"/>
      <c r="DD4" s="1018"/>
      <c r="DE4" s="1018"/>
      <c r="DF4" s="1018"/>
      <c r="DG4" s="1018"/>
      <c r="DH4" s="1018"/>
      <c r="DI4" s="1018"/>
      <c r="DJ4" s="1018"/>
      <c r="DK4" s="1018"/>
      <c r="DL4" s="1018"/>
      <c r="DM4" s="1018"/>
      <c r="DN4" s="1018"/>
      <c r="DO4" s="1018"/>
      <c r="DP4" s="1018"/>
      <c r="DQ4" s="1018"/>
      <c r="DR4" s="1018"/>
      <c r="DS4" s="1018"/>
      <c r="DT4" s="1018"/>
      <c r="DU4" s="1018"/>
      <c r="DV4" s="1018"/>
      <c r="DW4" s="1018"/>
      <c r="DX4" s="1018"/>
      <c r="DY4" s="1018"/>
      <c r="DZ4" s="1018"/>
      <c r="EA4" s="1018"/>
      <c r="EB4" s="1018"/>
      <c r="EC4" s="1018"/>
      <c r="ED4" s="1018"/>
      <c r="EE4" s="1018"/>
      <c r="EF4" s="1018"/>
      <c r="EG4" s="1018"/>
      <c r="EH4" s="1018"/>
      <c r="EI4" s="1018"/>
      <c r="EJ4" s="1018"/>
      <c r="EK4" s="1018"/>
      <c r="EL4" s="1018"/>
      <c r="EM4" s="1018"/>
      <c r="EN4" s="1018"/>
      <c r="EO4" s="1018"/>
      <c r="EP4" s="1018"/>
      <c r="EQ4" s="1018"/>
      <c r="ER4" s="1019"/>
      <c r="ES4" s="1070" t="s">
        <v>196</v>
      </c>
      <c r="ET4" s="1071"/>
      <c r="EU4" s="1071"/>
      <c r="EV4" s="1071"/>
      <c r="EW4" s="1071"/>
      <c r="EX4" s="1071"/>
      <c r="EY4" s="1072"/>
      <c r="EZ4" s="1080" t="s">
        <v>201</v>
      </c>
      <c r="FA4" s="1081"/>
      <c r="FB4" s="1081"/>
      <c r="FC4" s="1081"/>
      <c r="FD4" s="1081"/>
      <c r="FE4" s="1081"/>
      <c r="FF4" s="1082"/>
      <c r="FG4" s="350"/>
      <c r="FP4" s="991" t="s">
        <v>229</v>
      </c>
      <c r="FZ4" s="991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969"/>
      <c r="GO4" s="971" t="s">
        <v>229</v>
      </c>
      <c r="GP4" s="975" t="s">
        <v>228</v>
      </c>
      <c r="GR4" s="981" t="s">
        <v>261</v>
      </c>
      <c r="GS4" s="919" t="s">
        <v>259</v>
      </c>
      <c r="GT4" s="887"/>
      <c r="GU4" s="887"/>
      <c r="GV4" s="887"/>
      <c r="GW4" s="887"/>
      <c r="GX4" s="887"/>
      <c r="GY4" s="887"/>
      <c r="GZ4" s="887"/>
      <c r="HA4" s="1004" t="str">
        <f>IFERROR(CONCATENATE("Lateral Forces = ",ROUND(HE3,0)," lbs @ ",ROUND(HF3,1),"° Relative to Blade 1"),"")</f>
        <v/>
      </c>
      <c r="HB4" s="1005"/>
      <c r="HC4" s="1005"/>
      <c r="HD4" s="1005"/>
      <c r="HE4" s="1005"/>
      <c r="HF4" s="1005"/>
      <c r="HG4" s="1005"/>
      <c r="HH4" s="1006"/>
      <c r="HI4" s="1012" t="s">
        <v>0</v>
      </c>
      <c r="HO4" s="993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92" t="str">
        <f>CONCATENATE(B7," ; ",E7," ; ",H7)</f>
        <v>Absolute-Point ; Incremental-Vector Point ; Pocket Info.</v>
      </c>
      <c r="C5" s="1193"/>
      <c r="D5" s="1193"/>
      <c r="E5" s="1193"/>
      <c r="F5" s="1193"/>
      <c r="G5" s="1193"/>
      <c r="H5" s="1193"/>
      <c r="I5" s="1193"/>
      <c r="J5" s="1193"/>
      <c r="K5" s="1194"/>
      <c r="M5" s="1201"/>
      <c r="N5" s="1228" t="s">
        <v>5</v>
      </c>
      <c r="O5" s="1173"/>
      <c r="P5" s="1173"/>
      <c r="Q5" s="1172" t="s">
        <v>6</v>
      </c>
      <c r="R5" s="1173"/>
      <c r="S5" s="1174"/>
      <c r="T5" s="1143" t="str">
        <f>CONCATENATE("Relative to ",M8,"'s θ about Z Axis")</f>
        <v>Relative to 1.112's θ about Z Axis</v>
      </c>
      <c r="U5" s="1128"/>
      <c r="V5" s="1171"/>
      <c r="W5" s="1128" t="str">
        <f>CONCATENATE("Relative to ",M8,"'s θ about Z Axis")</f>
        <v>Relative to 1.112's θ about Z Axis</v>
      </c>
      <c r="X5" s="1128"/>
      <c r="Y5" s="1219"/>
      <c r="Z5" s="1209" t="str">
        <f>N5</f>
        <v>Relative to World_CS</v>
      </c>
      <c r="AA5" s="1128"/>
      <c r="AB5" s="1128"/>
      <c r="AC5" s="1128"/>
      <c r="AD5" s="1128"/>
      <c r="AE5" s="1128"/>
      <c r="AF5" s="1128"/>
      <c r="AG5" s="1143" t="str">
        <f>N5</f>
        <v>Relative to World_CS</v>
      </c>
      <c r="AH5" s="1128"/>
      <c r="AI5" s="1128"/>
      <c r="AJ5" s="1129"/>
      <c r="AK5" s="1182" t="s">
        <v>7</v>
      </c>
      <c r="AL5" s="1173"/>
      <c r="AM5" s="1173"/>
      <c r="AN5" s="1173"/>
      <c r="AO5" s="1173"/>
      <c r="AP5" s="1173"/>
      <c r="AQ5" s="1174"/>
      <c r="AS5" s="176">
        <f>(((AS4*12)/60)/AS3)</f>
        <v>1.36</v>
      </c>
      <c r="AT5" s="486" t="s">
        <v>47</v>
      </c>
      <c r="AV5" s="1152"/>
      <c r="AW5" s="1132"/>
      <c r="AX5" s="1133"/>
      <c r="AY5" s="1134"/>
      <c r="AZ5" s="988"/>
      <c r="BA5" s="895"/>
      <c r="BB5" s="1119"/>
      <c r="BC5" s="1127" t="str">
        <f>$W$5</f>
        <v>Relative to 1.112's θ about Z Axis</v>
      </c>
      <c r="BD5" s="1128"/>
      <c r="BE5" s="1129"/>
      <c r="BF5" s="919" t="s">
        <v>128</v>
      </c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913"/>
      <c r="BS5" s="919" t="s">
        <v>130</v>
      </c>
      <c r="BT5" s="887"/>
      <c r="BU5" s="887"/>
      <c r="BV5" s="887"/>
      <c r="BW5" s="887"/>
      <c r="BX5" s="887"/>
      <c r="BY5" s="887"/>
      <c r="BZ5" s="887"/>
      <c r="CA5" s="887"/>
      <c r="CB5" s="887"/>
      <c r="CC5" s="887"/>
      <c r="CD5" s="887"/>
      <c r="CE5" s="913"/>
      <c r="CF5" s="919" t="s">
        <v>138</v>
      </c>
      <c r="CG5" s="887"/>
      <c r="CH5" s="913"/>
      <c r="CI5" s="919" t="s">
        <v>139</v>
      </c>
      <c r="CJ5" s="887"/>
      <c r="CK5" s="887"/>
      <c r="CL5" s="887"/>
      <c r="CM5" s="887"/>
      <c r="CN5" s="913"/>
      <c r="CO5" s="1038" t="s">
        <v>275</v>
      </c>
      <c r="CP5" s="1038" t="s">
        <v>149</v>
      </c>
      <c r="CQ5" s="979"/>
      <c r="CR5" s="979"/>
      <c r="CS5" s="920"/>
      <c r="CT5" s="979" t="s">
        <v>150</v>
      </c>
      <c r="CU5" s="910"/>
      <c r="CV5" s="919" t="s">
        <v>161</v>
      </c>
      <c r="CW5" s="887"/>
      <c r="CX5" s="887"/>
      <c r="CY5" s="887"/>
      <c r="CZ5" s="887"/>
      <c r="DA5" s="913"/>
      <c r="DB5" s="919" t="s">
        <v>163</v>
      </c>
      <c r="DC5" s="887"/>
      <c r="DD5" s="887"/>
      <c r="DE5" s="887"/>
      <c r="DF5" s="887"/>
      <c r="DG5" s="887"/>
      <c r="DH5" s="913"/>
      <c r="DI5" s="1044" t="s">
        <v>173</v>
      </c>
      <c r="DJ5" s="1044"/>
      <c r="DK5" s="1104"/>
      <c r="DL5" s="1043" t="s">
        <v>174</v>
      </c>
      <c r="DM5" s="1044"/>
      <c r="DN5" s="1045"/>
      <c r="DO5" s="1106" t="s">
        <v>175</v>
      </c>
      <c r="DP5" s="1107"/>
      <c r="DQ5" s="1107"/>
      <c r="DR5" s="1034" t="s">
        <v>187</v>
      </c>
      <c r="DS5" s="1034"/>
      <c r="DT5" s="1034"/>
      <c r="DU5" s="1034"/>
      <c r="DV5" s="1034"/>
      <c r="DW5" s="1034"/>
      <c r="DX5" s="1038" t="s">
        <v>190</v>
      </c>
      <c r="DY5" s="941" t="s">
        <v>149</v>
      </c>
      <c r="DZ5" s="1034"/>
      <c r="EA5" s="1034"/>
      <c r="EB5" s="1034"/>
      <c r="EC5" s="1034" t="s">
        <v>150</v>
      </c>
      <c r="ED5" s="1034"/>
      <c r="EE5" s="981" t="s">
        <v>194</v>
      </c>
      <c r="EF5" s="981"/>
      <c r="EG5" s="994"/>
      <c r="EH5" s="1049" t="s">
        <v>195</v>
      </c>
      <c r="EI5" s="1050"/>
      <c r="EJ5" s="1051"/>
      <c r="EK5" s="1034" t="s">
        <v>188</v>
      </c>
      <c r="EL5" s="1038"/>
      <c r="EM5" s="919" t="s">
        <v>189</v>
      </c>
      <c r="EN5" s="887"/>
      <c r="EO5" s="887"/>
      <c r="EP5" s="887"/>
      <c r="EQ5" s="887"/>
      <c r="ER5" s="1097"/>
      <c r="ES5" s="1076" t="s">
        <v>202</v>
      </c>
      <c r="ET5" s="979"/>
      <c r="EU5" s="920"/>
      <c r="EV5" s="1073" t="s">
        <v>222</v>
      </c>
      <c r="EW5" s="1074"/>
      <c r="EX5" s="1074"/>
      <c r="EY5" s="1075"/>
      <c r="EZ5" s="1065" t="s">
        <v>200</v>
      </c>
      <c r="FA5" s="914" t="s">
        <v>202</v>
      </c>
      <c r="FB5" s="1090"/>
      <c r="FC5" s="915"/>
      <c r="FD5" s="1094" t="s">
        <v>222</v>
      </c>
      <c r="FE5" s="1095"/>
      <c r="FF5" s="1096"/>
      <c r="FP5" s="993"/>
      <c r="FQ5" s="34"/>
      <c r="FR5" s="34"/>
      <c r="FS5" s="34"/>
      <c r="FT5" s="34"/>
      <c r="FZ5" s="993"/>
      <c r="GJ5" s="967" t="s">
        <v>269</v>
      </c>
      <c r="GK5" s="1022" t="s">
        <v>267</v>
      </c>
      <c r="GL5" s="1024" t="s">
        <v>110</v>
      </c>
      <c r="GM5" s="1024" t="s">
        <v>111</v>
      </c>
      <c r="GN5" s="1025"/>
      <c r="GO5" s="972"/>
      <c r="GP5" s="976"/>
      <c r="GQ5" s="34"/>
      <c r="GR5" s="982"/>
      <c r="GS5" s="988" t="s">
        <v>248</v>
      </c>
      <c r="GT5" s="989"/>
      <c r="GU5" s="984" t="s">
        <v>249</v>
      </c>
      <c r="GV5" s="985"/>
      <c r="GW5" s="986"/>
      <c r="GX5" s="987"/>
      <c r="GY5" s="970" t="s">
        <v>107</v>
      </c>
      <c r="GZ5" s="897"/>
      <c r="HA5" s="1001" t="s">
        <v>248</v>
      </c>
      <c r="HB5" s="1002"/>
      <c r="HC5" s="1002"/>
      <c r="HD5" s="1003"/>
      <c r="HE5" s="1032" t="s">
        <v>249</v>
      </c>
      <c r="HF5" s="1002"/>
      <c r="HG5" s="1002"/>
      <c r="HH5" s="1033"/>
      <c r="HI5" s="1013"/>
      <c r="HN5" s="393" t="s">
        <v>263</v>
      </c>
      <c r="HO5" s="63" t="s">
        <v>264</v>
      </c>
      <c r="HS5" s="1007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1195"/>
      <c r="C6" s="1196"/>
      <c r="D6" s="1196"/>
      <c r="E6" s="1196"/>
      <c r="F6" s="1196"/>
      <c r="G6" s="1196"/>
      <c r="H6" s="1196"/>
      <c r="I6" s="1196"/>
      <c r="J6" s="1196"/>
      <c r="K6" s="1197"/>
      <c r="M6" s="1201"/>
      <c r="N6" s="1224" t="s">
        <v>8</v>
      </c>
      <c r="O6" s="1226" t="s">
        <v>9</v>
      </c>
      <c r="P6" s="1222" t="s">
        <v>10</v>
      </c>
      <c r="Q6" s="1229" t="s">
        <v>11</v>
      </c>
      <c r="R6" s="1230"/>
      <c r="S6" s="1220" t="s">
        <v>10</v>
      </c>
      <c r="T6" s="1167" t="str">
        <f>N6</f>
        <v>X</v>
      </c>
      <c r="U6" s="1169" t="str">
        <f>O6</f>
        <v>Y</v>
      </c>
      <c r="V6" s="1215" t="str">
        <f>P6</f>
        <v>Z</v>
      </c>
      <c r="W6" s="1123" t="str">
        <f>$Q$6</f>
        <v>Projected XY</v>
      </c>
      <c r="X6" s="1124"/>
      <c r="Y6" s="1165" t="str">
        <f>$S$6</f>
        <v>Z</v>
      </c>
      <c r="Z6" s="1148" t="s">
        <v>12</v>
      </c>
      <c r="AA6" s="1149"/>
      <c r="AB6" s="1149"/>
      <c r="AC6" s="1150"/>
      <c r="AD6" s="1146" t="s">
        <v>13</v>
      </c>
      <c r="AE6" s="1145"/>
      <c r="AF6" s="1145"/>
      <c r="AG6" s="1144" t="s">
        <v>7</v>
      </c>
      <c r="AH6" s="1145"/>
      <c r="AI6" s="1146" t="s">
        <v>14</v>
      </c>
      <c r="AJ6" s="1147"/>
      <c r="AK6" s="1175" t="str">
        <f>AD6</f>
        <v>Unit Vector</v>
      </c>
      <c r="AL6" s="1176"/>
      <c r="AM6" s="1177"/>
      <c r="AN6" s="190" t="s">
        <v>15</v>
      </c>
      <c r="AO6" s="191" t="s">
        <v>16</v>
      </c>
      <c r="AP6" s="803" t="s">
        <v>17</v>
      </c>
      <c r="AQ6" s="1157" t="s">
        <v>108</v>
      </c>
      <c r="AS6" s="177">
        <f>(AS5/360)</f>
        <v>3.7777777777777779E-3</v>
      </c>
      <c r="AT6" s="487" t="s">
        <v>48</v>
      </c>
      <c r="AV6" s="1152"/>
      <c r="AW6" s="1141" t="s">
        <v>105</v>
      </c>
      <c r="AX6" s="1142"/>
      <c r="AY6" s="202" t="s">
        <v>110</v>
      </c>
      <c r="AZ6" s="1130" t="s">
        <v>111</v>
      </c>
      <c r="BA6" s="1131"/>
      <c r="BB6" s="1120"/>
      <c r="BC6" s="1123" t="str">
        <f>$Q$6</f>
        <v>Projected XY</v>
      </c>
      <c r="BD6" s="1124"/>
      <c r="BE6" s="1125" t="str">
        <f>$S$6</f>
        <v>Z</v>
      </c>
      <c r="BF6" s="872" t="s">
        <v>125</v>
      </c>
      <c r="BG6" s="865"/>
      <c r="BH6" s="966"/>
      <c r="BI6" s="878" t="s">
        <v>126</v>
      </c>
      <c r="BJ6" s="865"/>
      <c r="BK6" s="866"/>
      <c r="BL6" s="867" t="s">
        <v>127</v>
      </c>
      <c r="BM6" s="865"/>
      <c r="BN6" s="868"/>
      <c r="BO6" s="872" t="s">
        <v>135</v>
      </c>
      <c r="BP6" s="865"/>
      <c r="BQ6" s="865"/>
      <c r="BR6" s="868"/>
      <c r="BS6" s="872" t="s">
        <v>125</v>
      </c>
      <c r="BT6" s="865"/>
      <c r="BU6" s="966"/>
      <c r="BV6" s="878" t="s">
        <v>126</v>
      </c>
      <c r="BW6" s="865"/>
      <c r="BX6" s="866"/>
      <c r="BY6" s="867" t="s">
        <v>127</v>
      </c>
      <c r="BZ6" s="865"/>
      <c r="CA6" s="868"/>
      <c r="CB6" s="872" t="s">
        <v>135</v>
      </c>
      <c r="CC6" s="865"/>
      <c r="CD6" s="865"/>
      <c r="CE6" s="868"/>
      <c r="CF6" s="874" t="s">
        <v>136</v>
      </c>
      <c r="CG6" s="1099"/>
      <c r="CH6" s="1099"/>
      <c r="CI6" s="1101" t="s">
        <v>137</v>
      </c>
      <c r="CJ6" s="1099"/>
      <c r="CK6" s="875"/>
      <c r="CL6" s="1098" t="s">
        <v>140</v>
      </c>
      <c r="CM6" s="1099"/>
      <c r="CN6" s="1100"/>
      <c r="CO6" s="1039"/>
      <c r="CP6" s="1039"/>
      <c r="CQ6" s="1078"/>
      <c r="CR6" s="1078"/>
      <c r="CS6" s="1079"/>
      <c r="CT6" s="1078"/>
      <c r="CU6" s="1111"/>
      <c r="CV6" s="1137" t="s">
        <v>147</v>
      </c>
      <c r="CW6" s="865"/>
      <c r="CX6" s="866"/>
      <c r="CY6" s="1135" t="s">
        <v>148</v>
      </c>
      <c r="CZ6" s="997"/>
      <c r="DA6" s="1136"/>
      <c r="DB6" s="1102" t="s">
        <v>176</v>
      </c>
      <c r="DC6" s="1030"/>
      <c r="DD6" s="1031"/>
      <c r="DE6" s="1103" t="s">
        <v>177</v>
      </c>
      <c r="DF6" s="1030"/>
      <c r="DG6" s="1031"/>
      <c r="DH6" s="260" t="s">
        <v>29</v>
      </c>
      <c r="DI6" s="1047"/>
      <c r="DJ6" s="1047"/>
      <c r="DK6" s="1105"/>
      <c r="DL6" s="1046"/>
      <c r="DM6" s="1047"/>
      <c r="DN6" s="1048"/>
      <c r="DO6" s="1108"/>
      <c r="DP6" s="1109"/>
      <c r="DQ6" s="1109"/>
      <c r="DR6" s="1035"/>
      <c r="DS6" s="1035"/>
      <c r="DT6" s="1035"/>
      <c r="DU6" s="1035"/>
      <c r="DV6" s="1035"/>
      <c r="DW6" s="1035"/>
      <c r="DX6" s="1039"/>
      <c r="DY6" s="1110"/>
      <c r="DZ6" s="1035"/>
      <c r="EA6" s="1035"/>
      <c r="EB6" s="1035"/>
      <c r="EC6" s="1035"/>
      <c r="ED6" s="1035"/>
      <c r="EE6" s="1036"/>
      <c r="EF6" s="1036"/>
      <c r="EG6" s="1037"/>
      <c r="EH6" s="1052"/>
      <c r="EI6" s="1053"/>
      <c r="EJ6" s="1054"/>
      <c r="EK6" s="1035"/>
      <c r="EL6" s="1039"/>
      <c r="EM6" s="1040" t="s">
        <v>199</v>
      </c>
      <c r="EN6" s="1041"/>
      <c r="EO6" s="1042"/>
      <c r="EP6" s="1083" t="s">
        <v>198</v>
      </c>
      <c r="EQ6" s="1041"/>
      <c r="ER6" s="1085"/>
      <c r="ES6" s="1077"/>
      <c r="ET6" s="1078"/>
      <c r="EU6" s="1079"/>
      <c r="EV6" s="281" t="s">
        <v>221</v>
      </c>
      <c r="EW6" s="1083" t="s">
        <v>202</v>
      </c>
      <c r="EX6" s="1041"/>
      <c r="EY6" s="1084"/>
      <c r="EZ6" s="1066"/>
      <c r="FA6" s="1091"/>
      <c r="FB6" s="1092"/>
      <c r="FC6" s="1093"/>
      <c r="FD6" s="1040" t="s">
        <v>202</v>
      </c>
      <c r="FE6" s="1041"/>
      <c r="FF6" s="1085"/>
      <c r="FG6" s="1087" t="s">
        <v>224</v>
      </c>
      <c r="FH6" s="1088"/>
      <c r="FI6" s="1089"/>
      <c r="FJ6" s="1034" t="s">
        <v>203</v>
      </c>
      <c r="FK6" s="1038" t="s">
        <v>214</v>
      </c>
      <c r="FL6" s="979"/>
      <c r="FM6" s="920"/>
      <c r="FN6" s="1020" t="s">
        <v>204</v>
      </c>
      <c r="FO6" s="1068" t="s">
        <v>227</v>
      </c>
      <c r="FP6" s="106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38" t="s">
        <v>218</v>
      </c>
      <c r="FV6" s="979"/>
      <c r="FW6" s="920"/>
      <c r="FX6" s="1020" t="s">
        <v>219</v>
      </c>
      <c r="FY6" s="1068" t="s">
        <v>227</v>
      </c>
      <c r="FZ6" s="1061" t="s">
        <v>225</v>
      </c>
      <c r="GA6" s="1063" t="s">
        <v>239</v>
      </c>
      <c r="GB6" s="343" t="s">
        <v>207</v>
      </c>
      <c r="GC6" s="344" t="s">
        <v>240</v>
      </c>
      <c r="GD6" s="345" t="s">
        <v>226</v>
      </c>
      <c r="GE6" s="964"/>
      <c r="GF6" s="994" t="s">
        <v>260</v>
      </c>
      <c r="GG6" s="343" t="s">
        <v>207</v>
      </c>
      <c r="GH6" s="344" t="s">
        <v>240</v>
      </c>
      <c r="GI6" s="345" t="s">
        <v>226</v>
      </c>
      <c r="GJ6" s="968"/>
      <c r="GK6" s="1023"/>
      <c r="GL6" s="1026"/>
      <c r="GM6" s="1026"/>
      <c r="GN6" s="1027"/>
      <c r="GO6" s="973" t="s">
        <v>238</v>
      </c>
      <c r="GP6" s="977" t="s">
        <v>225</v>
      </c>
      <c r="GQ6" s="979" t="s">
        <v>203</v>
      </c>
      <c r="GR6" s="982"/>
      <c r="GS6" s="1010" t="s">
        <v>252</v>
      </c>
      <c r="GT6" s="1011"/>
      <c r="GU6" s="996" t="s">
        <v>251</v>
      </c>
      <c r="GV6" s="997"/>
      <c r="GW6" s="997"/>
      <c r="GX6" s="368" t="s">
        <v>106</v>
      </c>
      <c r="GY6" s="878" t="s">
        <v>250</v>
      </c>
      <c r="GZ6" s="966"/>
      <c r="HA6" s="1029" t="s">
        <v>252</v>
      </c>
      <c r="HB6" s="1030"/>
      <c r="HC6" s="1030"/>
      <c r="HD6" s="1031"/>
      <c r="HE6" s="878" t="s">
        <v>251</v>
      </c>
      <c r="HF6" s="865"/>
      <c r="HG6" s="865"/>
      <c r="HH6" s="868"/>
      <c r="HI6" s="1013"/>
      <c r="HN6" s="958" t="s">
        <v>238</v>
      </c>
      <c r="HO6" s="961" t="s">
        <v>265</v>
      </c>
      <c r="HP6" s="941" t="s">
        <v>203</v>
      </c>
      <c r="HQ6" s="398"/>
      <c r="HS6" s="1008"/>
      <c r="HT6" s="888" t="s">
        <v>270</v>
      </c>
      <c r="HU6" s="885"/>
      <c r="HV6" s="969"/>
      <c r="HW6" s="919" t="s">
        <v>258</v>
      </c>
      <c r="HX6" s="887"/>
      <c r="HY6" s="913"/>
      <c r="HZ6" s="919" t="s">
        <v>249</v>
      </c>
      <c r="IA6" s="888"/>
    </row>
    <row r="7" spans="1:259" ht="15" customHeight="1" thickBot="1" x14ac:dyDescent="0.4">
      <c r="A7" s="148">
        <v>0.02</v>
      </c>
      <c r="B7" s="1210" t="s">
        <v>40</v>
      </c>
      <c r="C7" s="1211"/>
      <c r="D7" s="1212"/>
      <c r="E7" s="1213" t="s">
        <v>41</v>
      </c>
      <c r="F7" s="1211"/>
      <c r="G7" s="1214"/>
      <c r="H7" s="1188" t="s">
        <v>98</v>
      </c>
      <c r="I7" s="1189"/>
      <c r="J7" s="1190"/>
      <c r="K7" s="178"/>
      <c r="L7" s="327"/>
      <c r="M7" s="1207"/>
      <c r="N7" s="1225"/>
      <c r="O7" s="1227"/>
      <c r="P7" s="1223"/>
      <c r="Q7" s="39" t="s">
        <v>18</v>
      </c>
      <c r="R7" s="2" t="s">
        <v>19</v>
      </c>
      <c r="S7" s="1221"/>
      <c r="T7" s="1168"/>
      <c r="U7" s="1170"/>
      <c r="V7" s="1216"/>
      <c r="W7" s="40" t="str">
        <f>$Q$7</f>
        <v>&lt; θ°</v>
      </c>
      <c r="X7" s="30" t="str">
        <f>$R$7</f>
        <v>r</v>
      </c>
      <c r="Y7" s="1166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58"/>
      <c r="AS7" s="1163" t="s">
        <v>54</v>
      </c>
      <c r="AT7" s="1161" t="s">
        <v>53</v>
      </c>
      <c r="AV7" s="1152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20"/>
      <c r="BC7" s="40" t="str">
        <f>$Q$7</f>
        <v>&lt; θ°</v>
      </c>
      <c r="BD7" s="30" t="str">
        <f>$R$7</f>
        <v>r</v>
      </c>
      <c r="BE7" s="1126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67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86"/>
      <c r="FK7" s="357" t="s">
        <v>211</v>
      </c>
      <c r="FL7" s="358" t="s">
        <v>212</v>
      </c>
      <c r="FM7" s="359" t="s">
        <v>213</v>
      </c>
      <c r="FN7" s="1021"/>
      <c r="FO7" s="1069"/>
      <c r="FP7" s="106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21"/>
      <c r="FY7" s="1069"/>
      <c r="FZ7" s="1062"/>
      <c r="GA7" s="1064"/>
      <c r="GB7" s="230" t="s">
        <v>232</v>
      </c>
      <c r="GC7" s="136" t="s">
        <v>233</v>
      </c>
      <c r="GD7" s="231" t="s">
        <v>234</v>
      </c>
      <c r="GE7" s="965"/>
      <c r="GF7" s="995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74"/>
      <c r="GP7" s="978"/>
      <c r="GQ7" s="980"/>
      <c r="GR7" s="983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14"/>
      <c r="HJ7" s="34"/>
      <c r="HK7" s="991" t="s">
        <v>246</v>
      </c>
      <c r="HL7" s="991" t="s">
        <v>237</v>
      </c>
      <c r="HM7" s="909" t="s">
        <v>245</v>
      </c>
      <c r="HN7" s="959"/>
      <c r="HO7" s="990"/>
      <c r="HP7" s="1015"/>
      <c r="HQ7" s="399"/>
      <c r="HR7" s="419"/>
      <c r="HS7" s="1008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72" t="s">
        <v>335</v>
      </c>
      <c r="IJ7" s="867"/>
      <c r="IK7" s="867"/>
      <c r="IL7" s="865"/>
      <c r="IM7" s="865"/>
      <c r="IN7" s="865"/>
      <c r="IO7" s="866"/>
      <c r="IP7" s="878" t="s">
        <v>330</v>
      </c>
      <c r="IQ7" s="865"/>
      <c r="IR7" s="865"/>
      <c r="IS7" s="865"/>
      <c r="IT7" s="865"/>
      <c r="IU7" s="878" t="s">
        <v>329</v>
      </c>
      <c r="IV7" s="865"/>
      <c r="IW7" s="865"/>
      <c r="IX7" s="865"/>
      <c r="IY7" s="866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1.1120000000000001</v>
      </c>
      <c r="N8" s="477"/>
      <c r="O8" s="478"/>
      <c r="P8" s="479"/>
      <c r="Q8" s="643">
        <f>IFERROR(INDEX(Q$9:Q$150,MATCH($M$8,$M$9:$M$150,0)),"")</f>
        <v>89.988000001732587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-0.20410061556745657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64"/>
      <c r="AT8" s="1162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28"/>
      <c r="HL8" s="1028"/>
      <c r="HM8" s="921"/>
      <c r="HN8" s="960"/>
      <c r="HO8" s="962"/>
      <c r="HP8" s="1016"/>
      <c r="HQ8" s="400" t="s">
        <v>49</v>
      </c>
      <c r="HR8" s="420" t="s">
        <v>51</v>
      </c>
      <c r="HS8" s="1009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0.34640104474555095</v>
      </c>
      <c r="D9" s="767">
        <v>-0.77660234223266422</v>
      </c>
      <c r="E9" s="768">
        <v>-0.90630781366099955</v>
      </c>
      <c r="F9" s="766">
        <v>-0.10938162473876806</v>
      </c>
      <c r="G9" s="769">
        <v>0.40821784266066358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0.34640104474555095</v>
      </c>
      <c r="P9" s="25">
        <f t="shared" ref="P9:P40" si="5">IF(M9="","",D9)</f>
        <v>-0.77660234223266422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0.34640104474555095</v>
      </c>
      <c r="S9" s="23">
        <f>IF(M9="","",P9)</f>
        <v>-0.77660234223266422</v>
      </c>
      <c r="T9" s="26">
        <f>IF(M9="","",X9*COS(RADIANS(W9)))</f>
        <v>0.34640103714812809</v>
      </c>
      <c r="U9" s="20">
        <f>IF(M9="","",X9*SIN(RADIANS(W9)))</f>
        <v>7.2550054152555353E-5</v>
      </c>
      <c r="V9" s="28">
        <f>IF(M9="","",Y9)</f>
        <v>-0.77660234223266422</v>
      </c>
      <c r="W9" s="620">
        <f t="shared" ref="W9:W14" si="6">IF(M9="","",IF(Q9-$Q$8&lt;0,360+Q9-$Q$8,Q9-$Q$8))</f>
        <v>1.1999998267413048E-2</v>
      </c>
      <c r="X9" s="5">
        <f>IF(M9="","",R9)</f>
        <v>0.34640104474555095</v>
      </c>
      <c r="Y9" s="7">
        <f>IF(M9="","",S9)</f>
        <v>-0.77660234223266422</v>
      </c>
      <c r="Z9" s="24">
        <f t="shared" ref="Z9:Z40" si="7">IF(M9="","",-E9)</f>
        <v>0.90630781366099955</v>
      </c>
      <c r="AA9" s="20">
        <f t="shared" ref="AA9:AA40" si="8">IF(M9="","",-F9)</f>
        <v>0.10938162473876806</v>
      </c>
      <c r="AB9" s="20">
        <f t="shared" ref="AB9:AB40" si="9">IF(M9="","",-G9)</f>
        <v>-0.40821784266066358</v>
      </c>
      <c r="AC9" s="28">
        <f>IF(M9="","",SQRT(Z9^2+AA9^2+AB9^2))</f>
        <v>1</v>
      </c>
      <c r="AD9" s="27">
        <f>IF(M9="","",Z9*(1/SQRT(Z9^2+AA9^2+AB9^2)))</f>
        <v>0.90630781366099955</v>
      </c>
      <c r="AE9" s="20">
        <f>IF(M9="","",AA9*(1/SQRT(Z9^2+AA9^2+AB9^2)))</f>
        <v>0.10938162473876806</v>
      </c>
      <c r="AF9" s="25">
        <f>IF(M9="","",AB9*(1/SQRT(Z9^2+AA9^2+AB9^2)))</f>
        <v>-0.40821784266066358</v>
      </c>
      <c r="AG9" s="618">
        <f>IF(M9="","",DEGREES(ATAN2(-AF9,AE9)))</f>
        <v>14.999997834268264</v>
      </c>
      <c r="AH9" s="619">
        <f>IF(M9="","",DEGREES(ACOS(AD9)))</f>
        <v>24.999996390447112</v>
      </c>
      <c r="AI9" s="620">
        <f>IF(M9="","",DEGREES(-ACOS(-AF9)))</f>
        <v>-65.907068471181375</v>
      </c>
      <c r="AJ9" s="621">
        <f>IF(M9="","",DEGREES(ATAN2(-AE9,AD9)))</f>
        <v>96.881701648961752</v>
      </c>
      <c r="AK9" s="26">
        <f>IF(M9="","",(COS(RADIANS((90-$Q$8)-W9))*AD9)+(-SIN(RADIANS((90-$Q$8)-W9))*AE9))</f>
        <v>0.90630781366099955</v>
      </c>
      <c r="AL9" s="20">
        <f>IF(M9="","",(SIN(RADIANS((90-$Q$8)-W9))*AD9)+(COS(RADIANS((90-$Q$8)-W9))*AE9))</f>
        <v>0.10938162473876806</v>
      </c>
      <c r="AM9" s="23">
        <f>IF(M9="","",AF9)</f>
        <v>-0.40821784266066358</v>
      </c>
      <c r="AN9" s="612">
        <f>IF(M9="","",DEGREES(ATAN2(-AM9,AL9)))</f>
        <v>14.999997834268264</v>
      </c>
      <c r="AO9" s="613">
        <f>IF(ROUND(IF(M9="",0,DEGREES(ACOS(AK9))),4)=90,0,IF(M9="","",DEGREES(ACOS(AK9))))</f>
        <v>24.999996390447112</v>
      </c>
      <c r="AP9" s="640">
        <f>IF(M9="","",DEGREES(ATAN2(AK9,AL9)))</f>
        <v>6.8817016489617533</v>
      </c>
      <c r="AQ9" s="641">
        <f t="shared" ref="AQ9:AQ40" si="10">IF(M9="","",DEGREES(ATAN(($AS$5*SIN(RADIANS(90)))/(($X9*2*PI())-($AS$5*COS(RADIANS(90)))))))</f>
        <v>31.999444031383312</v>
      </c>
      <c r="AS9" s="55">
        <f>IF(M9="","",W9)</f>
        <v>1.1999998267413048E-2</v>
      </c>
      <c r="AT9" s="76">
        <f t="shared" ref="AT9:AT40" si="11">IF(M9="","",Y9+(((AS9-$AS$9)*$AS$6)*-1))</f>
        <v>-0.77660234223266422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0</v>
      </c>
      <c r="C10" s="771">
        <v>1.0586031927472295</v>
      </c>
      <c r="D10" s="772">
        <v>-0.58580176677812856</v>
      </c>
      <c r="E10" s="773">
        <v>-0.92718387533450819</v>
      </c>
      <c r="F10" s="771">
        <v>-9.6955293815894641E-2</v>
      </c>
      <c r="G10" s="774">
        <v>0.36184213729298681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855" t="s">
        <v>376</v>
      </c>
      <c r="M10" s="173">
        <f t="shared" si="2"/>
        <v>1.1040000000000001</v>
      </c>
      <c r="N10" s="21">
        <f t="shared" si="3"/>
        <v>0</v>
      </c>
      <c r="O10" s="5">
        <f t="shared" si="4"/>
        <v>1.0586031927472295</v>
      </c>
      <c r="P10" s="10">
        <f t="shared" si="5"/>
        <v>-0.58580176677812856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1.0586031927472295</v>
      </c>
      <c r="S10" s="6">
        <f t="shared" ref="S10:S105" si="84">IF(M10="","",P10)</f>
        <v>-0.58580176677812856</v>
      </c>
      <c r="T10" s="4">
        <f t="shared" ref="T10:T105" si="85">IF(M10="","",X10*COS(RADIANS(W10)))</f>
        <v>1.0586031695294702</v>
      </c>
      <c r="U10" s="5">
        <f t="shared" ref="U10:U105" si="86">IF(M10="","",X10*SIN(RADIANS(W10)))</f>
        <v>2.2171330059438541E-4</v>
      </c>
      <c r="V10" s="8">
        <f>IF(M10="","",Y10)</f>
        <v>-0.58580176677812856</v>
      </c>
      <c r="W10" s="624">
        <f t="shared" si="6"/>
        <v>1.1999998267413048E-2</v>
      </c>
      <c r="X10" s="5">
        <f t="shared" ref="X10:X105" si="87">IF(M10="","",R10)</f>
        <v>1.0586031927472295</v>
      </c>
      <c r="Y10" s="7">
        <f>IF(M10="","",S10)</f>
        <v>-0.58580176677812856</v>
      </c>
      <c r="Z10" s="21">
        <f t="shared" si="7"/>
        <v>0.92718387533450819</v>
      </c>
      <c r="AA10" s="5">
        <f t="shared" si="8"/>
        <v>9.6955293815894641E-2</v>
      </c>
      <c r="AB10" s="5">
        <f t="shared" si="9"/>
        <v>-0.36184213729298681</v>
      </c>
      <c r="AC10" s="8">
        <f t="shared" ref="AC10:AC105" si="88">IF(M10="","",SQRT(Z10^2+AA10^2+AB10^2))</f>
        <v>1</v>
      </c>
      <c r="AD10" s="9">
        <f>IF(M10="","",Z10*(1/SQRT(Z10^2+AA10^2+AB10^2)))</f>
        <v>0.92718387533450819</v>
      </c>
      <c r="AE10" s="5">
        <f t="shared" ref="AE10:AE105" si="89">IF(M10="","",AA10*(1/SQRT(Z10^2+AA10^2+AB10^2)))</f>
        <v>9.6955293815894641E-2</v>
      </c>
      <c r="AF10" s="10">
        <f t="shared" ref="AF10:AF105" si="90">IF(M10="","",AB10*(1/SQRT(Z10^2+AA10^2+AB10^2)))</f>
        <v>-0.36184213729298681</v>
      </c>
      <c r="AG10" s="622">
        <f t="shared" ref="AG10:AG105" si="91">IF(M10="","",DEGREES(ATAN2(-AF10,AE10)))</f>
        <v>14.999997834268271</v>
      </c>
      <c r="AH10" s="623">
        <f t="shared" ref="AH10:AH105" si="92">IF(M10="","",DEGREES(ACOS(AD10)))</f>
        <v>21.999996823593456</v>
      </c>
      <c r="AI10" s="624">
        <f t="shared" ref="AI10:AI105" si="93">IF(M10="","",DEGREES(-ACOS(-AF10)))</f>
        <v>-68.786628843697031</v>
      </c>
      <c r="AJ10" s="625">
        <f t="shared" ref="AJ10:AJ105" si="94">IF(M10="","",DEGREES(ATAN2(-AE10,AD10)))</f>
        <v>95.969703533182624</v>
      </c>
      <c r="AK10" s="4">
        <f>IF(M10="","",(COS(RADIANS((90-$Q$8)-W10))*AD10)+(-SIN(RADIANS((90-$Q$8)-W10))*AE10))</f>
        <v>0.92718387533450819</v>
      </c>
      <c r="AL10" s="5">
        <f t="shared" ref="AL10:AL105" si="95">IF(M10="","",(SIN(RADIANS((90-$Q$8)-W10))*AD10)+(COS(RADIANS((90-$Q$8)-W10))*AE10))</f>
        <v>9.6955293815894641E-2</v>
      </c>
      <c r="AM10" s="6">
        <f t="shared" ref="AM10:AM105" si="96">IF(M10="","",AF10)</f>
        <v>-0.36184213729298681</v>
      </c>
      <c r="AN10" s="612">
        <f t="shared" ref="AN10:AN105" si="97">IF(M10="","",DEGREES(ATAN2(-AM10,AL10)))</f>
        <v>14.999997834268271</v>
      </c>
      <c r="AO10" s="613">
        <f t="shared" ref="AO10:AO54" si="98">IF(ROUND(IF(M10="",0,DEGREES(ACOS(AK10))),4)=90,0,IF(M10="","",DEGREES(ACOS(AK10))))</f>
        <v>21.999996823593456</v>
      </c>
      <c r="AP10" s="624">
        <f t="shared" ref="AP10:AP105" si="99">IF(M10="","",DEGREES(ATAN2(AK10,AL10)))</f>
        <v>5.969703533182626</v>
      </c>
      <c r="AQ10" s="625">
        <f t="shared" si="10"/>
        <v>11.555883855432279</v>
      </c>
      <c r="AS10" s="56">
        <f>IF($M10="","",IF(AND($W10&lt;($AS$9+180),$W10&gt;($AS$9-180)),$W10,IF($W10&gt;($AS$9+180),$W10-360,IF($W10&lt;($AS$9-180),$W10+360,"Error"))))</f>
        <v>1.1999998267413048E-2</v>
      </c>
      <c r="AT10" s="77">
        <f t="shared" si="11"/>
        <v>-0.58580176677812856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0</v>
      </c>
      <c r="C11" s="771">
        <v>1.7709053410505087</v>
      </c>
      <c r="D11" s="772">
        <v>-0.39490119102199212</v>
      </c>
      <c r="E11" s="773">
        <v>-0.92718387533450819</v>
      </c>
      <c r="F11" s="771">
        <v>-9.6955293815894628E-2</v>
      </c>
      <c r="G11" s="774">
        <v>0.36184213729298681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856" cm="1">
        <f t="array" ref="L11">MIN(IF(ISNUMBER($II9:$II150),IF(ISNUMBER($IF9:$IF150),"",IF(ISNUMBER(VALUE($K9:$K150)),IF(ISNUMBER($IE9:$IE150),$IO9:$IO150,""),"")),""))</f>
        <v>20</v>
      </c>
      <c r="M11" s="173">
        <f t="shared" si="2"/>
        <v>1.107</v>
      </c>
      <c r="N11" s="21">
        <f t="shared" si="3"/>
        <v>0</v>
      </c>
      <c r="O11" s="5">
        <f t="shared" si="4"/>
        <v>1.7709053410505087</v>
      </c>
      <c r="P11" s="10">
        <f t="shared" si="5"/>
        <v>-0.39490119102199212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1.7709053410505087</v>
      </c>
      <c r="S11" s="6">
        <f t="shared" si="84"/>
        <v>-0.39490119102199212</v>
      </c>
      <c r="T11" s="4">
        <f t="shared" si="85"/>
        <v>1.7709053022102197</v>
      </c>
      <c r="U11" s="5">
        <f t="shared" si="86"/>
        <v>3.7089749104722943E-4</v>
      </c>
      <c r="V11" s="8">
        <f t="shared" ref="V11:V105" si="117">IF(M11="","",Y11)</f>
        <v>-0.39490119102199212</v>
      </c>
      <c r="W11" s="624">
        <f t="shared" si="6"/>
        <v>1.1999998267413048E-2</v>
      </c>
      <c r="X11" s="5">
        <f>IF(M11="","",R11)</f>
        <v>1.7709053410505087</v>
      </c>
      <c r="Y11" s="7">
        <f>IF(M11="","",S11)</f>
        <v>-0.39490119102199212</v>
      </c>
      <c r="Z11" s="21">
        <f t="shared" si="7"/>
        <v>0.92718387533450819</v>
      </c>
      <c r="AA11" s="5">
        <f t="shared" si="8"/>
        <v>9.6955293815894628E-2</v>
      </c>
      <c r="AB11" s="5">
        <f t="shared" si="9"/>
        <v>-0.36184213729298681</v>
      </c>
      <c r="AC11" s="8">
        <f t="shared" si="88"/>
        <v>1</v>
      </c>
      <c r="AD11" s="9">
        <f t="shared" ref="AD11:AD105" si="118">IF(M11="","",Z11*(1/SQRT(Z11^2+AA11^2+AB11^2)))</f>
        <v>0.92718387533450819</v>
      </c>
      <c r="AE11" s="5">
        <f t="shared" si="89"/>
        <v>9.6955293815894628E-2</v>
      </c>
      <c r="AF11" s="10">
        <f t="shared" si="90"/>
        <v>-0.36184213729298681</v>
      </c>
      <c r="AG11" s="622">
        <f>IF(M11="","",DEGREES(ATAN2(-AF11,AE11)))</f>
        <v>14.999997834268267</v>
      </c>
      <c r="AH11" s="623">
        <f t="shared" si="92"/>
        <v>21.999996823593456</v>
      </c>
      <c r="AI11" s="624">
        <f t="shared" si="93"/>
        <v>-68.786628843697031</v>
      </c>
      <c r="AJ11" s="625">
        <f t="shared" si="94"/>
        <v>95.969703533182624</v>
      </c>
      <c r="AK11" s="4">
        <f>IF(M11="","",(COS(RADIANS((90-$Q$8)-W11))*AD11)+(-SIN(RADIANS((90-$Q$8)-W11))*AE11))</f>
        <v>0.92718387533450819</v>
      </c>
      <c r="AL11" s="5">
        <f t="shared" si="95"/>
        <v>9.6955293815894628E-2</v>
      </c>
      <c r="AM11" s="6">
        <f t="shared" si="96"/>
        <v>-0.36184213729298681</v>
      </c>
      <c r="AN11" s="612">
        <f>IF(M11="","",DEGREES(ATAN2(-AM11,AL11)))</f>
        <v>14.999997834268267</v>
      </c>
      <c r="AO11" s="613">
        <f>IF(ROUND(IF(M11="",0,DEGREES(ACOS(AK11))),4)=90,0,IF(M11="","",DEGREES(ACOS(AK11))))</f>
        <v>21.999996823593456</v>
      </c>
      <c r="AP11" s="624">
        <f t="shared" si="99"/>
        <v>5.969703533182626</v>
      </c>
      <c r="AQ11" s="625">
        <f t="shared" si="10"/>
        <v>6.9684714849940361</v>
      </c>
      <c r="AS11" s="56">
        <f t="shared" ref="AS11:AS42" si="119">IF(G11="","",IF(AND(W11&lt;(AS10+180),W11&gt;(AS10-180)),W11,IF(W11&gt;(AS10+180),W11-360,IF(W11&lt;(AS10-180),W11+360,"Error"))))</f>
        <v>1.1999998267413048E-2</v>
      </c>
      <c r="AT11" s="77">
        <f t="shared" si="11"/>
        <v>-0.39490119102199212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5.2006073748912742E-4</v>
      </c>
      <c r="C12" s="771">
        <v>2.4831074345915618</v>
      </c>
      <c r="D12" s="772">
        <v>-0.20410061556745657</v>
      </c>
      <c r="E12" s="773">
        <v>-0.92716789685091727</v>
      </c>
      <c r="F12" s="771">
        <v>-8.221477582026171E-2</v>
      </c>
      <c r="G12" s="774">
        <v>0.36551391449009291</v>
      </c>
      <c r="H12" s="773">
        <v>0.314</v>
      </c>
      <c r="I12" s="771">
        <v>0.52</v>
      </c>
      <c r="J12" s="601">
        <v>1.1120000000000001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1.1120000000000001</v>
      </c>
      <c r="N12" s="21">
        <f t="shared" si="3"/>
        <v>5.2006073748912742E-4</v>
      </c>
      <c r="O12" s="5">
        <f t="shared" si="4"/>
        <v>2.4831074345915618</v>
      </c>
      <c r="P12" s="10">
        <f t="shared" si="5"/>
        <v>-0.20410061556745657</v>
      </c>
      <c r="Q12" s="624">
        <f>IF(M12="","",IF(DEGREES(ATAN2(N12,O12))&lt;0,DEGREES(ATAN2(N12,O12))+360,IF(DEGREES(ATAN2(N12,O12))&gt;360,DEGREES(ATAN2(N12,O12))-360,DEGREES(ATAN2(N12,O12)))))</f>
        <v>89.988000001732587</v>
      </c>
      <c r="R12" s="5">
        <f t="shared" si="83"/>
        <v>2.4831074890521871</v>
      </c>
      <c r="S12" s="6">
        <f t="shared" si="84"/>
        <v>-0.20410061556745657</v>
      </c>
      <c r="T12" s="4">
        <f>IF(M12="","",X12*COS(RADIANS(W12)))</f>
        <v>2.4831074890521871</v>
      </c>
      <c r="U12" s="5">
        <f t="shared" si="86"/>
        <v>0</v>
      </c>
      <c r="V12" s="8">
        <f t="shared" si="117"/>
        <v>-0.20410061556745657</v>
      </c>
      <c r="W12" s="624">
        <f>IF(M12="","",IF(Q12-$Q$8&lt;0,360+Q12-$Q$8,Q12-$Q$8))</f>
        <v>0</v>
      </c>
      <c r="X12" s="5">
        <f t="shared" si="87"/>
        <v>2.4831074890521871</v>
      </c>
      <c r="Y12" s="7">
        <f>IF(M12="","",S12)</f>
        <v>-0.20410061556745657</v>
      </c>
      <c r="Z12" s="21">
        <f t="shared" si="7"/>
        <v>0.92716789685091727</v>
      </c>
      <c r="AA12" s="5">
        <f t="shared" si="8"/>
        <v>8.221477582026171E-2</v>
      </c>
      <c r="AB12" s="5">
        <f t="shared" si="9"/>
        <v>-0.36551391449009291</v>
      </c>
      <c r="AC12" s="8">
        <f t="shared" si="88"/>
        <v>1</v>
      </c>
      <c r="AD12" s="9">
        <f t="shared" si="118"/>
        <v>0.92716789685091727</v>
      </c>
      <c r="AE12" s="5">
        <f t="shared" si="89"/>
        <v>8.221477582026171E-2</v>
      </c>
      <c r="AF12" s="10">
        <f t="shared" si="90"/>
        <v>-0.36551391449009291</v>
      </c>
      <c r="AG12" s="622">
        <f t="shared" si="91"/>
        <v>12.676525857116513</v>
      </c>
      <c r="AH12" s="623">
        <f t="shared" si="92"/>
        <v>22.00244059125286</v>
      </c>
      <c r="AI12" s="624">
        <f t="shared" si="93"/>
        <v>-68.560786703462497</v>
      </c>
      <c r="AJ12" s="625">
        <f t="shared" si="94"/>
        <v>95.067336109067654</v>
      </c>
      <c r="AK12" s="4">
        <f t="shared" ref="AK12:AK105" si="213">IF(M12="","",(COS(RADIANS((90-$Q$8)-W12))*AD12)+(-SIN(RADIANS((90-$Q$8)-W12))*AE12))</f>
        <v>0.9271506574960855</v>
      </c>
      <c r="AL12" s="5">
        <f>IF(M12="","",(SIN(RADIANS((90-$Q$8)-W12))*AD12)+(COS(RADIANS((90-$Q$8)-W12))*AE12))</f>
        <v>8.2408959577859903E-2</v>
      </c>
      <c r="AM12" s="6">
        <f t="shared" si="96"/>
        <v>-0.36551391449009291</v>
      </c>
      <c r="AN12" s="612">
        <f>IF(M12="","",DEGREES(ATAN2(-AM12,AL12)))</f>
        <v>12.705495798224728</v>
      </c>
      <c r="AO12" s="613">
        <f t="shared" si="98"/>
        <v>22.00507690875839</v>
      </c>
      <c r="AP12" s="624">
        <f t="shared" si="99"/>
        <v>5.0793361073350587</v>
      </c>
      <c r="AQ12" s="625">
        <f t="shared" si="10"/>
        <v>4.9818398741229899</v>
      </c>
      <c r="AS12" s="56">
        <f t="shared" si="119"/>
        <v>0</v>
      </c>
      <c r="AT12" s="77">
        <f>IF(M12="","",Y12+(((AS12-$AS$9)*$AS$6)*-1))</f>
        <v>-0.20405528224066857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1.1120000000000001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2.9886804087107061E-2</v>
      </c>
      <c r="C13" s="771">
        <v>3.2740734696399514</v>
      </c>
      <c r="D13" s="772">
        <v>-7.9300239169521336E-2</v>
      </c>
      <c r="E13" s="773">
        <v>-0.96383133338914595</v>
      </c>
      <c r="F13" s="771">
        <v>6.5231915103088942E-2</v>
      </c>
      <c r="G13" s="774">
        <v>0.25840657505041259</v>
      </c>
      <c r="H13" s="773">
        <v>0.314</v>
      </c>
      <c r="I13" s="771">
        <v>0.52</v>
      </c>
      <c r="J13" s="601">
        <v>1.119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2"/>
        <v>1.119</v>
      </c>
      <c r="N13" s="21">
        <f t="shared" si="3"/>
        <v>2.9886804087107061E-2</v>
      </c>
      <c r="O13" s="5">
        <f t="shared" si="4"/>
        <v>3.2740734696399514</v>
      </c>
      <c r="P13" s="10">
        <f t="shared" si="5"/>
        <v>-7.9300239169521336E-2</v>
      </c>
      <c r="Q13" s="624">
        <f t="shared" si="116"/>
        <v>89.477000075511853</v>
      </c>
      <c r="R13" s="5">
        <f t="shared" si="83"/>
        <v>3.2742098750169837</v>
      </c>
      <c r="S13" s="6">
        <f t="shared" si="84"/>
        <v>-7.9300239169521336E-2</v>
      </c>
      <c r="T13" s="4">
        <f>IF(M13="","",X13*COS(RADIANS(W13)))</f>
        <v>3.274079657308167</v>
      </c>
      <c r="U13" s="5">
        <f t="shared" si="86"/>
        <v>-2.9201083191664982E-2</v>
      </c>
      <c r="V13" s="8">
        <f t="shared" si="117"/>
        <v>-7.9300239169521336E-2</v>
      </c>
      <c r="W13" s="624">
        <f t="shared" si="6"/>
        <v>359.48900007377927</v>
      </c>
      <c r="X13" s="5">
        <f t="shared" si="87"/>
        <v>3.2742098750169837</v>
      </c>
      <c r="Y13" s="7">
        <f>IF(M13="","",S13)</f>
        <v>-7.9300239169521336E-2</v>
      </c>
      <c r="Z13" s="21">
        <f t="shared" si="7"/>
        <v>0.96383133338914595</v>
      </c>
      <c r="AA13" s="5">
        <f t="shared" si="8"/>
        <v>-6.5231915103088942E-2</v>
      </c>
      <c r="AB13" s="5">
        <f t="shared" si="9"/>
        <v>-0.25840657505041259</v>
      </c>
      <c r="AC13" s="8">
        <f t="shared" si="88"/>
        <v>1</v>
      </c>
      <c r="AD13" s="9">
        <f>IF(M13="","",Z13*(1/SQRT(Z13^2+AA13^2+AB13^2)))</f>
        <v>0.96383133338914595</v>
      </c>
      <c r="AE13" s="5">
        <f t="shared" si="89"/>
        <v>-6.5231915103088942E-2</v>
      </c>
      <c r="AF13" s="10">
        <f t="shared" si="90"/>
        <v>-0.25840657505041259</v>
      </c>
      <c r="AG13" s="622">
        <f>IF(M13="","",DEGREES(ATAN2(-AF13,AE13)))</f>
        <v>-14.167695638531635</v>
      </c>
      <c r="AH13" s="623">
        <f t="shared" si="92"/>
        <v>15.456872854110559</v>
      </c>
      <c r="AI13" s="624">
        <f t="shared" si="93"/>
        <v>-75.024465069016102</v>
      </c>
      <c r="AJ13" s="625">
        <f t="shared" si="94"/>
        <v>86.128137466900952</v>
      </c>
      <c r="AK13" s="4">
        <f t="shared" si="213"/>
        <v>0.96438661290997296</v>
      </c>
      <c r="AL13" s="5">
        <f t="shared" si="95"/>
        <v>-5.6431399156369924E-2</v>
      </c>
      <c r="AM13" s="6">
        <f t="shared" si="96"/>
        <v>-0.25840657505041259</v>
      </c>
      <c r="AN13" s="612">
        <f t="shared" si="97"/>
        <v>-12.318975285068788</v>
      </c>
      <c r="AO13" s="613">
        <f t="shared" si="98"/>
        <v>15.3370439003732</v>
      </c>
      <c r="AP13" s="624">
        <f t="shared" si="99"/>
        <v>-3.3488626086108804</v>
      </c>
      <c r="AQ13" s="625">
        <f t="shared" si="10"/>
        <v>3.7821930881255419</v>
      </c>
      <c r="AS13" s="56">
        <f t="shared" si="119"/>
        <v>-0.51099992622073387</v>
      </c>
      <c r="AT13" s="77">
        <f t="shared" si="11"/>
        <v>-7.7324461677010556E-2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1.119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0.1043322678153653</v>
      </c>
      <c r="C14" s="771">
        <v>4.0628728817476167</v>
      </c>
      <c r="D14" s="772">
        <v>-0.20620062190107566</v>
      </c>
      <c r="E14" s="773">
        <v>-0.95742260466122997</v>
      </c>
      <c r="F14" s="771">
        <v>0.16701375894452158</v>
      </c>
      <c r="G14" s="774">
        <v>0.23547475534954376</v>
      </c>
      <c r="H14" s="773">
        <v>0.314</v>
      </c>
      <c r="I14" s="771">
        <v>0.52</v>
      </c>
      <c r="J14" s="601">
        <v>1.1259999999999999</v>
      </c>
      <c r="K14" s="426" t="str">
        <f t="shared" si="225"/>
        <v>1613</v>
      </c>
      <c r="L14" s="327"/>
      <c r="M14" s="173">
        <f t="shared" si="2"/>
        <v>1.1259999999999999</v>
      </c>
      <c r="N14" s="21">
        <f t="shared" si="3"/>
        <v>0.1043322678153653</v>
      </c>
      <c r="O14" s="5">
        <f t="shared" si="4"/>
        <v>4.0628728817476167</v>
      </c>
      <c r="P14" s="10">
        <f t="shared" si="5"/>
        <v>-0.20620062190107566</v>
      </c>
      <c r="Q14" s="624">
        <f t="shared" si="116"/>
        <v>88.529000212386094</v>
      </c>
      <c r="R14" s="5">
        <f t="shared" si="83"/>
        <v>4.0642122576641695</v>
      </c>
      <c r="S14" s="6">
        <f t="shared" si="84"/>
        <v>-0.20620062190107566</v>
      </c>
      <c r="T14" s="4">
        <f t="shared" si="85"/>
        <v>4.0628946439346292</v>
      </c>
      <c r="U14" s="5">
        <f t="shared" si="86"/>
        <v>-0.10348133954966608</v>
      </c>
      <c r="V14" s="8">
        <f t="shared" si="117"/>
        <v>-0.20620062190107566</v>
      </c>
      <c r="W14" s="624">
        <f t="shared" si="6"/>
        <v>358.54100021065352</v>
      </c>
      <c r="X14" s="5">
        <f t="shared" si="87"/>
        <v>4.0642122576641695</v>
      </c>
      <c r="Y14" s="7">
        <f t="shared" ref="Y14:Y75" si="226">IF(M14="","",S14)</f>
        <v>-0.20620062190107566</v>
      </c>
      <c r="Z14" s="21">
        <f t="shared" si="7"/>
        <v>0.95742260466122997</v>
      </c>
      <c r="AA14" s="5">
        <f t="shared" si="8"/>
        <v>-0.16701375894452158</v>
      </c>
      <c r="AB14" s="5">
        <f t="shared" si="9"/>
        <v>-0.23547475534954376</v>
      </c>
      <c r="AC14" s="8">
        <f t="shared" si="88"/>
        <v>1</v>
      </c>
      <c r="AD14" s="9">
        <f>IF(M14="","",Z14*(1/SQRT(Z14^2+AA14^2+AB14^2)))</f>
        <v>0.95742260466122997</v>
      </c>
      <c r="AE14" s="5">
        <f t="shared" si="89"/>
        <v>-0.16701375894452158</v>
      </c>
      <c r="AF14" s="10">
        <f t="shared" si="90"/>
        <v>-0.23547475534954376</v>
      </c>
      <c r="AG14" s="622">
        <f t="shared" si="91"/>
        <v>-35.346704321788899</v>
      </c>
      <c r="AH14" s="623">
        <f t="shared" si="92"/>
        <v>16.77954862496404</v>
      </c>
      <c r="AI14" s="624">
        <f t="shared" si="93"/>
        <v>-76.380390379583048</v>
      </c>
      <c r="AJ14" s="625">
        <f t="shared" si="94"/>
        <v>80.104833922256901</v>
      </c>
      <c r="AK14" s="4">
        <f>IF(M14="","",(COS(RADIANS((90-$Q$8)-W14))*AD14)+(-SIN(RADIANS((90-$Q$8)-W14))*AE14))</f>
        <v>0.96139448763017765</v>
      </c>
      <c r="AL14" s="5">
        <f t="shared" si="95"/>
        <v>-0.14238075272796089</v>
      </c>
      <c r="AM14" s="6">
        <f t="shared" si="96"/>
        <v>-0.23547475534954376</v>
      </c>
      <c r="AN14" s="612">
        <f t="shared" si="97"/>
        <v>-31.159423548486188</v>
      </c>
      <c r="AO14" s="613">
        <f t="shared" si="98"/>
        <v>15.972373824333127</v>
      </c>
      <c r="AP14" s="624">
        <f>IF(M14="","",DEGREES(ATAN2(AK14,AL14)))</f>
        <v>-8.4241662901291914</v>
      </c>
      <c r="AQ14" s="625">
        <f t="shared" si="10"/>
        <v>3.0485630815294895</v>
      </c>
      <c r="AS14" s="56">
        <f t="shared" si="119"/>
        <v>-1.4589997893464783</v>
      </c>
      <c r="AT14" s="77">
        <f t="shared" si="11"/>
        <v>-0.20064351159231206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1.1259999999999999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0.20980797268023002</v>
      </c>
      <c r="C15" s="771">
        <v>4.7691015677708721</v>
      </c>
      <c r="D15" s="772">
        <v>-0.5762017378244414</v>
      </c>
      <c r="E15" s="773">
        <v>-0.94747351809621527</v>
      </c>
      <c r="F15" s="771">
        <v>0.25534609627798882</v>
      </c>
      <c r="G15" s="774">
        <v>0.19259362300443134</v>
      </c>
      <c r="H15" s="773">
        <v>0.314</v>
      </c>
      <c r="I15" s="771">
        <v>0.52</v>
      </c>
      <c r="J15" s="601">
        <v>1.133</v>
      </c>
      <c r="K15" s="426" t="str">
        <f t="shared" si="225"/>
        <v>1613</v>
      </c>
      <c r="L15" s="327"/>
      <c r="M15" s="173">
        <f t="shared" si="2"/>
        <v>1.133</v>
      </c>
      <c r="N15" s="21">
        <f t="shared" si="3"/>
        <v>0.20980797268023002</v>
      </c>
      <c r="O15" s="5">
        <f t="shared" si="4"/>
        <v>4.7691015677708721</v>
      </c>
      <c r="P15" s="10">
        <f t="shared" si="5"/>
        <v>-0.5762017378244414</v>
      </c>
      <c r="Q15" s="624">
        <f t="shared" si="116"/>
        <v>87.481000363698556</v>
      </c>
      <c r="R15" s="5">
        <f t="shared" si="83"/>
        <v>4.7737143975226228</v>
      </c>
      <c r="S15" s="6">
        <f t="shared" si="84"/>
        <v>-0.5762017378244414</v>
      </c>
      <c r="T15" s="4">
        <f t="shared" si="85"/>
        <v>4.7691454052451778</v>
      </c>
      <c r="U15" s="5">
        <f t="shared" si="86"/>
        <v>-0.20880912993350606</v>
      </c>
      <c r="V15" s="8">
        <f t="shared" si="117"/>
        <v>-0.5762017378244414</v>
      </c>
      <c r="W15" s="624">
        <f t="shared" ref="W15:W78" si="227">IF(M15="","",IF(Q15-$Q$8&lt;0,360+Q15-$Q$8,Q15-$Q$8))</f>
        <v>357.49300036196598</v>
      </c>
      <c r="X15" s="5">
        <f>IF(M15="","",R15)</f>
        <v>4.7737143975226228</v>
      </c>
      <c r="Y15" s="7">
        <f>IF(M15="","",S15)</f>
        <v>-0.5762017378244414</v>
      </c>
      <c r="Z15" s="21">
        <f t="shared" si="7"/>
        <v>0.94747351809621527</v>
      </c>
      <c r="AA15" s="5">
        <f t="shared" si="8"/>
        <v>-0.25534609627798882</v>
      </c>
      <c r="AB15" s="5">
        <f t="shared" si="9"/>
        <v>-0.19259362300443134</v>
      </c>
      <c r="AC15" s="8">
        <f t="shared" si="88"/>
        <v>1</v>
      </c>
      <c r="AD15" s="9">
        <f t="shared" si="118"/>
        <v>0.94747351809621527</v>
      </c>
      <c r="AE15" s="5">
        <f t="shared" si="89"/>
        <v>-0.25534609627798882</v>
      </c>
      <c r="AF15" s="10">
        <f t="shared" si="90"/>
        <v>-0.19259362300443134</v>
      </c>
      <c r="AG15" s="622">
        <f t="shared" si="91"/>
        <v>-52.974742842682261</v>
      </c>
      <c r="AH15" s="623">
        <f t="shared" si="92"/>
        <v>18.652899911783233</v>
      </c>
      <c r="AI15" s="624">
        <f t="shared" si="93"/>
        <v>-78.895816086924569</v>
      </c>
      <c r="AJ15" s="625">
        <f t="shared" si="94"/>
        <v>74.917017791514652</v>
      </c>
      <c r="AK15" s="4">
        <f t="shared" si="213"/>
        <v>0.95778060994573189</v>
      </c>
      <c r="AL15" s="5">
        <f t="shared" si="95"/>
        <v>-0.21345725471393295</v>
      </c>
      <c r="AM15" s="6">
        <f t="shared" si="96"/>
        <v>-0.19259362300443134</v>
      </c>
      <c r="AN15" s="612">
        <f>IF(M15="","",DEGREES(ATAN2(-AM15,AL15)))</f>
        <v>-47.941374553067661</v>
      </c>
      <c r="AO15" s="613">
        <f t="shared" si="98"/>
        <v>16.708349251681035</v>
      </c>
      <c r="AP15" s="624">
        <f t="shared" si="99"/>
        <v>-12.563982572183889</v>
      </c>
      <c r="AQ15" s="625">
        <f t="shared" si="10"/>
        <v>2.5961386369795472</v>
      </c>
      <c r="AS15" s="56">
        <f t="shared" si="119"/>
        <v>-2.5069996380340172</v>
      </c>
      <c r="AT15" s="77">
        <f t="shared" si="11"/>
        <v>-0.56668551697619152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1.133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8"/>
        <v/>
      </c>
      <c r="IK15" s="839" t="str">
        <f t="shared" si="69"/>
        <v/>
      </c>
      <c r="IL15" s="791" t="str">
        <f t="shared" si="70"/>
        <v/>
      </c>
      <c r="IM15" s="830"/>
      <c r="IN15" s="5" t="str">
        <f t="shared" si="71"/>
        <v/>
      </c>
      <c r="IO15" s="852"/>
      <c r="IP15" s="9" t="str">
        <f t="shared" si="72"/>
        <v/>
      </c>
      <c r="IQ15" s="5" t="str">
        <f t="shared" si="73"/>
        <v/>
      </c>
      <c r="IR15" s="5" t="str">
        <f t="shared" si="74"/>
        <v/>
      </c>
      <c r="IS15" s="5" t="str">
        <f t="shared" si="75"/>
        <v/>
      </c>
      <c r="IT15" s="791" t="str">
        <f t="shared" si="76"/>
        <v/>
      </c>
      <c r="IU15" s="9" t="str">
        <f t="shared" si="77"/>
        <v/>
      </c>
      <c r="IV15" s="5" t="str">
        <f t="shared" si="78"/>
        <v/>
      </c>
      <c r="IW15" s="5" t="str">
        <f t="shared" si="79"/>
        <v/>
      </c>
      <c r="IX15" s="5" t="str">
        <f t="shared" si="80"/>
        <v/>
      </c>
      <c r="IY15" s="833" t="str">
        <f t="shared" si="81"/>
        <v/>
      </c>
    </row>
    <row r="16" spans="1:259" ht="15" customHeight="1" x14ac:dyDescent="0.25">
      <c r="A16" s="84">
        <f t="shared" si="82"/>
        <v>0.02</v>
      </c>
      <c r="B16" s="770">
        <v>0.31823372189272375</v>
      </c>
      <c r="C16" s="771">
        <v>5.3204071897816512</v>
      </c>
      <c r="D16" s="772">
        <v>-1.1514034726328735</v>
      </c>
      <c r="E16" s="773">
        <v>-0.93685327538150442</v>
      </c>
      <c r="F16" s="771">
        <v>0.32196143304214603</v>
      </c>
      <c r="G16" s="774">
        <v>0.13655319857255235</v>
      </c>
      <c r="H16" s="773">
        <v>0.314</v>
      </c>
      <c r="I16" s="771">
        <v>0.52</v>
      </c>
      <c r="J16" s="601">
        <v>1.1399999999999999</v>
      </c>
      <c r="K16" s="426" t="str">
        <f t="shared" si="225"/>
        <v>1613</v>
      </c>
      <c r="L16" s="327"/>
      <c r="M16" s="173">
        <f t="shared" si="2"/>
        <v>1.1399999999999999</v>
      </c>
      <c r="N16" s="21">
        <f t="shared" si="3"/>
        <v>0.31823372189272375</v>
      </c>
      <c r="O16" s="5">
        <f t="shared" si="4"/>
        <v>5.3204071897816512</v>
      </c>
      <c r="P16" s="10">
        <f t="shared" si="5"/>
        <v>-1.1514034726328735</v>
      </c>
      <c r="Q16" s="624">
        <f>IF(M16="","",IF(DEGREES(ATAN2(N16,O16))&lt;0,DEGREES(ATAN2(N16,O16))+360,IF(DEGREES(ATAN2(N16,O16))&gt;360,DEGREES(ATAN2(N16,O16))-360,DEGREES(ATAN2(N16,O16)))))</f>
        <v>86.577000494219988</v>
      </c>
      <c r="R16" s="5">
        <f t="shared" si="83"/>
        <v>5.3299160750268841</v>
      </c>
      <c r="S16" s="6">
        <f t="shared" si="84"/>
        <v>-1.1514034726328735</v>
      </c>
      <c r="T16" s="4">
        <f t="shared" si="85"/>
        <v>5.3204737237968427</v>
      </c>
      <c r="U16" s="5">
        <f t="shared" si="86"/>
        <v>-0.31711941160601148</v>
      </c>
      <c r="V16" s="8">
        <f t="shared" si="117"/>
        <v>-1.1514034726328735</v>
      </c>
      <c r="W16" s="624">
        <f>IF(M16="","",IF(Q16-$Q$8&lt;0,360+Q16-$Q$8,Q16-$Q$8))</f>
        <v>356.5890004924874</v>
      </c>
      <c r="X16" s="5">
        <f t="shared" si="87"/>
        <v>5.3299160750268841</v>
      </c>
      <c r="Y16" s="7">
        <f t="shared" si="226"/>
        <v>-1.1514034726328735</v>
      </c>
      <c r="Z16" s="21">
        <f t="shared" si="7"/>
        <v>0.93685327538150442</v>
      </c>
      <c r="AA16" s="5">
        <f t="shared" si="8"/>
        <v>-0.32196143304214603</v>
      </c>
      <c r="AB16" s="5">
        <f t="shared" si="9"/>
        <v>-0.13655319857255235</v>
      </c>
      <c r="AC16" s="8">
        <f t="shared" si="88"/>
        <v>1</v>
      </c>
      <c r="AD16" s="9">
        <f t="shared" si="118"/>
        <v>0.93685327538150442</v>
      </c>
      <c r="AE16" s="5">
        <f t="shared" si="89"/>
        <v>-0.32196143304214603</v>
      </c>
      <c r="AF16" s="10">
        <f t="shared" si="90"/>
        <v>-0.13655319857255235</v>
      </c>
      <c r="AG16" s="622">
        <f t="shared" si="91"/>
        <v>-67.016788201348788</v>
      </c>
      <c r="AH16" s="623">
        <f t="shared" si="92"/>
        <v>20.470352834481488</v>
      </c>
      <c r="AI16" s="624">
        <f t="shared" si="93"/>
        <v>-82.151556565997453</v>
      </c>
      <c r="AJ16" s="625">
        <f t="shared" si="94"/>
        <v>71.034070736993129</v>
      </c>
      <c r="AK16" s="4">
        <f t="shared" si="213"/>
        <v>0.95440525059815418</v>
      </c>
      <c r="AL16" s="5">
        <f t="shared" si="95"/>
        <v>-0.2654502619894733</v>
      </c>
      <c r="AM16" s="6">
        <f t="shared" si="96"/>
        <v>-0.13655319857255235</v>
      </c>
      <c r="AN16" s="612">
        <f t="shared" si="97"/>
        <v>-62.777757201599101</v>
      </c>
      <c r="AO16" s="613">
        <f t="shared" si="98"/>
        <v>17.368373314471867</v>
      </c>
      <c r="AP16" s="624">
        <f t="shared" si="99"/>
        <v>-15.542929757226855</v>
      </c>
      <c r="AQ16" s="625">
        <f t="shared" si="10"/>
        <v>2.3255341629715813</v>
      </c>
      <c r="AS16" s="56">
        <f t="shared" si="119"/>
        <v>-3.4109995075125994</v>
      </c>
      <c r="AT16" s="77">
        <f t="shared" si="11"/>
        <v>-1.1384721411665935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1.1399999999999999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8"/>
        <v/>
      </c>
      <c r="IK16" s="839" t="str">
        <f t="shared" si="69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4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9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2"/>
        <v>0.02</v>
      </c>
      <c r="B17" s="770">
        <v>0.39127787093451788</v>
      </c>
      <c r="C17" s="771">
        <v>5.637955882885616</v>
      </c>
      <c r="D17" s="772">
        <v>-1.8801056703987022</v>
      </c>
      <c r="E17" s="773">
        <v>-0.92948919435145094</v>
      </c>
      <c r="F17" s="771">
        <v>0.36096078544499866</v>
      </c>
      <c r="G17" s="774">
        <v>7.5875878609874187E-2</v>
      </c>
      <c r="H17" s="773">
        <v>0.314</v>
      </c>
      <c r="I17" s="771">
        <v>0.52</v>
      </c>
      <c r="J17" s="601">
        <v>1.147</v>
      </c>
      <c r="K17" s="426" t="str">
        <f t="shared" si="225"/>
        <v>1613</v>
      </c>
      <c r="L17" s="861" t="s">
        <v>332</v>
      </c>
      <c r="M17" s="173">
        <f t="shared" si="2"/>
        <v>1.147</v>
      </c>
      <c r="N17" s="21">
        <f t="shared" si="3"/>
        <v>0.39127787093451788</v>
      </c>
      <c r="O17" s="5">
        <f t="shared" si="4"/>
        <v>5.637955882885616</v>
      </c>
      <c r="P17" s="10">
        <f t="shared" si="5"/>
        <v>-1.8801056703987022</v>
      </c>
      <c r="Q17" s="624">
        <f>IF(M17="","",IF(DEGREES(ATAN2(N17,O17))&lt;0,DEGREES(ATAN2(N17,O17))+360,IF(DEGREES(ATAN2(N17,O17))&gt;360,DEGREES(ATAN2(N17,O17))-360,DEGREES(ATAN2(N17,O17)))))</f>
        <v>86.030000573197</v>
      </c>
      <c r="R17" s="5">
        <f>IF(M17="","",SQRT(N17^2+O17^2))</f>
        <v>5.6515170449754084</v>
      </c>
      <c r="S17" s="6">
        <f>IF(M17="","",P17)</f>
        <v>-1.8801056703987022</v>
      </c>
      <c r="T17" s="4">
        <f>IF(M17="","",X17*COS(RADIANS(W17)))</f>
        <v>5.6380377082646671</v>
      </c>
      <c r="U17" s="5">
        <f>IF(M17="","",X17*SIN(RADIANS(W17)))</f>
        <v>-0.39009705181309523</v>
      </c>
      <c r="V17" s="8">
        <f>IF(M17="","",Y17)</f>
        <v>-1.8801056703987022</v>
      </c>
      <c r="W17" s="624">
        <f t="shared" si="227"/>
        <v>356.04200057146443</v>
      </c>
      <c r="X17" s="5">
        <f>IF(M17="","",R17)</f>
        <v>5.6515170449754084</v>
      </c>
      <c r="Y17" s="7">
        <f t="shared" si="226"/>
        <v>-1.8801056703987022</v>
      </c>
      <c r="Z17" s="21">
        <f t="shared" si="7"/>
        <v>0.92948919435145094</v>
      </c>
      <c r="AA17" s="5">
        <f t="shared" si="8"/>
        <v>-0.36096078544499866</v>
      </c>
      <c r="AB17" s="5">
        <f t="shared" si="9"/>
        <v>-7.5875878609874187E-2</v>
      </c>
      <c r="AC17" s="8">
        <f>IF(M17="","",SQRT(Z17^2+AA17^2+AB17^2))</f>
        <v>1</v>
      </c>
      <c r="AD17" s="9">
        <f>IF(M17="","",Z17*(1/SQRT(Z17^2+AA17^2+AB17^2)))</f>
        <v>0.92948919435145094</v>
      </c>
      <c r="AE17" s="5">
        <f>IF(M17="","",AA17*(1/SQRT(Z17^2+AA17^2+AB17^2)))</f>
        <v>-0.36096078544499866</v>
      </c>
      <c r="AF17" s="10">
        <f>IF(M17="","",AB17*(1/SQRT(Z17^2+AA17^2+AB17^2)))</f>
        <v>-7.5875878609874187E-2</v>
      </c>
      <c r="AG17" s="622">
        <f>IF(M17="","",DEGREES(ATAN2(-AF17,AE17)))</f>
        <v>-78.128954071609996</v>
      </c>
      <c r="AH17" s="623">
        <f>IF(M17="","",DEGREES(ACOS(AD17)))</f>
        <v>21.644670759218386</v>
      </c>
      <c r="AI17" s="624">
        <f>IF(M17="","",DEGREES(-ACOS(-AF17)))</f>
        <v>-85.648450137542142</v>
      </c>
      <c r="AJ17" s="625">
        <f>IF(M17="","",DEGREES(ATAN2(-AE17,AD17)))</f>
        <v>68.776659095292246</v>
      </c>
      <c r="AK17" s="4">
        <f>IF(M17="","",(COS(RADIANS((90-$Q$8)-W17))*AD17)+(-SIN(RADIANS((90-$Q$8)-W17))*AE17))</f>
        <v>0.95224963424233322</v>
      </c>
      <c r="AL17" s="5">
        <f>IF(M17="","",(SIN(RADIANS((90-$Q$8)-W17))*AD17)+(COS(RADIANS((90-$Q$8)-W17))*AE17))</f>
        <v>-0.29574226131975495</v>
      </c>
      <c r="AM17" s="6">
        <f>IF(M17="","",AF17)</f>
        <v>-7.5875878609874187E-2</v>
      </c>
      <c r="AN17" s="612">
        <f>IF(M17="","",DEGREES(ATAN2(-AM17,AL17)))</f>
        <v>-75.610510945804862</v>
      </c>
      <c r="AO17" s="613">
        <f t="shared" si="98"/>
        <v>17.777449585258655</v>
      </c>
      <c r="AP17" s="624">
        <f>IF(M17="","",DEGREES(ATAN2(AK17,AL17)))</f>
        <v>-17.253341477904755</v>
      </c>
      <c r="AQ17" s="625">
        <f t="shared" si="10"/>
        <v>2.193332208143346</v>
      </c>
      <c r="AS17" s="56">
        <f t="shared" si="119"/>
        <v>-3.9579994285355724</v>
      </c>
      <c r="AT17" s="77">
        <f t="shared" si="11"/>
        <v>-1.8651078947863353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1.147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8"/>
        <v/>
      </c>
      <c r="IK17" s="839" t="str">
        <f t="shared" si="69"/>
        <v/>
      </c>
      <c r="IL17" s="791" t="str">
        <f t="shared" ref="IL17:IL80" si="228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9">IF(ISNUMBER($II17),(($IO17*12)/60)/$AS$3,"")</f>
        <v/>
      </c>
      <c r="IO17" s="852"/>
      <c r="IP17" s="9" t="str">
        <f t="shared" ref="IP17:IP80" si="230">IF(ISNUMBER($II17),(INDEX($X$9:$X$150,MATCH($II17,$M$9:$M$150,0))*-1),"")</f>
        <v/>
      </c>
      <c r="IQ17" s="5" t="str">
        <f t="shared" ref="IQ17:IQ80" si="231">IF(ISNUMBER($II17),INDEX($Y$9:$Y$150,MATCH($II17,$M$9:$M$150,0)),"")</f>
        <v/>
      </c>
      <c r="IR17" s="5" t="str">
        <f t="shared" si="74"/>
        <v/>
      </c>
      <c r="IS17" s="5" t="str">
        <f t="shared" ref="IS17:IS80" si="232">IF(ISNUMBER($II17),$IR17*COS(RADIANS(INDEX($AO$9:$AO$150,MATCH($II17,$M$9:$M$150,0)))),"")</f>
        <v/>
      </c>
      <c r="IT17" s="791" t="str">
        <f t="shared" ref="IT17:IT80" si="233">IF(ISNUMBER($II17),(-1*INDEX($AN$9:$AN$150,MATCH($II17,$M$9:$M$150,0))),"")</f>
        <v/>
      </c>
      <c r="IU17" s="9" t="str">
        <f t="shared" ref="IU17:IU80" si="234">IF(ISNUMBER($II17),-$X17,"")</f>
        <v/>
      </c>
      <c r="IV17" s="5" t="str">
        <f t="shared" ref="IV17:IV80" si="235">IF(ISNUMBER($II17),$Y17,"")</f>
        <v/>
      </c>
      <c r="IW17" s="5" t="str">
        <f t="shared" si="79"/>
        <v/>
      </c>
      <c r="IX17" s="5" t="str">
        <f t="shared" ref="IX17:IX80" si="236">IF(ISNUMBER($II17),$IW17*COS(RADIANS($AO17)),"")</f>
        <v/>
      </c>
      <c r="IY17" s="833" t="str">
        <f t="shared" ref="IY17:IY80" si="237">IF(ISNUMBER($II17),(-1*$AN17),"")</f>
        <v/>
      </c>
    </row>
    <row r="18" spans="1:259" ht="15" customHeight="1" x14ac:dyDescent="0.25">
      <c r="A18" s="84">
        <f t="shared" si="82"/>
        <v>0.02</v>
      </c>
      <c r="B18" s="770">
        <v>0.42719615074335943</v>
      </c>
      <c r="C18" s="771">
        <v>5.7827595930701072</v>
      </c>
      <c r="D18" s="772">
        <v>-2.6648080370610403</v>
      </c>
      <c r="E18" s="773">
        <v>-0.89509225836444484</v>
      </c>
      <c r="F18" s="771">
        <v>0.444119575777294</v>
      </c>
      <c r="G18" s="774">
        <v>3.9593578108508914E-2</v>
      </c>
      <c r="H18" s="773">
        <v>0.314</v>
      </c>
      <c r="I18" s="771">
        <v>0.52</v>
      </c>
      <c r="J18" s="601">
        <v>1.1539999999999999</v>
      </c>
      <c r="K18" s="426" t="str">
        <f t="shared" si="225"/>
        <v>1613</v>
      </c>
      <c r="L18" s="857" t="s">
        <v>376</v>
      </c>
      <c r="M18" s="173">
        <f t="shared" si="2"/>
        <v>1.1539999999999999</v>
      </c>
      <c r="N18" s="21">
        <f t="shared" si="3"/>
        <v>0.42719615074335943</v>
      </c>
      <c r="O18" s="5">
        <f t="shared" si="4"/>
        <v>5.7827595930701072</v>
      </c>
      <c r="P18" s="10">
        <f t="shared" si="5"/>
        <v>-2.6648080370610403</v>
      </c>
      <c r="Q18" s="624">
        <f t="shared" si="116"/>
        <v>85.775000610014445</v>
      </c>
      <c r="R18" s="5">
        <f>IF(M18="","",SQRT(N18^2+O18^2))</f>
        <v>5.7985174883287449</v>
      </c>
      <c r="S18" s="6">
        <f>IF(M18="","",P18)</f>
        <v>-2.6648080370610403</v>
      </c>
      <c r="T18" s="4">
        <f>IF(M18="","",X18*COS(RADIANS(W18)))</f>
        <v>5.7828489379790495</v>
      </c>
      <c r="U18" s="5">
        <f>IF(M18="","",X18*SIN(RADIANS(W18)))</f>
        <v>-0.42598500322062077</v>
      </c>
      <c r="V18" s="8">
        <f>IF(M18="","",Y18)</f>
        <v>-2.6648080370610403</v>
      </c>
      <c r="W18" s="624">
        <f t="shared" si="227"/>
        <v>355.78700060828186</v>
      </c>
      <c r="X18" s="5">
        <f>IF(M18="","",R18)</f>
        <v>5.7985174883287449</v>
      </c>
      <c r="Y18" s="7">
        <f t="shared" si="226"/>
        <v>-2.6648080370610403</v>
      </c>
      <c r="Z18" s="21">
        <f t="shared" si="7"/>
        <v>0.89509225836444484</v>
      </c>
      <c r="AA18" s="5">
        <f t="shared" si="8"/>
        <v>-0.444119575777294</v>
      </c>
      <c r="AB18" s="5">
        <f t="shared" si="9"/>
        <v>-3.9593578108508914E-2</v>
      </c>
      <c r="AC18" s="8">
        <f>IF(M18="","",SQRT(Z18^2+AA18^2+AB18^2))</f>
        <v>1</v>
      </c>
      <c r="AD18" s="9">
        <f>IF(M18="","",Z18*(1/SQRT(Z18^2+AA18^2+AB18^2)))</f>
        <v>0.89509225836444484</v>
      </c>
      <c r="AE18" s="5">
        <f>IF(M18="","",AA18*(1/SQRT(Z18^2+AA18^2+AB18^2)))</f>
        <v>-0.444119575777294</v>
      </c>
      <c r="AF18" s="10">
        <f>IF(M18="","",AB18*(1/SQRT(Z18^2+AA18^2+AB18^2)))</f>
        <v>-3.9593578108508914E-2</v>
      </c>
      <c r="AG18" s="622">
        <f>IF(M18="","",DEGREES(ATAN2(-AF18,AE18)))</f>
        <v>-84.905508505330971</v>
      </c>
      <c r="AH18" s="623">
        <f>IF(M18="","",DEGREES(ACOS(AD18)))</f>
        <v>26.479717446366877</v>
      </c>
      <c r="AI18" s="624">
        <f>IF(M18="","",DEGREES(-ACOS(-AF18)))</f>
        <v>-87.73086194542978</v>
      </c>
      <c r="AJ18" s="625">
        <f>IF(M18="","",DEGREES(ATAN2(-AE18,AD18)))</f>
        <v>63.610687150903992</v>
      </c>
      <c r="AK18" s="4">
        <f>IF(M18="","",(COS(RADIANS((90-$Q$8)-W18))*AD18)+(-SIN(RADIANS((90-$Q$8)-W18))*AE18))</f>
        <v>0.92537955223588708</v>
      </c>
      <c r="AL18" s="5">
        <f>IF(M18="","",(SIN(RADIANS((90-$Q$8)-W18))*AD18)+(COS(RADIANS((90-$Q$8)-W18))*AE18))</f>
        <v>-0.37696821202360659</v>
      </c>
      <c r="AM18" s="6">
        <f>IF(M18="","",AF18)</f>
        <v>-3.9593578108508914E-2</v>
      </c>
      <c r="AN18" s="612">
        <f>IF(M18="","",DEGREES(ATAN2(-AM18,AL18)))</f>
        <v>-84.004115704946273</v>
      </c>
      <c r="AO18" s="613">
        <f t="shared" si="98"/>
        <v>22.274342020104839</v>
      </c>
      <c r="AP18" s="624">
        <f>IF(M18="","",DEGREES(ATAN2(AK18,AL18)))</f>
        <v>-22.164313459110435</v>
      </c>
      <c r="AQ18" s="625">
        <f t="shared" si="10"/>
        <v>2.1377804621907202</v>
      </c>
      <c r="AS18" s="56">
        <f t="shared" si="119"/>
        <v>-4.2129993917181423</v>
      </c>
      <c r="AT18" s="77">
        <f t="shared" si="11"/>
        <v>-2.6488469282544282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1.1539999999999999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8"/>
        <v/>
      </c>
      <c r="IK18" s="839" t="str">
        <f t="shared" si="69"/>
        <v/>
      </c>
      <c r="IL18" s="791" t="str">
        <f t="shared" si="228"/>
        <v/>
      </c>
      <c r="IM18" s="830"/>
      <c r="IN18" s="5" t="str">
        <f t="shared" si="229"/>
        <v/>
      </c>
      <c r="IO18" s="852"/>
      <c r="IP18" s="9" t="str">
        <f t="shared" si="230"/>
        <v/>
      </c>
      <c r="IQ18" s="5" t="str">
        <f t="shared" si="231"/>
        <v/>
      </c>
      <c r="IR18" s="5" t="str">
        <f t="shared" si="74"/>
        <v/>
      </c>
      <c r="IS18" s="5" t="str">
        <f t="shared" si="232"/>
        <v/>
      </c>
      <c r="IT18" s="791" t="str">
        <f t="shared" si="233"/>
        <v/>
      </c>
      <c r="IU18" s="9" t="str">
        <f t="shared" si="234"/>
        <v/>
      </c>
      <c r="IV18" s="5" t="str">
        <f t="shared" si="235"/>
        <v/>
      </c>
      <c r="IW18" s="5" t="str">
        <f t="shared" si="79"/>
        <v/>
      </c>
      <c r="IX18" s="5" t="str">
        <f t="shared" si="236"/>
        <v/>
      </c>
      <c r="IY18" s="833" t="str">
        <f t="shared" si="237"/>
        <v/>
      </c>
    </row>
    <row r="19" spans="1:259" ht="15" customHeight="1" x14ac:dyDescent="0.25">
      <c r="A19" s="84">
        <f t="shared" si="82"/>
        <v>0.02</v>
      </c>
      <c r="B19" s="770">
        <v>0.4561747320764451</v>
      </c>
      <c r="C19" s="771">
        <v>5.8948936995802921</v>
      </c>
      <c r="D19" s="772">
        <v>-3.4174103069094857</v>
      </c>
      <c r="E19" s="773">
        <v>-0.71416740426718461</v>
      </c>
      <c r="F19" s="771">
        <v>0.69997494146737171</v>
      </c>
      <c r="G19" s="774">
        <v>1.4578093215395225E-7</v>
      </c>
      <c r="H19" s="773">
        <v>0.314</v>
      </c>
      <c r="I19" s="771">
        <v>0.52</v>
      </c>
      <c r="J19" s="601">
        <v>1.161</v>
      </c>
      <c r="K19" s="426" t="str">
        <f t="shared" si="225"/>
        <v>1613</v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2"/>
        <v>1.161</v>
      </c>
      <c r="N19" s="21">
        <f t="shared" si="3"/>
        <v>0.4561747320764451</v>
      </c>
      <c r="O19" s="5">
        <f t="shared" si="4"/>
        <v>5.8948936995802921</v>
      </c>
      <c r="P19" s="10">
        <f t="shared" si="5"/>
        <v>-3.4174103069094857</v>
      </c>
      <c r="Q19" s="624">
        <f t="shared" si="116"/>
        <v>85.57500063889087</v>
      </c>
      <c r="R19" s="5">
        <f>IF(M19="","",SQRT(N19^2+O19^2))</f>
        <v>5.9125178321537799</v>
      </c>
      <c r="S19" s="6">
        <f>IF(M19="","",P19)</f>
        <v>-3.4174103069094857</v>
      </c>
      <c r="T19" s="4">
        <f>IF(M19="","",X19*COS(RADIANS(W19)))</f>
        <v>5.8949891112888197</v>
      </c>
      <c r="U19" s="5">
        <f>IF(M19="","",X19*SIN(RADIANS(W19)))</f>
        <v>-0.45494009860934775</v>
      </c>
      <c r="V19" s="8">
        <f>IF(M19="","",Y19)</f>
        <v>-3.4174103069094857</v>
      </c>
      <c r="W19" s="624">
        <f t="shared" si="227"/>
        <v>355.58700063715827</v>
      </c>
      <c r="X19" s="5">
        <f>IF(M19="","",R19)</f>
        <v>5.9125178321537799</v>
      </c>
      <c r="Y19" s="7">
        <f t="shared" si="226"/>
        <v>-3.4174103069094857</v>
      </c>
      <c r="Z19" s="21">
        <f t="shared" si="7"/>
        <v>0.71416740426718461</v>
      </c>
      <c r="AA19" s="5">
        <f t="shared" si="8"/>
        <v>-0.69997494146737171</v>
      </c>
      <c r="AB19" s="5">
        <f t="shared" si="9"/>
        <v>-1.4578093215395225E-7</v>
      </c>
      <c r="AC19" s="8">
        <f>IF(M19="","",SQRT(Z19^2+AA19^2+AB19^2))</f>
        <v>1</v>
      </c>
      <c r="AD19" s="9">
        <f>IF(M19="","",Z19*(1/SQRT(Z19^2+AA19^2+AB19^2)))</f>
        <v>0.71416740426718461</v>
      </c>
      <c r="AE19" s="5">
        <f>IF(M19="","",AA19*(1/SQRT(Z19^2+AA19^2+AB19^2)))</f>
        <v>-0.69997494146737171</v>
      </c>
      <c r="AF19" s="10">
        <f>IF(M19="","",AB19*(1/SQRT(Z19^2+AA19^2+AB19^2)))</f>
        <v>-1.4578093215395225E-7</v>
      </c>
      <c r="AG19" s="622">
        <f>IF(M19="","",DEGREES(ATAN2(-AF19,AE19)))</f>
        <v>-89.999988067241205</v>
      </c>
      <c r="AH19" s="623">
        <f>IF(M19="","",DEGREES(ACOS(AD19)))</f>
        <v>44.424993585824403</v>
      </c>
      <c r="AI19" s="624">
        <f>IF(M19="","",DEGREES(-ACOS(-AF19)))</f>
        <v>-89.99999164736785</v>
      </c>
      <c r="AJ19" s="625">
        <f>IF(M19="","",DEGREES(ATAN2(-AE19,AD19)))</f>
        <v>45.575006414176215</v>
      </c>
      <c r="AK19" s="4">
        <f>IF(M19="","",(COS(RADIANS((90-$Q$8)-W19))*AD19)+(-SIN(RADIANS((90-$Q$8)-W19))*AE19))</f>
        <v>0.76604450791050716</v>
      </c>
      <c r="AL19" s="5">
        <f>IF(M19="","",(SIN(RADIANS((90-$Q$8)-W19))*AD19)+(COS(RADIANS((90-$Q$8)-W19))*AE19))</f>
        <v>-0.6427875324709772</v>
      </c>
      <c r="AM19" s="6">
        <f>IF(M19="","",AF19)</f>
        <v>-1.4578093215395225E-7</v>
      </c>
      <c r="AN19" s="612">
        <f>IF(M19="","",DEGREES(ATAN2(-AM19,AL19)))</f>
        <v>-89.999987005609597</v>
      </c>
      <c r="AO19" s="613">
        <f t="shared" si="98"/>
        <v>39.999994224715394</v>
      </c>
      <c r="AP19" s="624">
        <f>IF(M19="","",DEGREES(ATAN2(AK19,AL19)))</f>
        <v>-39.999994224714662</v>
      </c>
      <c r="AQ19" s="625">
        <f t="shared" si="10"/>
        <v>2.0965986702941066</v>
      </c>
      <c r="AS19" s="56">
        <f t="shared" si="119"/>
        <v>-4.412999362841731</v>
      </c>
      <c r="AT19" s="77">
        <f t="shared" si="11"/>
        <v>-3.4006936426564067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7"/>
        <v>1.161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8"/>
        <v/>
      </c>
      <c r="IK19" s="839" t="str">
        <f t="shared" si="69"/>
        <v/>
      </c>
      <c r="IL19" s="791" t="str">
        <f t="shared" si="228"/>
        <v/>
      </c>
      <c r="IM19" s="830"/>
      <c r="IN19" s="5" t="str">
        <f t="shared" si="229"/>
        <v/>
      </c>
      <c r="IO19" s="852"/>
      <c r="IP19" s="9" t="str">
        <f t="shared" si="230"/>
        <v/>
      </c>
      <c r="IQ19" s="5" t="str">
        <f t="shared" si="231"/>
        <v/>
      </c>
      <c r="IR19" s="5" t="str">
        <f t="shared" si="74"/>
        <v/>
      </c>
      <c r="IS19" s="5" t="str">
        <f t="shared" si="232"/>
        <v/>
      </c>
      <c r="IT19" s="791" t="str">
        <f t="shared" si="233"/>
        <v/>
      </c>
      <c r="IU19" s="9" t="str">
        <f t="shared" si="234"/>
        <v/>
      </c>
      <c r="IV19" s="5" t="str">
        <f t="shared" si="235"/>
        <v/>
      </c>
      <c r="IW19" s="5" t="str">
        <f t="shared" si="79"/>
        <v/>
      </c>
      <c r="IX19" s="5" t="str">
        <f t="shared" si="236"/>
        <v/>
      </c>
      <c r="IY19" s="833" t="str">
        <f t="shared" si="237"/>
        <v/>
      </c>
    </row>
    <row r="20" spans="1:259" ht="15" customHeight="1" x14ac:dyDescent="0.25">
      <c r="A20" s="84">
        <f t="shared" si="82"/>
        <v>0.02</v>
      </c>
      <c r="B20" s="770">
        <v>0.9863557780623825</v>
      </c>
      <c r="C20" s="771">
        <v>3.1221070745158119</v>
      </c>
      <c r="D20" s="772">
        <v>-2.140006454259466E-2</v>
      </c>
      <c r="E20" s="773">
        <v>-0.84582836607831324</v>
      </c>
      <c r="F20" s="771">
        <v>0.32640006130067145</v>
      </c>
      <c r="G20" s="774">
        <v>0.42194475363512818</v>
      </c>
      <c r="H20" s="773">
        <v>0.26600000000000001</v>
      </c>
      <c r="I20" s="771">
        <v>0.52</v>
      </c>
      <c r="J20" s="601">
        <v>1.2190000000000001</v>
      </c>
      <c r="K20" s="426" t="str">
        <f t="shared" si="225"/>
        <v>1313</v>
      </c>
      <c r="L20" s="858" t="s">
        <v>377</v>
      </c>
      <c r="M20" s="173">
        <f t="shared" si="2"/>
        <v>1.2190000000000001</v>
      </c>
      <c r="N20" s="21">
        <f t="shared" si="3"/>
        <v>0.9863557780623825</v>
      </c>
      <c r="O20" s="5">
        <f t="shared" si="4"/>
        <v>3.1221070745158119</v>
      </c>
      <c r="P20" s="10">
        <f t="shared" si="5"/>
        <v>-2.140006454259466E-2</v>
      </c>
      <c r="Q20" s="624">
        <f t="shared" si="116"/>
        <v>72.467302531408322</v>
      </c>
      <c r="R20" s="5">
        <f>IF(M20="","",SQRT(N20^2+O20^2))</f>
        <v>3.2742098750169832</v>
      </c>
      <c r="S20" s="6">
        <f>IF(M20="","",P20)</f>
        <v>-2.140006454259466E-2</v>
      </c>
      <c r="T20" s="4">
        <f>IF(M20="","",X20*COS(RADIANS(W20)))</f>
        <v>3.1223135878801034</v>
      </c>
      <c r="U20" s="5">
        <f>IF(M20="","",X20*SIN(RADIANS(W20)))</f>
        <v>-0.9857018639517755</v>
      </c>
      <c r="V20" s="8">
        <f>IF(M20="","",Y20)</f>
        <v>-2.140006454259466E-2</v>
      </c>
      <c r="W20" s="624">
        <f t="shared" si="227"/>
        <v>342.47930252967575</v>
      </c>
      <c r="X20" s="5">
        <f>IF(M20="","",R20)</f>
        <v>3.2742098750169832</v>
      </c>
      <c r="Y20" s="7">
        <f t="shared" si="226"/>
        <v>-2.140006454259466E-2</v>
      </c>
      <c r="Z20" s="21">
        <f t="shared" si="7"/>
        <v>0.84582836607831324</v>
      </c>
      <c r="AA20" s="5">
        <f t="shared" si="8"/>
        <v>-0.32640006130067145</v>
      </c>
      <c r="AB20" s="5">
        <f t="shared" si="9"/>
        <v>-0.42194475363512818</v>
      </c>
      <c r="AC20" s="8">
        <f>IF(M20="","",SQRT(Z20^2+AA20^2+AB20^2))</f>
        <v>1</v>
      </c>
      <c r="AD20" s="9">
        <f>IF(M20="","",Z20*(1/SQRT(Z20^2+AA20^2+AB20^2)))</f>
        <v>0.84582836607831324</v>
      </c>
      <c r="AE20" s="5">
        <f>IF(M20="","",AA20*(1/SQRT(Z20^2+AA20^2+AB20^2)))</f>
        <v>-0.32640006130067145</v>
      </c>
      <c r="AF20" s="10">
        <f>IF(M20="","",AB20*(1/SQRT(Z20^2+AA20^2+AB20^2)))</f>
        <v>-0.42194475363512818</v>
      </c>
      <c r="AG20" s="622">
        <f>IF(M20="","",DEGREES(ATAN2(-AF20,AE20)))</f>
        <v>-37.724142869699087</v>
      </c>
      <c r="AH20" s="623">
        <f>IF(M20="","",DEGREES(ACOS(AD20)))</f>
        <v>32.23920263862545</v>
      </c>
      <c r="AI20" s="624">
        <f>IF(M20="","",DEGREES(-ACOS(-AF20)))</f>
        <v>-65.042571069342159</v>
      </c>
      <c r="AJ20" s="625">
        <f>IF(M20="","",DEGREES(ATAN2(-AE20,AD20)))</f>
        <v>68.898699471559027</v>
      </c>
      <c r="AK20" s="4">
        <f>IF(M20="","",(COS(RADIANS((90-$Q$8)-W20))*AD20)+(-SIN(RADIANS((90-$Q$8)-W20))*AE20))</f>
        <v>0.90486359307303643</v>
      </c>
      <c r="AL20" s="5">
        <f>IF(M20="","",(SIN(RADIANS((90-$Q$8)-W20))*AD20)+(COS(RADIANS((90-$Q$8)-W20))*AE20))</f>
        <v>-5.6431399156370354E-2</v>
      </c>
      <c r="AM20" s="6">
        <f>IF(M20="","",AF20)</f>
        <v>-0.42194475363512818</v>
      </c>
      <c r="AN20" s="612">
        <f>IF(M20="","",DEGREES(ATAN2(-AM20,AL20)))</f>
        <v>-7.6176031826709032</v>
      </c>
      <c r="AO20" s="613">
        <f t="shared" si="98"/>
        <v>25.195082397013987</v>
      </c>
      <c r="AP20" s="624">
        <f>IF(M20="","",DEGREES(ATAN2(AK20,AL20)))</f>
        <v>-3.5686030598492922</v>
      </c>
      <c r="AQ20" s="625">
        <f t="shared" si="10"/>
        <v>3.7821930881255428</v>
      </c>
      <c r="AS20" s="56">
        <f t="shared" si="119"/>
        <v>-17.520697470324251</v>
      </c>
      <c r="AT20" s="77">
        <f t="shared" si="11"/>
        <v>4.4834570338751628E-2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>
        <f>IFERROR(IF($IU20="","",IF($IU20&lt;(((Settings!$C$19/2)*-1)*$IE$8),"",1)),"")</f>
        <v>1</v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1.2190000000000001</v>
      </c>
      <c r="IH20" s="797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1.119</v>
      </c>
      <c r="II20" s="800" cm="1">
        <f t="array" ref="II20">IFERROR(IF($IH20&lt;1,$IH20+LARGE((IF($M$9:$M$150="",0,$M$9:$M$150)-MOD(IF($M$9:$M$150="",0,$M$9:$M$150),1)),1),$IH20),"")</f>
        <v>1.119</v>
      </c>
      <c r="IJ20" s="839" t="str">
        <f t="shared" si="68"/>
        <v>1613</v>
      </c>
      <c r="IK20" s="839" t="str">
        <f t="shared" si="69"/>
        <v>1313</v>
      </c>
      <c r="IL20" s="791">
        <f t="shared" si="228"/>
        <v>17.009697544103517</v>
      </c>
      <c r="IM20" s="830">
        <v>4.1870554074232196E-3</v>
      </c>
      <c r="IN20" s="5">
        <f t="shared" si="229"/>
        <v>0.06</v>
      </c>
      <c r="IO20" s="852">
        <v>30</v>
      </c>
      <c r="IP20" s="9">
        <f t="shared" si="230"/>
        <v>-3.2742098750169837</v>
      </c>
      <c r="IQ20" s="5">
        <f t="shared" si="231"/>
        <v>-7.9300239169521336E-2</v>
      </c>
      <c r="IR20" s="5">
        <f t="shared" si="74"/>
        <v>0.314</v>
      </c>
      <c r="IS20" s="5">
        <f t="shared" si="232"/>
        <v>0.30281739645373151</v>
      </c>
      <c r="IT20" s="791">
        <f t="shared" si="233"/>
        <v>12.318975285068788</v>
      </c>
      <c r="IU20" s="9">
        <f t="shared" si="234"/>
        <v>-3.2742098750169832</v>
      </c>
      <c r="IV20" s="5">
        <f t="shared" si="235"/>
        <v>-2.140006454259466E-2</v>
      </c>
      <c r="IW20" s="5">
        <f t="shared" si="79"/>
        <v>0.26600000000000001</v>
      </c>
      <c r="IX20" s="5">
        <f t="shared" si="236"/>
        <v>0.24069371575742773</v>
      </c>
      <c r="IY20" s="833">
        <f t="shared" si="237"/>
        <v>7.6176031826709032</v>
      </c>
    </row>
    <row r="21" spans="1:259" ht="15" customHeight="1" x14ac:dyDescent="0.25">
      <c r="A21" s="84">
        <f t="shared" si="82"/>
        <v>0.02</v>
      </c>
      <c r="B21" s="770">
        <v>1.1162845951465927</v>
      </c>
      <c r="C21" s="771">
        <v>3.9197607398564949</v>
      </c>
      <c r="D21" s="772">
        <v>-0.14870044848055261</v>
      </c>
      <c r="E21" s="773">
        <v>-0.82036964021536229</v>
      </c>
      <c r="F21" s="771">
        <v>0.41277861151647405</v>
      </c>
      <c r="G21" s="774">
        <v>0.39573661858292675</v>
      </c>
      <c r="H21" s="773">
        <v>0.26600000000000001</v>
      </c>
      <c r="I21" s="771">
        <v>0.52</v>
      </c>
      <c r="J21" s="601">
        <v>1.226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1313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2"/>
        <v>1.226</v>
      </c>
      <c r="N21" s="21">
        <f t="shared" si="3"/>
        <v>1.1162845951465927</v>
      </c>
      <c r="O21" s="5">
        <f t="shared" si="4"/>
        <v>3.9197607398564949</v>
      </c>
      <c r="P21" s="10">
        <f t="shared" si="5"/>
        <v>-0.14870044848055261</v>
      </c>
      <c r="Q21" s="624">
        <f t="shared" si="116"/>
        <v>74.103902295112562</v>
      </c>
      <c r="R21" s="5">
        <f>IF(M21="","",SQRT(N21^2+O21^2))</f>
        <v>4.0756122920466717</v>
      </c>
      <c r="S21" s="6">
        <f>IF(M21="","",P21)</f>
        <v>-0.14870044848055261</v>
      </c>
      <c r="T21" s="4">
        <f>IF(M21="","",X21*COS(RADIANS(W21)))</f>
        <v>3.9199944479499766</v>
      </c>
      <c r="U21" s="5">
        <f>IF(M21="","",X21*SIN(RADIANS(W21)))</f>
        <v>-1.1154636180186621</v>
      </c>
      <c r="V21" s="8">
        <f>IF(M21="","",Y21)</f>
        <v>-0.14870044848055261</v>
      </c>
      <c r="W21" s="624">
        <f t="shared" si="227"/>
        <v>344.11590229337997</v>
      </c>
      <c r="X21" s="5">
        <f>IF(M21="","",R21)</f>
        <v>4.0756122920466717</v>
      </c>
      <c r="Y21" s="7">
        <f t="shared" si="226"/>
        <v>-0.14870044848055261</v>
      </c>
      <c r="Z21" s="21">
        <f t="shared" si="7"/>
        <v>0.82036964021536229</v>
      </c>
      <c r="AA21" s="5">
        <f t="shared" si="8"/>
        <v>-0.41277861151647405</v>
      </c>
      <c r="AB21" s="5">
        <f t="shared" si="9"/>
        <v>-0.39573661858292675</v>
      </c>
      <c r="AC21" s="8">
        <f>IF(M21="","",SQRT(Z21^2+AA21^2+AB21^2))</f>
        <v>1</v>
      </c>
      <c r="AD21" s="9">
        <f>IF(M21="","",Z21*(1/SQRT(Z21^2+AA21^2+AB21^2)))</f>
        <v>0.82036964021536229</v>
      </c>
      <c r="AE21" s="5">
        <f>IF(M21="","",AA21*(1/SQRT(Z21^2+AA21^2+AB21^2)))</f>
        <v>-0.41277861151647405</v>
      </c>
      <c r="AF21" s="10">
        <f>IF(M21="","",AB21*(1/SQRT(Z21^2+AA21^2+AB21^2)))</f>
        <v>-0.39573661858292675</v>
      </c>
      <c r="AG21" s="622">
        <f>IF(M21="","",DEGREES(ATAN2(-AF21,AE21)))</f>
        <v>-46.207509352751948</v>
      </c>
      <c r="AH21" s="623">
        <f>IF(M21="","",DEGREES(ACOS(AD21)))</f>
        <v>34.878186710581154</v>
      </c>
      <c r="AI21" s="624">
        <f>IF(M21="","",DEGREES(-ACOS(-AF21)))</f>
        <v>-66.68807700444907</v>
      </c>
      <c r="AJ21" s="625">
        <f>IF(M21="","",DEGREES(ATAN2(-AE21,AD21)))</f>
        <v>63.290208925488109</v>
      </c>
      <c r="AK21" s="4">
        <f>IF(M21="","",(COS(RADIANS((90-$Q$8)-W21))*AD21)+(-SIN(RADIANS((90-$Q$8)-W21))*AE21))</f>
        <v>0.90205614511040788</v>
      </c>
      <c r="AL21" s="5">
        <f>IF(M21="","",(SIN(RADIANS((90-$Q$8)-W21))*AD21)+(COS(RADIANS((90-$Q$8)-W21))*AE21))</f>
        <v>-0.17229985426895142</v>
      </c>
      <c r="AM21" s="6">
        <f>IF(M21="","",AF21)</f>
        <v>-0.39573661858292675</v>
      </c>
      <c r="AN21" s="612">
        <f>IF(M21="","",DEGREES(ATAN2(-AM21,AL21)))</f>
        <v>-23.527838087778637</v>
      </c>
      <c r="AO21" s="613">
        <f>IF(ROUND(IF(M21="",0,DEGREES(ACOS(AK21))),4)=90,0,IF(M21="","",DEGREES(ACOS(AK21))))</f>
        <v>25.570331500289381</v>
      </c>
      <c r="AP21" s="624">
        <f>IF(M21="","",DEGREES(ATAN2(AK21,AL21)))</f>
        <v>-10.81369336962443</v>
      </c>
      <c r="AQ21" s="625">
        <f t="shared" si="10"/>
        <v>3.0400518591380528</v>
      </c>
      <c r="AS21" s="56">
        <f t="shared" si="119"/>
        <v>-15.884097706620025</v>
      </c>
      <c r="AT21" s="77">
        <f t="shared" si="11"/>
        <v>-8.8648523817644514E-2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>
        <f>IFERROR(IF($IU21="","",IF($IU21&lt;(((Settings!$C$19/2)*-1)*$IE$8),"",1)),"")</f>
        <v>1</v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1.226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1.1259999999999999</v>
      </c>
      <c r="II21" s="800" cm="1">
        <f t="array" ref="II21">IFERROR(IF($IH21&lt;1,$IH21+LARGE((IF($M$9:$M$150="",0,$M$9:$M$150)-MOD(IF($M$9:$M$150="",0,$M$9:$M$150),1)),1),$IH21),"")</f>
        <v>1.1259999999999999</v>
      </c>
      <c r="IJ21" s="839" t="str">
        <f t="shared" si="68"/>
        <v>1613</v>
      </c>
      <c r="IK21" s="839" t="str">
        <f t="shared" si="69"/>
        <v>1313</v>
      </c>
      <c r="IL21" s="791">
        <f t="shared" si="228"/>
        <v>14.425097917273547</v>
      </c>
      <c r="IM21" s="830">
        <v>3.2943547188795299E-3</v>
      </c>
      <c r="IN21" s="5">
        <f t="shared" si="229"/>
        <v>0.06</v>
      </c>
      <c r="IO21" s="852">
        <v>30</v>
      </c>
      <c r="IP21" s="9">
        <f t="shared" si="230"/>
        <v>-4.0642122576641695</v>
      </c>
      <c r="IQ21" s="5">
        <f t="shared" si="231"/>
        <v>-0.20620062190107566</v>
      </c>
      <c r="IR21" s="5">
        <f t="shared" si="74"/>
        <v>0.314</v>
      </c>
      <c r="IS21" s="5">
        <f t="shared" si="232"/>
        <v>0.30187786911587577</v>
      </c>
      <c r="IT21" s="791">
        <f t="shared" si="233"/>
        <v>31.159423548486188</v>
      </c>
      <c r="IU21" s="9">
        <f t="shared" si="234"/>
        <v>-4.0756122920466717</v>
      </c>
      <c r="IV21" s="5">
        <f t="shared" si="235"/>
        <v>-0.14870044848055261</v>
      </c>
      <c r="IW21" s="5">
        <f t="shared" si="79"/>
        <v>0.26600000000000001</v>
      </c>
      <c r="IX21" s="5">
        <f t="shared" si="236"/>
        <v>0.2399469345993685</v>
      </c>
      <c r="IY21" s="833">
        <f t="shared" si="237"/>
        <v>23.527838087778637</v>
      </c>
    </row>
    <row r="22" spans="1:259" ht="15" customHeight="1" x14ac:dyDescent="0.25">
      <c r="A22" s="84">
        <f t="shared" si="82"/>
        <v>0.02</v>
      </c>
      <c r="B22" s="770">
        <v>1.2500315514005496</v>
      </c>
      <c r="C22" s="771">
        <v>4.6303493477992044</v>
      </c>
      <c r="D22" s="772">
        <v>-0.52140157254714281</v>
      </c>
      <c r="E22" s="773">
        <v>-0.7966978319791731</v>
      </c>
      <c r="F22" s="771">
        <v>0.49687742130096069</v>
      </c>
      <c r="G22" s="774">
        <v>0.34407178425583362</v>
      </c>
      <c r="H22" s="773">
        <v>0.26600000000000001</v>
      </c>
      <c r="I22" s="771">
        <v>0.52</v>
      </c>
      <c r="J22" s="601">
        <v>1.2330000000000001</v>
      </c>
      <c r="K22" s="426" t="str">
        <f t="shared" si="225"/>
        <v>1313</v>
      </c>
      <c r="L22" s="327"/>
      <c r="M22" s="173">
        <f t="shared" si="2"/>
        <v>1.2330000000000001</v>
      </c>
      <c r="N22" s="21">
        <f t="shared" si="3"/>
        <v>1.2500315514005496</v>
      </c>
      <c r="O22" s="5">
        <f t="shared" si="4"/>
        <v>4.6303493477992044</v>
      </c>
      <c r="P22" s="10">
        <f t="shared" si="5"/>
        <v>-0.52140157254714281</v>
      </c>
      <c r="Q22" s="624">
        <f t="shared" si="116"/>
        <v>74.892302181281678</v>
      </c>
      <c r="R22" s="5">
        <f t="shared" si="83"/>
        <v>4.7961144650812271</v>
      </c>
      <c r="S22" s="6">
        <f t="shared" si="84"/>
        <v>-0.52140157254714281</v>
      </c>
      <c r="T22" s="4">
        <f t="shared" si="85"/>
        <v>4.6306110522005044</v>
      </c>
      <c r="U22" s="5">
        <f t="shared" si="86"/>
        <v>-1.2490617460317661</v>
      </c>
      <c r="V22" s="8">
        <f t="shared" si="117"/>
        <v>-0.52140157254714281</v>
      </c>
      <c r="W22" s="624">
        <f t="shared" si="227"/>
        <v>344.90430217954912</v>
      </c>
      <c r="X22" s="5">
        <f t="shared" si="87"/>
        <v>4.7961144650812271</v>
      </c>
      <c r="Y22" s="7">
        <f t="shared" si="226"/>
        <v>-0.52140157254714281</v>
      </c>
      <c r="Z22" s="21">
        <f t="shared" si="7"/>
        <v>0.7966978319791731</v>
      </c>
      <c r="AA22" s="5">
        <f t="shared" si="8"/>
        <v>-0.49687742130096069</v>
      </c>
      <c r="AB22" s="5">
        <f t="shared" si="9"/>
        <v>-0.34407178425583362</v>
      </c>
      <c r="AC22" s="8">
        <f t="shared" si="88"/>
        <v>1</v>
      </c>
      <c r="AD22" s="9">
        <f t="shared" si="118"/>
        <v>0.7966978319791731</v>
      </c>
      <c r="AE22" s="5">
        <f t="shared" si="89"/>
        <v>-0.49687742130096069</v>
      </c>
      <c r="AF22" s="10">
        <f t="shared" si="90"/>
        <v>-0.34407178425583362</v>
      </c>
      <c r="AG22" s="622">
        <f t="shared" si="91"/>
        <v>-55.298632443394624</v>
      </c>
      <c r="AH22" s="623">
        <f t="shared" si="92"/>
        <v>37.184084459343943</v>
      </c>
      <c r="AI22" s="624">
        <f t="shared" si="93"/>
        <v>-69.874855670059489</v>
      </c>
      <c r="AJ22" s="625">
        <f t="shared" si="94"/>
        <v>58.049401698183203</v>
      </c>
      <c r="AK22" s="4">
        <f t="shared" si="213"/>
        <v>0.89866531999660126</v>
      </c>
      <c r="AL22" s="5">
        <f t="shared" si="95"/>
        <v>-0.27205743863091392</v>
      </c>
      <c r="AM22" s="6">
        <f t="shared" si="96"/>
        <v>-0.34407178425583362</v>
      </c>
      <c r="AN22" s="612">
        <f t="shared" si="97"/>
        <v>-38.333409679883125</v>
      </c>
      <c r="AO22" s="613">
        <f t="shared" si="98"/>
        <v>26.016819663170562</v>
      </c>
      <c r="AP22" s="624">
        <f t="shared" si="99"/>
        <v>-16.842900483098486</v>
      </c>
      <c r="AQ22" s="625">
        <f t="shared" si="10"/>
        <v>2.5840299451133695</v>
      </c>
      <c r="AS22" s="56">
        <f t="shared" si="119"/>
        <v>-15.09569782045088</v>
      </c>
      <c r="AT22" s="77">
        <f t="shared" si="11"/>
        <v>-0.46432804745420703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1.2330000000000001</v>
      </c>
      <c r="IH22" s="797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1.133</v>
      </c>
      <c r="II22" s="800" cm="1">
        <f t="array" ref="II22">IFERROR(IF($IH22&lt;1,$IH22+LARGE((IF($M$9:$M$150="",0,$M$9:$M$150)-MOD(IF($M$9:$M$150="",0,$M$9:$M$150),1)),1),$IH22),"")</f>
        <v>1.133</v>
      </c>
      <c r="IJ22" s="839" t="str">
        <f t="shared" si="68"/>
        <v>1613</v>
      </c>
      <c r="IK22" s="839" t="str">
        <f t="shared" si="69"/>
        <v>1313</v>
      </c>
      <c r="IL22" s="791">
        <f t="shared" si="228"/>
        <v>12.588698182416863</v>
      </c>
      <c r="IM22" s="830">
        <v>2.5184272236683999E-3</v>
      </c>
      <c r="IN22" s="5">
        <f t="shared" si="229"/>
        <v>0.04</v>
      </c>
      <c r="IO22" s="852">
        <v>20</v>
      </c>
      <c r="IP22" s="9">
        <f t="shared" si="230"/>
        <v>-4.7737143975226228</v>
      </c>
      <c r="IQ22" s="5">
        <f t="shared" si="231"/>
        <v>-0.5762017378244414</v>
      </c>
      <c r="IR22" s="5">
        <f t="shared" si="74"/>
        <v>0.314</v>
      </c>
      <c r="IS22" s="5">
        <f t="shared" si="232"/>
        <v>0.30074311152295979</v>
      </c>
      <c r="IT22" s="791">
        <f t="shared" si="233"/>
        <v>47.941374553067661</v>
      </c>
      <c r="IU22" s="9">
        <f t="shared" si="234"/>
        <v>-4.7961144650812271</v>
      </c>
      <c r="IV22" s="5">
        <f t="shared" si="235"/>
        <v>-0.52140157254714281</v>
      </c>
      <c r="IW22" s="5">
        <f t="shared" si="79"/>
        <v>0.26600000000000001</v>
      </c>
      <c r="IX22" s="5">
        <f t="shared" si="236"/>
        <v>0.23904497511909595</v>
      </c>
      <c r="IY22" s="833">
        <f t="shared" si="237"/>
        <v>38.333409679883125</v>
      </c>
    </row>
    <row r="23" spans="1:259" ht="15" customHeight="1" x14ac:dyDescent="0.25">
      <c r="A23" s="84">
        <f t="shared" si="82"/>
        <v>0.02</v>
      </c>
      <c r="B23" s="770">
        <v>1.3901889430552408</v>
      </c>
      <c r="C23" s="771">
        <v>5.1792882646656766</v>
      </c>
      <c r="D23" s="772">
        <v>-1.1014033218324186</v>
      </c>
      <c r="E23" s="773">
        <v>-0.77400815278794177</v>
      </c>
      <c r="F23" s="771">
        <v>0.57071542935987096</v>
      </c>
      <c r="G23" s="774">
        <v>0.27421757439736844</v>
      </c>
      <c r="H23" s="773">
        <v>0.26600000000000001</v>
      </c>
      <c r="I23" s="771">
        <v>0.52</v>
      </c>
      <c r="J23" s="601">
        <v>1.24</v>
      </c>
      <c r="K23" s="426" t="str">
        <f t="shared" si="225"/>
        <v>1313</v>
      </c>
      <c r="L23" s="327"/>
      <c r="M23" s="173">
        <f t="shared" si="2"/>
        <v>1.24</v>
      </c>
      <c r="N23" s="21">
        <f t="shared" si="3"/>
        <v>1.3901889430552408</v>
      </c>
      <c r="O23" s="5">
        <f t="shared" si="4"/>
        <v>5.1792882646656766</v>
      </c>
      <c r="P23" s="10">
        <f t="shared" si="5"/>
        <v>-1.1014033218324186</v>
      </c>
      <c r="Q23" s="624">
        <f t="shared" si="116"/>
        <v>74.975202169312411</v>
      </c>
      <c r="R23" s="5">
        <f t="shared" si="83"/>
        <v>5.3626161736503803</v>
      </c>
      <c r="S23" s="6">
        <f t="shared" si="84"/>
        <v>-1.1014033218324186</v>
      </c>
      <c r="T23" s="4">
        <f t="shared" si="85"/>
        <v>5.1795793115184132</v>
      </c>
      <c r="U23" s="5">
        <f t="shared" si="86"/>
        <v>-1.3891041651320053</v>
      </c>
      <c r="V23" s="8">
        <f t="shared" si="117"/>
        <v>-1.1014033218324186</v>
      </c>
      <c r="W23" s="624">
        <f t="shared" si="227"/>
        <v>344.98720216757982</v>
      </c>
      <c r="X23" s="5">
        <f t="shared" si="87"/>
        <v>5.3626161736503803</v>
      </c>
      <c r="Y23" s="7">
        <f t="shared" si="226"/>
        <v>-1.1014033218324186</v>
      </c>
      <c r="Z23" s="21">
        <f t="shared" si="7"/>
        <v>0.77400815278794177</v>
      </c>
      <c r="AA23" s="5">
        <f t="shared" si="8"/>
        <v>-0.57071542935987096</v>
      </c>
      <c r="AB23" s="5">
        <f t="shared" si="9"/>
        <v>-0.27421757439736844</v>
      </c>
      <c r="AC23" s="8">
        <f t="shared" si="88"/>
        <v>1</v>
      </c>
      <c r="AD23" s="9">
        <f t="shared" si="118"/>
        <v>0.77400815278794177</v>
      </c>
      <c r="AE23" s="5">
        <f t="shared" si="89"/>
        <v>-0.57071542935987096</v>
      </c>
      <c r="AF23" s="10">
        <f t="shared" si="90"/>
        <v>-0.27421757439736844</v>
      </c>
      <c r="AG23" s="622">
        <f t="shared" si="91"/>
        <v>-64.336627958547012</v>
      </c>
      <c r="AH23" s="623">
        <f t="shared" si="92"/>
        <v>39.284805370251604</v>
      </c>
      <c r="AI23" s="624">
        <f t="shared" si="93"/>
        <v>-74.084607858737442</v>
      </c>
      <c r="AJ23" s="625">
        <f t="shared" si="94"/>
        <v>53.596767633845012</v>
      </c>
      <c r="AK23" s="4">
        <f t="shared" si="213"/>
        <v>0.89549829160127137</v>
      </c>
      <c r="AL23" s="5">
        <f t="shared" si="95"/>
        <v>-0.3505531794618727</v>
      </c>
      <c r="AM23" s="6">
        <f t="shared" si="96"/>
        <v>-0.27421757439736844</v>
      </c>
      <c r="AN23" s="612">
        <f t="shared" si="97"/>
        <v>-51.965973871392627</v>
      </c>
      <c r="AO23" s="613">
        <f t="shared" si="98"/>
        <v>26.427494323958562</v>
      </c>
      <c r="AP23" s="624">
        <f t="shared" si="99"/>
        <v>-21.378434535467381</v>
      </c>
      <c r="AQ23" s="625">
        <f t="shared" si="10"/>
        <v>2.3113689748374693</v>
      </c>
      <c r="AS23" s="56">
        <f t="shared" si="119"/>
        <v>-15.012797832420176</v>
      </c>
      <c r="AT23" s="77">
        <f t="shared" si="11"/>
        <v>-1.0446429744720434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1.24</v>
      </c>
      <c r="IH23" s="797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1.1399999999999999</v>
      </c>
      <c r="II23" s="800" cm="1">
        <f t="array" ref="II23">IFERROR(IF($IH23&lt;1,$IH23+LARGE((IF($M$9:$M$150="",0,$M$9:$M$150)-MOD(IF($M$9:$M$150="",0,$M$9:$M$150),1)),1),$IH23),"")</f>
        <v>1.1399999999999999</v>
      </c>
      <c r="IJ23" s="839" t="str">
        <f t="shared" si="68"/>
        <v>1613</v>
      </c>
      <c r="IK23" s="839" t="str">
        <f t="shared" si="69"/>
        <v>1313</v>
      </c>
      <c r="IL23" s="791">
        <f t="shared" si="228"/>
        <v>11.601798324907577</v>
      </c>
      <c r="IM23" s="830">
        <v>1.81864373773997E-3</v>
      </c>
      <c r="IN23" s="5">
        <f t="shared" si="229"/>
        <v>0.02</v>
      </c>
      <c r="IO23" s="852">
        <v>10</v>
      </c>
      <c r="IP23" s="9">
        <f t="shared" si="230"/>
        <v>-5.3299160750268841</v>
      </c>
      <c r="IQ23" s="5">
        <f t="shared" si="231"/>
        <v>-1.1514034726328735</v>
      </c>
      <c r="IR23" s="5">
        <f t="shared" si="74"/>
        <v>0.314</v>
      </c>
      <c r="IS23" s="5">
        <f t="shared" si="232"/>
        <v>0.29968324868782042</v>
      </c>
      <c r="IT23" s="791">
        <f t="shared" si="233"/>
        <v>62.777757201599101</v>
      </c>
      <c r="IU23" s="9">
        <f t="shared" si="234"/>
        <v>-5.3626161736503803</v>
      </c>
      <c r="IV23" s="5">
        <f t="shared" si="235"/>
        <v>-1.1014033218324186</v>
      </c>
      <c r="IW23" s="5">
        <f t="shared" si="79"/>
        <v>0.26600000000000001</v>
      </c>
      <c r="IX23" s="5">
        <f t="shared" si="236"/>
        <v>0.2382025455659382</v>
      </c>
      <c r="IY23" s="833">
        <f t="shared" si="237"/>
        <v>51.965973871392627</v>
      </c>
    </row>
    <row r="24" spans="1:259" ht="15" customHeight="1" x14ac:dyDescent="0.25">
      <c r="A24" s="84">
        <f t="shared" si="82"/>
        <v>0.02</v>
      </c>
      <c r="B24" s="770">
        <v>1.4968392434575928</v>
      </c>
      <c r="C24" s="771">
        <v>5.4930258227461897</v>
      </c>
      <c r="D24" s="772">
        <v>-1.836905540107109</v>
      </c>
      <c r="E24" s="773">
        <v>-0.75571707396695653</v>
      </c>
      <c r="F24" s="771">
        <v>0.62509536261972742</v>
      </c>
      <c r="G24" s="774">
        <v>0.19531382886558066</v>
      </c>
      <c r="H24" s="773">
        <v>0.26600000000000001</v>
      </c>
      <c r="I24" s="771">
        <v>0.52</v>
      </c>
      <c r="J24" s="601">
        <v>1.2470000000000001</v>
      </c>
      <c r="K24" s="426" t="str">
        <f t="shared" si="225"/>
        <v>1313</v>
      </c>
      <c r="L24" s="327"/>
      <c r="M24" s="173">
        <f t="shared" si="2"/>
        <v>1.2470000000000001</v>
      </c>
      <c r="N24" s="21">
        <f t="shared" si="3"/>
        <v>1.4968392434575928</v>
      </c>
      <c r="O24" s="5">
        <f t="shared" si="4"/>
        <v>5.4930258227461897</v>
      </c>
      <c r="P24" s="10">
        <f t="shared" si="5"/>
        <v>-1.836905540107109</v>
      </c>
      <c r="Q24" s="624">
        <f t="shared" si="116"/>
        <v>74.757102200802137</v>
      </c>
      <c r="R24" s="5">
        <f t="shared" si="83"/>
        <v>5.6933171710445887</v>
      </c>
      <c r="S24" s="6">
        <f t="shared" si="84"/>
        <v>-1.836905540107109</v>
      </c>
      <c r="T24" s="4">
        <f t="shared" si="85"/>
        <v>5.4933391995011887</v>
      </c>
      <c r="U24" s="5">
        <f t="shared" si="86"/>
        <v>-1.4956887541647164</v>
      </c>
      <c r="V24" s="8">
        <f t="shared" si="117"/>
        <v>-1.836905540107109</v>
      </c>
      <c r="W24" s="624">
        <f t="shared" si="227"/>
        <v>344.76910219906955</v>
      </c>
      <c r="X24" s="5">
        <f t="shared" si="87"/>
        <v>5.6933171710445887</v>
      </c>
      <c r="Y24" s="7">
        <f t="shared" si="226"/>
        <v>-1.836905540107109</v>
      </c>
      <c r="Z24" s="21">
        <f t="shared" si="7"/>
        <v>0.75571707396695653</v>
      </c>
      <c r="AA24" s="5">
        <f t="shared" si="8"/>
        <v>-0.62509536261972742</v>
      </c>
      <c r="AB24" s="5">
        <f t="shared" si="9"/>
        <v>-0.19531382886558066</v>
      </c>
      <c r="AC24" s="8">
        <f t="shared" si="88"/>
        <v>1</v>
      </c>
      <c r="AD24" s="9">
        <f t="shared" si="118"/>
        <v>0.75571707396695653</v>
      </c>
      <c r="AE24" s="5">
        <f t="shared" si="89"/>
        <v>-0.62509536261972742</v>
      </c>
      <c r="AF24" s="10">
        <f t="shared" si="90"/>
        <v>-0.19531382886558066</v>
      </c>
      <c r="AG24" s="622">
        <f t="shared" si="91"/>
        <v>-72.648352931436193</v>
      </c>
      <c r="AH24" s="623">
        <f t="shared" si="92"/>
        <v>40.911934386497492</v>
      </c>
      <c r="AI24" s="624">
        <f t="shared" si="93"/>
        <v>-78.736942820422527</v>
      </c>
      <c r="AJ24" s="625">
        <f t="shared" si="94"/>
        <v>50.403968972011022</v>
      </c>
      <c r="AK24" s="4">
        <f>IF(M24="","",(COS(RADIANS((90-$Q$8)-W24))*AD24)+(-SIN(RADIANS((90-$Q$8)-W24))*AE24))</f>
        <v>0.89347572229669647</v>
      </c>
      <c r="AL24" s="5">
        <f t="shared" si="95"/>
        <v>-0.40441765777505745</v>
      </c>
      <c r="AM24" s="6">
        <f t="shared" si="96"/>
        <v>-0.19531382886558066</v>
      </c>
      <c r="AN24" s="612">
        <f t="shared" si="97"/>
        <v>-64.221743435659661</v>
      </c>
      <c r="AO24" s="613">
        <f t="shared" si="98"/>
        <v>26.686692579781042</v>
      </c>
      <c r="AP24" s="624">
        <f t="shared" si="99"/>
        <v>-24.353133228791101</v>
      </c>
      <c r="AQ24" s="625">
        <f t="shared" si="10"/>
        <v>2.1772443984217955</v>
      </c>
      <c r="AS24" s="56">
        <f t="shared" si="119"/>
        <v>-15.23089780093045</v>
      </c>
      <c r="AT24" s="77">
        <f t="shared" si="11"/>
        <v>-1.7793212595323615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1.2470000000000001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1.147</v>
      </c>
      <c r="II24" s="800" cm="1">
        <f t="array" ref="II24">IFERROR(IF($IH24&lt;1,$IH24+LARGE((IF($M$9:$M$150="",0,$M$9:$M$150)-MOD(IF($M$9:$M$150="",0,$M$9:$M$150),1)),1),$IH24),"")</f>
        <v>1.147</v>
      </c>
      <c r="IJ24" s="839" t="str">
        <f t="shared" si="68"/>
        <v>1613</v>
      </c>
      <c r="IK24" s="839" t="str">
        <f t="shared" si="69"/>
        <v>1313</v>
      </c>
      <c r="IL24" s="791">
        <f t="shared" si="228"/>
        <v>11.272898372394877</v>
      </c>
      <c r="IM24" s="830">
        <v>1.37250461553141E-3</v>
      </c>
      <c r="IN24" s="5">
        <f t="shared" si="229"/>
        <v>0</v>
      </c>
      <c r="IO24" s="852">
        <v>0</v>
      </c>
      <c r="IP24" s="9">
        <f t="shared" si="230"/>
        <v>-5.6515170449754084</v>
      </c>
      <c r="IQ24" s="5">
        <f t="shared" si="231"/>
        <v>-1.8801056703987022</v>
      </c>
      <c r="IR24" s="5">
        <f t="shared" si="74"/>
        <v>0.314</v>
      </c>
      <c r="IS24" s="5">
        <f t="shared" si="232"/>
        <v>0.29900638515209266</v>
      </c>
      <c r="IT24" s="791">
        <f t="shared" si="233"/>
        <v>75.610510945804862</v>
      </c>
      <c r="IU24" s="9">
        <f t="shared" si="234"/>
        <v>-5.6933171710445887</v>
      </c>
      <c r="IV24" s="5">
        <f t="shared" si="235"/>
        <v>-1.836905540107109</v>
      </c>
      <c r="IW24" s="5">
        <f t="shared" si="79"/>
        <v>0.26600000000000001</v>
      </c>
      <c r="IX24" s="5">
        <f t="shared" si="236"/>
        <v>0.23766454213092128</v>
      </c>
      <c r="IY24" s="833">
        <f t="shared" si="237"/>
        <v>64.221743435659661</v>
      </c>
    </row>
    <row r="25" spans="1:259" ht="15" customHeight="1" x14ac:dyDescent="0.25">
      <c r="A25" s="84">
        <f t="shared" si="82"/>
        <v>0</v>
      </c>
      <c r="B25" s="770">
        <v>1.74070938577394</v>
      </c>
      <c r="C25" s="771">
        <v>5.5649226906149787</v>
      </c>
      <c r="D25" s="772">
        <v>-2.6468079827728759</v>
      </c>
      <c r="E25" s="773">
        <v>0.24951840776902987</v>
      </c>
      <c r="F25" s="771">
        <v>0.79769316054000627</v>
      </c>
      <c r="G25" s="774">
        <v>0.54902293741892427</v>
      </c>
      <c r="H25" s="773">
        <v>0.25700000000000001</v>
      </c>
      <c r="I25" s="771">
        <v>0.41499999999999992</v>
      </c>
      <c r="J25" s="601">
        <v>1.254</v>
      </c>
      <c r="K25" s="426" t="str">
        <f t="shared" si="225"/>
        <v>Knuckle</v>
      </c>
      <c r="L25" s="327"/>
      <c r="M25" s="173">
        <f t="shared" si="2"/>
        <v>1.254</v>
      </c>
      <c r="N25" s="21">
        <f t="shared" si="3"/>
        <v>1.74070938577394</v>
      </c>
      <c r="O25" s="5">
        <f t="shared" si="4"/>
        <v>5.5649226906149787</v>
      </c>
      <c r="P25" s="10">
        <f t="shared" si="5"/>
        <v>-2.6468079827728759</v>
      </c>
      <c r="Q25" s="624">
        <f t="shared" si="116"/>
        <v>72.630302507874035</v>
      </c>
      <c r="R25" s="5">
        <f>IF(M25="","",SQRT(N25^2+O25^2))</f>
        <v>5.83081758574584</v>
      </c>
      <c r="S25" s="6">
        <f>IF(M25="","",P25)</f>
        <v>-2.6468079827728759</v>
      </c>
      <c r="T25" s="4">
        <f>IF(M25="","",X25*COS(RADIANS(W25)))</f>
        <v>5.5652871418285246</v>
      </c>
      <c r="U25" s="5">
        <f>IF(M25="","",X25*SIN(RADIANS(W25)))</f>
        <v>-1.7395438330898796</v>
      </c>
      <c r="V25" s="8">
        <f>IF(M25="","",Y25)</f>
        <v>-2.6468079827728759</v>
      </c>
      <c r="W25" s="624">
        <f t="shared" si="227"/>
        <v>342.64230250614145</v>
      </c>
      <c r="X25" s="5">
        <f>IF(M25="","",R25)</f>
        <v>5.83081758574584</v>
      </c>
      <c r="Y25" s="7">
        <f t="shared" si="226"/>
        <v>-2.6468079827728759</v>
      </c>
      <c r="Z25" s="21">
        <f t="shared" si="7"/>
        <v>-0.24951840776902987</v>
      </c>
      <c r="AA25" s="5">
        <f t="shared" si="8"/>
        <v>-0.79769316054000627</v>
      </c>
      <c r="AB25" s="5">
        <f t="shared" si="9"/>
        <v>-0.54902293741892427</v>
      </c>
      <c r="AC25" s="8">
        <f>IF(M25="","",SQRT(Z25^2+AA25^2+AB25^2))</f>
        <v>1</v>
      </c>
      <c r="AD25" s="9">
        <f>IF(M25="","",Z25*(1/SQRT(Z25^2+AA25^2+AB25^2)))</f>
        <v>-0.24951840776902987</v>
      </c>
      <c r="AE25" s="5">
        <f>IF(M25="","",AA25*(1/SQRT(Z25^2+AA25^2+AB25^2)))</f>
        <v>-0.79769316054000627</v>
      </c>
      <c r="AF25" s="10">
        <f>IF(M25="","",AB25*(1/SQRT(Z25^2+AA25^2+AB25^2)))</f>
        <v>-0.54902293741892427</v>
      </c>
      <c r="AG25" s="622">
        <f>IF(M25="","",DEGREES(ATAN2(-AF25,AE25)))</f>
        <v>-55.461789819946006</v>
      </c>
      <c r="AH25" s="623">
        <f>IF(M25="","",DEGREES(ACOS(AD25)))</f>
        <v>104.44901587767713</v>
      </c>
      <c r="AI25" s="624">
        <f>IF(M25="","",DEGREES(-ACOS(-AF25)))</f>
        <v>-56.699991813534986</v>
      </c>
      <c r="AJ25" s="625">
        <f>IF(M25="","",DEGREES(ATAN2(-AE25,AD25)))</f>
        <v>-17.369681945012825</v>
      </c>
      <c r="AK25" s="4">
        <f>IF(M25="","",(COS(RADIANS((90-$Q$8)-W25))*AD25)+(-SIN(RADIANS((90-$Q$8)-W25))*AE25))</f>
        <v>2.2679489647403628E-7</v>
      </c>
      <c r="AL25" s="5">
        <f>IF(M25="","",(SIN(RADIANS((90-$Q$8)-W25))*AD25)+(COS(RADIANS((90-$Q$8)-W25))*AE25))</f>
        <v>-0.83580728292342887</v>
      </c>
      <c r="AM25" s="6">
        <f>IF(M25="","",AF25)</f>
        <v>-0.54902293741892427</v>
      </c>
      <c r="AN25" s="612">
        <f>IF(M25="","",DEGREES(ATAN2(-AM25,AL25)))</f>
        <v>-56.699991813534027</v>
      </c>
      <c r="AO25" s="613">
        <f>IF(ROUND(IF(M25="",0,DEGREES(ACOS(AK25))),4)=90,0,IF(M25="","",DEGREES(ACOS(AK25))))</f>
        <v>0</v>
      </c>
      <c r="AP25" s="624">
        <f>IF(M25="","",DEGREES(ATAN2(AK25,AL25)))</f>
        <v>-89.999984452886878</v>
      </c>
      <c r="AQ25" s="625">
        <f t="shared" si="10"/>
        <v>2.1259490200707925</v>
      </c>
      <c r="AS25" s="56">
        <f t="shared" si="119"/>
        <v>-17.357697493858552</v>
      </c>
      <c r="AT25" s="77">
        <f t="shared" si="11"/>
        <v>-2.5811891255804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1.254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1.1539999999999999</v>
      </c>
      <c r="II25" s="800" cm="1">
        <f t="array" ref="II25">IFERROR(IF($IH25&lt;1,$IH25+LARGE((IF($M$9:$M$150="",0,$M$9:$M$150)-MOD(IF($M$9:$M$150="",0,$M$9:$M$150),1)),1),$IH25),"")</f>
        <v>1.1539999999999999</v>
      </c>
      <c r="IJ25" s="839" t="str">
        <f t="shared" si="68"/>
        <v>1613</v>
      </c>
      <c r="IK25" s="839" t="str">
        <f t="shared" si="69"/>
        <v>Knuckle</v>
      </c>
      <c r="IL25" s="791">
        <f t="shared" si="228"/>
        <v>13.14469810214041</v>
      </c>
      <c r="IM25" s="830">
        <v>2.0295171980214699E-4</v>
      </c>
      <c r="IN25" s="5">
        <f t="shared" si="229"/>
        <v>0</v>
      </c>
      <c r="IO25" s="852">
        <v>0</v>
      </c>
      <c r="IP25" s="9">
        <f t="shared" si="230"/>
        <v>-5.7985174883287449</v>
      </c>
      <c r="IQ25" s="5">
        <f t="shared" si="231"/>
        <v>-2.6648080370610403</v>
      </c>
      <c r="IR25" s="5">
        <f t="shared" si="74"/>
        <v>0.314</v>
      </c>
      <c r="IS25" s="5">
        <f t="shared" si="232"/>
        <v>0.29056917940206856</v>
      </c>
      <c r="IT25" s="791">
        <f t="shared" si="233"/>
        <v>84.004115704946273</v>
      </c>
      <c r="IU25" s="9">
        <f t="shared" si="234"/>
        <v>-5.83081758574584</v>
      </c>
      <c r="IV25" s="5">
        <f t="shared" si="235"/>
        <v>-2.6468079827728759</v>
      </c>
      <c r="IW25" s="5">
        <f t="shared" si="79"/>
        <v>0.25700000000000001</v>
      </c>
      <c r="IX25" s="5">
        <f t="shared" si="236"/>
        <v>0.25700000000000001</v>
      </c>
      <c r="IY25" s="833">
        <f t="shared" si="237"/>
        <v>56.699991813534027</v>
      </c>
    </row>
    <row r="26" spans="1:259" ht="15" customHeight="1" x14ac:dyDescent="0.25">
      <c r="A26" s="84">
        <f t="shared" si="82"/>
        <v>0.02</v>
      </c>
      <c r="B26" s="770">
        <v>1.9128466222921634</v>
      </c>
      <c r="C26" s="771">
        <v>1.3897621670467843</v>
      </c>
      <c r="D26" s="772">
        <v>-0.23590071147654582</v>
      </c>
      <c r="E26" s="773">
        <v>-0.62342295401089265</v>
      </c>
      <c r="F26" s="771">
        <v>0.69311910094267049</v>
      </c>
      <c r="G26" s="774">
        <v>0.36184213729298692</v>
      </c>
      <c r="H26" s="773">
        <v>0.314</v>
      </c>
      <c r="I26" s="771">
        <v>0.52</v>
      </c>
      <c r="J26" s="601">
        <v>2.1110000000000002</v>
      </c>
      <c r="K26" s="426" t="str">
        <f t="shared" si="225"/>
        <v>1613</v>
      </c>
      <c r="L26" s="327"/>
      <c r="M26" s="173">
        <f t="shared" si="2"/>
        <v>2.1110000000000002</v>
      </c>
      <c r="N26" s="21">
        <f t="shared" si="3"/>
        <v>1.9128466222921634</v>
      </c>
      <c r="O26" s="5">
        <f t="shared" si="4"/>
        <v>1.3897621670467843</v>
      </c>
      <c r="P26" s="10">
        <f t="shared" si="5"/>
        <v>-0.23590071147654582</v>
      </c>
      <c r="Q26" s="624">
        <f t="shared" si="116"/>
        <v>35.99995581907266</v>
      </c>
      <c r="R26" s="5">
        <f>IF(M26="","",SQRT(N26^2+O26^2))</f>
        <v>2.3644071310519075</v>
      </c>
      <c r="S26" s="6">
        <f>IF(M26="","",P26)</f>
        <v>-0.23590071147654582</v>
      </c>
      <c r="T26" s="4">
        <f>IF(M26="","",X26*COS(RADIANS(W26)))</f>
        <v>1.3901627621648616</v>
      </c>
      <c r="U26" s="5">
        <f>IF(M26="","",X26*SIN(RADIANS(W26)))</f>
        <v>-1.9125555092752926</v>
      </c>
      <c r="V26" s="8">
        <f>IF(M26="","",Y26)</f>
        <v>-0.23590071147654582</v>
      </c>
      <c r="W26" s="624">
        <f t="shared" si="227"/>
        <v>306.01195581734009</v>
      </c>
      <c r="X26" s="5">
        <f>IF(M26="","",R26)</f>
        <v>2.3644071310519075</v>
      </c>
      <c r="Y26" s="7">
        <f t="shared" si="226"/>
        <v>-0.23590071147654582</v>
      </c>
      <c r="Z26" s="21">
        <f t="shared" si="7"/>
        <v>0.62342295401089265</v>
      </c>
      <c r="AA26" s="5">
        <f t="shared" si="8"/>
        <v>-0.69311910094267049</v>
      </c>
      <c r="AB26" s="5">
        <f t="shared" si="9"/>
        <v>-0.36184213729298692</v>
      </c>
      <c r="AC26" s="8">
        <f>IF(M26="","",SQRT(Z26^2+AA26^2+AB26^2))</f>
        <v>1</v>
      </c>
      <c r="AD26" s="9">
        <f>IF(M26="","",Z26*(1/SQRT(Z26^2+AA26^2+AB26^2)))</f>
        <v>0.62342295401089265</v>
      </c>
      <c r="AE26" s="5">
        <f>IF(M26="","",AA26*(1/SQRT(Z26^2+AA26^2+AB26^2)))</f>
        <v>-0.69311910094267049</v>
      </c>
      <c r="AF26" s="10">
        <f>IF(M26="","",AB26*(1/SQRT(Z26^2+AA26^2+AB26^2)))</f>
        <v>-0.36184213729298692</v>
      </c>
      <c r="AG26" s="622">
        <f>IF(M26="","",DEGREES(ATAN2(-AF26,AE26)))</f>
        <v>-62.433234556246546</v>
      </c>
      <c r="AH26" s="623">
        <f>IF(M26="","",DEGREES(ACOS(AD26)))</f>
        <v>51.433470142772769</v>
      </c>
      <c r="AI26" s="624">
        <f>IF(M26="","",DEGREES(-ACOS(-AF26)))</f>
        <v>-68.786628843697017</v>
      </c>
      <c r="AJ26" s="625">
        <f>IF(M26="","",DEGREES(ATAN2(-AE26,AD26)))</f>
        <v>41.969659352255292</v>
      </c>
      <c r="AK26" s="4">
        <f>IF(M26="","",(COS(RADIANS((90-$Q$8)-W26))*AD26)+(-SIN(RADIANS((90-$Q$8)-W26))*AE26))</f>
        <v>0.9271838753345083</v>
      </c>
      <c r="AL26" s="5">
        <f>IF(M26="","",(SIN(RADIANS((90-$Q$8)-W26))*AD26)+(COS(RADIANS((90-$Q$8)-W26))*AE26))</f>
        <v>9.6955293815894461E-2</v>
      </c>
      <c r="AM26" s="6">
        <f>IF(M26="","",AF26)</f>
        <v>-0.36184213729298692</v>
      </c>
      <c r="AN26" s="612">
        <f>IF(M26="","",DEGREES(ATAN2(-AM26,AL26)))</f>
        <v>14.999997834268243</v>
      </c>
      <c r="AO26" s="613">
        <f t="shared" si="98"/>
        <v>21.999996823593442</v>
      </c>
      <c r="AP26" s="624">
        <f>IF(M26="","",DEGREES(ATAN2(AK26,AL26)))</f>
        <v>5.9697035331826145</v>
      </c>
      <c r="AQ26" s="625">
        <f t="shared" si="10"/>
        <v>5.2305888479312443</v>
      </c>
      <c r="AS26" s="56">
        <f t="shared" si="119"/>
        <v>-53.988044182659905</v>
      </c>
      <c r="AT26" s="77">
        <f t="shared" si="11"/>
        <v>-3.1900544570820394E-2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7"/>
        <v>2.1110000000000002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8"/>
        <v/>
      </c>
      <c r="IK26" s="839" t="str">
        <f t="shared" si="69"/>
        <v/>
      </c>
      <c r="IL26" s="791" t="str">
        <f t="shared" si="228"/>
        <v/>
      </c>
      <c r="IM26" s="830"/>
      <c r="IN26" s="5" t="str">
        <f t="shared" si="229"/>
        <v/>
      </c>
      <c r="IO26" s="852"/>
      <c r="IP26" s="9" t="str">
        <f t="shared" si="230"/>
        <v/>
      </c>
      <c r="IQ26" s="5" t="str">
        <f t="shared" si="231"/>
        <v/>
      </c>
      <c r="IR26" s="5" t="str">
        <f t="shared" si="74"/>
        <v/>
      </c>
      <c r="IS26" s="5" t="str">
        <f t="shared" si="232"/>
        <v/>
      </c>
      <c r="IT26" s="791" t="str">
        <f t="shared" si="233"/>
        <v/>
      </c>
      <c r="IU26" s="9" t="str">
        <f t="shared" si="234"/>
        <v/>
      </c>
      <c r="IV26" s="5" t="str">
        <f t="shared" si="235"/>
        <v/>
      </c>
      <c r="IW26" s="5" t="str">
        <f t="shared" si="79"/>
        <v/>
      </c>
      <c r="IX26" s="5" t="str">
        <f t="shared" si="236"/>
        <v/>
      </c>
      <c r="IY26" s="833" t="str">
        <f t="shared" si="237"/>
        <v/>
      </c>
    </row>
    <row r="27" spans="1:259" ht="15" customHeight="1" x14ac:dyDescent="0.25">
      <c r="A27" s="84">
        <f t="shared" si="82"/>
        <v>0.02</v>
      </c>
      <c r="B27" s="770">
        <v>2.5694503487379672</v>
      </c>
      <c r="C27" s="771">
        <v>1.8385933127590606</v>
      </c>
      <c r="D27" s="772">
        <v>-8.2100247614346936E-2</v>
      </c>
      <c r="E27" s="773">
        <v>-0.5257836058176405</v>
      </c>
      <c r="F27" s="771">
        <v>0.80429700762941503</v>
      </c>
      <c r="G27" s="774">
        <v>0.27687167311187472</v>
      </c>
      <c r="H27" s="773">
        <v>0.314</v>
      </c>
      <c r="I27" s="771">
        <v>0.52</v>
      </c>
      <c r="J27" s="601">
        <v>2.1179999999999999</v>
      </c>
      <c r="K27" s="426" t="str">
        <f t="shared" si="225"/>
        <v>1613</v>
      </c>
      <c r="L27" s="327"/>
      <c r="M27" s="173">
        <f t="shared" si="2"/>
        <v>2.1179999999999999</v>
      </c>
      <c r="N27" s="21">
        <f t="shared" si="3"/>
        <v>2.5694503487379672</v>
      </c>
      <c r="O27" s="5">
        <f t="shared" si="4"/>
        <v>1.8385933127590606</v>
      </c>
      <c r="P27" s="10">
        <f t="shared" si="5"/>
        <v>-8.2100247614346936E-2</v>
      </c>
      <c r="Q27" s="624">
        <f t="shared" si="116"/>
        <v>35.58595587884686</v>
      </c>
      <c r="R27" s="5">
        <f t="shared" si="83"/>
        <v>3.15950952908074</v>
      </c>
      <c r="S27" s="6">
        <f t="shared" si="84"/>
        <v>-8.2100247614346936E-2</v>
      </c>
      <c r="T27" s="4">
        <f t="shared" si="85"/>
        <v>1.8391314167751982</v>
      </c>
      <c r="U27" s="5">
        <f t="shared" si="86"/>
        <v>-2.5690652183590923</v>
      </c>
      <c r="V27" s="8">
        <f t="shared" si="117"/>
        <v>-8.2100247614346936E-2</v>
      </c>
      <c r="W27" s="624">
        <f t="shared" si="227"/>
        <v>305.59795587711426</v>
      </c>
      <c r="X27" s="5">
        <f t="shared" si="87"/>
        <v>3.15950952908074</v>
      </c>
      <c r="Y27" s="7">
        <f t="shared" si="226"/>
        <v>-8.2100247614346936E-2</v>
      </c>
      <c r="Z27" s="21">
        <f t="shared" si="7"/>
        <v>0.5257836058176405</v>
      </c>
      <c r="AA27" s="5">
        <f t="shared" si="8"/>
        <v>-0.80429700762941503</v>
      </c>
      <c r="AB27" s="5">
        <f t="shared" si="9"/>
        <v>-0.27687167311187472</v>
      </c>
      <c r="AC27" s="8">
        <f t="shared" si="88"/>
        <v>1</v>
      </c>
      <c r="AD27" s="9">
        <f t="shared" si="118"/>
        <v>0.5257836058176405</v>
      </c>
      <c r="AE27" s="5">
        <f t="shared" si="89"/>
        <v>-0.80429700762941503</v>
      </c>
      <c r="AF27" s="10">
        <f t="shared" si="90"/>
        <v>-0.27687167311187472</v>
      </c>
      <c r="AG27" s="622">
        <f t="shared" si="91"/>
        <v>-71.004457902375236</v>
      </c>
      <c r="AH27" s="623">
        <f t="shared" si="92"/>
        <v>58.278989796055619</v>
      </c>
      <c r="AI27" s="624">
        <f t="shared" si="93"/>
        <v>-73.926415235492726</v>
      </c>
      <c r="AJ27" s="625">
        <f t="shared" si="94"/>
        <v>33.173376394082453</v>
      </c>
      <c r="AK27" s="4">
        <f t="shared" si="213"/>
        <v>0.96005516692950255</v>
      </c>
      <c r="AL27" s="5">
        <f t="shared" si="95"/>
        <v>-4.0449389120185697E-2</v>
      </c>
      <c r="AM27" s="6">
        <f t="shared" si="96"/>
        <v>-0.27687167311187472</v>
      </c>
      <c r="AN27" s="612">
        <f t="shared" si="97"/>
        <v>-8.3117885497717729</v>
      </c>
      <c r="AO27" s="613">
        <f t="shared" si="98"/>
        <v>16.248912206298556</v>
      </c>
      <c r="AP27" s="624">
        <f t="shared" si="99"/>
        <v>-2.4125794847643678</v>
      </c>
      <c r="AQ27" s="625">
        <f t="shared" si="10"/>
        <v>3.9190784342056748</v>
      </c>
      <c r="AS27" s="56">
        <f t="shared" si="119"/>
        <v>-54.402044122885741</v>
      </c>
      <c r="AT27" s="77">
        <f t="shared" si="11"/>
        <v>0.12346391906556499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7"/>
        <v>2.1179999999999999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8"/>
        <v/>
      </c>
      <c r="IK27" s="839" t="str">
        <f t="shared" si="69"/>
        <v/>
      </c>
      <c r="IL27" s="791" t="str">
        <f t="shared" si="228"/>
        <v/>
      </c>
      <c r="IM27" s="830"/>
      <c r="IN27" s="5" t="str">
        <f t="shared" si="229"/>
        <v/>
      </c>
      <c r="IO27" s="852"/>
      <c r="IP27" s="9" t="str">
        <f t="shared" si="230"/>
        <v/>
      </c>
      <c r="IQ27" s="5" t="str">
        <f t="shared" si="231"/>
        <v/>
      </c>
      <c r="IR27" s="5" t="str">
        <f t="shared" si="74"/>
        <v/>
      </c>
      <c r="IS27" s="5" t="str">
        <f t="shared" si="232"/>
        <v/>
      </c>
      <c r="IT27" s="791" t="str">
        <f t="shared" si="233"/>
        <v/>
      </c>
      <c r="IU27" s="9" t="str">
        <f t="shared" si="234"/>
        <v/>
      </c>
      <c r="IV27" s="5" t="str">
        <f t="shared" si="235"/>
        <v/>
      </c>
      <c r="IW27" s="5" t="str">
        <f t="shared" si="79"/>
        <v/>
      </c>
      <c r="IX27" s="5" t="str">
        <f t="shared" si="236"/>
        <v/>
      </c>
      <c r="IY27" s="833" t="str">
        <f t="shared" si="237"/>
        <v/>
      </c>
    </row>
    <row r="28" spans="1:259" ht="15" customHeight="1" x14ac:dyDescent="0.25">
      <c r="A28" s="84">
        <f t="shared" si="82"/>
        <v>0.02</v>
      </c>
      <c r="B28" s="770">
        <v>3.2520835799466483</v>
      </c>
      <c r="C28" s="771">
        <v>2.2499148802361155</v>
      </c>
      <c r="D28" s="772">
        <v>-0.17260052056316999</v>
      </c>
      <c r="E28" s="773">
        <v>-0.43961730212279643</v>
      </c>
      <c r="F28" s="771">
        <v>0.86549557062770055</v>
      </c>
      <c r="G28" s="774">
        <v>0.24011256713905058</v>
      </c>
      <c r="H28" s="773">
        <v>0.314</v>
      </c>
      <c r="I28" s="771">
        <v>0.52</v>
      </c>
      <c r="J28" s="601">
        <v>2.125</v>
      </c>
      <c r="K28" s="426" t="str">
        <f t="shared" si="225"/>
        <v>1613</v>
      </c>
      <c r="L28" s="327"/>
      <c r="M28" s="173">
        <f t="shared" si="2"/>
        <v>2.125</v>
      </c>
      <c r="N28" s="21">
        <f t="shared" si="3"/>
        <v>3.2520835799466483</v>
      </c>
      <c r="O28" s="5">
        <f t="shared" si="4"/>
        <v>2.2499148802361155</v>
      </c>
      <c r="P28" s="10">
        <f t="shared" si="5"/>
        <v>-0.17260052056316999</v>
      </c>
      <c r="Q28" s="624">
        <f t="shared" si="116"/>
        <v>34.676956010090201</v>
      </c>
      <c r="R28" s="5">
        <f t="shared" si="83"/>
        <v>3.9545119268079723</v>
      </c>
      <c r="S28" s="6">
        <f t="shared" si="84"/>
        <v>-0.17260052056316999</v>
      </c>
      <c r="T28" s="4">
        <f t="shared" si="85"/>
        <v>2.2505959455788944</v>
      </c>
      <c r="U28" s="5">
        <f t="shared" si="86"/>
        <v>-3.2516122876213798</v>
      </c>
      <c r="V28" s="8">
        <f t="shared" si="117"/>
        <v>-0.17260052056316999</v>
      </c>
      <c r="W28" s="624">
        <f t="shared" si="227"/>
        <v>304.68895600835759</v>
      </c>
      <c r="X28" s="5">
        <f t="shared" si="87"/>
        <v>3.9545119268079723</v>
      </c>
      <c r="Y28" s="7">
        <f t="shared" si="226"/>
        <v>-0.17260052056316999</v>
      </c>
      <c r="Z28" s="21">
        <f t="shared" si="7"/>
        <v>0.43961730212279643</v>
      </c>
      <c r="AA28" s="5">
        <f t="shared" si="8"/>
        <v>-0.86549557062770055</v>
      </c>
      <c r="AB28" s="5">
        <f t="shared" si="9"/>
        <v>-0.24011256713905058</v>
      </c>
      <c r="AC28" s="8">
        <f t="shared" si="88"/>
        <v>1</v>
      </c>
      <c r="AD28" s="9">
        <f t="shared" si="118"/>
        <v>0.43961730212279643</v>
      </c>
      <c r="AE28" s="5">
        <f t="shared" si="89"/>
        <v>-0.86549557062770055</v>
      </c>
      <c r="AF28" s="10">
        <f t="shared" si="90"/>
        <v>-0.24011256713905058</v>
      </c>
      <c r="AG28" s="622">
        <f t="shared" si="91"/>
        <v>-74.494504369168638</v>
      </c>
      <c r="AH28" s="623">
        <f t="shared" si="92"/>
        <v>63.920533939929861</v>
      </c>
      <c r="AI28" s="624">
        <f t="shared" si="93"/>
        <v>-76.106815741024761</v>
      </c>
      <c r="AJ28" s="625">
        <f t="shared" si="94"/>
        <v>26.927704391214636</v>
      </c>
      <c r="AK28" s="4">
        <f t="shared" si="213"/>
        <v>0.96187987640755024</v>
      </c>
      <c r="AL28" s="5">
        <f t="shared" si="95"/>
        <v>-0.13089330947031297</v>
      </c>
      <c r="AM28" s="6">
        <f t="shared" si="96"/>
        <v>-0.24011256713905058</v>
      </c>
      <c r="AN28" s="612">
        <f t="shared" si="97"/>
        <v>-28.596263650637308</v>
      </c>
      <c r="AO28" s="613">
        <f t="shared" si="98"/>
        <v>15.870994377914428</v>
      </c>
      <c r="AP28" s="624">
        <f t="shared" si="99"/>
        <v>-7.7492516188755527</v>
      </c>
      <c r="AQ28" s="625">
        <f t="shared" si="10"/>
        <v>3.1329656898542151</v>
      </c>
      <c r="AS28" s="56">
        <f t="shared" si="119"/>
        <v>-55.311043991642407</v>
      </c>
      <c r="AT28" s="77">
        <f t="shared" si="11"/>
        <v>3.6397645620933783E-2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7"/>
        <v>2.125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8"/>
        <v/>
      </c>
      <c r="IK28" s="839" t="str">
        <f t="shared" si="69"/>
        <v/>
      </c>
      <c r="IL28" s="791" t="str">
        <f t="shared" si="228"/>
        <v/>
      </c>
      <c r="IM28" s="830"/>
      <c r="IN28" s="5" t="str">
        <f t="shared" si="229"/>
        <v/>
      </c>
      <c r="IO28" s="852"/>
      <c r="IP28" s="9" t="str">
        <f t="shared" si="230"/>
        <v/>
      </c>
      <c r="IQ28" s="5" t="str">
        <f t="shared" si="231"/>
        <v/>
      </c>
      <c r="IR28" s="5" t="str">
        <f t="shared" si="74"/>
        <v/>
      </c>
      <c r="IS28" s="5" t="str">
        <f t="shared" si="232"/>
        <v/>
      </c>
      <c r="IT28" s="791" t="str">
        <f t="shared" si="233"/>
        <v/>
      </c>
      <c r="IU28" s="9" t="str">
        <f t="shared" si="234"/>
        <v/>
      </c>
      <c r="IV28" s="5" t="str">
        <f t="shared" si="235"/>
        <v/>
      </c>
      <c r="IW28" s="5" t="str">
        <f t="shared" si="79"/>
        <v/>
      </c>
      <c r="IX28" s="5" t="str">
        <f t="shared" si="236"/>
        <v/>
      </c>
      <c r="IY28" s="833" t="str">
        <f t="shared" si="237"/>
        <v/>
      </c>
    </row>
    <row r="29" spans="1:259" ht="15" customHeight="1" x14ac:dyDescent="0.25">
      <c r="A29" s="84">
        <f t="shared" si="82"/>
        <v>0.02</v>
      </c>
      <c r="B29" s="770">
        <v>3.8970307936920463</v>
      </c>
      <c r="C29" s="771">
        <v>2.5918246777478302</v>
      </c>
      <c r="D29" s="772">
        <v>-0.50970153725983647</v>
      </c>
      <c r="E29" s="773">
        <v>-0.36048931149797564</v>
      </c>
      <c r="F29" s="771">
        <v>0.91113667998275538</v>
      </c>
      <c r="G29" s="774">
        <v>0.19969328152373478</v>
      </c>
      <c r="H29" s="773">
        <v>0.314</v>
      </c>
      <c r="I29" s="771">
        <v>0.52</v>
      </c>
      <c r="J29" s="601">
        <v>2.1320000000000001</v>
      </c>
      <c r="K29" s="426" t="str">
        <f t="shared" si="225"/>
        <v>1613</v>
      </c>
      <c r="L29" s="327"/>
      <c r="M29" s="173">
        <f t="shared" si="2"/>
        <v>2.1320000000000001</v>
      </c>
      <c r="N29" s="21">
        <f t="shared" si="3"/>
        <v>3.8970307936920463</v>
      </c>
      <c r="O29" s="5">
        <f t="shared" si="4"/>
        <v>2.5918246777478302</v>
      </c>
      <c r="P29" s="10">
        <f t="shared" si="5"/>
        <v>-0.50970153725983647</v>
      </c>
      <c r="Q29" s="624">
        <f t="shared" si="116"/>
        <v>33.626956161691425</v>
      </c>
      <c r="R29" s="5">
        <f>IF(M29="","",SQRT(N29^2+O29^2))</f>
        <v>4.6802141155257742</v>
      </c>
      <c r="S29" s="6">
        <f>IF(M29="","",P29)</f>
        <v>-0.50970153725983647</v>
      </c>
      <c r="T29" s="4">
        <f>IF(M29="","",X29*COS(RADIANS(W29)))</f>
        <v>2.592640812999778</v>
      </c>
      <c r="U29" s="5">
        <f>IF(M29="","",X29*SIN(RADIANS(W29)))</f>
        <v>-3.8964878778118317</v>
      </c>
      <c r="V29" s="8">
        <f>IF(M29="","",Y29)</f>
        <v>-0.50970153725983647</v>
      </c>
      <c r="W29" s="624">
        <f t="shared" si="227"/>
        <v>303.63895615995881</v>
      </c>
      <c r="X29" s="5">
        <f>IF(M29="","",R29)</f>
        <v>4.6802141155257742</v>
      </c>
      <c r="Y29" s="7">
        <f t="shared" si="226"/>
        <v>-0.50970153725983647</v>
      </c>
      <c r="Z29" s="21">
        <f t="shared" si="7"/>
        <v>0.36048931149797564</v>
      </c>
      <c r="AA29" s="5">
        <f t="shared" si="8"/>
        <v>-0.91113667998275538</v>
      </c>
      <c r="AB29" s="5">
        <f t="shared" si="9"/>
        <v>-0.19969328152373478</v>
      </c>
      <c r="AC29" s="8">
        <f>IF(M29="","",SQRT(Z29^2+AA29^2+AB29^2))</f>
        <v>1</v>
      </c>
      <c r="AD29" s="9">
        <f>IF(M29="","",Z29*(1/SQRT(Z29^2+AA29^2+AB29^2)))</f>
        <v>0.36048931149797564</v>
      </c>
      <c r="AE29" s="5">
        <f>IF(M29="","",AA29*(1/SQRT(Z29^2+AA29^2+AB29^2)))</f>
        <v>-0.91113667998275538</v>
      </c>
      <c r="AF29" s="10">
        <f>IF(M29="","",AB29*(1/SQRT(Z29^2+AA29^2+AB29^2)))</f>
        <v>-0.19969328152373478</v>
      </c>
      <c r="AG29" s="622">
        <f>IF(M29="","",DEGREES(ATAN2(-AF29,AE29)))</f>
        <v>-77.637982113072454</v>
      </c>
      <c r="AH29" s="623">
        <f>IF(M29="","",DEGREES(ACOS(AD29)))</f>
        <v>68.869750646936097</v>
      </c>
      <c r="AI29" s="624">
        <f>IF(M29="","",DEGREES(-ACOS(-AF29)))</f>
        <v>-78.480976450571617</v>
      </c>
      <c r="AJ29" s="625">
        <f>IF(M29="","",DEGREES(ATAN2(-AE29,AD29)))</f>
        <v>21.586124377686549</v>
      </c>
      <c r="AK29" s="4">
        <f>IF(M29="","",(COS(RADIANS((90-$Q$8)-W29))*AD29)+(-SIN(RADIANS((90-$Q$8)-W29))*AE29))</f>
        <v>0.95830077044585438</v>
      </c>
      <c r="AL29" s="5">
        <f>IF(M29="","",(SIN(RADIANS((90-$Q$8)-W29))*AD29)+(COS(RADIANS((90-$Q$8)-W29))*AE29))</f>
        <v>-0.20440701229939384</v>
      </c>
      <c r="AM29" s="6">
        <f>IF(M29="","",AF29)</f>
        <v>-0.19969328152373478</v>
      </c>
      <c r="AN29" s="612">
        <f>IF(M29="","",DEGREES(ATAN2(-AM29,AL29)))</f>
        <v>-45.668310899205608</v>
      </c>
      <c r="AO29" s="613">
        <f t="shared" si="98"/>
        <v>16.604372311054959</v>
      </c>
      <c r="AP29" s="624">
        <f>IF(M29="","",DEGREES(ATAN2(AK29,AL29)))</f>
        <v>-12.040831784004819</v>
      </c>
      <c r="AQ29" s="625">
        <f t="shared" si="10"/>
        <v>2.6479306228509798</v>
      </c>
      <c r="AS29" s="56">
        <f t="shared" si="119"/>
        <v>-56.361043840041191</v>
      </c>
      <c r="AT29" s="77">
        <f t="shared" si="11"/>
        <v>-0.29673670498178173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2.1320000000000001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8"/>
        <v/>
      </c>
      <c r="IK29" s="839" t="str">
        <f t="shared" si="69"/>
        <v/>
      </c>
      <c r="IL29" s="791" t="str">
        <f t="shared" si="228"/>
        <v/>
      </c>
      <c r="IM29" s="830"/>
      <c r="IN29" s="5" t="str">
        <f t="shared" si="229"/>
        <v/>
      </c>
      <c r="IO29" s="852"/>
      <c r="IP29" s="9" t="str">
        <f t="shared" si="230"/>
        <v/>
      </c>
      <c r="IQ29" s="5" t="str">
        <f t="shared" si="231"/>
        <v/>
      </c>
      <c r="IR29" s="5" t="str">
        <f t="shared" si="74"/>
        <v/>
      </c>
      <c r="IS29" s="5" t="str">
        <f t="shared" si="232"/>
        <v/>
      </c>
      <c r="IT29" s="791" t="str">
        <f t="shared" si="233"/>
        <v/>
      </c>
      <c r="IU29" s="9" t="str">
        <f t="shared" si="234"/>
        <v/>
      </c>
      <c r="IV29" s="5" t="str">
        <f t="shared" si="235"/>
        <v/>
      </c>
      <c r="IW29" s="5" t="str">
        <f t="shared" si="79"/>
        <v/>
      </c>
      <c r="IX29" s="5" t="str">
        <f t="shared" si="236"/>
        <v/>
      </c>
      <c r="IY29" s="833" t="str">
        <f t="shared" si="237"/>
        <v/>
      </c>
    </row>
    <row r="30" spans="1:259" ht="15" customHeight="1" x14ac:dyDescent="0.25">
      <c r="A30" s="84">
        <f t="shared" si="82"/>
        <v>0.02</v>
      </c>
      <c r="B30" s="770">
        <v>4.4287096655038924</v>
      </c>
      <c r="C30" s="771">
        <v>2.8420848984548406</v>
      </c>
      <c r="D30" s="772">
        <v>-1.0587031930488302</v>
      </c>
      <c r="E30" s="773">
        <v>-0.29747588347296638</v>
      </c>
      <c r="F30" s="771">
        <v>0.94364315009451882</v>
      </c>
      <c r="G30" s="774">
        <v>0.14507137564547901</v>
      </c>
      <c r="H30" s="773">
        <v>0.314</v>
      </c>
      <c r="I30" s="771">
        <v>0.52</v>
      </c>
      <c r="J30" s="601">
        <v>2.1389999999999998</v>
      </c>
      <c r="K30" s="426" t="str">
        <f t="shared" si="225"/>
        <v>1613</v>
      </c>
      <c r="L30" s="327"/>
      <c r="M30" s="173">
        <f t="shared" si="2"/>
        <v>2.1389999999999998</v>
      </c>
      <c r="N30" s="21">
        <f t="shared" si="3"/>
        <v>4.4287096655038924</v>
      </c>
      <c r="O30" s="5">
        <f t="shared" si="4"/>
        <v>2.8420848984548406</v>
      </c>
      <c r="P30" s="10">
        <f t="shared" si="5"/>
        <v>-1.0587031930488302</v>
      </c>
      <c r="Q30" s="624">
        <f t="shared" si="116"/>
        <v>32.689956296977478</v>
      </c>
      <c r="R30" s="5">
        <f>IF(M30="","",SQRT(N30^2+O30^2))</f>
        <v>5.2622158708430673</v>
      </c>
      <c r="S30" s="6">
        <f>IF(M30="","",P30)</f>
        <v>-1.0587031930488302</v>
      </c>
      <c r="T30" s="4">
        <f>IF(M30="","",X30*COS(RADIANS(W30)))</f>
        <v>2.8430123827635936</v>
      </c>
      <c r="U30" s="5">
        <f>IF(M30="","",X30*SIN(RADIANS(W30)))</f>
        <v>-4.4281143235925526</v>
      </c>
      <c r="V30" s="8">
        <f>IF(M30="","",Y30)</f>
        <v>-1.0587031930488302</v>
      </c>
      <c r="W30" s="624">
        <f t="shared" si="227"/>
        <v>302.70195629524488</v>
      </c>
      <c r="X30" s="5">
        <f>IF(M30="","",R30)</f>
        <v>5.2622158708430673</v>
      </c>
      <c r="Y30" s="7">
        <f t="shared" si="226"/>
        <v>-1.0587031930488302</v>
      </c>
      <c r="Z30" s="21">
        <f t="shared" si="7"/>
        <v>0.29747588347296638</v>
      </c>
      <c r="AA30" s="5">
        <f t="shared" si="8"/>
        <v>-0.94364315009451882</v>
      </c>
      <c r="AB30" s="5">
        <f t="shared" si="9"/>
        <v>-0.14507137564547901</v>
      </c>
      <c r="AC30" s="8">
        <f>IF(M30="","",SQRT(Z30^2+AA30^2+AB30^2))</f>
        <v>1</v>
      </c>
      <c r="AD30" s="9">
        <f>IF(M30="","",Z30*(1/SQRT(Z30^2+AA30^2+AB30^2)))</f>
        <v>0.29747588347296638</v>
      </c>
      <c r="AE30" s="5">
        <f>IF(M30="","",AA30*(1/SQRT(Z30^2+AA30^2+AB30^2)))</f>
        <v>-0.94364315009451882</v>
      </c>
      <c r="AF30" s="10">
        <f>IF(M30="","",AB30*(1/SQRT(Z30^2+AA30^2+AB30^2)))</f>
        <v>-0.14507137564547901</v>
      </c>
      <c r="AG30" s="622">
        <f>IF(M30="","",DEGREES(ATAN2(-AF30,AE30)))</f>
        <v>-81.260035748679698</v>
      </c>
      <c r="AH30" s="623">
        <f>IF(M30="","",DEGREES(ACOS(AD30)))</f>
        <v>72.693938264532548</v>
      </c>
      <c r="AI30" s="624">
        <f>IF(M30="","",DEGREES(-ACOS(-AF30)))</f>
        <v>-81.65858758486732</v>
      </c>
      <c r="AJ30" s="625">
        <f>IF(M30="","",DEGREES(ATAN2(-AE30,AD30)))</f>
        <v>17.497036516071717</v>
      </c>
      <c r="AK30" s="4">
        <f>IF(M30="","",(COS(RADIANS((90-$Q$8)-W30))*AD30)+(-SIN(RADIANS((90-$Q$8)-W30))*AE30))</f>
        <v>0.95483982014560942</v>
      </c>
      <c r="AL30" s="5">
        <f>IF(M30="","",(SIN(RADIANS((90-$Q$8)-W30))*AD30)+(COS(RADIANS((90-$Q$8)-W30))*AE30))</f>
        <v>-0.25929753919508908</v>
      </c>
      <c r="AM30" s="6">
        <f>IF(M30="","",AF30)</f>
        <v>-0.14507137564547901</v>
      </c>
      <c r="AN30" s="612">
        <f>IF(M30="","",DEGREES(ATAN2(-AM30,AL30)))</f>
        <v>-60.77392898930092</v>
      </c>
      <c r="AO30" s="613">
        <f>IF(ROUND(IF(M30="",0,DEGREES(ACOS(AK30))),4)=90,0,IF(M30="","",DEGREES(ACOS(AK30))))</f>
        <v>17.284768442898365</v>
      </c>
      <c r="AP30" s="624">
        <f>IF(M30="","",DEGREES(ATAN2(AK30,AL30)))</f>
        <v>-15.192919780905751</v>
      </c>
      <c r="AQ30" s="625">
        <f t="shared" si="10"/>
        <v>2.3554194702944375</v>
      </c>
      <c r="AS30" s="56">
        <f t="shared" si="119"/>
        <v>-57.298043704755116</v>
      </c>
      <c r="AT30" s="77">
        <f t="shared" si="11"/>
        <v>-0.84219858350407839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2.1389999999999998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8"/>
        <v/>
      </c>
      <c r="IK30" s="839" t="str">
        <f t="shared" si="69"/>
        <v/>
      </c>
      <c r="IL30" s="791" t="str">
        <f t="shared" si="228"/>
        <v/>
      </c>
      <c r="IM30" s="830"/>
      <c r="IN30" s="5" t="str">
        <f t="shared" si="229"/>
        <v/>
      </c>
      <c r="IO30" s="852"/>
      <c r="IP30" s="9" t="str">
        <f t="shared" si="230"/>
        <v/>
      </c>
      <c r="IQ30" s="5" t="str">
        <f t="shared" si="231"/>
        <v/>
      </c>
      <c r="IR30" s="5" t="str">
        <f t="shared" si="74"/>
        <v/>
      </c>
      <c r="IS30" s="5" t="str">
        <f t="shared" si="232"/>
        <v/>
      </c>
      <c r="IT30" s="791" t="str">
        <f t="shared" si="233"/>
        <v/>
      </c>
      <c r="IU30" s="9" t="str">
        <f t="shared" si="234"/>
        <v/>
      </c>
      <c r="IV30" s="5" t="str">
        <f t="shared" si="235"/>
        <v/>
      </c>
      <c r="IW30" s="5" t="str">
        <f t="shared" si="79"/>
        <v/>
      </c>
      <c r="IX30" s="5" t="str">
        <f t="shared" si="236"/>
        <v/>
      </c>
      <c r="IY30" s="833" t="str">
        <f t="shared" si="237"/>
        <v/>
      </c>
    </row>
    <row r="31" spans="1:259" ht="15" customHeight="1" x14ac:dyDescent="0.25">
      <c r="A31" s="84">
        <f t="shared" si="82"/>
        <v>0.02</v>
      </c>
      <c r="B31" s="770">
        <v>4.7606394391345903</v>
      </c>
      <c r="C31" s="771">
        <v>2.9847177059055867</v>
      </c>
      <c r="D31" s="772">
        <v>-1.771105341653711</v>
      </c>
      <c r="E31" s="773">
        <v>-0.25799718576320213</v>
      </c>
      <c r="F31" s="771">
        <v>0.96243637817720451</v>
      </c>
      <c r="G31" s="774">
        <v>8.4579371595046443E-2</v>
      </c>
      <c r="H31" s="773">
        <v>0.314</v>
      </c>
      <c r="I31" s="771">
        <v>0.52</v>
      </c>
      <c r="J31" s="601">
        <v>2.1459999999999999</v>
      </c>
      <c r="K31" s="426" t="str">
        <f t="shared" si="225"/>
        <v>1613</v>
      </c>
      <c r="L31" s="327"/>
      <c r="M31" s="173">
        <f t="shared" si="2"/>
        <v>2.1459999999999999</v>
      </c>
      <c r="N31" s="21">
        <f t="shared" si="3"/>
        <v>4.7606394391345903</v>
      </c>
      <c r="O31" s="5">
        <f t="shared" si="4"/>
        <v>2.9847177059055867</v>
      </c>
      <c r="P31" s="10">
        <f t="shared" si="5"/>
        <v>-1.771105341653711</v>
      </c>
      <c r="Q31" s="624">
        <f t="shared" si="116"/>
        <v>32.085956384184257</v>
      </c>
      <c r="R31" s="5">
        <f>IF(M31="","",SQRT(N31^2+O31^2))</f>
        <v>5.6189169466535107</v>
      </c>
      <c r="S31" s="6">
        <f>IF(M31="","",P31)</f>
        <v>-1.771105341653711</v>
      </c>
      <c r="T31" s="4">
        <f>IF(M31="","",X31*COS(RADIANS(W31)))</f>
        <v>2.9857147062847309</v>
      </c>
      <c r="U31" s="5">
        <f>IF(M31="","",X31*SIN(RADIANS(W31)))</f>
        <v>-4.7600142170024133</v>
      </c>
      <c r="V31" s="8">
        <f>IF(M31="","",Y31)</f>
        <v>-1.771105341653711</v>
      </c>
      <c r="W31" s="624">
        <f t="shared" si="227"/>
        <v>302.09795638245168</v>
      </c>
      <c r="X31" s="5">
        <f>IF(M31="","",R31)</f>
        <v>5.6189169466535107</v>
      </c>
      <c r="Y31" s="7">
        <f t="shared" si="226"/>
        <v>-1.771105341653711</v>
      </c>
      <c r="Z31" s="21">
        <f t="shared" si="7"/>
        <v>0.25799718576320213</v>
      </c>
      <c r="AA31" s="5">
        <f t="shared" si="8"/>
        <v>-0.96243637817720451</v>
      </c>
      <c r="AB31" s="5">
        <f t="shared" si="9"/>
        <v>-8.4579371595046443E-2</v>
      </c>
      <c r="AC31" s="8">
        <f>IF(M31="","",SQRT(Z31^2+AA31^2+AB31^2))</f>
        <v>1</v>
      </c>
      <c r="AD31" s="9">
        <f>IF(M31="","",Z31*(1/SQRT(Z31^2+AA31^2+AB31^2)))</f>
        <v>0.25799718576320213</v>
      </c>
      <c r="AE31" s="5">
        <f>IF(M31="","",AA31*(1/SQRT(Z31^2+AA31^2+AB31^2)))</f>
        <v>-0.96243637817720451</v>
      </c>
      <c r="AF31" s="10">
        <f>IF(M31="","",AB31*(1/SQRT(Z31^2+AA31^2+AB31^2)))</f>
        <v>-8.4579371595046443E-2</v>
      </c>
      <c r="AG31" s="622">
        <f>IF(M31="","",DEGREES(ATAN2(-AF31,AE31)))</f>
        <v>-84.977721815317182</v>
      </c>
      <c r="AH31" s="623">
        <f>IF(M31="","",DEGREES(ACOS(AD31)))</f>
        <v>75.048744644068336</v>
      </c>
      <c r="AI31" s="624">
        <f>IF(M31="","",DEGREES(-ACOS(-AF31)))</f>
        <v>-85.148162464639356</v>
      </c>
      <c r="AJ31" s="625">
        <f>IF(M31="","",DEGREES(ATAN2(-AE31,AD31)))</f>
        <v>15.006283826095402</v>
      </c>
      <c r="AK31" s="4">
        <f>IF(M31="","",(COS(RADIANS((90-$Q$8)-W31))*AD31)+(-SIN(RADIANS((90-$Q$8)-W31))*AE31))</f>
        <v>0.95247205090243114</v>
      </c>
      <c r="AL31" s="5">
        <f>IF(M31="","",(SIN(RADIANS((90-$Q$8)-W31))*AD31)+(COS(RADIANS((90-$Q$8)-W31))*AE31))</f>
        <v>-0.29264880343220939</v>
      </c>
      <c r="AM31" s="6">
        <f>IF(M31="","",AF31)</f>
        <v>-8.4579371595046443E-2</v>
      </c>
      <c r="AN31" s="612">
        <f>IF(M31="","",DEGREES(ATAN2(-AM31,AL31)))</f>
        <v>-73.880007314671275</v>
      </c>
      <c r="AO31" s="613">
        <f t="shared" si="98"/>
        <v>17.735663839421512</v>
      </c>
      <c r="AP31" s="624">
        <f>IF(M31="","",DEGREES(ATAN2(AK31,AL31)))</f>
        <v>-17.079672558088848</v>
      </c>
      <c r="AQ31" s="625">
        <f t="shared" si="10"/>
        <v>2.2060450501163045</v>
      </c>
      <c r="AS31" s="56">
        <f t="shared" si="119"/>
        <v>-57.902043617548316</v>
      </c>
      <c r="AT31" s="77">
        <f t="shared" si="11"/>
        <v>-1.5523189546606293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7"/>
        <v>2.1459999999999999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8"/>
        <v/>
      </c>
      <c r="IK31" s="839" t="str">
        <f t="shared" si="69"/>
        <v/>
      </c>
      <c r="IL31" s="791" t="str">
        <f t="shared" si="228"/>
        <v/>
      </c>
      <c r="IM31" s="830"/>
      <c r="IN31" s="5" t="str">
        <f t="shared" si="229"/>
        <v/>
      </c>
      <c r="IO31" s="852"/>
      <c r="IP31" s="9" t="str">
        <f t="shared" si="230"/>
        <v/>
      </c>
      <c r="IQ31" s="5" t="str">
        <f t="shared" si="231"/>
        <v/>
      </c>
      <c r="IR31" s="5" t="str">
        <f t="shared" si="74"/>
        <v/>
      </c>
      <c r="IS31" s="5" t="str">
        <f t="shared" si="232"/>
        <v/>
      </c>
      <c r="IT31" s="791" t="str">
        <f t="shared" si="233"/>
        <v/>
      </c>
      <c r="IU31" s="9" t="str">
        <f t="shared" si="234"/>
        <v/>
      </c>
      <c r="IV31" s="5" t="str">
        <f t="shared" si="235"/>
        <v/>
      </c>
      <c r="IW31" s="5" t="str">
        <f t="shared" si="79"/>
        <v/>
      </c>
      <c r="IX31" s="5" t="str">
        <f t="shared" si="236"/>
        <v/>
      </c>
      <c r="IY31" s="833" t="str">
        <f t="shared" si="237"/>
        <v/>
      </c>
    </row>
    <row r="32" spans="1:259" ht="15" customHeight="1" x14ac:dyDescent="0.25">
      <c r="A32" s="84">
        <f t="shared" si="82"/>
        <v>0.02</v>
      </c>
      <c r="B32" s="770">
        <v>4.9162214281001857</v>
      </c>
      <c r="C32" s="771">
        <v>3.0481812534981025</v>
      </c>
      <c r="D32" s="772">
        <v>-2.5514076950456097</v>
      </c>
      <c r="E32" s="773">
        <v>-0.18327522627170126</v>
      </c>
      <c r="F32" s="771">
        <v>0.98204861368164698</v>
      </c>
      <c r="G32" s="774">
        <v>4.4617393480705481E-2</v>
      </c>
      <c r="H32" s="773">
        <v>0.314</v>
      </c>
      <c r="I32" s="771">
        <v>0.52</v>
      </c>
      <c r="J32" s="601">
        <v>2.153</v>
      </c>
      <c r="K32" s="426" t="str">
        <f t="shared" si="225"/>
        <v>1613</v>
      </c>
      <c r="L32" s="327"/>
      <c r="M32" s="173">
        <f t="shared" si="2"/>
        <v>2.153</v>
      </c>
      <c r="N32" s="21">
        <f t="shared" si="3"/>
        <v>4.9162214281001857</v>
      </c>
      <c r="O32" s="5">
        <f t="shared" si="4"/>
        <v>3.0481812534981025</v>
      </c>
      <c r="P32" s="10">
        <f t="shared" si="5"/>
        <v>-2.5514076950456097</v>
      </c>
      <c r="Q32" s="624">
        <f t="shared" si="116"/>
        <v>31.79995642547755</v>
      </c>
      <c r="R32" s="5">
        <f t="shared" si="83"/>
        <v>5.7845174461046183</v>
      </c>
      <c r="S32" s="6">
        <f t="shared" si="84"/>
        <v>-2.5514076950456097</v>
      </c>
      <c r="T32" s="4">
        <f t="shared" si="85"/>
        <v>3.0492108374959628</v>
      </c>
      <c r="U32" s="5">
        <f t="shared" si="86"/>
        <v>-4.9155829107834066</v>
      </c>
      <c r="V32" s="8">
        <f t="shared" si="117"/>
        <v>-2.5514076950456097</v>
      </c>
      <c r="W32" s="624">
        <f t="shared" si="227"/>
        <v>301.81195642374496</v>
      </c>
      <c r="X32" s="5">
        <f t="shared" si="87"/>
        <v>5.7845174461046183</v>
      </c>
      <c r="Y32" s="7">
        <f t="shared" si="226"/>
        <v>-2.5514076950456097</v>
      </c>
      <c r="Z32" s="21">
        <f t="shared" si="7"/>
        <v>0.18327522627170126</v>
      </c>
      <c r="AA32" s="5">
        <f t="shared" si="8"/>
        <v>-0.98204861368164698</v>
      </c>
      <c r="AB32" s="5">
        <f t="shared" si="9"/>
        <v>-4.4617393480705481E-2</v>
      </c>
      <c r="AC32" s="8">
        <f t="shared" si="88"/>
        <v>1</v>
      </c>
      <c r="AD32" s="9">
        <f t="shared" si="118"/>
        <v>0.18327522627170126</v>
      </c>
      <c r="AE32" s="5">
        <f t="shared" si="89"/>
        <v>-0.98204861368164698</v>
      </c>
      <c r="AF32" s="10">
        <f t="shared" si="90"/>
        <v>-4.4617393480705481E-2</v>
      </c>
      <c r="AG32" s="622">
        <f t="shared" si="91"/>
        <v>-87.398670950466396</v>
      </c>
      <c r="AH32" s="623">
        <f t="shared" si="92"/>
        <v>79.439409083349517</v>
      </c>
      <c r="AI32" s="624">
        <f t="shared" si="93"/>
        <v>-87.442762727897232</v>
      </c>
      <c r="AJ32" s="625">
        <f t="shared" si="94"/>
        <v>10.57123922396414</v>
      </c>
      <c r="AK32" s="4">
        <f t="shared" si="213"/>
        <v>0.9312141586844469</v>
      </c>
      <c r="AL32" s="5">
        <f t="shared" si="95"/>
        <v>-0.36173122461933771</v>
      </c>
      <c r="AM32" s="6">
        <f t="shared" si="96"/>
        <v>-4.4617393480705481E-2</v>
      </c>
      <c r="AN32" s="612">
        <f t="shared" si="97"/>
        <v>-82.968422002808765</v>
      </c>
      <c r="AO32" s="613">
        <f t="shared" si="98"/>
        <v>21.375122000722374</v>
      </c>
      <c r="AP32" s="624">
        <f t="shared" si="99"/>
        <v>-21.228717201513394</v>
      </c>
      <c r="AQ32" s="625">
        <f t="shared" si="10"/>
        <v>2.1429496309540448</v>
      </c>
      <c r="AS32" s="56">
        <f t="shared" si="119"/>
        <v>-58.188043576255041</v>
      </c>
      <c r="AT32" s="77">
        <f t="shared" si="11"/>
        <v>-2.3315408637640802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2.153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8"/>
        <v/>
      </c>
      <c r="IK32" s="839" t="str">
        <f t="shared" si="69"/>
        <v/>
      </c>
      <c r="IL32" s="791" t="str">
        <f t="shared" si="228"/>
        <v/>
      </c>
      <c r="IM32" s="830"/>
      <c r="IN32" s="5" t="str">
        <f t="shared" si="229"/>
        <v/>
      </c>
      <c r="IO32" s="852"/>
      <c r="IP32" s="9" t="str">
        <f t="shared" si="230"/>
        <v/>
      </c>
      <c r="IQ32" s="5" t="str">
        <f t="shared" si="231"/>
        <v/>
      </c>
      <c r="IR32" s="5" t="str">
        <f t="shared" si="74"/>
        <v/>
      </c>
      <c r="IS32" s="5" t="str">
        <f t="shared" si="232"/>
        <v/>
      </c>
      <c r="IT32" s="791" t="str">
        <f t="shared" si="233"/>
        <v/>
      </c>
      <c r="IU32" s="9" t="str">
        <f t="shared" si="234"/>
        <v/>
      </c>
      <c r="IV32" s="5" t="str">
        <f t="shared" si="235"/>
        <v/>
      </c>
      <c r="IW32" s="5" t="str">
        <f t="shared" si="79"/>
        <v/>
      </c>
      <c r="IX32" s="5" t="str">
        <f t="shared" si="236"/>
        <v/>
      </c>
      <c r="IY32" s="833" t="str">
        <f t="shared" si="237"/>
        <v/>
      </c>
    </row>
    <row r="33" spans="1:259" ht="15" customHeight="1" x14ac:dyDescent="0.25">
      <c r="A33" s="84">
        <f t="shared" si="82"/>
        <v>0.02</v>
      </c>
      <c r="B33" s="770">
        <v>4.9951360767903479</v>
      </c>
      <c r="C33" s="771">
        <v>3.07951634104773</v>
      </c>
      <c r="D33" s="772">
        <v>-3.3486100994080594</v>
      </c>
      <c r="E33" s="773">
        <v>0.11368238340063659</v>
      </c>
      <c r="F33" s="771">
        <v>0.99351712380412438</v>
      </c>
      <c r="G33" s="774">
        <v>-2.0102818432056815E-4</v>
      </c>
      <c r="H33" s="773">
        <v>0.314</v>
      </c>
      <c r="I33" s="771">
        <v>0.52</v>
      </c>
      <c r="J33" s="601">
        <v>2.16</v>
      </c>
      <c r="K33" s="426" t="str">
        <f t="shared" si="225"/>
        <v>1613</v>
      </c>
      <c r="L33" s="327"/>
      <c r="M33" s="173">
        <f t="shared" si="2"/>
        <v>2.16</v>
      </c>
      <c r="N33" s="21">
        <f t="shared" si="3"/>
        <v>4.9951360767903479</v>
      </c>
      <c r="O33" s="5">
        <f t="shared" si="4"/>
        <v>3.07951634104773</v>
      </c>
      <c r="P33" s="10">
        <f t="shared" si="5"/>
        <v>-3.3486100994080594</v>
      </c>
      <c r="Q33" s="624">
        <f t="shared" si="116"/>
        <v>31.653956446557341</v>
      </c>
      <c r="R33" s="5">
        <f t="shared" si="83"/>
        <v>5.8681176982429779</v>
      </c>
      <c r="S33" s="6">
        <f t="shared" si="84"/>
        <v>-3.3486100994080594</v>
      </c>
      <c r="T33" s="4">
        <f t="shared" si="85"/>
        <v>3.0805624522012005</v>
      </c>
      <c r="U33" s="5">
        <f t="shared" si="86"/>
        <v>-4.9944909949383822</v>
      </c>
      <c r="V33" s="8">
        <f t="shared" si="117"/>
        <v>-3.3486100994080594</v>
      </c>
      <c r="W33" s="624">
        <f t="shared" si="227"/>
        <v>301.66595644482476</v>
      </c>
      <c r="X33" s="5">
        <f t="shared" si="87"/>
        <v>5.8681176982429779</v>
      </c>
      <c r="Y33" s="7">
        <f t="shared" si="226"/>
        <v>-3.3486100994080594</v>
      </c>
      <c r="Z33" s="21">
        <f t="shared" si="7"/>
        <v>-0.11368238340063659</v>
      </c>
      <c r="AA33" s="5">
        <f t="shared" si="8"/>
        <v>-0.99351712380412438</v>
      </c>
      <c r="AB33" s="5">
        <f t="shared" si="9"/>
        <v>2.0102818432056815E-4</v>
      </c>
      <c r="AC33" s="8">
        <f t="shared" si="88"/>
        <v>1</v>
      </c>
      <c r="AD33" s="9">
        <f t="shared" si="118"/>
        <v>-0.11368238340063659</v>
      </c>
      <c r="AE33" s="5">
        <f t="shared" si="89"/>
        <v>-0.99351712380412438</v>
      </c>
      <c r="AF33" s="10">
        <f t="shared" si="90"/>
        <v>2.0102818432056815E-4</v>
      </c>
      <c r="AG33" s="622">
        <f t="shared" si="91"/>
        <v>-90.01159322380218</v>
      </c>
      <c r="AH33" s="623">
        <f t="shared" si="92"/>
        <v>96.527632780511198</v>
      </c>
      <c r="AI33" s="624">
        <f t="shared" si="93"/>
        <v>-90.011518066602321</v>
      </c>
      <c r="AJ33" s="625">
        <f t="shared" si="94"/>
        <v>-6.5276329129832789</v>
      </c>
      <c r="AK33" s="4">
        <f t="shared" si="213"/>
        <v>0.78605554759621943</v>
      </c>
      <c r="AL33" s="5">
        <f t="shared" si="95"/>
        <v>-0.61815583446318501</v>
      </c>
      <c r="AM33" s="6">
        <f t="shared" si="96"/>
        <v>2.0102818432056815E-4</v>
      </c>
      <c r="AN33" s="612">
        <f t="shared" si="97"/>
        <v>-90.018632948969412</v>
      </c>
      <c r="AO33" s="613">
        <f t="shared" si="98"/>
        <v>38.181590831723611</v>
      </c>
      <c r="AP33" s="624">
        <f t="shared" si="99"/>
        <v>-38.18158935954061</v>
      </c>
      <c r="AQ33" s="625">
        <f t="shared" si="10"/>
        <v>2.1124479163267216</v>
      </c>
      <c r="AS33" s="56">
        <f t="shared" si="119"/>
        <v>-58.334043555175242</v>
      </c>
      <c r="AT33" s="77">
        <f t="shared" si="11"/>
        <v>-3.1281917126506094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7"/>
        <v>2.16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8"/>
        <v/>
      </c>
      <c r="IK33" s="839" t="str">
        <f t="shared" si="69"/>
        <v/>
      </c>
      <c r="IL33" s="791" t="str">
        <f t="shared" si="228"/>
        <v/>
      </c>
      <c r="IM33" s="830"/>
      <c r="IN33" s="5" t="str">
        <f t="shared" si="229"/>
        <v/>
      </c>
      <c r="IO33" s="852"/>
      <c r="IP33" s="9" t="str">
        <f t="shared" si="230"/>
        <v/>
      </c>
      <c r="IQ33" s="5" t="str">
        <f t="shared" si="231"/>
        <v/>
      </c>
      <c r="IR33" s="5" t="str">
        <f t="shared" si="74"/>
        <v/>
      </c>
      <c r="IS33" s="5" t="str">
        <f t="shared" si="232"/>
        <v/>
      </c>
      <c r="IT33" s="791" t="str">
        <f t="shared" si="233"/>
        <v/>
      </c>
      <c r="IU33" s="9" t="str">
        <f t="shared" si="234"/>
        <v/>
      </c>
      <c r="IV33" s="5" t="str">
        <f t="shared" si="235"/>
        <v/>
      </c>
      <c r="IW33" s="5" t="str">
        <f t="shared" si="79"/>
        <v/>
      </c>
      <c r="IX33" s="5" t="str">
        <f t="shared" si="236"/>
        <v/>
      </c>
      <c r="IY33" s="833" t="str">
        <f t="shared" si="237"/>
        <v/>
      </c>
    </row>
    <row r="34" spans="1:259" ht="15" customHeight="1" x14ac:dyDescent="0.25">
      <c r="A34" s="84">
        <f t="shared" si="82"/>
        <v>0.02</v>
      </c>
      <c r="B34" s="770">
        <v>5.0372043502158572</v>
      </c>
      <c r="C34" s="771">
        <v>3.0958745855901344</v>
      </c>
      <c r="D34" s="772">
        <v>-4.1081123900669674</v>
      </c>
      <c r="E34" s="773">
        <v>0.14651531816872729</v>
      </c>
      <c r="F34" s="771">
        <v>0.98920840147154809</v>
      </c>
      <c r="G34" s="774">
        <v>1.4578093208816876E-7</v>
      </c>
      <c r="H34" s="773">
        <v>0.314</v>
      </c>
      <c r="I34" s="771">
        <v>0.52</v>
      </c>
      <c r="J34" s="601">
        <v>2.1669999999999998</v>
      </c>
      <c r="K34" s="426" t="str">
        <f t="shared" si="225"/>
        <v>1613</v>
      </c>
      <c r="L34" s="327"/>
      <c r="M34" s="173">
        <f t="shared" si="2"/>
        <v>2.1669999999999998</v>
      </c>
      <c r="N34" s="21">
        <f t="shared" si="3"/>
        <v>5.0372043502158572</v>
      </c>
      <c r="O34" s="5">
        <f t="shared" si="4"/>
        <v>3.0958745855901344</v>
      </c>
      <c r="P34" s="10">
        <f t="shared" si="5"/>
        <v>-4.1081123900669674</v>
      </c>
      <c r="Q34" s="624">
        <f t="shared" si="116"/>
        <v>31.574956457963538</v>
      </c>
      <c r="R34" s="5">
        <f>IF(M34="","",SQRT(N34^2+O34^2))</f>
        <v>5.9125178321537808</v>
      </c>
      <c r="S34" s="6">
        <f>IF(M34="","",P34)</f>
        <v>-4.1081123900669674</v>
      </c>
      <c r="T34" s="4">
        <f>IF(M34="","",X34*COS(RADIANS(W34)))</f>
        <v>3.0969295071420775</v>
      </c>
      <c r="U34" s="5">
        <f>IF(M34="","",X34*SIN(RADIANS(W34)))</f>
        <v>-5.0365558413790241</v>
      </c>
      <c r="V34" s="8">
        <f>IF(M34="","",Y34)</f>
        <v>-4.1081123900669674</v>
      </c>
      <c r="W34" s="624">
        <f t="shared" si="227"/>
        <v>301.58695645623095</v>
      </c>
      <c r="X34" s="5">
        <f>IF(M34="","",R34)</f>
        <v>5.9125178321537808</v>
      </c>
      <c r="Y34" s="7">
        <f t="shared" si="226"/>
        <v>-4.1081123900669674</v>
      </c>
      <c r="Z34" s="21">
        <f t="shared" si="7"/>
        <v>-0.14651531816872729</v>
      </c>
      <c r="AA34" s="5">
        <f t="shared" si="8"/>
        <v>-0.98920840147154809</v>
      </c>
      <c r="AB34" s="5">
        <f t="shared" si="9"/>
        <v>-1.4578093208816876E-7</v>
      </c>
      <c r="AC34" s="8">
        <f>IF(M34="","",SQRT(Z34^2+AA34^2+AB34^2))</f>
        <v>1</v>
      </c>
      <c r="AD34" s="9">
        <f>IF(M34="","",Z34*(1/SQRT(Z34^2+AA34^2+AB34^2)))</f>
        <v>-0.14651531816872729</v>
      </c>
      <c r="AE34" s="5">
        <f>IF(M34="","",AA34*(1/SQRT(Z34^2+AA34^2+AB34^2)))</f>
        <v>-0.98920840147154809</v>
      </c>
      <c r="AF34" s="10">
        <f>IF(M34="","",AB34*(1/SQRT(Z34^2+AA34^2+AB34^2)))</f>
        <v>-1.4578093208816876E-7</v>
      </c>
      <c r="AG34" s="622">
        <f>IF(M34="","",DEGREES(ATAN2(-AF34,AE34)))</f>
        <v>-89.999991556246258</v>
      </c>
      <c r="AH34" s="623">
        <f>IF(M34="","",DEGREES(ACOS(AD34)))</f>
        <v>98.425037766751046</v>
      </c>
      <c r="AI34" s="624">
        <f>IF(M34="","",DEGREES(-ACOS(-AF34)))</f>
        <v>-89.999991647367864</v>
      </c>
      <c r="AJ34" s="625">
        <f>IF(M34="","",DEGREES(ATAN2(-AE34,AD34)))</f>
        <v>-8.4250377667511405</v>
      </c>
      <c r="AK34" s="4">
        <f>IF(M34="","",(COS(RADIANS((90-$Q$8)-W34))*AD34)+(-SIN(RADIANS((90-$Q$8)-W34))*AE34))</f>
        <v>0.76604450791050682</v>
      </c>
      <c r="AL34" s="5">
        <f>IF(M34="","",(SIN(RADIANS((90-$Q$8)-W34))*AD34)+(COS(RADIANS((90-$Q$8)-W34))*AE34))</f>
        <v>-0.64278753247097764</v>
      </c>
      <c r="AM34" s="6">
        <f>IF(M34="","",AF34)</f>
        <v>-1.4578093208816876E-7</v>
      </c>
      <c r="AN34" s="612">
        <f>IF(M34="","",DEGREES(ATAN2(-AM34,AL34)))</f>
        <v>-89.999987005609611</v>
      </c>
      <c r="AO34" s="613">
        <f t="shared" si="98"/>
        <v>39.999994224715422</v>
      </c>
      <c r="AP34" s="624">
        <f>IF(M34="","",DEGREES(ATAN2(AK34,AL34)))</f>
        <v>-39.99999422471469</v>
      </c>
      <c r="AQ34" s="625">
        <f t="shared" si="10"/>
        <v>2.0965986702941066</v>
      </c>
      <c r="AS34" s="56">
        <f t="shared" si="119"/>
        <v>-58.413043543769049</v>
      </c>
      <c r="AT34" s="77">
        <f t="shared" si="11"/>
        <v>-3.887395558908163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2.1669999999999998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8"/>
        <v/>
      </c>
      <c r="IK34" s="839" t="str">
        <f t="shared" si="69"/>
        <v/>
      </c>
      <c r="IL34" s="791" t="str">
        <f t="shared" si="228"/>
        <v/>
      </c>
      <c r="IM34" s="830"/>
      <c r="IN34" s="5" t="str">
        <f t="shared" si="229"/>
        <v/>
      </c>
      <c r="IO34" s="852"/>
      <c r="IP34" s="9" t="str">
        <f t="shared" si="230"/>
        <v/>
      </c>
      <c r="IQ34" s="5" t="str">
        <f t="shared" si="231"/>
        <v/>
      </c>
      <c r="IR34" s="5" t="str">
        <f t="shared" si="74"/>
        <v/>
      </c>
      <c r="IS34" s="5" t="str">
        <f t="shared" si="232"/>
        <v/>
      </c>
      <c r="IT34" s="791" t="str">
        <f t="shared" si="233"/>
        <v/>
      </c>
      <c r="IU34" s="9" t="str">
        <f t="shared" si="234"/>
        <v/>
      </c>
      <c r="IV34" s="5" t="str">
        <f t="shared" si="235"/>
        <v/>
      </c>
      <c r="IW34" s="5" t="str">
        <f t="shared" si="79"/>
        <v/>
      </c>
      <c r="IX34" s="5" t="str">
        <f t="shared" si="236"/>
        <v/>
      </c>
      <c r="IY34" s="833" t="str">
        <f t="shared" si="237"/>
        <v/>
      </c>
    </row>
    <row r="35" spans="1:259" ht="15" customHeight="1" x14ac:dyDescent="0.25">
      <c r="A35" s="84">
        <f t="shared" si="82"/>
        <v>0.02</v>
      </c>
      <c r="B35" s="770">
        <v>3.7181645321348573</v>
      </c>
      <c r="C35" s="771">
        <v>1.3751442831033309</v>
      </c>
      <c r="D35" s="772">
        <v>-0.11480034623784426</v>
      </c>
      <c r="E35" s="773">
        <v>-0.16619710219914091</v>
      </c>
      <c r="F35" s="771">
        <v>0.90079188379638042</v>
      </c>
      <c r="G35" s="774">
        <v>0.40118886488432942</v>
      </c>
      <c r="H35" s="773">
        <v>0.26600000000000001</v>
      </c>
      <c r="I35" s="771">
        <v>0.52</v>
      </c>
      <c r="J35" s="601">
        <v>2.2250000000000001</v>
      </c>
      <c r="K35" s="426" t="str">
        <f t="shared" si="225"/>
        <v>1313</v>
      </c>
      <c r="L35" s="327"/>
      <c r="M35" s="173">
        <f t="shared" si="2"/>
        <v>2.2250000000000001</v>
      </c>
      <c r="N35" s="21">
        <f t="shared" si="3"/>
        <v>3.7181645321348573</v>
      </c>
      <c r="O35" s="5">
        <f t="shared" si="4"/>
        <v>1.3751442831033309</v>
      </c>
      <c r="P35" s="10">
        <f t="shared" si="5"/>
        <v>-0.11480034623784426</v>
      </c>
      <c r="Q35" s="624">
        <f t="shared" si="116"/>
        <v>20.29665808634833</v>
      </c>
      <c r="R35" s="5">
        <f>IF(M35="","",SQRT(N35^2+O35^2))</f>
        <v>3.9643119563648614</v>
      </c>
      <c r="S35" s="6">
        <f>IF(M35="","",P35)</f>
        <v>-0.11480034623784426</v>
      </c>
      <c r="T35" s="4">
        <f>IF(M35="","",X35*COS(RADIANS(W35)))</f>
        <v>1.3759229833835205</v>
      </c>
      <c r="U35" s="5">
        <f>IF(M35="","",X35*SIN(RADIANS(W35)))</f>
        <v>-3.7178764410849356</v>
      </c>
      <c r="V35" s="8">
        <f>IF(M35="","",Y35)</f>
        <v>-0.11480034623784426</v>
      </c>
      <c r="W35" s="624">
        <f t="shared" si="227"/>
        <v>290.30865808461573</v>
      </c>
      <c r="X35" s="5">
        <f>IF(M35="","",R35)</f>
        <v>3.9643119563648614</v>
      </c>
      <c r="Y35" s="7">
        <f t="shared" si="226"/>
        <v>-0.11480034623784426</v>
      </c>
      <c r="Z35" s="21">
        <f t="shared" si="7"/>
        <v>0.16619710219914091</v>
      </c>
      <c r="AA35" s="5">
        <f t="shared" si="8"/>
        <v>-0.90079188379638042</v>
      </c>
      <c r="AB35" s="5">
        <f t="shared" si="9"/>
        <v>-0.40118886488432942</v>
      </c>
      <c r="AC35" s="8">
        <f>IF(M35="","",SQRT(Z35^2+AA35^2+AB35^2))</f>
        <v>1</v>
      </c>
      <c r="AD35" s="9">
        <f>IF(M35="","",Z35*(1/SQRT(Z35^2+AA35^2+AB35^2)))</f>
        <v>0.16619710219914091</v>
      </c>
      <c r="AE35" s="5">
        <f>IF(M35="","",AA35*(1/SQRT(Z35^2+AA35^2+AB35^2)))</f>
        <v>-0.90079188379638042</v>
      </c>
      <c r="AF35" s="10">
        <f>IF(M35="","",AB35*(1/SQRT(Z35^2+AA35^2+AB35^2)))</f>
        <v>-0.40118886488432942</v>
      </c>
      <c r="AG35" s="622">
        <f>IF(M35="","",DEGREES(ATAN2(-AF35,AE35)))</f>
        <v>-65.993074122250334</v>
      </c>
      <c r="AH35" s="623">
        <f>IF(M35="","",DEGREES(ACOS(AD35)))</f>
        <v>80.433216375217725</v>
      </c>
      <c r="AI35" s="624">
        <f>IF(M35="","",DEGREES(-ACOS(-AF35)))</f>
        <v>-66.347478776299454</v>
      </c>
      <c r="AJ35" s="625">
        <f>IF(M35="","",DEGREES(ATAN2(-AE35,AD35)))</f>
        <v>10.453577296529192</v>
      </c>
      <c r="AK35" s="4">
        <f>IF(M35="","",(COS(RADIANS((90-$Q$8)-W35))*AD35)+(-SIN(RADIANS((90-$Q$8)-W35))*AE35))</f>
        <v>0.90251157514982472</v>
      </c>
      <c r="AL35" s="5">
        <f>IF(M35="","",(SIN(RADIANS((90-$Q$8)-W35))*AD35)+(COS(RADIANS((90-$Q$8)-W35))*AE35))</f>
        <v>-0.15658975513553144</v>
      </c>
      <c r="AM35" s="6">
        <f>IF(M35="","",AF35)</f>
        <v>-0.40118886488432942</v>
      </c>
      <c r="AN35" s="612">
        <f>IF(M35="","",DEGREES(ATAN2(-AM35,AL35)))</f>
        <v>-21.32141311420159</v>
      </c>
      <c r="AO35" s="613">
        <f t="shared" si="98"/>
        <v>25.509808036124966</v>
      </c>
      <c r="AP35" s="624">
        <f>IF(M35="","",DEGREES(ATAN2(AK35,AL35)))</f>
        <v>-9.8430807898191173</v>
      </c>
      <c r="AQ35" s="625">
        <f t="shared" si="10"/>
        <v>3.1252361724834956</v>
      </c>
      <c r="AS35" s="56">
        <f t="shared" si="119"/>
        <v>-69.691341915384271</v>
      </c>
      <c r="AT35" s="77">
        <f t="shared" si="11"/>
        <v>0.14852338988039548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>
        <f>IFERROR(IF($IU35="","",IF($IU35&lt;(((Settings!$C$19/2)*-1)*$IE$8),"",1)),"")</f>
        <v>1</v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2.2250000000000001</v>
      </c>
      <c r="IH35" s="797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2.125</v>
      </c>
      <c r="II35" s="800" cm="1">
        <f t="array" ref="II35">IFERROR(IF($IH35&lt;1,$IH35+LARGE((IF($M$9:$M$150="",0,$M$9:$M$150)-MOD(IF($M$9:$M$150="",0,$M$9:$M$150),1)),1),$IH35),"")</f>
        <v>2.125</v>
      </c>
      <c r="IJ35" s="839" t="str">
        <f t="shared" si="68"/>
        <v>1613</v>
      </c>
      <c r="IK35" s="839" t="str">
        <f t="shared" si="69"/>
        <v>1313</v>
      </c>
      <c r="IL35" s="791">
        <f t="shared" si="228"/>
        <v>14.380297923741864</v>
      </c>
      <c r="IM35" s="830">
        <v>3.3174112413885798E-3</v>
      </c>
      <c r="IN35" s="5">
        <f t="shared" si="229"/>
        <v>0.06</v>
      </c>
      <c r="IO35" s="852">
        <v>30</v>
      </c>
      <c r="IP35" s="9">
        <f t="shared" si="230"/>
        <v>-3.9545119268079723</v>
      </c>
      <c r="IQ35" s="5">
        <f t="shared" si="231"/>
        <v>-0.17260052056316999</v>
      </c>
      <c r="IR35" s="5">
        <f t="shared" si="74"/>
        <v>0.314</v>
      </c>
      <c r="IS35" s="5">
        <f t="shared" si="232"/>
        <v>0.30203028119197078</v>
      </c>
      <c r="IT35" s="791">
        <f t="shared" si="233"/>
        <v>28.596263650637308</v>
      </c>
      <c r="IU35" s="9">
        <f t="shared" si="234"/>
        <v>-3.9643119563648614</v>
      </c>
      <c r="IV35" s="5">
        <f t="shared" si="235"/>
        <v>-0.11480034623784426</v>
      </c>
      <c r="IW35" s="5">
        <f t="shared" si="79"/>
        <v>0.26600000000000001</v>
      </c>
      <c r="IX35" s="5">
        <f t="shared" si="236"/>
        <v>0.24006807898985338</v>
      </c>
      <c r="IY35" s="833">
        <f t="shared" si="237"/>
        <v>21.32141311420159</v>
      </c>
    </row>
    <row r="36" spans="1:259" ht="15" customHeight="1" x14ac:dyDescent="0.25">
      <c r="A36" s="84">
        <f t="shared" si="82"/>
        <v>0.02</v>
      </c>
      <c r="B36" s="770">
        <v>4.3833712239246756</v>
      </c>
      <c r="C36" s="771">
        <v>1.6989794681309034</v>
      </c>
      <c r="D36" s="772">
        <v>-0.45430137017293248</v>
      </c>
      <c r="E36" s="773">
        <v>-8.3437061674299456E-2</v>
      </c>
      <c r="F36" s="771">
        <v>0.93199152419792131</v>
      </c>
      <c r="G36" s="774">
        <v>0.35274644656239212</v>
      </c>
      <c r="H36" s="773">
        <v>0.26600000000000001</v>
      </c>
      <c r="I36" s="771">
        <v>0.52</v>
      </c>
      <c r="J36" s="601">
        <v>2.2320000000000002</v>
      </c>
      <c r="K36" s="426" t="str">
        <f t="shared" si="225"/>
        <v>1313</v>
      </c>
      <c r="L36" s="327"/>
      <c r="M36" s="173">
        <f t="shared" si="2"/>
        <v>2.2320000000000002</v>
      </c>
      <c r="N36" s="21">
        <f t="shared" si="3"/>
        <v>4.3833712239246756</v>
      </c>
      <c r="O36" s="5">
        <f t="shared" si="4"/>
        <v>1.6989794681309034</v>
      </c>
      <c r="P36" s="10">
        <f t="shared" si="5"/>
        <v>-0.45430137017293248</v>
      </c>
      <c r="Q36" s="624">
        <f t="shared" si="116"/>
        <v>21.186157957920447</v>
      </c>
      <c r="R36" s="5">
        <f>IF(M36="","",SQRT(N36^2+O36^2))</f>
        <v>4.7011141785603625</v>
      </c>
      <c r="S36" s="6">
        <f>IF(M36="","",P36)</f>
        <v>-0.45430137017293248</v>
      </c>
      <c r="T36" s="4">
        <f>IF(M36="","",X36*COS(RADIANS(W36)))</f>
        <v>1.6998974818511996</v>
      </c>
      <c r="U36" s="5">
        <f>IF(M36="","",X36*SIN(RADIANS(W36)))</f>
        <v>-4.3830152944128793</v>
      </c>
      <c r="V36" s="8">
        <f>IF(M36="","",Y36)</f>
        <v>-0.45430137017293248</v>
      </c>
      <c r="W36" s="624">
        <f t="shared" si="227"/>
        <v>291.19815795618786</v>
      </c>
      <c r="X36" s="5">
        <f>IF(M36="","",R36)</f>
        <v>4.7011141785603625</v>
      </c>
      <c r="Y36" s="7">
        <f t="shared" si="226"/>
        <v>-0.45430137017293248</v>
      </c>
      <c r="Z36" s="21">
        <f t="shared" si="7"/>
        <v>8.3437061674299456E-2</v>
      </c>
      <c r="AA36" s="5">
        <f t="shared" si="8"/>
        <v>-0.93199152419792131</v>
      </c>
      <c r="AB36" s="5">
        <f t="shared" si="9"/>
        <v>-0.35274644656239212</v>
      </c>
      <c r="AC36" s="8">
        <f>IF(M36="","",SQRT(Z36^2+AA36^2+AB36^2))</f>
        <v>1</v>
      </c>
      <c r="AD36" s="9">
        <f>IF(M36="","",Z36*(1/SQRT(Z36^2+AA36^2+AB36^2)))</f>
        <v>8.3437061674299456E-2</v>
      </c>
      <c r="AE36" s="5">
        <f>IF(M36="","",AA36*(1/SQRT(Z36^2+AA36^2+AB36^2)))</f>
        <v>-0.93199152419792131</v>
      </c>
      <c r="AF36" s="10">
        <f>IF(M36="","",AB36*(1/SQRT(Z36^2+AA36^2+AB36^2)))</f>
        <v>-0.35274644656239212</v>
      </c>
      <c r="AG36" s="622">
        <f>IF(M36="","",DEGREES(ATAN2(-AF36,AE36)))</f>
        <v>-69.269009544723929</v>
      </c>
      <c r="AH36" s="623">
        <f>IF(M36="","",DEGREES(ACOS(AD36)))</f>
        <v>85.213844186476877</v>
      </c>
      <c r="AI36" s="624">
        <f>IF(M36="","",DEGREES(-ACOS(-AF36)))</f>
        <v>-69.344607642157982</v>
      </c>
      <c r="AJ36" s="625">
        <f>IF(M36="","",DEGREES(ATAN2(-AE36,AD36)))</f>
        <v>5.1157983363828281</v>
      </c>
      <c r="AK36" s="4">
        <f>IF(M36="","",(COS(RADIANS((90-$Q$8)-W36))*AD36)+(-SIN(RADIANS((90-$Q$8)-W36))*AE36))</f>
        <v>0.89915337560916853</v>
      </c>
      <c r="AL36" s="5">
        <f>IF(M36="","",(SIN(RADIANS((90-$Q$8)-W36))*AD36)+(COS(RADIANS((90-$Q$8)-W36))*AE36))</f>
        <v>-0.25902345756367895</v>
      </c>
      <c r="AM36" s="6">
        <f>IF(M36="","",AF36)</f>
        <v>-0.35274644656239212</v>
      </c>
      <c r="AN36" s="612">
        <f>IF(M36="","",DEGREES(ATAN2(-AM36,AL36)))</f>
        <v>-36.290021805895506</v>
      </c>
      <c r="AO36" s="613">
        <f t="shared" si="98"/>
        <v>25.952995572719352</v>
      </c>
      <c r="AP36" s="624">
        <f>IF(M36="","",DEGREES(ATAN2(AK36,AL36)))</f>
        <v>-16.070359621537591</v>
      </c>
      <c r="AQ36" s="625">
        <f t="shared" si="10"/>
        <v>2.6361751812169669</v>
      </c>
      <c r="AS36" s="56">
        <f t="shared" si="119"/>
        <v>-68.801842043812144</v>
      </c>
      <c r="AT36" s="77">
        <f t="shared" si="11"/>
        <v>-0.19433796690285415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7"/>
        <v>2.2320000000000002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2.1320000000000001</v>
      </c>
      <c r="II36" s="800" cm="1">
        <f t="array" ref="II36">IFERROR(IF($IH36&lt;1,$IH36+LARGE((IF($M$9:$M$150="",0,$M$9:$M$150)-MOD(IF($M$9:$M$150="",0,$M$9:$M$150),1)),1),$IH36),"")</f>
        <v>2.1320000000000001</v>
      </c>
      <c r="IJ36" s="839" t="str">
        <f t="shared" si="68"/>
        <v>1613</v>
      </c>
      <c r="IK36" s="839" t="str">
        <f t="shared" si="69"/>
        <v>1313</v>
      </c>
      <c r="IL36" s="791">
        <f t="shared" si="228"/>
        <v>12.440798203770953</v>
      </c>
      <c r="IM36" s="830">
        <v>2.5452137950957702E-3</v>
      </c>
      <c r="IN36" s="5">
        <f t="shared" si="229"/>
        <v>0.04</v>
      </c>
      <c r="IO36" s="852">
        <v>20</v>
      </c>
      <c r="IP36" s="9">
        <f t="shared" si="230"/>
        <v>-4.6802141155257742</v>
      </c>
      <c r="IQ36" s="5">
        <f t="shared" si="231"/>
        <v>-0.50970153725983647</v>
      </c>
      <c r="IR36" s="5">
        <f t="shared" si="74"/>
        <v>0.314</v>
      </c>
      <c r="IS36" s="5">
        <f t="shared" si="232"/>
        <v>0.30090644191999827</v>
      </c>
      <c r="IT36" s="791">
        <f t="shared" si="233"/>
        <v>45.668310899205608</v>
      </c>
      <c r="IU36" s="9">
        <f t="shared" si="234"/>
        <v>-4.7011141785603625</v>
      </c>
      <c r="IV36" s="5">
        <f t="shared" si="235"/>
        <v>-0.45430137017293248</v>
      </c>
      <c r="IW36" s="5">
        <f t="shared" si="79"/>
        <v>0.26600000000000001</v>
      </c>
      <c r="IX36" s="5">
        <f t="shared" si="236"/>
        <v>0.23917479791203883</v>
      </c>
      <c r="IY36" s="833">
        <f t="shared" si="237"/>
        <v>36.290021805895506</v>
      </c>
    </row>
    <row r="37" spans="1:259" ht="15" customHeight="1" x14ac:dyDescent="0.25">
      <c r="A37" s="84">
        <f t="shared" si="82"/>
        <v>0.02</v>
      </c>
      <c r="B37" s="770">
        <v>4.9321553307648358</v>
      </c>
      <c r="C37" s="771">
        <v>1.9222786133915992</v>
      </c>
      <c r="D37" s="772">
        <v>-1.0078030395339674</v>
      </c>
      <c r="E37" s="773">
        <v>-7.8224585742202313E-3</v>
      </c>
      <c r="F37" s="771">
        <v>0.9584969773066514</v>
      </c>
      <c r="G37" s="774">
        <v>0.28499535721809077</v>
      </c>
      <c r="H37" s="773">
        <v>0.26600000000000001</v>
      </c>
      <c r="I37" s="771">
        <v>0.52</v>
      </c>
      <c r="J37" s="601">
        <v>2.2389999999999999</v>
      </c>
      <c r="K37" s="426" t="str">
        <f t="shared" si="225"/>
        <v>1313</v>
      </c>
      <c r="L37" s="327"/>
      <c r="M37" s="173">
        <f t="shared" si="2"/>
        <v>2.2389999999999999</v>
      </c>
      <c r="N37" s="21">
        <f t="shared" si="3"/>
        <v>4.9321553307648358</v>
      </c>
      <c r="O37" s="5">
        <f t="shared" si="4"/>
        <v>1.9222786133915992</v>
      </c>
      <c r="P37" s="10">
        <f t="shared" si="5"/>
        <v>-1.0078030395339674</v>
      </c>
      <c r="Q37" s="624">
        <f t="shared" si="116"/>
        <v>21.293057942485994</v>
      </c>
      <c r="R37" s="5">
        <f t="shared" si="83"/>
        <v>5.2935159652441506</v>
      </c>
      <c r="S37" s="6">
        <f t="shared" si="84"/>
        <v>-1.0078030395339674</v>
      </c>
      <c r="T37" s="4">
        <f t="shared" si="85"/>
        <v>1.9233115592715235</v>
      </c>
      <c r="U37" s="5">
        <f t="shared" si="86"/>
        <v>-4.931752621560336</v>
      </c>
      <c r="V37" s="8">
        <f t="shared" si="117"/>
        <v>-1.0078030395339674</v>
      </c>
      <c r="W37" s="624">
        <f t="shared" si="227"/>
        <v>291.30505794075339</v>
      </c>
      <c r="X37" s="5">
        <f t="shared" si="87"/>
        <v>5.2935159652441506</v>
      </c>
      <c r="Y37" s="7">
        <f t="shared" si="226"/>
        <v>-1.0078030395339674</v>
      </c>
      <c r="Z37" s="21">
        <f t="shared" si="7"/>
        <v>7.8224585742202313E-3</v>
      </c>
      <c r="AA37" s="5">
        <f t="shared" si="8"/>
        <v>-0.9584969773066514</v>
      </c>
      <c r="AB37" s="5">
        <f t="shared" si="9"/>
        <v>-0.28499535721809077</v>
      </c>
      <c r="AC37" s="8">
        <f t="shared" si="88"/>
        <v>1</v>
      </c>
      <c r="AD37" s="9">
        <f t="shared" si="118"/>
        <v>7.8224585742202313E-3</v>
      </c>
      <c r="AE37" s="5">
        <f t="shared" si="89"/>
        <v>-0.9584969773066514</v>
      </c>
      <c r="AF37" s="10">
        <f t="shared" si="90"/>
        <v>-0.28499535721809077</v>
      </c>
      <c r="AG37" s="622">
        <f t="shared" si="91"/>
        <v>-73.44090770116911</v>
      </c>
      <c r="AH37" s="623">
        <f t="shared" si="92"/>
        <v>89.551801567260881</v>
      </c>
      <c r="AI37" s="624">
        <f t="shared" si="93"/>
        <v>-73.441428934614152</v>
      </c>
      <c r="AJ37" s="625">
        <f t="shared" si="94"/>
        <v>0.46759032330589034</v>
      </c>
      <c r="AK37" s="4">
        <f t="shared" si="213"/>
        <v>0.89590603903045229</v>
      </c>
      <c r="AL37" s="5">
        <f t="shared" si="95"/>
        <v>-0.34077854332821267</v>
      </c>
      <c r="AM37" s="6">
        <f t="shared" si="96"/>
        <v>-0.28499535721809077</v>
      </c>
      <c r="AN37" s="612">
        <f t="shared" si="97"/>
        <v>-50.094036842367849</v>
      </c>
      <c r="AO37" s="613">
        <f t="shared" si="98"/>
        <v>26.374954167078108</v>
      </c>
      <c r="AP37" s="624">
        <f t="shared" si="99"/>
        <v>-20.825467619180081</v>
      </c>
      <c r="AQ37" s="625">
        <f t="shared" si="10"/>
        <v>2.3415076298147559</v>
      </c>
      <c r="AS37" s="56">
        <f t="shared" si="119"/>
        <v>-68.694942059246614</v>
      </c>
      <c r="AT37" s="77">
        <f t="shared" si="11"/>
        <v>-0.74824348065002555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7"/>
        <v>2.2389999999999999</v>
      </c>
      <c r="IH37" s="797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2.1389999999999998</v>
      </c>
      <c r="II37" s="800" cm="1">
        <f t="array" ref="II37">IFERROR(IF($IH37&lt;1,$IH37+LARGE((IF($M$9:$M$150="",0,$M$9:$M$150)-MOD(IF($M$9:$M$150="",0,$M$9:$M$150),1)),1),$IH37),"")</f>
        <v>2.1389999999999998</v>
      </c>
      <c r="IJ37" s="839" t="str">
        <f t="shared" si="68"/>
        <v>1613</v>
      </c>
      <c r="IK37" s="839" t="str">
        <f t="shared" si="69"/>
        <v>1313</v>
      </c>
      <c r="IL37" s="791">
        <f t="shared" si="228"/>
        <v>11.396898354491498</v>
      </c>
      <c r="IM37" s="830">
        <v>1.83448961644225E-3</v>
      </c>
      <c r="IN37" s="5">
        <f t="shared" si="229"/>
        <v>0.02</v>
      </c>
      <c r="IO37" s="852">
        <v>10</v>
      </c>
      <c r="IP37" s="9">
        <f t="shared" si="230"/>
        <v>-5.2622158708430673</v>
      </c>
      <c r="IQ37" s="5">
        <f t="shared" si="231"/>
        <v>-1.0587031930488302</v>
      </c>
      <c r="IR37" s="5">
        <f t="shared" si="74"/>
        <v>0.314</v>
      </c>
      <c r="IS37" s="5">
        <f t="shared" si="232"/>
        <v>0.29981970352572135</v>
      </c>
      <c r="IT37" s="791">
        <f t="shared" si="233"/>
        <v>60.77392898930092</v>
      </c>
      <c r="IU37" s="9">
        <f t="shared" si="234"/>
        <v>-5.2935159652441506</v>
      </c>
      <c r="IV37" s="5">
        <f t="shared" si="235"/>
        <v>-1.0078030395339674</v>
      </c>
      <c r="IW37" s="5">
        <f t="shared" si="79"/>
        <v>0.26600000000000001</v>
      </c>
      <c r="IX37" s="5">
        <f t="shared" si="236"/>
        <v>0.23831100638210034</v>
      </c>
      <c r="IY37" s="833">
        <f t="shared" si="237"/>
        <v>50.094036842367849</v>
      </c>
    </row>
    <row r="38" spans="1:259" ht="15" customHeight="1" x14ac:dyDescent="0.25">
      <c r="A38" s="84">
        <f t="shared" si="82"/>
        <v>0.02</v>
      </c>
      <c r="B38" s="770">
        <v>5.2807823687263529</v>
      </c>
      <c r="C38" s="771">
        <v>2.0355517752252186</v>
      </c>
      <c r="D38" s="772">
        <v>-1.7268052080445075</v>
      </c>
      <c r="E38" s="773">
        <v>5.0086787611077599E-2</v>
      </c>
      <c r="F38" s="771">
        <v>0.97708560369764874</v>
      </c>
      <c r="G38" s="774">
        <v>0.20686961292950762</v>
      </c>
      <c r="H38" s="773">
        <v>0.26600000000000001</v>
      </c>
      <c r="I38" s="771">
        <v>0.52</v>
      </c>
      <c r="J38" s="601">
        <v>2.246</v>
      </c>
      <c r="K38" s="426" t="str">
        <f t="shared" si="225"/>
        <v>1313</v>
      </c>
      <c r="L38" s="327"/>
      <c r="M38" s="173">
        <f t="shared" si="2"/>
        <v>2.246</v>
      </c>
      <c r="N38" s="21">
        <f t="shared" si="3"/>
        <v>5.2807823687263529</v>
      </c>
      <c r="O38" s="5">
        <f t="shared" si="4"/>
        <v>2.0355517752252186</v>
      </c>
      <c r="P38" s="10">
        <f t="shared" si="5"/>
        <v>-1.7268052080445075</v>
      </c>
      <c r="Q38" s="624">
        <f t="shared" si="116"/>
        <v>21.079857973268268</v>
      </c>
      <c r="R38" s="5">
        <f t="shared" si="83"/>
        <v>5.6595170691034804</v>
      </c>
      <c r="S38" s="6">
        <f t="shared" si="84"/>
        <v>-1.7268052080445075</v>
      </c>
      <c r="T38" s="4">
        <f t="shared" si="85"/>
        <v>2.0366577348857944</v>
      </c>
      <c r="U38" s="5">
        <f t="shared" si="86"/>
        <v>-5.2803559280036714</v>
      </c>
      <c r="V38" s="8">
        <f t="shared" si="117"/>
        <v>-1.7268052080445075</v>
      </c>
      <c r="W38" s="624">
        <f t="shared" si="227"/>
        <v>291.09185797153566</v>
      </c>
      <c r="X38" s="5">
        <f t="shared" si="87"/>
        <v>5.6595170691034804</v>
      </c>
      <c r="Y38" s="7">
        <f t="shared" si="226"/>
        <v>-1.7268052080445075</v>
      </c>
      <c r="Z38" s="21">
        <f t="shared" si="7"/>
        <v>-5.0086787611077599E-2</v>
      </c>
      <c r="AA38" s="5">
        <f t="shared" si="8"/>
        <v>-0.97708560369764874</v>
      </c>
      <c r="AB38" s="5">
        <f t="shared" si="9"/>
        <v>-0.20686961292950762</v>
      </c>
      <c r="AC38" s="8">
        <f t="shared" si="88"/>
        <v>1</v>
      </c>
      <c r="AD38" s="9">
        <f t="shared" si="118"/>
        <v>-5.0086787611077599E-2</v>
      </c>
      <c r="AE38" s="5">
        <f t="shared" si="89"/>
        <v>-0.97708560369764874</v>
      </c>
      <c r="AF38" s="10">
        <f t="shared" si="90"/>
        <v>-0.20686961292950762</v>
      </c>
      <c r="AG38" s="622">
        <f t="shared" si="91"/>
        <v>-78.045808431731643</v>
      </c>
      <c r="AH38" s="623">
        <f t="shared" si="92"/>
        <v>92.87096278464702</v>
      </c>
      <c r="AI38" s="624">
        <f t="shared" si="93"/>
        <v>-78.061033649154126</v>
      </c>
      <c r="AJ38" s="625">
        <f t="shared" si="94"/>
        <v>-2.9344939985366061</v>
      </c>
      <c r="AK38" s="4">
        <f t="shared" si="213"/>
        <v>0.89368441115189312</v>
      </c>
      <c r="AL38" s="5">
        <f t="shared" si="95"/>
        <v>-0.39816219874630221</v>
      </c>
      <c r="AM38" s="6">
        <f t="shared" si="96"/>
        <v>-0.20686961292950762</v>
      </c>
      <c r="AN38" s="612">
        <f t="shared" si="97"/>
        <v>-62.545363972338137</v>
      </c>
      <c r="AO38" s="613">
        <f t="shared" si="98"/>
        <v>26.660056603977296</v>
      </c>
      <c r="AP38" s="624">
        <f t="shared" si="99"/>
        <v>-24.014351971804835</v>
      </c>
      <c r="AQ38" s="625">
        <f t="shared" si="10"/>
        <v>2.1902348396904117</v>
      </c>
      <c r="AS38" s="56">
        <f t="shared" si="119"/>
        <v>-68.90814202846434</v>
      </c>
      <c r="AT38" s="77">
        <f t="shared" si="11"/>
        <v>-1.466440227054632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7"/>
        <v>2.246</v>
      </c>
      <c r="IH38" s="797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2.1459999999999999</v>
      </c>
      <c r="II38" s="800" cm="1">
        <f t="array" ref="II38">IFERROR(IF($IH38&lt;1,$IH38+LARGE((IF($M$9:$M$150="",0,$M$9:$M$150)-MOD(IF($M$9:$M$150="",0,$M$9:$M$150),1)),1),$IH38),"")</f>
        <v>2.1459999999999999</v>
      </c>
      <c r="IJ38" s="839" t="str">
        <f t="shared" si="68"/>
        <v>1613</v>
      </c>
      <c r="IK38" s="839" t="str">
        <f t="shared" si="69"/>
        <v>1313</v>
      </c>
      <c r="IL38" s="791">
        <f t="shared" si="228"/>
        <v>11.006098410916024</v>
      </c>
      <c r="IM38" s="830">
        <v>1.4008517954395101E-3</v>
      </c>
      <c r="IN38" s="5">
        <f t="shared" si="229"/>
        <v>0</v>
      </c>
      <c r="IO38" s="852">
        <v>0</v>
      </c>
      <c r="IP38" s="9">
        <f t="shared" si="230"/>
        <v>-5.6189169466535107</v>
      </c>
      <c r="IQ38" s="5">
        <f t="shared" si="231"/>
        <v>-1.771105341653711</v>
      </c>
      <c r="IR38" s="5">
        <f t="shared" si="74"/>
        <v>0.314</v>
      </c>
      <c r="IS38" s="5">
        <f t="shared" si="232"/>
        <v>0.29907622398336337</v>
      </c>
      <c r="IT38" s="791">
        <f t="shared" si="233"/>
        <v>73.880007314671275</v>
      </c>
      <c r="IU38" s="9">
        <f t="shared" si="234"/>
        <v>-5.6595170691034804</v>
      </c>
      <c r="IV38" s="5">
        <f t="shared" si="235"/>
        <v>-1.7268052080445075</v>
      </c>
      <c r="IW38" s="5">
        <f t="shared" si="79"/>
        <v>0.26600000000000001</v>
      </c>
      <c r="IX38" s="5">
        <f t="shared" si="236"/>
        <v>0.23772005336640359</v>
      </c>
      <c r="IY38" s="833">
        <f t="shared" si="237"/>
        <v>62.545363972338137</v>
      </c>
    </row>
    <row r="39" spans="1:259" ht="15" customHeight="1" x14ac:dyDescent="0.25">
      <c r="A39" s="84">
        <f t="shared" si="82"/>
        <v>0.02</v>
      </c>
      <c r="B39" s="770">
        <v>5.4653931791128425</v>
      </c>
      <c r="C39" s="771">
        <v>2.0488819239344811</v>
      </c>
      <c r="D39" s="772">
        <v>-2.5170075912948957</v>
      </c>
      <c r="E39" s="773">
        <v>0.15601565298993172</v>
      </c>
      <c r="F39" s="771">
        <v>0.97841484067735962</v>
      </c>
      <c r="G39" s="774">
        <v>0.13551204951745896</v>
      </c>
      <c r="H39" s="773">
        <v>0.26600000000000001</v>
      </c>
      <c r="I39" s="771">
        <v>0.52</v>
      </c>
      <c r="J39" s="601">
        <v>2.2530000000000001</v>
      </c>
      <c r="K39" s="426" t="str">
        <f t="shared" si="225"/>
        <v>1313</v>
      </c>
      <c r="L39" s="327"/>
      <c r="M39" s="173">
        <f t="shared" si="2"/>
        <v>2.2530000000000001</v>
      </c>
      <c r="N39" s="21">
        <f t="shared" si="3"/>
        <v>5.4653931791128425</v>
      </c>
      <c r="O39" s="5">
        <f t="shared" si="4"/>
        <v>2.0488819239344811</v>
      </c>
      <c r="P39" s="10">
        <f t="shared" si="5"/>
        <v>-2.5170075912948957</v>
      </c>
      <c r="Q39" s="624">
        <f t="shared" si="116"/>
        <v>20.55015804974747</v>
      </c>
      <c r="R39" s="5">
        <f t="shared" si="83"/>
        <v>5.8368176038418955</v>
      </c>
      <c r="S39" s="6">
        <f t="shared" si="84"/>
        <v>-2.5170075912948957</v>
      </c>
      <c r="T39" s="4">
        <f t="shared" si="85"/>
        <v>2.0500265480945465</v>
      </c>
      <c r="U39" s="5">
        <f t="shared" si="86"/>
        <v>-5.4649639424817993</v>
      </c>
      <c r="V39" s="8">
        <f t="shared" si="117"/>
        <v>-2.5170075912948957</v>
      </c>
      <c r="W39" s="624">
        <f t="shared" si="227"/>
        <v>290.56215804801491</v>
      </c>
      <c r="X39" s="5">
        <f t="shared" si="87"/>
        <v>5.8368176038418955</v>
      </c>
      <c r="Y39" s="7">
        <f t="shared" si="226"/>
        <v>-2.5170075912948957</v>
      </c>
      <c r="Z39" s="21">
        <f t="shared" si="7"/>
        <v>-0.15601565298993172</v>
      </c>
      <c r="AA39" s="5">
        <f t="shared" si="8"/>
        <v>-0.97841484067735962</v>
      </c>
      <c r="AB39" s="5">
        <f t="shared" si="9"/>
        <v>-0.13551204951745896</v>
      </c>
      <c r="AC39" s="8">
        <f t="shared" si="88"/>
        <v>1</v>
      </c>
      <c r="AD39" s="9">
        <f t="shared" si="118"/>
        <v>-0.15601565298993172</v>
      </c>
      <c r="AE39" s="5">
        <f t="shared" si="89"/>
        <v>-0.97841484067735962</v>
      </c>
      <c r="AF39" s="10">
        <f t="shared" si="90"/>
        <v>-0.13551204951745896</v>
      </c>
      <c r="AG39" s="622">
        <f t="shared" si="91"/>
        <v>-82.114606871896925</v>
      </c>
      <c r="AH39" s="623">
        <f t="shared" si="92"/>
        <v>98.975705536974473</v>
      </c>
      <c r="AI39" s="624">
        <f t="shared" si="93"/>
        <v>-82.211769735660454</v>
      </c>
      <c r="AJ39" s="625">
        <f t="shared" si="94"/>
        <v>-9.0599711735232162</v>
      </c>
      <c r="AK39" s="4">
        <f t="shared" si="213"/>
        <v>0.86138791488182731</v>
      </c>
      <c r="AL39" s="5">
        <f t="shared" si="95"/>
        <v>-0.48953788875950732</v>
      </c>
      <c r="AM39" s="6">
        <f t="shared" si="96"/>
        <v>-0.13551204951745896</v>
      </c>
      <c r="AN39" s="612">
        <f t="shared" si="97"/>
        <v>-74.5270460247919</v>
      </c>
      <c r="AO39" s="613">
        <f t="shared" si="98"/>
        <v>30.527223125396517</v>
      </c>
      <c r="AP39" s="624">
        <f t="shared" si="99"/>
        <v>-29.6101292232707</v>
      </c>
      <c r="AQ39" s="625">
        <f t="shared" si="10"/>
        <v>2.1237656306073571</v>
      </c>
      <c r="AS39" s="56">
        <f t="shared" si="119"/>
        <v>-69.437841951985092</v>
      </c>
      <c r="AT39" s="77">
        <f t="shared" si="11"/>
        <v>-2.2546415217050528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7"/>
        <v>2.2530000000000001</v>
      </c>
      <c r="IH39" s="797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2.153</v>
      </c>
      <c r="II39" s="800" cm="1">
        <f t="array" ref="II39">IFERROR(IF($IH39&lt;1,$IH39+LARGE((IF($M$9:$M$150="",0,$M$9:$M$150)-MOD(IF($M$9:$M$150="",0,$M$9:$M$150),1)),1),$IH39),"")</f>
        <v>2.153</v>
      </c>
      <c r="IJ39" s="839" t="str">
        <f t="shared" si="68"/>
        <v>1613</v>
      </c>
      <c r="IK39" s="839" t="str">
        <f t="shared" si="69"/>
        <v>1313</v>
      </c>
      <c r="IL39" s="791">
        <f t="shared" si="228"/>
        <v>11.249798375730052</v>
      </c>
      <c r="IM39" s="830">
        <v>8.3908857595949395E-4</v>
      </c>
      <c r="IN39" s="5">
        <f t="shared" si="229"/>
        <v>0</v>
      </c>
      <c r="IO39" s="852">
        <v>0</v>
      </c>
      <c r="IP39" s="9">
        <f t="shared" si="230"/>
        <v>-5.7845174461046183</v>
      </c>
      <c r="IQ39" s="5">
        <f t="shared" si="231"/>
        <v>-2.5514076950456097</v>
      </c>
      <c r="IR39" s="5">
        <f t="shared" si="74"/>
        <v>0.314</v>
      </c>
      <c r="IS39" s="5">
        <f t="shared" si="232"/>
        <v>0.29240124582691635</v>
      </c>
      <c r="IT39" s="791">
        <f t="shared" si="233"/>
        <v>82.968422002808765</v>
      </c>
      <c r="IU39" s="9">
        <f t="shared" si="234"/>
        <v>-5.8368176038418955</v>
      </c>
      <c r="IV39" s="5">
        <f t="shared" si="235"/>
        <v>-2.5170075912948957</v>
      </c>
      <c r="IW39" s="5">
        <f t="shared" si="79"/>
        <v>0.26600000000000001</v>
      </c>
      <c r="IX39" s="5">
        <f t="shared" si="236"/>
        <v>0.22912918535856611</v>
      </c>
      <c r="IY39" s="833">
        <f t="shared" si="237"/>
        <v>74.5270460247919</v>
      </c>
    </row>
    <row r="40" spans="1:259" ht="15" customHeight="1" x14ac:dyDescent="0.25">
      <c r="A40" s="84">
        <f t="shared" si="82"/>
        <v>0</v>
      </c>
      <c r="B40" s="770">
        <v>5.5678905552792308</v>
      </c>
      <c r="C40" s="771">
        <v>1.8364091365771176</v>
      </c>
      <c r="D40" s="772">
        <v>-3.3535101141865051</v>
      </c>
      <c r="E40" s="773">
        <v>0.91009882612553838</v>
      </c>
      <c r="F40" s="771">
        <v>0.30017025524688001</v>
      </c>
      <c r="G40" s="774">
        <v>0.28568854465998489</v>
      </c>
      <c r="H40" s="773">
        <v>0.25700000000000001</v>
      </c>
      <c r="I40" s="771">
        <v>0.41499999999999992</v>
      </c>
      <c r="J40" s="601">
        <v>2.2599999999999998</v>
      </c>
      <c r="K40" s="426" t="str">
        <f t="shared" si="225"/>
        <v>Knuckle</v>
      </c>
      <c r="L40" s="327"/>
      <c r="M40" s="173">
        <f t="shared" si="2"/>
        <v>2.2599999999999998</v>
      </c>
      <c r="N40" s="21">
        <f t="shared" si="3"/>
        <v>5.5678905552792308</v>
      </c>
      <c r="O40" s="5">
        <f t="shared" si="4"/>
        <v>1.8364091365771176</v>
      </c>
      <c r="P40" s="10">
        <f t="shared" si="5"/>
        <v>-3.3535101141865051</v>
      </c>
      <c r="Q40" s="624">
        <f t="shared" si="116"/>
        <v>18.253658381320996</v>
      </c>
      <c r="R40" s="5">
        <f t="shared" si="83"/>
        <v>5.8629176825597318</v>
      </c>
      <c r="S40" s="6">
        <f t="shared" si="84"/>
        <v>-3.3535101141865051</v>
      </c>
      <c r="T40" s="4">
        <f t="shared" si="85"/>
        <v>1.8375752323942349</v>
      </c>
      <c r="U40" s="5">
        <f t="shared" si="86"/>
        <v>-5.5675058165899429</v>
      </c>
      <c r="V40" s="8">
        <f t="shared" si="117"/>
        <v>-3.3535101141865051</v>
      </c>
      <c r="W40" s="624">
        <f t="shared" si="227"/>
        <v>288.26565837958839</v>
      </c>
      <c r="X40" s="5">
        <f t="shared" si="87"/>
        <v>5.8629176825597318</v>
      </c>
      <c r="Y40" s="7">
        <f t="shared" si="226"/>
        <v>-3.3535101141865051</v>
      </c>
      <c r="Z40" s="21">
        <f t="shared" si="7"/>
        <v>-0.91009882612553838</v>
      </c>
      <c r="AA40" s="5">
        <f t="shared" si="8"/>
        <v>-0.30017025524688001</v>
      </c>
      <c r="AB40" s="5">
        <f t="shared" si="9"/>
        <v>-0.28568854465998489</v>
      </c>
      <c r="AC40" s="8">
        <f t="shared" si="88"/>
        <v>1</v>
      </c>
      <c r="AD40" s="9">
        <f t="shared" si="118"/>
        <v>-0.91009882612553838</v>
      </c>
      <c r="AE40" s="5">
        <f t="shared" si="89"/>
        <v>-0.30017025524688001</v>
      </c>
      <c r="AF40" s="10">
        <f t="shared" si="90"/>
        <v>-0.28568854465998489</v>
      </c>
      <c r="AG40" s="622">
        <f t="shared" si="91"/>
        <v>-46.415993006084229</v>
      </c>
      <c r="AH40" s="623">
        <f t="shared" si="92"/>
        <v>155.51901213929665</v>
      </c>
      <c r="AI40" s="624">
        <f t="shared" si="93"/>
        <v>-73.399989402353043</v>
      </c>
      <c r="AJ40" s="625">
        <f t="shared" si="94"/>
        <v>-71.746328059162138</v>
      </c>
      <c r="AK40" s="4">
        <f t="shared" si="213"/>
        <v>2.26794897473237E-7</v>
      </c>
      <c r="AL40" s="5">
        <f t="shared" si="95"/>
        <v>-0.95832252162307485</v>
      </c>
      <c r="AM40" s="6">
        <f t="shared" si="96"/>
        <v>-0.28568854465998489</v>
      </c>
      <c r="AN40" s="612">
        <f t="shared" si="97"/>
        <v>-73.399989402352588</v>
      </c>
      <c r="AO40" s="613">
        <f t="shared" si="98"/>
        <v>0</v>
      </c>
      <c r="AP40" s="624">
        <f t="shared" si="99"/>
        <v>-89.999986440483084</v>
      </c>
      <c r="AQ40" s="625">
        <f t="shared" si="10"/>
        <v>2.1143198165838659</v>
      </c>
      <c r="AS40" s="56">
        <f t="shared" si="119"/>
        <v>-71.734341620411612</v>
      </c>
      <c r="AT40" s="77">
        <f t="shared" si="11"/>
        <v>-3.0824683791826066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>
        <f>IFERROR(IF((((($IW40*COS(RADIANS(180-$IY40)))*COS(RADIANS($IY40)))-(($IX40*SIN(RADIANS(180-$IY40)))*SIN(RADIANS($IY40))))+$IU40)&lt;(((Settings!$C$19/2)*-1)+$IF$8),1,""),"")</f>
        <v>1</v>
      </c>
      <c r="IG40" s="836">
        <f t="shared" si="67"/>
        <v>2.2599999999999998</v>
      </c>
      <c r="IH40" s="797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2.16</v>
      </c>
      <c r="II40" s="800" cm="1">
        <f t="array" ref="II40">IFERROR(IF($IH40&lt;1,$IH40+LARGE((IF($M$9:$M$150="",0,$M$9:$M$150)-MOD(IF($M$9:$M$150="",0,$M$9:$M$150),1)),1),$IH40),"")</f>
        <v>2.16</v>
      </c>
      <c r="IJ40" s="839" t="str">
        <f t="shared" si="68"/>
        <v>1613</v>
      </c>
      <c r="IK40" s="839" t="str">
        <f t="shared" si="69"/>
        <v>Knuckle</v>
      </c>
      <c r="IL40" s="791">
        <f t="shared" si="228"/>
        <v>13.40029806523637</v>
      </c>
      <c r="IM40" s="830">
        <v>1.37391043765936E-4</v>
      </c>
      <c r="IN40" s="5">
        <f t="shared" si="229"/>
        <v>0</v>
      </c>
      <c r="IO40" s="852">
        <v>0</v>
      </c>
      <c r="IP40" s="9">
        <f t="shared" si="230"/>
        <v>-5.8681176982429779</v>
      </c>
      <c r="IQ40" s="5">
        <f t="shared" si="231"/>
        <v>-3.3486100994080594</v>
      </c>
      <c r="IR40" s="5">
        <f t="shared" si="74"/>
        <v>0.314</v>
      </c>
      <c r="IS40" s="5">
        <f t="shared" si="232"/>
        <v>0.24682144194521291</v>
      </c>
      <c r="IT40" s="791">
        <f t="shared" si="233"/>
        <v>90.018632948969412</v>
      </c>
      <c r="IU40" s="9">
        <f t="shared" si="234"/>
        <v>-5.8629176825597318</v>
      </c>
      <c r="IV40" s="5">
        <f t="shared" si="235"/>
        <v>-3.3535101141865051</v>
      </c>
      <c r="IW40" s="5">
        <f t="shared" si="79"/>
        <v>0.25700000000000001</v>
      </c>
      <c r="IX40" s="5">
        <f t="shared" si="236"/>
        <v>0.25700000000000001</v>
      </c>
      <c r="IY40" s="833">
        <f t="shared" si="237"/>
        <v>73.399989402352588</v>
      </c>
    </row>
    <row r="41" spans="1:259" ht="15" customHeight="1" x14ac:dyDescent="0.25">
      <c r="A41" s="84">
        <f t="shared" si="82"/>
        <v>0.02</v>
      </c>
      <c r="B41" s="770">
        <v>0.79680912543331073</v>
      </c>
      <c r="C41" s="771">
        <v>-0.19866737387167391</v>
      </c>
      <c r="D41" s="772">
        <v>-0.64940195859630701</v>
      </c>
      <c r="E41" s="773">
        <v>0.13023136895663226</v>
      </c>
      <c r="F41" s="771">
        <v>0.92309807616467543</v>
      </c>
      <c r="G41" s="774">
        <v>0.36184213729298687</v>
      </c>
      <c r="H41" s="773">
        <v>0.314</v>
      </c>
      <c r="I41" s="771">
        <v>0.52</v>
      </c>
      <c r="J41" s="601">
        <v>3.1030000000000002</v>
      </c>
      <c r="K41" s="426" t="str">
        <f t="shared" si="225"/>
        <v>1613</v>
      </c>
      <c r="L41" s="327"/>
      <c r="M41" s="173">
        <f t="shared" ref="M41:M72" si="242">IF(J41="","",VALUE(J41))</f>
        <v>3.1030000000000002</v>
      </c>
      <c r="N41" s="21">
        <f t="shared" ref="N41:N72" si="243">IF(M41="","",B41)</f>
        <v>0.79680912543331073</v>
      </c>
      <c r="O41" s="5">
        <f t="shared" ref="O41:O72" si="244">IF(M41="","",C41)</f>
        <v>-0.19866737387167391</v>
      </c>
      <c r="P41" s="10">
        <f t="shared" ref="P41:P72" si="245">IF(M41="","",D41)</f>
        <v>-0.64940195859630701</v>
      </c>
      <c r="Q41" s="624">
        <f t="shared" si="116"/>
        <v>345.99996303817846</v>
      </c>
      <c r="R41" s="5">
        <f t="shared" si="83"/>
        <v>0.82120247674667002</v>
      </c>
      <c r="S41" s="6">
        <f t="shared" si="84"/>
        <v>-0.64940195859630701</v>
      </c>
      <c r="T41" s="4">
        <f t="shared" si="85"/>
        <v>-0.19850048622674177</v>
      </c>
      <c r="U41" s="5">
        <f t="shared" si="86"/>
        <v>-0.79685071674850882</v>
      </c>
      <c r="V41" s="8">
        <f t="shared" si="117"/>
        <v>-0.64940195859630701</v>
      </c>
      <c r="W41" s="624">
        <f t="shared" si="227"/>
        <v>256.01196303644588</v>
      </c>
      <c r="X41" s="5">
        <f t="shared" si="87"/>
        <v>0.82120247674667002</v>
      </c>
      <c r="Y41" s="7">
        <f t="shared" si="226"/>
        <v>-0.64940195859630701</v>
      </c>
      <c r="Z41" s="21">
        <f t="shared" ref="Z41:Z72" si="246">IF(M41="","",-E41)</f>
        <v>-0.13023136895663226</v>
      </c>
      <c r="AA41" s="5">
        <f t="shared" ref="AA41:AA72" si="247">IF(M41="","",-F41)</f>
        <v>-0.92309807616467543</v>
      </c>
      <c r="AB41" s="5">
        <f t="shared" ref="AB41:AB72" si="248">IF(M41="","",-G41)</f>
        <v>-0.36184213729298687</v>
      </c>
      <c r="AC41" s="8">
        <f t="shared" si="88"/>
        <v>1</v>
      </c>
      <c r="AD41" s="9">
        <f t="shared" si="118"/>
        <v>-0.13023136895663226</v>
      </c>
      <c r="AE41" s="5">
        <f t="shared" si="89"/>
        <v>-0.92309807616467543</v>
      </c>
      <c r="AF41" s="10">
        <f t="shared" si="90"/>
        <v>-0.36184213729298687</v>
      </c>
      <c r="AG41" s="622">
        <f t="shared" si="91"/>
        <v>-68.595482793683473</v>
      </c>
      <c r="AH41" s="623">
        <f t="shared" si="92"/>
        <v>97.482962443036442</v>
      </c>
      <c r="AI41" s="624">
        <f t="shared" si="93"/>
        <v>-68.786628843697031</v>
      </c>
      <c r="AJ41" s="625">
        <f t="shared" si="94"/>
        <v>-8.0303334286389383</v>
      </c>
      <c r="AK41" s="4">
        <f t="shared" si="213"/>
        <v>0.92718387533450819</v>
      </c>
      <c r="AL41" s="5">
        <f t="shared" si="95"/>
        <v>9.69552938158946E-2</v>
      </c>
      <c r="AM41" s="6">
        <f t="shared" si="96"/>
        <v>-0.36184213729298687</v>
      </c>
      <c r="AN41" s="612">
        <f t="shared" si="97"/>
        <v>14.999997834268262</v>
      </c>
      <c r="AO41" s="613">
        <f t="shared" si="98"/>
        <v>21.999996823593456</v>
      </c>
      <c r="AP41" s="624">
        <f t="shared" si="99"/>
        <v>5.9697035331826243</v>
      </c>
      <c r="AQ41" s="625">
        <f t="shared" ref="AQ41:AQ72" si="249">IF(M41="","",DEGREES(ATAN(($AS$5*SIN(RADIANS(90)))/(($X41*2*PI())-($AS$5*COS(RADIANS(90)))))))</f>
        <v>14.766059820477951</v>
      </c>
      <c r="AS41" s="56">
        <f t="shared" si="119"/>
        <v>-103.98803696355412</v>
      </c>
      <c r="AT41" s="77">
        <f t="shared" ref="AT41:AT72" si="250">IF(M41="","",Y41+(((AS41-$AS$9)*$AS$6)*-1))</f>
        <v>-0.2565129300738701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5">M41</f>
        <v>3.1030000000000002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6">IF(ISNUMBER($II41),INDEX($K$9:$K$150,MATCH($II41,$M$9:$M$150,0)),"")</f>
        <v/>
      </c>
      <c r="IK41" s="839" t="str">
        <f t="shared" ref="IK41:IK72" si="387">IF(ISNUMBER($II41),INDEX($K$9:$K$150,MATCH($IG41,$M$9:$M$150,0)),"")</f>
        <v/>
      </c>
      <c r="IL41" s="791" t="str">
        <f t="shared" si="228"/>
        <v/>
      </c>
      <c r="IM41" s="830"/>
      <c r="IN41" s="5" t="str">
        <f t="shared" si="229"/>
        <v/>
      </c>
      <c r="IO41" s="852"/>
      <c r="IP41" s="9" t="str">
        <f t="shared" si="230"/>
        <v/>
      </c>
      <c r="IQ41" s="5" t="str">
        <f t="shared" si="231"/>
        <v/>
      </c>
      <c r="IR41" s="5" t="str">
        <f t="shared" ref="IR41:IR72" si="388">IF(ISNUMBER($II41),INDEX($H$9:$H$150,MATCH($II41,$M$9:$M$150,0)),"")</f>
        <v/>
      </c>
      <c r="IS41" s="5" t="str">
        <f t="shared" si="232"/>
        <v/>
      </c>
      <c r="IT41" s="791" t="str">
        <f t="shared" si="233"/>
        <v/>
      </c>
      <c r="IU41" s="9" t="str">
        <f t="shared" si="234"/>
        <v/>
      </c>
      <c r="IV41" s="5" t="str">
        <f t="shared" si="235"/>
        <v/>
      </c>
      <c r="IW41" s="5" t="str">
        <f t="shared" ref="IW41:IW72" si="389">IF(ISNUMBER($II41),$H41,"")</f>
        <v/>
      </c>
      <c r="IX41" s="5" t="str">
        <f t="shared" si="236"/>
        <v/>
      </c>
      <c r="IY41" s="833" t="str">
        <f t="shared" si="237"/>
        <v/>
      </c>
    </row>
    <row r="42" spans="1:259" ht="15" customHeight="1" x14ac:dyDescent="0.25">
      <c r="A42" s="84">
        <f t="shared" si="82"/>
        <v>0.02</v>
      </c>
      <c r="B42" s="770">
        <v>1.4878557147338516</v>
      </c>
      <c r="C42" s="771">
        <v>-0.37096511336437504</v>
      </c>
      <c r="D42" s="772">
        <v>-0.45850138284017045</v>
      </c>
      <c r="E42" s="773">
        <v>0.13023136895663218</v>
      </c>
      <c r="F42" s="771">
        <v>0.92309807616467543</v>
      </c>
      <c r="G42" s="774">
        <v>0.36184213729298681</v>
      </c>
      <c r="H42" s="773">
        <v>0.314</v>
      </c>
      <c r="I42" s="771">
        <v>0.52</v>
      </c>
      <c r="J42" s="601">
        <v>3.1059999999999999</v>
      </c>
      <c r="K42" s="426" t="str">
        <f t="shared" si="225"/>
        <v>1613</v>
      </c>
      <c r="L42" s="327"/>
      <c r="M42" s="173">
        <f t="shared" si="242"/>
        <v>3.1059999999999999</v>
      </c>
      <c r="N42" s="21">
        <f t="shared" si="243"/>
        <v>1.4878557147338516</v>
      </c>
      <c r="O42" s="5">
        <f t="shared" si="244"/>
        <v>-0.37096511336437504</v>
      </c>
      <c r="P42" s="10">
        <f t="shared" si="245"/>
        <v>-0.45850138284017045</v>
      </c>
      <c r="Q42" s="624">
        <f t="shared" si="116"/>
        <v>345.99996303817846</v>
      </c>
      <c r="R42" s="5">
        <f t="shared" ref="R42:R47" si="390">IF(M42="","",SQRT(N42^2+O42^2))</f>
        <v>1.5334046247483486</v>
      </c>
      <c r="S42" s="6">
        <f t="shared" ref="S42:S47" si="391">IF(M42="","",P42)</f>
        <v>-0.45850138284017045</v>
      </c>
      <c r="T42" s="4">
        <f t="shared" ref="T42:T47" si="392">IF(M42="","",X42*COS(RADIANS(W42)))</f>
        <v>-0.37065348950327065</v>
      </c>
      <c r="U42" s="5">
        <f t="shared" ref="U42:U47" si="393">IF(M42="","",X42*SIN(RADIANS(W42)))</f>
        <v>-1.4879333768414071</v>
      </c>
      <c r="V42" s="8">
        <f t="shared" ref="V42:V47" si="394">IF(M42="","",Y42)</f>
        <v>-0.45850138284017045</v>
      </c>
      <c r="W42" s="624">
        <f t="shared" si="227"/>
        <v>256.01196303644588</v>
      </c>
      <c r="X42" s="5">
        <f t="shared" ref="X42:X47" si="395">IF(M42="","",R42)</f>
        <v>1.5334046247483486</v>
      </c>
      <c r="Y42" s="7">
        <f t="shared" si="226"/>
        <v>-0.45850138284017045</v>
      </c>
      <c r="Z42" s="21">
        <f t="shared" si="246"/>
        <v>-0.13023136895663218</v>
      </c>
      <c r="AA42" s="5">
        <f t="shared" si="247"/>
        <v>-0.92309807616467543</v>
      </c>
      <c r="AB42" s="5">
        <f t="shared" si="248"/>
        <v>-0.36184213729298681</v>
      </c>
      <c r="AC42" s="8">
        <f t="shared" ref="AC42:AC47" si="396">IF(M42="","",SQRT(Z42^2+AA42^2+AB42^2))</f>
        <v>1</v>
      </c>
      <c r="AD42" s="9">
        <f t="shared" ref="AD42:AD47" si="397">IF(M42="","",Z42*(1/SQRT(Z42^2+AA42^2+AB42^2)))</f>
        <v>-0.13023136895663218</v>
      </c>
      <c r="AE42" s="5">
        <f t="shared" ref="AE42:AE47" si="398">IF(M42="","",AA42*(1/SQRT(Z42^2+AA42^2+AB42^2)))</f>
        <v>-0.92309807616467543</v>
      </c>
      <c r="AF42" s="10">
        <f t="shared" ref="AF42:AF47" si="399">IF(M42="","",AB42*(1/SQRT(Z42^2+AA42^2+AB42^2)))</f>
        <v>-0.36184213729298681</v>
      </c>
      <c r="AG42" s="622">
        <f t="shared" ref="AG42:AG47" si="400">IF(M42="","",DEGREES(ATAN2(-AF42,AE42)))</f>
        <v>-68.595482793683487</v>
      </c>
      <c r="AH42" s="623">
        <f t="shared" ref="AH42:AH47" si="401">IF(M42="","",DEGREES(ACOS(AD42)))</f>
        <v>97.482962443036442</v>
      </c>
      <c r="AI42" s="624">
        <f t="shared" ref="AI42:AI47" si="402">IF(M42="","",DEGREES(-ACOS(-AF42)))</f>
        <v>-68.786628843697031</v>
      </c>
      <c r="AJ42" s="625">
        <f t="shared" ref="AJ42:AJ47" si="403">IF(M42="","",DEGREES(ATAN2(-AE42,AD42)))</f>
        <v>-8.030333428638933</v>
      </c>
      <c r="AK42" s="4">
        <f t="shared" ref="AK42:AK47" si="404">IF(M42="","",(COS(RADIANS((90-$Q$8)-W42))*AD42)+(-SIN(RADIANS((90-$Q$8)-W42))*AE42))</f>
        <v>0.92718387533450819</v>
      </c>
      <c r="AL42" s="5">
        <f t="shared" ref="AL42:AL47" si="405">IF(M42="","",(SIN(RADIANS((90-$Q$8)-W42))*AD42)+(COS(RADIANS((90-$Q$8)-W42))*AE42))</f>
        <v>9.6955293815894683E-2</v>
      </c>
      <c r="AM42" s="6">
        <f t="shared" ref="AM42:AM47" si="406">IF(M42="","",AF42)</f>
        <v>-0.36184213729298681</v>
      </c>
      <c r="AN42" s="612">
        <f t="shared" ref="AN42:AN47" si="407">IF(M42="","",DEGREES(ATAN2(-AM42,AL42)))</f>
        <v>14.999997834268278</v>
      </c>
      <c r="AO42" s="613">
        <f t="shared" si="98"/>
        <v>21.999996823593456</v>
      </c>
      <c r="AP42" s="624">
        <f t="shared" ref="AP42:AP47" si="408">IF(M42="","",DEGREES(ATAN2(AK42,AL42)))</f>
        <v>5.9697035331826287</v>
      </c>
      <c r="AQ42" s="625">
        <f t="shared" si="249"/>
        <v>8.0346142136263428</v>
      </c>
      <c r="AS42" s="56">
        <f t="shared" si="119"/>
        <v>-103.98803696355412</v>
      </c>
      <c r="AT42" s="77">
        <f t="shared" si="250"/>
        <v>-6.5612354317733546E-2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5"/>
        <v>3.1059999999999999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6"/>
        <v/>
      </c>
      <c r="IK42" s="839" t="str">
        <f t="shared" si="387"/>
        <v/>
      </c>
      <c r="IL42" s="791" t="str">
        <f t="shared" si="228"/>
        <v/>
      </c>
      <c r="IM42" s="830"/>
      <c r="IN42" s="5" t="str">
        <f t="shared" si="229"/>
        <v/>
      </c>
      <c r="IO42" s="852"/>
      <c r="IP42" s="9" t="str">
        <f t="shared" si="230"/>
        <v/>
      </c>
      <c r="IQ42" s="5" t="str">
        <f t="shared" si="231"/>
        <v/>
      </c>
      <c r="IR42" s="5" t="str">
        <f t="shared" si="388"/>
        <v/>
      </c>
      <c r="IS42" s="5" t="str">
        <f t="shared" si="232"/>
        <v/>
      </c>
      <c r="IT42" s="791" t="str">
        <f t="shared" si="233"/>
        <v/>
      </c>
      <c r="IU42" s="9" t="str">
        <f t="shared" si="234"/>
        <v/>
      </c>
      <c r="IV42" s="5" t="str">
        <f t="shared" si="235"/>
        <v/>
      </c>
      <c r="IW42" s="5" t="str">
        <f t="shared" si="389"/>
        <v/>
      </c>
      <c r="IX42" s="5" t="str">
        <f t="shared" si="236"/>
        <v/>
      </c>
      <c r="IY42" s="833" t="str">
        <f t="shared" si="237"/>
        <v/>
      </c>
    </row>
    <row r="43" spans="1:259" ht="15" customHeight="1" x14ac:dyDescent="0.25">
      <c r="A43" s="84">
        <f t="shared" si="82"/>
        <v>0.02</v>
      </c>
      <c r="B43" s="770">
        <v>2.1789993338840548</v>
      </c>
      <c r="C43" s="771">
        <v>-0.54328704518219484</v>
      </c>
      <c r="D43" s="772">
        <v>-0.26770080738563495</v>
      </c>
      <c r="E43" s="773">
        <v>0.13023136895663223</v>
      </c>
      <c r="F43" s="771">
        <v>0.92309807616467543</v>
      </c>
      <c r="G43" s="774">
        <v>0.36184213729298692</v>
      </c>
      <c r="H43" s="773">
        <v>0.314</v>
      </c>
      <c r="I43" s="771">
        <v>0.52</v>
      </c>
      <c r="J43" s="601">
        <v>3.11</v>
      </c>
      <c r="K43" s="426" t="str">
        <f t="shared" si="225"/>
        <v>1613</v>
      </c>
      <c r="L43" s="327"/>
      <c r="M43" s="173">
        <f t="shared" si="242"/>
        <v>3.11</v>
      </c>
      <c r="N43" s="21">
        <f t="shared" si="243"/>
        <v>2.1789993338840548</v>
      </c>
      <c r="O43" s="5">
        <f t="shared" si="244"/>
        <v>-0.54328704518219484</v>
      </c>
      <c r="P43" s="10">
        <f t="shared" si="245"/>
        <v>-0.26770080738563495</v>
      </c>
      <c r="Q43" s="624">
        <f t="shared" si="116"/>
        <v>345.99996303817846</v>
      </c>
      <c r="R43" s="5">
        <f t="shared" si="390"/>
        <v>2.2457067730516278</v>
      </c>
      <c r="S43" s="6">
        <f t="shared" si="391"/>
        <v>-0.26770080738563495</v>
      </c>
      <c r="T43" s="4">
        <f t="shared" si="392"/>
        <v>-0.54283066478250608</v>
      </c>
      <c r="U43" s="5">
        <f t="shared" si="393"/>
        <v>-2.179113071848668</v>
      </c>
      <c r="V43" s="8">
        <f t="shared" si="394"/>
        <v>-0.26770080738563495</v>
      </c>
      <c r="W43" s="624">
        <f t="shared" si="227"/>
        <v>256.01196303644588</v>
      </c>
      <c r="X43" s="5">
        <f t="shared" si="395"/>
        <v>2.2457067730516278</v>
      </c>
      <c r="Y43" s="7">
        <f t="shared" si="226"/>
        <v>-0.26770080738563495</v>
      </c>
      <c r="Z43" s="21">
        <f t="shared" si="246"/>
        <v>-0.13023136895663223</v>
      </c>
      <c r="AA43" s="5">
        <f t="shared" si="247"/>
        <v>-0.92309807616467543</v>
      </c>
      <c r="AB43" s="5">
        <f t="shared" si="248"/>
        <v>-0.36184213729298692</v>
      </c>
      <c r="AC43" s="8">
        <f t="shared" si="396"/>
        <v>1</v>
      </c>
      <c r="AD43" s="9">
        <f t="shared" si="397"/>
        <v>-0.13023136895663223</v>
      </c>
      <c r="AE43" s="5">
        <f t="shared" si="398"/>
        <v>-0.92309807616467543</v>
      </c>
      <c r="AF43" s="10">
        <f t="shared" si="399"/>
        <v>-0.36184213729298692</v>
      </c>
      <c r="AG43" s="622">
        <f t="shared" si="400"/>
        <v>-68.595482793683473</v>
      </c>
      <c r="AH43" s="623">
        <f t="shared" si="401"/>
        <v>97.482962443036442</v>
      </c>
      <c r="AI43" s="624">
        <f t="shared" si="402"/>
        <v>-68.786628843697017</v>
      </c>
      <c r="AJ43" s="625">
        <f t="shared" si="403"/>
        <v>-8.0303334286389365</v>
      </c>
      <c r="AK43" s="4">
        <f t="shared" si="404"/>
        <v>0.92718387533450819</v>
      </c>
      <c r="AL43" s="5">
        <f t="shared" si="405"/>
        <v>9.6955293815894628E-2</v>
      </c>
      <c r="AM43" s="6">
        <f t="shared" si="406"/>
        <v>-0.36184213729298692</v>
      </c>
      <c r="AN43" s="612">
        <f t="shared" si="407"/>
        <v>14.999997834268264</v>
      </c>
      <c r="AO43" s="613">
        <f t="shared" si="98"/>
        <v>21.999996823593456</v>
      </c>
      <c r="AP43" s="624">
        <f t="shared" si="408"/>
        <v>5.969703533182626</v>
      </c>
      <c r="AQ43" s="625">
        <f t="shared" si="249"/>
        <v>5.5054034814773676</v>
      </c>
      <c r="AS43" s="56">
        <f t="shared" ref="AS43:AS74" si="411">IF(G43="","",IF(AND(W43&lt;(AS42+180),W43&gt;(AS42-180)),W43,IF(W43&gt;(AS42+180),W43-360,IF(W43&lt;(AS42-180),W43+360,"Error"))))</f>
        <v>-103.98803696355412</v>
      </c>
      <c r="AT43" s="77">
        <f t="shared" si="250"/>
        <v>0.12518822113680195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5"/>
        <v>3.11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6"/>
        <v/>
      </c>
      <c r="IK43" s="839" t="str">
        <f t="shared" si="387"/>
        <v/>
      </c>
      <c r="IL43" s="791" t="str">
        <f t="shared" si="228"/>
        <v/>
      </c>
      <c r="IM43" s="830"/>
      <c r="IN43" s="5" t="str">
        <f t="shared" si="229"/>
        <v/>
      </c>
      <c r="IO43" s="852"/>
      <c r="IP43" s="9" t="str">
        <f t="shared" si="230"/>
        <v/>
      </c>
      <c r="IQ43" s="5" t="str">
        <f t="shared" si="231"/>
        <v/>
      </c>
      <c r="IR43" s="5" t="str">
        <f t="shared" si="388"/>
        <v/>
      </c>
      <c r="IS43" s="5" t="str">
        <f t="shared" si="232"/>
        <v/>
      </c>
      <c r="IT43" s="791" t="str">
        <f t="shared" si="233"/>
        <v/>
      </c>
      <c r="IU43" s="9" t="str">
        <f t="shared" si="234"/>
        <v/>
      </c>
      <c r="IV43" s="5" t="str">
        <f t="shared" si="235"/>
        <v/>
      </c>
      <c r="IW43" s="5" t="str">
        <f t="shared" si="389"/>
        <v/>
      </c>
      <c r="IX43" s="5" t="str">
        <f t="shared" si="236"/>
        <v/>
      </c>
      <c r="IY43" s="833" t="str">
        <f t="shared" si="237"/>
        <v/>
      </c>
    </row>
    <row r="44" spans="1:259" ht="15" customHeight="1" x14ac:dyDescent="0.25">
      <c r="A44" s="84">
        <f t="shared" si="82"/>
        <v>0.02</v>
      </c>
      <c r="B44" s="770">
        <v>2.9504643120668628</v>
      </c>
      <c r="C44" s="771">
        <v>-0.7528886188060212</v>
      </c>
      <c r="D44" s="772">
        <v>-9.020027204402041E-2</v>
      </c>
      <c r="E44" s="773">
        <v>0.25861041778137089</v>
      </c>
      <c r="F44" s="771">
        <v>0.92001955295562443</v>
      </c>
      <c r="G44" s="774">
        <v>0.29442261121435287</v>
      </c>
      <c r="H44" s="773">
        <v>0.314</v>
      </c>
      <c r="I44" s="771">
        <v>0.52</v>
      </c>
      <c r="J44" s="601">
        <v>3.117</v>
      </c>
      <c r="K44" s="426" t="str">
        <f t="shared" si="225"/>
        <v>1613</v>
      </c>
      <c r="L44" s="327"/>
      <c r="M44" s="173">
        <f t="shared" si="242"/>
        <v>3.117</v>
      </c>
      <c r="N44" s="21">
        <f t="shared" si="243"/>
        <v>2.9504643120668628</v>
      </c>
      <c r="O44" s="5">
        <f t="shared" si="244"/>
        <v>-0.7528886188060212</v>
      </c>
      <c r="P44" s="10">
        <f t="shared" si="245"/>
        <v>-9.020027204402041E-2</v>
      </c>
      <c r="Q44" s="624">
        <f t="shared" si="116"/>
        <v>345.68496308365883</v>
      </c>
      <c r="R44" s="5">
        <f t="shared" si="390"/>
        <v>3.0450091837476982</v>
      </c>
      <c r="S44" s="6">
        <f t="shared" si="391"/>
        <v>-9.020027204402041E-2</v>
      </c>
      <c r="T44" s="4">
        <f t="shared" si="392"/>
        <v>-0.75227065858656983</v>
      </c>
      <c r="U44" s="5">
        <f t="shared" si="393"/>
        <v>-2.9506219319556259</v>
      </c>
      <c r="V44" s="8">
        <f t="shared" si="394"/>
        <v>-9.020027204402041E-2</v>
      </c>
      <c r="W44" s="624">
        <f t="shared" si="227"/>
        <v>255.69696308192624</v>
      </c>
      <c r="X44" s="5">
        <f t="shared" si="395"/>
        <v>3.0450091837476982</v>
      </c>
      <c r="Y44" s="7">
        <f t="shared" si="226"/>
        <v>-9.020027204402041E-2</v>
      </c>
      <c r="Z44" s="21">
        <f t="shared" si="246"/>
        <v>-0.25861041778137089</v>
      </c>
      <c r="AA44" s="5">
        <f t="shared" si="247"/>
        <v>-0.92001955295562443</v>
      </c>
      <c r="AB44" s="5">
        <f t="shared" si="248"/>
        <v>-0.29442261121435287</v>
      </c>
      <c r="AC44" s="8">
        <f t="shared" si="396"/>
        <v>1</v>
      </c>
      <c r="AD44" s="9">
        <f t="shared" si="397"/>
        <v>-0.25861041778137089</v>
      </c>
      <c r="AE44" s="5">
        <f t="shared" si="398"/>
        <v>-0.92001955295562443</v>
      </c>
      <c r="AF44" s="10">
        <f t="shared" si="399"/>
        <v>-0.29442261121435287</v>
      </c>
      <c r="AG44" s="622">
        <f t="shared" si="400"/>
        <v>-72.254404495605058</v>
      </c>
      <c r="AH44" s="623">
        <f t="shared" si="401"/>
        <v>104.9876252203988</v>
      </c>
      <c r="AI44" s="624">
        <f t="shared" si="402"/>
        <v>-72.87708214926171</v>
      </c>
      <c r="AJ44" s="625">
        <f t="shared" si="403"/>
        <v>-15.700264597489856</v>
      </c>
      <c r="AK44" s="4">
        <f t="shared" si="404"/>
        <v>0.95539603400177842</v>
      </c>
      <c r="AL44" s="5">
        <f t="shared" si="405"/>
        <v>-2.3102904999045659E-2</v>
      </c>
      <c r="AM44" s="6">
        <f t="shared" si="406"/>
        <v>-0.29442261121435287</v>
      </c>
      <c r="AN44" s="612">
        <f t="shared" si="407"/>
        <v>-4.4867210816273895</v>
      </c>
      <c r="AO44" s="613">
        <f t="shared" si="98"/>
        <v>17.177185466054247</v>
      </c>
      <c r="AP44" s="624">
        <f t="shared" si="408"/>
        <v>-1.3852276811486965</v>
      </c>
      <c r="AQ44" s="625">
        <f t="shared" si="249"/>
        <v>4.0659607304459513</v>
      </c>
      <c r="AS44" s="56">
        <f t="shared" si="411"/>
        <v>-104.30303691807376</v>
      </c>
      <c r="AT44" s="77">
        <f t="shared" si="250"/>
        <v>0.30387875630660177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5"/>
        <v>3.117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6"/>
        <v/>
      </c>
      <c r="IK44" s="839" t="str">
        <f t="shared" si="387"/>
        <v/>
      </c>
      <c r="IL44" s="791" t="str">
        <f t="shared" si="228"/>
        <v/>
      </c>
      <c r="IM44" s="830"/>
      <c r="IN44" s="5" t="str">
        <f t="shared" si="229"/>
        <v/>
      </c>
      <c r="IO44" s="852"/>
      <c r="IP44" s="9" t="str">
        <f t="shared" si="230"/>
        <v/>
      </c>
      <c r="IQ44" s="5" t="str">
        <f t="shared" si="231"/>
        <v/>
      </c>
      <c r="IR44" s="5" t="str">
        <f t="shared" si="388"/>
        <v/>
      </c>
      <c r="IS44" s="5" t="str">
        <f t="shared" si="232"/>
        <v/>
      </c>
      <c r="IT44" s="791" t="str">
        <f t="shared" si="233"/>
        <v/>
      </c>
      <c r="IU44" s="9" t="str">
        <f t="shared" si="234"/>
        <v/>
      </c>
      <c r="IV44" s="5" t="str">
        <f t="shared" si="235"/>
        <v/>
      </c>
      <c r="IW44" s="5" t="str">
        <f t="shared" si="389"/>
        <v/>
      </c>
      <c r="IX44" s="5" t="str">
        <f t="shared" si="236"/>
        <v/>
      </c>
      <c r="IY44" s="833" t="str">
        <f t="shared" si="237"/>
        <v/>
      </c>
    </row>
    <row r="45" spans="1:259" ht="15" customHeight="1" x14ac:dyDescent="0.25">
      <c r="A45" s="84">
        <f t="shared" si="82"/>
        <v>0.02</v>
      </c>
      <c r="B45" s="770">
        <v>3.7092626407272857</v>
      </c>
      <c r="C45" s="771">
        <v>-1.006188178676247</v>
      </c>
      <c r="D45" s="772">
        <v>-0.14410043460691047</v>
      </c>
      <c r="E45" s="773">
        <v>0.36691345531739228</v>
      </c>
      <c r="F45" s="771">
        <v>0.89759746759968329</v>
      </c>
      <c r="G45" s="774">
        <v>0.24432212848141213</v>
      </c>
      <c r="H45" s="773">
        <v>0.314</v>
      </c>
      <c r="I45" s="771">
        <v>0.52</v>
      </c>
      <c r="J45" s="601">
        <v>3.1240000000000001</v>
      </c>
      <c r="K45" s="426" t="str">
        <f t="shared" si="225"/>
        <v>1613</v>
      </c>
      <c r="L45" s="327"/>
      <c r="M45" s="173">
        <f t="shared" si="242"/>
        <v>3.1240000000000001</v>
      </c>
      <c r="N45" s="21">
        <f t="shared" si="243"/>
        <v>3.7092626407272857</v>
      </c>
      <c r="O45" s="5">
        <f t="shared" si="244"/>
        <v>-1.006188178676247</v>
      </c>
      <c r="P45" s="10">
        <f t="shared" si="245"/>
        <v>-0.14410043460691047</v>
      </c>
      <c r="Q45" s="624">
        <f t="shared" si="116"/>
        <v>344.82296320811616</v>
      </c>
      <c r="R45" s="5">
        <f t="shared" si="390"/>
        <v>3.8433115914277596</v>
      </c>
      <c r="S45" s="6">
        <f t="shared" si="391"/>
        <v>-0.14410043460691047</v>
      </c>
      <c r="T45" s="4">
        <f t="shared" si="392"/>
        <v>-1.0054112905751016</v>
      </c>
      <c r="U45" s="5">
        <f t="shared" si="393"/>
        <v>-3.7094732949014588</v>
      </c>
      <c r="V45" s="8">
        <f t="shared" si="394"/>
        <v>-0.14410043460691047</v>
      </c>
      <c r="W45" s="624">
        <f t="shared" si="227"/>
        <v>254.83496320638358</v>
      </c>
      <c r="X45" s="5">
        <f t="shared" si="395"/>
        <v>3.8433115914277596</v>
      </c>
      <c r="Y45" s="7">
        <f t="shared" si="226"/>
        <v>-0.14410043460691047</v>
      </c>
      <c r="Z45" s="21">
        <f t="shared" si="246"/>
        <v>-0.36691345531739228</v>
      </c>
      <c r="AA45" s="5">
        <f t="shared" si="247"/>
        <v>-0.89759746759968329</v>
      </c>
      <c r="AB45" s="5">
        <f t="shared" si="248"/>
        <v>-0.24432212848141213</v>
      </c>
      <c r="AC45" s="8">
        <f t="shared" si="396"/>
        <v>1</v>
      </c>
      <c r="AD45" s="9">
        <f t="shared" si="397"/>
        <v>-0.36691345531739228</v>
      </c>
      <c r="AE45" s="5">
        <f t="shared" si="398"/>
        <v>-0.89759746759968329</v>
      </c>
      <c r="AF45" s="10">
        <f t="shared" si="399"/>
        <v>-0.24432212848141213</v>
      </c>
      <c r="AG45" s="622">
        <f t="shared" si="400"/>
        <v>-74.773235968910356</v>
      </c>
      <c r="AH45" s="623">
        <f t="shared" si="401"/>
        <v>111.52538754810148</v>
      </c>
      <c r="AI45" s="624">
        <f t="shared" si="402"/>
        <v>-75.858222821468487</v>
      </c>
      <c r="AJ45" s="625">
        <f t="shared" si="403"/>
        <v>-22.233409962716003</v>
      </c>
      <c r="AK45" s="4">
        <f t="shared" si="404"/>
        <v>0.96234943390123029</v>
      </c>
      <c r="AL45" s="5">
        <f t="shared" si="405"/>
        <v>-0.11912289706137147</v>
      </c>
      <c r="AM45" s="6">
        <f t="shared" si="406"/>
        <v>-0.24432212848141213</v>
      </c>
      <c r="AN45" s="612">
        <f t="shared" si="407"/>
        <v>-25.992238526353479</v>
      </c>
      <c r="AO45" s="613">
        <f t="shared" si="98"/>
        <v>15.772317442345756</v>
      </c>
      <c r="AP45" s="624">
        <f t="shared" si="408"/>
        <v>-7.0563731708321686</v>
      </c>
      <c r="AQ45" s="625">
        <f t="shared" si="249"/>
        <v>3.2234247807428646</v>
      </c>
      <c r="AS45" s="56">
        <f t="shared" si="411"/>
        <v>-105.16503679361642</v>
      </c>
      <c r="AT45" s="77">
        <f t="shared" si="250"/>
        <v>0.25323503771798406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3.1240000000000001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6"/>
        <v/>
      </c>
      <c r="IK45" s="839" t="str">
        <f t="shared" si="387"/>
        <v/>
      </c>
      <c r="IL45" s="791" t="str">
        <f t="shared" si="228"/>
        <v/>
      </c>
      <c r="IM45" s="830"/>
      <c r="IN45" s="5" t="str">
        <f t="shared" si="229"/>
        <v/>
      </c>
      <c r="IO45" s="852"/>
      <c r="IP45" s="9" t="str">
        <f t="shared" si="230"/>
        <v/>
      </c>
      <c r="IQ45" s="5" t="str">
        <f t="shared" si="231"/>
        <v/>
      </c>
      <c r="IR45" s="5" t="str">
        <f t="shared" si="388"/>
        <v/>
      </c>
      <c r="IS45" s="5" t="str">
        <f t="shared" si="232"/>
        <v/>
      </c>
      <c r="IT45" s="791" t="str">
        <f t="shared" si="233"/>
        <v/>
      </c>
      <c r="IU45" s="9" t="str">
        <f t="shared" si="234"/>
        <v/>
      </c>
      <c r="IV45" s="5" t="str">
        <f t="shared" si="235"/>
        <v/>
      </c>
      <c r="IW45" s="5" t="str">
        <f t="shared" si="389"/>
        <v/>
      </c>
      <c r="IX45" s="5" t="str">
        <f t="shared" si="236"/>
        <v/>
      </c>
      <c r="IY45" s="833" t="str">
        <f t="shared" si="237"/>
        <v/>
      </c>
    </row>
    <row r="46" spans="1:259" ht="15" customHeight="1" x14ac:dyDescent="0.25">
      <c r="A46" s="84">
        <f t="shared" si="82"/>
        <v>0.02</v>
      </c>
      <c r="B46" s="770">
        <v>4.4011522160983771</v>
      </c>
      <c r="C46" s="771">
        <v>-1.2807386913299756</v>
      </c>
      <c r="D46" s="772">
        <v>-0.44750134966407051</v>
      </c>
      <c r="E46" s="773">
        <v>0.45509249856510231</v>
      </c>
      <c r="F46" s="771">
        <v>0.86616653724306381</v>
      </c>
      <c r="G46" s="774">
        <v>0.20650992109371555</v>
      </c>
      <c r="H46" s="773">
        <v>0.314</v>
      </c>
      <c r="I46" s="771">
        <v>0.52</v>
      </c>
      <c r="J46" s="601">
        <v>3.1309999999999998</v>
      </c>
      <c r="K46" s="426" t="str">
        <f t="shared" si="225"/>
        <v>1613</v>
      </c>
      <c r="L46" s="327"/>
      <c r="M46" s="173">
        <f t="shared" si="242"/>
        <v>3.1309999999999998</v>
      </c>
      <c r="N46" s="21">
        <f t="shared" si="243"/>
        <v>4.4011522160983771</v>
      </c>
      <c r="O46" s="5">
        <f t="shared" si="244"/>
        <v>-1.2807386913299756</v>
      </c>
      <c r="P46" s="10">
        <f t="shared" si="245"/>
        <v>-0.44750134966407051</v>
      </c>
      <c r="Q46" s="624">
        <f t="shared" si="116"/>
        <v>343.77496335942863</v>
      </c>
      <c r="R46" s="5">
        <f t="shared" si="390"/>
        <v>4.5837138244808955</v>
      </c>
      <c r="S46" s="6">
        <f t="shared" si="391"/>
        <v>-0.44750134966407051</v>
      </c>
      <c r="T46" s="4">
        <f t="shared" si="392"/>
        <v>-1.2798168882154426</v>
      </c>
      <c r="U46" s="5">
        <f t="shared" si="393"/>
        <v>-4.4014203568139019</v>
      </c>
      <c r="V46" s="8">
        <f t="shared" si="394"/>
        <v>-0.44750134966407051</v>
      </c>
      <c r="W46" s="624">
        <f t="shared" si="227"/>
        <v>253.78696335769604</v>
      </c>
      <c r="X46" s="5">
        <f t="shared" si="395"/>
        <v>4.5837138244808955</v>
      </c>
      <c r="Y46" s="7">
        <f t="shared" si="226"/>
        <v>-0.44750134966407051</v>
      </c>
      <c r="Z46" s="21">
        <f t="shared" si="246"/>
        <v>-0.45509249856510231</v>
      </c>
      <c r="AA46" s="5">
        <f t="shared" si="247"/>
        <v>-0.86616653724306381</v>
      </c>
      <c r="AB46" s="5">
        <f t="shared" si="248"/>
        <v>-0.20650992109371555</v>
      </c>
      <c r="AC46" s="8">
        <f t="shared" si="396"/>
        <v>1</v>
      </c>
      <c r="AD46" s="9">
        <f t="shared" si="397"/>
        <v>-0.45509249856510231</v>
      </c>
      <c r="AE46" s="5">
        <f t="shared" si="398"/>
        <v>-0.86616653724306381</v>
      </c>
      <c r="AF46" s="10">
        <f t="shared" si="399"/>
        <v>-0.20650992109371555</v>
      </c>
      <c r="AG46" s="622">
        <f t="shared" si="400"/>
        <v>-76.589988485863159</v>
      </c>
      <c r="AH46" s="623">
        <f t="shared" si="401"/>
        <v>117.07088590655636</v>
      </c>
      <c r="AI46" s="624">
        <f t="shared" si="402"/>
        <v>-78.082097310926088</v>
      </c>
      <c r="AJ46" s="625">
        <f t="shared" si="403"/>
        <v>-27.717881996528288</v>
      </c>
      <c r="AK46" s="4">
        <f t="shared" si="404"/>
        <v>0.95882629549667797</v>
      </c>
      <c r="AL46" s="5">
        <f t="shared" si="405"/>
        <v>-0.19495073109374297</v>
      </c>
      <c r="AM46" s="6">
        <f t="shared" si="406"/>
        <v>-0.20650992109371555</v>
      </c>
      <c r="AN46" s="612">
        <f t="shared" si="407"/>
        <v>-43.350747777250668</v>
      </c>
      <c r="AO46" s="613">
        <f t="shared" si="98"/>
        <v>16.4986764412978</v>
      </c>
      <c r="AP46" s="624">
        <f t="shared" si="408"/>
        <v>-11.492845355956904</v>
      </c>
      <c r="AQ46" s="625">
        <f t="shared" si="249"/>
        <v>2.7035952770190961</v>
      </c>
      <c r="AS46" s="56">
        <f t="shared" si="411"/>
        <v>-106.21303664230396</v>
      </c>
      <c r="AT46" s="77">
        <f t="shared" si="250"/>
        <v>-4.6206766799689769E-2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3.1309999999999998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6"/>
        <v/>
      </c>
      <c r="IK46" s="839" t="str">
        <f t="shared" si="387"/>
        <v/>
      </c>
      <c r="IL46" s="791" t="str">
        <f t="shared" si="228"/>
        <v/>
      </c>
      <c r="IM46" s="830"/>
      <c r="IN46" s="5" t="str">
        <f t="shared" si="229"/>
        <v/>
      </c>
      <c r="IO46" s="852"/>
      <c r="IP46" s="9" t="str">
        <f t="shared" si="230"/>
        <v/>
      </c>
      <c r="IQ46" s="5" t="str">
        <f t="shared" si="231"/>
        <v/>
      </c>
      <c r="IR46" s="5" t="str">
        <f t="shared" si="388"/>
        <v/>
      </c>
      <c r="IS46" s="5" t="str">
        <f t="shared" si="232"/>
        <v/>
      </c>
      <c r="IT46" s="791" t="str">
        <f t="shared" si="233"/>
        <v/>
      </c>
      <c r="IU46" s="9" t="str">
        <f t="shared" si="234"/>
        <v/>
      </c>
      <c r="IV46" s="5" t="str">
        <f t="shared" si="235"/>
        <v/>
      </c>
      <c r="IW46" s="5" t="str">
        <f t="shared" si="389"/>
        <v/>
      </c>
      <c r="IX46" s="5" t="str">
        <f t="shared" si="236"/>
        <v/>
      </c>
      <c r="IY46" s="833" t="str">
        <f t="shared" si="237"/>
        <v/>
      </c>
    </row>
    <row r="47" spans="1:259" ht="15" customHeight="1" x14ac:dyDescent="0.25">
      <c r="A47" s="84">
        <f t="shared" si="82"/>
        <v>0.02</v>
      </c>
      <c r="B47" s="770">
        <v>4.9584362870571379</v>
      </c>
      <c r="C47" s="771">
        <v>-1.534042429422851</v>
      </c>
      <c r="D47" s="772">
        <v>-0.96920292311601597</v>
      </c>
      <c r="E47" s="773">
        <v>0.52375827608493908</v>
      </c>
      <c r="F47" s="771">
        <v>0.8379296008991981</v>
      </c>
      <c r="G47" s="774">
        <v>0.15346417226650444</v>
      </c>
      <c r="H47" s="773">
        <v>0.314</v>
      </c>
      <c r="I47" s="771">
        <v>0.52</v>
      </c>
      <c r="J47" s="601">
        <v>3.1379999999999999</v>
      </c>
      <c r="K47" s="426" t="str">
        <f t="shared" si="225"/>
        <v>1613</v>
      </c>
      <c r="L47" s="327"/>
      <c r="M47" s="173">
        <f t="shared" si="242"/>
        <v>3.1379999999999999</v>
      </c>
      <c r="N47" s="21">
        <f t="shared" si="243"/>
        <v>4.9584362870571379</v>
      </c>
      <c r="O47" s="5">
        <f t="shared" si="244"/>
        <v>-1.534042429422851</v>
      </c>
      <c r="P47" s="10">
        <f t="shared" si="245"/>
        <v>-0.96920292311601597</v>
      </c>
      <c r="Q47" s="624">
        <f t="shared" si="116"/>
        <v>342.80896349890179</v>
      </c>
      <c r="R47" s="5">
        <f t="shared" si="390"/>
        <v>5.1903156539920134</v>
      </c>
      <c r="S47" s="6">
        <f t="shared" si="391"/>
        <v>-0.96920292311601597</v>
      </c>
      <c r="T47" s="4">
        <f t="shared" si="392"/>
        <v>-1.5330039034675627</v>
      </c>
      <c r="U47" s="5">
        <f t="shared" si="393"/>
        <v>-4.9587574673528607</v>
      </c>
      <c r="V47" s="8">
        <f t="shared" si="394"/>
        <v>-0.96920292311601597</v>
      </c>
      <c r="W47" s="624">
        <f t="shared" si="227"/>
        <v>252.8209634971692</v>
      </c>
      <c r="X47" s="5">
        <f t="shared" si="395"/>
        <v>5.1903156539920134</v>
      </c>
      <c r="Y47" s="7">
        <f t="shared" si="226"/>
        <v>-0.96920292311601597</v>
      </c>
      <c r="Z47" s="21">
        <f t="shared" si="246"/>
        <v>-0.52375827608493908</v>
      </c>
      <c r="AA47" s="5">
        <f t="shared" si="247"/>
        <v>-0.8379296008991981</v>
      </c>
      <c r="AB47" s="5">
        <f t="shared" si="248"/>
        <v>-0.15346417226650444</v>
      </c>
      <c r="AC47" s="8">
        <f t="shared" si="396"/>
        <v>1</v>
      </c>
      <c r="AD47" s="9">
        <f t="shared" si="397"/>
        <v>-0.52375827608493908</v>
      </c>
      <c r="AE47" s="5">
        <f t="shared" si="398"/>
        <v>-0.8379296008991981</v>
      </c>
      <c r="AF47" s="10">
        <f t="shared" si="399"/>
        <v>-0.15346417226650444</v>
      </c>
      <c r="AG47" s="622">
        <f t="shared" si="400"/>
        <v>-79.621479434180088</v>
      </c>
      <c r="AH47" s="623">
        <f t="shared" si="401"/>
        <v>121.58468856703659</v>
      </c>
      <c r="AI47" s="624">
        <f t="shared" si="402"/>
        <v>-81.172265863368423</v>
      </c>
      <c r="AJ47" s="625">
        <f t="shared" si="403"/>
        <v>-32.007953552232152</v>
      </c>
      <c r="AK47" s="4">
        <f t="shared" si="404"/>
        <v>0.95529603359672333</v>
      </c>
      <c r="AL47" s="5">
        <f t="shared" si="405"/>
        <v>-0.25270187182710929</v>
      </c>
      <c r="AM47" s="6">
        <f t="shared" si="406"/>
        <v>-0.15346417226650444</v>
      </c>
      <c r="AN47" s="612">
        <f t="shared" si="407"/>
        <v>-58.729967529181437</v>
      </c>
      <c r="AO47" s="613">
        <f t="shared" si="98"/>
        <v>17.196575681141603</v>
      </c>
      <c r="AP47" s="624">
        <f t="shared" si="408"/>
        <v>-14.816917051133947</v>
      </c>
      <c r="AQ47" s="625">
        <f t="shared" si="249"/>
        <v>2.3880110237420218</v>
      </c>
      <c r="AS47" s="56">
        <f t="shared" si="411"/>
        <v>-107.1790365028308</v>
      </c>
      <c r="AT47" s="77">
        <f t="shared" si="250"/>
        <v>-0.56425900744520052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3.1379999999999999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6"/>
        <v/>
      </c>
      <c r="IK47" s="839" t="str">
        <f t="shared" si="387"/>
        <v/>
      </c>
      <c r="IL47" s="791" t="str">
        <f t="shared" si="228"/>
        <v/>
      </c>
      <c r="IM47" s="830"/>
      <c r="IN47" s="5" t="str">
        <f t="shared" si="229"/>
        <v/>
      </c>
      <c r="IO47" s="852"/>
      <c r="IP47" s="9" t="str">
        <f t="shared" si="230"/>
        <v/>
      </c>
      <c r="IQ47" s="5" t="str">
        <f t="shared" si="231"/>
        <v/>
      </c>
      <c r="IR47" s="5" t="str">
        <f t="shared" si="388"/>
        <v/>
      </c>
      <c r="IS47" s="5" t="str">
        <f t="shared" si="232"/>
        <v/>
      </c>
      <c r="IT47" s="791" t="str">
        <f t="shared" si="233"/>
        <v/>
      </c>
      <c r="IU47" s="9" t="str">
        <f t="shared" si="234"/>
        <v/>
      </c>
      <c r="IV47" s="5" t="str">
        <f t="shared" si="235"/>
        <v/>
      </c>
      <c r="IW47" s="5" t="str">
        <f t="shared" si="389"/>
        <v/>
      </c>
      <c r="IX47" s="5" t="str">
        <f t="shared" si="236"/>
        <v/>
      </c>
      <c r="IY47" s="833" t="str">
        <f t="shared" si="237"/>
        <v/>
      </c>
    </row>
    <row r="48" spans="1:259" ht="15" customHeight="1" x14ac:dyDescent="0.25">
      <c r="A48" s="84">
        <f t="shared" si="82"/>
        <v>0.02</v>
      </c>
      <c r="B48" s="770">
        <v>5.3136609570703985</v>
      </c>
      <c r="C48" s="771">
        <v>-1.7112524566868377</v>
      </c>
      <c r="D48" s="772">
        <v>-1.6633050165279304</v>
      </c>
      <c r="E48" s="773">
        <v>0.56729053601194623</v>
      </c>
      <c r="F48" s="771">
        <v>0.81821571114529901</v>
      </c>
      <c r="G48" s="774">
        <v>9.3297898080671182E-2</v>
      </c>
      <c r="H48" s="773">
        <v>0.314</v>
      </c>
      <c r="I48" s="771">
        <v>0.52</v>
      </c>
      <c r="J48" s="601">
        <v>3.145</v>
      </c>
      <c r="K48" s="426" t="str">
        <f t="shared" si="225"/>
        <v>1613</v>
      </c>
      <c r="L48" s="327"/>
      <c r="M48" s="173">
        <f t="shared" si="242"/>
        <v>3.145</v>
      </c>
      <c r="N48" s="21">
        <f t="shared" si="243"/>
        <v>5.3136609570703985</v>
      </c>
      <c r="O48" s="5">
        <f t="shared" si="244"/>
        <v>-1.7112524566868377</v>
      </c>
      <c r="P48" s="10">
        <f t="shared" si="245"/>
        <v>-1.6633050165279304</v>
      </c>
      <c r="Q48" s="624">
        <f t="shared" si="116"/>
        <v>342.14896359419396</v>
      </c>
      <c r="R48" s="5">
        <f t="shared" si="83"/>
        <v>5.5824168365691795</v>
      </c>
      <c r="S48" s="6">
        <f t="shared" si="84"/>
        <v>-1.6633050165279304</v>
      </c>
      <c r="T48" s="4">
        <f t="shared" si="85"/>
        <v>-1.7101395287752745</v>
      </c>
      <c r="U48" s="5">
        <f t="shared" si="86"/>
        <v>-5.314019244350864</v>
      </c>
      <c r="V48" s="8">
        <f t="shared" si="117"/>
        <v>-1.6633050165279304</v>
      </c>
      <c r="W48" s="624">
        <f t="shared" si="227"/>
        <v>252.16096359246137</v>
      </c>
      <c r="X48" s="5">
        <f t="shared" si="87"/>
        <v>5.5824168365691795</v>
      </c>
      <c r="Y48" s="7">
        <f t="shared" si="226"/>
        <v>-1.6633050165279304</v>
      </c>
      <c r="Z48" s="21">
        <f t="shared" si="246"/>
        <v>-0.56729053601194623</v>
      </c>
      <c r="AA48" s="5">
        <f t="shared" si="247"/>
        <v>-0.81821571114529901</v>
      </c>
      <c r="AB48" s="5">
        <f t="shared" si="248"/>
        <v>-9.3297898080671182E-2</v>
      </c>
      <c r="AC48" s="8">
        <f t="shared" si="88"/>
        <v>1</v>
      </c>
      <c r="AD48" s="9">
        <f t="shared" si="118"/>
        <v>-0.56729053601194623</v>
      </c>
      <c r="AE48" s="5">
        <f t="shared" si="89"/>
        <v>-0.81821571114529901</v>
      </c>
      <c r="AF48" s="10">
        <f t="shared" si="90"/>
        <v>-9.3297898080671182E-2</v>
      </c>
      <c r="AG48" s="622">
        <f t="shared" si="91"/>
        <v>-83.494885049759802</v>
      </c>
      <c r="AH48" s="623">
        <f t="shared" si="92"/>
        <v>124.56150188175206</v>
      </c>
      <c r="AI48" s="624">
        <f t="shared" si="93"/>
        <v>-84.646638575209408</v>
      </c>
      <c r="AJ48" s="625">
        <f t="shared" si="94"/>
        <v>-34.734590431340138</v>
      </c>
      <c r="AK48" s="4">
        <f t="shared" si="213"/>
        <v>0.95272323043662666</v>
      </c>
      <c r="AL48" s="5">
        <f t="shared" si="95"/>
        <v>-0.28916076566527332</v>
      </c>
      <c r="AM48" s="6">
        <f t="shared" si="96"/>
        <v>-9.3297898080671182E-2</v>
      </c>
      <c r="AN48" s="612">
        <f t="shared" si="97"/>
        <v>-72.117672493499015</v>
      </c>
      <c r="AO48" s="613">
        <f t="shared" si="98"/>
        <v>17.688359509050226</v>
      </c>
      <c r="AP48" s="624">
        <f t="shared" si="99"/>
        <v>-16.883554025534089</v>
      </c>
      <c r="AQ48" s="625">
        <f t="shared" si="249"/>
        <v>2.2204546781839376</v>
      </c>
      <c r="AS48" s="56">
        <f t="shared" si="411"/>
        <v>-107.83903640753863</v>
      </c>
      <c r="AT48" s="77">
        <f t="shared" si="250"/>
        <v>-1.2558677678837742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5"/>
        <v>3.145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6"/>
        <v/>
      </c>
      <c r="IK48" s="839" t="str">
        <f t="shared" si="387"/>
        <v/>
      </c>
      <c r="IL48" s="791" t="str">
        <f t="shared" si="228"/>
        <v/>
      </c>
      <c r="IM48" s="830"/>
      <c r="IN48" s="5" t="str">
        <f t="shared" si="229"/>
        <v/>
      </c>
      <c r="IO48" s="852"/>
      <c r="IP48" s="9" t="str">
        <f t="shared" si="230"/>
        <v/>
      </c>
      <c r="IQ48" s="5" t="str">
        <f t="shared" si="231"/>
        <v/>
      </c>
      <c r="IR48" s="5" t="str">
        <f t="shared" si="388"/>
        <v/>
      </c>
      <c r="IS48" s="5" t="str">
        <f t="shared" si="232"/>
        <v/>
      </c>
      <c r="IT48" s="791" t="str">
        <f t="shared" si="233"/>
        <v/>
      </c>
      <c r="IU48" s="9" t="str">
        <f t="shared" si="234"/>
        <v/>
      </c>
      <c r="IV48" s="5" t="str">
        <f t="shared" si="235"/>
        <v/>
      </c>
      <c r="IW48" s="5" t="str">
        <f t="shared" si="389"/>
        <v/>
      </c>
      <c r="IX48" s="5" t="str">
        <f t="shared" si="236"/>
        <v/>
      </c>
      <c r="IY48" s="833" t="str">
        <f t="shared" si="237"/>
        <v/>
      </c>
    </row>
    <row r="49" spans="1:259" ht="15" customHeight="1" x14ac:dyDescent="0.25">
      <c r="A49" s="84">
        <f t="shared" si="82"/>
        <v>0.02</v>
      </c>
      <c r="B49" s="770">
        <v>5.4817913184656444</v>
      </c>
      <c r="C49" s="771">
        <v>-1.799569086374047</v>
      </c>
      <c r="D49" s="772">
        <v>-2.4381073533317772</v>
      </c>
      <c r="E49" s="773">
        <v>0.62142783268167834</v>
      </c>
      <c r="F49" s="771">
        <v>0.78195458940629825</v>
      </c>
      <c r="G49" s="774">
        <v>4.872852219162483E-2</v>
      </c>
      <c r="H49" s="773">
        <v>0.314</v>
      </c>
      <c r="I49" s="771">
        <v>0.52</v>
      </c>
      <c r="J49" s="601">
        <v>3.1520000000000001</v>
      </c>
      <c r="K49" s="426" t="str">
        <f t="shared" si="225"/>
        <v>1613</v>
      </c>
      <c r="L49" s="327"/>
      <c r="M49" s="173">
        <f t="shared" si="242"/>
        <v>3.1520000000000001</v>
      </c>
      <c r="N49" s="21">
        <f t="shared" si="243"/>
        <v>5.4817913184656444</v>
      </c>
      <c r="O49" s="5">
        <f t="shared" si="244"/>
        <v>-1.799569086374047</v>
      </c>
      <c r="P49" s="10">
        <f t="shared" si="245"/>
        <v>-2.4381073533317772</v>
      </c>
      <c r="Q49" s="624">
        <f t="shared" si="116"/>
        <v>341.8259636408294</v>
      </c>
      <c r="R49" s="5">
        <f t="shared" si="83"/>
        <v>5.7696174011660801</v>
      </c>
      <c r="S49" s="6">
        <f t="shared" si="84"/>
        <v>-2.4381073533317772</v>
      </c>
      <c r="T49" s="4">
        <f t="shared" si="85"/>
        <v>-1.7984209433902769</v>
      </c>
      <c r="U49" s="5">
        <f t="shared" si="86"/>
        <v>-5.4821680990474615</v>
      </c>
      <c r="V49" s="8">
        <f t="shared" si="117"/>
        <v>-2.4381073533317772</v>
      </c>
      <c r="W49" s="624">
        <f t="shared" si="227"/>
        <v>251.83796363909681</v>
      </c>
      <c r="X49" s="5">
        <f t="shared" si="87"/>
        <v>5.7696174011660801</v>
      </c>
      <c r="Y49" s="7">
        <f t="shared" si="226"/>
        <v>-2.4381073533317772</v>
      </c>
      <c r="Z49" s="21">
        <f t="shared" si="246"/>
        <v>-0.62142783268167834</v>
      </c>
      <c r="AA49" s="5">
        <f t="shared" si="247"/>
        <v>-0.78195458940629825</v>
      </c>
      <c r="AB49" s="5">
        <f t="shared" si="248"/>
        <v>-4.872852219162483E-2</v>
      </c>
      <c r="AC49" s="8">
        <f t="shared" si="88"/>
        <v>1</v>
      </c>
      <c r="AD49" s="9">
        <f t="shared" si="118"/>
        <v>-0.62142783268167834</v>
      </c>
      <c r="AE49" s="5">
        <f t="shared" si="89"/>
        <v>-0.78195458940629825</v>
      </c>
      <c r="AF49" s="10">
        <f t="shared" si="90"/>
        <v>-4.872852219162483E-2</v>
      </c>
      <c r="AG49" s="622">
        <f t="shared" si="91"/>
        <v>-86.434149630264571</v>
      </c>
      <c r="AH49" s="623">
        <f t="shared" si="92"/>
        <v>128.4204775144328</v>
      </c>
      <c r="AI49" s="624">
        <f t="shared" si="93"/>
        <v>-87.206955259003408</v>
      </c>
      <c r="AJ49" s="625">
        <f t="shared" si="94"/>
        <v>-38.47454840951491</v>
      </c>
      <c r="AK49" s="4">
        <f t="shared" si="213"/>
        <v>0.93677168188931104</v>
      </c>
      <c r="AL49" s="5">
        <f t="shared" si="95"/>
        <v>-0.34653188473110491</v>
      </c>
      <c r="AM49" s="6">
        <f t="shared" si="96"/>
        <v>-4.872852219162483E-2</v>
      </c>
      <c r="AN49" s="612">
        <f t="shared" si="97"/>
        <v>-81.995680386095302</v>
      </c>
      <c r="AO49" s="613">
        <f t="shared" si="98"/>
        <v>20.483716288655117</v>
      </c>
      <c r="AP49" s="624">
        <f t="shared" si="99"/>
        <v>-20.300512050344302</v>
      </c>
      <c r="AQ49" s="625">
        <f t="shared" si="249"/>
        <v>2.1484786217371075</v>
      </c>
      <c r="AS49" s="56">
        <f t="shared" si="411"/>
        <v>-108.16203636090319</v>
      </c>
      <c r="AT49" s="77">
        <f t="shared" si="250"/>
        <v>-2.0294498826415772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5"/>
        <v>3.1520000000000001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6"/>
        <v/>
      </c>
      <c r="IK49" s="839" t="str">
        <f t="shared" si="387"/>
        <v/>
      </c>
      <c r="IL49" s="791" t="str">
        <f t="shared" si="228"/>
        <v/>
      </c>
      <c r="IM49" s="830"/>
      <c r="IN49" s="5" t="str">
        <f t="shared" si="229"/>
        <v/>
      </c>
      <c r="IO49" s="852"/>
      <c r="IP49" s="9" t="str">
        <f t="shared" si="230"/>
        <v/>
      </c>
      <c r="IQ49" s="5" t="str">
        <f t="shared" si="231"/>
        <v/>
      </c>
      <c r="IR49" s="5" t="str">
        <f t="shared" si="388"/>
        <v/>
      </c>
      <c r="IS49" s="5" t="str">
        <f t="shared" si="232"/>
        <v/>
      </c>
      <c r="IT49" s="791" t="str">
        <f t="shared" si="233"/>
        <v/>
      </c>
      <c r="IU49" s="9" t="str">
        <f t="shared" si="234"/>
        <v/>
      </c>
      <c r="IV49" s="5" t="str">
        <f t="shared" si="235"/>
        <v/>
      </c>
      <c r="IW49" s="5" t="str">
        <f t="shared" si="389"/>
        <v/>
      </c>
      <c r="IX49" s="5" t="str">
        <f t="shared" si="236"/>
        <v/>
      </c>
      <c r="IY49" s="833" t="str">
        <f t="shared" si="237"/>
        <v/>
      </c>
    </row>
    <row r="50" spans="1:259" ht="15" customHeight="1" x14ac:dyDescent="0.25">
      <c r="A50" s="84">
        <f t="shared" si="82"/>
        <v>0.02</v>
      </c>
      <c r="B50" s="770">
        <v>5.5619880786190476</v>
      </c>
      <c r="C50" s="771">
        <v>-1.8427946687626637</v>
      </c>
      <c r="D50" s="772">
        <v>-3.2340097537734178</v>
      </c>
      <c r="E50" s="773">
        <v>0.80522850218788522</v>
      </c>
      <c r="F50" s="771">
        <v>0.59287021982863852</v>
      </c>
      <c r="G50" s="774">
        <v>1.0581195801843732E-2</v>
      </c>
      <c r="H50" s="773">
        <v>0.314</v>
      </c>
      <c r="I50" s="771">
        <v>0.52</v>
      </c>
      <c r="J50" s="601">
        <v>3.1589999999999998</v>
      </c>
      <c r="K50" s="426" t="str">
        <f t="shared" si="225"/>
        <v>1613</v>
      </c>
      <c r="L50" s="327"/>
      <c r="M50" s="173">
        <f t="shared" si="242"/>
        <v>3.1589999999999998</v>
      </c>
      <c r="N50" s="21">
        <f t="shared" si="243"/>
        <v>5.5619880786190476</v>
      </c>
      <c r="O50" s="5">
        <f t="shared" si="244"/>
        <v>-1.8427946687626637</v>
      </c>
      <c r="P50" s="10">
        <f t="shared" si="245"/>
        <v>-3.2340097537734178</v>
      </c>
      <c r="Q50" s="624">
        <f t="shared" si="116"/>
        <v>341.66896366349738</v>
      </c>
      <c r="R50" s="5">
        <f t="shared" si="83"/>
        <v>5.8593176717020992</v>
      </c>
      <c r="S50" s="6">
        <f t="shared" si="84"/>
        <v>-3.2340097537734178</v>
      </c>
      <c r="T50" s="4">
        <f t="shared" si="85"/>
        <v>-1.8416297284632286</v>
      </c>
      <c r="U50" s="5">
        <f t="shared" si="86"/>
        <v>-5.5623739105853867</v>
      </c>
      <c r="V50" s="8">
        <f t="shared" si="117"/>
        <v>-3.2340097537734178</v>
      </c>
      <c r="W50" s="624">
        <f t="shared" si="227"/>
        <v>251.68096366176479</v>
      </c>
      <c r="X50" s="5">
        <f t="shared" si="87"/>
        <v>5.8593176717020992</v>
      </c>
      <c r="Y50" s="7">
        <f t="shared" si="226"/>
        <v>-3.2340097537734178</v>
      </c>
      <c r="Z50" s="21">
        <f t="shared" si="246"/>
        <v>-0.80522850218788522</v>
      </c>
      <c r="AA50" s="5">
        <f t="shared" si="247"/>
        <v>-0.59287021982863852</v>
      </c>
      <c r="AB50" s="5">
        <f t="shared" si="248"/>
        <v>-1.0581195801843732E-2</v>
      </c>
      <c r="AC50" s="8">
        <f t="shared" si="88"/>
        <v>1</v>
      </c>
      <c r="AD50" s="9">
        <f t="shared" si="118"/>
        <v>-0.80522850218788522</v>
      </c>
      <c r="AE50" s="5">
        <f t="shared" si="89"/>
        <v>-0.59287021982863852</v>
      </c>
      <c r="AF50" s="10">
        <f t="shared" si="90"/>
        <v>-1.0581195801843732E-2</v>
      </c>
      <c r="AG50" s="622">
        <f t="shared" si="91"/>
        <v>-88.977527487044924</v>
      </c>
      <c r="AH50" s="623">
        <f t="shared" si="92"/>
        <v>143.63232879315038</v>
      </c>
      <c r="AI50" s="624">
        <f t="shared" si="93"/>
        <v>-89.393730824838855</v>
      </c>
      <c r="AJ50" s="625">
        <f t="shared" si="94"/>
        <v>-53.636685028909199</v>
      </c>
      <c r="AK50" s="4">
        <f t="shared" si="213"/>
        <v>0.81603492995691274</v>
      </c>
      <c r="AL50" s="5">
        <f t="shared" si="95"/>
        <v>-0.57790572880498392</v>
      </c>
      <c r="AM50" s="6">
        <f t="shared" si="96"/>
        <v>-1.0581195801843732E-2</v>
      </c>
      <c r="AN50" s="612">
        <f t="shared" si="97"/>
        <v>-88.95105707070843</v>
      </c>
      <c r="AO50" s="613">
        <f t="shared" si="98"/>
        <v>35.310177687062712</v>
      </c>
      <c r="AP50" s="624">
        <f t="shared" si="99"/>
        <v>-35.30564869240655</v>
      </c>
      <c r="AQ50" s="625">
        <f t="shared" si="249"/>
        <v>2.1156176912209217</v>
      </c>
      <c r="AS50" s="56">
        <f t="shared" si="411"/>
        <v>-108.31903633823521</v>
      </c>
      <c r="AT50" s="77">
        <f t="shared" si="250"/>
        <v>-2.8247591720577412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5"/>
        <v>3.1589999999999998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6"/>
        <v/>
      </c>
      <c r="IK50" s="839" t="str">
        <f t="shared" si="387"/>
        <v/>
      </c>
      <c r="IL50" s="791" t="str">
        <f t="shared" si="228"/>
        <v/>
      </c>
      <c r="IM50" s="830"/>
      <c r="IN50" s="5" t="str">
        <f t="shared" si="229"/>
        <v/>
      </c>
      <c r="IO50" s="852"/>
      <c r="IP50" s="9" t="str">
        <f t="shared" si="230"/>
        <v/>
      </c>
      <c r="IQ50" s="5" t="str">
        <f t="shared" si="231"/>
        <v/>
      </c>
      <c r="IR50" s="5" t="str">
        <f t="shared" si="388"/>
        <v/>
      </c>
      <c r="IS50" s="5" t="str">
        <f t="shared" si="232"/>
        <v/>
      </c>
      <c r="IT50" s="791" t="str">
        <f t="shared" si="233"/>
        <v/>
      </c>
      <c r="IU50" s="9" t="str">
        <f t="shared" si="234"/>
        <v/>
      </c>
      <c r="IV50" s="5" t="str">
        <f t="shared" si="235"/>
        <v/>
      </c>
      <c r="IW50" s="5" t="str">
        <f t="shared" si="389"/>
        <v/>
      </c>
      <c r="IX50" s="5" t="str">
        <f t="shared" si="236"/>
        <v/>
      </c>
      <c r="IY50" s="833" t="str">
        <f t="shared" si="237"/>
        <v/>
      </c>
    </row>
    <row r="51" spans="1:259" ht="15" customHeight="1" x14ac:dyDescent="0.25">
      <c r="A51" s="84">
        <f t="shared" si="82"/>
        <v>0.02</v>
      </c>
      <c r="B51" s="770">
        <v>5.609430302117441</v>
      </c>
      <c r="C51" s="771">
        <v>-1.8687318698045143</v>
      </c>
      <c r="D51" s="772">
        <v>-3.9930120429243203</v>
      </c>
      <c r="E51" s="773">
        <v>0.85195576420818198</v>
      </c>
      <c r="F51" s="771">
        <v>0.52361376589279163</v>
      </c>
      <c r="G51" s="774">
        <v>1.457809316770762E-7</v>
      </c>
      <c r="H51" s="773">
        <v>0.314</v>
      </c>
      <c r="I51" s="771">
        <v>0.52</v>
      </c>
      <c r="J51" s="601">
        <v>3.1659999999999999</v>
      </c>
      <c r="K51" s="426" t="str">
        <f t="shared" si="225"/>
        <v>1613</v>
      </c>
      <c r="L51" s="327"/>
      <c r="M51" s="173">
        <f t="shared" si="242"/>
        <v>3.1659999999999999</v>
      </c>
      <c r="N51" s="21">
        <f t="shared" si="243"/>
        <v>5.609430302117441</v>
      </c>
      <c r="O51" s="5">
        <f t="shared" si="244"/>
        <v>-1.8687318698045143</v>
      </c>
      <c r="P51" s="10">
        <f t="shared" si="245"/>
        <v>-3.9930120429243203</v>
      </c>
      <c r="Q51" s="624">
        <f t="shared" si="116"/>
        <v>341.57496367706926</v>
      </c>
      <c r="R51" s="5">
        <f t="shared" si="83"/>
        <v>5.9125178321537799</v>
      </c>
      <c r="S51" s="6">
        <f t="shared" si="84"/>
        <v>-3.9930120429243203</v>
      </c>
      <c r="T51" s="4">
        <f t="shared" si="85"/>
        <v>-1.8675569926616695</v>
      </c>
      <c r="U51" s="5">
        <f t="shared" si="86"/>
        <v>-5.6098215653171115</v>
      </c>
      <c r="V51" s="8">
        <f t="shared" si="117"/>
        <v>-3.9930120429243203</v>
      </c>
      <c r="W51" s="624">
        <f t="shared" si="227"/>
        <v>251.58696367533668</v>
      </c>
      <c r="X51" s="5">
        <f t="shared" si="87"/>
        <v>5.9125178321537799</v>
      </c>
      <c r="Y51" s="7">
        <f t="shared" si="226"/>
        <v>-3.9930120429243203</v>
      </c>
      <c r="Z51" s="21">
        <f t="shared" si="246"/>
        <v>-0.85195576420818198</v>
      </c>
      <c r="AA51" s="5">
        <f t="shared" si="247"/>
        <v>-0.52361376589279163</v>
      </c>
      <c r="AB51" s="5">
        <f t="shared" si="248"/>
        <v>-1.457809316770762E-7</v>
      </c>
      <c r="AC51" s="8">
        <f t="shared" si="88"/>
        <v>0.99999999999999978</v>
      </c>
      <c r="AD51" s="9">
        <f t="shared" si="118"/>
        <v>-0.8519557642081822</v>
      </c>
      <c r="AE51" s="5">
        <f t="shared" si="89"/>
        <v>-0.52361376589279174</v>
      </c>
      <c r="AF51" s="10">
        <f t="shared" si="90"/>
        <v>-1.4578093167707622E-7</v>
      </c>
      <c r="AG51" s="622">
        <f t="shared" si="91"/>
        <v>-89.999984048104423</v>
      </c>
      <c r="AH51" s="623">
        <f t="shared" si="92"/>
        <v>148.42503054764435</v>
      </c>
      <c r="AI51" s="624">
        <f t="shared" si="93"/>
        <v>-89.999991647367878</v>
      </c>
      <c r="AJ51" s="625">
        <f t="shared" si="94"/>
        <v>-58.425030547645342</v>
      </c>
      <c r="AK51" s="4">
        <f t="shared" si="213"/>
        <v>0.76604450791050771</v>
      </c>
      <c r="AL51" s="5">
        <f t="shared" si="95"/>
        <v>-0.64278753247097675</v>
      </c>
      <c r="AM51" s="6">
        <f t="shared" si="96"/>
        <v>-1.4578093167707622E-7</v>
      </c>
      <c r="AN51" s="612">
        <f t="shared" si="97"/>
        <v>-89.999987005609626</v>
      </c>
      <c r="AO51" s="613">
        <f t="shared" si="98"/>
        <v>39.999994224715337</v>
      </c>
      <c r="AP51" s="624">
        <f t="shared" si="99"/>
        <v>-39.999994224714627</v>
      </c>
      <c r="AQ51" s="625">
        <f t="shared" si="249"/>
        <v>2.0965986702941066</v>
      </c>
      <c r="AS51" s="56">
        <f t="shared" si="411"/>
        <v>-108.41303632466332</v>
      </c>
      <c r="AT51" s="77">
        <f t="shared" si="250"/>
        <v>-3.5834063501488043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3.1659999999999999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6"/>
        <v/>
      </c>
      <c r="IK51" s="839" t="str">
        <f t="shared" si="387"/>
        <v/>
      </c>
      <c r="IL51" s="791" t="str">
        <f t="shared" si="228"/>
        <v/>
      </c>
      <c r="IM51" s="830"/>
      <c r="IN51" s="5" t="str">
        <f t="shared" si="229"/>
        <v/>
      </c>
      <c r="IO51" s="852"/>
      <c r="IP51" s="9" t="str">
        <f t="shared" si="230"/>
        <v/>
      </c>
      <c r="IQ51" s="5" t="str">
        <f t="shared" si="231"/>
        <v/>
      </c>
      <c r="IR51" s="5" t="str">
        <f t="shared" si="388"/>
        <v/>
      </c>
      <c r="IS51" s="5" t="str">
        <f t="shared" si="232"/>
        <v/>
      </c>
      <c r="IT51" s="791" t="str">
        <f t="shared" si="233"/>
        <v/>
      </c>
      <c r="IU51" s="9" t="str">
        <f t="shared" si="234"/>
        <v/>
      </c>
      <c r="IV51" s="5" t="str">
        <f t="shared" si="235"/>
        <v/>
      </c>
      <c r="IW51" s="5" t="str">
        <f t="shared" si="389"/>
        <v/>
      </c>
      <c r="IX51" s="5" t="str">
        <f t="shared" si="236"/>
        <v/>
      </c>
      <c r="IY51" s="833" t="str">
        <f t="shared" si="237"/>
        <v/>
      </c>
    </row>
    <row r="52" spans="1:259" ht="15" customHeight="1" x14ac:dyDescent="0.25">
      <c r="A52" s="84">
        <f t="shared" si="82"/>
        <v>0.02</v>
      </c>
      <c r="B52" s="770">
        <v>3.3354452367894414</v>
      </c>
      <c r="C52" s="771">
        <v>-1.9258626123860993</v>
      </c>
      <c r="D52" s="772">
        <v>-8.6200259979984109E-2</v>
      </c>
      <c r="E52" s="773">
        <v>0.57323967492874128</v>
      </c>
      <c r="F52" s="771">
        <v>0.71167405612432533</v>
      </c>
      <c r="G52" s="774">
        <v>0.40609889550101197</v>
      </c>
      <c r="H52" s="773">
        <v>0.26600000000000001</v>
      </c>
      <c r="I52" s="771">
        <v>0.52</v>
      </c>
      <c r="J52" s="601">
        <v>3.2240000000000002</v>
      </c>
      <c r="K52" s="426" t="str">
        <f t="shared" si="225"/>
        <v>1313</v>
      </c>
      <c r="L52" s="327"/>
      <c r="M52" s="173">
        <f t="shared" si="242"/>
        <v>3.2240000000000002</v>
      </c>
      <c r="N52" s="21">
        <f t="shared" si="243"/>
        <v>3.3354452367894414</v>
      </c>
      <c r="O52" s="5">
        <f t="shared" si="244"/>
        <v>-1.9258626123860993</v>
      </c>
      <c r="P52" s="10">
        <f t="shared" si="245"/>
        <v>-8.6200259979984109E-2</v>
      </c>
      <c r="Q52" s="624">
        <f t="shared" si="116"/>
        <v>329.99816534855216</v>
      </c>
      <c r="R52" s="5">
        <f t="shared" si="83"/>
        <v>3.8515116161590353</v>
      </c>
      <c r="S52" s="6">
        <f t="shared" si="84"/>
        <v>-8.6200259979984109E-2</v>
      </c>
      <c r="T52" s="4">
        <f t="shared" si="85"/>
        <v>-1.925163996236364</v>
      </c>
      <c r="U52" s="5">
        <f t="shared" si="86"/>
        <v>-3.3358485152961035</v>
      </c>
      <c r="V52" s="8">
        <f t="shared" si="117"/>
        <v>-8.6200259979984109E-2</v>
      </c>
      <c r="W52" s="624">
        <f t="shared" si="227"/>
        <v>240.01016534681958</v>
      </c>
      <c r="X52" s="5">
        <f t="shared" si="87"/>
        <v>3.8515116161590353</v>
      </c>
      <c r="Y52" s="7">
        <f t="shared" si="226"/>
        <v>-8.6200259979984109E-2</v>
      </c>
      <c r="Z52" s="21">
        <f t="shared" si="246"/>
        <v>-0.57323967492874128</v>
      </c>
      <c r="AA52" s="5">
        <f t="shared" si="247"/>
        <v>-0.71167405612432533</v>
      </c>
      <c r="AB52" s="5">
        <f t="shared" si="248"/>
        <v>-0.40609889550101197</v>
      </c>
      <c r="AC52" s="8">
        <f t="shared" si="88"/>
        <v>1</v>
      </c>
      <c r="AD52" s="9">
        <f t="shared" si="118"/>
        <v>-0.57323967492874128</v>
      </c>
      <c r="AE52" s="5">
        <f t="shared" si="89"/>
        <v>-0.71167405612432533</v>
      </c>
      <c r="AF52" s="10">
        <f t="shared" si="90"/>
        <v>-0.40609889550101197</v>
      </c>
      <c r="AG52" s="622">
        <f t="shared" si="91"/>
        <v>-60.289845586725917</v>
      </c>
      <c r="AH52" s="623">
        <f t="shared" si="92"/>
        <v>124.97644853293572</v>
      </c>
      <c r="AI52" s="624">
        <f t="shared" si="93"/>
        <v>-66.039992066326789</v>
      </c>
      <c r="AJ52" s="625">
        <f t="shared" si="94"/>
        <v>-38.850771155182244</v>
      </c>
      <c r="AK52" s="4">
        <f t="shared" si="213"/>
        <v>0.90295215103007642</v>
      </c>
      <c r="AL52" s="5">
        <f t="shared" si="95"/>
        <v>-0.14057417978781372</v>
      </c>
      <c r="AM52" s="6">
        <f t="shared" si="96"/>
        <v>-0.40609889550101197</v>
      </c>
      <c r="AN52" s="612">
        <f t="shared" si="97"/>
        <v>-19.09367912192474</v>
      </c>
      <c r="AO52" s="613">
        <f t="shared" si="98"/>
        <v>25.451130816692434</v>
      </c>
      <c r="AP52" s="624">
        <f t="shared" si="99"/>
        <v>-8.848936503734409</v>
      </c>
      <c r="AQ52" s="625">
        <f t="shared" si="249"/>
        <v>3.2165764042236704</v>
      </c>
      <c r="AS52" s="56">
        <f t="shared" si="411"/>
        <v>-119.98983465318042</v>
      </c>
      <c r="AT52" s="77">
        <f t="shared" si="250"/>
        <v>0.36714000425881888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>
        <f>IFERROR(IF($IU52="","",IF($IU52&lt;(((Settings!$C$19/2)*-1)*$IE$8),"",1)),"")</f>
        <v>1</v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3.2240000000000002</v>
      </c>
      <c r="IH52" s="797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3.1240000000000001</v>
      </c>
      <c r="II52" s="800" cm="1">
        <f t="array" ref="II52">IFERROR(IF($IH52&lt;1,$IH52+LARGE((IF($M$9:$M$150="",0,$M$9:$M$150)-MOD(IF($M$9:$M$150="",0,$M$9:$M$150),1)),1),$IH52),"")</f>
        <v>3.1240000000000001</v>
      </c>
      <c r="IJ52" s="839" t="str">
        <f t="shared" si="386"/>
        <v>1613</v>
      </c>
      <c r="IK52" s="839" t="str">
        <f t="shared" si="387"/>
        <v>1313</v>
      </c>
      <c r="IL52" s="791">
        <f t="shared" si="228"/>
        <v>14.824797859564001</v>
      </c>
      <c r="IM52" s="830">
        <v>3.4888958523364298E-3</v>
      </c>
      <c r="IN52" s="5">
        <f t="shared" si="229"/>
        <v>0.06</v>
      </c>
      <c r="IO52" s="852">
        <v>30</v>
      </c>
      <c r="IP52" s="9">
        <f t="shared" si="230"/>
        <v>-3.8433115914277596</v>
      </c>
      <c r="IQ52" s="5">
        <f t="shared" si="231"/>
        <v>-0.14410043460691047</v>
      </c>
      <c r="IR52" s="5">
        <f t="shared" si="388"/>
        <v>0.314</v>
      </c>
      <c r="IS52" s="5">
        <f t="shared" si="232"/>
        <v>0.30217772224498629</v>
      </c>
      <c r="IT52" s="791">
        <f t="shared" si="233"/>
        <v>25.992238526353479</v>
      </c>
      <c r="IU52" s="9">
        <f t="shared" si="234"/>
        <v>-3.8515116161590353</v>
      </c>
      <c r="IV52" s="5">
        <f t="shared" si="235"/>
        <v>-8.6200259979984109E-2</v>
      </c>
      <c r="IW52" s="5">
        <f t="shared" si="389"/>
        <v>0.26600000000000001</v>
      </c>
      <c r="IX52" s="5">
        <f t="shared" si="236"/>
        <v>0.24018527217400035</v>
      </c>
      <c r="IY52" s="833">
        <f t="shared" si="237"/>
        <v>19.09367912192474</v>
      </c>
    </row>
    <row r="53" spans="1:259" ht="15" customHeight="1" x14ac:dyDescent="0.25">
      <c r="A53" s="84">
        <f t="shared" si="82"/>
        <v>0.02</v>
      </c>
      <c r="B53" s="770">
        <v>4.0283171874512824</v>
      </c>
      <c r="C53" s="771">
        <v>-2.2271949715999866</v>
      </c>
      <c r="D53" s="772">
        <v>-0.39160118106916214</v>
      </c>
      <c r="E53" s="773">
        <v>0.65018360578756174</v>
      </c>
      <c r="F53" s="771">
        <v>0.66851724519965694</v>
      </c>
      <c r="G53" s="774">
        <v>0.36103458509642328</v>
      </c>
      <c r="H53" s="773">
        <v>0.26600000000000001</v>
      </c>
      <c r="I53" s="771">
        <v>0.52</v>
      </c>
      <c r="J53" s="601">
        <v>3.2309999999999999</v>
      </c>
      <c r="K53" s="426" t="str">
        <f t="shared" si="225"/>
        <v>1313</v>
      </c>
      <c r="L53" s="327"/>
      <c r="M53" s="173">
        <f t="shared" si="242"/>
        <v>3.2309999999999999</v>
      </c>
      <c r="N53" s="21">
        <f t="shared" si="243"/>
        <v>4.0283171874512824</v>
      </c>
      <c r="O53" s="5">
        <f t="shared" si="244"/>
        <v>-2.2271949715999866</v>
      </c>
      <c r="P53" s="10">
        <f t="shared" si="245"/>
        <v>-0.39160118106916214</v>
      </c>
      <c r="Q53" s="624">
        <f t="shared" si="116"/>
        <v>331.06246519488627</v>
      </c>
      <c r="R53" s="5">
        <f t="shared" ref="R53:R58" si="415">IF(M53="","",SQRT(N53^2+O53^2))</f>
        <v>4.6030138826898703</v>
      </c>
      <c r="S53" s="6">
        <f t="shared" ref="S53:S58" si="416">IF(M53="","",P53)</f>
        <v>-0.39160118106916214</v>
      </c>
      <c r="T53" s="4">
        <f t="shared" ref="T53:T58" si="417">IF(M53="","",X53*COS(RADIANS(W53)))</f>
        <v>-2.226351234101303</v>
      </c>
      <c r="U53" s="5">
        <f t="shared" ref="U53:U58" si="418">IF(M53="","",X53*SIN(RADIANS(W53)))</f>
        <v>-4.028783561653726</v>
      </c>
      <c r="V53" s="8">
        <f t="shared" ref="V53:V58" si="419">IF(M53="","",Y53)</f>
        <v>-0.39160118106916214</v>
      </c>
      <c r="W53" s="624">
        <f t="shared" si="227"/>
        <v>241.07446519315369</v>
      </c>
      <c r="X53" s="5">
        <f t="shared" ref="X53:X58" si="420">IF(M53="","",R53)</f>
        <v>4.6030138826898703</v>
      </c>
      <c r="Y53" s="7">
        <f t="shared" si="226"/>
        <v>-0.39160118106916214</v>
      </c>
      <c r="Z53" s="21">
        <f t="shared" si="246"/>
        <v>-0.65018360578756174</v>
      </c>
      <c r="AA53" s="5">
        <f t="shared" si="247"/>
        <v>-0.66851724519965694</v>
      </c>
      <c r="AB53" s="5">
        <f t="shared" si="248"/>
        <v>-0.36103458509642328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-0.65018360578756174</v>
      </c>
      <c r="AE53" s="5">
        <f t="shared" ref="AE53:AE58" si="423">IF(M53="","",AA53*(1/SQRT(Z53^2+AA53^2+AB53^2)))</f>
        <v>-0.66851724519965694</v>
      </c>
      <c r="AF53" s="10">
        <f t="shared" ref="AF53:AF58" si="424">IF(M53="","",AB53*(1/SQRT(Z53^2+AA53^2+AB53^2)))</f>
        <v>-0.36103458509642328</v>
      </c>
      <c r="AG53" s="622">
        <f t="shared" ref="AG53:AG58" si="425">IF(M53="","",DEGREES(ATAN2(-AF53,AE53)))</f>
        <v>-61.628613194219895</v>
      </c>
      <c r="AH53" s="623">
        <f t="shared" ref="AH53:AH58" si="426">IF(M53="","",DEGREES(ACOS(AD53)))</f>
        <v>130.55544639311586</v>
      </c>
      <c r="AI53" s="624">
        <f t="shared" ref="AI53:AI58" si="427">IF(M53="","",DEGREES(-ACOS(-AF53)))</f>
        <v>-68.836252967379679</v>
      </c>
      <c r="AJ53" s="625">
        <f t="shared" ref="AJ53:AJ58" si="428">IF(M53="","",DEGREES(ATAN2(-AE53,AD53)))</f>
        <v>-44.203479326380425</v>
      </c>
      <c r="AK53" s="4">
        <f t="shared" ref="AK53:AK58" si="429">IF(M53="","",(COS(RADIANS((90-$Q$8)-W53))*AD53)+(-SIN(RADIANS((90-$Q$8)-W53))*AE53))</f>
        <v>0.89964646466637088</v>
      </c>
      <c r="AL53" s="5">
        <f t="shared" ref="AL53:AL58" si="430">IF(M53="","",(SIN(RADIANS((90-$Q$8)-W53))*AD53)+(COS(RADIANS((90-$Q$8)-W53))*AE53))</f>
        <v>-0.24554076439066913</v>
      </c>
      <c r="AM53" s="6">
        <f t="shared" ref="AM53:AM58" si="431">IF(M53="","",AF53)</f>
        <v>-0.36103458509642328</v>
      </c>
      <c r="AN53" s="612">
        <f t="shared" ref="AN53:AN58" si="432">IF(M53="","",DEGREES(ATAN2(-AM53,AL53)))</f>
        <v>-34.219743911548143</v>
      </c>
      <c r="AO53" s="613">
        <f t="shared" si="98"/>
        <v>25.888364562827178</v>
      </c>
      <c r="AP53" s="624">
        <f t="shared" ref="AP53:AP58" si="433">IF(M53="","",DEGREES(ATAN2(AK53,AL53)))</f>
        <v>-15.265944521266714</v>
      </c>
      <c r="AQ53" s="625">
        <f t="shared" si="249"/>
        <v>2.6922760386176567</v>
      </c>
      <c r="AS53" s="56">
        <f t="shared" si="411"/>
        <v>-118.92553480684631</v>
      </c>
      <c r="AT53" s="77">
        <f t="shared" si="250"/>
        <v>5.7718394861267508E-2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5"/>
        <v>3.2309999999999999</v>
      </c>
      <c r="IH53" s="797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3.1309999999999998</v>
      </c>
      <c r="II53" s="800" cm="1">
        <f t="array" ref="II53">IFERROR(IF($IH53&lt;1,$IH53+LARGE((IF($M$9:$M$150="",0,$M$9:$M$150)-MOD(IF($M$9:$M$150="",0,$M$9:$M$150),1)),1),$IH53),"")</f>
        <v>3.1309999999999998</v>
      </c>
      <c r="IJ53" s="839" t="str">
        <f t="shared" si="386"/>
        <v>1613</v>
      </c>
      <c r="IK53" s="839" t="str">
        <f t="shared" si="387"/>
        <v>1313</v>
      </c>
      <c r="IL53" s="791">
        <f t="shared" si="228"/>
        <v>12.712498164542353</v>
      </c>
      <c r="IM53" s="830">
        <v>2.63102967603729E-3</v>
      </c>
      <c r="IN53" s="5">
        <f t="shared" si="229"/>
        <v>0.04</v>
      </c>
      <c r="IO53" s="852">
        <v>20</v>
      </c>
      <c r="IP53" s="9">
        <f t="shared" si="230"/>
        <v>-4.5837138244808955</v>
      </c>
      <c r="IQ53" s="5">
        <f t="shared" si="231"/>
        <v>-0.44750134966407051</v>
      </c>
      <c r="IR53" s="5">
        <f t="shared" si="388"/>
        <v>0.314</v>
      </c>
      <c r="IS53" s="5">
        <f t="shared" si="232"/>
        <v>0.30107145678595687</v>
      </c>
      <c r="IT53" s="791">
        <f t="shared" si="233"/>
        <v>43.350747777250668</v>
      </c>
      <c r="IU53" s="9">
        <f t="shared" si="234"/>
        <v>-4.6030138826898703</v>
      </c>
      <c r="IV53" s="5">
        <f t="shared" si="235"/>
        <v>-0.39160118106916214</v>
      </c>
      <c r="IW53" s="5">
        <f t="shared" si="389"/>
        <v>0.26600000000000001</v>
      </c>
      <c r="IX53" s="5">
        <f t="shared" si="236"/>
        <v>0.23930595960125467</v>
      </c>
      <c r="IY53" s="833">
        <f t="shared" si="237"/>
        <v>34.219743911548143</v>
      </c>
    </row>
    <row r="54" spans="1:259" ht="15" customHeight="1" x14ac:dyDescent="0.25">
      <c r="A54" s="84">
        <f t="shared" si="82"/>
        <v>0.02</v>
      </c>
      <c r="B54" s="770">
        <v>4.5767275467832826</v>
      </c>
      <c r="C54" s="771">
        <v>-2.5106121448572964</v>
      </c>
      <c r="D54" s="772">
        <v>-0.91760276748994685</v>
      </c>
      <c r="E54" s="773">
        <v>0.72085959201013594</v>
      </c>
      <c r="F54" s="771">
        <v>0.62690401440369059</v>
      </c>
      <c r="G54" s="774">
        <v>0.29555508002996284</v>
      </c>
      <c r="H54" s="773">
        <v>0.26600000000000001</v>
      </c>
      <c r="I54" s="771">
        <v>0.52</v>
      </c>
      <c r="J54" s="601">
        <v>3.238</v>
      </c>
      <c r="K54" s="426" t="str">
        <f t="shared" si="225"/>
        <v>1313</v>
      </c>
      <c r="L54" s="327"/>
      <c r="M54" s="173">
        <f t="shared" si="242"/>
        <v>3.238</v>
      </c>
      <c r="N54" s="21">
        <f t="shared" si="243"/>
        <v>4.5767275467832826</v>
      </c>
      <c r="O54" s="5">
        <f t="shared" si="244"/>
        <v>-2.5106121448572964</v>
      </c>
      <c r="P54" s="10">
        <f t="shared" si="245"/>
        <v>-0.91760276748994685</v>
      </c>
      <c r="Q54" s="624">
        <f t="shared" si="116"/>
        <v>331.25256516743923</v>
      </c>
      <c r="R54" s="5">
        <f t="shared" si="415"/>
        <v>5.2201157438690844</v>
      </c>
      <c r="S54" s="6">
        <f t="shared" si="416"/>
        <v>-0.91760276748994685</v>
      </c>
      <c r="T54" s="4">
        <f t="shared" si="417"/>
        <v>-2.5096535423629356</v>
      </c>
      <c r="U54" s="5">
        <f t="shared" si="418"/>
        <v>-4.5772532677027007</v>
      </c>
      <c r="V54" s="8">
        <f t="shared" si="419"/>
        <v>-0.91760276748994685</v>
      </c>
      <c r="W54" s="624">
        <f t="shared" si="227"/>
        <v>241.26456516570664</v>
      </c>
      <c r="X54" s="5">
        <f t="shared" si="420"/>
        <v>5.2201157438690844</v>
      </c>
      <c r="Y54" s="7">
        <f t="shared" si="226"/>
        <v>-0.91760276748994685</v>
      </c>
      <c r="Z54" s="21">
        <f t="shared" si="246"/>
        <v>-0.72085959201013594</v>
      </c>
      <c r="AA54" s="5">
        <f t="shared" si="247"/>
        <v>-0.62690401440369059</v>
      </c>
      <c r="AB54" s="5">
        <f t="shared" si="248"/>
        <v>-0.29555508002996284</v>
      </c>
      <c r="AC54" s="8">
        <f t="shared" si="421"/>
        <v>1</v>
      </c>
      <c r="AD54" s="9">
        <f t="shared" si="422"/>
        <v>-0.72085959201013594</v>
      </c>
      <c r="AE54" s="5">
        <f t="shared" si="423"/>
        <v>-0.62690401440369059</v>
      </c>
      <c r="AF54" s="10">
        <f t="shared" si="424"/>
        <v>-0.29555508002996284</v>
      </c>
      <c r="AG54" s="622">
        <f t="shared" si="425"/>
        <v>-64.758377808972199</v>
      </c>
      <c r="AH54" s="623">
        <f t="shared" si="426"/>
        <v>136.12549561911558</v>
      </c>
      <c r="AI54" s="624">
        <f t="shared" si="427"/>
        <v>-72.809174623199311</v>
      </c>
      <c r="AJ54" s="625">
        <f t="shared" si="428"/>
        <v>-48.987763780014575</v>
      </c>
      <c r="AK54" s="4">
        <f t="shared" si="429"/>
        <v>0.89633409447736234</v>
      </c>
      <c r="AL54" s="5">
        <f t="shared" si="430"/>
        <v>-0.3305032310673065</v>
      </c>
      <c r="AM54" s="6">
        <f t="shared" si="431"/>
        <v>-0.29555508002996284</v>
      </c>
      <c r="AN54" s="612">
        <f t="shared" si="432"/>
        <v>-48.195078623696993</v>
      </c>
      <c r="AO54" s="613">
        <f t="shared" si="98"/>
        <v>26.319692480585918</v>
      </c>
      <c r="AP54" s="624">
        <f t="shared" si="433"/>
        <v>-20.240328947453829</v>
      </c>
      <c r="AQ54" s="625">
        <f t="shared" si="249"/>
        <v>2.3743942254809989</v>
      </c>
      <c r="AS54" s="56">
        <f t="shared" si="411"/>
        <v>-118.73543483429336</v>
      </c>
      <c r="AT54" s="77">
        <f t="shared" si="250"/>
        <v>-0.46900134701138391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5"/>
        <v>3.238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3.1379999999999999</v>
      </c>
      <c r="II54" s="800" cm="1">
        <f t="array" ref="II54">IFERROR(IF($IH54&lt;1,$IH54+LARGE((IF($M$9:$M$150="",0,$M$9:$M$150)-MOD(IF($M$9:$M$150="",0,$M$9:$M$150),1)),1),$IH54),"")</f>
        <v>3.1379999999999999</v>
      </c>
      <c r="IJ54" s="839" t="str">
        <f t="shared" si="386"/>
        <v>1613</v>
      </c>
      <c r="IK54" s="839" t="str">
        <f t="shared" si="387"/>
        <v>1313</v>
      </c>
      <c r="IL54" s="791">
        <f t="shared" si="228"/>
        <v>11.55639833146256</v>
      </c>
      <c r="IM54" s="830">
        <v>2.0095362166324699E-3</v>
      </c>
      <c r="IN54" s="5">
        <f t="shared" si="229"/>
        <v>0.02</v>
      </c>
      <c r="IO54" s="852">
        <v>10</v>
      </c>
      <c r="IP54" s="9">
        <f t="shared" si="230"/>
        <v>-5.1903156539920134</v>
      </c>
      <c r="IQ54" s="5">
        <f t="shared" si="231"/>
        <v>-0.96920292311601597</v>
      </c>
      <c r="IR54" s="5">
        <f t="shared" si="388"/>
        <v>0.314</v>
      </c>
      <c r="IS54" s="5">
        <f t="shared" si="232"/>
        <v>0.29996295454937111</v>
      </c>
      <c r="IT54" s="791">
        <f t="shared" si="233"/>
        <v>58.729967529181437</v>
      </c>
      <c r="IU54" s="9">
        <f t="shared" si="234"/>
        <v>-5.2201157438690844</v>
      </c>
      <c r="IV54" s="5">
        <f t="shared" si="235"/>
        <v>-0.91760276748994685</v>
      </c>
      <c r="IW54" s="5">
        <f t="shared" si="389"/>
        <v>0.26600000000000001</v>
      </c>
      <c r="IX54" s="5">
        <f t="shared" si="236"/>
        <v>0.23842486913097841</v>
      </c>
      <c r="IY54" s="833">
        <f t="shared" si="237"/>
        <v>48.195078623696993</v>
      </c>
    </row>
    <row r="55" spans="1:259" ht="15" customHeight="1" x14ac:dyDescent="0.25">
      <c r="A55" s="84">
        <f t="shared" si="82"/>
        <v>0.02</v>
      </c>
      <c r="B55" s="770">
        <v>4.9202790729417458</v>
      </c>
      <c r="C55" s="771">
        <v>-2.7192931742663626</v>
      </c>
      <c r="D55" s="772">
        <v>-1.6179048796011168</v>
      </c>
      <c r="E55" s="773">
        <v>0.77499930214896529</v>
      </c>
      <c r="F55" s="771">
        <v>0.59303859747318155</v>
      </c>
      <c r="G55" s="774">
        <v>0.21836048996020027</v>
      </c>
      <c r="H55" s="773">
        <v>0.26600000000000001</v>
      </c>
      <c r="I55" s="771">
        <v>0.52</v>
      </c>
      <c r="J55" s="601">
        <v>3.2450000000000001</v>
      </c>
      <c r="K55" s="426" t="str">
        <f t="shared" si="225"/>
        <v>1313</v>
      </c>
      <c r="L55" s="327"/>
      <c r="M55" s="173">
        <f t="shared" si="242"/>
        <v>3.2450000000000001</v>
      </c>
      <c r="N55" s="21">
        <f t="shared" si="243"/>
        <v>4.9202790729417458</v>
      </c>
      <c r="O55" s="5">
        <f t="shared" si="244"/>
        <v>-2.7192931742663626</v>
      </c>
      <c r="P55" s="10">
        <f t="shared" si="245"/>
        <v>-1.6179048796011168</v>
      </c>
      <c r="Q55" s="624">
        <f t="shared" si="116"/>
        <v>331.07186519352911</v>
      </c>
      <c r="R55" s="5">
        <f t="shared" si="415"/>
        <v>5.6217169550983366</v>
      </c>
      <c r="S55" s="6">
        <f t="shared" si="416"/>
        <v>-1.6179048796011168</v>
      </c>
      <c r="T55" s="4">
        <f t="shared" si="417"/>
        <v>-2.7182626139426493</v>
      </c>
      <c r="U55" s="5">
        <f t="shared" si="418"/>
        <v>-4.9208484923722029</v>
      </c>
      <c r="V55" s="8">
        <f t="shared" si="419"/>
        <v>-1.6179048796011168</v>
      </c>
      <c r="W55" s="624">
        <f t="shared" si="227"/>
        <v>241.08386519179652</v>
      </c>
      <c r="X55" s="5">
        <f t="shared" si="420"/>
        <v>5.6217169550983366</v>
      </c>
      <c r="Y55" s="7">
        <f t="shared" si="226"/>
        <v>-1.6179048796011168</v>
      </c>
      <c r="Z55" s="21">
        <f t="shared" si="246"/>
        <v>-0.77499930214896529</v>
      </c>
      <c r="AA55" s="5">
        <f t="shared" si="247"/>
        <v>-0.59303859747318155</v>
      </c>
      <c r="AB55" s="5">
        <f t="shared" si="248"/>
        <v>-0.21836048996020027</v>
      </c>
      <c r="AC55" s="8">
        <f t="shared" si="421"/>
        <v>1</v>
      </c>
      <c r="AD55" s="9">
        <f t="shared" si="422"/>
        <v>-0.77499930214896529</v>
      </c>
      <c r="AE55" s="5">
        <f t="shared" si="423"/>
        <v>-0.59303859747318155</v>
      </c>
      <c r="AF55" s="10">
        <f t="shared" si="424"/>
        <v>-0.21836048996020027</v>
      </c>
      <c r="AG55" s="622">
        <f t="shared" si="425"/>
        <v>-69.785980129984154</v>
      </c>
      <c r="AH55" s="623">
        <f t="shared" si="426"/>
        <v>140.80496930448427</v>
      </c>
      <c r="AI55" s="624">
        <f t="shared" si="427"/>
        <v>-77.387245084731248</v>
      </c>
      <c r="AJ55" s="625">
        <f t="shared" si="428"/>
        <v>-52.576357574389867</v>
      </c>
      <c r="AK55" s="4">
        <f t="shared" si="429"/>
        <v>0.89392008760444419</v>
      </c>
      <c r="AL55" s="5">
        <f t="shared" si="430"/>
        <v>-0.39144038294688532</v>
      </c>
      <c r="AM55" s="6">
        <f t="shared" si="431"/>
        <v>-0.21836048996020027</v>
      </c>
      <c r="AN55" s="612">
        <f t="shared" si="432"/>
        <v>-60.845542396156418</v>
      </c>
      <c r="AO55" s="613">
        <f>IF(ROUND(IF(M55="",0,DEGREES(ACOS(AK55))),4)=90,0,IF(M55="","",DEGREES(ACOS(AK55))))</f>
        <v>26.629946384831175</v>
      </c>
      <c r="AP55" s="624">
        <f t="shared" si="433"/>
        <v>-23.648222767918956</v>
      </c>
      <c r="AQ55" s="625">
        <f t="shared" si="249"/>
        <v>2.2049473700908617</v>
      </c>
      <c r="AS55" s="56">
        <f t="shared" si="411"/>
        <v>-118.91613480820348</v>
      </c>
      <c r="AT55" s="77">
        <f t="shared" si="250"/>
        <v>-1.1686208147766712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5"/>
        <v>3.2450000000000001</v>
      </c>
      <c r="IH55" s="797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3.145</v>
      </c>
      <c r="II55" s="800" cm="1">
        <f t="array" ref="II55">IFERROR(IF($IH55&lt;1,$IH55+LARGE((IF($M$9:$M$150="",0,$M$9:$M$150)-MOD(IF($M$9:$M$150="",0,$M$9:$M$150),1)),1),$IH55),"")</f>
        <v>3.145</v>
      </c>
      <c r="IJ55" s="839" t="str">
        <f t="shared" si="386"/>
        <v>1613</v>
      </c>
      <c r="IK55" s="839" t="str">
        <f t="shared" si="387"/>
        <v>1313</v>
      </c>
      <c r="IL55" s="791">
        <f t="shared" si="228"/>
        <v>11.077098400664852</v>
      </c>
      <c r="IM55" s="830">
        <v>1.4406778810340799E-3</v>
      </c>
      <c r="IN55" s="5">
        <f t="shared" si="229"/>
        <v>0</v>
      </c>
      <c r="IO55" s="852">
        <v>0</v>
      </c>
      <c r="IP55" s="9">
        <f t="shared" si="230"/>
        <v>-5.5824168365691795</v>
      </c>
      <c r="IQ55" s="5">
        <f t="shared" si="231"/>
        <v>-1.6633050165279304</v>
      </c>
      <c r="IR55" s="5">
        <f t="shared" si="388"/>
        <v>0.314</v>
      </c>
      <c r="IS55" s="5">
        <f t="shared" si="232"/>
        <v>0.29915509435710075</v>
      </c>
      <c r="IT55" s="791">
        <f t="shared" si="233"/>
        <v>72.117672493499015</v>
      </c>
      <c r="IU55" s="9">
        <f t="shared" si="234"/>
        <v>-5.6217169550983366</v>
      </c>
      <c r="IV55" s="5">
        <f t="shared" si="235"/>
        <v>-1.6179048796011168</v>
      </c>
      <c r="IW55" s="5">
        <f t="shared" si="389"/>
        <v>0.26600000000000001</v>
      </c>
      <c r="IX55" s="5">
        <f t="shared" si="236"/>
        <v>0.23778274330278218</v>
      </c>
      <c r="IY55" s="833">
        <f t="shared" si="237"/>
        <v>60.845542396156418</v>
      </c>
    </row>
    <row r="56" spans="1:259" ht="15" customHeight="1" x14ac:dyDescent="0.25">
      <c r="A56" s="84">
        <f t="shared" si="82"/>
        <v>0.02</v>
      </c>
      <c r="B56" s="770">
        <v>5.0713776757870628</v>
      </c>
      <c r="C56" s="771">
        <v>-2.8556779940656964</v>
      </c>
      <c r="D56" s="772">
        <v>-2.4021072447554497</v>
      </c>
      <c r="E56" s="773">
        <v>0.83782077425406332</v>
      </c>
      <c r="F56" s="771">
        <v>0.52631202983359449</v>
      </c>
      <c r="G56" s="774">
        <v>0.14509306489547885</v>
      </c>
      <c r="H56" s="773">
        <v>0.26600000000000001</v>
      </c>
      <c r="I56" s="771">
        <v>0.52</v>
      </c>
      <c r="J56" s="601">
        <v>3.2519999999999998</v>
      </c>
      <c r="K56" s="426" t="str">
        <f t="shared" si="225"/>
        <v>1313</v>
      </c>
      <c r="L56" s="327"/>
      <c r="M56" s="173">
        <f t="shared" si="242"/>
        <v>3.2519999999999998</v>
      </c>
      <c r="N56" s="21">
        <f t="shared" si="243"/>
        <v>5.0713776757870628</v>
      </c>
      <c r="O56" s="5">
        <f t="shared" si="244"/>
        <v>-2.8556779940656964</v>
      </c>
      <c r="P56" s="10">
        <f t="shared" si="245"/>
        <v>-2.4021072447554497</v>
      </c>
      <c r="Q56" s="624">
        <f t="shared" si="116"/>
        <v>330.61626525930961</v>
      </c>
      <c r="R56" s="5">
        <f t="shared" si="415"/>
        <v>5.8201175534745406</v>
      </c>
      <c r="S56" s="6">
        <f t="shared" si="416"/>
        <v>-2.4021072447554497</v>
      </c>
      <c r="T56" s="4">
        <f t="shared" si="417"/>
        <v>-2.8546157847381521</v>
      </c>
      <c r="U56" s="5">
        <f t="shared" si="418"/>
        <v>-5.071975656269089</v>
      </c>
      <c r="V56" s="8">
        <f t="shared" si="419"/>
        <v>-2.4021072447554497</v>
      </c>
      <c r="W56" s="624">
        <f t="shared" si="227"/>
        <v>240.62826525757703</v>
      </c>
      <c r="X56" s="5">
        <f t="shared" si="420"/>
        <v>5.8201175534745406</v>
      </c>
      <c r="Y56" s="7">
        <f t="shared" si="226"/>
        <v>-2.4021072447554497</v>
      </c>
      <c r="Z56" s="21">
        <f t="shared" si="246"/>
        <v>-0.83782077425406332</v>
      </c>
      <c r="AA56" s="5">
        <f t="shared" si="247"/>
        <v>-0.52631202983359449</v>
      </c>
      <c r="AB56" s="5">
        <f t="shared" si="248"/>
        <v>-0.14509306489547885</v>
      </c>
      <c r="AC56" s="8">
        <f t="shared" si="421"/>
        <v>1</v>
      </c>
      <c r="AD56" s="9">
        <f t="shared" si="422"/>
        <v>-0.83782077425406332</v>
      </c>
      <c r="AE56" s="5">
        <f t="shared" si="423"/>
        <v>-0.52631202983359449</v>
      </c>
      <c r="AF56" s="10">
        <f t="shared" si="424"/>
        <v>-0.14509306489547885</v>
      </c>
      <c r="AG56" s="622">
        <f t="shared" si="425"/>
        <v>-74.58759749442919</v>
      </c>
      <c r="AH56" s="623">
        <f t="shared" si="426"/>
        <v>146.91070919084729</v>
      </c>
      <c r="AI56" s="624">
        <f t="shared" si="427"/>
        <v>-81.657331593493225</v>
      </c>
      <c r="AJ56" s="625">
        <f t="shared" si="428"/>
        <v>-57.863303996839633</v>
      </c>
      <c r="AK56" s="4">
        <f t="shared" si="429"/>
        <v>0.86968577182481799</v>
      </c>
      <c r="AL56" s="5">
        <f t="shared" si="430"/>
        <v>-0.4717993861851742</v>
      </c>
      <c r="AM56" s="6">
        <f t="shared" si="431"/>
        <v>-0.14509306489547885</v>
      </c>
      <c r="AN56" s="612">
        <f t="shared" si="432"/>
        <v>-72.905700147856095</v>
      </c>
      <c r="AO56" s="613">
        <f t="shared" ref="AO56:AO119" si="466">IF(ROUND(IF(M56="",0,DEGREES(ACOS(AK56))),4)=90,0,IF(M56="","",DEGREES(ACOS(AK56))))</f>
        <v>29.577855327883583</v>
      </c>
      <c r="AP56" s="624">
        <f t="shared" si="433"/>
        <v>-28.479569256149233</v>
      </c>
      <c r="AQ56" s="625">
        <f t="shared" si="249"/>
        <v>2.1298538883578799</v>
      </c>
      <c r="AS56" s="56">
        <f t="shared" si="411"/>
        <v>-119.37173474242297</v>
      </c>
      <c r="AT56" s="77">
        <f t="shared" si="250"/>
        <v>-1.9511020246239528</v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5"/>
        <v>3.2519999999999998</v>
      </c>
      <c r="IH56" s="797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3.1520000000000001</v>
      </c>
      <c r="II56" s="800" cm="1">
        <f t="array" ref="II56">IFERROR(IF($IH56&lt;1,$IH56+LARGE((IF($M$9:$M$150="",0,$M$9:$M$150)-MOD(IF($M$9:$M$150="",0,$M$9:$M$150),1)),1),$IH56),"")</f>
        <v>3.1520000000000001</v>
      </c>
      <c r="IJ56" s="839" t="str">
        <f t="shared" si="386"/>
        <v>1613</v>
      </c>
      <c r="IK56" s="839" t="str">
        <f t="shared" si="387"/>
        <v>1313</v>
      </c>
      <c r="IL56" s="791">
        <f t="shared" si="228"/>
        <v>11.209698381519786</v>
      </c>
      <c r="IM56" s="830">
        <v>9.6206482704525899E-4</v>
      </c>
      <c r="IN56" s="5">
        <f t="shared" si="229"/>
        <v>0</v>
      </c>
      <c r="IO56" s="852">
        <v>0</v>
      </c>
      <c r="IP56" s="9">
        <f t="shared" si="230"/>
        <v>-5.7696174011660801</v>
      </c>
      <c r="IQ56" s="5">
        <f t="shared" si="231"/>
        <v>-2.4381073533317772</v>
      </c>
      <c r="IR56" s="5">
        <f t="shared" si="388"/>
        <v>0.314</v>
      </c>
      <c r="IS56" s="5">
        <f t="shared" si="232"/>
        <v>0.29414630811324366</v>
      </c>
      <c r="IT56" s="791">
        <f t="shared" si="233"/>
        <v>81.995680386095302</v>
      </c>
      <c r="IU56" s="9">
        <f t="shared" si="234"/>
        <v>-5.8201175534745406</v>
      </c>
      <c r="IV56" s="5">
        <f t="shared" si="235"/>
        <v>-2.4021072447554497</v>
      </c>
      <c r="IW56" s="5">
        <f t="shared" si="389"/>
        <v>0.26600000000000001</v>
      </c>
      <c r="IX56" s="5">
        <f t="shared" si="236"/>
        <v>0.23133641530540164</v>
      </c>
      <c r="IY56" s="833">
        <f t="shared" si="237"/>
        <v>72.905700147856095</v>
      </c>
    </row>
    <row r="57" spans="1:259" ht="15" customHeight="1" x14ac:dyDescent="0.25">
      <c r="A57" s="84">
        <f t="shared" si="82"/>
        <v>0</v>
      </c>
      <c r="B57" s="770">
        <v>4.9878273709706544</v>
      </c>
      <c r="C57" s="771">
        <v>-3.0820285075072227</v>
      </c>
      <c r="D57" s="772">
        <v>-3.2360097598054365</v>
      </c>
      <c r="E57" s="773">
        <v>0.80521692652265564</v>
      </c>
      <c r="F57" s="771">
        <v>-0.49755134008163848</v>
      </c>
      <c r="G57" s="774">
        <v>0.32259628829912762</v>
      </c>
      <c r="H57" s="773">
        <v>0.25700000000000001</v>
      </c>
      <c r="I57" s="771">
        <v>0.41499999999999992</v>
      </c>
      <c r="J57" s="601">
        <v>3.2589999999999999</v>
      </c>
      <c r="K57" s="426" t="str">
        <f t="shared" si="225"/>
        <v>Knuckle</v>
      </c>
      <c r="L57" s="327"/>
      <c r="M57" s="173">
        <f t="shared" si="242"/>
        <v>3.2589999999999999</v>
      </c>
      <c r="N57" s="21">
        <f t="shared" si="243"/>
        <v>4.9878273709706544</v>
      </c>
      <c r="O57" s="5">
        <f t="shared" si="244"/>
        <v>-3.0820285075072227</v>
      </c>
      <c r="P57" s="10">
        <f t="shared" si="245"/>
        <v>-3.2360097598054365</v>
      </c>
      <c r="Q57" s="624">
        <f t="shared" si="116"/>
        <v>328.28766559551781</v>
      </c>
      <c r="R57" s="5">
        <f t="shared" si="415"/>
        <v>5.8632176834645353</v>
      </c>
      <c r="S57" s="6">
        <f t="shared" si="416"/>
        <v>-3.2360097598054365</v>
      </c>
      <c r="T57" s="4">
        <f t="shared" si="417"/>
        <v>-3.0809837919475216</v>
      </c>
      <c r="U57" s="5">
        <f t="shared" si="418"/>
        <v>-4.9884727600186318</v>
      </c>
      <c r="V57" s="8">
        <f t="shared" si="419"/>
        <v>-3.2360097598054365</v>
      </c>
      <c r="W57" s="624">
        <f t="shared" si="227"/>
        <v>238.29966559378522</v>
      </c>
      <c r="X57" s="5">
        <f t="shared" si="420"/>
        <v>5.8632176834645353</v>
      </c>
      <c r="Y57" s="7">
        <f t="shared" si="226"/>
        <v>-3.2360097598054365</v>
      </c>
      <c r="Z57" s="21">
        <f t="shared" si="246"/>
        <v>-0.80521692652265564</v>
      </c>
      <c r="AA57" s="5">
        <f t="shared" si="247"/>
        <v>0.49755134008163848</v>
      </c>
      <c r="AB57" s="5">
        <f t="shared" si="248"/>
        <v>-0.32259628829912762</v>
      </c>
      <c r="AC57" s="8">
        <f t="shared" si="421"/>
        <v>1</v>
      </c>
      <c r="AD57" s="9">
        <f t="shared" si="422"/>
        <v>-0.80521692652265564</v>
      </c>
      <c r="AE57" s="5">
        <f t="shared" si="423"/>
        <v>0.49755134008163848</v>
      </c>
      <c r="AF57" s="10">
        <f t="shared" si="424"/>
        <v>-0.32259628829912762</v>
      </c>
      <c r="AG57" s="622">
        <f t="shared" si="425"/>
        <v>57.041921942150168</v>
      </c>
      <c r="AH57" s="623">
        <f t="shared" si="426"/>
        <v>143.63121029816463</v>
      </c>
      <c r="AI57" s="624">
        <f t="shared" si="427"/>
        <v>-71.179989722881487</v>
      </c>
      <c r="AJ57" s="625">
        <f t="shared" si="428"/>
        <v>-121.71232067612804</v>
      </c>
      <c r="AK57" s="4">
        <f t="shared" si="429"/>
        <v>2.2679489680710319E-7</v>
      </c>
      <c r="AL57" s="5">
        <f t="shared" si="430"/>
        <v>-0.94653665263188547</v>
      </c>
      <c r="AM57" s="6">
        <f t="shared" si="431"/>
        <v>-0.32259628829912762</v>
      </c>
      <c r="AN57" s="612">
        <f t="shared" si="432"/>
        <v>-71.179989722880975</v>
      </c>
      <c r="AO57" s="613">
        <f t="shared" si="466"/>
        <v>0</v>
      </c>
      <c r="AP57" s="624">
        <f t="shared" si="433"/>
        <v>-89.999986271645824</v>
      </c>
      <c r="AQ57" s="625">
        <f t="shared" si="249"/>
        <v>2.1142117322079916</v>
      </c>
      <c r="AS57" s="56">
        <f t="shared" si="411"/>
        <v>-121.70033440621478</v>
      </c>
      <c r="AT57" s="77">
        <f t="shared" si="250"/>
        <v>-2.776207607610726</v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 t="str">
        <f>IFERROR(IF($IU57="","",IF($IU57&lt;(((Settings!$C$19/2)*-1)*$IE$8),"",1)),"")</f>
        <v/>
      </c>
      <c r="IF57" s="91">
        <f>IFERROR(IF((((($IW57*COS(RADIANS(180-$IY57)))*COS(RADIANS($IY57)))-(($IX57*SIN(RADIANS(180-$IY57)))*SIN(RADIANS($IY57))))+$IU57)&lt;(((Settings!$C$19/2)*-1)+$IF$8),1,""),"")</f>
        <v>1</v>
      </c>
      <c r="IG57" s="836">
        <f t="shared" si="385"/>
        <v>3.2589999999999999</v>
      </c>
      <c r="IH57" s="797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3.1589999999999998</v>
      </c>
      <c r="II57" s="800" cm="1">
        <f t="array" ref="II57">IFERROR(IF($IH57&lt;1,$IH57+LARGE((IF($M$9:$M$150="",0,$M$9:$M$150)-MOD(IF($M$9:$M$150="",0,$M$9:$M$150),1)),1),$IH57),"")</f>
        <v>3.1589999999999998</v>
      </c>
      <c r="IJ57" s="839" t="str">
        <f t="shared" si="386"/>
        <v>1613</v>
      </c>
      <c r="IK57" s="839" t="str">
        <f t="shared" si="387"/>
        <v>Knuckle</v>
      </c>
      <c r="IL57" s="791">
        <f t="shared" si="228"/>
        <v>13.381298067979571</v>
      </c>
      <c r="IM57" s="830">
        <v>2.0460681395283699E-4</v>
      </c>
      <c r="IN57" s="5">
        <f t="shared" si="229"/>
        <v>0</v>
      </c>
      <c r="IO57" s="852">
        <v>0</v>
      </c>
      <c r="IP57" s="9">
        <f t="shared" si="230"/>
        <v>-5.8593176717020992</v>
      </c>
      <c r="IQ57" s="5">
        <f t="shared" si="231"/>
        <v>-3.2340097537734178</v>
      </c>
      <c r="IR57" s="5">
        <f t="shared" si="388"/>
        <v>0.314</v>
      </c>
      <c r="IS57" s="5">
        <f t="shared" si="232"/>
        <v>0.25623496800647061</v>
      </c>
      <c r="IT57" s="791">
        <f t="shared" si="233"/>
        <v>88.95105707070843</v>
      </c>
      <c r="IU57" s="9">
        <f t="shared" si="234"/>
        <v>-5.8632176834645353</v>
      </c>
      <c r="IV57" s="5">
        <f t="shared" si="235"/>
        <v>-3.2360097598054365</v>
      </c>
      <c r="IW57" s="5">
        <f t="shared" si="389"/>
        <v>0.25700000000000001</v>
      </c>
      <c r="IX57" s="5">
        <f t="shared" si="236"/>
        <v>0.25700000000000001</v>
      </c>
      <c r="IY57" s="833">
        <f t="shared" si="237"/>
        <v>71.179989722880975</v>
      </c>
    </row>
    <row r="58" spans="1:259" ht="15" customHeight="1" x14ac:dyDescent="0.25">
      <c r="A58" s="84">
        <f t="shared" si="82"/>
        <v>0.02</v>
      </c>
      <c r="B58" s="770">
        <v>1.0871984744606786</v>
      </c>
      <c r="C58" s="771">
        <v>-2.7219133521909105</v>
      </c>
      <c r="D58" s="772">
        <v>-0.10350031215694157</v>
      </c>
      <c r="E58" s="773">
        <v>0.88424838557698082</v>
      </c>
      <c r="F58" s="771">
        <v>0.34842638491375982</v>
      </c>
      <c r="G58" s="774">
        <v>0.31097242144671206</v>
      </c>
      <c r="H58" s="773">
        <v>0.314</v>
      </c>
      <c r="I58" s="771">
        <v>0.52</v>
      </c>
      <c r="J58" s="601">
        <v>4.1159999999999997</v>
      </c>
      <c r="K58" s="426" t="str">
        <f t="shared" si="225"/>
        <v>1613</v>
      </c>
      <c r="L58" s="327"/>
      <c r="M58" s="173">
        <f t="shared" si="242"/>
        <v>4.1159999999999997</v>
      </c>
      <c r="N58" s="21">
        <f t="shared" si="243"/>
        <v>1.0871984744606786</v>
      </c>
      <c r="O58" s="5">
        <f t="shared" si="244"/>
        <v>-2.7219133521909105</v>
      </c>
      <c r="P58" s="10">
        <f t="shared" si="245"/>
        <v>-0.10350031215694157</v>
      </c>
      <c r="Q58" s="624">
        <f t="shared" si="116"/>
        <v>291.77297086758745</v>
      </c>
      <c r="R58" s="5">
        <f t="shared" si="415"/>
        <v>2.9310088399226615</v>
      </c>
      <c r="S58" s="6">
        <f t="shared" si="416"/>
        <v>-0.10350031215694157</v>
      </c>
      <c r="T58" s="4">
        <f t="shared" si="417"/>
        <v>-2.7216855902112043</v>
      </c>
      <c r="U58" s="5">
        <f t="shared" si="418"/>
        <v>-1.0877685267286763</v>
      </c>
      <c r="V58" s="8">
        <f t="shared" si="419"/>
        <v>-0.10350031215694157</v>
      </c>
      <c r="W58" s="624">
        <f t="shared" si="227"/>
        <v>201.78497086585486</v>
      </c>
      <c r="X58" s="5">
        <f t="shared" si="420"/>
        <v>2.9310088399226615</v>
      </c>
      <c r="Y58" s="7">
        <f t="shared" si="226"/>
        <v>-0.10350031215694157</v>
      </c>
      <c r="Z58" s="21">
        <f t="shared" si="246"/>
        <v>-0.88424838557698082</v>
      </c>
      <c r="AA58" s="5">
        <f t="shared" si="247"/>
        <v>-0.34842638491375982</v>
      </c>
      <c r="AB58" s="5">
        <f t="shared" si="248"/>
        <v>-0.31097242144671206</v>
      </c>
      <c r="AC58" s="8">
        <f t="shared" si="421"/>
        <v>1</v>
      </c>
      <c r="AD58" s="9">
        <f t="shared" si="422"/>
        <v>-0.88424838557698082</v>
      </c>
      <c r="AE58" s="5">
        <f t="shared" si="423"/>
        <v>-0.34842638491375982</v>
      </c>
      <c r="AF58" s="10">
        <f t="shared" si="424"/>
        <v>-0.31097242144671206</v>
      </c>
      <c r="AG58" s="622">
        <f t="shared" si="425"/>
        <v>-48.25091684698306</v>
      </c>
      <c r="AH58" s="623">
        <f t="shared" si="426"/>
        <v>152.15916882511294</v>
      </c>
      <c r="AI58" s="624">
        <f t="shared" si="427"/>
        <v>-71.882157112517731</v>
      </c>
      <c r="AJ58" s="625">
        <f t="shared" si="428"/>
        <v>-68.493735712127105</v>
      </c>
      <c r="AK58" s="4">
        <f t="shared" si="429"/>
        <v>0.95040863867501435</v>
      </c>
      <c r="AL58" s="5">
        <f t="shared" si="430"/>
        <v>-4.4240966846015306E-3</v>
      </c>
      <c r="AM58" s="6">
        <f t="shared" si="431"/>
        <v>-0.31097242144671206</v>
      </c>
      <c r="AN58" s="612">
        <f t="shared" si="432"/>
        <v>-0.81507217807624566</v>
      </c>
      <c r="AO58" s="613">
        <f t="shared" si="466"/>
        <v>18.11973996588225</v>
      </c>
      <c r="AP58" s="624">
        <f t="shared" si="433"/>
        <v>-0.26670657971453404</v>
      </c>
      <c r="AQ58" s="625">
        <f t="shared" si="249"/>
        <v>4.2235429331921086</v>
      </c>
      <c r="AS58" s="56">
        <f t="shared" si="411"/>
        <v>-158.21502913414514</v>
      </c>
      <c r="AT58" s="77">
        <f t="shared" si="250"/>
        <v>0.49424624234328363</v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5"/>
        <v>4.1159999999999997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6"/>
        <v/>
      </c>
      <c r="IK58" s="839" t="str">
        <f t="shared" si="387"/>
        <v/>
      </c>
      <c r="IL58" s="791" t="str">
        <f t="shared" si="228"/>
        <v/>
      </c>
      <c r="IM58" s="830"/>
      <c r="IN58" s="5" t="str">
        <f t="shared" si="229"/>
        <v/>
      </c>
      <c r="IO58" s="852"/>
      <c r="IP58" s="9" t="str">
        <f t="shared" si="230"/>
        <v/>
      </c>
      <c r="IQ58" s="5" t="str">
        <f t="shared" si="231"/>
        <v/>
      </c>
      <c r="IR58" s="5" t="str">
        <f t="shared" si="388"/>
        <v/>
      </c>
      <c r="IS58" s="5" t="str">
        <f t="shared" si="232"/>
        <v/>
      </c>
      <c r="IT58" s="791" t="str">
        <f t="shared" si="233"/>
        <v/>
      </c>
      <c r="IU58" s="9" t="str">
        <f t="shared" si="234"/>
        <v/>
      </c>
      <c r="IV58" s="5" t="str">
        <f t="shared" si="235"/>
        <v/>
      </c>
      <c r="IW58" s="5" t="str">
        <f t="shared" si="389"/>
        <v/>
      </c>
      <c r="IX58" s="5" t="str">
        <f t="shared" si="236"/>
        <v/>
      </c>
      <c r="IY58" s="833" t="str">
        <f t="shared" si="237"/>
        <v/>
      </c>
    </row>
    <row r="59" spans="1:259" ht="15" customHeight="1" x14ac:dyDescent="0.25">
      <c r="A59" s="84">
        <f t="shared" si="82"/>
        <v>0.02</v>
      </c>
      <c r="B59" s="770">
        <v>1.3348484874917927</v>
      </c>
      <c r="C59" s="771">
        <v>-3.4839457930537989</v>
      </c>
      <c r="D59" s="772">
        <v>-0.12070036403229802</v>
      </c>
      <c r="E59" s="773">
        <v>0.9373765157733619</v>
      </c>
      <c r="F59" s="771">
        <v>0.2444928696371278</v>
      </c>
      <c r="G59" s="774">
        <v>0.24808971033316729</v>
      </c>
      <c r="H59" s="773">
        <v>0.314</v>
      </c>
      <c r="I59" s="771">
        <v>0.52</v>
      </c>
      <c r="J59" s="601">
        <v>4.1230000000000002</v>
      </c>
      <c r="K59" s="426" t="str">
        <f t="shared" si="225"/>
        <v>1613</v>
      </c>
      <c r="L59" s="327"/>
      <c r="M59" s="173">
        <f t="shared" si="242"/>
        <v>4.1230000000000002</v>
      </c>
      <c r="N59" s="21">
        <f t="shared" si="243"/>
        <v>1.3348484874917927</v>
      </c>
      <c r="O59" s="5">
        <f t="shared" si="244"/>
        <v>-3.4839457930537989</v>
      </c>
      <c r="P59" s="10">
        <f t="shared" si="245"/>
        <v>-0.12070036403229802</v>
      </c>
      <c r="Q59" s="624">
        <f t="shared" si="116"/>
        <v>290.96397098439257</v>
      </c>
      <c r="R59" s="5">
        <f t="shared" si="83"/>
        <v>3.7309112524283381</v>
      </c>
      <c r="S59" s="6">
        <f t="shared" si="84"/>
        <v>-0.12070036403229802</v>
      </c>
      <c r="T59" s="4">
        <f t="shared" si="85"/>
        <v>-3.4836661466712844</v>
      </c>
      <c r="U59" s="5">
        <f t="shared" si="86"/>
        <v>-1.3355781340052093</v>
      </c>
      <c r="V59" s="8">
        <f t="shared" si="117"/>
        <v>-0.12070036403229802</v>
      </c>
      <c r="W59" s="624">
        <f t="shared" si="227"/>
        <v>200.97597098265999</v>
      </c>
      <c r="X59" s="5">
        <f t="shared" si="87"/>
        <v>3.7309112524283381</v>
      </c>
      <c r="Y59" s="7">
        <f t="shared" si="226"/>
        <v>-0.12070036403229802</v>
      </c>
      <c r="Z59" s="21">
        <f t="shared" si="246"/>
        <v>-0.9373765157733619</v>
      </c>
      <c r="AA59" s="5">
        <f t="shared" si="247"/>
        <v>-0.2444928696371278</v>
      </c>
      <c r="AB59" s="5">
        <f t="shared" si="248"/>
        <v>-0.24808971033316729</v>
      </c>
      <c r="AC59" s="8">
        <f t="shared" si="88"/>
        <v>1</v>
      </c>
      <c r="AD59" s="9">
        <f t="shared" si="118"/>
        <v>-0.9373765157733619</v>
      </c>
      <c r="AE59" s="5">
        <f t="shared" si="89"/>
        <v>-0.2444928696371278</v>
      </c>
      <c r="AF59" s="10">
        <f t="shared" si="90"/>
        <v>-0.24808971033316729</v>
      </c>
      <c r="AG59" s="622">
        <f t="shared" si="91"/>
        <v>-44.581633339841559</v>
      </c>
      <c r="AH59" s="623">
        <f t="shared" si="92"/>
        <v>159.61554322312395</v>
      </c>
      <c r="AI59" s="624">
        <f t="shared" si="93"/>
        <v>-75.635500169670991</v>
      </c>
      <c r="AJ59" s="625">
        <f t="shared" si="94"/>
        <v>-75.381422889454939</v>
      </c>
      <c r="AK59" s="4">
        <f t="shared" si="213"/>
        <v>0.96280229221096336</v>
      </c>
      <c r="AL59" s="5">
        <f t="shared" si="95"/>
        <v>-0.10706652950441628</v>
      </c>
      <c r="AM59" s="6">
        <f t="shared" si="96"/>
        <v>-0.24808971033316729</v>
      </c>
      <c r="AN59" s="612">
        <f t="shared" si="97"/>
        <v>-23.343277667537258</v>
      </c>
      <c r="AO59" s="613">
        <f t="shared" si="466"/>
        <v>15.676576474618287</v>
      </c>
      <c r="AP59" s="624">
        <f t="shared" si="99"/>
        <v>-6.3453938738475131</v>
      </c>
      <c r="AQ59" s="625">
        <f t="shared" si="249"/>
        <v>3.320322081679846</v>
      </c>
      <c r="AS59" s="56">
        <f t="shared" si="411"/>
        <v>-159.02402901734001</v>
      </c>
      <c r="AT59" s="77">
        <f t="shared" si="250"/>
        <v>0.48010241224888561</v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5"/>
        <v>4.1230000000000002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6"/>
        <v/>
      </c>
      <c r="IK59" s="839" t="str">
        <f t="shared" si="387"/>
        <v/>
      </c>
      <c r="IL59" s="791" t="str">
        <f t="shared" si="228"/>
        <v/>
      </c>
      <c r="IM59" s="830"/>
      <c r="IN59" s="5" t="str">
        <f t="shared" si="229"/>
        <v/>
      </c>
      <c r="IO59" s="852"/>
      <c r="IP59" s="9" t="str">
        <f t="shared" si="230"/>
        <v/>
      </c>
      <c r="IQ59" s="5" t="str">
        <f t="shared" si="231"/>
        <v/>
      </c>
      <c r="IR59" s="5" t="str">
        <f t="shared" si="388"/>
        <v/>
      </c>
      <c r="IS59" s="5" t="str">
        <f t="shared" si="232"/>
        <v/>
      </c>
      <c r="IT59" s="791" t="str">
        <f t="shared" si="233"/>
        <v/>
      </c>
      <c r="IU59" s="9" t="str">
        <f t="shared" si="234"/>
        <v/>
      </c>
      <c r="IV59" s="5" t="str">
        <f t="shared" si="235"/>
        <v/>
      </c>
      <c r="IW59" s="5" t="str">
        <f t="shared" si="389"/>
        <v/>
      </c>
      <c r="IX59" s="5" t="str">
        <f t="shared" si="236"/>
        <v/>
      </c>
      <c r="IY59" s="833" t="str">
        <f t="shared" si="237"/>
        <v/>
      </c>
    </row>
    <row r="60" spans="1:259" ht="15" customHeight="1" x14ac:dyDescent="0.25">
      <c r="A60" s="84">
        <f t="shared" si="82"/>
        <v>0.02</v>
      </c>
      <c r="B60" s="770">
        <v>1.528240245868814</v>
      </c>
      <c r="C60" s="771">
        <v>-4.215975143905708</v>
      </c>
      <c r="D60" s="772">
        <v>-0.38980117564034572</v>
      </c>
      <c r="E60" s="773">
        <v>0.96501347309193697</v>
      </c>
      <c r="F60" s="771">
        <v>0.15289018392296039</v>
      </c>
      <c r="G60" s="774">
        <v>0.21301077064561955</v>
      </c>
      <c r="H60" s="773">
        <v>0.314</v>
      </c>
      <c r="I60" s="771">
        <v>0.52</v>
      </c>
      <c r="J60" s="601">
        <v>4.13</v>
      </c>
      <c r="K60" s="426" t="str">
        <f t="shared" si="225"/>
        <v>1613</v>
      </c>
      <c r="L60" s="327"/>
      <c r="M60" s="173">
        <f t="shared" si="242"/>
        <v>4.13</v>
      </c>
      <c r="N60" s="21">
        <f t="shared" si="243"/>
        <v>1.528240245868814</v>
      </c>
      <c r="O60" s="5">
        <f t="shared" si="244"/>
        <v>-4.215975143905708</v>
      </c>
      <c r="P60" s="10">
        <f t="shared" si="245"/>
        <v>-0.38980117564034572</v>
      </c>
      <c r="Q60" s="624">
        <f t="shared" si="116"/>
        <v>289.92497113440561</v>
      </c>
      <c r="R60" s="5">
        <f t="shared" si="83"/>
        <v>4.4844135249911918</v>
      </c>
      <c r="S60" s="6">
        <f t="shared" si="84"/>
        <v>-0.38980117564034572</v>
      </c>
      <c r="T60" s="4">
        <f t="shared" si="85"/>
        <v>-4.215654977598982</v>
      </c>
      <c r="U60" s="5">
        <f t="shared" si="86"/>
        <v>-1.529123203986144</v>
      </c>
      <c r="V60" s="8">
        <f t="shared" si="117"/>
        <v>-0.38980117564034572</v>
      </c>
      <c r="W60" s="624">
        <f t="shared" si="227"/>
        <v>199.93697113267302</v>
      </c>
      <c r="X60" s="5">
        <f t="shared" si="87"/>
        <v>4.4844135249911918</v>
      </c>
      <c r="Y60" s="7">
        <f t="shared" si="226"/>
        <v>-0.38980117564034572</v>
      </c>
      <c r="Z60" s="21">
        <f t="shared" si="246"/>
        <v>-0.96501347309193697</v>
      </c>
      <c r="AA60" s="5">
        <f t="shared" si="247"/>
        <v>-0.15289018392296039</v>
      </c>
      <c r="AB60" s="5">
        <f t="shared" si="248"/>
        <v>-0.21301077064561955</v>
      </c>
      <c r="AC60" s="8">
        <f t="shared" si="88"/>
        <v>1</v>
      </c>
      <c r="AD60" s="9">
        <f t="shared" si="118"/>
        <v>-0.96501347309193697</v>
      </c>
      <c r="AE60" s="5">
        <f t="shared" si="89"/>
        <v>-0.15289018392296039</v>
      </c>
      <c r="AF60" s="10">
        <f t="shared" si="90"/>
        <v>-0.21301077064561955</v>
      </c>
      <c r="AG60" s="622">
        <f t="shared" si="91"/>
        <v>-35.669196811444365</v>
      </c>
      <c r="AH60" s="623">
        <f t="shared" si="92"/>
        <v>164.79933975660779</v>
      </c>
      <c r="AI60" s="624">
        <f t="shared" si="93"/>
        <v>-77.701150294668224</v>
      </c>
      <c r="AJ60" s="625">
        <f t="shared" si="94"/>
        <v>-80.99727400752117</v>
      </c>
      <c r="AK60" s="4">
        <f t="shared" si="213"/>
        <v>0.95935081017478852</v>
      </c>
      <c r="AL60" s="5">
        <f t="shared" si="95"/>
        <v>-0.18512815724771922</v>
      </c>
      <c r="AM60" s="6">
        <f t="shared" si="96"/>
        <v>-0.21301077064561955</v>
      </c>
      <c r="AN60" s="612">
        <f t="shared" si="97"/>
        <v>-40.993981344047185</v>
      </c>
      <c r="AO60" s="613">
        <f t="shared" si="466"/>
        <v>16.39252325740074</v>
      </c>
      <c r="AP60" s="624">
        <f t="shared" si="99"/>
        <v>-10.922245141926762</v>
      </c>
      <c r="AQ60" s="625">
        <f t="shared" si="249"/>
        <v>2.7633703586566392</v>
      </c>
      <c r="AS60" s="56">
        <f t="shared" si="411"/>
        <v>-160.06302886732698</v>
      </c>
      <c r="AT60" s="77">
        <f t="shared" si="250"/>
        <v>0.21492671118523315</v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5"/>
        <v>4.13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6"/>
        <v/>
      </c>
      <c r="IK60" s="839" t="str">
        <f t="shared" si="387"/>
        <v/>
      </c>
      <c r="IL60" s="791" t="str">
        <f t="shared" si="228"/>
        <v/>
      </c>
      <c r="IM60" s="830"/>
      <c r="IN60" s="5" t="str">
        <f t="shared" si="229"/>
        <v/>
      </c>
      <c r="IO60" s="852"/>
      <c r="IP60" s="9" t="str">
        <f t="shared" si="230"/>
        <v/>
      </c>
      <c r="IQ60" s="5" t="str">
        <f t="shared" si="231"/>
        <v/>
      </c>
      <c r="IR60" s="5" t="str">
        <f t="shared" si="388"/>
        <v/>
      </c>
      <c r="IS60" s="5" t="str">
        <f t="shared" si="232"/>
        <v/>
      </c>
      <c r="IT60" s="791" t="str">
        <f t="shared" si="233"/>
        <v/>
      </c>
      <c r="IU60" s="9" t="str">
        <f t="shared" si="234"/>
        <v/>
      </c>
      <c r="IV60" s="5" t="str">
        <f t="shared" si="235"/>
        <v/>
      </c>
      <c r="IW60" s="5" t="str">
        <f t="shared" si="389"/>
        <v/>
      </c>
      <c r="IX60" s="5" t="str">
        <f t="shared" si="236"/>
        <v/>
      </c>
      <c r="IY60" s="833" t="str">
        <f t="shared" si="237"/>
        <v/>
      </c>
    </row>
    <row r="61" spans="1:259" ht="15" customHeight="1" x14ac:dyDescent="0.25">
      <c r="A61" s="84">
        <f t="shared" si="82"/>
        <v>0.02</v>
      </c>
      <c r="B61" s="770">
        <v>1.6595168497727564</v>
      </c>
      <c r="C61" s="771">
        <v>-4.8376904578099094</v>
      </c>
      <c r="D61" s="772">
        <v>-0.88310266343763211</v>
      </c>
      <c r="E61" s="773">
        <v>0.98377550373385103</v>
      </c>
      <c r="F61" s="771">
        <v>7.7726661212727144E-2</v>
      </c>
      <c r="G61" s="774">
        <v>0.16169206656459648</v>
      </c>
      <c r="H61" s="773">
        <v>0.314</v>
      </c>
      <c r="I61" s="771">
        <v>0.52</v>
      </c>
      <c r="J61" s="601">
        <v>4.1369999999999996</v>
      </c>
      <c r="K61" s="426" t="str">
        <f t="shared" si="225"/>
        <v>1613</v>
      </c>
      <c r="L61" s="327"/>
      <c r="M61" s="173">
        <f t="shared" si="242"/>
        <v>4.1369999999999996</v>
      </c>
      <c r="N61" s="21">
        <f t="shared" si="243"/>
        <v>1.6595168497727564</v>
      </c>
      <c r="O61" s="5">
        <f t="shared" si="244"/>
        <v>-4.8376904578099094</v>
      </c>
      <c r="P61" s="10">
        <f t="shared" si="245"/>
        <v>-0.88310266343763211</v>
      </c>
      <c r="Q61" s="624">
        <f t="shared" si="116"/>
        <v>288.93397127748824</v>
      </c>
      <c r="R61" s="5">
        <f t="shared" si="83"/>
        <v>5.1144154250769205</v>
      </c>
      <c r="S61" s="6">
        <f t="shared" si="84"/>
        <v>-0.88310266343763211</v>
      </c>
      <c r="T61" s="4">
        <f t="shared" si="85"/>
        <v>-4.8373427833639884</v>
      </c>
      <c r="U61" s="5">
        <f t="shared" si="86"/>
        <v>-1.6605300167419661</v>
      </c>
      <c r="V61" s="8">
        <f t="shared" si="117"/>
        <v>-0.88310266343763211</v>
      </c>
      <c r="W61" s="624">
        <f t="shared" si="227"/>
        <v>198.94597127575565</v>
      </c>
      <c r="X61" s="5">
        <f t="shared" si="87"/>
        <v>5.1144154250769205</v>
      </c>
      <c r="Y61" s="7">
        <f t="shared" si="226"/>
        <v>-0.88310266343763211</v>
      </c>
      <c r="Z61" s="21">
        <f t="shared" si="246"/>
        <v>-0.98377550373385103</v>
      </c>
      <c r="AA61" s="5">
        <f t="shared" si="247"/>
        <v>-7.7726661212727144E-2</v>
      </c>
      <c r="AB61" s="5">
        <f t="shared" si="248"/>
        <v>-0.16169206656459648</v>
      </c>
      <c r="AC61" s="8">
        <f t="shared" si="88"/>
        <v>1</v>
      </c>
      <c r="AD61" s="9">
        <f t="shared" si="118"/>
        <v>-0.98377550373385103</v>
      </c>
      <c r="AE61" s="5">
        <f t="shared" si="89"/>
        <v>-7.7726661212727144E-2</v>
      </c>
      <c r="AF61" s="10">
        <f t="shared" si="90"/>
        <v>-0.16169206656459648</v>
      </c>
      <c r="AG61" s="622">
        <f t="shared" si="91"/>
        <v>-25.673963494574355</v>
      </c>
      <c r="AH61" s="623">
        <f t="shared" si="92"/>
        <v>169.66495957524458</v>
      </c>
      <c r="AI61" s="624">
        <f t="shared" si="93"/>
        <v>-80.694876526089956</v>
      </c>
      <c r="AJ61" s="625">
        <f t="shared" si="94"/>
        <v>-85.48252868573698</v>
      </c>
      <c r="AK61" s="4">
        <f t="shared" si="213"/>
        <v>0.95576711407364179</v>
      </c>
      <c r="AL61" s="5">
        <f t="shared" si="95"/>
        <v>-0.24569269273914607</v>
      </c>
      <c r="AM61" s="6">
        <f t="shared" si="96"/>
        <v>-0.16169206656459648</v>
      </c>
      <c r="AN61" s="612">
        <f t="shared" si="97"/>
        <v>-56.650807847722277</v>
      </c>
      <c r="AO61" s="613">
        <f t="shared" si="466"/>
        <v>17.105046212004208</v>
      </c>
      <c r="AP61" s="624">
        <f t="shared" si="99"/>
        <v>-14.416499963225217</v>
      </c>
      <c r="AQ61" s="625">
        <f t="shared" si="249"/>
        <v>2.4234082397224572</v>
      </c>
      <c r="AS61" s="56">
        <f t="shared" si="411"/>
        <v>-161.05402872424435</v>
      </c>
      <c r="AT61" s="77">
        <f t="shared" si="250"/>
        <v>-0.27463099937480984</v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5"/>
        <v>4.1369999999999996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6"/>
        <v/>
      </c>
      <c r="IK61" s="839" t="str">
        <f t="shared" si="387"/>
        <v/>
      </c>
      <c r="IL61" s="791" t="str">
        <f t="shared" si="228"/>
        <v/>
      </c>
      <c r="IM61" s="830"/>
      <c r="IN61" s="5" t="str">
        <f t="shared" si="229"/>
        <v/>
      </c>
      <c r="IO61" s="852"/>
      <c r="IP61" s="9" t="str">
        <f t="shared" si="230"/>
        <v/>
      </c>
      <c r="IQ61" s="5" t="str">
        <f t="shared" si="231"/>
        <v/>
      </c>
      <c r="IR61" s="5" t="str">
        <f t="shared" si="388"/>
        <v/>
      </c>
      <c r="IS61" s="5" t="str">
        <f t="shared" si="232"/>
        <v/>
      </c>
      <c r="IT61" s="791" t="str">
        <f t="shared" si="233"/>
        <v/>
      </c>
      <c r="IU61" s="9" t="str">
        <f t="shared" si="234"/>
        <v/>
      </c>
      <c r="IV61" s="5" t="str">
        <f t="shared" si="235"/>
        <v/>
      </c>
      <c r="IW61" s="5" t="str">
        <f t="shared" si="389"/>
        <v/>
      </c>
      <c r="IX61" s="5" t="str">
        <f t="shared" si="236"/>
        <v/>
      </c>
      <c r="IY61" s="833" t="str">
        <f t="shared" si="237"/>
        <v/>
      </c>
    </row>
    <row r="62" spans="1:259" ht="15" customHeight="1" x14ac:dyDescent="0.25">
      <c r="A62" s="84">
        <f t="shared" si="82"/>
        <v>0.02</v>
      </c>
      <c r="B62" s="770">
        <v>1.7326146800551141</v>
      </c>
      <c r="C62" s="771">
        <v>-5.2639025928167538</v>
      </c>
      <c r="D62" s="772">
        <v>-1.5568046953229606</v>
      </c>
      <c r="E62" s="773">
        <v>0.99441702066922455</v>
      </c>
      <c r="F62" s="771">
        <v>2.6984937192067158E-2</v>
      </c>
      <c r="G62" s="774">
        <v>0.10201275492840818</v>
      </c>
      <c r="H62" s="773">
        <v>0.314</v>
      </c>
      <c r="I62" s="771">
        <v>0.52</v>
      </c>
      <c r="J62" s="601">
        <v>4.1440000000000001</v>
      </c>
      <c r="K62" s="426" t="str">
        <f t="shared" si="225"/>
        <v>1613</v>
      </c>
      <c r="L62" s="327"/>
      <c r="M62" s="173">
        <f t="shared" si="242"/>
        <v>4.1440000000000001</v>
      </c>
      <c r="N62" s="21">
        <f t="shared" si="243"/>
        <v>1.7326146800551141</v>
      </c>
      <c r="O62" s="5">
        <f t="shared" si="244"/>
        <v>-5.2639025928167538</v>
      </c>
      <c r="P62" s="10">
        <f t="shared" si="245"/>
        <v>-1.5568046953229606</v>
      </c>
      <c r="Q62" s="624">
        <f t="shared" si="116"/>
        <v>288.21897138072148</v>
      </c>
      <c r="R62" s="5">
        <f t="shared" si="83"/>
        <v>5.5417167138176078</v>
      </c>
      <c r="S62" s="6">
        <f t="shared" si="84"/>
        <v>-1.5568046953229606</v>
      </c>
      <c r="T62" s="4">
        <f t="shared" si="85"/>
        <v>-5.263539599451506</v>
      </c>
      <c r="U62" s="5">
        <f t="shared" si="86"/>
        <v>-1.7337171110683838</v>
      </c>
      <c r="V62" s="8">
        <f t="shared" si="117"/>
        <v>-1.5568046953229606</v>
      </c>
      <c r="W62" s="624">
        <f t="shared" si="227"/>
        <v>198.2309713789889</v>
      </c>
      <c r="X62" s="5">
        <f t="shared" si="87"/>
        <v>5.5417167138176078</v>
      </c>
      <c r="Y62" s="7">
        <f t="shared" si="226"/>
        <v>-1.5568046953229606</v>
      </c>
      <c r="Z62" s="21">
        <f t="shared" si="246"/>
        <v>-0.99441702066922455</v>
      </c>
      <c r="AA62" s="5">
        <f t="shared" si="247"/>
        <v>-2.6984937192067158E-2</v>
      </c>
      <c r="AB62" s="5">
        <f t="shared" si="248"/>
        <v>-0.10201275492840818</v>
      </c>
      <c r="AC62" s="8">
        <f t="shared" si="88"/>
        <v>1</v>
      </c>
      <c r="AD62" s="9">
        <f t="shared" si="118"/>
        <v>-0.99441702066922455</v>
      </c>
      <c r="AE62" s="5">
        <f t="shared" si="89"/>
        <v>-2.6984937192067158E-2</v>
      </c>
      <c r="AF62" s="10">
        <f t="shared" si="90"/>
        <v>-0.10201275492840818</v>
      </c>
      <c r="AG62" s="622">
        <f t="shared" si="91"/>
        <v>-14.816801299520291</v>
      </c>
      <c r="AH62" s="623">
        <f t="shared" si="92"/>
        <v>173.94278621368221</v>
      </c>
      <c r="AI62" s="624">
        <f t="shared" si="93"/>
        <v>-84.144914323831699</v>
      </c>
      <c r="AJ62" s="625">
        <f t="shared" si="94"/>
        <v>-88.445578029767177</v>
      </c>
      <c r="AK62" s="4">
        <f t="shared" si="213"/>
        <v>0.95300231038388716</v>
      </c>
      <c r="AL62" s="5">
        <f t="shared" si="95"/>
        <v>-0.28527179011407716</v>
      </c>
      <c r="AM62" s="6">
        <f t="shared" si="96"/>
        <v>-0.10201275492840818</v>
      </c>
      <c r="AN62" s="612">
        <f t="shared" si="97"/>
        <v>-70.323027743291604</v>
      </c>
      <c r="AO62" s="613">
        <f t="shared" si="466"/>
        <v>17.635656690374997</v>
      </c>
      <c r="AP62" s="624">
        <f t="shared" si="99"/>
        <v>-16.664549410488647</v>
      </c>
      <c r="AQ62" s="625">
        <f t="shared" si="249"/>
        <v>2.2367458971862555</v>
      </c>
      <c r="AS62" s="56">
        <f t="shared" si="411"/>
        <v>-161.7690286210111</v>
      </c>
      <c r="AT62" s="77">
        <f t="shared" si="250"/>
        <v>-0.94563192053901957</v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5"/>
        <v>4.1440000000000001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6"/>
        <v/>
      </c>
      <c r="IK62" s="839" t="str">
        <f t="shared" si="387"/>
        <v/>
      </c>
      <c r="IL62" s="791" t="str">
        <f t="shared" si="228"/>
        <v/>
      </c>
      <c r="IM62" s="830"/>
      <c r="IN62" s="5" t="str">
        <f t="shared" si="229"/>
        <v/>
      </c>
      <c r="IO62" s="852"/>
      <c r="IP62" s="9" t="str">
        <f t="shared" si="230"/>
        <v/>
      </c>
      <c r="IQ62" s="5" t="str">
        <f t="shared" si="231"/>
        <v/>
      </c>
      <c r="IR62" s="5" t="str">
        <f t="shared" si="388"/>
        <v/>
      </c>
      <c r="IS62" s="5" t="str">
        <f t="shared" si="232"/>
        <v/>
      </c>
      <c r="IT62" s="791" t="str">
        <f t="shared" si="233"/>
        <v/>
      </c>
      <c r="IU62" s="9" t="str">
        <f t="shared" si="234"/>
        <v/>
      </c>
      <c r="IV62" s="5" t="str">
        <f t="shared" si="235"/>
        <v/>
      </c>
      <c r="IW62" s="5" t="str">
        <f t="shared" si="389"/>
        <v/>
      </c>
      <c r="IX62" s="5" t="str">
        <f t="shared" si="236"/>
        <v/>
      </c>
      <c r="IY62" s="833" t="str">
        <f t="shared" si="237"/>
        <v/>
      </c>
    </row>
    <row r="63" spans="1:259" ht="15" customHeight="1" x14ac:dyDescent="0.25">
      <c r="A63" s="84">
        <f t="shared" si="82"/>
        <v>0.02</v>
      </c>
      <c r="B63" s="770">
        <v>1.7634792492383109</v>
      </c>
      <c r="C63" s="771">
        <v>-5.4732340057975915</v>
      </c>
      <c r="D63" s="772">
        <v>-2.3254070134275531</v>
      </c>
      <c r="E63" s="773">
        <v>0.99828005008176579</v>
      </c>
      <c r="F63" s="771">
        <v>-2.6406072556942446E-2</v>
      </c>
      <c r="G63" s="774">
        <v>5.2341770517099949E-2</v>
      </c>
      <c r="H63" s="773">
        <v>0.314</v>
      </c>
      <c r="I63" s="771">
        <v>0.52</v>
      </c>
      <c r="J63" s="601">
        <v>4.1509999999999998</v>
      </c>
      <c r="K63" s="426" t="str">
        <f t="shared" si="225"/>
        <v>1613</v>
      </c>
      <c r="L63" s="327"/>
      <c r="M63" s="173">
        <f t="shared" si="242"/>
        <v>4.1509999999999998</v>
      </c>
      <c r="N63" s="21">
        <f t="shared" si="243"/>
        <v>1.7634792492383109</v>
      </c>
      <c r="O63" s="5">
        <f t="shared" si="244"/>
        <v>-5.4732340057975915</v>
      </c>
      <c r="P63" s="10">
        <f t="shared" si="245"/>
        <v>-2.3254070134275531</v>
      </c>
      <c r="Q63" s="624">
        <f t="shared" si="116"/>
        <v>287.85897143269904</v>
      </c>
      <c r="R63" s="5">
        <f t="shared" si="83"/>
        <v>5.7503173429571062</v>
      </c>
      <c r="S63" s="6">
        <f t="shared" si="84"/>
        <v>-2.3254070134275531</v>
      </c>
      <c r="T63" s="4">
        <f t="shared" si="85"/>
        <v>-5.4728645435819212</v>
      </c>
      <c r="U63" s="5">
        <f t="shared" si="86"/>
        <v>-1.7646255218366085</v>
      </c>
      <c r="V63" s="8">
        <f t="shared" si="117"/>
        <v>-2.3254070134275531</v>
      </c>
      <c r="W63" s="624">
        <f t="shared" si="227"/>
        <v>197.87097143096645</v>
      </c>
      <c r="X63" s="5">
        <f t="shared" si="87"/>
        <v>5.7503173429571062</v>
      </c>
      <c r="Y63" s="7">
        <f t="shared" si="226"/>
        <v>-2.3254070134275531</v>
      </c>
      <c r="Z63" s="21">
        <f t="shared" si="246"/>
        <v>-0.99828005008176579</v>
      </c>
      <c r="AA63" s="5">
        <f t="shared" si="247"/>
        <v>2.6406072556942446E-2</v>
      </c>
      <c r="AB63" s="5">
        <f t="shared" si="248"/>
        <v>-5.2341770517099949E-2</v>
      </c>
      <c r="AC63" s="8">
        <f t="shared" si="88"/>
        <v>1</v>
      </c>
      <c r="AD63" s="9">
        <f t="shared" si="118"/>
        <v>-0.99828005008176579</v>
      </c>
      <c r="AE63" s="5">
        <f t="shared" si="89"/>
        <v>2.6406072556942446E-2</v>
      </c>
      <c r="AF63" s="10">
        <f t="shared" si="90"/>
        <v>-5.2341770517099949E-2</v>
      </c>
      <c r="AG63" s="622">
        <f t="shared" si="91"/>
        <v>26.770638506119781</v>
      </c>
      <c r="AH63" s="623">
        <f t="shared" si="92"/>
        <v>176.63908292153181</v>
      </c>
      <c r="AI63" s="624">
        <f t="shared" si="93"/>
        <v>-86.999666409404782</v>
      </c>
      <c r="AJ63" s="625">
        <f t="shared" si="94"/>
        <v>-91.515209879649802</v>
      </c>
      <c r="AK63" s="4">
        <f t="shared" si="213"/>
        <v>0.94207909465096873</v>
      </c>
      <c r="AL63" s="5">
        <f t="shared" si="95"/>
        <v>-0.33128132830080614</v>
      </c>
      <c r="AM63" s="6">
        <f t="shared" si="96"/>
        <v>-5.2341770517099949E-2</v>
      </c>
      <c r="AN63" s="612">
        <f t="shared" si="97"/>
        <v>-81.02160368317935</v>
      </c>
      <c r="AO63" s="613">
        <f t="shared" si="466"/>
        <v>19.596303192731042</v>
      </c>
      <c r="AP63" s="624">
        <f t="shared" si="99"/>
        <v>-19.374181312348831</v>
      </c>
      <c r="AQ63" s="625">
        <f t="shared" si="249"/>
        <v>2.1556828689508136</v>
      </c>
      <c r="AS63" s="56">
        <f t="shared" si="411"/>
        <v>-162.12902856903355</v>
      </c>
      <c r="AT63" s="77">
        <f t="shared" si="250"/>
        <v>-1.7128742388399716</v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5"/>
        <v>4.1509999999999998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6"/>
        <v/>
      </c>
      <c r="IK63" s="839" t="str">
        <f t="shared" si="387"/>
        <v/>
      </c>
      <c r="IL63" s="791" t="str">
        <f t="shared" si="228"/>
        <v/>
      </c>
      <c r="IM63" s="830"/>
      <c r="IN63" s="5" t="str">
        <f t="shared" si="229"/>
        <v/>
      </c>
      <c r="IO63" s="852"/>
      <c r="IP63" s="9" t="str">
        <f t="shared" si="230"/>
        <v/>
      </c>
      <c r="IQ63" s="5" t="str">
        <f t="shared" si="231"/>
        <v/>
      </c>
      <c r="IR63" s="5" t="str">
        <f t="shared" si="388"/>
        <v/>
      </c>
      <c r="IS63" s="5" t="str">
        <f t="shared" si="232"/>
        <v/>
      </c>
      <c r="IT63" s="791" t="str">
        <f t="shared" si="233"/>
        <v/>
      </c>
      <c r="IU63" s="9" t="str">
        <f t="shared" si="234"/>
        <v/>
      </c>
      <c r="IV63" s="5" t="str">
        <f t="shared" si="235"/>
        <v/>
      </c>
      <c r="IW63" s="5" t="str">
        <f t="shared" si="389"/>
        <v/>
      </c>
      <c r="IX63" s="5" t="str">
        <f t="shared" si="236"/>
        <v/>
      </c>
      <c r="IY63" s="833" t="str">
        <f t="shared" si="237"/>
        <v/>
      </c>
    </row>
    <row r="64" spans="1:259" ht="15" customHeight="1" x14ac:dyDescent="0.25">
      <c r="A64" s="84">
        <f t="shared" si="82"/>
        <v>0.02</v>
      </c>
      <c r="B64" s="770">
        <v>1.7769972561202163</v>
      </c>
      <c r="C64" s="771">
        <v>-5.572442760151981</v>
      </c>
      <c r="D64" s="772">
        <v>-3.1196094087419768</v>
      </c>
      <c r="E64" s="773">
        <v>0.96685637102271871</v>
      </c>
      <c r="F64" s="771">
        <v>-0.2546415295884869</v>
      </c>
      <c r="G64" s="774">
        <v>1.8613146472720707E-2</v>
      </c>
      <c r="H64" s="773">
        <v>0.314</v>
      </c>
      <c r="I64" s="771">
        <v>0.52</v>
      </c>
      <c r="J64" s="601">
        <v>4.1580000000000004</v>
      </c>
      <c r="K64" s="426" t="str">
        <f t="shared" si="225"/>
        <v>1613</v>
      </c>
      <c r="L64" s="327"/>
      <c r="M64" s="173">
        <f t="shared" si="242"/>
        <v>4.1580000000000004</v>
      </c>
      <c r="N64" s="21">
        <f t="shared" si="243"/>
        <v>1.7769972561202163</v>
      </c>
      <c r="O64" s="5">
        <f t="shared" si="244"/>
        <v>-5.572442760151981</v>
      </c>
      <c r="P64" s="10">
        <f t="shared" si="245"/>
        <v>-3.1196094087419768</v>
      </c>
      <c r="Q64" s="624">
        <f t="shared" si="116"/>
        <v>287.68697145753276</v>
      </c>
      <c r="R64" s="5">
        <f t="shared" si="83"/>
        <v>5.8489176403356034</v>
      </c>
      <c r="S64" s="6">
        <f t="shared" si="84"/>
        <v>-3.1196094087419768</v>
      </c>
      <c r="T64" s="4">
        <f t="shared" si="85"/>
        <v>-5.5720704645561083</v>
      </c>
      <c r="U64" s="5">
        <f t="shared" si="86"/>
        <v>-1.7781643066518007</v>
      </c>
      <c r="V64" s="8">
        <f t="shared" si="117"/>
        <v>-3.1196094087419768</v>
      </c>
      <c r="W64" s="624">
        <f t="shared" si="227"/>
        <v>197.69897145580018</v>
      </c>
      <c r="X64" s="5">
        <f t="shared" si="87"/>
        <v>5.8489176403356034</v>
      </c>
      <c r="Y64" s="7">
        <f t="shared" si="226"/>
        <v>-3.1196094087419768</v>
      </c>
      <c r="Z64" s="21">
        <f t="shared" si="246"/>
        <v>-0.96685637102271871</v>
      </c>
      <c r="AA64" s="5">
        <f t="shared" si="247"/>
        <v>0.2546415295884869</v>
      </c>
      <c r="AB64" s="5">
        <f t="shared" si="248"/>
        <v>-1.8613146472720707E-2</v>
      </c>
      <c r="AC64" s="8">
        <f t="shared" si="88"/>
        <v>1</v>
      </c>
      <c r="AD64" s="9">
        <f t="shared" si="118"/>
        <v>-0.96685637102271871</v>
      </c>
      <c r="AE64" s="5">
        <f t="shared" si="89"/>
        <v>0.2546415295884869</v>
      </c>
      <c r="AF64" s="10">
        <f t="shared" si="90"/>
        <v>-1.8613146472720707E-2</v>
      </c>
      <c r="AG64" s="622">
        <f t="shared" si="91"/>
        <v>85.819372175441501</v>
      </c>
      <c r="AH64" s="623">
        <f t="shared" si="92"/>
        <v>165.20739967404913</v>
      </c>
      <c r="AI64" s="624">
        <f t="shared" si="93"/>
        <v>-88.933483675316495</v>
      </c>
      <c r="AJ64" s="625">
        <f t="shared" si="94"/>
        <v>-104.75495931441424</v>
      </c>
      <c r="AK64" s="4">
        <f t="shared" si="213"/>
        <v>0.84378936222398071</v>
      </c>
      <c r="AL64" s="5">
        <f t="shared" si="95"/>
        <v>-0.53635162251645441</v>
      </c>
      <c r="AM64" s="6">
        <f t="shared" si="96"/>
        <v>-1.8613146472720707E-2</v>
      </c>
      <c r="AN64" s="612">
        <f t="shared" si="97"/>
        <v>-88.012447647075362</v>
      </c>
      <c r="AO64" s="613">
        <f t="shared" si="466"/>
        <v>32.45754286836555</v>
      </c>
      <c r="AP64" s="624">
        <f t="shared" si="99"/>
        <v>-32.441930771947</v>
      </c>
      <c r="AQ64" s="625">
        <f t="shared" si="249"/>
        <v>2.119376069229971</v>
      </c>
      <c r="AS64" s="56">
        <f t="shared" si="411"/>
        <v>-162.30102854419982</v>
      </c>
      <c r="AT64" s="77">
        <f t="shared" si="250"/>
        <v>-2.506426856470434</v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5"/>
        <v>4.1580000000000004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6"/>
        <v/>
      </c>
      <c r="IK64" s="839" t="str">
        <f t="shared" si="387"/>
        <v/>
      </c>
      <c r="IL64" s="791" t="str">
        <f t="shared" si="228"/>
        <v/>
      </c>
      <c r="IM64" s="830"/>
      <c r="IN64" s="5" t="str">
        <f t="shared" si="229"/>
        <v/>
      </c>
      <c r="IO64" s="852"/>
      <c r="IP64" s="9" t="str">
        <f t="shared" si="230"/>
        <v/>
      </c>
      <c r="IQ64" s="5" t="str">
        <f t="shared" si="231"/>
        <v/>
      </c>
      <c r="IR64" s="5" t="str">
        <f t="shared" si="388"/>
        <v/>
      </c>
      <c r="IS64" s="5" t="str">
        <f t="shared" si="232"/>
        <v/>
      </c>
      <c r="IT64" s="791" t="str">
        <f t="shared" si="233"/>
        <v/>
      </c>
      <c r="IU64" s="9" t="str">
        <f t="shared" si="234"/>
        <v/>
      </c>
      <c r="IV64" s="5" t="str">
        <f t="shared" si="235"/>
        <v/>
      </c>
      <c r="IW64" s="5" t="str">
        <f t="shared" si="389"/>
        <v/>
      </c>
      <c r="IX64" s="5" t="str">
        <f t="shared" si="236"/>
        <v/>
      </c>
      <c r="IY64" s="833" t="str">
        <f t="shared" si="237"/>
        <v/>
      </c>
    </row>
    <row r="65" spans="1:259" ht="15" customHeight="1" x14ac:dyDescent="0.25">
      <c r="A65" s="84">
        <f t="shared" si="82"/>
        <v>0.02</v>
      </c>
      <c r="B65" s="770">
        <v>1.7853053317479661</v>
      </c>
      <c r="C65" s="771">
        <v>-5.6365372337960071</v>
      </c>
      <c r="D65" s="772">
        <v>-3.8779116957816737</v>
      </c>
      <c r="E65" s="773">
        <v>0.92437952081290509</v>
      </c>
      <c r="F65" s="771">
        <v>-0.38147411642427709</v>
      </c>
      <c r="G65" s="774">
        <v>1.4578093202322137E-7</v>
      </c>
      <c r="H65" s="773">
        <v>0.314</v>
      </c>
      <c r="I65" s="771">
        <v>0.52</v>
      </c>
      <c r="J65" s="601">
        <v>4.165</v>
      </c>
      <c r="K65" s="426" t="str">
        <f t="shared" si="225"/>
        <v>1613</v>
      </c>
      <c r="L65" s="327"/>
      <c r="M65" s="173">
        <f t="shared" si="242"/>
        <v>4.165</v>
      </c>
      <c r="N65" s="21">
        <f t="shared" si="243"/>
        <v>1.7853053317479661</v>
      </c>
      <c r="O65" s="5">
        <f t="shared" si="244"/>
        <v>-5.6365372337960071</v>
      </c>
      <c r="P65" s="10">
        <f t="shared" si="245"/>
        <v>-3.8779116957816737</v>
      </c>
      <c r="Q65" s="624">
        <f t="shared" si="116"/>
        <v>287.57497147370356</v>
      </c>
      <c r="R65" s="5">
        <f t="shared" si="83"/>
        <v>5.9125178321537817</v>
      </c>
      <c r="S65" s="6">
        <f t="shared" si="84"/>
        <v>-3.8779116957816737</v>
      </c>
      <c r="T65" s="4">
        <f t="shared" si="85"/>
        <v>-5.6361631967553594</v>
      </c>
      <c r="U65" s="5">
        <f t="shared" si="86"/>
        <v>-1.7864858060104662</v>
      </c>
      <c r="V65" s="8">
        <f t="shared" si="117"/>
        <v>-3.8779116957816737</v>
      </c>
      <c r="W65" s="624">
        <f t="shared" si="227"/>
        <v>197.58697147197097</v>
      </c>
      <c r="X65" s="5">
        <f t="shared" si="87"/>
        <v>5.9125178321537817</v>
      </c>
      <c r="Y65" s="7">
        <f t="shared" si="226"/>
        <v>-3.8779116957816737</v>
      </c>
      <c r="Z65" s="21">
        <f t="shared" si="246"/>
        <v>-0.92437952081290509</v>
      </c>
      <c r="AA65" s="5">
        <f t="shared" si="247"/>
        <v>0.38147411642427709</v>
      </c>
      <c r="AB65" s="5">
        <f t="shared" si="248"/>
        <v>-1.4578093202322137E-7</v>
      </c>
      <c r="AC65" s="8">
        <f t="shared" si="88"/>
        <v>1</v>
      </c>
      <c r="AD65" s="9">
        <f t="shared" si="118"/>
        <v>-0.92437952081290509</v>
      </c>
      <c r="AE65" s="5">
        <f t="shared" si="89"/>
        <v>0.38147411642427709</v>
      </c>
      <c r="AF65" s="10">
        <f t="shared" si="90"/>
        <v>-1.4578093202322137E-7</v>
      </c>
      <c r="AG65" s="622">
        <f t="shared" si="91"/>
        <v>89.99997810432798</v>
      </c>
      <c r="AH65" s="623">
        <f t="shared" si="92"/>
        <v>157.57497724898744</v>
      </c>
      <c r="AI65" s="624">
        <f t="shared" si="93"/>
        <v>-89.999991647367864</v>
      </c>
      <c r="AJ65" s="625">
        <f t="shared" si="94"/>
        <v>-112.4250227510111</v>
      </c>
      <c r="AK65" s="4">
        <f t="shared" si="213"/>
        <v>0.76604450791050738</v>
      </c>
      <c r="AL65" s="5">
        <f t="shared" si="95"/>
        <v>-0.64278753247097731</v>
      </c>
      <c r="AM65" s="6">
        <f t="shared" si="96"/>
        <v>-1.4578093202322137E-7</v>
      </c>
      <c r="AN65" s="612">
        <f t="shared" si="97"/>
        <v>-89.999987005609611</v>
      </c>
      <c r="AO65" s="613">
        <f t="shared" si="466"/>
        <v>39.999994224715365</v>
      </c>
      <c r="AP65" s="624">
        <f t="shared" si="99"/>
        <v>-39.999994224714662</v>
      </c>
      <c r="AQ65" s="625">
        <f t="shared" si="249"/>
        <v>2.0965986702941062</v>
      </c>
      <c r="AS65" s="56">
        <f t="shared" si="411"/>
        <v>-162.41302852802903</v>
      </c>
      <c r="AT65" s="77">
        <f t="shared" si="250"/>
        <v>-3.2643060324601092</v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5"/>
        <v>4.165</v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6"/>
        <v/>
      </c>
      <c r="IK65" s="839" t="str">
        <f t="shared" si="387"/>
        <v/>
      </c>
      <c r="IL65" s="791" t="str">
        <f t="shared" si="228"/>
        <v/>
      </c>
      <c r="IM65" s="830"/>
      <c r="IN65" s="5" t="str">
        <f t="shared" si="229"/>
        <v/>
      </c>
      <c r="IO65" s="852"/>
      <c r="IP65" s="9" t="str">
        <f t="shared" si="230"/>
        <v/>
      </c>
      <c r="IQ65" s="5" t="str">
        <f t="shared" si="231"/>
        <v/>
      </c>
      <c r="IR65" s="5" t="str">
        <f t="shared" si="388"/>
        <v/>
      </c>
      <c r="IS65" s="5" t="str">
        <f t="shared" si="232"/>
        <v/>
      </c>
      <c r="IT65" s="791" t="str">
        <f t="shared" si="233"/>
        <v/>
      </c>
      <c r="IU65" s="9" t="str">
        <f t="shared" si="234"/>
        <v/>
      </c>
      <c r="IV65" s="5" t="str">
        <f t="shared" si="235"/>
        <v/>
      </c>
      <c r="IW65" s="5" t="str">
        <f t="shared" si="389"/>
        <v/>
      </c>
      <c r="IX65" s="5" t="str">
        <f t="shared" si="236"/>
        <v/>
      </c>
      <c r="IY65" s="833" t="str">
        <f t="shared" si="237"/>
        <v/>
      </c>
    </row>
    <row r="66" spans="1:259" ht="15" customHeight="1" x14ac:dyDescent="0.25">
      <c r="A66" s="84">
        <f t="shared" si="82"/>
        <v>0.02</v>
      </c>
      <c r="B66" s="770">
        <v>0.36808131724288762</v>
      </c>
      <c r="C66" s="771">
        <v>-3.719241745330836</v>
      </c>
      <c r="D66" s="772">
        <v>-6.2700189103770343E-2</v>
      </c>
      <c r="E66" s="773">
        <v>0.91122249907189268</v>
      </c>
      <c r="F66" s="771">
        <v>-3.4680262771924646E-2</v>
      </c>
      <c r="G66" s="774">
        <v>0.41045199056557724</v>
      </c>
      <c r="H66" s="773">
        <v>0.26600000000000001</v>
      </c>
      <c r="I66" s="771">
        <v>0.52</v>
      </c>
      <c r="J66" s="601">
        <v>4.2229999999999999</v>
      </c>
      <c r="K66" s="426" t="str">
        <f t="shared" si="225"/>
        <v>1313</v>
      </c>
      <c r="L66" s="327"/>
      <c r="M66" s="173">
        <f t="shared" si="242"/>
        <v>4.2229999999999999</v>
      </c>
      <c r="N66" s="21">
        <f t="shared" si="243"/>
        <v>0.36808131724288762</v>
      </c>
      <c r="O66" s="5">
        <f t="shared" si="244"/>
        <v>-3.719241745330836</v>
      </c>
      <c r="P66" s="10">
        <f t="shared" si="245"/>
        <v>-6.2700189103770343E-2</v>
      </c>
      <c r="Q66" s="624">
        <f t="shared" si="116"/>
        <v>275.65197319517154</v>
      </c>
      <c r="R66" s="5">
        <f t="shared" si="83"/>
        <v>3.7374112720323973</v>
      </c>
      <c r="S66" s="6">
        <f t="shared" si="84"/>
        <v>-6.2700189103770343E-2</v>
      </c>
      <c r="T66" s="4">
        <f t="shared" si="85"/>
        <v>-3.7191645729996425</v>
      </c>
      <c r="U66" s="5">
        <f t="shared" si="86"/>
        <v>-0.36886026522140658</v>
      </c>
      <c r="V66" s="8">
        <f t="shared" si="117"/>
        <v>-6.2700189103770343E-2</v>
      </c>
      <c r="W66" s="624">
        <f t="shared" si="227"/>
        <v>185.66397319343895</v>
      </c>
      <c r="X66" s="5">
        <f t="shared" si="87"/>
        <v>3.7374112720323973</v>
      </c>
      <c r="Y66" s="7">
        <f t="shared" si="226"/>
        <v>-6.2700189103770343E-2</v>
      </c>
      <c r="Z66" s="21">
        <f t="shared" si="246"/>
        <v>-0.91122249907189268</v>
      </c>
      <c r="AA66" s="5">
        <f t="shared" si="247"/>
        <v>3.4680262771924646E-2</v>
      </c>
      <c r="AB66" s="5">
        <f t="shared" si="248"/>
        <v>-0.41045199056557724</v>
      </c>
      <c r="AC66" s="8">
        <f t="shared" si="88"/>
        <v>1</v>
      </c>
      <c r="AD66" s="9">
        <f t="shared" si="118"/>
        <v>-0.91122249907189268</v>
      </c>
      <c r="AE66" s="5">
        <f t="shared" si="89"/>
        <v>3.4680262771924646E-2</v>
      </c>
      <c r="AF66" s="10">
        <f t="shared" si="90"/>
        <v>-0.41045199056557724</v>
      </c>
      <c r="AG66" s="622">
        <f t="shared" si="91"/>
        <v>4.8296131631399621</v>
      </c>
      <c r="AH66" s="623">
        <f t="shared" si="92"/>
        <v>155.6748422923998</v>
      </c>
      <c r="AI66" s="624">
        <f t="shared" si="93"/>
        <v>-65.76676869699179</v>
      </c>
      <c r="AJ66" s="625">
        <f t="shared" si="94"/>
        <v>-92.179570987716204</v>
      </c>
      <c r="AK66" s="4">
        <f t="shared" si="213"/>
        <v>0.90337705841868232</v>
      </c>
      <c r="AL66" s="5">
        <f t="shared" si="95"/>
        <v>-0.12425398892415493</v>
      </c>
      <c r="AM66" s="6">
        <f t="shared" si="96"/>
        <v>-0.41045199056557724</v>
      </c>
      <c r="AN66" s="612">
        <f t="shared" si="97"/>
        <v>-16.84236453761444</v>
      </c>
      <c r="AO66" s="613">
        <f t="shared" si="466"/>
        <v>25.394420518919741</v>
      </c>
      <c r="AP66" s="624">
        <f t="shared" si="99"/>
        <v>-7.8315441828877503</v>
      </c>
      <c r="AQ66" s="625">
        <f t="shared" si="249"/>
        <v>3.3145603402061141</v>
      </c>
      <c r="AS66" s="56">
        <f t="shared" si="411"/>
        <v>-174.33602680656105</v>
      </c>
      <c r="AT66" s="77">
        <f t="shared" si="250"/>
        <v>0.59594791215891507</v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>
        <f>IFERROR(IF($IU66="","",IF($IU66&lt;(((Settings!$C$19/2)*-1)*$IE$8),"",1)),"")</f>
        <v>1</v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5"/>
        <v>4.2229999999999999</v>
      </c>
      <c r="IH66" s="797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4.1230000000000002</v>
      </c>
      <c r="II66" s="800" cm="1">
        <f t="array" ref="II66">IFERROR(IF($IH66&lt;1,$IH66+LARGE((IF($M$9:$M$150="",0,$M$9:$M$150)-MOD(IF($M$9:$M$150="",0,$M$9:$M$150),1)),1),$IH66),"")</f>
        <v>4.1230000000000002</v>
      </c>
      <c r="IJ66" s="839" t="str">
        <f t="shared" si="386"/>
        <v>1613</v>
      </c>
      <c r="IK66" s="839" t="str">
        <f t="shared" si="387"/>
        <v>1313</v>
      </c>
      <c r="IL66" s="791">
        <f t="shared" si="228"/>
        <v>15.311997789221039</v>
      </c>
      <c r="IM66" s="830">
        <v>3.6250115668495699E-3</v>
      </c>
      <c r="IN66" s="5">
        <f t="shared" si="229"/>
        <v>0.06</v>
      </c>
      <c r="IO66" s="852">
        <v>30</v>
      </c>
      <c r="IP66" s="9">
        <f t="shared" si="230"/>
        <v>-3.7309112524283381</v>
      </c>
      <c r="IQ66" s="5">
        <f t="shared" si="231"/>
        <v>-0.12070036403229802</v>
      </c>
      <c r="IR66" s="5">
        <f t="shared" si="388"/>
        <v>0.314</v>
      </c>
      <c r="IS66" s="5">
        <f t="shared" si="232"/>
        <v>0.30231991975424249</v>
      </c>
      <c r="IT66" s="791">
        <f t="shared" si="233"/>
        <v>23.343277667537258</v>
      </c>
      <c r="IU66" s="9">
        <f t="shared" si="234"/>
        <v>-3.7374112720323973</v>
      </c>
      <c r="IV66" s="5">
        <f t="shared" si="235"/>
        <v>-6.2700189103770343E-2</v>
      </c>
      <c r="IW66" s="5">
        <f t="shared" si="389"/>
        <v>0.26600000000000001</v>
      </c>
      <c r="IX66" s="5">
        <f t="shared" si="236"/>
        <v>0.24029829753936952</v>
      </c>
      <c r="IY66" s="833">
        <f t="shared" si="237"/>
        <v>16.84236453761444</v>
      </c>
    </row>
    <row r="67" spans="1:259" ht="15" customHeight="1" x14ac:dyDescent="0.25">
      <c r="A67" s="84">
        <f t="shared" si="82"/>
        <v>0.02</v>
      </c>
      <c r="B67" s="770">
        <v>0.54245535677362078</v>
      </c>
      <c r="C67" s="771">
        <v>-4.4694148715378326</v>
      </c>
      <c r="D67" s="772">
        <v>-0.33350100583903364</v>
      </c>
      <c r="E67" s="773">
        <v>0.92149199817084071</v>
      </c>
      <c r="F67" s="771">
        <v>-0.1215100680208039</v>
      </c>
      <c r="G67" s="774">
        <v>0.3689008005910141</v>
      </c>
      <c r="H67" s="773">
        <v>0.26600000000000001</v>
      </c>
      <c r="I67" s="771">
        <v>0.52</v>
      </c>
      <c r="J67" s="601">
        <v>4.2300000000000004</v>
      </c>
      <c r="K67" s="426" t="str">
        <f t="shared" si="225"/>
        <v>1313</v>
      </c>
      <c r="L67" s="327"/>
      <c r="M67" s="173">
        <f t="shared" si="242"/>
        <v>4.2300000000000004</v>
      </c>
      <c r="N67" s="21">
        <f t="shared" si="243"/>
        <v>0.54245535677362078</v>
      </c>
      <c r="O67" s="5">
        <f t="shared" si="244"/>
        <v>-4.4694148715378326</v>
      </c>
      <c r="P67" s="10">
        <f t="shared" si="245"/>
        <v>-0.33350100583903364</v>
      </c>
      <c r="Q67" s="624">
        <f t="shared" si="116"/>
        <v>276.92017301206613</v>
      </c>
      <c r="R67" s="5">
        <f>IF(M67="","",SQRT(N67^2+O67^2))</f>
        <v>4.5022135786761535</v>
      </c>
      <c r="S67" s="6">
        <f>IF(M67="","",P67)</f>
        <v>-0.33350100583903364</v>
      </c>
      <c r="T67" s="4">
        <f>IF(M67="","",X67*COS(RADIANS(W67)))</f>
        <v>-4.4693011619456087</v>
      </c>
      <c r="U67" s="5">
        <f>IF(M67="","",X67*SIN(RADIANS(W67)))</f>
        <v>-0.54339141679600311</v>
      </c>
      <c r="V67" s="8">
        <f>IF(M67="","",Y67)</f>
        <v>-0.33350100583903364</v>
      </c>
      <c r="W67" s="624">
        <f t="shared" si="227"/>
        <v>186.93217301033354</v>
      </c>
      <c r="X67" s="5">
        <f>IF(M67="","",R67)</f>
        <v>4.5022135786761535</v>
      </c>
      <c r="Y67" s="7">
        <f t="shared" si="226"/>
        <v>-0.33350100583903364</v>
      </c>
      <c r="Z67" s="21">
        <f t="shared" si="246"/>
        <v>-0.92149199817084071</v>
      </c>
      <c r="AA67" s="5">
        <f t="shared" si="247"/>
        <v>0.1215100680208039</v>
      </c>
      <c r="AB67" s="5">
        <f t="shared" si="248"/>
        <v>-0.3689008005910141</v>
      </c>
      <c r="AC67" s="8">
        <f>IF(M67="","",SQRT(Z67^2+AA67^2+AB67^2))</f>
        <v>1</v>
      </c>
      <c r="AD67" s="9">
        <f>IF(M67="","",Z67*(1/SQRT(Z67^2+AA67^2+AB67^2)))</f>
        <v>-0.92149199817084071</v>
      </c>
      <c r="AE67" s="5">
        <f>IF(M67="","",AA67*(1/SQRT(Z67^2+AA67^2+AB67^2)))</f>
        <v>0.1215100680208039</v>
      </c>
      <c r="AF67" s="10">
        <f>IF(M67="","",AB67*(1/SQRT(Z67^2+AA67^2+AB67^2)))</f>
        <v>-0.3689008005910141</v>
      </c>
      <c r="AG67" s="622">
        <f>IF(M67="","",DEGREES(ATAN2(-AF67,AE67)))</f>
        <v>18.231062537603826</v>
      </c>
      <c r="AH67" s="623">
        <f>IF(M67="","",DEGREES(ACOS(AD67)))</f>
        <v>157.14518580136956</v>
      </c>
      <c r="AI67" s="624">
        <f>IF(M67="","",DEGREES(-ACOS(-AF67)))</f>
        <v>-68.352157224980857</v>
      </c>
      <c r="AJ67" s="625">
        <f>IF(M67="","",DEGREES(ATAN2(-AE67,AD67)))</f>
        <v>-97.511816510420175</v>
      </c>
      <c r="AK67" s="4">
        <f>IF(M67="","",(COS(RADIANS((90-$Q$8)-W67))*AD67)+(-SIN(RADIANS((90-$Q$8)-W67))*AE67))</f>
        <v>0.90013860571219306</v>
      </c>
      <c r="AL67" s="5">
        <f>IF(M67="","",(SIN(RADIANS((90-$Q$8)-W67))*AD67)+(COS(RADIANS((90-$Q$8)-W67))*AE67))</f>
        <v>-0.23165208790299716</v>
      </c>
      <c r="AM67" s="6">
        <f>IF(M67="","",AF67)</f>
        <v>-0.3689008005910141</v>
      </c>
      <c r="AN67" s="612">
        <f>IF(M67="","",DEGREES(ATAN2(-AM67,AL67)))</f>
        <v>-32.126858870137895</v>
      </c>
      <c r="AO67" s="613">
        <f t="shared" si="466"/>
        <v>25.823707676300728</v>
      </c>
      <c r="AP67" s="624">
        <f>IF(M67="","",DEGREES(ATAN2(AK67,AL67)))</f>
        <v>-14.431989522486303</v>
      </c>
      <c r="AQ67" s="625">
        <f t="shared" si="249"/>
        <v>2.7524618694007175</v>
      </c>
      <c r="AS67" s="56">
        <f t="shared" si="411"/>
        <v>-173.06782698966646</v>
      </c>
      <c r="AT67" s="77">
        <f t="shared" si="250"/>
        <v>0.32035611833760547</v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>
        <f>IFERROR(IF($IU67="","",IF($IU67&lt;(((Settings!$C$19/2)*-1)*$IE$8),"",1)),"")</f>
        <v>1</v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5"/>
        <v>4.2300000000000004</v>
      </c>
      <c r="IH67" s="797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4.13</v>
      </c>
      <c r="II67" s="800" cm="1">
        <f t="array" ref="II67">IFERROR(IF($IH67&lt;1,$IH67+LARGE((IF($M$9:$M$150="",0,$M$9:$M$150)-MOD(IF($M$9:$M$150="",0,$M$9:$M$150),1)),1),$IH67),"")</f>
        <v>4.13</v>
      </c>
      <c r="IJ67" s="839" t="str">
        <f t="shared" si="386"/>
        <v>1613</v>
      </c>
      <c r="IK67" s="839" t="str">
        <f t="shared" si="387"/>
        <v>1313</v>
      </c>
      <c r="IL67" s="791">
        <f t="shared" si="228"/>
        <v>13.00479812233948</v>
      </c>
      <c r="IM67" s="830">
        <v>2.7639869833394298E-3</v>
      </c>
      <c r="IN67" s="5">
        <f t="shared" si="229"/>
        <v>0.04</v>
      </c>
      <c r="IO67" s="852">
        <v>20</v>
      </c>
      <c r="IP67" s="9">
        <f t="shared" si="230"/>
        <v>-4.4844135249911918</v>
      </c>
      <c r="IQ67" s="5">
        <f t="shared" si="231"/>
        <v>-0.38980117564034572</v>
      </c>
      <c r="IR67" s="5">
        <f t="shared" si="388"/>
        <v>0.314</v>
      </c>
      <c r="IS67" s="5">
        <f t="shared" si="232"/>
        <v>0.3012361543948836</v>
      </c>
      <c r="IT67" s="791">
        <f t="shared" si="233"/>
        <v>40.993981344047185</v>
      </c>
      <c r="IU67" s="9">
        <f t="shared" si="234"/>
        <v>-4.5022135786761535</v>
      </c>
      <c r="IV67" s="5">
        <f t="shared" si="235"/>
        <v>-0.33350100583903364</v>
      </c>
      <c r="IW67" s="5">
        <f t="shared" si="389"/>
        <v>0.26600000000000001</v>
      </c>
      <c r="IX67" s="5">
        <f t="shared" si="236"/>
        <v>0.23943686911944337</v>
      </c>
      <c r="IY67" s="833">
        <f t="shared" si="237"/>
        <v>32.126858870137895</v>
      </c>
    </row>
    <row r="68" spans="1:259" ht="15" customHeight="1" x14ac:dyDescent="0.25">
      <c r="A68" s="84">
        <f t="shared" si="82"/>
        <v>0.02</v>
      </c>
      <c r="B68" s="770">
        <v>0.6448393486978854</v>
      </c>
      <c r="C68" s="771">
        <v>-5.1022282967143111</v>
      </c>
      <c r="D68" s="772">
        <v>-0.83070250539875634</v>
      </c>
      <c r="E68" s="773">
        <v>0.92979196448683454</v>
      </c>
      <c r="F68" s="771">
        <v>-0.20479029108048052</v>
      </c>
      <c r="G68" s="774">
        <v>0.30585591289835323</v>
      </c>
      <c r="H68" s="773">
        <v>0.26600000000000001</v>
      </c>
      <c r="I68" s="771">
        <v>0.52</v>
      </c>
      <c r="J68" s="601">
        <v>4.2370000000000001</v>
      </c>
      <c r="K68" s="426" t="str">
        <f t="shared" si="225"/>
        <v>1313</v>
      </c>
      <c r="L68" s="327"/>
      <c r="M68" s="173">
        <f t="shared" si="242"/>
        <v>4.2370000000000001</v>
      </c>
      <c r="N68" s="21">
        <f t="shared" si="243"/>
        <v>0.6448393486978854</v>
      </c>
      <c r="O68" s="5">
        <f t="shared" si="244"/>
        <v>-5.1022282967143111</v>
      </c>
      <c r="P68" s="10">
        <f t="shared" si="245"/>
        <v>-0.83070250539875634</v>
      </c>
      <c r="Q68" s="624">
        <f t="shared" si="116"/>
        <v>277.20307297122042</v>
      </c>
      <c r="R68" s="5">
        <f>IF(M68="","",SQRT(N68^2+O68^2))</f>
        <v>5.1428155107315812</v>
      </c>
      <c r="S68" s="6">
        <f>IF(M68="","",P68)</f>
        <v>-0.83070250539875634</v>
      </c>
      <c r="T68" s="4">
        <f>IF(M68="","",X68*COS(RADIANS(W68)))</f>
        <v>-5.1020931299930679</v>
      </c>
      <c r="U68" s="5">
        <f>IF(M68="","",X68*SIN(RADIANS(W68)))</f>
        <v>-0.64590794258847295</v>
      </c>
      <c r="V68" s="8">
        <f>IF(M68="","",Y68)</f>
        <v>-0.83070250539875634</v>
      </c>
      <c r="W68" s="624">
        <f t="shared" si="227"/>
        <v>187.21507296948784</v>
      </c>
      <c r="X68" s="5">
        <f>IF(M68="","",R68)</f>
        <v>5.1428155107315812</v>
      </c>
      <c r="Y68" s="7">
        <f t="shared" si="226"/>
        <v>-0.83070250539875634</v>
      </c>
      <c r="Z68" s="21">
        <f t="shared" si="246"/>
        <v>-0.92979196448683454</v>
      </c>
      <c r="AA68" s="5">
        <f t="shared" si="247"/>
        <v>0.20479029108048052</v>
      </c>
      <c r="AB68" s="5">
        <f t="shared" si="248"/>
        <v>-0.30585591289835323</v>
      </c>
      <c r="AC68" s="8">
        <f>IF(M68="","",SQRT(Z68^2+AA68^2+AB68^2))</f>
        <v>1</v>
      </c>
      <c r="AD68" s="9">
        <f>IF(M68="","",Z68*(1/SQRT(Z68^2+AA68^2+AB68^2)))</f>
        <v>-0.92979196448683454</v>
      </c>
      <c r="AE68" s="5">
        <f>IF(M68="","",AA68*(1/SQRT(Z68^2+AA68^2+AB68^2)))</f>
        <v>0.20479029108048052</v>
      </c>
      <c r="AF68" s="10">
        <f>IF(M68="","",AB68*(1/SQRT(Z68^2+AA68^2+AB68^2)))</f>
        <v>-0.30585591289835323</v>
      </c>
      <c r="AG68" s="622">
        <f>IF(M68="","",DEGREES(ATAN2(-AF68,AE68)))</f>
        <v>33.804864033537065</v>
      </c>
      <c r="AH68" s="623">
        <f>IF(M68="","",DEGREES(ACOS(AD68)))</f>
        <v>158.40240925377606</v>
      </c>
      <c r="AI68" s="624">
        <f>IF(M68="","",DEGREES(-ACOS(-AF68)))</f>
        <v>-72.190334920695449</v>
      </c>
      <c r="AJ68" s="625">
        <f>IF(M68="","",DEGREES(ATAN2(-AE68,AD68)))</f>
        <v>-102.42129269872805</v>
      </c>
      <c r="AK68" s="4">
        <f>IF(M68="","",(COS(RADIANS((90-$Q$8)-W68))*AD68)+(-SIN(RADIANS((90-$Q$8)-W68))*AE68))</f>
        <v>0.89677609934062419</v>
      </c>
      <c r="AL68" s="5">
        <f>IF(M68="","",(SIN(RADIANS((90-$Q$8)-W68))*AD68)+(COS(RADIANS((90-$Q$8)-W68))*AE68))</f>
        <v>-0.31975738958862215</v>
      </c>
      <c r="AM68" s="6">
        <f>IF(M68="","",AF68)</f>
        <v>-0.30585591289835323</v>
      </c>
      <c r="AN68" s="612">
        <f>IF(M68="","",DEGREES(ATAN2(-AM68,AL68)))</f>
        <v>-46.272934715744817</v>
      </c>
      <c r="AO68" s="613">
        <f t="shared" si="466"/>
        <v>26.262516629337696</v>
      </c>
      <c r="AP68" s="624">
        <f>IF(M68="","",DEGREES(ATAN2(AK68,AL68)))</f>
        <v>-19.624365669948489</v>
      </c>
      <c r="AQ68" s="625">
        <f t="shared" si="249"/>
        <v>2.4100413158127716</v>
      </c>
      <c r="AS68" s="56">
        <f t="shared" si="411"/>
        <v>-172.78492703051216</v>
      </c>
      <c r="AT68" s="77">
        <f t="shared" si="250"/>
        <v>-0.17791411440114457</v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5"/>
        <v>4.2370000000000001</v>
      </c>
      <c r="IH68" s="797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4.1369999999999996</v>
      </c>
      <c r="II68" s="800" cm="1">
        <f t="array" ref="II68">IFERROR(IF($IH68&lt;1,$IH68+LARGE((IF($M$9:$M$150="",0,$M$9:$M$150)-MOD(IF($M$9:$M$150="",0,$M$9:$M$150),1)),1),$IH68),"")</f>
        <v>4.1369999999999996</v>
      </c>
      <c r="IJ68" s="839" t="str">
        <f t="shared" si="386"/>
        <v>1613</v>
      </c>
      <c r="IK68" s="839" t="str">
        <f t="shared" si="387"/>
        <v>1313</v>
      </c>
      <c r="IL68" s="791">
        <f t="shared" si="228"/>
        <v>11.730898306267818</v>
      </c>
      <c r="IM68" s="830">
        <v>2.0200762020487501E-3</v>
      </c>
      <c r="IN68" s="5">
        <f t="shared" si="229"/>
        <v>0.02</v>
      </c>
      <c r="IO68" s="852">
        <v>10</v>
      </c>
      <c r="IP68" s="9">
        <f t="shared" si="230"/>
        <v>-5.1144154250769205</v>
      </c>
      <c r="IQ68" s="5">
        <f t="shared" si="231"/>
        <v>-0.88310266343763211</v>
      </c>
      <c r="IR68" s="5">
        <f t="shared" si="388"/>
        <v>0.314</v>
      </c>
      <c r="IS68" s="5">
        <f t="shared" si="232"/>
        <v>0.30011087381912355</v>
      </c>
      <c r="IT68" s="791">
        <f t="shared" si="233"/>
        <v>56.650807847722277</v>
      </c>
      <c r="IU68" s="9">
        <f t="shared" si="234"/>
        <v>-5.1428155107315812</v>
      </c>
      <c r="IV68" s="5">
        <f t="shared" si="235"/>
        <v>-0.83070250539875634</v>
      </c>
      <c r="IW68" s="5">
        <f t="shared" si="389"/>
        <v>0.26600000000000001</v>
      </c>
      <c r="IX68" s="5">
        <f t="shared" si="236"/>
        <v>0.23854244242460604</v>
      </c>
      <c r="IY68" s="833">
        <f t="shared" si="237"/>
        <v>46.272934715744817</v>
      </c>
    </row>
    <row r="69" spans="1:259" ht="15" customHeight="1" x14ac:dyDescent="0.25">
      <c r="A69" s="84">
        <f t="shared" si="82"/>
        <v>0.02</v>
      </c>
      <c r="B69" s="770">
        <v>0.6859115578943501</v>
      </c>
      <c r="C69" s="771">
        <v>-5.5374977360625799</v>
      </c>
      <c r="D69" s="772">
        <v>-1.5104045553801393</v>
      </c>
      <c r="E69" s="773">
        <v>0.93463474518878031</v>
      </c>
      <c r="F69" s="771">
        <v>-0.27141448937001489</v>
      </c>
      <c r="G69" s="774">
        <v>0.2297652455135849</v>
      </c>
      <c r="H69" s="773">
        <v>0.26600000000000001</v>
      </c>
      <c r="I69" s="771">
        <v>0.52</v>
      </c>
      <c r="J69" s="601">
        <v>4.2439999999999998</v>
      </c>
      <c r="K69" s="426" t="str">
        <f t="shared" si="225"/>
        <v>1313</v>
      </c>
      <c r="L69" s="327"/>
      <c r="M69" s="173">
        <f t="shared" si="242"/>
        <v>4.2439999999999998</v>
      </c>
      <c r="N69" s="21">
        <f t="shared" si="243"/>
        <v>0.6859115578943501</v>
      </c>
      <c r="O69" s="5">
        <f t="shared" si="244"/>
        <v>-5.5374977360625799</v>
      </c>
      <c r="P69" s="10">
        <f t="shared" si="245"/>
        <v>-1.5104045553801393</v>
      </c>
      <c r="Q69" s="624">
        <f t="shared" si="116"/>
        <v>277.06107299172265</v>
      </c>
      <c r="R69" s="5">
        <f t="shared" si="83"/>
        <v>5.5798168287275569</v>
      </c>
      <c r="S69" s="6">
        <f t="shared" si="84"/>
        <v>-1.5104045553801393</v>
      </c>
      <c r="T69" s="4">
        <f t="shared" si="85"/>
        <v>-5.5373539576527389</v>
      </c>
      <c r="U69" s="5">
        <f t="shared" si="86"/>
        <v>-0.68707131348849149</v>
      </c>
      <c r="V69" s="8">
        <f t="shared" si="117"/>
        <v>-1.5104045553801393</v>
      </c>
      <c r="W69" s="624">
        <f t="shared" si="227"/>
        <v>187.07307298999007</v>
      </c>
      <c r="X69" s="5">
        <f t="shared" si="87"/>
        <v>5.5798168287275569</v>
      </c>
      <c r="Y69" s="7">
        <f t="shared" si="226"/>
        <v>-1.5104045553801393</v>
      </c>
      <c r="Z69" s="21">
        <f t="shared" si="246"/>
        <v>-0.93463474518878031</v>
      </c>
      <c r="AA69" s="5">
        <f t="shared" si="247"/>
        <v>0.27141448937001489</v>
      </c>
      <c r="AB69" s="5">
        <f t="shared" si="248"/>
        <v>-0.2297652455135849</v>
      </c>
      <c r="AC69" s="8">
        <f t="shared" si="88"/>
        <v>1</v>
      </c>
      <c r="AD69" s="9">
        <f t="shared" si="118"/>
        <v>-0.93463474518878031</v>
      </c>
      <c r="AE69" s="5">
        <f t="shared" si="89"/>
        <v>0.27141448937001489</v>
      </c>
      <c r="AF69" s="10">
        <f t="shared" si="90"/>
        <v>-0.2297652455135849</v>
      </c>
      <c r="AG69" s="622">
        <f t="shared" si="91"/>
        <v>49.750501760304914</v>
      </c>
      <c r="AH69" s="623">
        <f t="shared" si="92"/>
        <v>159.16921541148335</v>
      </c>
      <c r="AI69" s="624">
        <f t="shared" si="93"/>
        <v>-76.71674883187093</v>
      </c>
      <c r="AJ69" s="625">
        <f t="shared" si="94"/>
        <v>-106.19310264005472</v>
      </c>
      <c r="AK69" s="4">
        <f t="shared" si="213"/>
        <v>0.89418194242537652</v>
      </c>
      <c r="AL69" s="5">
        <f t="shared" si="95"/>
        <v>-0.38424807845253162</v>
      </c>
      <c r="AM69" s="6">
        <f t="shared" si="96"/>
        <v>-0.2297652455135849</v>
      </c>
      <c r="AN69" s="612">
        <f t="shared" si="97"/>
        <v>-59.122235436939022</v>
      </c>
      <c r="AO69" s="613">
        <f t="shared" si="466"/>
        <v>26.596454541567546</v>
      </c>
      <c r="AP69" s="624">
        <f t="shared" si="99"/>
        <v>-23.254175631777379</v>
      </c>
      <c r="AQ69" s="625">
        <f t="shared" si="249"/>
        <v>2.2214882993535796</v>
      </c>
      <c r="AS69" s="56">
        <f t="shared" si="411"/>
        <v>-172.92692701000993</v>
      </c>
      <c r="AT69" s="77">
        <f t="shared" si="250"/>
        <v>-0.85707972001553601</v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5"/>
        <v>4.2439999999999998</v>
      </c>
      <c r="IH69" s="797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4.1440000000000001</v>
      </c>
      <c r="II69" s="800" cm="1">
        <f t="array" ref="II69">IFERROR(IF($IH69&lt;1,$IH69+LARGE((IF($M$9:$M$150="",0,$M$9:$M$150)-MOD(IF($M$9:$M$150="",0,$M$9:$M$150),1)),1),$IH69),"")</f>
        <v>4.1440000000000001</v>
      </c>
      <c r="IJ69" s="839" t="str">
        <f t="shared" si="386"/>
        <v>1613</v>
      </c>
      <c r="IK69" s="839" t="str">
        <f t="shared" si="387"/>
        <v>1313</v>
      </c>
      <c r="IL69" s="791">
        <f t="shared" si="228"/>
        <v>11.157898388998831</v>
      </c>
      <c r="IM69" s="830">
        <v>1.47880351247904E-3</v>
      </c>
      <c r="IN69" s="5">
        <f t="shared" si="229"/>
        <v>0</v>
      </c>
      <c r="IO69" s="852">
        <v>0</v>
      </c>
      <c r="IP69" s="9">
        <f t="shared" si="230"/>
        <v>-5.5417167138176078</v>
      </c>
      <c r="IQ69" s="5">
        <f t="shared" si="231"/>
        <v>-1.5568046953229606</v>
      </c>
      <c r="IR69" s="5">
        <f t="shared" si="388"/>
        <v>0.314</v>
      </c>
      <c r="IS69" s="5">
        <f t="shared" si="232"/>
        <v>0.29924272546054059</v>
      </c>
      <c r="IT69" s="791">
        <f t="shared" si="233"/>
        <v>70.323027743291604</v>
      </c>
      <c r="IU69" s="9">
        <f t="shared" si="234"/>
        <v>-5.5798168287275569</v>
      </c>
      <c r="IV69" s="5">
        <f t="shared" si="235"/>
        <v>-1.5104045553801393</v>
      </c>
      <c r="IW69" s="5">
        <f t="shared" si="389"/>
        <v>0.26600000000000001</v>
      </c>
      <c r="IX69" s="5">
        <f t="shared" si="236"/>
        <v>0.23785239668515021</v>
      </c>
      <c r="IY69" s="833">
        <f t="shared" si="237"/>
        <v>59.122235436939022</v>
      </c>
    </row>
    <row r="70" spans="1:259" ht="15" customHeight="1" x14ac:dyDescent="0.25">
      <c r="A70" s="84">
        <f t="shared" si="82"/>
        <v>0.02</v>
      </c>
      <c r="B70" s="770">
        <v>0.67356414780548746</v>
      </c>
      <c r="C70" s="771">
        <v>-5.7595655749571897</v>
      </c>
      <c r="D70" s="772">
        <v>-2.2877068997240095</v>
      </c>
      <c r="E70" s="773">
        <v>0.92449925599220872</v>
      </c>
      <c r="F70" s="771">
        <v>-0.34857715177173426</v>
      </c>
      <c r="G70" s="774">
        <v>0.15425658797133454</v>
      </c>
      <c r="H70" s="773">
        <v>0.26600000000000001</v>
      </c>
      <c r="I70" s="771">
        <v>0.52</v>
      </c>
      <c r="J70" s="601">
        <v>4.2510000000000003</v>
      </c>
      <c r="K70" s="426" t="str">
        <f t="shared" si="225"/>
        <v>1313</v>
      </c>
      <c r="L70" s="327"/>
      <c r="M70" s="173">
        <f t="shared" si="242"/>
        <v>4.2510000000000003</v>
      </c>
      <c r="N70" s="21">
        <f t="shared" si="243"/>
        <v>0.67356414780548746</v>
      </c>
      <c r="O70" s="5">
        <f t="shared" si="244"/>
        <v>-5.7595655749571897</v>
      </c>
      <c r="P70" s="10">
        <f t="shared" si="245"/>
        <v>-2.2877068997240095</v>
      </c>
      <c r="Q70" s="624">
        <f t="shared" si="116"/>
        <v>276.67027304814718</v>
      </c>
      <c r="R70" s="5">
        <f t="shared" si="83"/>
        <v>5.7988174892335485</v>
      </c>
      <c r="S70" s="6">
        <f t="shared" si="84"/>
        <v>-2.2877068997240095</v>
      </c>
      <c r="T70" s="4">
        <f t="shared" si="85"/>
        <v>-5.7594243777119871</v>
      </c>
      <c r="U70" s="5">
        <f t="shared" si="86"/>
        <v>-0.67477041344280042</v>
      </c>
      <c r="V70" s="8">
        <f t="shared" si="117"/>
        <v>-2.2877068997240095</v>
      </c>
      <c r="W70" s="624">
        <f t="shared" si="227"/>
        <v>186.68227304641459</v>
      </c>
      <c r="X70" s="5">
        <f t="shared" si="87"/>
        <v>5.7988174892335485</v>
      </c>
      <c r="Y70" s="7">
        <f t="shared" si="226"/>
        <v>-2.2877068997240095</v>
      </c>
      <c r="Z70" s="21">
        <f t="shared" si="246"/>
        <v>-0.92449925599220872</v>
      </c>
      <c r="AA70" s="5">
        <f t="shared" si="247"/>
        <v>0.34857715177173426</v>
      </c>
      <c r="AB70" s="5">
        <f t="shared" si="248"/>
        <v>-0.15425658797133454</v>
      </c>
      <c r="AC70" s="8">
        <f t="shared" si="88"/>
        <v>1</v>
      </c>
      <c r="AD70" s="9">
        <f t="shared" si="118"/>
        <v>-0.92449925599220872</v>
      </c>
      <c r="AE70" s="5">
        <f t="shared" si="89"/>
        <v>0.34857715177173426</v>
      </c>
      <c r="AF70" s="10">
        <f t="shared" si="90"/>
        <v>-0.15425658797133454</v>
      </c>
      <c r="AG70" s="622">
        <f t="shared" si="91"/>
        <v>66.129070681199437</v>
      </c>
      <c r="AH70" s="623">
        <f t="shared" si="92"/>
        <v>157.59296780491317</v>
      </c>
      <c r="AI70" s="624">
        <f t="shared" si="93"/>
        <v>-81.126316650839499</v>
      </c>
      <c r="AJ70" s="625">
        <f t="shared" si="94"/>
        <v>-110.65866399450765</v>
      </c>
      <c r="AK70" s="4">
        <f t="shared" si="213"/>
        <v>0.87775223589273943</v>
      </c>
      <c r="AL70" s="5">
        <f t="shared" si="95"/>
        <v>-0.4536032599670542</v>
      </c>
      <c r="AM70" s="6">
        <f t="shared" si="96"/>
        <v>-0.15425658797133454</v>
      </c>
      <c r="AN70" s="612">
        <f t="shared" si="97"/>
        <v>-71.218402613072342</v>
      </c>
      <c r="AO70" s="613">
        <f t="shared" si="466"/>
        <v>28.627605573360917</v>
      </c>
      <c r="AP70" s="624">
        <f t="shared" si="99"/>
        <v>-27.328937042654829</v>
      </c>
      <c r="AQ70" s="625">
        <f t="shared" si="249"/>
        <v>2.1376699670649617</v>
      </c>
      <c r="AS70" s="56">
        <f t="shared" si="411"/>
        <v>-173.31772695358541</v>
      </c>
      <c r="AT70" s="77">
        <f t="shared" si="250"/>
        <v>-1.63290570901701</v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5"/>
        <v>4.2510000000000003</v>
      </c>
      <c r="IH70" s="797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4.1509999999999998</v>
      </c>
      <c r="II70" s="800" cm="1">
        <f t="array" ref="II70">IFERROR(IF($IH70&lt;1,$IH70+LARGE((IF($M$9:$M$150="",0,$M$9:$M$150)-MOD(IF($M$9:$M$150="",0,$M$9:$M$150),1)),1),$IH70),"")</f>
        <v>4.1509999999999998</v>
      </c>
      <c r="IJ70" s="839" t="str">
        <f t="shared" si="386"/>
        <v>1613</v>
      </c>
      <c r="IK70" s="839" t="str">
        <f t="shared" si="387"/>
        <v>1313</v>
      </c>
      <c r="IL70" s="791">
        <f t="shared" si="228"/>
        <v>11.188698384551856</v>
      </c>
      <c r="IM70" s="830">
        <v>1.0699155019845701E-3</v>
      </c>
      <c r="IN70" s="5">
        <f t="shared" si="229"/>
        <v>0</v>
      </c>
      <c r="IO70" s="852">
        <v>0</v>
      </c>
      <c r="IP70" s="9">
        <f t="shared" si="230"/>
        <v>-5.7503173429571062</v>
      </c>
      <c r="IQ70" s="5">
        <f t="shared" si="231"/>
        <v>-2.3254070134275531</v>
      </c>
      <c r="IR70" s="5">
        <f t="shared" si="388"/>
        <v>0.314</v>
      </c>
      <c r="IS70" s="5">
        <f t="shared" si="232"/>
        <v>0.29581283572040418</v>
      </c>
      <c r="IT70" s="791">
        <f t="shared" si="233"/>
        <v>81.02160368317935</v>
      </c>
      <c r="IU70" s="9">
        <f t="shared" si="234"/>
        <v>-5.7988174892335485</v>
      </c>
      <c r="IV70" s="5">
        <f t="shared" si="235"/>
        <v>-2.2877068997240095</v>
      </c>
      <c r="IW70" s="5">
        <f t="shared" si="389"/>
        <v>0.26600000000000001</v>
      </c>
      <c r="IX70" s="5">
        <f t="shared" si="236"/>
        <v>0.2334820947474687</v>
      </c>
      <c r="IY70" s="833">
        <f t="shared" si="237"/>
        <v>71.218402613072342</v>
      </c>
    </row>
    <row r="71" spans="1:259" ht="15" customHeight="1" x14ac:dyDescent="0.25">
      <c r="A71" s="84">
        <f t="shared" si="82"/>
        <v>0</v>
      </c>
      <c r="B71" s="770">
        <v>0.44307270128902027</v>
      </c>
      <c r="C71" s="771">
        <v>-5.8441460105311762</v>
      </c>
      <c r="D71" s="772">
        <v>-3.118309404821165</v>
      </c>
      <c r="E71" s="773">
        <v>7.051523160867508E-2</v>
      </c>
      <c r="F71" s="771">
        <v>-0.93009562327444029</v>
      </c>
      <c r="G71" s="774">
        <v>0.36048541395860312</v>
      </c>
      <c r="H71" s="773">
        <v>0.25700000000000001</v>
      </c>
      <c r="I71" s="771">
        <v>0.41499999999999992</v>
      </c>
      <c r="J71" s="601">
        <v>4.258</v>
      </c>
      <c r="K71" s="426" t="str">
        <f t="shared" si="225"/>
        <v>Knuckle</v>
      </c>
      <c r="L71" s="327"/>
      <c r="M71" s="173">
        <f t="shared" si="242"/>
        <v>4.258</v>
      </c>
      <c r="N71" s="21">
        <f t="shared" si="243"/>
        <v>0.44307270128902027</v>
      </c>
      <c r="O71" s="5">
        <f t="shared" si="244"/>
        <v>-5.8441460105311762</v>
      </c>
      <c r="P71" s="10">
        <f t="shared" si="245"/>
        <v>-3.118309404821165</v>
      </c>
      <c r="Q71" s="624">
        <f t="shared" si="116"/>
        <v>274.3355733852361</v>
      </c>
      <c r="R71" s="5">
        <f t="shared" si="83"/>
        <v>5.8609176765277136</v>
      </c>
      <c r="S71" s="6">
        <f t="shared" si="84"/>
        <v>-3.118309404821165</v>
      </c>
      <c r="T71" s="4">
        <f t="shared" si="85"/>
        <v>-5.8440530854392669</v>
      </c>
      <c r="U71" s="5">
        <f t="shared" si="86"/>
        <v>-0.4442966864638907</v>
      </c>
      <c r="V71" s="8">
        <f t="shared" si="117"/>
        <v>-3.118309404821165</v>
      </c>
      <c r="W71" s="624">
        <f t="shared" si="227"/>
        <v>184.34757338350352</v>
      </c>
      <c r="X71" s="5">
        <f t="shared" si="87"/>
        <v>5.8609176765277136</v>
      </c>
      <c r="Y71" s="7">
        <f t="shared" si="226"/>
        <v>-3.118309404821165</v>
      </c>
      <c r="Z71" s="21">
        <f t="shared" si="246"/>
        <v>-7.051523160867508E-2</v>
      </c>
      <c r="AA71" s="5">
        <f t="shared" si="247"/>
        <v>0.93009562327444029</v>
      </c>
      <c r="AB71" s="5">
        <f t="shared" si="248"/>
        <v>-0.36048541395860312</v>
      </c>
      <c r="AC71" s="8">
        <f t="shared" si="88"/>
        <v>1</v>
      </c>
      <c r="AD71" s="9">
        <f t="shared" si="118"/>
        <v>-7.051523160867508E-2</v>
      </c>
      <c r="AE71" s="5">
        <f t="shared" si="89"/>
        <v>0.93009562327444029</v>
      </c>
      <c r="AF71" s="10">
        <f t="shared" si="90"/>
        <v>-0.36048541395860312</v>
      </c>
      <c r="AG71" s="622">
        <f t="shared" si="91"/>
        <v>68.814721467310093</v>
      </c>
      <c r="AH71" s="623">
        <f t="shared" si="92"/>
        <v>94.043580944673238</v>
      </c>
      <c r="AI71" s="624">
        <f t="shared" si="93"/>
        <v>-68.869990056404347</v>
      </c>
      <c r="AJ71" s="625">
        <f t="shared" si="94"/>
        <v>-175.66441268371747</v>
      </c>
      <c r="AK71" s="4">
        <f t="shared" si="213"/>
        <v>2.2679489732058133E-7</v>
      </c>
      <c r="AL71" s="5">
        <f t="shared" si="95"/>
        <v>-0.93276485049718894</v>
      </c>
      <c r="AM71" s="6">
        <f t="shared" si="96"/>
        <v>-0.36048541395860312</v>
      </c>
      <c r="AN71" s="612">
        <f t="shared" si="97"/>
        <v>-68.869990056403765</v>
      </c>
      <c r="AO71" s="613">
        <f t="shared" si="466"/>
        <v>0</v>
      </c>
      <c r="AP71" s="624">
        <f t="shared" si="99"/>
        <v>-89.999986068953575</v>
      </c>
      <c r="AQ71" s="625">
        <f t="shared" si="249"/>
        <v>2.1150406614758412</v>
      </c>
      <c r="AS71" s="56">
        <f t="shared" si="411"/>
        <v>-175.65242661649648</v>
      </c>
      <c r="AT71" s="77">
        <f t="shared" si="250"/>
        <v>-2.4546882376098349</v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>
        <f>IFERROR(IF((((($IW71*COS(RADIANS(180-$IY71)))*COS(RADIANS($IY71)))-(($IX71*SIN(RADIANS(180-$IY71)))*SIN(RADIANS($IY71))))+$IU71)&lt;(((Settings!$C$19/2)*-1)+$IF$8),1,""),"")</f>
        <v>1</v>
      </c>
      <c r="IG71" s="836">
        <f t="shared" si="385"/>
        <v>4.258</v>
      </c>
      <c r="IH71" s="797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4.1580000000000004</v>
      </c>
      <c r="II71" s="800" cm="1">
        <f t="array" ref="II71">IFERROR(IF($IH71&lt;1,$IH71+LARGE((IF($M$9:$M$150="",0,$M$9:$M$150)-MOD(IF($M$9:$M$150="",0,$M$9:$M$150),1)),1),$IH71),"")</f>
        <v>4.1580000000000004</v>
      </c>
      <c r="IJ71" s="839" t="str">
        <f t="shared" si="386"/>
        <v>1613</v>
      </c>
      <c r="IK71" s="839" t="str">
        <f t="shared" si="387"/>
        <v>Knuckle</v>
      </c>
      <c r="IL71" s="791">
        <f t="shared" si="228"/>
        <v>13.351398072296661</v>
      </c>
      <c r="IM71" s="830">
        <v>3.0900902480455198E-4</v>
      </c>
      <c r="IN71" s="5">
        <f t="shared" si="229"/>
        <v>0</v>
      </c>
      <c r="IO71" s="852">
        <v>0</v>
      </c>
      <c r="IP71" s="9">
        <f t="shared" si="230"/>
        <v>-5.8489176403356034</v>
      </c>
      <c r="IQ71" s="5">
        <f t="shared" si="231"/>
        <v>-3.1196094087419768</v>
      </c>
      <c r="IR71" s="5">
        <f t="shared" si="388"/>
        <v>0.314</v>
      </c>
      <c r="IS71" s="5">
        <f t="shared" si="232"/>
        <v>0.26494985973832996</v>
      </c>
      <c r="IT71" s="791">
        <f t="shared" si="233"/>
        <v>88.012447647075362</v>
      </c>
      <c r="IU71" s="9">
        <f t="shared" si="234"/>
        <v>-5.8609176765277136</v>
      </c>
      <c r="IV71" s="5">
        <f t="shared" si="235"/>
        <v>-3.118309404821165</v>
      </c>
      <c r="IW71" s="5">
        <f t="shared" si="389"/>
        <v>0.25700000000000001</v>
      </c>
      <c r="IX71" s="5">
        <f t="shared" si="236"/>
        <v>0.25700000000000001</v>
      </c>
      <c r="IY71" s="833">
        <f t="shared" si="237"/>
        <v>68.869990056403765</v>
      </c>
    </row>
    <row r="72" spans="1:259" ht="15" customHeight="1" x14ac:dyDescent="0.25">
      <c r="A72" s="84">
        <f t="shared" si="82"/>
        <v>0.02</v>
      </c>
      <c r="B72" s="770">
        <v>-0.30936798415795325</v>
      </c>
      <c r="C72" s="771">
        <v>-0.49509185635425584</v>
      </c>
      <c r="D72" s="772">
        <v>-0.71300215041448545</v>
      </c>
      <c r="E72" s="773">
        <v>0.83422226667379684</v>
      </c>
      <c r="F72" s="771">
        <v>-0.4020316360813766</v>
      </c>
      <c r="G72" s="774">
        <v>0.37741724043207714</v>
      </c>
      <c r="H72" s="773">
        <v>0.314</v>
      </c>
      <c r="I72" s="771">
        <v>0.52</v>
      </c>
      <c r="J72" s="601">
        <v>5.1020000000000003</v>
      </c>
      <c r="K72" s="426" t="str">
        <f t="shared" si="225"/>
        <v>1613</v>
      </c>
      <c r="L72" s="327"/>
      <c r="M72" s="173">
        <f t="shared" si="242"/>
        <v>5.1020000000000003</v>
      </c>
      <c r="N72" s="21">
        <f t="shared" si="243"/>
        <v>-0.30936798415795325</v>
      </c>
      <c r="O72" s="5">
        <f t="shared" si="244"/>
        <v>-0.49509185635425584</v>
      </c>
      <c r="P72" s="10">
        <f t="shared" si="245"/>
        <v>-0.71300215041448545</v>
      </c>
      <c r="Q72" s="624">
        <f t="shared" si="116"/>
        <v>237.99997863144696</v>
      </c>
      <c r="R72" s="5">
        <f t="shared" si="83"/>
        <v>0.58380176074611034</v>
      </c>
      <c r="S72" s="6">
        <f t="shared" si="84"/>
        <v>-0.71300215041448545</v>
      </c>
      <c r="T72" s="4">
        <f t="shared" si="85"/>
        <v>-0.49515663936493642</v>
      </c>
      <c r="U72" s="5">
        <f t="shared" si="86"/>
        <v>0.30926428559256719</v>
      </c>
      <c r="V72" s="8">
        <f t="shared" si="117"/>
        <v>-0.71300215041448545</v>
      </c>
      <c r="W72" s="624">
        <f t="shared" si="227"/>
        <v>148.01197862971438</v>
      </c>
      <c r="X72" s="5">
        <f t="shared" si="87"/>
        <v>0.58380176074611034</v>
      </c>
      <c r="Y72" s="7">
        <f t="shared" si="226"/>
        <v>-0.71300215041448545</v>
      </c>
      <c r="Z72" s="21">
        <f t="shared" si="246"/>
        <v>-0.83422226667379684</v>
      </c>
      <c r="AA72" s="5">
        <f t="shared" si="247"/>
        <v>0.4020316360813766</v>
      </c>
      <c r="AB72" s="5">
        <f t="shared" si="248"/>
        <v>-0.37741724043207714</v>
      </c>
      <c r="AC72" s="8">
        <f t="shared" si="88"/>
        <v>1</v>
      </c>
      <c r="AD72" s="9">
        <f t="shared" si="118"/>
        <v>-0.83422226667379684</v>
      </c>
      <c r="AE72" s="5">
        <f t="shared" si="89"/>
        <v>0.4020316360813766</v>
      </c>
      <c r="AF72" s="10">
        <f t="shared" si="90"/>
        <v>-0.37741724043207714</v>
      </c>
      <c r="AG72" s="622">
        <f t="shared" si="91"/>
        <v>46.808755522327054</v>
      </c>
      <c r="AH72" s="623">
        <f t="shared" si="92"/>
        <v>146.53494192726436</v>
      </c>
      <c r="AI72" s="624">
        <f t="shared" si="93"/>
        <v>-67.82620793537923</v>
      </c>
      <c r="AJ72" s="625">
        <f t="shared" si="94"/>
        <v>-115.73052773286919</v>
      </c>
      <c r="AK72" s="4">
        <f t="shared" si="213"/>
        <v>0.92050487609870546</v>
      </c>
      <c r="AL72" s="5">
        <f t="shared" si="95"/>
        <v>0.10112862949305018</v>
      </c>
      <c r="AM72" s="6">
        <f t="shared" si="96"/>
        <v>-0.37741724043207714</v>
      </c>
      <c r="AN72" s="612">
        <f t="shared" si="97"/>
        <v>14.999997834268141</v>
      </c>
      <c r="AO72" s="613">
        <f t="shared" si="466"/>
        <v>22.999996679211336</v>
      </c>
      <c r="AP72" s="624">
        <f t="shared" si="99"/>
        <v>6.2694936356838458</v>
      </c>
      <c r="AQ72" s="625">
        <f t="shared" si="249"/>
        <v>20.34279851392769</v>
      </c>
      <c r="AS72" s="56">
        <f t="shared" si="411"/>
        <v>-211.98802137028562</v>
      </c>
      <c r="AT72" s="77">
        <f t="shared" si="250"/>
        <v>8.7886819200048261E-2</v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5"/>
        <v>5.1020000000000003</v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6"/>
        <v/>
      </c>
      <c r="IK72" s="839" t="str">
        <f t="shared" si="387"/>
        <v/>
      </c>
      <c r="IL72" s="791" t="str">
        <f t="shared" si="228"/>
        <v/>
      </c>
      <c r="IM72" s="830"/>
      <c r="IN72" s="5" t="str">
        <f t="shared" si="229"/>
        <v/>
      </c>
      <c r="IO72" s="852"/>
      <c r="IP72" s="9" t="str">
        <f t="shared" si="230"/>
        <v/>
      </c>
      <c r="IQ72" s="5" t="str">
        <f t="shared" si="231"/>
        <v/>
      </c>
      <c r="IR72" s="5" t="str">
        <f t="shared" si="388"/>
        <v/>
      </c>
      <c r="IS72" s="5" t="str">
        <f t="shared" si="232"/>
        <v/>
      </c>
      <c r="IT72" s="791" t="str">
        <f t="shared" si="233"/>
        <v/>
      </c>
      <c r="IU72" s="9" t="str">
        <f t="shared" si="234"/>
        <v/>
      </c>
      <c r="IV72" s="5" t="str">
        <f t="shared" si="235"/>
        <v/>
      </c>
      <c r="IW72" s="5" t="str">
        <f t="shared" si="389"/>
        <v/>
      </c>
      <c r="IX72" s="5" t="str">
        <f t="shared" si="236"/>
        <v/>
      </c>
      <c r="IY72" s="833" t="str">
        <f t="shared" si="237"/>
        <v/>
      </c>
    </row>
    <row r="73" spans="1:259" ht="15" customHeight="1" x14ac:dyDescent="0.25">
      <c r="A73" s="84">
        <f t="shared" si="82"/>
        <v>0.02</v>
      </c>
      <c r="B73" s="770">
        <v>-0.68677784766822181</v>
      </c>
      <c r="C73" s="771">
        <v>-1.0990733912900228</v>
      </c>
      <c r="D73" s="772">
        <v>-0.52220157495995001</v>
      </c>
      <c r="E73" s="773">
        <v>0.83767484564856731</v>
      </c>
      <c r="F73" s="771">
        <v>-0.40911015710550674</v>
      </c>
      <c r="G73" s="774">
        <v>0.36184213729298681</v>
      </c>
      <c r="H73" s="773">
        <v>0.314</v>
      </c>
      <c r="I73" s="771">
        <v>0.52</v>
      </c>
      <c r="J73" s="601">
        <v>5.1050000000000004</v>
      </c>
      <c r="K73" s="426" t="str">
        <f t="shared" si="225"/>
        <v>1613</v>
      </c>
      <c r="L73" s="327"/>
      <c r="M73" s="173">
        <f t="shared" ref="M73:M104" si="469">IF(J73="","",VALUE(J73))</f>
        <v>5.1050000000000004</v>
      </c>
      <c r="N73" s="21">
        <f t="shared" ref="N73:N104" si="470">IF(M73="","",B73)</f>
        <v>-0.68677784766822181</v>
      </c>
      <c r="O73" s="5">
        <f t="shared" ref="O73:O104" si="471">IF(M73="","",C73)</f>
        <v>-1.0990733912900228</v>
      </c>
      <c r="P73" s="10">
        <f t="shared" ref="P73:P104" si="472">IF(M73="","",D73)</f>
        <v>-0.52220157495995001</v>
      </c>
      <c r="Q73" s="624">
        <f t="shared" si="116"/>
        <v>237.99997863144694</v>
      </c>
      <c r="R73" s="5">
        <f>IF(M73="","",SQRT(N73^2+O73^2))</f>
        <v>1.2960039087477888</v>
      </c>
      <c r="S73" s="6">
        <f>IF(M73="","",P73)</f>
        <v>-0.52220157495995001</v>
      </c>
      <c r="T73" s="4">
        <f>IF(M73="","",X73*COS(RADIANS(W73)))</f>
        <v>-1.0992172055788927</v>
      </c>
      <c r="U73" s="5">
        <f>IF(M73="","",X73*SIN(RADIANS(W73)))</f>
        <v>0.68654764324763162</v>
      </c>
      <c r="V73" s="8">
        <f>IF(M73="","",Y73)</f>
        <v>-0.52220157495995001</v>
      </c>
      <c r="W73" s="624">
        <f t="shared" si="227"/>
        <v>148.01197862971435</v>
      </c>
      <c r="X73" s="5">
        <f>IF(M73="","",R73)</f>
        <v>1.2960039087477888</v>
      </c>
      <c r="Y73" s="7">
        <f t="shared" si="226"/>
        <v>-0.52220157495995001</v>
      </c>
      <c r="Z73" s="21">
        <f t="shared" ref="Z73:Z104" si="473">IF(M73="","",-E73)</f>
        <v>-0.83767484564856731</v>
      </c>
      <c r="AA73" s="5">
        <f t="shared" ref="AA73:AA104" si="474">IF(M73="","",-F73)</f>
        <v>0.40911015710550674</v>
      </c>
      <c r="AB73" s="5">
        <f t="shared" ref="AB73:AB104" si="475">IF(M73="","",-G73)</f>
        <v>-0.36184213729298681</v>
      </c>
      <c r="AC73" s="8">
        <f>IF(M73="","",SQRT(Z73^2+AA73^2+AB73^2))</f>
        <v>1</v>
      </c>
      <c r="AD73" s="9">
        <f>IF(M73="","",Z73*(1/SQRT(Z73^2+AA73^2+AB73^2)))</f>
        <v>-0.83767484564856731</v>
      </c>
      <c r="AE73" s="5">
        <f>IF(M73="","",AA73*(1/SQRT(Z73^2+AA73^2+AB73^2)))</f>
        <v>0.40911015710550674</v>
      </c>
      <c r="AF73" s="10">
        <f>IF(M73="","",AB73*(1/SQRT(Z73^2+AA73^2+AB73^2)))</f>
        <v>-0.36184213729298681</v>
      </c>
      <c r="AG73" s="622">
        <f>IF(M73="","",DEGREES(ATAN2(-AF73,AE73)))</f>
        <v>48.508481897544115</v>
      </c>
      <c r="AH73" s="623">
        <f>IF(M73="","",DEGREES(ACOS(AD73)))</f>
        <v>146.8953974406765</v>
      </c>
      <c r="AI73" s="624">
        <f>IF(M73="","",DEGREES(-ACOS(-AF73)))</f>
        <v>-68.786628843697031</v>
      </c>
      <c r="AJ73" s="625">
        <f>IF(M73="","",DEGREES(ATAN2(-AE73,AD73)))</f>
        <v>-116.03031783537047</v>
      </c>
      <c r="AK73" s="4">
        <f>IF(M73="","",(COS(RADIANS((90-$Q$8)-W73))*AD73)+(-SIN(RADIANS((90-$Q$8)-W73))*AE73))</f>
        <v>0.9271838753345083</v>
      </c>
      <c r="AL73" s="5">
        <f>IF(M73="","",(SIN(RADIANS((90-$Q$8)-W73))*AD73)+(COS(RADIANS((90-$Q$8)-W73))*AE73))</f>
        <v>9.6955293815894461E-2</v>
      </c>
      <c r="AM73" s="6">
        <f>IF(M73="","",AF73)</f>
        <v>-0.36184213729298681</v>
      </c>
      <c r="AN73" s="612">
        <f>IF(M73="","",DEGREES(ATAN2(-AM73,AL73)))</f>
        <v>14.999997834268246</v>
      </c>
      <c r="AO73" s="613">
        <f t="shared" si="466"/>
        <v>21.999996823593442</v>
      </c>
      <c r="AP73" s="624">
        <f>IF(M73="","",DEGREES(ATAN2(AK73,AL73)))</f>
        <v>5.9697035331826145</v>
      </c>
      <c r="AQ73" s="625">
        <f t="shared" ref="AQ73:AQ104" si="476">IF(M73="","",DEGREES(ATAN(($AS$5*SIN(RADIANS(90)))/(($X73*2*PI())-($AS$5*COS(RADIANS(90)))))))</f>
        <v>9.4816808013660019</v>
      </c>
      <c r="AS73" s="56">
        <f t="shared" si="411"/>
        <v>-211.98802137028565</v>
      </c>
      <c r="AT73" s="77">
        <f t="shared" ref="AT73:AT104" si="477">IF(M73="","",Y73+(((AS73-$AS$9)*$AS$6)*-1))</f>
        <v>0.27868739465458381</v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2">M73</f>
        <v>5.1050000000000004</v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3">IF(ISNUMBER($II73),INDEX($K$9:$K$150,MATCH($II73,$M$9:$M$150,0)),"")</f>
        <v/>
      </c>
      <c r="IK73" s="839" t="str">
        <f t="shared" ref="IK73:IK104" si="524">IF(ISNUMBER($II73),INDEX($K$9:$K$150,MATCH($IG73,$M$9:$M$150,0)),"")</f>
        <v/>
      </c>
      <c r="IL73" s="791" t="str">
        <f t="shared" si="228"/>
        <v/>
      </c>
      <c r="IM73" s="830"/>
      <c r="IN73" s="5" t="str">
        <f t="shared" si="229"/>
        <v/>
      </c>
      <c r="IO73" s="852"/>
      <c r="IP73" s="9" t="str">
        <f t="shared" si="230"/>
        <v/>
      </c>
      <c r="IQ73" s="5" t="str">
        <f t="shared" si="231"/>
        <v/>
      </c>
      <c r="IR73" s="5" t="str">
        <f t="shared" ref="IR73:IR104" si="525">IF(ISNUMBER($II73),INDEX($H$9:$H$150,MATCH($II73,$M$9:$M$150,0)),"")</f>
        <v/>
      </c>
      <c r="IS73" s="5" t="str">
        <f t="shared" si="232"/>
        <v/>
      </c>
      <c r="IT73" s="791" t="str">
        <f t="shared" si="233"/>
        <v/>
      </c>
      <c r="IU73" s="9" t="str">
        <f t="shared" si="234"/>
        <v/>
      </c>
      <c r="IV73" s="5" t="str">
        <f t="shared" si="235"/>
        <v/>
      </c>
      <c r="IW73" s="5" t="str">
        <f t="shared" ref="IW73:IW104" si="526">IF(ISNUMBER($II73),$H73,"")</f>
        <v/>
      </c>
      <c r="IX73" s="5" t="str">
        <f t="shared" si="236"/>
        <v/>
      </c>
      <c r="IY73" s="833" t="str">
        <f t="shared" si="237"/>
        <v/>
      </c>
    </row>
    <row r="74" spans="1:259" ht="15" customHeight="1" x14ac:dyDescent="0.25">
      <c r="A74" s="84">
        <f t="shared" ref="A74:A137" si="527">IF(ISNUMBER(VALUE($K74)),$A$7,0)</f>
        <v>0.02</v>
      </c>
      <c r="B74" s="770">
        <v>-1.0642407032963661</v>
      </c>
      <c r="C74" s="771">
        <v>-1.7031397312714143</v>
      </c>
      <c r="D74" s="772">
        <v>-0.33130099920381367</v>
      </c>
      <c r="E74" s="773">
        <v>0.8376748456485672</v>
      </c>
      <c r="F74" s="771">
        <v>-0.40911015710550674</v>
      </c>
      <c r="G74" s="774">
        <v>0.36184213729298681</v>
      </c>
      <c r="H74" s="773">
        <v>0.314</v>
      </c>
      <c r="I74" s="771">
        <v>0.52</v>
      </c>
      <c r="J74" s="601">
        <v>5.1079999999999997</v>
      </c>
      <c r="K74" s="426" t="str">
        <f t="shared" si="225"/>
        <v>1613</v>
      </c>
      <c r="L74" s="327"/>
      <c r="M74" s="173">
        <f t="shared" si="469"/>
        <v>5.1079999999999997</v>
      </c>
      <c r="N74" s="21">
        <f t="shared" si="470"/>
        <v>-1.0642407032963661</v>
      </c>
      <c r="O74" s="5">
        <f t="shared" si="471"/>
        <v>-1.7031397312714143</v>
      </c>
      <c r="P74" s="10">
        <f t="shared" si="472"/>
        <v>-0.33130099920381367</v>
      </c>
      <c r="Q74" s="624">
        <f t="shared" ref="Q74:Q129" si="528">IF(M74="","",IF(DEGREES(ATAN2(N74,O74))&lt;0,DEGREES(ATAN2(N74,O74))+360,IF(DEGREES(ATAN2(N74,O74))&gt;360,DEGREES(ATAN2(N74,O74))-360,DEGREES(ATAN2(N74,O74)))))</f>
        <v>237.99997863144694</v>
      </c>
      <c r="R74" s="5">
        <f>IF(M74="","",SQRT(N74^2+O74^2))</f>
        <v>2.0083060570510685</v>
      </c>
      <c r="S74" s="6">
        <f>IF(M74="","",P74)</f>
        <v>-0.33130099920381367</v>
      </c>
      <c r="T74" s="4">
        <f>IF(M74="","",X74*COS(RADIANS(W74)))</f>
        <v>-1.703362587935255</v>
      </c>
      <c r="U74" s="5">
        <f>IF(M74="","",X74*SIN(RADIANS(W74)))</f>
        <v>1.063883975257885</v>
      </c>
      <c r="V74" s="8">
        <f>IF(M74="","",Y74)</f>
        <v>-0.33130099920381367</v>
      </c>
      <c r="W74" s="624">
        <f t="shared" si="227"/>
        <v>148.01197862971435</v>
      </c>
      <c r="X74" s="5">
        <f>IF(M74="","",R74)</f>
        <v>2.0083060570510685</v>
      </c>
      <c r="Y74" s="7">
        <f t="shared" si="226"/>
        <v>-0.33130099920381367</v>
      </c>
      <c r="Z74" s="21">
        <f t="shared" si="473"/>
        <v>-0.8376748456485672</v>
      </c>
      <c r="AA74" s="5">
        <f t="shared" si="474"/>
        <v>0.40911015710550674</v>
      </c>
      <c r="AB74" s="5">
        <f t="shared" si="475"/>
        <v>-0.36184213729298681</v>
      </c>
      <c r="AC74" s="8">
        <f>IF(M74="","",SQRT(Z74^2+AA74^2+AB74^2))</f>
        <v>1</v>
      </c>
      <c r="AD74" s="9">
        <f>IF(M74="","",Z74*(1/SQRT(Z74^2+AA74^2+AB74^2)))</f>
        <v>-0.8376748456485672</v>
      </c>
      <c r="AE74" s="5">
        <f>IF(M74="","",AA74*(1/SQRT(Z74^2+AA74^2+AB74^2)))</f>
        <v>0.40911015710550674</v>
      </c>
      <c r="AF74" s="10">
        <f>IF(M74="","",AB74*(1/SQRT(Z74^2+AA74^2+AB74^2)))</f>
        <v>-0.36184213729298681</v>
      </c>
      <c r="AG74" s="622">
        <f>IF(M74="","",DEGREES(ATAN2(-AF74,AE74)))</f>
        <v>48.508481897544115</v>
      </c>
      <c r="AH74" s="623">
        <f>IF(M74="","",DEGREES(ACOS(AD74)))</f>
        <v>146.8953974406765</v>
      </c>
      <c r="AI74" s="624">
        <f>IF(M74="","",DEGREES(-ACOS(-AF74)))</f>
        <v>-68.786628843697031</v>
      </c>
      <c r="AJ74" s="625">
        <f>IF(M74="","",DEGREES(ATAN2(-AE74,AD74)))</f>
        <v>-116.03031783537047</v>
      </c>
      <c r="AK74" s="4">
        <f>IF(M74="","",(COS(RADIANS((90-$Q$8)-W74))*AD74)+(-SIN(RADIANS((90-$Q$8)-W74))*AE74))</f>
        <v>0.9271838753345083</v>
      </c>
      <c r="AL74" s="5">
        <f>IF(M74="","",(SIN(RADIANS((90-$Q$8)-W74))*AD74)+(COS(RADIANS((90-$Q$8)-W74))*AE74))</f>
        <v>9.6955293815894406E-2</v>
      </c>
      <c r="AM74" s="6">
        <f>IF(M74="","",AF74)</f>
        <v>-0.36184213729298681</v>
      </c>
      <c r="AN74" s="612">
        <f>IF(M74="","",DEGREES(ATAN2(-AM74,AL74)))</f>
        <v>14.999997834268235</v>
      </c>
      <c r="AO74" s="613">
        <f t="shared" si="466"/>
        <v>21.999996823593442</v>
      </c>
      <c r="AP74" s="624">
        <f>IF(M74="","",DEGREES(ATAN2(AK74,AL74)))</f>
        <v>5.9697035331826118</v>
      </c>
      <c r="AQ74" s="625">
        <f t="shared" si="476"/>
        <v>6.151465382063865</v>
      </c>
      <c r="AS74" s="56">
        <f t="shared" si="411"/>
        <v>-211.98802137028565</v>
      </c>
      <c r="AT74" s="77">
        <f t="shared" si="477"/>
        <v>0.46958797041072015</v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2"/>
        <v>5.1079999999999997</v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3"/>
        <v/>
      </c>
      <c r="IK74" s="839" t="str">
        <f t="shared" si="524"/>
        <v/>
      </c>
      <c r="IL74" s="791" t="str">
        <f t="shared" si="228"/>
        <v/>
      </c>
      <c r="IM74" s="830"/>
      <c r="IN74" s="5" t="str">
        <f t="shared" si="229"/>
        <v/>
      </c>
      <c r="IO74" s="852"/>
      <c r="IP74" s="9" t="str">
        <f t="shared" si="230"/>
        <v/>
      </c>
      <c r="IQ74" s="5" t="str">
        <f t="shared" si="231"/>
        <v/>
      </c>
      <c r="IR74" s="5" t="str">
        <f t="shared" si="525"/>
        <v/>
      </c>
      <c r="IS74" s="5" t="str">
        <f t="shared" si="232"/>
        <v/>
      </c>
      <c r="IT74" s="791" t="str">
        <f t="shared" si="233"/>
        <v/>
      </c>
      <c r="IU74" s="9" t="str">
        <f t="shared" si="234"/>
        <v/>
      </c>
      <c r="IV74" s="5" t="str">
        <f t="shared" si="235"/>
        <v/>
      </c>
      <c r="IW74" s="5" t="str">
        <f t="shared" si="526"/>
        <v/>
      </c>
      <c r="IX74" s="5" t="str">
        <f t="shared" si="236"/>
        <v/>
      </c>
      <c r="IY74" s="833" t="str">
        <f t="shared" si="237"/>
        <v/>
      </c>
    </row>
    <row r="75" spans="1:259" ht="15" customHeight="1" x14ac:dyDescent="0.25">
      <c r="A75" s="84">
        <f t="shared" si="527"/>
        <v>0.02</v>
      </c>
      <c r="B75" s="770">
        <v>-1.4994928856965701</v>
      </c>
      <c r="C75" s="771">
        <v>-2.3855821651378171</v>
      </c>
      <c r="D75" s="772">
        <v>-0.12200036795310946</v>
      </c>
      <c r="E75" s="773">
        <v>0.80839799705815185</v>
      </c>
      <c r="F75" s="771">
        <v>-0.48982557610002359</v>
      </c>
      <c r="G75" s="774">
        <v>0.32644078077141092</v>
      </c>
      <c r="H75" s="773">
        <v>0.314</v>
      </c>
      <c r="I75" s="771">
        <v>0.52</v>
      </c>
      <c r="J75" s="601">
        <v>5.1150000000000002</v>
      </c>
      <c r="K75" s="426" t="str">
        <f t="shared" si="225"/>
        <v>1613</v>
      </c>
      <c r="L75" s="327"/>
      <c r="M75" s="173">
        <f t="shared" si="469"/>
        <v>5.1150000000000002</v>
      </c>
      <c r="N75" s="21">
        <f t="shared" si="470"/>
        <v>-1.4994928856965701</v>
      </c>
      <c r="O75" s="5">
        <f t="shared" si="471"/>
        <v>-2.3855821651378171</v>
      </c>
      <c r="P75" s="10">
        <f t="shared" si="472"/>
        <v>-0.12200036795310946</v>
      </c>
      <c r="Q75" s="624">
        <f t="shared" si="528"/>
        <v>237.847978653393</v>
      </c>
      <c r="R75" s="5">
        <f>IF(M75="","",SQRT(N75^2+O75^2))</f>
        <v>2.8177084982088303</v>
      </c>
      <c r="S75" s="6">
        <f>IF(M75="","",P75)</f>
        <v>-0.12200036795310946</v>
      </c>
      <c r="T75" s="4">
        <f>IF(M75="","",X75*COS(RADIANS(W75)))</f>
        <v>-2.3858961658241085</v>
      </c>
      <c r="U75" s="5">
        <f>IF(M75="","",X75*SIN(RADIANS(W75)))</f>
        <v>1.4989932177245098</v>
      </c>
      <c r="V75" s="8">
        <f>IF(M75="","",Y75)</f>
        <v>-0.12200036795310946</v>
      </c>
      <c r="W75" s="624">
        <f t="shared" si="227"/>
        <v>147.85997865166041</v>
      </c>
      <c r="X75" s="5">
        <f>IF(M75="","",R75)</f>
        <v>2.8177084982088303</v>
      </c>
      <c r="Y75" s="7">
        <f t="shared" si="226"/>
        <v>-0.12200036795310946</v>
      </c>
      <c r="Z75" s="21">
        <f t="shared" si="473"/>
        <v>-0.80839799705815185</v>
      </c>
      <c r="AA75" s="5">
        <f t="shared" si="474"/>
        <v>0.48982557610002359</v>
      </c>
      <c r="AB75" s="5">
        <f t="shared" si="475"/>
        <v>-0.32644078077141092</v>
      </c>
      <c r="AC75" s="8">
        <f>IF(M75="","",SQRT(Z75^2+AA75^2+AB75^2))</f>
        <v>1</v>
      </c>
      <c r="AD75" s="9">
        <f>IF(M75="","",Z75*(1/SQRT(Z75^2+AA75^2+AB75^2)))</f>
        <v>-0.80839799705815185</v>
      </c>
      <c r="AE75" s="5">
        <f>IF(M75="","",AA75*(1/SQRT(Z75^2+AA75^2+AB75^2)))</f>
        <v>0.48982557610002359</v>
      </c>
      <c r="AF75" s="10">
        <f>IF(M75="","",AB75*(1/SQRT(Z75^2+AA75^2+AB75^2)))</f>
        <v>-0.32644078077141092</v>
      </c>
      <c r="AG75" s="622">
        <f>IF(M75="","",DEGREES(ATAN2(-AF75,AE75)))</f>
        <v>56.318809117826667</v>
      </c>
      <c r="AH75" s="623">
        <f>IF(M75="","",DEGREES(ACOS(AD75)))</f>
        <v>143.93970540435495</v>
      </c>
      <c r="AI75" s="624">
        <f>IF(M75="","",DEGREES(-ACOS(-AF75)))</f>
        <v>-70.947112875375041</v>
      </c>
      <c r="AJ75" s="625">
        <f>IF(M75="","",DEGREES(ATAN2(-AE75,AD75)))</f>
        <v>-121.21256547841411</v>
      </c>
      <c r="AK75" s="4">
        <f>IF(M75="","",(COS(RADIANS((90-$Q$8)-W75))*AD75)+(-SIN(RADIANS((90-$Q$8)-W75))*AE75))</f>
        <v>0.94509059840721199</v>
      </c>
      <c r="AL75" s="5">
        <f>IF(M75="","",(SIN(RADIANS((90-$Q$8)-W75))*AD75)+(COS(RADIANS((90-$Q$8)-W75))*AE75))</f>
        <v>1.5497659553939447E-2</v>
      </c>
      <c r="AM75" s="6">
        <f>IF(M75="","",AF75)</f>
        <v>-0.32644078077141092</v>
      </c>
      <c r="AN75" s="612">
        <f>IF(M75="","",DEGREES(ATAN2(-AM75,AL75)))</f>
        <v>2.7180558856449908</v>
      </c>
      <c r="AO75" s="613">
        <f t="shared" si="466"/>
        <v>19.075175238584769</v>
      </c>
      <c r="AP75" s="624">
        <f>IF(M75="","",DEGREES(ATAN2(AK75,AL75)))</f>
        <v>0.93945586819288751</v>
      </c>
      <c r="AQ75" s="625">
        <f t="shared" si="476"/>
        <v>4.3927200791023271</v>
      </c>
      <c r="AS75" s="56">
        <f t="shared" ref="AS75:AS106" si="550">IF(G75="","",IF(AND(W75&lt;(AS74+180),W75&gt;(AS74-180)),W75,IF(W75&gt;(AS74+180),W75-360,IF(W75&lt;(AS74-180),W75+360,"Error"))))</f>
        <v>-212.14002134833959</v>
      </c>
      <c r="AT75" s="77">
        <f t="shared" si="477"/>
        <v>0.6794628238007393</v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2"/>
        <v>5.1150000000000002</v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3"/>
        <v/>
      </c>
      <c r="IK75" s="839" t="str">
        <f t="shared" si="524"/>
        <v/>
      </c>
      <c r="IL75" s="791" t="str">
        <f t="shared" si="228"/>
        <v/>
      </c>
      <c r="IM75" s="830"/>
      <c r="IN75" s="5" t="str">
        <f t="shared" si="229"/>
        <v/>
      </c>
      <c r="IO75" s="852"/>
      <c r="IP75" s="9" t="str">
        <f t="shared" si="230"/>
        <v/>
      </c>
      <c r="IQ75" s="5" t="str">
        <f t="shared" si="231"/>
        <v/>
      </c>
      <c r="IR75" s="5" t="str">
        <f t="shared" si="525"/>
        <v/>
      </c>
      <c r="IS75" s="5" t="str">
        <f t="shared" si="232"/>
        <v/>
      </c>
      <c r="IT75" s="791" t="str">
        <f t="shared" si="233"/>
        <v/>
      </c>
      <c r="IU75" s="9" t="str">
        <f t="shared" si="234"/>
        <v/>
      </c>
      <c r="IV75" s="5" t="str">
        <f t="shared" si="235"/>
        <v/>
      </c>
      <c r="IW75" s="5" t="str">
        <f t="shared" si="526"/>
        <v/>
      </c>
      <c r="IX75" s="5" t="str">
        <f t="shared" si="236"/>
        <v/>
      </c>
      <c r="IY75" s="833" t="str">
        <f t="shared" si="237"/>
        <v/>
      </c>
    </row>
    <row r="76" spans="1:259" ht="15" customHeight="1" x14ac:dyDescent="0.25">
      <c r="A76" s="84">
        <f t="shared" si="527"/>
        <v>0.02</v>
      </c>
      <c r="B76" s="770">
        <v>-1.964888915438467</v>
      </c>
      <c r="C76" s="771">
        <v>-3.0374858438036685</v>
      </c>
      <c r="D76" s="772">
        <v>-0.10250030914093221</v>
      </c>
      <c r="E76" s="773">
        <v>0.75730247821475594</v>
      </c>
      <c r="F76" s="771">
        <v>-0.60273764745343839</v>
      </c>
      <c r="G76" s="774">
        <v>0.2513966682994902</v>
      </c>
      <c r="H76" s="773">
        <v>0.314</v>
      </c>
      <c r="I76" s="771">
        <v>0.52</v>
      </c>
      <c r="J76" s="601">
        <v>5.1219999999999999</v>
      </c>
      <c r="K76" s="426" t="str">
        <f t="shared" si="225"/>
        <v>1613</v>
      </c>
      <c r="L76" s="327"/>
      <c r="M76" s="173">
        <f t="shared" si="469"/>
        <v>5.1219999999999999</v>
      </c>
      <c r="N76" s="21">
        <f t="shared" si="470"/>
        <v>-1.964888915438467</v>
      </c>
      <c r="O76" s="5">
        <f t="shared" si="471"/>
        <v>-3.0374858438036685</v>
      </c>
      <c r="P76" s="10">
        <f t="shared" si="472"/>
        <v>-0.10250030914093221</v>
      </c>
      <c r="Q76" s="624">
        <f t="shared" si="528"/>
        <v>237.10197876110203</v>
      </c>
      <c r="R76" s="5">
        <f t="shared" si="83"/>
        <v>3.617610910714506</v>
      </c>
      <c r="S76" s="6">
        <f t="shared" si="84"/>
        <v>-0.10250030914093221</v>
      </c>
      <c r="T76" s="4">
        <f t="shared" si="85"/>
        <v>-3.0378973024938665</v>
      </c>
      <c r="U76" s="5">
        <f t="shared" si="86"/>
        <v>1.964252702892662</v>
      </c>
      <c r="V76" s="8">
        <f t="shared" si="117"/>
        <v>-0.10250030914093221</v>
      </c>
      <c r="W76" s="624">
        <f t="shared" si="227"/>
        <v>147.11397875936945</v>
      </c>
      <c r="X76" s="5">
        <f t="shared" si="87"/>
        <v>3.617610910714506</v>
      </c>
      <c r="Y76" s="7">
        <f t="shared" ref="Y76:Y129" si="650">IF(M76="","",S76)</f>
        <v>-0.10250030914093221</v>
      </c>
      <c r="Z76" s="21">
        <f t="shared" si="473"/>
        <v>-0.75730247821475594</v>
      </c>
      <c r="AA76" s="5">
        <f t="shared" si="474"/>
        <v>0.60273764745343839</v>
      </c>
      <c r="AB76" s="5">
        <f t="shared" si="475"/>
        <v>-0.2513966682994902</v>
      </c>
      <c r="AC76" s="8">
        <f t="shared" si="88"/>
        <v>1</v>
      </c>
      <c r="AD76" s="9">
        <f t="shared" si="118"/>
        <v>-0.75730247821475594</v>
      </c>
      <c r="AE76" s="5">
        <f t="shared" si="89"/>
        <v>0.60273764745343839</v>
      </c>
      <c r="AF76" s="10">
        <f t="shared" si="90"/>
        <v>-0.2513966682994902</v>
      </c>
      <c r="AG76" s="622">
        <f t="shared" si="91"/>
        <v>67.359404360147295</v>
      </c>
      <c r="AH76" s="623">
        <f t="shared" si="92"/>
        <v>139.22696397830558</v>
      </c>
      <c r="AI76" s="624">
        <f t="shared" si="93"/>
        <v>-75.439824784329531</v>
      </c>
      <c r="AJ76" s="625">
        <f t="shared" si="94"/>
        <v>-128.51631007658384</v>
      </c>
      <c r="AK76" s="4">
        <f t="shared" si="213"/>
        <v>0.96323462236717983</v>
      </c>
      <c r="AL76" s="5">
        <f t="shared" si="95"/>
        <v>-9.4756411081639458E-2</v>
      </c>
      <c r="AM76" s="6">
        <f t="shared" si="96"/>
        <v>-0.2513966682994902</v>
      </c>
      <c r="AN76" s="612">
        <f t="shared" si="97"/>
        <v>-20.652425349469706</v>
      </c>
      <c r="AO76" s="613">
        <f t="shared" si="466"/>
        <v>15.584640540980379</v>
      </c>
      <c r="AP76" s="624">
        <f t="shared" si="99"/>
        <v>-5.6182888376858839</v>
      </c>
      <c r="AQ76" s="625">
        <f t="shared" si="476"/>
        <v>3.4240679298816001</v>
      </c>
      <c r="AS76" s="56">
        <f t="shared" si="550"/>
        <v>-212.88602124063055</v>
      </c>
      <c r="AT76" s="77">
        <f t="shared" si="477"/>
        <v>0.70178110442823793</v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>
        <f t="shared" si="522"/>
        <v>5.1219999999999999</v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3"/>
        <v/>
      </c>
      <c r="IK76" s="839" t="str">
        <f t="shared" si="524"/>
        <v/>
      </c>
      <c r="IL76" s="791" t="str">
        <f t="shared" si="228"/>
        <v/>
      </c>
      <c r="IM76" s="830"/>
      <c r="IN76" s="5" t="str">
        <f t="shared" si="229"/>
        <v/>
      </c>
      <c r="IO76" s="852"/>
      <c r="IP76" s="9" t="str">
        <f t="shared" si="230"/>
        <v/>
      </c>
      <c r="IQ76" s="5" t="str">
        <f t="shared" si="231"/>
        <v/>
      </c>
      <c r="IR76" s="5" t="str">
        <f t="shared" si="525"/>
        <v/>
      </c>
      <c r="IS76" s="5" t="str">
        <f t="shared" si="232"/>
        <v/>
      </c>
      <c r="IT76" s="791" t="str">
        <f t="shared" si="233"/>
        <v/>
      </c>
      <c r="IU76" s="9" t="str">
        <f t="shared" si="234"/>
        <v/>
      </c>
      <c r="IV76" s="5" t="str">
        <f t="shared" si="235"/>
        <v/>
      </c>
      <c r="IW76" s="5" t="str">
        <f t="shared" si="526"/>
        <v/>
      </c>
      <c r="IX76" s="5" t="str">
        <f t="shared" si="236"/>
        <v/>
      </c>
      <c r="IY76" s="833" t="str">
        <f t="shared" si="237"/>
        <v/>
      </c>
    </row>
    <row r="77" spans="1:259" ht="15" customHeight="1" x14ac:dyDescent="0.25">
      <c r="A77" s="84">
        <f t="shared" si="527"/>
        <v>0.02</v>
      </c>
      <c r="B77" s="770">
        <v>-2.4459617443742245</v>
      </c>
      <c r="C77" s="771">
        <v>-3.6366806704185071</v>
      </c>
      <c r="D77" s="772">
        <v>-0.33670101549026232</v>
      </c>
      <c r="E77" s="773">
        <v>0.69884393129649003</v>
      </c>
      <c r="F77" s="771">
        <v>-0.68086613672924423</v>
      </c>
      <c r="G77" s="774">
        <v>0.21917678605514077</v>
      </c>
      <c r="H77" s="773">
        <v>0.314</v>
      </c>
      <c r="I77" s="771">
        <v>0.52</v>
      </c>
      <c r="J77" s="601">
        <v>5.1289999999999996</v>
      </c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>1613</v>
      </c>
      <c r="L77" s="327"/>
      <c r="M77" s="173">
        <f t="shared" si="469"/>
        <v>5.1289999999999996</v>
      </c>
      <c r="N77" s="21">
        <f t="shared" si="470"/>
        <v>-2.4459617443742245</v>
      </c>
      <c r="O77" s="5">
        <f t="shared" si="471"/>
        <v>-3.6366806704185071</v>
      </c>
      <c r="P77" s="10">
        <f t="shared" si="472"/>
        <v>-0.33670101549026232</v>
      </c>
      <c r="Q77" s="624">
        <f t="shared" si="528"/>
        <v>236.07597890923813</v>
      </c>
      <c r="R77" s="5">
        <f t="shared" si="83"/>
        <v>4.3827132182630661</v>
      </c>
      <c r="S77" s="6">
        <f t="shared" si="84"/>
        <v>-0.33670101549026232</v>
      </c>
      <c r="T77" s="4">
        <f t="shared" si="85"/>
        <v>-3.6371928716092947</v>
      </c>
      <c r="U77" s="5">
        <f t="shared" si="86"/>
        <v>2.4452000262253253</v>
      </c>
      <c r="V77" s="8">
        <f t="shared" si="117"/>
        <v>-0.33670101549026232</v>
      </c>
      <c r="W77" s="624">
        <f t="shared" si="227"/>
        <v>146.08797890750554</v>
      </c>
      <c r="X77" s="5">
        <f t="shared" si="87"/>
        <v>4.3827132182630661</v>
      </c>
      <c r="Y77" s="7">
        <f t="shared" si="650"/>
        <v>-0.33670101549026232</v>
      </c>
      <c r="Z77" s="21">
        <f t="shared" si="473"/>
        <v>-0.69884393129649003</v>
      </c>
      <c r="AA77" s="5">
        <f t="shared" si="474"/>
        <v>0.68086613672924423</v>
      </c>
      <c r="AB77" s="5">
        <f t="shared" si="475"/>
        <v>-0.21917678605514077</v>
      </c>
      <c r="AC77" s="8">
        <f t="shared" si="88"/>
        <v>1</v>
      </c>
      <c r="AD77" s="9">
        <f t="shared" si="118"/>
        <v>-0.69884393129649003</v>
      </c>
      <c r="AE77" s="5">
        <f t="shared" si="89"/>
        <v>0.68086613672924423</v>
      </c>
      <c r="AF77" s="10">
        <f t="shared" si="90"/>
        <v>-0.21917678605514077</v>
      </c>
      <c r="AG77" s="622">
        <f t="shared" si="91"/>
        <v>72.156177203179368</v>
      </c>
      <c r="AH77" s="623">
        <f t="shared" si="92"/>
        <v>134.33432587845718</v>
      </c>
      <c r="AI77" s="624">
        <f t="shared" si="93"/>
        <v>-77.339313708808916</v>
      </c>
      <c r="AJ77" s="625">
        <f t="shared" si="94"/>
        <v>-134.25347108209556</v>
      </c>
      <c r="AK77" s="4">
        <f t="shared" si="213"/>
        <v>0.95987223679948208</v>
      </c>
      <c r="AL77" s="5">
        <f t="shared" si="95"/>
        <v>-0.17494806508246458</v>
      </c>
      <c r="AM77" s="6">
        <f t="shared" si="96"/>
        <v>-0.21917678605514077</v>
      </c>
      <c r="AN77" s="612">
        <f t="shared" si="97"/>
        <v>-38.597051743587912</v>
      </c>
      <c r="AO77" s="613">
        <f t="shared" si="466"/>
        <v>16.286328191364639</v>
      </c>
      <c r="AP77" s="624">
        <f t="shared" si="99"/>
        <v>-10.329449991333719</v>
      </c>
      <c r="AQ77" s="625">
        <f t="shared" si="476"/>
        <v>2.8273911457079826</v>
      </c>
      <c r="AS77" s="56">
        <f t="shared" si="550"/>
        <v>-213.91202109249446</v>
      </c>
      <c r="AT77" s="77">
        <f t="shared" si="477"/>
        <v>0.47145639751928259</v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2"/>
        <v>5.1289999999999996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0.02</v>
      </c>
      <c r="B78" s="770">
        <v>-2.8831296630237961</v>
      </c>
      <c r="C78" s="771">
        <v>-4.1273373258285124</v>
      </c>
      <c r="D78" s="772">
        <v>-0.80060241461688264</v>
      </c>
      <c r="E78" s="773">
        <v>0.64748895288324626</v>
      </c>
      <c r="F78" s="771">
        <v>-0.74293031169363399</v>
      </c>
      <c r="G78" s="774">
        <v>0.16974276968683383</v>
      </c>
      <c r="H78" s="773">
        <v>0.314</v>
      </c>
      <c r="I78" s="771">
        <v>0.52</v>
      </c>
      <c r="J78" s="601">
        <v>5.1360000000000001</v>
      </c>
      <c r="K78" s="426" t="str">
        <f t="shared" si="651"/>
        <v>1613</v>
      </c>
      <c r="L78" s="327"/>
      <c r="M78" s="173">
        <f t="shared" si="469"/>
        <v>5.1360000000000001</v>
      </c>
      <c r="N78" s="21">
        <f t="shared" si="470"/>
        <v>-2.8831296630237961</v>
      </c>
      <c r="O78" s="5">
        <f t="shared" si="471"/>
        <v>-4.1273373258285124</v>
      </c>
      <c r="P78" s="10">
        <f t="shared" si="472"/>
        <v>-0.80060241461688264</v>
      </c>
      <c r="Q78" s="624">
        <f t="shared" si="528"/>
        <v>235.06397905535277</v>
      </c>
      <c r="R78" s="5">
        <f>IF(M78="","",SQRT(N78^2+O78^2))</f>
        <v>5.0346151843993958</v>
      </c>
      <c r="S78" s="6">
        <f>IF(M78="","",P78)</f>
        <v>-0.80060241461688264</v>
      </c>
      <c r="T78" s="4">
        <f>IF(M78="","",X78*COS(RADIANS(W78)))</f>
        <v>-4.1279410764788826</v>
      </c>
      <c r="U78" s="5">
        <f>IF(M78="","",X78*SIN(RADIANS(W78)))</f>
        <v>2.88226517241272</v>
      </c>
      <c r="V78" s="8">
        <f>IF(M78="","",Y78)</f>
        <v>-0.80060241461688264</v>
      </c>
      <c r="W78" s="624">
        <f t="shared" si="227"/>
        <v>145.07597905362019</v>
      </c>
      <c r="X78" s="5">
        <f>IF(M78="","",R78)</f>
        <v>5.0346151843993958</v>
      </c>
      <c r="Y78" s="7">
        <f t="shared" si="650"/>
        <v>-0.80060241461688264</v>
      </c>
      <c r="Z78" s="21">
        <f t="shared" si="473"/>
        <v>-0.64748895288324626</v>
      </c>
      <c r="AA78" s="5">
        <f t="shared" si="474"/>
        <v>0.74293031169363399</v>
      </c>
      <c r="AB78" s="5">
        <f t="shared" si="475"/>
        <v>-0.16974276968683383</v>
      </c>
      <c r="AC78" s="8">
        <f>IF(M78="","",SQRT(Z78^2+AA78^2+AB78^2))</f>
        <v>1</v>
      </c>
      <c r="AD78" s="9">
        <f>IF(M78="","",Z78*(1/SQRT(Z78^2+AA78^2+AB78^2)))</f>
        <v>-0.64748895288324626</v>
      </c>
      <c r="AE78" s="5">
        <f>IF(M78="","",AA78*(1/SQRT(Z78^2+AA78^2+AB78^2)))</f>
        <v>0.74293031169363399</v>
      </c>
      <c r="AF78" s="10">
        <f>IF(M78="","",AB78*(1/SQRT(Z78^2+AA78^2+AB78^2)))</f>
        <v>-0.16974276968683383</v>
      </c>
      <c r="AG78" s="622">
        <f>IF(M78="","",DEGREES(ATAN2(-AF78,AE78)))</f>
        <v>77.130119689484104</v>
      </c>
      <c r="AH78" s="623">
        <f>IF(M78="","",DEGREES(ACOS(AD78)))</f>
        <v>130.35254613563538</v>
      </c>
      <c r="AI78" s="624">
        <f>IF(M78="","",DEGREES(-ACOS(-AF78)))</f>
        <v>-80.227136515314911</v>
      </c>
      <c r="AJ78" s="625">
        <f>IF(M78="","",DEGREES(ATAN2(-AE78,AD78)))</f>
        <v>-138.9267455812263</v>
      </c>
      <c r="AK78" s="4">
        <f>IF(M78="","",(COS(RADIANS((90-$Q$8)-W78))*AD78)+(-SIN(RADIANS((90-$Q$8)-W78))*AE78))</f>
        <v>0.95625376839489318</v>
      </c>
      <c r="AL78" s="5">
        <f>IF(M78="","",(SIN(RADIANS((90-$Q$8)-W78))*AD78)+(COS(RADIANS((90-$Q$8)-W78))*AE78))</f>
        <v>-0.23825642188534796</v>
      </c>
      <c r="AM78" s="6">
        <f>IF(M78="","",AF78)</f>
        <v>-0.16974276968683383</v>
      </c>
      <c r="AN78" s="612">
        <f>IF(M78="","",DEGREES(ATAN2(-AM78,AL78)))</f>
        <v>-54.532509464955645</v>
      </c>
      <c r="AO78" s="613">
        <f t="shared" si="466"/>
        <v>17.009989132701005</v>
      </c>
      <c r="AP78" s="624">
        <f>IF(M78="","",DEGREES(ATAN2(AK78,AL78)))</f>
        <v>-13.990724636579097</v>
      </c>
      <c r="AQ78" s="625">
        <f t="shared" si="476"/>
        <v>2.4617731368971634</v>
      </c>
      <c r="AS78" s="56">
        <f t="shared" si="550"/>
        <v>-214.92402094637981</v>
      </c>
      <c r="AT78" s="77">
        <f t="shared" si="477"/>
        <v>1.1378108951784704E-2</v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2"/>
        <v>5.1360000000000001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0.02</v>
      </c>
      <c r="B79" s="770">
        <v>-3.2072707655776842</v>
      </c>
      <c r="C79" s="771">
        <v>-4.4628930153570785</v>
      </c>
      <c r="D79" s="772">
        <v>-1.4522043798484106</v>
      </c>
      <c r="E79" s="773">
        <v>0.61017342662217633</v>
      </c>
      <c r="F79" s="771">
        <v>-0.78449375363807006</v>
      </c>
      <c r="G79" s="774">
        <v>0.11071558131989662</v>
      </c>
      <c r="H79" s="773">
        <v>0.314</v>
      </c>
      <c r="I79" s="771">
        <v>0.52</v>
      </c>
      <c r="J79" s="601">
        <v>5.1429999999999998</v>
      </c>
      <c r="K79" s="426" t="str">
        <f t="shared" si="651"/>
        <v>1613</v>
      </c>
      <c r="L79" s="327"/>
      <c r="M79" s="173">
        <f t="shared" si="469"/>
        <v>5.1429999999999998</v>
      </c>
      <c r="N79" s="21">
        <f t="shared" si="470"/>
        <v>-3.2072707655776842</v>
      </c>
      <c r="O79" s="5">
        <f t="shared" si="471"/>
        <v>-4.4628930153570785</v>
      </c>
      <c r="P79" s="10">
        <f t="shared" si="472"/>
        <v>-1.4522043798484106</v>
      </c>
      <c r="Q79" s="624">
        <f t="shared" si="528"/>
        <v>234.29697916609388</v>
      </c>
      <c r="R79" s="5">
        <f>IF(M79="","",SQRT(N79^2+O79^2))</f>
        <v>5.4958165753827943</v>
      </c>
      <c r="S79" s="6">
        <f>IF(M79="","",P79)</f>
        <v>-1.4522043798484106</v>
      </c>
      <c r="T79" s="4">
        <f>IF(M79="","",X79*COS(RADIANS(W79)))</f>
        <v>-4.4635646465913608</v>
      </c>
      <c r="U79" s="5">
        <f>IF(M79="","",X79*SIN(RADIANS(W79)))</f>
        <v>3.2063359892487888</v>
      </c>
      <c r="V79" s="8">
        <f>IF(M79="","",Y79)</f>
        <v>-1.4522043798484106</v>
      </c>
      <c r="W79" s="624">
        <f t="shared" ref="W79:W129" si="652">IF(M79="","",IF(Q79-$Q$8&lt;0,360+Q79-$Q$8,Q79-$Q$8))</f>
        <v>144.30897916436129</v>
      </c>
      <c r="X79" s="5">
        <f>IF(M79="","",R79)</f>
        <v>5.4958165753827943</v>
      </c>
      <c r="Y79" s="7">
        <f t="shared" si="650"/>
        <v>-1.4522043798484106</v>
      </c>
      <c r="Z79" s="21">
        <f t="shared" si="473"/>
        <v>-0.61017342662217633</v>
      </c>
      <c r="AA79" s="5">
        <f t="shared" si="474"/>
        <v>0.78449375363807006</v>
      </c>
      <c r="AB79" s="5">
        <f t="shared" si="475"/>
        <v>-0.11071558131989662</v>
      </c>
      <c r="AC79" s="8">
        <f>IF(M79="","",SQRT(Z79^2+AA79^2+AB79^2))</f>
        <v>1</v>
      </c>
      <c r="AD79" s="9">
        <f>IF(M79="","",Z79*(1/SQRT(Z79^2+AA79^2+AB79^2)))</f>
        <v>-0.61017342662217633</v>
      </c>
      <c r="AE79" s="5">
        <f>IF(M79="","",AA79*(1/SQRT(Z79^2+AA79^2+AB79^2)))</f>
        <v>0.78449375363807006</v>
      </c>
      <c r="AF79" s="10">
        <f>IF(M79="","",AB79*(1/SQRT(Z79^2+AA79^2+AB79^2)))</f>
        <v>-0.11071558131989662</v>
      </c>
      <c r="AG79" s="622">
        <f>IF(M79="","",DEGREES(ATAN2(-AF79,AE79)))</f>
        <v>81.96690142950699</v>
      </c>
      <c r="AH79" s="623">
        <f>IF(M79="","",DEGREES(ACOS(AD79)))</f>
        <v>127.60204389503609</v>
      </c>
      <c r="AI79" s="624">
        <f>IF(M79="","",DEGREES(-ACOS(-AF79)))</f>
        <v>-83.643432671344982</v>
      </c>
      <c r="AJ79" s="625">
        <f>IF(M79="","",DEGREES(ATAN2(-AE79,AD79)))</f>
        <v>-142.12448764572025</v>
      </c>
      <c r="AK79" s="4">
        <f>IF(M79="","",(COS(RADIANS((90-$Q$8)-W79))*AD79)+(-SIN(RADIANS((90-$Q$8)-W79))*AE79))</f>
        <v>0.95331103827557562</v>
      </c>
      <c r="AL79" s="5">
        <f>IF(M79="","",(SIN(RADIANS((90-$Q$8)-W79))*AD79)+(COS(RADIANS((90-$Q$8)-W79))*AE79))</f>
        <v>-0.28096285226866058</v>
      </c>
      <c r="AM79" s="6">
        <f>IF(M79="","",AF79)</f>
        <v>-0.11071558131989662</v>
      </c>
      <c r="AN79" s="612">
        <f>IF(M79="","",DEGREES(ATAN2(-AM79,AL79)))</f>
        <v>-68.492697037887027</v>
      </c>
      <c r="AO79" s="613">
        <f t="shared" si="466"/>
        <v>17.577176782648422</v>
      </c>
      <c r="AP79" s="624">
        <f>IF(M79="","",DEGREES(ATAN2(AK79,AL79)))</f>
        <v>-16.421466811814124</v>
      </c>
      <c r="AQ79" s="625">
        <f t="shared" si="476"/>
        <v>2.2554076115937791</v>
      </c>
      <c r="AS79" s="56">
        <f t="shared" si="550"/>
        <v>-215.69102083563871</v>
      </c>
      <c r="AT79" s="77">
        <f t="shared" si="477"/>
        <v>-0.63732630114254296</v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2"/>
        <v>5.1429999999999998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0.02</v>
      </c>
      <c r="B80" s="770">
        <v>-3.3764520748287357</v>
      </c>
      <c r="C80" s="771">
        <v>-4.6294193413883837</v>
      </c>
      <c r="D80" s="772">
        <v>-2.2130066744281298</v>
      </c>
      <c r="E80" s="773">
        <v>0.57894562088646206</v>
      </c>
      <c r="F80" s="771">
        <v>-0.8134695773843017</v>
      </c>
      <c r="G80" s="774">
        <v>5.5580704624847488E-2</v>
      </c>
      <c r="H80" s="773">
        <v>0.314</v>
      </c>
      <c r="I80" s="771">
        <v>0.52</v>
      </c>
      <c r="J80" s="601">
        <v>5.15</v>
      </c>
      <c r="K80" s="426" t="str">
        <f t="shared" si="651"/>
        <v>1613</v>
      </c>
      <c r="L80" s="327"/>
      <c r="M80" s="173">
        <f t="shared" si="469"/>
        <v>5.15</v>
      </c>
      <c r="N80" s="21">
        <f t="shared" si="470"/>
        <v>-3.3764520748287357</v>
      </c>
      <c r="O80" s="5">
        <f t="shared" si="471"/>
        <v>-4.6294193413883837</v>
      </c>
      <c r="P80" s="10">
        <f t="shared" si="472"/>
        <v>-2.2130066744281298</v>
      </c>
      <c r="Q80" s="624">
        <f t="shared" si="528"/>
        <v>233.89497922413551</v>
      </c>
      <c r="R80" s="5">
        <f t="shared" si="83"/>
        <v>5.729917281430521</v>
      </c>
      <c r="S80" s="6">
        <f t="shared" si="84"/>
        <v>-2.2130066744281298</v>
      </c>
      <c r="T80" s="4">
        <f t="shared" si="85"/>
        <v>-4.6301264022155131</v>
      </c>
      <c r="U80" s="5">
        <f t="shared" si="86"/>
        <v>3.3754824176024019</v>
      </c>
      <c r="V80" s="8">
        <f t="shared" si="117"/>
        <v>-2.2130066744281298</v>
      </c>
      <c r="W80" s="624">
        <f t="shared" si="652"/>
        <v>143.90697922240292</v>
      </c>
      <c r="X80" s="5">
        <f t="shared" si="87"/>
        <v>5.729917281430521</v>
      </c>
      <c r="Y80" s="7">
        <f t="shared" si="650"/>
        <v>-2.2130066744281298</v>
      </c>
      <c r="Z80" s="21">
        <f t="shared" si="473"/>
        <v>-0.57894562088646206</v>
      </c>
      <c r="AA80" s="5">
        <f t="shared" si="474"/>
        <v>0.8134695773843017</v>
      </c>
      <c r="AB80" s="5">
        <f t="shared" si="475"/>
        <v>-5.5580704624847488E-2</v>
      </c>
      <c r="AC80" s="8">
        <f t="shared" si="88"/>
        <v>1</v>
      </c>
      <c r="AD80" s="9">
        <f t="shared" si="118"/>
        <v>-0.57894562088646206</v>
      </c>
      <c r="AE80" s="5">
        <f t="shared" si="89"/>
        <v>0.8134695773843017</v>
      </c>
      <c r="AF80" s="10">
        <f t="shared" si="90"/>
        <v>-5.5580704624847488E-2</v>
      </c>
      <c r="AG80" s="622">
        <f t="shared" si="91"/>
        <v>86.091312839094002</v>
      </c>
      <c r="AH80" s="623">
        <f t="shared" si="92"/>
        <v>125.37641735259305</v>
      </c>
      <c r="AI80" s="624">
        <f t="shared" si="93"/>
        <v>-86.813818297912448</v>
      </c>
      <c r="AJ80" s="625">
        <f t="shared" si="94"/>
        <v>-144.56057356512602</v>
      </c>
      <c r="AK80" s="4">
        <f t="shared" si="213"/>
        <v>0.94710321820881904</v>
      </c>
      <c r="AL80" s="5">
        <f t="shared" si="95"/>
        <v>-0.31607954589296594</v>
      </c>
      <c r="AM80" s="6">
        <f t="shared" si="96"/>
        <v>-5.5580704624847488E-2</v>
      </c>
      <c r="AN80" s="612">
        <f t="shared" si="97"/>
        <v>-80.026838257156882</v>
      </c>
      <c r="AO80" s="613">
        <f t="shared" si="466"/>
        <v>18.71912285902998</v>
      </c>
      <c r="AP80" s="624">
        <f t="shared" si="99"/>
        <v>-18.455552789261532</v>
      </c>
      <c r="AQ80" s="625">
        <f t="shared" si="476"/>
        <v>2.1633504060255193</v>
      </c>
      <c r="AS80" s="56">
        <f t="shared" si="550"/>
        <v>-216.09302077759708</v>
      </c>
      <c r="AT80" s="77">
        <f t="shared" si="477"/>
        <v>-1.3966099292748639</v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2"/>
        <v>5.15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0.02</v>
      </c>
      <c r="B81" s="770">
        <v>-3.4553734461096406</v>
      </c>
      <c r="C81" s="771">
        <v>-4.7051220669367604</v>
      </c>
      <c r="D81" s="772">
        <v>-3.0056090649169396</v>
      </c>
      <c r="E81" s="773">
        <v>0.40836057661527503</v>
      </c>
      <c r="F81" s="771">
        <v>-0.91246484610254797</v>
      </c>
      <c r="G81" s="774">
        <v>2.5486154937409546E-2</v>
      </c>
      <c r="H81" s="773">
        <v>0.314</v>
      </c>
      <c r="I81" s="771">
        <v>0.52</v>
      </c>
      <c r="J81" s="601">
        <v>5.157</v>
      </c>
      <c r="K81" s="426" t="str">
        <f t="shared" si="651"/>
        <v>1613</v>
      </c>
      <c r="L81" s="327"/>
      <c r="M81" s="173">
        <f t="shared" si="469"/>
        <v>5.157</v>
      </c>
      <c r="N81" s="21">
        <f t="shared" si="470"/>
        <v>-3.4553734461096406</v>
      </c>
      <c r="O81" s="5">
        <f t="shared" si="471"/>
        <v>-4.7051220669367604</v>
      </c>
      <c r="P81" s="10">
        <f t="shared" si="472"/>
        <v>-3.0056090649169396</v>
      </c>
      <c r="Q81" s="624">
        <f t="shared" si="528"/>
        <v>233.70697925127934</v>
      </c>
      <c r="R81" s="5">
        <f t="shared" si="83"/>
        <v>5.8376176062547014</v>
      </c>
      <c r="S81" s="6">
        <f t="shared" si="84"/>
        <v>-3.0056090649169396</v>
      </c>
      <c r="T81" s="4">
        <f t="shared" si="85"/>
        <v>-4.7058456553543841</v>
      </c>
      <c r="U81" s="5">
        <f t="shared" si="86"/>
        <v>3.4543879320130122</v>
      </c>
      <c r="V81" s="8">
        <f t="shared" si="117"/>
        <v>-3.0056090649169396</v>
      </c>
      <c r="W81" s="624">
        <f t="shared" si="652"/>
        <v>143.71897924954675</v>
      </c>
      <c r="X81" s="5">
        <f t="shared" si="87"/>
        <v>5.8376176062547014</v>
      </c>
      <c r="Y81" s="7">
        <f t="shared" si="650"/>
        <v>-3.0056090649169396</v>
      </c>
      <c r="Z81" s="21">
        <f t="shared" si="473"/>
        <v>-0.40836057661527503</v>
      </c>
      <c r="AA81" s="5">
        <f t="shared" si="474"/>
        <v>0.91246484610254797</v>
      </c>
      <c r="AB81" s="5">
        <f t="shared" si="475"/>
        <v>-2.5486154937409546E-2</v>
      </c>
      <c r="AC81" s="8">
        <f t="shared" si="88"/>
        <v>1</v>
      </c>
      <c r="AD81" s="9">
        <f t="shared" si="118"/>
        <v>-0.40836057661527503</v>
      </c>
      <c r="AE81" s="5">
        <f t="shared" si="89"/>
        <v>0.91246484610254797</v>
      </c>
      <c r="AF81" s="10">
        <f t="shared" si="90"/>
        <v>-2.5486154937409546E-2</v>
      </c>
      <c r="AG81" s="622">
        <f t="shared" si="91"/>
        <v>88.400081316478108</v>
      </c>
      <c r="AH81" s="623">
        <f t="shared" si="92"/>
        <v>114.10189031685383</v>
      </c>
      <c r="AI81" s="624">
        <f t="shared" si="93"/>
        <v>-88.539592757147474</v>
      </c>
      <c r="AJ81" s="625">
        <f t="shared" si="94"/>
        <v>-155.88978082708198</v>
      </c>
      <c r="AK81" s="4">
        <f t="shared" si="213"/>
        <v>0.8692404166031662</v>
      </c>
      <c r="AL81" s="5">
        <f t="shared" si="95"/>
        <v>-0.49373226960576577</v>
      </c>
      <c r="AM81" s="6">
        <f t="shared" si="96"/>
        <v>-2.5486154937409546E-2</v>
      </c>
      <c r="AN81" s="612">
        <f t="shared" si="97"/>
        <v>-87.045049920352355</v>
      </c>
      <c r="AO81" s="613">
        <f t="shared" si="466"/>
        <v>29.629509359902606</v>
      </c>
      <c r="AP81" s="624">
        <f t="shared" si="99"/>
        <v>-29.596760078361346</v>
      </c>
      <c r="AQ81" s="625">
        <f t="shared" si="476"/>
        <v>2.1234748506595196</v>
      </c>
      <c r="AS81" s="56">
        <f t="shared" si="550"/>
        <v>-216.28102075045325</v>
      </c>
      <c r="AT81" s="77">
        <f t="shared" si="477"/>
        <v>-2.1885020976439948</v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2"/>
        <v>5.157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0.02</v>
      </c>
      <c r="B82" s="770">
        <v>-3.5106776193529421</v>
      </c>
      <c r="C82" s="771">
        <v>-4.7574162912773161</v>
      </c>
      <c r="D82" s="772">
        <v>-3.7628113486390284</v>
      </c>
      <c r="E82" s="773">
        <v>0.23471773902903709</v>
      </c>
      <c r="F82" s="771">
        <v>-0.97206356941564054</v>
      </c>
      <c r="G82" s="774">
        <v>1.4578093164421206E-7</v>
      </c>
      <c r="H82" s="773">
        <v>0.314</v>
      </c>
      <c r="I82" s="771">
        <v>0.52</v>
      </c>
      <c r="J82" s="601">
        <v>5.1639999999999997</v>
      </c>
      <c r="K82" s="426" t="str">
        <f t="shared" si="651"/>
        <v>1613</v>
      </c>
      <c r="L82" s="327"/>
      <c r="M82" s="173">
        <f t="shared" si="469"/>
        <v>5.1639999999999997</v>
      </c>
      <c r="N82" s="21">
        <f t="shared" si="470"/>
        <v>-3.5106776193529421</v>
      </c>
      <c r="O82" s="5">
        <f t="shared" si="471"/>
        <v>-4.7574162912773161</v>
      </c>
      <c r="P82" s="10">
        <f t="shared" si="472"/>
        <v>-3.7628113486390284</v>
      </c>
      <c r="Q82" s="624">
        <f t="shared" si="528"/>
        <v>233.57497927033779</v>
      </c>
      <c r="R82" s="5">
        <f t="shared" si="83"/>
        <v>5.9125178321537817</v>
      </c>
      <c r="S82" s="6">
        <f t="shared" si="84"/>
        <v>-3.7628113486390284</v>
      </c>
      <c r="T82" s="4">
        <f t="shared" si="85"/>
        <v>-4.7581514614252027</v>
      </c>
      <c r="U82" s="5">
        <f t="shared" si="86"/>
        <v>3.509681151568282</v>
      </c>
      <c r="V82" s="8">
        <f t="shared" si="117"/>
        <v>-3.7628113486390284</v>
      </c>
      <c r="W82" s="624">
        <f t="shared" si="652"/>
        <v>143.58697926860521</v>
      </c>
      <c r="X82" s="5">
        <f t="shared" si="87"/>
        <v>5.9125178321537817</v>
      </c>
      <c r="Y82" s="7">
        <f t="shared" si="650"/>
        <v>-3.7628113486390284</v>
      </c>
      <c r="Z82" s="21">
        <f t="shared" si="473"/>
        <v>-0.23471773902903709</v>
      </c>
      <c r="AA82" s="5">
        <f t="shared" si="474"/>
        <v>0.97206356941564054</v>
      </c>
      <c r="AB82" s="5">
        <f t="shared" si="475"/>
        <v>-1.4578093164421206E-7</v>
      </c>
      <c r="AC82" s="8">
        <f t="shared" si="88"/>
        <v>1</v>
      </c>
      <c r="AD82" s="9">
        <f t="shared" si="118"/>
        <v>-0.23471773902903709</v>
      </c>
      <c r="AE82" s="5">
        <f t="shared" si="89"/>
        <v>0.97206356941564054</v>
      </c>
      <c r="AF82" s="10">
        <f t="shared" si="90"/>
        <v>-1.4578093164421206E-7</v>
      </c>
      <c r="AG82" s="622">
        <f t="shared" si="91"/>
        <v>89.999991407319044</v>
      </c>
      <c r="AH82" s="623">
        <f t="shared" si="92"/>
        <v>103.57498504562295</v>
      </c>
      <c r="AI82" s="624">
        <f t="shared" si="93"/>
        <v>-89.999991647367892</v>
      </c>
      <c r="AJ82" s="625">
        <f t="shared" si="94"/>
        <v>-166.42501495437688</v>
      </c>
      <c r="AK82" s="4">
        <f t="shared" si="213"/>
        <v>0.76604450791050682</v>
      </c>
      <c r="AL82" s="5">
        <f t="shared" si="95"/>
        <v>-0.64278753247097775</v>
      </c>
      <c r="AM82" s="6">
        <f t="shared" si="96"/>
        <v>-1.4578093164421206E-7</v>
      </c>
      <c r="AN82" s="612">
        <f t="shared" si="97"/>
        <v>-89.99998700560964</v>
      </c>
      <c r="AO82" s="613">
        <f t="shared" si="466"/>
        <v>39.999994224715422</v>
      </c>
      <c r="AP82" s="624">
        <f t="shared" si="99"/>
        <v>-39.99999422471469</v>
      </c>
      <c r="AQ82" s="625">
        <f t="shared" si="476"/>
        <v>2.0965986702941062</v>
      </c>
      <c r="AS82" s="56">
        <f t="shared" si="550"/>
        <v>-216.41302073139479</v>
      </c>
      <c r="AT82" s="77">
        <f t="shared" si="477"/>
        <v>-2.9452057147714159</v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2"/>
        <v>5.1639999999999997</v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3"/>
        <v/>
      </c>
      <c r="IK82" s="839" t="str">
        <f t="shared" si="524"/>
        <v/>
      </c>
      <c r="IL82" s="791" t="str">
        <f t="shared" si="654"/>
        <v/>
      </c>
      <c r="IM82" s="830"/>
      <c r="IN82" s="5" t="str">
        <f t="shared" si="655"/>
        <v/>
      </c>
      <c r="IO82" s="852"/>
      <c r="IP82" s="9" t="str">
        <f t="shared" si="656"/>
        <v/>
      </c>
      <c r="IQ82" s="5" t="str">
        <f t="shared" si="657"/>
        <v/>
      </c>
      <c r="IR82" s="5" t="str">
        <f t="shared" si="525"/>
        <v/>
      </c>
      <c r="IS82" s="5" t="str">
        <f t="shared" si="658"/>
        <v/>
      </c>
      <c r="IT82" s="791" t="str">
        <f t="shared" si="659"/>
        <v/>
      </c>
      <c r="IU82" s="9" t="str">
        <f t="shared" si="660"/>
        <v/>
      </c>
      <c r="IV82" s="5" t="str">
        <f t="shared" si="661"/>
        <v/>
      </c>
      <c r="IW82" s="5" t="str">
        <f t="shared" si="526"/>
        <v/>
      </c>
      <c r="IX82" s="5" t="str">
        <f t="shared" si="662"/>
        <v/>
      </c>
      <c r="IY82" s="833" t="str">
        <f t="shared" si="663"/>
        <v/>
      </c>
    </row>
    <row r="83" spans="1:259" ht="15" customHeight="1" x14ac:dyDescent="0.25">
      <c r="A83" s="84">
        <f t="shared" si="527"/>
        <v>0.02</v>
      </c>
      <c r="B83" s="770">
        <v>-2.7220724690911009</v>
      </c>
      <c r="C83" s="771">
        <v>-2.3901687970375813</v>
      </c>
      <c r="D83" s="772">
        <v>-4.4500134212404785E-2</v>
      </c>
      <c r="E83" s="773">
        <v>0.51542329080559068</v>
      </c>
      <c r="F83" s="771">
        <v>-0.75016887984848502</v>
      </c>
      <c r="G83" s="774">
        <v>0.41422878099186322</v>
      </c>
      <c r="H83" s="773">
        <v>0.26600000000000001</v>
      </c>
      <c r="I83" s="771">
        <v>0.52</v>
      </c>
      <c r="J83" s="601">
        <v>5.2220000000000004</v>
      </c>
      <c r="K83" s="426" t="str">
        <f t="shared" si="651"/>
        <v>1313</v>
      </c>
      <c r="L83" s="327"/>
      <c r="M83" s="173">
        <f t="shared" si="469"/>
        <v>5.2220000000000004</v>
      </c>
      <c r="N83" s="21">
        <f t="shared" si="470"/>
        <v>-2.7220724690911009</v>
      </c>
      <c r="O83" s="5">
        <f t="shared" si="471"/>
        <v>-2.3901687970375813</v>
      </c>
      <c r="P83" s="10">
        <f t="shared" si="472"/>
        <v>-4.4500134212404785E-2</v>
      </c>
      <c r="Q83" s="624">
        <f t="shared" si="528"/>
        <v>221.28538104473623</v>
      </c>
      <c r="R83" s="5">
        <f t="shared" si="83"/>
        <v>3.6225109254929517</v>
      </c>
      <c r="S83" s="6">
        <f t="shared" si="84"/>
        <v>-4.4500134212404785E-2</v>
      </c>
      <c r="T83" s="4">
        <f t="shared" si="85"/>
        <v>-2.3907388540536103</v>
      </c>
      <c r="U83" s="5">
        <f t="shared" si="86"/>
        <v>2.721571813683084</v>
      </c>
      <c r="V83" s="8">
        <f t="shared" si="117"/>
        <v>-4.4500134212404785E-2</v>
      </c>
      <c r="W83" s="624">
        <f t="shared" si="652"/>
        <v>131.29738104300364</v>
      </c>
      <c r="X83" s="5">
        <f t="shared" si="87"/>
        <v>3.6225109254929517</v>
      </c>
      <c r="Y83" s="7">
        <f t="shared" si="650"/>
        <v>-4.4500134212404785E-2</v>
      </c>
      <c r="Z83" s="21">
        <f t="shared" si="473"/>
        <v>-0.51542329080559068</v>
      </c>
      <c r="AA83" s="5">
        <f t="shared" si="474"/>
        <v>0.75016887984848502</v>
      </c>
      <c r="AB83" s="5">
        <f t="shared" si="475"/>
        <v>-0.41422878099186322</v>
      </c>
      <c r="AC83" s="8">
        <f t="shared" si="88"/>
        <v>1</v>
      </c>
      <c r="AD83" s="9">
        <f t="shared" si="118"/>
        <v>-0.51542329080559068</v>
      </c>
      <c r="AE83" s="5">
        <f t="shared" si="89"/>
        <v>0.75016887984848502</v>
      </c>
      <c r="AF83" s="10">
        <f t="shared" si="90"/>
        <v>-0.41422878099186322</v>
      </c>
      <c r="AG83" s="622">
        <f t="shared" si="91"/>
        <v>61.093367384066475</v>
      </c>
      <c r="AH83" s="623">
        <f t="shared" si="92"/>
        <v>121.02575252987049</v>
      </c>
      <c r="AI83" s="624">
        <f t="shared" si="93"/>
        <v>-65.52924146416872</v>
      </c>
      <c r="AJ83" s="625">
        <f t="shared" si="94"/>
        <v>-145.50796323811161</v>
      </c>
      <c r="AK83" s="4">
        <f t="shared" si="213"/>
        <v>0.90378270467435495</v>
      </c>
      <c r="AL83" s="5">
        <f t="shared" si="95"/>
        <v>-0.10766308433953925</v>
      </c>
      <c r="AM83" s="6">
        <f t="shared" si="96"/>
        <v>-0.41422878099186322</v>
      </c>
      <c r="AN83" s="612">
        <f t="shared" si="97"/>
        <v>-14.569500248155055</v>
      </c>
      <c r="AO83" s="613">
        <f t="shared" si="466"/>
        <v>25.34017036768104</v>
      </c>
      <c r="AP83" s="624">
        <f t="shared" si="99"/>
        <v>-6.7933442828478459</v>
      </c>
      <c r="AQ83" s="625">
        <f t="shared" si="476"/>
        <v>3.4194473377829135</v>
      </c>
      <c r="AS83" s="56">
        <f t="shared" si="550"/>
        <v>-228.70261895699636</v>
      </c>
      <c r="AT83" s="77">
        <f t="shared" si="477"/>
        <v>0.81953287072970293</v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>
        <f>IFERROR(IF($IU83="","",IF($IU83&lt;(((Settings!$C$19/2)*-1)*$IE$8),"",1)),"")</f>
        <v>1</v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2"/>
        <v>5.2220000000000004</v>
      </c>
      <c r="IH83" s="797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5.1219999999999999</v>
      </c>
      <c r="II83" s="800" cm="1">
        <f t="array" ref="II83">IFERROR(IF($IH83&lt;1,$IH83+LARGE((IF($M$9:$M$150="",0,$M$9:$M$150)-MOD(IF($M$9:$M$150="",0,$M$9:$M$150),1)),1),$IH83),"")</f>
        <v>5.1219999999999999</v>
      </c>
      <c r="IJ83" s="839" t="str">
        <f t="shared" si="523"/>
        <v>1613</v>
      </c>
      <c r="IK83" s="839" t="str">
        <f t="shared" si="524"/>
        <v>1313</v>
      </c>
      <c r="IL83" s="791">
        <f t="shared" si="654"/>
        <v>15.816597716365806</v>
      </c>
      <c r="IM83" s="830">
        <v>3.8149326141608902E-3</v>
      </c>
      <c r="IN83" s="5">
        <f t="shared" si="655"/>
        <v>0.06</v>
      </c>
      <c r="IO83" s="852">
        <v>30</v>
      </c>
      <c r="IP83" s="9">
        <f t="shared" si="656"/>
        <v>-3.617610910714506</v>
      </c>
      <c r="IQ83" s="5">
        <f t="shared" si="657"/>
        <v>-0.10250030914093221</v>
      </c>
      <c r="IR83" s="5">
        <f t="shared" si="525"/>
        <v>0.314</v>
      </c>
      <c r="IS83" s="5">
        <f t="shared" si="658"/>
        <v>0.30245567142329449</v>
      </c>
      <c r="IT83" s="791">
        <f t="shared" si="659"/>
        <v>20.652425349469706</v>
      </c>
      <c r="IU83" s="9">
        <f t="shared" si="660"/>
        <v>-3.6225109254929517</v>
      </c>
      <c r="IV83" s="5">
        <f t="shared" si="661"/>
        <v>-4.4500134212404785E-2</v>
      </c>
      <c r="IW83" s="5">
        <f t="shared" si="526"/>
        <v>0.26600000000000001</v>
      </c>
      <c r="IX83" s="5">
        <f t="shared" si="662"/>
        <v>0.24040619944337843</v>
      </c>
      <c r="IY83" s="833">
        <f t="shared" si="663"/>
        <v>14.569500248155055</v>
      </c>
    </row>
    <row r="84" spans="1:259" ht="15" customHeight="1" x14ac:dyDescent="0.25">
      <c r="A84" s="84">
        <f t="shared" si="527"/>
        <v>0.02</v>
      </c>
      <c r="B84" s="770">
        <v>-3.2299614394137053</v>
      </c>
      <c r="C84" s="771">
        <v>-2.9862664033147039</v>
      </c>
      <c r="D84" s="772">
        <v>-0.28000084448254703</v>
      </c>
      <c r="E84" s="773">
        <v>0.45179780476211684</v>
      </c>
      <c r="F84" s="771">
        <v>-0.8088626562858886</v>
      </c>
      <c r="G84" s="774">
        <v>0.37632425762667576</v>
      </c>
      <c r="H84" s="773">
        <v>0.26600000000000001</v>
      </c>
      <c r="I84" s="771">
        <v>0.52</v>
      </c>
      <c r="J84" s="601">
        <v>5.2290000000000001</v>
      </c>
      <c r="K84" s="426" t="str">
        <f t="shared" si="651"/>
        <v>1313</v>
      </c>
      <c r="L84" s="327"/>
      <c r="M84" s="173">
        <f t="shared" si="469"/>
        <v>5.2290000000000001</v>
      </c>
      <c r="N84" s="21">
        <f t="shared" si="470"/>
        <v>-3.2299614394137053</v>
      </c>
      <c r="O84" s="5">
        <f t="shared" si="471"/>
        <v>-2.9862664033147039</v>
      </c>
      <c r="P84" s="10">
        <f t="shared" si="472"/>
        <v>-0.28000084448254703</v>
      </c>
      <c r="Q84" s="624">
        <f t="shared" si="528"/>
        <v>222.75498083255226</v>
      </c>
      <c r="R84" s="5">
        <f t="shared" si="83"/>
        <v>4.3989132671224143</v>
      </c>
      <c r="S84" s="6">
        <f t="shared" si="84"/>
        <v>-0.28000084448254703</v>
      </c>
      <c r="T84" s="4">
        <f t="shared" si="85"/>
        <v>-2.9869428192579175</v>
      </c>
      <c r="U84" s="5">
        <f t="shared" si="86"/>
        <v>3.2293359264946653</v>
      </c>
      <c r="V84" s="8">
        <f t="shared" si="117"/>
        <v>-0.28000084448254703</v>
      </c>
      <c r="W84" s="624">
        <f t="shared" si="652"/>
        <v>132.76698083081968</v>
      </c>
      <c r="X84" s="5">
        <f t="shared" si="87"/>
        <v>4.3989132671224143</v>
      </c>
      <c r="Y84" s="7">
        <f t="shared" si="650"/>
        <v>-0.28000084448254703</v>
      </c>
      <c r="Z84" s="21">
        <f t="shared" si="473"/>
        <v>-0.45179780476211684</v>
      </c>
      <c r="AA84" s="5">
        <f t="shared" si="474"/>
        <v>0.8088626562858886</v>
      </c>
      <c r="AB84" s="5">
        <f t="shared" si="475"/>
        <v>-0.37632425762667576</v>
      </c>
      <c r="AC84" s="8">
        <f t="shared" si="88"/>
        <v>1</v>
      </c>
      <c r="AD84" s="9">
        <f t="shared" si="118"/>
        <v>-0.45179780476211684</v>
      </c>
      <c r="AE84" s="5">
        <f t="shared" si="89"/>
        <v>0.8088626562858886</v>
      </c>
      <c r="AF84" s="10">
        <f t="shared" si="90"/>
        <v>-0.37632425762667576</v>
      </c>
      <c r="AG84" s="622">
        <f t="shared" si="91"/>
        <v>65.049743286746846</v>
      </c>
      <c r="AH84" s="623">
        <f t="shared" si="92"/>
        <v>116.85908786919879</v>
      </c>
      <c r="AI84" s="624">
        <f t="shared" si="93"/>
        <v>-67.893816286447304</v>
      </c>
      <c r="AJ84" s="625">
        <f t="shared" si="94"/>
        <v>-150.81404933863104</v>
      </c>
      <c r="AK84" s="4">
        <f t="shared" si="213"/>
        <v>0.90062784930270778</v>
      </c>
      <c r="AL84" s="5">
        <f t="shared" si="95"/>
        <v>-0.21736957050633954</v>
      </c>
      <c r="AM84" s="6">
        <f t="shared" si="96"/>
        <v>-0.37632425762667576</v>
      </c>
      <c r="AN84" s="612">
        <f t="shared" si="97"/>
        <v>-30.01126443373213</v>
      </c>
      <c r="AO84" s="613">
        <f t="shared" si="466"/>
        <v>25.75928166177064</v>
      </c>
      <c r="AP84" s="624">
        <f t="shared" si="99"/>
        <v>-13.5690301711833</v>
      </c>
      <c r="AQ84" s="625">
        <f t="shared" si="476"/>
        <v>2.8169954052753368</v>
      </c>
      <c r="AS84" s="56">
        <f t="shared" si="550"/>
        <v>-227.23301916918032</v>
      </c>
      <c r="AT84" s="77">
        <f t="shared" si="477"/>
        <v>0.57848033903892226</v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>
        <f>IFERROR(IF($IU84="","",IF($IU84&lt;(((Settings!$C$19/2)*-1)*$IE$8),"",1)),"")</f>
        <v>1</v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2"/>
        <v>5.2290000000000001</v>
      </c>
      <c r="IH84" s="797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5.1289999999999996</v>
      </c>
      <c r="II84" s="800" cm="1">
        <f t="array" ref="II84">IFERROR(IF($IH84&lt;1,$IH84+LARGE((IF($M$9:$M$150="",0,$M$9:$M$150)-MOD(IF($M$9:$M$150="",0,$M$9:$M$150),1)),1),$IH84),"")</f>
        <v>5.1289999999999996</v>
      </c>
      <c r="IJ84" s="839" t="str">
        <f t="shared" si="523"/>
        <v>1613</v>
      </c>
      <c r="IK84" s="839" t="str">
        <f t="shared" si="524"/>
        <v>1313</v>
      </c>
      <c r="IL84" s="791">
        <f t="shared" si="654"/>
        <v>13.320998076685868</v>
      </c>
      <c r="IM84" s="830">
        <v>2.8595207746674399E-3</v>
      </c>
      <c r="IN84" s="5">
        <f t="shared" si="655"/>
        <v>0.04</v>
      </c>
      <c r="IO84" s="852">
        <v>20</v>
      </c>
      <c r="IP84" s="9">
        <f t="shared" si="656"/>
        <v>-4.3827132182630661</v>
      </c>
      <c r="IQ84" s="5">
        <f t="shared" si="657"/>
        <v>-0.33670101549026232</v>
      </c>
      <c r="IR84" s="5">
        <f t="shared" si="525"/>
        <v>0.314</v>
      </c>
      <c r="IS84" s="5">
        <f t="shared" si="658"/>
        <v>0.3013998823550374</v>
      </c>
      <c r="IT84" s="791">
        <f t="shared" si="659"/>
        <v>38.597051743587912</v>
      </c>
      <c r="IU84" s="9">
        <f t="shared" si="660"/>
        <v>-4.3989132671224143</v>
      </c>
      <c r="IV84" s="5">
        <f t="shared" si="661"/>
        <v>-0.28000084448254703</v>
      </c>
      <c r="IW84" s="5">
        <f t="shared" si="526"/>
        <v>0.26600000000000001</v>
      </c>
      <c r="IX84" s="5">
        <f t="shared" si="662"/>
        <v>0.23956700791452029</v>
      </c>
      <c r="IY84" s="833">
        <f t="shared" si="663"/>
        <v>30.01126443373213</v>
      </c>
    </row>
    <row r="85" spans="1:259" ht="15" customHeight="1" x14ac:dyDescent="0.25">
      <c r="A85" s="84">
        <f t="shared" si="527"/>
        <v>0.02</v>
      </c>
      <c r="B85" s="770">
        <v>-3.6930777611923213</v>
      </c>
      <c r="C85" s="771">
        <v>-3.4612300462379482</v>
      </c>
      <c r="D85" s="772">
        <v>-0.74760225476840048</v>
      </c>
      <c r="E85" s="773">
        <v>0.38844143137375903</v>
      </c>
      <c r="F85" s="771">
        <v>-0.86563894565167077</v>
      </c>
      <c r="G85" s="774">
        <v>0.31588363389604279</v>
      </c>
      <c r="H85" s="773">
        <v>0.26600000000000001</v>
      </c>
      <c r="I85" s="771">
        <v>0.52</v>
      </c>
      <c r="J85" s="601">
        <v>5.2359999999999998</v>
      </c>
      <c r="K85" s="426" t="str">
        <f t="shared" si="651"/>
        <v>1313</v>
      </c>
      <c r="L85" s="327"/>
      <c r="M85" s="173">
        <f t="shared" si="469"/>
        <v>5.2359999999999998</v>
      </c>
      <c r="N85" s="21">
        <f t="shared" si="470"/>
        <v>-3.6930777611923213</v>
      </c>
      <c r="O85" s="5">
        <f t="shared" si="471"/>
        <v>-3.4612300462379482</v>
      </c>
      <c r="P85" s="10">
        <f t="shared" si="472"/>
        <v>-0.74760225476840048</v>
      </c>
      <c r="Q85" s="624">
        <f t="shared" si="528"/>
        <v>223.14388077640206</v>
      </c>
      <c r="R85" s="5">
        <f t="shared" si="83"/>
        <v>5.0615152655300406</v>
      </c>
      <c r="S85" s="6">
        <f t="shared" si="84"/>
        <v>-0.74760225476840048</v>
      </c>
      <c r="T85" s="4">
        <f t="shared" si="85"/>
        <v>-3.4620034466049487</v>
      </c>
      <c r="U85" s="5">
        <f t="shared" si="86"/>
        <v>3.6923527619783418</v>
      </c>
      <c r="V85" s="8">
        <f t="shared" si="117"/>
        <v>-0.74760225476840048</v>
      </c>
      <c r="W85" s="624">
        <f t="shared" si="652"/>
        <v>133.15588077466947</v>
      </c>
      <c r="X85" s="5">
        <f t="shared" si="87"/>
        <v>5.0615152655300406</v>
      </c>
      <c r="Y85" s="7">
        <f t="shared" si="650"/>
        <v>-0.74760225476840048</v>
      </c>
      <c r="Z85" s="21">
        <f t="shared" si="473"/>
        <v>-0.38844143137375903</v>
      </c>
      <c r="AA85" s="5">
        <f t="shared" si="474"/>
        <v>0.86563894565167077</v>
      </c>
      <c r="AB85" s="5">
        <f t="shared" si="475"/>
        <v>-0.31588363389604279</v>
      </c>
      <c r="AC85" s="8">
        <f t="shared" si="88"/>
        <v>1</v>
      </c>
      <c r="AD85" s="9">
        <f t="shared" si="118"/>
        <v>-0.38844143137375903</v>
      </c>
      <c r="AE85" s="5">
        <f t="shared" si="89"/>
        <v>0.86563894565167077</v>
      </c>
      <c r="AF85" s="10">
        <f t="shared" si="90"/>
        <v>-0.31588363389604279</v>
      </c>
      <c r="AG85" s="622">
        <f t="shared" si="91"/>
        <v>69.952274090959605</v>
      </c>
      <c r="AH85" s="623">
        <f t="shared" si="92"/>
        <v>112.85755541662633</v>
      </c>
      <c r="AI85" s="624">
        <f t="shared" si="93"/>
        <v>-71.585833799336328</v>
      </c>
      <c r="AJ85" s="625">
        <f t="shared" si="94"/>
        <v>-155.83261538723846</v>
      </c>
      <c r="AK85" s="4">
        <f t="shared" si="213"/>
        <v>0.8972327168131371</v>
      </c>
      <c r="AL85" s="5">
        <f t="shared" si="95"/>
        <v>-0.30853035785275351</v>
      </c>
      <c r="AM85" s="6">
        <f t="shared" si="96"/>
        <v>-0.31588363389604279</v>
      </c>
      <c r="AN85" s="612">
        <f t="shared" si="97"/>
        <v>-44.325299858573217</v>
      </c>
      <c r="AO85" s="613">
        <f t="shared" si="466"/>
        <v>26.203328866203321</v>
      </c>
      <c r="AP85" s="624">
        <f t="shared" si="99"/>
        <v>-18.976496163640526</v>
      </c>
      <c r="AQ85" s="625">
        <f t="shared" si="476"/>
        <v>2.4487056915889576</v>
      </c>
      <c r="AS85" s="56">
        <f t="shared" si="550"/>
        <v>-226.84411922533053</v>
      </c>
      <c r="AT85" s="77">
        <f t="shared" si="477"/>
        <v>0.10940975118741403</v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2"/>
        <v>5.2359999999999998</v>
      </c>
      <c r="IH85" s="797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5.1360000000000001</v>
      </c>
      <c r="II85" s="800" cm="1">
        <f t="array" ref="II85">IFERROR(IF($IH85&lt;1,$IH85+LARGE((IF($M$9:$M$150="",0,$M$9:$M$150)-MOD(IF($M$9:$M$150="",0,$M$9:$M$150),1)),1),$IH85),"")</f>
        <v>5.1360000000000001</v>
      </c>
      <c r="IJ85" s="839" t="str">
        <f t="shared" si="523"/>
        <v>1613</v>
      </c>
      <c r="IK85" s="839" t="str">
        <f t="shared" si="524"/>
        <v>1313</v>
      </c>
      <c r="IL85" s="791">
        <f t="shared" si="654"/>
        <v>11.920098278950718</v>
      </c>
      <c r="IM85" s="830">
        <v>2.2100671911190698E-3</v>
      </c>
      <c r="IN85" s="5">
        <f t="shared" si="655"/>
        <v>0.02</v>
      </c>
      <c r="IO85" s="852">
        <v>10</v>
      </c>
      <c r="IP85" s="9">
        <f t="shared" si="656"/>
        <v>-5.0346151843993958</v>
      </c>
      <c r="IQ85" s="5">
        <f t="shared" si="657"/>
        <v>-0.80060241461688264</v>
      </c>
      <c r="IR85" s="5">
        <f t="shared" si="525"/>
        <v>0.314</v>
      </c>
      <c r="IS85" s="5">
        <f t="shared" si="658"/>
        <v>0.30026368327599645</v>
      </c>
      <c r="IT85" s="791">
        <f t="shared" si="659"/>
        <v>54.532509464955645</v>
      </c>
      <c r="IU85" s="9">
        <f t="shared" si="660"/>
        <v>-5.0615152655300406</v>
      </c>
      <c r="IV85" s="5">
        <f t="shared" si="661"/>
        <v>-0.74760225476840048</v>
      </c>
      <c r="IW85" s="5">
        <f t="shared" si="526"/>
        <v>0.26600000000000001</v>
      </c>
      <c r="IX85" s="5">
        <f t="shared" si="662"/>
        <v>0.23866390267229448</v>
      </c>
      <c r="IY85" s="833">
        <f t="shared" si="663"/>
        <v>44.325299858573217</v>
      </c>
    </row>
    <row r="86" spans="1:259" ht="15" customHeight="1" x14ac:dyDescent="0.25">
      <c r="A86" s="84">
        <f t="shared" si="527"/>
        <v>0.02</v>
      </c>
      <c r="B86" s="770">
        <v>-4.0431972271601895</v>
      </c>
      <c r="C86" s="771">
        <v>-3.776413253860166</v>
      </c>
      <c r="D86" s="772">
        <v>-1.4049042371911795</v>
      </c>
      <c r="E86" s="773">
        <v>0.33535503371984055</v>
      </c>
      <c r="F86" s="771">
        <v>-0.91072478927440081</v>
      </c>
      <c r="G86" s="774">
        <v>0.24107542296937484</v>
      </c>
      <c r="H86" s="773">
        <v>0.26600000000000001</v>
      </c>
      <c r="I86" s="771">
        <v>0.52</v>
      </c>
      <c r="J86" s="601">
        <v>5.2430000000000003</v>
      </c>
      <c r="K86" s="426" t="str">
        <f t="shared" si="651"/>
        <v>1313</v>
      </c>
      <c r="L86" s="327"/>
      <c r="M86" s="173">
        <f t="shared" si="469"/>
        <v>5.2430000000000003</v>
      </c>
      <c r="N86" s="21">
        <f t="shared" si="470"/>
        <v>-4.0431972271601895</v>
      </c>
      <c r="O86" s="5">
        <f t="shared" si="471"/>
        <v>-3.776413253860166</v>
      </c>
      <c r="P86" s="10">
        <f t="shared" si="472"/>
        <v>-1.4049042371911795</v>
      </c>
      <c r="Q86" s="624">
        <f t="shared" si="528"/>
        <v>223.04598079053704</v>
      </c>
      <c r="R86" s="5">
        <f t="shared" si="83"/>
        <v>5.5325166860703252</v>
      </c>
      <c r="S86" s="6">
        <f t="shared" si="84"/>
        <v>-1.4049042371911795</v>
      </c>
      <c r="T86" s="4">
        <f t="shared" si="85"/>
        <v>-3.7772599761527808</v>
      </c>
      <c r="U86" s="5">
        <f t="shared" si="86"/>
        <v>4.0424062084606076</v>
      </c>
      <c r="V86" s="8">
        <f t="shared" si="117"/>
        <v>-1.4049042371911795</v>
      </c>
      <c r="W86" s="624">
        <f t="shared" si="652"/>
        <v>133.05798078880446</v>
      </c>
      <c r="X86" s="5">
        <f t="shared" si="87"/>
        <v>5.5325166860703252</v>
      </c>
      <c r="Y86" s="7">
        <f t="shared" si="650"/>
        <v>-1.4049042371911795</v>
      </c>
      <c r="Z86" s="21">
        <f t="shared" si="473"/>
        <v>-0.33535503371984055</v>
      </c>
      <c r="AA86" s="5">
        <f t="shared" si="474"/>
        <v>0.91072478927440081</v>
      </c>
      <c r="AB86" s="5">
        <f t="shared" si="475"/>
        <v>-0.24107542296937484</v>
      </c>
      <c r="AC86" s="8">
        <f t="shared" si="88"/>
        <v>1</v>
      </c>
      <c r="AD86" s="9">
        <f t="shared" si="118"/>
        <v>-0.33535503371984055</v>
      </c>
      <c r="AE86" s="5">
        <f t="shared" si="89"/>
        <v>0.91072478927440081</v>
      </c>
      <c r="AF86" s="10">
        <f t="shared" si="90"/>
        <v>-0.24107542296937484</v>
      </c>
      <c r="AG86" s="622">
        <f t="shared" si="91"/>
        <v>75.173448652721575</v>
      </c>
      <c r="AH86" s="623">
        <f t="shared" si="92"/>
        <v>109.59412880159503</v>
      </c>
      <c r="AI86" s="624">
        <f t="shared" si="93"/>
        <v>-76.049978620560296</v>
      </c>
      <c r="AJ86" s="625">
        <f t="shared" si="94"/>
        <v>-159.78484344572712</v>
      </c>
      <c r="AK86" s="4">
        <f t="shared" si="213"/>
        <v>0.89447161528646335</v>
      </c>
      <c r="AL86" s="5">
        <f t="shared" si="95"/>
        <v>-0.37656761662012617</v>
      </c>
      <c r="AM86" s="6">
        <f t="shared" si="96"/>
        <v>-0.24107542296937484</v>
      </c>
      <c r="AN86" s="612">
        <f t="shared" si="97"/>
        <v>-57.372969890885777</v>
      </c>
      <c r="AO86" s="613">
        <f t="shared" si="466"/>
        <v>26.559359093812379</v>
      </c>
      <c r="AP86" s="624">
        <f t="shared" si="99"/>
        <v>-22.830824236264132</v>
      </c>
      <c r="AQ86" s="625">
        <f t="shared" si="476"/>
        <v>2.2404615969724495</v>
      </c>
      <c r="AS86" s="56">
        <f t="shared" si="550"/>
        <v>-226.94201921119554</v>
      </c>
      <c r="AT86" s="77">
        <f t="shared" si="477"/>
        <v>-0.54752238684431942</v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2"/>
        <v>5.2430000000000003</v>
      </c>
      <c r="IH86" s="797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5.1429999999999998</v>
      </c>
      <c r="II86" s="800" cm="1">
        <f t="array" ref="II86">IFERROR(IF($IH86&lt;1,$IH86+LARGE((IF($M$9:$M$150="",0,$M$9:$M$150)-MOD(IF($M$9:$M$150="",0,$M$9:$M$150),1)),1),$IH86),"")</f>
        <v>5.1429999999999998</v>
      </c>
      <c r="IJ86" s="839" t="str">
        <f t="shared" si="523"/>
        <v>1613</v>
      </c>
      <c r="IK86" s="839" t="str">
        <f t="shared" si="524"/>
        <v>1313</v>
      </c>
      <c r="IL86" s="791">
        <f t="shared" si="654"/>
        <v>11.250998375556833</v>
      </c>
      <c r="IM86" s="830">
        <v>1.6502252938449299E-3</v>
      </c>
      <c r="IN86" s="5">
        <f t="shared" si="655"/>
        <v>0.02</v>
      </c>
      <c r="IO86" s="852">
        <v>10</v>
      </c>
      <c r="IP86" s="9">
        <f t="shared" si="656"/>
        <v>-5.4958165753827943</v>
      </c>
      <c r="IQ86" s="5">
        <f t="shared" si="657"/>
        <v>-1.4522043798484106</v>
      </c>
      <c r="IR86" s="5">
        <f t="shared" si="525"/>
        <v>0.314</v>
      </c>
      <c r="IS86" s="5">
        <f t="shared" si="658"/>
        <v>0.29933966601853074</v>
      </c>
      <c r="IT86" s="791">
        <f t="shared" si="659"/>
        <v>68.492697037887027</v>
      </c>
      <c r="IU86" s="9">
        <f t="shared" si="660"/>
        <v>-5.5325166860703252</v>
      </c>
      <c r="IV86" s="5">
        <f t="shared" si="661"/>
        <v>-1.4049042371911795</v>
      </c>
      <c r="IW86" s="5">
        <f t="shared" si="526"/>
        <v>0.26600000000000001</v>
      </c>
      <c r="IX86" s="5">
        <f t="shared" si="662"/>
        <v>0.23792944966619928</v>
      </c>
      <c r="IY86" s="833">
        <f t="shared" si="663"/>
        <v>57.372969890885777</v>
      </c>
    </row>
    <row r="87" spans="1:259" ht="15" customHeight="1" x14ac:dyDescent="0.25">
      <c r="A87" s="84">
        <f t="shared" si="527"/>
        <v>0.02</v>
      </c>
      <c r="B87" s="770">
        <v>-4.2436173742057965</v>
      </c>
      <c r="C87" s="771">
        <v>-3.9188715893481243</v>
      </c>
      <c r="D87" s="772">
        <v>-2.1737065558989728</v>
      </c>
      <c r="E87" s="773">
        <v>0.28128121416416368</v>
      </c>
      <c r="F87" s="771">
        <v>-0.94564268338856639</v>
      </c>
      <c r="G87" s="774">
        <v>0.16322007815218614</v>
      </c>
      <c r="H87" s="773">
        <v>0.26600000000000001</v>
      </c>
      <c r="I87" s="771">
        <v>0.52</v>
      </c>
      <c r="J87" s="601">
        <v>5.25</v>
      </c>
      <c r="K87" s="426" t="str">
        <f t="shared" si="651"/>
        <v>1313</v>
      </c>
      <c r="L87" s="327"/>
      <c r="M87" s="173">
        <f t="shared" si="469"/>
        <v>5.25</v>
      </c>
      <c r="N87" s="21">
        <f t="shared" si="470"/>
        <v>-4.2436173742057965</v>
      </c>
      <c r="O87" s="5">
        <f t="shared" si="471"/>
        <v>-3.9188715893481243</v>
      </c>
      <c r="P87" s="10">
        <f t="shared" si="472"/>
        <v>-2.1737065558989728</v>
      </c>
      <c r="Q87" s="624">
        <f t="shared" si="528"/>
        <v>222.7216808373602</v>
      </c>
      <c r="R87" s="5">
        <f t="shared" si="83"/>
        <v>5.7763174213733439</v>
      </c>
      <c r="S87" s="6">
        <f t="shared" si="84"/>
        <v>-2.1737065558989728</v>
      </c>
      <c r="T87" s="4">
        <f t="shared" si="85"/>
        <v>-3.9197602844073525</v>
      </c>
      <c r="U87" s="5">
        <f t="shared" si="86"/>
        <v>4.2427965147110216</v>
      </c>
      <c r="V87" s="8">
        <f t="shared" si="117"/>
        <v>-2.1737065558989728</v>
      </c>
      <c r="W87" s="624">
        <f t="shared" si="652"/>
        <v>132.73368083562761</v>
      </c>
      <c r="X87" s="5">
        <f t="shared" si="87"/>
        <v>5.7763174213733439</v>
      </c>
      <c r="Y87" s="7">
        <f t="shared" si="650"/>
        <v>-2.1737065558989728</v>
      </c>
      <c r="Z87" s="21">
        <f t="shared" si="473"/>
        <v>-0.28128121416416368</v>
      </c>
      <c r="AA87" s="5">
        <f t="shared" si="474"/>
        <v>0.94564268338856639</v>
      </c>
      <c r="AB87" s="5">
        <f t="shared" si="475"/>
        <v>-0.16322007815218614</v>
      </c>
      <c r="AC87" s="8">
        <f t="shared" si="88"/>
        <v>1</v>
      </c>
      <c r="AD87" s="9">
        <f t="shared" si="118"/>
        <v>-0.28128121416416368</v>
      </c>
      <c r="AE87" s="5">
        <f t="shared" si="89"/>
        <v>0.94564268338856639</v>
      </c>
      <c r="AF87" s="10">
        <f t="shared" si="90"/>
        <v>-0.16322007815218614</v>
      </c>
      <c r="AG87" s="622">
        <f t="shared" si="91"/>
        <v>80.207105857650035</v>
      </c>
      <c r="AH87" s="623">
        <f t="shared" si="92"/>
        <v>106.33668645725307</v>
      </c>
      <c r="AI87" s="624">
        <f t="shared" si="93"/>
        <v>-80.60614922840476</v>
      </c>
      <c r="AJ87" s="625">
        <f t="shared" si="94"/>
        <v>-163.43490149120836</v>
      </c>
      <c r="AK87" s="4">
        <f t="shared" si="213"/>
        <v>0.88555567616424813</v>
      </c>
      <c r="AL87" s="5">
        <f t="shared" si="95"/>
        <v>-0.43491418751435984</v>
      </c>
      <c r="AM87" s="6">
        <f t="shared" si="96"/>
        <v>-0.16322007815218614</v>
      </c>
      <c r="AN87" s="612">
        <f t="shared" si="97"/>
        <v>-69.42925811141717</v>
      </c>
      <c r="AO87" s="613">
        <f t="shared" si="466"/>
        <v>27.680019257114459</v>
      </c>
      <c r="AP87" s="624">
        <f t="shared" si="99"/>
        <v>-26.156582328568543</v>
      </c>
      <c r="AQ87" s="625">
        <f t="shared" si="476"/>
        <v>2.1459889068184568</v>
      </c>
      <c r="AS87" s="56">
        <f t="shared" si="550"/>
        <v>-227.26631916437239</v>
      </c>
      <c r="AT87" s="77">
        <f t="shared" si="477"/>
        <v>-1.3150995723956669</v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2"/>
        <v>5.25</v>
      </c>
      <c r="IH87" s="797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5.15</v>
      </c>
      <c r="II87" s="800" cm="1">
        <f t="array" ref="II87">IFERROR(IF($IH87&lt;1,$IH87+LARGE((IF($M$9:$M$150="",0,$M$9:$M$150)-MOD(IF($M$9:$M$150="",0,$M$9:$M$150),1)),1),$IH87),"")</f>
        <v>5.15</v>
      </c>
      <c r="IJ87" s="839" t="str">
        <f t="shared" si="523"/>
        <v>1613</v>
      </c>
      <c r="IK87" s="839" t="str">
        <f t="shared" si="524"/>
        <v>1313</v>
      </c>
      <c r="IL87" s="791">
        <f t="shared" si="654"/>
        <v>11.173298386775315</v>
      </c>
      <c r="IM87" s="830">
        <v>1.1864397731111099E-3</v>
      </c>
      <c r="IN87" s="5">
        <f t="shared" si="655"/>
        <v>0</v>
      </c>
      <c r="IO87" s="852">
        <v>0</v>
      </c>
      <c r="IP87" s="9">
        <f t="shared" si="656"/>
        <v>-5.729917281430521</v>
      </c>
      <c r="IQ87" s="5">
        <f t="shared" si="657"/>
        <v>-2.2130066744281298</v>
      </c>
      <c r="IR87" s="5">
        <f t="shared" si="525"/>
        <v>0.314</v>
      </c>
      <c r="IS87" s="5">
        <f t="shared" si="658"/>
        <v>0.2973904105175692</v>
      </c>
      <c r="IT87" s="791">
        <f t="shared" si="659"/>
        <v>80.026838257156882</v>
      </c>
      <c r="IU87" s="9">
        <f t="shared" si="660"/>
        <v>-5.7763174213733439</v>
      </c>
      <c r="IV87" s="5">
        <f t="shared" si="661"/>
        <v>-2.1737065558989728</v>
      </c>
      <c r="IW87" s="5">
        <f t="shared" si="526"/>
        <v>0.26600000000000001</v>
      </c>
      <c r="IX87" s="5">
        <f t="shared" si="662"/>
        <v>0.23555780985969002</v>
      </c>
      <c r="IY87" s="833">
        <f t="shared" si="663"/>
        <v>69.42925811141717</v>
      </c>
    </row>
    <row r="88" spans="1:259" ht="15" customHeight="1" x14ac:dyDescent="0.25">
      <c r="A88" s="84">
        <f t="shared" si="527"/>
        <v>0</v>
      </c>
      <c r="B88" s="770">
        <v>-4.4602949751953478</v>
      </c>
      <c r="C88" s="771">
        <v>-3.7956436250552312</v>
      </c>
      <c r="D88" s="772">
        <v>-3.0005090495352933</v>
      </c>
      <c r="E88" s="773">
        <v>-0.69707270601708216</v>
      </c>
      <c r="F88" s="771">
        <v>-0.59319863726087652</v>
      </c>
      <c r="G88" s="774">
        <v>0.40274684266653404</v>
      </c>
      <c r="H88" s="773">
        <v>0.25700000000000001</v>
      </c>
      <c r="I88" s="771">
        <v>0.41499999999999992</v>
      </c>
      <c r="J88" s="601">
        <v>5.2569999999999997</v>
      </c>
      <c r="K88" s="426" t="str">
        <f t="shared" si="651"/>
        <v>Knuckle</v>
      </c>
      <c r="L88" s="327"/>
      <c r="M88" s="173">
        <f t="shared" si="469"/>
        <v>5.2569999999999997</v>
      </c>
      <c r="N88" s="21">
        <f t="shared" si="470"/>
        <v>-4.4602949751953478</v>
      </c>
      <c r="O88" s="5">
        <f t="shared" si="471"/>
        <v>-3.7956436250552312</v>
      </c>
      <c r="P88" s="10">
        <f t="shared" si="472"/>
        <v>-3.0005090495352933</v>
      </c>
      <c r="Q88" s="624">
        <f t="shared" si="528"/>
        <v>220.39728117296195</v>
      </c>
      <c r="R88" s="5">
        <f t="shared" si="83"/>
        <v>5.8567176638604739</v>
      </c>
      <c r="S88" s="6">
        <f t="shared" si="84"/>
        <v>-3.0005090495352933</v>
      </c>
      <c r="T88" s="4">
        <f t="shared" si="85"/>
        <v>-3.7965777036608959</v>
      </c>
      <c r="U88" s="5">
        <f t="shared" si="86"/>
        <v>4.4594999197488772</v>
      </c>
      <c r="V88" s="8">
        <f t="shared" si="117"/>
        <v>-3.0005090495352933</v>
      </c>
      <c r="W88" s="624">
        <f t="shared" si="652"/>
        <v>130.40928117122937</v>
      </c>
      <c r="X88" s="5">
        <f t="shared" si="87"/>
        <v>5.8567176638604739</v>
      </c>
      <c r="Y88" s="7">
        <f t="shared" si="650"/>
        <v>-3.0005090495352933</v>
      </c>
      <c r="Z88" s="21">
        <f t="shared" si="473"/>
        <v>0.69707270601708216</v>
      </c>
      <c r="AA88" s="5">
        <f t="shared" si="474"/>
        <v>0.59319863726087652</v>
      </c>
      <c r="AB88" s="5">
        <f t="shared" si="475"/>
        <v>-0.40274684266653404</v>
      </c>
      <c r="AC88" s="8">
        <f t="shared" si="88"/>
        <v>1</v>
      </c>
      <c r="AD88" s="9">
        <f t="shared" si="118"/>
        <v>0.69707270601708216</v>
      </c>
      <c r="AE88" s="5">
        <f t="shared" si="89"/>
        <v>0.59319863726087652</v>
      </c>
      <c r="AF88" s="10">
        <f t="shared" si="90"/>
        <v>-0.40274684266653404</v>
      </c>
      <c r="AG88" s="622">
        <f t="shared" si="91"/>
        <v>55.825811361747974</v>
      </c>
      <c r="AH88" s="623">
        <f t="shared" si="92"/>
        <v>45.807383929149111</v>
      </c>
      <c r="AI88" s="624">
        <f t="shared" si="93"/>
        <v>-66.2499904346855</v>
      </c>
      <c r="AJ88" s="625">
        <f t="shared" si="94"/>
        <v>130.39729536964981</v>
      </c>
      <c r="AK88" s="4">
        <f t="shared" si="213"/>
        <v>2.2679489702914779E-7</v>
      </c>
      <c r="AL88" s="5">
        <f t="shared" si="95"/>
        <v>-0.9153114118823642</v>
      </c>
      <c r="AM88" s="6">
        <f t="shared" si="96"/>
        <v>-0.40274684266653404</v>
      </c>
      <c r="AN88" s="612">
        <f t="shared" si="97"/>
        <v>-66.249990434684875</v>
      </c>
      <c r="AO88" s="613">
        <f t="shared" si="466"/>
        <v>0</v>
      </c>
      <c r="AP88" s="624">
        <f t="shared" si="99"/>
        <v>-89.999985803312143</v>
      </c>
      <c r="AQ88" s="625">
        <f t="shared" si="476"/>
        <v>2.1165560360710649</v>
      </c>
      <c r="AS88" s="56">
        <f t="shared" si="550"/>
        <v>-229.59071882877063</v>
      </c>
      <c r="AT88" s="77">
        <f t="shared" si="477"/>
        <v>-2.1331210006331496</v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 t="str">
        <f>IFERROR(IF($IU88="","",IF($IU88&lt;(((Settings!$C$19/2)*-1)*$IE$8),"",1)),"")</f>
        <v/>
      </c>
      <c r="IF88" s="91">
        <f>IFERROR(IF((((($IW88*COS(RADIANS(180-$IY88)))*COS(RADIANS($IY88)))-(($IX88*SIN(RADIANS(180-$IY88)))*SIN(RADIANS($IY88))))+$IU88)&lt;(((Settings!$C$19/2)*-1)+$IF$8),1,""),"")</f>
        <v>1</v>
      </c>
      <c r="IG88" s="836">
        <f t="shared" si="522"/>
        <v>5.2569999999999997</v>
      </c>
      <c r="IH88" s="797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5.157</v>
      </c>
      <c r="II88" s="800" cm="1">
        <f t="array" ref="II88">IFERROR(IF($IH88&lt;1,$IH88+LARGE((IF($M$9:$M$150="",0,$M$9:$M$150)-MOD(IF($M$9:$M$150="",0,$M$9:$M$150),1)),1),$IH88),"")</f>
        <v>5.157</v>
      </c>
      <c r="IJ88" s="839" t="str">
        <f t="shared" si="523"/>
        <v>1613</v>
      </c>
      <c r="IK88" s="839" t="str">
        <f t="shared" si="524"/>
        <v>Knuckle</v>
      </c>
      <c r="IL88" s="791">
        <f t="shared" si="654"/>
        <v>13.309698078317382</v>
      </c>
      <c r="IM88" s="830">
        <v>2.50595944348621E-4</v>
      </c>
      <c r="IN88" s="5">
        <f t="shared" si="655"/>
        <v>0</v>
      </c>
      <c r="IO88" s="852">
        <v>0</v>
      </c>
      <c r="IP88" s="9">
        <f t="shared" si="656"/>
        <v>-5.8376176062547014</v>
      </c>
      <c r="IQ88" s="5">
        <f t="shared" si="657"/>
        <v>-3.0056090649169396</v>
      </c>
      <c r="IR88" s="5">
        <f t="shared" si="525"/>
        <v>0.314</v>
      </c>
      <c r="IS88" s="5">
        <f t="shared" si="658"/>
        <v>0.27294149081339419</v>
      </c>
      <c r="IT88" s="791">
        <f t="shared" si="659"/>
        <v>87.045049920352355</v>
      </c>
      <c r="IU88" s="9">
        <f t="shared" si="660"/>
        <v>-5.8567176638604739</v>
      </c>
      <c r="IV88" s="5">
        <f t="shared" si="661"/>
        <v>-3.0005090495352933</v>
      </c>
      <c r="IW88" s="5">
        <f t="shared" si="526"/>
        <v>0.25700000000000001</v>
      </c>
      <c r="IX88" s="5">
        <f t="shared" si="662"/>
        <v>0.25700000000000001</v>
      </c>
      <c r="IY88" s="833">
        <f t="shared" si="663"/>
        <v>66.249990434684875</v>
      </c>
    </row>
    <row r="89" spans="1:259" ht="15" customHeight="1" x14ac:dyDescent="0.25">
      <c r="A89" s="84">
        <f t="shared" si="527"/>
        <v>0.02</v>
      </c>
      <c r="B89" s="770">
        <v>-2.6650417036575975</v>
      </c>
      <c r="C89" s="771">
        <v>-0.46560286437538095</v>
      </c>
      <c r="D89" s="772">
        <v>-0.14580043973412585</v>
      </c>
      <c r="E89" s="773">
        <v>0.22109601650503657</v>
      </c>
      <c r="F89" s="771">
        <v>-0.91504439830171291</v>
      </c>
      <c r="G89" s="774">
        <v>0.33735782282653654</v>
      </c>
      <c r="H89" s="773">
        <v>0.314</v>
      </c>
      <c r="I89" s="771">
        <v>0.52</v>
      </c>
      <c r="J89" s="601">
        <v>6.1139999999999999</v>
      </c>
      <c r="K89" s="426" t="str">
        <f t="shared" si="651"/>
        <v>1613</v>
      </c>
      <c r="L89" s="327"/>
      <c r="M89" s="173">
        <f t="shared" si="469"/>
        <v>6.1139999999999999</v>
      </c>
      <c r="N89" s="21">
        <f t="shared" si="470"/>
        <v>-2.6650417036575975</v>
      </c>
      <c r="O89" s="5">
        <f t="shared" si="471"/>
        <v>-0.46560286437538095</v>
      </c>
      <c r="P89" s="10">
        <f t="shared" si="472"/>
        <v>-0.14580043973412585</v>
      </c>
      <c r="Q89" s="624">
        <f t="shared" si="528"/>
        <v>189.90998557478287</v>
      </c>
      <c r="R89" s="5">
        <f t="shared" si="83"/>
        <v>2.7054081595110095</v>
      </c>
      <c r="S89" s="6">
        <f t="shared" si="84"/>
        <v>-0.14580043973412585</v>
      </c>
      <c r="T89" s="4">
        <f t="shared" si="85"/>
        <v>-0.4661610191080825</v>
      </c>
      <c r="U89" s="5">
        <f t="shared" si="86"/>
        <v>2.6649441295856207</v>
      </c>
      <c r="V89" s="8">
        <f t="shared" si="117"/>
        <v>-0.14580043973412585</v>
      </c>
      <c r="W89" s="624">
        <f t="shared" si="652"/>
        <v>99.921985573050279</v>
      </c>
      <c r="X89" s="5">
        <f t="shared" si="87"/>
        <v>2.7054081595110095</v>
      </c>
      <c r="Y89" s="7">
        <f t="shared" si="650"/>
        <v>-0.14580043973412585</v>
      </c>
      <c r="Z89" s="21">
        <f t="shared" si="473"/>
        <v>-0.22109601650503657</v>
      </c>
      <c r="AA89" s="5">
        <f t="shared" si="474"/>
        <v>0.91504439830171291</v>
      </c>
      <c r="AB89" s="5">
        <f t="shared" si="475"/>
        <v>-0.33735782282653654</v>
      </c>
      <c r="AC89" s="8">
        <f t="shared" si="88"/>
        <v>1</v>
      </c>
      <c r="AD89" s="9">
        <f t="shared" si="118"/>
        <v>-0.22109601650503657</v>
      </c>
      <c r="AE89" s="5">
        <f t="shared" si="89"/>
        <v>0.91504439830171291</v>
      </c>
      <c r="AF89" s="10">
        <f t="shared" si="90"/>
        <v>-0.33735782282653654</v>
      </c>
      <c r="AG89" s="622">
        <f t="shared" si="91"/>
        <v>69.762119346800077</v>
      </c>
      <c r="AH89" s="623">
        <f t="shared" si="92"/>
        <v>102.77341546441778</v>
      </c>
      <c r="AI89" s="624">
        <f t="shared" si="93"/>
        <v>-70.284020122954232</v>
      </c>
      <c r="AJ89" s="625">
        <f t="shared" si="94"/>
        <v>-166.41635824866532</v>
      </c>
      <c r="AK89" s="4">
        <f t="shared" si="213"/>
        <v>0.93944213623516526</v>
      </c>
      <c r="AL89" s="5">
        <f t="shared" si="95"/>
        <v>6.0317261572856468E-2</v>
      </c>
      <c r="AM89" s="6">
        <f t="shared" si="96"/>
        <v>-0.33735782282653654</v>
      </c>
      <c r="AN89" s="612">
        <f t="shared" si="97"/>
        <v>10.136981282530328</v>
      </c>
      <c r="AO89" s="613">
        <f t="shared" si="466"/>
        <v>20.041919457474275</v>
      </c>
      <c r="AP89" s="624">
        <f t="shared" si="99"/>
        <v>3.6736561765518334</v>
      </c>
      <c r="AQ89" s="625">
        <f t="shared" si="476"/>
        <v>4.5743015135441105</v>
      </c>
      <c r="AS89" s="56">
        <f t="shared" si="550"/>
        <v>-260.07801442694972</v>
      </c>
      <c r="AT89" s="77">
        <f t="shared" si="477"/>
        <v>0.83676183698336115</v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>
        <f t="shared" si="522"/>
        <v>6.1139999999999999</v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3"/>
        <v/>
      </c>
      <c r="IK89" s="839" t="str">
        <f t="shared" si="524"/>
        <v/>
      </c>
      <c r="IL89" s="791" t="str">
        <f t="shared" si="654"/>
        <v/>
      </c>
      <c r="IM89" s="830"/>
      <c r="IN89" s="5" t="str">
        <f t="shared" si="655"/>
        <v/>
      </c>
      <c r="IO89" s="852"/>
      <c r="IP89" s="9" t="str">
        <f t="shared" si="656"/>
        <v/>
      </c>
      <c r="IQ89" s="5" t="str">
        <f t="shared" si="657"/>
        <v/>
      </c>
      <c r="IR89" s="5" t="str">
        <f t="shared" si="525"/>
        <v/>
      </c>
      <c r="IS89" s="5" t="str">
        <f t="shared" si="658"/>
        <v/>
      </c>
      <c r="IT89" s="791" t="str">
        <f t="shared" si="659"/>
        <v/>
      </c>
      <c r="IU89" s="9" t="str">
        <f t="shared" si="660"/>
        <v/>
      </c>
      <c r="IV89" s="5" t="str">
        <f t="shared" si="661"/>
        <v/>
      </c>
      <c r="IW89" s="5" t="str">
        <f t="shared" si="526"/>
        <v/>
      </c>
      <c r="IX89" s="5" t="str">
        <f t="shared" si="662"/>
        <v/>
      </c>
      <c r="IY89" s="833" t="str">
        <f t="shared" si="663"/>
        <v/>
      </c>
    </row>
    <row r="90" spans="1:259" ht="15" customHeight="1" x14ac:dyDescent="0.25">
      <c r="A90" s="84">
        <f t="shared" si="527"/>
        <v>0.02</v>
      </c>
      <c r="B90" s="770">
        <v>-3.4581094700363368</v>
      </c>
      <c r="C90" s="771">
        <v>-0.56219674797872532</v>
      </c>
      <c r="D90" s="772">
        <v>-8.9500269932813944E-2</v>
      </c>
      <c r="E90" s="773">
        <v>7.3489666402068318E-2</v>
      </c>
      <c r="F90" s="771">
        <v>-0.96434817711772636</v>
      </c>
      <c r="G90" s="774">
        <v>0.25422797293341082</v>
      </c>
      <c r="H90" s="773">
        <v>0.314</v>
      </c>
      <c r="I90" s="771">
        <v>0.52</v>
      </c>
      <c r="J90" s="601">
        <v>6.1210000000000004</v>
      </c>
      <c r="K90" s="426" t="str">
        <f t="shared" si="651"/>
        <v>1613</v>
      </c>
      <c r="L90" s="327"/>
      <c r="M90" s="173">
        <f t="shared" si="469"/>
        <v>6.1210000000000004</v>
      </c>
      <c r="N90" s="21">
        <f t="shared" si="470"/>
        <v>-3.4581094700363368</v>
      </c>
      <c r="O90" s="5">
        <f t="shared" si="471"/>
        <v>-0.56219674797872532</v>
      </c>
      <c r="P90" s="10">
        <f t="shared" si="472"/>
        <v>-8.9500269932813944E-2</v>
      </c>
      <c r="Q90" s="624">
        <f t="shared" si="528"/>
        <v>189.23398567238516</v>
      </c>
      <c r="R90" s="5">
        <f t="shared" si="83"/>
        <v>3.503510566587869</v>
      </c>
      <c r="S90" s="6">
        <f t="shared" si="84"/>
        <v>-8.9500269932813944E-2</v>
      </c>
      <c r="T90" s="4">
        <f t="shared" si="85"/>
        <v>-0.56292100029226699</v>
      </c>
      <c r="U90" s="5">
        <f t="shared" si="86"/>
        <v>3.4579916479978383</v>
      </c>
      <c r="V90" s="8">
        <f t="shared" si="117"/>
        <v>-8.9500269932813944E-2</v>
      </c>
      <c r="W90" s="624">
        <f t="shared" si="652"/>
        <v>99.245985670652573</v>
      </c>
      <c r="X90" s="5">
        <f t="shared" si="87"/>
        <v>3.503510566587869</v>
      </c>
      <c r="Y90" s="7">
        <f t="shared" si="650"/>
        <v>-8.9500269932813944E-2</v>
      </c>
      <c r="Z90" s="21">
        <f t="shared" si="473"/>
        <v>-7.3489666402068318E-2</v>
      </c>
      <c r="AA90" s="5">
        <f t="shared" si="474"/>
        <v>0.96434817711772636</v>
      </c>
      <c r="AB90" s="5">
        <f t="shared" si="475"/>
        <v>-0.25422797293341082</v>
      </c>
      <c r="AC90" s="8">
        <f t="shared" si="88"/>
        <v>1</v>
      </c>
      <c r="AD90" s="9">
        <f t="shared" si="118"/>
        <v>-7.3489666402068318E-2</v>
      </c>
      <c r="AE90" s="5">
        <f t="shared" si="89"/>
        <v>0.96434817711772636</v>
      </c>
      <c r="AF90" s="10">
        <f t="shared" si="90"/>
        <v>-0.25422797293341082</v>
      </c>
      <c r="AG90" s="622">
        <f t="shared" si="91"/>
        <v>75.231316654747431</v>
      </c>
      <c r="AH90" s="623">
        <f t="shared" si="92"/>
        <v>94.21444705955895</v>
      </c>
      <c r="AI90" s="624">
        <f t="shared" si="93"/>
        <v>-75.272156253095503</v>
      </c>
      <c r="AJ90" s="625">
        <f t="shared" si="94"/>
        <v>-175.64210823711898</v>
      </c>
      <c r="AK90" s="4">
        <f t="shared" si="213"/>
        <v>0.96364407955887876</v>
      </c>
      <c r="AL90" s="5">
        <f t="shared" si="95"/>
        <v>-8.2208428456518226E-2</v>
      </c>
      <c r="AM90" s="6">
        <f t="shared" si="96"/>
        <v>-0.25422797293341082</v>
      </c>
      <c r="AN90" s="612">
        <f t="shared" si="97"/>
        <v>-17.919391834797697</v>
      </c>
      <c r="AO90" s="613">
        <f t="shared" si="466"/>
        <v>15.497078248422262</v>
      </c>
      <c r="AP90" s="624">
        <f t="shared" si="99"/>
        <v>-4.87609390950416</v>
      </c>
      <c r="AQ90" s="625">
        <f t="shared" si="476"/>
        <v>3.5353026527531073</v>
      </c>
      <c r="AS90" s="56">
        <f t="shared" si="550"/>
        <v>-260.75401432934746</v>
      </c>
      <c r="AT90" s="77">
        <f t="shared" si="477"/>
        <v>0.89561578419373122</v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>
        <f t="shared" si="522"/>
        <v>6.1210000000000004</v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3"/>
        <v/>
      </c>
      <c r="IK90" s="839" t="str">
        <f t="shared" si="524"/>
        <v/>
      </c>
      <c r="IL90" s="791" t="str">
        <f t="shared" si="654"/>
        <v/>
      </c>
      <c r="IM90" s="830"/>
      <c r="IN90" s="5" t="str">
        <f t="shared" si="655"/>
        <v/>
      </c>
      <c r="IO90" s="852"/>
      <c r="IP90" s="9" t="str">
        <f t="shared" si="656"/>
        <v/>
      </c>
      <c r="IQ90" s="5" t="str">
        <f t="shared" si="657"/>
        <v/>
      </c>
      <c r="IR90" s="5" t="str">
        <f t="shared" si="525"/>
        <v/>
      </c>
      <c r="IS90" s="5" t="str">
        <f t="shared" si="658"/>
        <v/>
      </c>
      <c r="IT90" s="791" t="str">
        <f t="shared" si="659"/>
        <v/>
      </c>
      <c r="IU90" s="9" t="str">
        <f t="shared" si="660"/>
        <v/>
      </c>
      <c r="IV90" s="5" t="str">
        <f t="shared" si="661"/>
        <v/>
      </c>
      <c r="IW90" s="5" t="str">
        <f t="shared" si="526"/>
        <v/>
      </c>
      <c r="IX90" s="5" t="str">
        <f t="shared" si="662"/>
        <v/>
      </c>
      <c r="IY90" s="833" t="str">
        <f t="shared" si="663"/>
        <v/>
      </c>
    </row>
    <row r="91" spans="1:259" ht="15" customHeight="1" x14ac:dyDescent="0.25">
      <c r="A91" s="84">
        <f t="shared" si="527"/>
        <v>0.02</v>
      </c>
      <c r="B91" s="770">
        <v>-4.2345814598553444</v>
      </c>
      <c r="C91" s="771">
        <v>-0.61224851544293335</v>
      </c>
      <c r="D91" s="772">
        <v>-0.28830086951542222</v>
      </c>
      <c r="E91" s="773">
        <v>-2.5318028100397846E-2</v>
      </c>
      <c r="F91" s="771">
        <v>-0.97403333923137003</v>
      </c>
      <c r="G91" s="774">
        <v>0.22498455840100309</v>
      </c>
      <c r="H91" s="773">
        <v>0.314</v>
      </c>
      <c r="I91" s="771">
        <v>0.52</v>
      </c>
      <c r="J91" s="601">
        <v>6.1280000000000001</v>
      </c>
      <c r="K91" s="426" t="str">
        <f t="shared" si="651"/>
        <v>1613</v>
      </c>
      <c r="L91" s="327"/>
      <c r="M91" s="173">
        <f t="shared" si="469"/>
        <v>6.1280000000000001</v>
      </c>
      <c r="N91" s="21">
        <f t="shared" si="470"/>
        <v>-4.2345814598553444</v>
      </c>
      <c r="O91" s="5">
        <f t="shared" si="471"/>
        <v>-0.61224851544293335</v>
      </c>
      <c r="P91" s="10">
        <f t="shared" si="472"/>
        <v>-0.28830086951542222</v>
      </c>
      <c r="Q91" s="624">
        <f t="shared" si="528"/>
        <v>188.22698581777794</v>
      </c>
      <c r="R91" s="5">
        <f t="shared" si="83"/>
        <v>4.2786129042965193</v>
      </c>
      <c r="S91" s="6">
        <f t="shared" si="84"/>
        <v>-0.28830086951542222</v>
      </c>
      <c r="T91" s="4">
        <f t="shared" si="85"/>
        <v>-0.61313539054731026</v>
      </c>
      <c r="U91" s="5">
        <f t="shared" si="86"/>
        <v>4.2344531379708394</v>
      </c>
      <c r="V91" s="8">
        <f t="shared" si="117"/>
        <v>-0.28830086951542222</v>
      </c>
      <c r="W91" s="624">
        <f t="shared" si="652"/>
        <v>98.238985816045357</v>
      </c>
      <c r="X91" s="5">
        <f t="shared" si="87"/>
        <v>4.2786129042965193</v>
      </c>
      <c r="Y91" s="7">
        <f t="shared" si="650"/>
        <v>-0.28830086951542222</v>
      </c>
      <c r="Z91" s="21">
        <f t="shared" si="473"/>
        <v>2.5318028100397846E-2</v>
      </c>
      <c r="AA91" s="5">
        <f t="shared" si="474"/>
        <v>0.97403333923137003</v>
      </c>
      <c r="AB91" s="5">
        <f t="shared" si="475"/>
        <v>-0.22498455840100309</v>
      </c>
      <c r="AC91" s="8">
        <f t="shared" si="88"/>
        <v>1</v>
      </c>
      <c r="AD91" s="9">
        <f t="shared" si="118"/>
        <v>2.5318028100397846E-2</v>
      </c>
      <c r="AE91" s="5">
        <f t="shared" si="89"/>
        <v>0.97403333923137003</v>
      </c>
      <c r="AF91" s="10">
        <f t="shared" si="90"/>
        <v>-0.22498455840100309</v>
      </c>
      <c r="AG91" s="622">
        <f t="shared" si="91"/>
        <v>76.993787597652343</v>
      </c>
      <c r="AH91" s="623">
        <f t="shared" si="92"/>
        <v>88.549228824758799</v>
      </c>
      <c r="AI91" s="624">
        <f t="shared" si="93"/>
        <v>-76.998029856663379</v>
      </c>
      <c r="AJ91" s="625">
        <f t="shared" si="94"/>
        <v>178.51104727729083</v>
      </c>
      <c r="AK91" s="4">
        <f t="shared" si="213"/>
        <v>0.96038662210956738</v>
      </c>
      <c r="AL91" s="5">
        <f t="shared" si="95"/>
        <v>-0.16443687102982929</v>
      </c>
      <c r="AM91" s="6">
        <f t="shared" si="96"/>
        <v>-0.22498455840100309</v>
      </c>
      <c r="AN91" s="612">
        <f t="shared" si="97"/>
        <v>-36.16234851059891</v>
      </c>
      <c r="AO91" s="613">
        <f t="shared" si="466"/>
        <v>16.180902897733343</v>
      </c>
      <c r="AP91" s="624">
        <f t="shared" si="99"/>
        <v>-9.7159385404871355</v>
      </c>
      <c r="AQ91" s="625">
        <f t="shared" si="476"/>
        <v>2.8960669477752581</v>
      </c>
      <c r="AS91" s="56">
        <f t="shared" si="550"/>
        <v>-261.76101418395467</v>
      </c>
      <c r="AT91" s="77">
        <f t="shared" si="477"/>
        <v>0.70061940628408348</v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>
        <f t="shared" si="522"/>
        <v>6.1280000000000001</v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3"/>
        <v/>
      </c>
      <c r="IK91" s="839" t="str">
        <f t="shared" si="524"/>
        <v/>
      </c>
      <c r="IL91" s="791" t="str">
        <f t="shared" si="654"/>
        <v/>
      </c>
      <c r="IM91" s="830"/>
      <c r="IN91" s="5" t="str">
        <f t="shared" si="655"/>
        <v/>
      </c>
      <c r="IO91" s="852"/>
      <c r="IP91" s="9" t="str">
        <f t="shared" si="656"/>
        <v/>
      </c>
      <c r="IQ91" s="5" t="str">
        <f t="shared" si="657"/>
        <v/>
      </c>
      <c r="IR91" s="5" t="str">
        <f t="shared" si="525"/>
        <v/>
      </c>
      <c r="IS91" s="5" t="str">
        <f t="shared" si="658"/>
        <v/>
      </c>
      <c r="IT91" s="791" t="str">
        <f t="shared" si="659"/>
        <v/>
      </c>
      <c r="IU91" s="9" t="str">
        <f t="shared" si="660"/>
        <v/>
      </c>
      <c r="IV91" s="5" t="str">
        <f t="shared" si="661"/>
        <v/>
      </c>
      <c r="IW91" s="5" t="str">
        <f t="shared" si="526"/>
        <v/>
      </c>
      <c r="IX91" s="5" t="str">
        <f t="shared" si="662"/>
        <v/>
      </c>
      <c r="IY91" s="833" t="str">
        <f t="shared" si="663"/>
        <v/>
      </c>
    </row>
    <row r="92" spans="1:259" ht="15" customHeight="1" x14ac:dyDescent="0.25">
      <c r="A92" s="84">
        <f t="shared" si="527"/>
        <v>0.02</v>
      </c>
      <c r="B92" s="770">
        <v>-4.9120848941690642</v>
      </c>
      <c r="C92" s="771">
        <v>-0.62045230914295124</v>
      </c>
      <c r="D92" s="772">
        <v>-0.72180217695536597</v>
      </c>
      <c r="E92" s="773">
        <v>-0.10868250739187879</v>
      </c>
      <c r="F92" s="771">
        <v>-0.97808398595456891</v>
      </c>
      <c r="G92" s="774">
        <v>0.17759456356047898</v>
      </c>
      <c r="H92" s="773">
        <v>0.314</v>
      </c>
      <c r="I92" s="771">
        <v>0.52</v>
      </c>
      <c r="J92" s="601">
        <v>6.1349999999999998</v>
      </c>
      <c r="K92" s="426" t="str">
        <f t="shared" si="651"/>
        <v>1613</v>
      </c>
      <c r="L92" s="327"/>
      <c r="M92" s="173">
        <f t="shared" si="469"/>
        <v>6.1349999999999998</v>
      </c>
      <c r="N92" s="21">
        <f t="shared" si="470"/>
        <v>-4.9120848941690642</v>
      </c>
      <c r="O92" s="5">
        <f t="shared" si="471"/>
        <v>-0.62045230914295124</v>
      </c>
      <c r="P92" s="10">
        <f t="shared" si="472"/>
        <v>-0.72180217695536597</v>
      </c>
      <c r="Q92" s="624">
        <f t="shared" si="528"/>
        <v>187.19898596620277</v>
      </c>
      <c r="R92" s="5">
        <f t="shared" si="83"/>
        <v>4.9511149325626373</v>
      </c>
      <c r="S92" s="6">
        <f t="shared" si="84"/>
        <v>-0.72180217695536597</v>
      </c>
      <c r="T92" s="4">
        <f t="shared" si="85"/>
        <v>-0.62148108003334368</v>
      </c>
      <c r="U92" s="5">
        <f t="shared" si="86"/>
        <v>4.9119548392269765</v>
      </c>
      <c r="V92" s="8">
        <f t="shared" si="117"/>
        <v>-0.72180217695536597</v>
      </c>
      <c r="W92" s="624">
        <f t="shared" si="652"/>
        <v>97.210985964470183</v>
      </c>
      <c r="X92" s="5">
        <f t="shared" si="87"/>
        <v>4.9511149325626373</v>
      </c>
      <c r="Y92" s="7">
        <f t="shared" si="650"/>
        <v>-0.72180217695536597</v>
      </c>
      <c r="Z92" s="21">
        <f t="shared" si="473"/>
        <v>0.10868250739187879</v>
      </c>
      <c r="AA92" s="5">
        <f t="shared" si="474"/>
        <v>0.97808398595456891</v>
      </c>
      <c r="AB92" s="5">
        <f t="shared" si="475"/>
        <v>-0.17759456356047898</v>
      </c>
      <c r="AC92" s="8">
        <f t="shared" si="88"/>
        <v>1</v>
      </c>
      <c r="AD92" s="9">
        <f t="shared" si="118"/>
        <v>0.10868250739187879</v>
      </c>
      <c r="AE92" s="5">
        <f t="shared" si="89"/>
        <v>0.97808398595456891</v>
      </c>
      <c r="AF92" s="10">
        <f t="shared" si="90"/>
        <v>-0.17759456356047898</v>
      </c>
      <c r="AG92" s="622">
        <f t="shared" si="91"/>
        <v>79.708700296982045</v>
      </c>
      <c r="AH92" s="623">
        <f t="shared" si="92"/>
        <v>83.760626530625103</v>
      </c>
      <c r="AI92" s="624">
        <f t="shared" si="93"/>
        <v>-79.770318824340848</v>
      </c>
      <c r="AJ92" s="625">
        <f t="shared" si="94"/>
        <v>173.65943161236146</v>
      </c>
      <c r="AK92" s="4">
        <f t="shared" si="213"/>
        <v>0.95675404923584639</v>
      </c>
      <c r="AL92" s="5">
        <f t="shared" si="95"/>
        <v>-0.23039500920066552</v>
      </c>
      <c r="AM92" s="6">
        <f t="shared" si="96"/>
        <v>-0.17759456356047898</v>
      </c>
      <c r="AN92" s="612">
        <f t="shared" si="97"/>
        <v>-52.374014295403001</v>
      </c>
      <c r="AO92" s="613">
        <f t="shared" si="466"/>
        <v>16.911730029028412</v>
      </c>
      <c r="AP92" s="624">
        <f t="shared" si="99"/>
        <v>-13.539554353841323</v>
      </c>
      <c r="AQ92" s="625">
        <f t="shared" si="476"/>
        <v>2.5032384157357264</v>
      </c>
      <c r="AS92" s="56">
        <f t="shared" si="550"/>
        <v>-262.78901403552982</v>
      </c>
      <c r="AT92" s="78">
        <f t="shared" si="477"/>
        <v>0.27100165383897912</v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>
        <f t="shared" si="522"/>
        <v>6.1349999999999998</v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3"/>
        <v/>
      </c>
      <c r="IK92" s="839" t="str">
        <f t="shared" si="524"/>
        <v/>
      </c>
      <c r="IL92" s="791" t="str">
        <f t="shared" si="654"/>
        <v/>
      </c>
      <c r="IM92" s="830"/>
      <c r="IN92" s="5" t="str">
        <f t="shared" si="655"/>
        <v/>
      </c>
      <c r="IO92" s="852"/>
      <c r="IP92" s="9" t="str">
        <f t="shared" si="656"/>
        <v/>
      </c>
      <c r="IQ92" s="5" t="str">
        <f t="shared" si="657"/>
        <v/>
      </c>
      <c r="IR92" s="5" t="str">
        <f t="shared" si="525"/>
        <v/>
      </c>
      <c r="IS92" s="5" t="str">
        <f t="shared" si="658"/>
        <v/>
      </c>
      <c r="IT92" s="791" t="str">
        <f t="shared" si="659"/>
        <v/>
      </c>
      <c r="IU92" s="9" t="str">
        <f t="shared" si="660"/>
        <v/>
      </c>
      <c r="IV92" s="5" t="str">
        <f t="shared" si="661"/>
        <v/>
      </c>
      <c r="IW92" s="5" t="str">
        <f t="shared" si="526"/>
        <v/>
      </c>
      <c r="IX92" s="5" t="str">
        <f t="shared" si="662"/>
        <v/>
      </c>
      <c r="IY92" s="833" t="str">
        <f t="shared" si="663"/>
        <v/>
      </c>
    </row>
    <row r="93" spans="1:259" ht="15" customHeight="1" x14ac:dyDescent="0.25">
      <c r="A93" s="84">
        <f t="shared" si="527"/>
        <v>0.02</v>
      </c>
      <c r="B93" s="770">
        <v>-5.4117701016017374</v>
      </c>
      <c r="C93" s="771">
        <v>-0.60530445888931117</v>
      </c>
      <c r="D93" s="772">
        <v>-1.3494040698026741</v>
      </c>
      <c r="E93" s="773">
        <v>-0.16851233949910308</v>
      </c>
      <c r="F93" s="771">
        <v>-0.9784429640399912</v>
      </c>
      <c r="G93" s="774">
        <v>0.11938575106425267</v>
      </c>
      <c r="H93" s="773">
        <v>0.314</v>
      </c>
      <c r="I93" s="771">
        <v>0.52</v>
      </c>
      <c r="J93" s="601">
        <v>6.1420000000000003</v>
      </c>
      <c r="K93" s="426" t="str">
        <f t="shared" si="651"/>
        <v>1613</v>
      </c>
      <c r="L93" s="327"/>
      <c r="M93" s="173">
        <f t="shared" si="469"/>
        <v>6.1420000000000003</v>
      </c>
      <c r="N93" s="21">
        <f t="shared" si="470"/>
        <v>-5.4117701016017374</v>
      </c>
      <c r="O93" s="5">
        <f t="shared" si="471"/>
        <v>-0.60530445888931117</v>
      </c>
      <c r="P93" s="10">
        <f t="shared" si="472"/>
        <v>-1.3494040698026741</v>
      </c>
      <c r="Q93" s="624">
        <f t="shared" si="528"/>
        <v>186.38198608416295</v>
      </c>
      <c r="R93" s="5">
        <f t="shared" si="83"/>
        <v>5.4455164236775344</v>
      </c>
      <c r="S93" s="6">
        <f t="shared" si="84"/>
        <v>-1.3494040698026741</v>
      </c>
      <c r="T93" s="4">
        <f t="shared" si="85"/>
        <v>-0.60643788392117659</v>
      </c>
      <c r="U93" s="5">
        <f t="shared" si="86"/>
        <v>5.4116432082581873</v>
      </c>
      <c r="V93" s="8">
        <f t="shared" si="117"/>
        <v>-1.3494040698026741</v>
      </c>
      <c r="W93" s="624">
        <f t="shared" si="652"/>
        <v>96.393986082430359</v>
      </c>
      <c r="X93" s="5">
        <f t="shared" si="87"/>
        <v>5.4455164236775344</v>
      </c>
      <c r="Y93" s="7">
        <f t="shared" si="650"/>
        <v>-1.3494040698026741</v>
      </c>
      <c r="Z93" s="21">
        <f t="shared" si="473"/>
        <v>0.16851233949910308</v>
      </c>
      <c r="AA93" s="5">
        <f t="shared" si="474"/>
        <v>0.9784429640399912</v>
      </c>
      <c r="AB93" s="5">
        <f t="shared" si="475"/>
        <v>-0.11938575106425267</v>
      </c>
      <c r="AC93" s="8">
        <f t="shared" si="88"/>
        <v>1</v>
      </c>
      <c r="AD93" s="9">
        <f t="shared" si="118"/>
        <v>0.16851233949910308</v>
      </c>
      <c r="AE93" s="5">
        <f t="shared" si="89"/>
        <v>0.9784429640399912</v>
      </c>
      <c r="AF93" s="10">
        <f t="shared" si="90"/>
        <v>-0.11938575106425267</v>
      </c>
      <c r="AG93" s="622">
        <f t="shared" si="91"/>
        <v>83.04338216610131</v>
      </c>
      <c r="AH93" s="623">
        <f t="shared" si="92"/>
        <v>80.298665410052706</v>
      </c>
      <c r="AI93" s="624">
        <f t="shared" si="93"/>
        <v>-83.143346134815644</v>
      </c>
      <c r="AJ93" s="625">
        <f t="shared" si="94"/>
        <v>170.22809807675486</v>
      </c>
      <c r="AK93" s="4">
        <f t="shared" si="213"/>
        <v>0.95364823175585212</v>
      </c>
      <c r="AL93" s="5">
        <f t="shared" si="95"/>
        <v>-0.27622833401329638</v>
      </c>
      <c r="AM93" s="6">
        <f t="shared" si="96"/>
        <v>-0.11938575106425267</v>
      </c>
      <c r="AN93" s="612">
        <f t="shared" si="97"/>
        <v>-66.626022864283598</v>
      </c>
      <c r="AO93" s="613">
        <f t="shared" si="466"/>
        <v>17.513088814539014</v>
      </c>
      <c r="AP93" s="624">
        <f t="shared" si="99"/>
        <v>-16.153888007408082</v>
      </c>
      <c r="AQ93" s="625">
        <f t="shared" si="476"/>
        <v>2.2762189638335673</v>
      </c>
      <c r="AS93" s="56">
        <f t="shared" si="550"/>
        <v>-263.60601391756961</v>
      </c>
      <c r="AT93" s="78">
        <f t="shared" si="477"/>
        <v>-0.35351379500951197</v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>
        <f t="shared" si="522"/>
        <v>6.1420000000000003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0.02</v>
      </c>
      <c r="B94" s="770">
        <v>-5.6751131917174522</v>
      </c>
      <c r="C94" s="771">
        <v>-0.59016872495777406</v>
      </c>
      <c r="D94" s="772">
        <v>-2.1012063372383127</v>
      </c>
      <c r="E94" s="773">
        <v>-0.20080865492458047</v>
      </c>
      <c r="F94" s="771">
        <v>-0.97788392002440827</v>
      </c>
      <c r="G94" s="774">
        <v>5.8471557744579239E-2</v>
      </c>
      <c r="H94" s="773">
        <v>0.314</v>
      </c>
      <c r="I94" s="771">
        <v>0.52</v>
      </c>
      <c r="J94" s="601">
        <v>6.149</v>
      </c>
      <c r="K94" s="426" t="str">
        <f t="shared" si="651"/>
        <v>1613</v>
      </c>
      <c r="L94" s="327"/>
      <c r="M94" s="173">
        <f t="shared" si="469"/>
        <v>6.149</v>
      </c>
      <c r="N94" s="21">
        <f t="shared" si="470"/>
        <v>-5.6751131917174522</v>
      </c>
      <c r="O94" s="5">
        <f t="shared" si="471"/>
        <v>-0.59016872495777406</v>
      </c>
      <c r="P94" s="10">
        <f t="shared" si="472"/>
        <v>-2.1012063372383127</v>
      </c>
      <c r="Q94" s="624">
        <f t="shared" si="528"/>
        <v>185.93698614841298</v>
      </c>
      <c r="R94" s="5">
        <f t="shared" si="83"/>
        <v>5.7057172084431018</v>
      </c>
      <c r="S94" s="6">
        <f t="shared" si="84"/>
        <v>-2.1012063372383127</v>
      </c>
      <c r="T94" s="4">
        <f t="shared" si="85"/>
        <v>-0.59135730476105408</v>
      </c>
      <c r="U94" s="5">
        <f t="shared" si="86"/>
        <v>5.6749894626183659</v>
      </c>
      <c r="V94" s="8">
        <f t="shared" si="117"/>
        <v>-2.1012063372383127</v>
      </c>
      <c r="W94" s="624">
        <f t="shared" si="652"/>
        <v>95.948986146680397</v>
      </c>
      <c r="X94" s="5">
        <f t="shared" si="87"/>
        <v>5.7057172084431018</v>
      </c>
      <c r="Y94" s="7">
        <f t="shared" si="650"/>
        <v>-2.1012063372383127</v>
      </c>
      <c r="Z94" s="21">
        <f t="shared" si="473"/>
        <v>0.20080865492458047</v>
      </c>
      <c r="AA94" s="5">
        <f t="shared" si="474"/>
        <v>0.97788392002440827</v>
      </c>
      <c r="AB94" s="5">
        <f t="shared" si="475"/>
        <v>-5.8471557744579239E-2</v>
      </c>
      <c r="AC94" s="8">
        <f t="shared" si="88"/>
        <v>1</v>
      </c>
      <c r="AD94" s="9">
        <f t="shared" si="118"/>
        <v>0.20080865492458047</v>
      </c>
      <c r="AE94" s="5">
        <f t="shared" si="89"/>
        <v>0.97788392002440827</v>
      </c>
      <c r="AF94" s="10">
        <f t="shared" si="90"/>
        <v>-5.8471557744579239E-2</v>
      </c>
      <c r="AG94" s="622">
        <f t="shared" si="91"/>
        <v>86.578132322871127</v>
      </c>
      <c r="AH94" s="623">
        <f t="shared" si="92"/>
        <v>78.415749053499951</v>
      </c>
      <c r="AI94" s="624">
        <f t="shared" si="93"/>
        <v>-86.647914579103045</v>
      </c>
      <c r="AJ94" s="625">
        <f t="shared" si="94"/>
        <v>168.39561954772907</v>
      </c>
      <c r="AK94" s="4">
        <f t="shared" si="213"/>
        <v>0.95186823115328056</v>
      </c>
      <c r="AL94" s="5">
        <f t="shared" si="95"/>
        <v>-0.30087862578795377</v>
      </c>
      <c r="AM94" s="6">
        <f t="shared" si="96"/>
        <v>-5.8471557744579239E-2</v>
      </c>
      <c r="AN94" s="612">
        <f t="shared" si="97"/>
        <v>-79.002444642607799</v>
      </c>
      <c r="AO94" s="613">
        <f t="shared" si="466"/>
        <v>17.848883980497487</v>
      </c>
      <c r="AP94" s="624">
        <f t="shared" si="99"/>
        <v>-17.541366600683929</v>
      </c>
      <c r="AQ94" s="625">
        <f t="shared" si="476"/>
        <v>2.1725172076193706</v>
      </c>
      <c r="AS94" s="56">
        <f t="shared" si="550"/>
        <v>-264.0510138533196</v>
      </c>
      <c r="AT94" s="78">
        <f t="shared" si="477"/>
        <v>-1.1036349515767618</v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>
        <f t="shared" si="522"/>
        <v>6.149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0.02</v>
      </c>
      <c r="B95" s="770">
        <v>-5.7972365580378407</v>
      </c>
      <c r="C95" s="771">
        <v>-0.58139895250228124</v>
      </c>
      <c r="D95" s="772">
        <v>-2.8917087213935049</v>
      </c>
      <c r="E95" s="773">
        <v>-0.35904670960502344</v>
      </c>
      <c r="F95" s="771">
        <v>-0.93280018822804944</v>
      </c>
      <c r="G95" s="774">
        <v>3.1133087921402555E-2</v>
      </c>
      <c r="H95" s="773">
        <v>0.314</v>
      </c>
      <c r="I95" s="771">
        <v>0.52</v>
      </c>
      <c r="J95" s="601">
        <v>6.1559999999999997</v>
      </c>
      <c r="K95" s="426" t="str">
        <f t="shared" si="651"/>
        <v>1613</v>
      </c>
      <c r="L95" s="327"/>
      <c r="M95" s="173">
        <f t="shared" si="469"/>
        <v>6.1559999999999997</v>
      </c>
      <c r="N95" s="21">
        <f t="shared" si="470"/>
        <v>-5.7972365580378407</v>
      </c>
      <c r="O95" s="5">
        <f t="shared" si="471"/>
        <v>-0.58139895250228124</v>
      </c>
      <c r="P95" s="10">
        <f t="shared" si="472"/>
        <v>-2.8917087213935049</v>
      </c>
      <c r="Q95" s="624">
        <f t="shared" si="528"/>
        <v>185.72698617873323</v>
      </c>
      <c r="R95" s="5">
        <f t="shared" si="83"/>
        <v>5.8263175721737985</v>
      </c>
      <c r="S95" s="6">
        <f t="shared" si="84"/>
        <v>-2.8917087213935049</v>
      </c>
      <c r="T95" s="4">
        <f t="shared" si="85"/>
        <v>-0.58261310995205451</v>
      </c>
      <c r="U95" s="5">
        <f t="shared" si="86"/>
        <v>5.7971146629968588</v>
      </c>
      <c r="V95" s="8">
        <f t="shared" si="117"/>
        <v>-2.8917087213935049</v>
      </c>
      <c r="W95" s="624">
        <f t="shared" si="652"/>
        <v>95.738986177000641</v>
      </c>
      <c r="X95" s="5">
        <f t="shared" si="87"/>
        <v>5.8263175721737985</v>
      </c>
      <c r="Y95" s="7">
        <f t="shared" si="650"/>
        <v>-2.8917087213935049</v>
      </c>
      <c r="Z95" s="21">
        <f t="shared" si="473"/>
        <v>0.35904670960502344</v>
      </c>
      <c r="AA95" s="5">
        <f t="shared" si="474"/>
        <v>0.93280018822804944</v>
      </c>
      <c r="AB95" s="5">
        <f t="shared" si="475"/>
        <v>-3.1133087921402555E-2</v>
      </c>
      <c r="AC95" s="8">
        <f t="shared" si="88"/>
        <v>1</v>
      </c>
      <c r="AD95" s="9">
        <f t="shared" si="118"/>
        <v>0.35904670960502344</v>
      </c>
      <c r="AE95" s="5">
        <f t="shared" si="89"/>
        <v>0.93280018822804944</v>
      </c>
      <c r="AF95" s="10">
        <f t="shared" si="90"/>
        <v>-3.1133087921402555E-2</v>
      </c>
      <c r="AG95" s="622">
        <f t="shared" si="91"/>
        <v>88.088408802758607</v>
      </c>
      <c r="AH95" s="623">
        <f t="shared" si="92"/>
        <v>68.958337260023853</v>
      </c>
      <c r="AI95" s="624">
        <f t="shared" si="93"/>
        <v>-88.215917170292585</v>
      </c>
      <c r="AJ95" s="625">
        <f t="shared" si="94"/>
        <v>158.94764698096299</v>
      </c>
      <c r="AK95" s="4">
        <f t="shared" si="213"/>
        <v>0.89231558480544038</v>
      </c>
      <c r="AL95" s="5">
        <f t="shared" si="95"/>
        <v>-0.45033723802257747</v>
      </c>
      <c r="AM95" s="6">
        <f t="shared" si="96"/>
        <v>-3.1133087921402555E-2</v>
      </c>
      <c r="AN95" s="612">
        <f t="shared" si="97"/>
        <v>-86.045272919053645</v>
      </c>
      <c r="AO95" s="613">
        <f t="shared" si="466"/>
        <v>26.834319903559951</v>
      </c>
      <c r="AP95" s="624">
        <f t="shared" si="99"/>
        <v>-26.779339197770248</v>
      </c>
      <c r="AQ95" s="625">
        <f t="shared" si="476"/>
        <v>2.127589509238422</v>
      </c>
      <c r="AS95" s="56">
        <f t="shared" si="550"/>
        <v>-264.26101382299936</v>
      </c>
      <c r="AT95" s="78">
        <f t="shared" si="477"/>
        <v>-1.8933440025131638</v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>
        <f t="shared" si="522"/>
        <v>6.1559999999999997</v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0.02</v>
      </c>
      <c r="B96" s="770">
        <v>-5.8845510741958922</v>
      </c>
      <c r="C96" s="771">
        <v>-0.57439165272175208</v>
      </c>
      <c r="D96" s="772">
        <v>-3.6476110011947798</v>
      </c>
      <c r="E96" s="773">
        <v>-0.56532708883299698</v>
      </c>
      <c r="F96" s="771">
        <v>-0.824866827210058</v>
      </c>
      <c r="G96" s="774">
        <v>1.4578093219790013E-7</v>
      </c>
      <c r="H96" s="773">
        <v>0.314</v>
      </c>
      <c r="I96" s="771">
        <v>0.52</v>
      </c>
      <c r="J96" s="601">
        <v>6.1630000000000003</v>
      </c>
      <c r="K96" s="426" t="str">
        <f t="shared" si="651"/>
        <v>1613</v>
      </c>
      <c r="L96" s="327"/>
      <c r="M96" s="173">
        <f t="shared" si="469"/>
        <v>6.1630000000000003</v>
      </c>
      <c r="N96" s="21">
        <f t="shared" si="470"/>
        <v>-5.8845510741958922</v>
      </c>
      <c r="O96" s="5">
        <f t="shared" si="471"/>
        <v>-0.57439165272175208</v>
      </c>
      <c r="P96" s="10">
        <f t="shared" si="472"/>
        <v>-3.6476110011947798</v>
      </c>
      <c r="Q96" s="624">
        <f t="shared" si="528"/>
        <v>185.57498620067932</v>
      </c>
      <c r="R96" s="5">
        <f t="shared" si="83"/>
        <v>5.9125178321537817</v>
      </c>
      <c r="S96" s="6">
        <f t="shared" si="84"/>
        <v>-3.6476110011947798</v>
      </c>
      <c r="T96" s="4">
        <f t="shared" si="85"/>
        <v>-0.57562409743193943</v>
      </c>
      <c r="U96" s="5">
        <f t="shared" si="86"/>
        <v>5.8844306448451</v>
      </c>
      <c r="V96" s="8">
        <f t="shared" si="117"/>
        <v>-3.6476110011947798</v>
      </c>
      <c r="W96" s="624">
        <f t="shared" si="652"/>
        <v>95.586986198946732</v>
      </c>
      <c r="X96" s="5">
        <f t="shared" si="87"/>
        <v>5.9125178321537817</v>
      </c>
      <c r="Y96" s="7">
        <f t="shared" si="650"/>
        <v>-3.6476110011947798</v>
      </c>
      <c r="Z96" s="21">
        <f t="shared" si="473"/>
        <v>0.56532708883299698</v>
      </c>
      <c r="AA96" s="5">
        <f t="shared" si="474"/>
        <v>0.824866827210058</v>
      </c>
      <c r="AB96" s="5">
        <f t="shared" si="475"/>
        <v>-1.4578093219790013E-7</v>
      </c>
      <c r="AC96" s="8">
        <f t="shared" si="88"/>
        <v>1</v>
      </c>
      <c r="AD96" s="9">
        <f t="shared" si="118"/>
        <v>0.56532708883299698</v>
      </c>
      <c r="AE96" s="5">
        <f t="shared" si="89"/>
        <v>0.824866827210058</v>
      </c>
      <c r="AF96" s="10">
        <f t="shared" si="90"/>
        <v>-1.4578093219790013E-7</v>
      </c>
      <c r="AG96" s="622">
        <f t="shared" si="91"/>
        <v>89.999989873962832</v>
      </c>
      <c r="AH96" s="623">
        <f t="shared" si="92"/>
        <v>55.574991975965062</v>
      </c>
      <c r="AI96" s="624">
        <f t="shared" si="93"/>
        <v>-89.99999164736785</v>
      </c>
      <c r="AJ96" s="625">
        <f t="shared" si="94"/>
        <v>145.57499197596465</v>
      </c>
      <c r="AK96" s="4">
        <f t="shared" si="213"/>
        <v>0.76604450791050727</v>
      </c>
      <c r="AL96" s="5">
        <f t="shared" si="95"/>
        <v>-0.64278753247097731</v>
      </c>
      <c r="AM96" s="6">
        <f t="shared" si="96"/>
        <v>-1.4578093219790013E-7</v>
      </c>
      <c r="AN96" s="612">
        <f t="shared" si="97"/>
        <v>-89.999987005609597</v>
      </c>
      <c r="AO96" s="613">
        <f t="shared" si="466"/>
        <v>39.99999422471538</v>
      </c>
      <c r="AP96" s="624">
        <f t="shared" si="99"/>
        <v>-39.999994224714662</v>
      </c>
      <c r="AQ96" s="625">
        <f t="shared" si="476"/>
        <v>2.0965986702941062</v>
      </c>
      <c r="AS96" s="56">
        <f t="shared" si="550"/>
        <v>-264.41301380105324</v>
      </c>
      <c r="AT96" s="78">
        <f t="shared" si="477"/>
        <v>-2.6486720601751239</v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>
        <f t="shared" si="522"/>
        <v>6.1630000000000003</v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0.02</v>
      </c>
      <c r="B97" s="770">
        <v>-3.4796067024951749</v>
      </c>
      <c r="C97" s="771">
        <v>0.4359559790716997</v>
      </c>
      <c r="D97" s="772">
        <v>-3.1500095004286535E-2</v>
      </c>
      <c r="E97" s="773">
        <v>-0.20252000699368392</v>
      </c>
      <c r="F97" s="771">
        <v>-0.88586224461908114</v>
      </c>
      <c r="G97" s="774">
        <v>0.4174131410553838</v>
      </c>
      <c r="H97" s="773">
        <v>0.26600000000000001</v>
      </c>
      <c r="I97" s="771">
        <v>0.52</v>
      </c>
      <c r="J97" s="601">
        <v>6.2210000000000001</v>
      </c>
      <c r="K97" s="426" t="str">
        <f t="shared" si="651"/>
        <v>1313</v>
      </c>
      <c r="L97" s="327"/>
      <c r="M97" s="173">
        <f t="shared" si="469"/>
        <v>6.2210000000000001</v>
      </c>
      <c r="N97" s="21">
        <f t="shared" si="470"/>
        <v>-3.4796067024951749</v>
      </c>
      <c r="O97" s="5">
        <f t="shared" si="471"/>
        <v>0.4359559790716997</v>
      </c>
      <c r="P97" s="10">
        <f t="shared" si="472"/>
        <v>-3.1500095004286535E-2</v>
      </c>
      <c r="Q97" s="624">
        <f t="shared" si="528"/>
        <v>172.85868803668561</v>
      </c>
      <c r="R97" s="5">
        <f t="shared" si="83"/>
        <v>3.5068105765406985</v>
      </c>
      <c r="S97" s="6">
        <f t="shared" si="84"/>
        <v>-3.1500095004286535E-2</v>
      </c>
      <c r="T97" s="4">
        <f t="shared" si="85"/>
        <v>0.43522720249707081</v>
      </c>
      <c r="U97" s="5">
        <f t="shared" si="86"/>
        <v>3.4796979325717743</v>
      </c>
      <c r="V97" s="8">
        <f t="shared" si="117"/>
        <v>-3.1500095004286535E-2</v>
      </c>
      <c r="W97" s="624">
        <f t="shared" si="652"/>
        <v>82.870688034953019</v>
      </c>
      <c r="X97" s="5">
        <f t="shared" si="87"/>
        <v>3.5068105765406985</v>
      </c>
      <c r="Y97" s="7">
        <f t="shared" si="650"/>
        <v>-3.1500095004286535E-2</v>
      </c>
      <c r="Z97" s="21">
        <f t="shared" si="473"/>
        <v>0.20252000699368392</v>
      </c>
      <c r="AA97" s="5">
        <f t="shared" si="474"/>
        <v>0.88586224461908114</v>
      </c>
      <c r="AB97" s="5">
        <f t="shared" si="475"/>
        <v>-0.4174131410553838</v>
      </c>
      <c r="AC97" s="8">
        <f t="shared" si="88"/>
        <v>1</v>
      </c>
      <c r="AD97" s="9">
        <f t="shared" si="118"/>
        <v>0.20252000699368392</v>
      </c>
      <c r="AE97" s="5">
        <f t="shared" si="89"/>
        <v>0.88586224461908114</v>
      </c>
      <c r="AF97" s="10">
        <f t="shared" si="90"/>
        <v>-0.4174131410553838</v>
      </c>
      <c r="AG97" s="622">
        <f t="shared" si="91"/>
        <v>64.770459035362379</v>
      </c>
      <c r="AH97" s="623">
        <f t="shared" si="92"/>
        <v>78.315638996874355</v>
      </c>
      <c r="AI97" s="624">
        <f t="shared" si="93"/>
        <v>-65.328624336470156</v>
      </c>
      <c r="AJ97" s="625">
        <f t="shared" si="94"/>
        <v>167.12271139604471</v>
      </c>
      <c r="AK97" s="4">
        <f t="shared" si="213"/>
        <v>0.90416688971045001</v>
      </c>
      <c r="AL97" s="5">
        <f t="shared" si="95"/>
        <v>-9.0821281787967473E-2</v>
      </c>
      <c r="AM97" s="6">
        <f t="shared" si="96"/>
        <v>-0.4174131410553838</v>
      </c>
      <c r="AN97" s="612">
        <f t="shared" si="97"/>
        <v>-12.275166440451471</v>
      </c>
      <c r="AO97" s="613">
        <f t="shared" si="466"/>
        <v>25.288690185649056</v>
      </c>
      <c r="AP97" s="624">
        <f t="shared" si="99"/>
        <v>-5.735976640640903</v>
      </c>
      <c r="AQ97" s="625">
        <f t="shared" si="476"/>
        <v>3.5319842565979562</v>
      </c>
      <c r="AS97" s="56">
        <f t="shared" si="550"/>
        <v>-277.12931196504701</v>
      </c>
      <c r="AT97" s="78">
        <f t="shared" si="477"/>
        <v>1.0154781946349014</v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>
        <f>IFERROR(IF($IU97="","",IF($IU97&lt;(((Settings!$C$19/2)*-1)*$IE$8),"",1)),"")</f>
        <v>1</v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>
        <f t="shared" si="522"/>
        <v>6.2210000000000001</v>
      </c>
      <c r="IH97" s="797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6.1210000000000004</v>
      </c>
      <c r="II97" s="800" cm="1">
        <f t="array" ref="II97">IFERROR(IF($IH97&lt;1,$IH97+LARGE((IF($M$9:$M$150="",0,$M$9:$M$150)-MOD(IF($M$9:$M$150="",0,$M$9:$M$150),1)),1),$IH97),"")</f>
        <v>6.1210000000000004</v>
      </c>
      <c r="IJ97" s="839" t="str">
        <f t="shared" si="523"/>
        <v>1613</v>
      </c>
      <c r="IK97" s="839" t="str">
        <f t="shared" si="524"/>
        <v>1313</v>
      </c>
      <c r="IL97" s="791">
        <f t="shared" si="654"/>
        <v>16.375297635699553</v>
      </c>
      <c r="IM97" s="830">
        <v>3.9485298050612704E-3</v>
      </c>
      <c r="IN97" s="5">
        <f t="shared" si="655"/>
        <v>0.06</v>
      </c>
      <c r="IO97" s="852">
        <v>30</v>
      </c>
      <c r="IP97" s="9">
        <f t="shared" si="656"/>
        <v>-3.503510566587869</v>
      </c>
      <c r="IQ97" s="5">
        <f t="shared" si="657"/>
        <v>-8.9500269932813944E-2</v>
      </c>
      <c r="IR97" s="5">
        <f t="shared" si="525"/>
        <v>0.314</v>
      </c>
      <c r="IS97" s="5">
        <f t="shared" si="658"/>
        <v>0.30258424098148795</v>
      </c>
      <c r="IT97" s="791">
        <f t="shared" si="659"/>
        <v>17.919391834797697</v>
      </c>
      <c r="IU97" s="9">
        <f t="shared" si="660"/>
        <v>-3.5068105765406985</v>
      </c>
      <c r="IV97" s="5">
        <f t="shared" si="661"/>
        <v>-3.1500095004286535E-2</v>
      </c>
      <c r="IW97" s="5">
        <f t="shared" si="526"/>
        <v>0.26600000000000001</v>
      </c>
      <c r="IX97" s="5">
        <f t="shared" si="662"/>
        <v>0.24050839266297971</v>
      </c>
      <c r="IY97" s="833">
        <f t="shared" si="663"/>
        <v>12.275166440451471</v>
      </c>
    </row>
    <row r="98" spans="1:259" ht="15" customHeight="1" x14ac:dyDescent="0.25">
      <c r="A98" s="84">
        <f t="shared" si="527"/>
        <v>0.02</v>
      </c>
      <c r="B98" s="770">
        <v>-4.2739189236618005</v>
      </c>
      <c r="C98" s="771">
        <v>0.40656420609307709</v>
      </c>
      <c r="D98" s="772">
        <v>-0.23130069760290412</v>
      </c>
      <c r="E98" s="773">
        <v>-0.28714450570849404</v>
      </c>
      <c r="F98" s="771">
        <v>-0.87786329037726918</v>
      </c>
      <c r="G98" s="774">
        <v>0.38328067554915829</v>
      </c>
      <c r="H98" s="773">
        <v>0.26600000000000001</v>
      </c>
      <c r="I98" s="771">
        <v>0.52</v>
      </c>
      <c r="J98" s="601">
        <v>6.2279999999999998</v>
      </c>
      <c r="K98" s="426" t="str">
        <f t="shared" si="651"/>
        <v>1313</v>
      </c>
      <c r="L98" s="327"/>
      <c r="M98" s="173">
        <f t="shared" si="469"/>
        <v>6.2279999999999998</v>
      </c>
      <c r="N98" s="21">
        <f t="shared" si="470"/>
        <v>-4.2739189236618005</v>
      </c>
      <c r="O98" s="5">
        <f t="shared" si="471"/>
        <v>0.40656420609307709</v>
      </c>
      <c r="P98" s="10">
        <f t="shared" si="472"/>
        <v>-0.23130069760290412</v>
      </c>
      <c r="Q98" s="624">
        <f t="shared" si="528"/>
        <v>174.56598779018202</v>
      </c>
      <c r="R98" s="5">
        <f t="shared" si="83"/>
        <v>4.2932129483302521</v>
      </c>
      <c r="S98" s="6">
        <f t="shared" si="84"/>
        <v>-0.23130069760290412</v>
      </c>
      <c r="T98" s="4">
        <f t="shared" si="85"/>
        <v>0.40566906982573891</v>
      </c>
      <c r="U98" s="5">
        <f t="shared" si="86"/>
        <v>4.2740039805195851</v>
      </c>
      <c r="V98" s="8">
        <f t="shared" si="117"/>
        <v>-0.23130069760290412</v>
      </c>
      <c r="W98" s="624">
        <f t="shared" si="652"/>
        <v>84.577987788449434</v>
      </c>
      <c r="X98" s="5">
        <f t="shared" si="87"/>
        <v>4.2932129483302521</v>
      </c>
      <c r="Y98" s="7">
        <f t="shared" si="650"/>
        <v>-0.23130069760290412</v>
      </c>
      <c r="Z98" s="21">
        <f t="shared" si="473"/>
        <v>0.28714450570849404</v>
      </c>
      <c r="AA98" s="5">
        <f t="shared" si="474"/>
        <v>0.87786329037726918</v>
      </c>
      <c r="AB98" s="5">
        <f t="shared" si="475"/>
        <v>-0.38328067554915829</v>
      </c>
      <c r="AC98" s="8">
        <f t="shared" si="88"/>
        <v>1</v>
      </c>
      <c r="AD98" s="9">
        <f t="shared" si="118"/>
        <v>0.28714450570849404</v>
      </c>
      <c r="AE98" s="5">
        <f t="shared" si="89"/>
        <v>0.87786329037726918</v>
      </c>
      <c r="AF98" s="10">
        <f t="shared" si="90"/>
        <v>-0.38328067554915829</v>
      </c>
      <c r="AG98" s="622">
        <f t="shared" si="91"/>
        <v>66.413613415633904</v>
      </c>
      <c r="AH98" s="623">
        <f t="shared" si="92"/>
        <v>73.312921266827715</v>
      </c>
      <c r="AI98" s="624">
        <f t="shared" si="93"/>
        <v>-67.462956102328377</v>
      </c>
      <c r="AJ98" s="625">
        <f t="shared" si="94"/>
        <v>161.88734913891582</v>
      </c>
      <c r="AK98" s="4">
        <f t="shared" si="213"/>
        <v>0.90111048617642298</v>
      </c>
      <c r="AL98" s="5">
        <f t="shared" si="95"/>
        <v>-0.20272102864150926</v>
      </c>
      <c r="AM98" s="6">
        <f t="shared" si="96"/>
        <v>-0.38328067554915829</v>
      </c>
      <c r="AN98" s="612">
        <f t="shared" si="97"/>
        <v>-27.874816507982999</v>
      </c>
      <c r="AO98" s="613">
        <f t="shared" si="466"/>
        <v>25.695578211706511</v>
      </c>
      <c r="AP98" s="624">
        <f t="shared" si="99"/>
        <v>-12.678638651266189</v>
      </c>
      <c r="AQ98" s="625">
        <f t="shared" si="476"/>
        <v>2.8862348966074207</v>
      </c>
      <c r="AS98" s="56">
        <f t="shared" si="550"/>
        <v>-275.42201221155057</v>
      </c>
      <c r="AT98" s="78">
        <f t="shared" si="477"/>
        <v>0.80922779296751934</v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>
        <f>IFERROR(IF($IU98="","",IF($IU98&lt;(((Settings!$C$19/2)*-1)*$IE$8),"",1)),"")</f>
        <v>1</v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>
        <f t="shared" si="522"/>
        <v>6.2279999999999998</v>
      </c>
      <c r="IH98" s="797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6.1280000000000001</v>
      </c>
      <c r="II98" s="800" cm="1">
        <f t="array" ref="II98">IFERROR(IF($IH98&lt;1,$IH98+LARGE((IF($M$9:$M$150="",0,$M$9:$M$150)-MOD(IF($M$9:$M$150="",0,$M$9:$M$150),1)),1),$IH98),"")</f>
        <v>6.1280000000000001</v>
      </c>
      <c r="IJ98" s="839" t="str">
        <f t="shared" si="523"/>
        <v>1613</v>
      </c>
      <c r="IK98" s="839" t="str">
        <f t="shared" si="524"/>
        <v>1313</v>
      </c>
      <c r="IL98" s="791">
        <f t="shared" si="654"/>
        <v>13.660998027595923</v>
      </c>
      <c r="IM98" s="830">
        <v>3.0249795940033302E-3</v>
      </c>
      <c r="IN98" s="5">
        <f t="shared" si="655"/>
        <v>0.04</v>
      </c>
      <c r="IO98" s="852">
        <v>20</v>
      </c>
      <c r="IP98" s="9">
        <f t="shared" si="656"/>
        <v>-4.2786129042965193</v>
      </c>
      <c r="IQ98" s="5">
        <f t="shared" si="657"/>
        <v>-0.28830086951542222</v>
      </c>
      <c r="IR98" s="5">
        <f t="shared" si="525"/>
        <v>0.314</v>
      </c>
      <c r="IS98" s="5">
        <f t="shared" si="658"/>
        <v>0.30156139934240417</v>
      </c>
      <c r="IT98" s="791">
        <f t="shared" si="659"/>
        <v>36.16234851059891</v>
      </c>
      <c r="IU98" s="9">
        <f t="shared" si="660"/>
        <v>-4.2932129483302521</v>
      </c>
      <c r="IV98" s="5">
        <f t="shared" si="661"/>
        <v>-0.23130069760290412</v>
      </c>
      <c r="IW98" s="5">
        <f t="shared" si="526"/>
        <v>0.26600000000000001</v>
      </c>
      <c r="IX98" s="5">
        <f t="shared" si="662"/>
        <v>0.23969538932292855</v>
      </c>
      <c r="IY98" s="833">
        <f t="shared" si="663"/>
        <v>27.874816507982999</v>
      </c>
    </row>
    <row r="99" spans="1:259" ht="15" customHeight="1" x14ac:dyDescent="0.25">
      <c r="A99" s="84">
        <f t="shared" si="527"/>
        <v>0.02</v>
      </c>
      <c r="B99" s="770">
        <v>-4.9581300947988245</v>
      </c>
      <c r="C99" s="771">
        <v>0.42737290454261745</v>
      </c>
      <c r="D99" s="772">
        <v>-0.66810201499567734</v>
      </c>
      <c r="E99" s="773">
        <v>-0.37282315543745637</v>
      </c>
      <c r="F99" s="771">
        <v>-0.86889482033852117</v>
      </c>
      <c r="G99" s="774">
        <v>0.32561432087447773</v>
      </c>
      <c r="H99" s="773">
        <v>0.26600000000000001</v>
      </c>
      <c r="I99" s="771">
        <v>0.52</v>
      </c>
      <c r="J99" s="601">
        <v>6.2350000000000003</v>
      </c>
      <c r="K99" s="426" t="str">
        <f t="shared" si="651"/>
        <v>1313</v>
      </c>
      <c r="L99" s="327"/>
      <c r="M99" s="173">
        <f t="shared" si="469"/>
        <v>6.2350000000000003</v>
      </c>
      <c r="N99" s="21">
        <f t="shared" si="470"/>
        <v>-4.9581300947988245</v>
      </c>
      <c r="O99" s="5">
        <f t="shared" si="471"/>
        <v>0.42737290454261745</v>
      </c>
      <c r="P99" s="10">
        <f t="shared" si="472"/>
        <v>-0.66810201499567734</v>
      </c>
      <c r="Q99" s="624">
        <f t="shared" si="528"/>
        <v>175.07348771690809</v>
      </c>
      <c r="R99" s="5">
        <f t="shared" si="83"/>
        <v>4.9765150091692671</v>
      </c>
      <c r="S99" s="6">
        <f t="shared" si="84"/>
        <v>-0.66810201499567734</v>
      </c>
      <c r="T99" s="4">
        <f t="shared" si="85"/>
        <v>0.42633446698804855</v>
      </c>
      <c r="U99" s="5">
        <f t="shared" si="86"/>
        <v>4.9582194948131333</v>
      </c>
      <c r="V99" s="8">
        <f t="shared" si="117"/>
        <v>-0.66810201499567734</v>
      </c>
      <c r="W99" s="624">
        <f t="shared" si="652"/>
        <v>85.085487715175503</v>
      </c>
      <c r="X99" s="5">
        <f t="shared" si="87"/>
        <v>4.9765150091692671</v>
      </c>
      <c r="Y99" s="7">
        <f t="shared" si="650"/>
        <v>-0.66810201499567734</v>
      </c>
      <c r="Z99" s="21">
        <f t="shared" si="473"/>
        <v>0.37282315543745637</v>
      </c>
      <c r="AA99" s="5">
        <f t="shared" si="474"/>
        <v>0.86889482033852117</v>
      </c>
      <c r="AB99" s="5">
        <f t="shared" si="475"/>
        <v>-0.32561432087447773</v>
      </c>
      <c r="AC99" s="8">
        <f t="shared" si="88"/>
        <v>1</v>
      </c>
      <c r="AD99" s="9">
        <f t="shared" si="118"/>
        <v>0.37282315543745637</v>
      </c>
      <c r="AE99" s="5">
        <f t="shared" si="89"/>
        <v>0.86889482033852117</v>
      </c>
      <c r="AF99" s="10">
        <f t="shared" si="90"/>
        <v>-0.32561432087447773</v>
      </c>
      <c r="AG99" s="622">
        <f t="shared" si="91"/>
        <v>69.456745829397548</v>
      </c>
      <c r="AH99" s="623">
        <f t="shared" si="92"/>
        <v>68.110165698808814</v>
      </c>
      <c r="AI99" s="624">
        <f t="shared" si="93"/>
        <v>-70.997202420795404</v>
      </c>
      <c r="AJ99" s="625">
        <f t="shared" si="94"/>
        <v>156.77692100374321</v>
      </c>
      <c r="AK99" s="4">
        <f t="shared" si="213"/>
        <v>0.89770211976132264</v>
      </c>
      <c r="AL99" s="5">
        <f t="shared" si="95"/>
        <v>-0.29682691626178498</v>
      </c>
      <c r="AM99" s="6">
        <f t="shared" si="96"/>
        <v>-0.32561432087447773</v>
      </c>
      <c r="AN99" s="612">
        <f t="shared" si="97"/>
        <v>-42.352003397455675</v>
      </c>
      <c r="AO99" s="613">
        <f t="shared" si="466"/>
        <v>26.14235403449258</v>
      </c>
      <c r="AP99" s="624">
        <f t="shared" si="99"/>
        <v>-18.296566713164875</v>
      </c>
      <c r="AQ99" s="625">
        <f t="shared" si="476"/>
        <v>2.4904780432731677</v>
      </c>
      <c r="AS99" s="56">
        <f t="shared" si="550"/>
        <v>-274.91451228482447</v>
      </c>
      <c r="AT99" s="78">
        <f t="shared" si="477"/>
        <v>0.3705092536293364</v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>
        <f t="shared" si="522"/>
        <v>6.2350000000000003</v>
      </c>
      <c r="IH99" s="797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6.1349999999999998</v>
      </c>
      <c r="II99" s="800" cm="1">
        <f t="array" ref="II99">IFERROR(IF($IH99&lt;1,$IH99+LARGE((IF($M$9:$M$150="",0,$M$9:$M$150)-MOD(IF($M$9:$M$150="",0,$M$9:$M$150),1)),1),$IH99),"")</f>
        <v>6.1349999999999998</v>
      </c>
      <c r="IJ99" s="839" t="str">
        <f t="shared" si="523"/>
        <v>1613</v>
      </c>
      <c r="IK99" s="839" t="str">
        <f t="shared" si="524"/>
        <v>1313</v>
      </c>
      <c r="IL99" s="791">
        <f t="shared" si="654"/>
        <v>12.125498249294679</v>
      </c>
      <c r="IM99" s="830">
        <v>2.2667488660549902E-3</v>
      </c>
      <c r="IN99" s="5">
        <f t="shared" si="655"/>
        <v>0.02</v>
      </c>
      <c r="IO99" s="852">
        <v>10</v>
      </c>
      <c r="IP99" s="9">
        <f t="shared" si="656"/>
        <v>-4.9511149325626373</v>
      </c>
      <c r="IQ99" s="5">
        <f t="shared" si="657"/>
        <v>-0.72180217695536597</v>
      </c>
      <c r="IR99" s="5">
        <f t="shared" si="525"/>
        <v>0.314</v>
      </c>
      <c r="IS99" s="5">
        <f t="shared" si="658"/>
        <v>0.30042077146005575</v>
      </c>
      <c r="IT99" s="791">
        <f t="shared" si="659"/>
        <v>52.374014295403001</v>
      </c>
      <c r="IU99" s="9">
        <f t="shared" si="660"/>
        <v>-4.9765150091692671</v>
      </c>
      <c r="IV99" s="5">
        <f t="shared" si="661"/>
        <v>-0.66810201499567734</v>
      </c>
      <c r="IW99" s="5">
        <f t="shared" si="526"/>
        <v>0.26600000000000001</v>
      </c>
      <c r="IX99" s="5">
        <f t="shared" si="662"/>
        <v>0.23878876385651182</v>
      </c>
      <c r="IY99" s="833">
        <f t="shared" si="663"/>
        <v>42.352003397455675</v>
      </c>
    </row>
    <row r="100" spans="1:259" ht="15" customHeight="1" x14ac:dyDescent="0.25">
      <c r="A100" s="84">
        <f t="shared" si="527"/>
        <v>0.02</v>
      </c>
      <c r="B100" s="770">
        <v>-5.4602877047841014</v>
      </c>
      <c r="C100" s="771">
        <v>0.47508335550792929</v>
      </c>
      <c r="D100" s="772">
        <v>-1.3012039244310363</v>
      </c>
      <c r="E100" s="773">
        <v>-0.44456889499596425</v>
      </c>
      <c r="F100" s="771">
        <v>-0.85948786845940117</v>
      </c>
      <c r="G100" s="774">
        <v>0.25226791625805794</v>
      </c>
      <c r="H100" s="773">
        <v>0.26600000000000001</v>
      </c>
      <c r="I100" s="771">
        <v>0.52</v>
      </c>
      <c r="J100" s="601">
        <v>6.242</v>
      </c>
      <c r="K100" s="426" t="str">
        <f t="shared" si="651"/>
        <v>1313</v>
      </c>
      <c r="L100" s="327"/>
      <c r="M100" s="173">
        <f t="shared" si="469"/>
        <v>6.242</v>
      </c>
      <c r="N100" s="21">
        <f t="shared" si="470"/>
        <v>-5.4602877047841014</v>
      </c>
      <c r="O100" s="5">
        <f t="shared" si="471"/>
        <v>0.47508335550792929</v>
      </c>
      <c r="P100" s="10">
        <f t="shared" si="472"/>
        <v>-1.3012039244310363</v>
      </c>
      <c r="Q100" s="624">
        <f t="shared" si="528"/>
        <v>175.02738772356412</v>
      </c>
      <c r="R100" s="5">
        <f t="shared" si="83"/>
        <v>5.4809165304442562</v>
      </c>
      <c r="S100" s="6">
        <f t="shared" si="84"/>
        <v>-1.3012039244310363</v>
      </c>
      <c r="T100" s="4">
        <f t="shared" si="85"/>
        <v>0.4739397452790084</v>
      </c>
      <c r="U100" s="5">
        <f t="shared" si="86"/>
        <v>5.4603870862368327</v>
      </c>
      <c r="V100" s="8">
        <f t="shared" si="117"/>
        <v>-1.3012039244310363</v>
      </c>
      <c r="W100" s="624">
        <f t="shared" si="652"/>
        <v>85.039387721831531</v>
      </c>
      <c r="X100" s="5">
        <f t="shared" si="87"/>
        <v>5.4809165304442562</v>
      </c>
      <c r="Y100" s="7">
        <f t="shared" si="650"/>
        <v>-1.3012039244310363</v>
      </c>
      <c r="Z100" s="21">
        <f t="shared" si="473"/>
        <v>0.44456889499596425</v>
      </c>
      <c r="AA100" s="5">
        <f t="shared" si="474"/>
        <v>0.85948786845940117</v>
      </c>
      <c r="AB100" s="5">
        <f t="shared" si="475"/>
        <v>-0.25226791625805794</v>
      </c>
      <c r="AC100" s="8">
        <f t="shared" si="88"/>
        <v>1</v>
      </c>
      <c r="AD100" s="9">
        <f t="shared" si="118"/>
        <v>0.44456889499596425</v>
      </c>
      <c r="AE100" s="5">
        <f t="shared" si="89"/>
        <v>0.85948786845940117</v>
      </c>
      <c r="AF100" s="10">
        <f t="shared" si="90"/>
        <v>-0.25226791625805794</v>
      </c>
      <c r="AG100" s="622">
        <f t="shared" si="91"/>
        <v>73.642531189597818</v>
      </c>
      <c r="AH100" s="623">
        <f t="shared" si="92"/>
        <v>63.604239906959954</v>
      </c>
      <c r="AI100" s="624">
        <f t="shared" si="93"/>
        <v>-75.388243533589545</v>
      </c>
      <c r="AJ100" s="625">
        <f t="shared" si="94"/>
        <v>152.64979791688378</v>
      </c>
      <c r="AK100" s="4">
        <f t="shared" si="213"/>
        <v>0.89478799680818766</v>
      </c>
      <c r="AL100" s="5">
        <f t="shared" si="95"/>
        <v>-0.36839562863151387</v>
      </c>
      <c r="AM100" s="6">
        <f t="shared" si="96"/>
        <v>-0.25226791625805794</v>
      </c>
      <c r="AN100" s="612">
        <f t="shared" si="97"/>
        <v>-55.59765313632267</v>
      </c>
      <c r="AO100" s="613">
        <f t="shared" si="466"/>
        <v>26.518788366926099</v>
      </c>
      <c r="AP100" s="624">
        <f t="shared" si="99"/>
        <v>-22.377589806680341</v>
      </c>
      <c r="AQ100" s="625">
        <f t="shared" si="476"/>
        <v>2.2615326507448366</v>
      </c>
      <c r="AS100" s="56">
        <f t="shared" si="550"/>
        <v>-274.96061227816847</v>
      </c>
      <c r="AT100" s="78">
        <f t="shared" si="477"/>
        <v>-0.26241850027561187</v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>
        <f t="shared" si="522"/>
        <v>6.242</v>
      </c>
      <c r="IH100" s="797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6.1420000000000003</v>
      </c>
      <c r="II100" s="800" cm="1">
        <f t="array" ref="II100">IFERROR(IF($IH100&lt;1,$IH100+LARGE((IF($M$9:$M$150="",0,$M$9:$M$150)-MOD(IF($M$9:$M$150="",0,$M$9:$M$150),1)),1),$IH100),"")</f>
        <v>6.1420000000000003</v>
      </c>
      <c r="IJ100" s="839" t="str">
        <f t="shared" si="523"/>
        <v>1613</v>
      </c>
      <c r="IK100" s="839" t="str">
        <f t="shared" si="524"/>
        <v>1313</v>
      </c>
      <c r="IL100" s="791">
        <f t="shared" si="654"/>
        <v>11.354598360598828</v>
      </c>
      <c r="IM100" s="830">
        <v>1.7301093939365E-3</v>
      </c>
      <c r="IN100" s="5">
        <f t="shared" si="655"/>
        <v>0.02</v>
      </c>
      <c r="IO100" s="852">
        <v>10</v>
      </c>
      <c r="IP100" s="9">
        <f t="shared" si="656"/>
        <v>-5.4455164236775344</v>
      </c>
      <c r="IQ100" s="5">
        <f t="shared" si="657"/>
        <v>-1.3494040698026741</v>
      </c>
      <c r="IR100" s="5">
        <f t="shared" si="525"/>
        <v>0.314</v>
      </c>
      <c r="IS100" s="5">
        <f t="shared" si="658"/>
        <v>0.29944554477133756</v>
      </c>
      <c r="IT100" s="791">
        <f t="shared" si="659"/>
        <v>66.626022864283598</v>
      </c>
      <c r="IU100" s="9">
        <f t="shared" si="660"/>
        <v>-5.4809165304442562</v>
      </c>
      <c r="IV100" s="5">
        <f t="shared" si="661"/>
        <v>-1.3012039244310363</v>
      </c>
      <c r="IW100" s="5">
        <f t="shared" si="526"/>
        <v>0.26600000000000001</v>
      </c>
      <c r="IX100" s="5">
        <f t="shared" si="662"/>
        <v>0.23801360715097797</v>
      </c>
      <c r="IY100" s="833">
        <f t="shared" si="663"/>
        <v>55.59765313632267</v>
      </c>
    </row>
    <row r="101" spans="1:259" ht="15" customHeight="1" x14ac:dyDescent="0.25">
      <c r="A101" s="84">
        <f t="shared" si="527"/>
        <v>0.02</v>
      </c>
      <c r="B101" s="770">
        <v>-5.7259709804321126</v>
      </c>
      <c r="C101" s="771">
        <v>0.52421919863239663</v>
      </c>
      <c r="D101" s="772">
        <v>-2.0603062138835408</v>
      </c>
      <c r="E101" s="773">
        <v>-0.49534657268578508</v>
      </c>
      <c r="F101" s="771">
        <v>-0.85150338759358402</v>
      </c>
      <c r="G101" s="774">
        <v>0.17197021208656157</v>
      </c>
      <c r="H101" s="773">
        <v>0.26600000000000001</v>
      </c>
      <c r="I101" s="771">
        <v>0.52</v>
      </c>
      <c r="J101" s="601">
        <v>6.2489999999999997</v>
      </c>
      <c r="K101" s="426" t="str">
        <f t="shared" si="651"/>
        <v>1313</v>
      </c>
      <c r="L101" s="327"/>
      <c r="M101" s="173">
        <f t="shared" si="469"/>
        <v>6.2489999999999997</v>
      </c>
      <c r="N101" s="21">
        <f t="shared" si="470"/>
        <v>-5.7259709804321126</v>
      </c>
      <c r="O101" s="5">
        <f t="shared" si="471"/>
        <v>0.52421919863239663</v>
      </c>
      <c r="P101" s="10">
        <f t="shared" si="472"/>
        <v>-2.0603062138835408</v>
      </c>
      <c r="Q101" s="624">
        <f t="shared" si="528"/>
        <v>174.76908776085801</v>
      </c>
      <c r="R101" s="5">
        <f t="shared" si="83"/>
        <v>5.7499173417507032</v>
      </c>
      <c r="S101" s="6">
        <f t="shared" si="84"/>
        <v>-2.0603062138835408</v>
      </c>
      <c r="T101" s="4">
        <f t="shared" si="85"/>
        <v>0.52301994275911645</v>
      </c>
      <c r="U101" s="5">
        <f t="shared" si="86"/>
        <v>5.7260806470431174</v>
      </c>
      <c r="V101" s="8">
        <f t="shared" si="117"/>
        <v>-2.0603062138835408</v>
      </c>
      <c r="W101" s="624">
        <f t="shared" si="652"/>
        <v>84.781087759125427</v>
      </c>
      <c r="X101" s="5">
        <f t="shared" si="87"/>
        <v>5.7499173417507032</v>
      </c>
      <c r="Y101" s="7">
        <f t="shared" si="650"/>
        <v>-2.0603062138835408</v>
      </c>
      <c r="Z101" s="21">
        <f t="shared" si="473"/>
        <v>0.49534657268578508</v>
      </c>
      <c r="AA101" s="5">
        <f t="shared" si="474"/>
        <v>0.85150338759358402</v>
      </c>
      <c r="AB101" s="5">
        <f t="shared" si="475"/>
        <v>-0.17197021208656157</v>
      </c>
      <c r="AC101" s="8">
        <f t="shared" si="88"/>
        <v>1</v>
      </c>
      <c r="AD101" s="9">
        <f t="shared" si="118"/>
        <v>0.49534657268578508</v>
      </c>
      <c r="AE101" s="5">
        <f t="shared" si="89"/>
        <v>0.85150338759358402</v>
      </c>
      <c r="AF101" s="10">
        <f t="shared" si="90"/>
        <v>-0.17197021208656157</v>
      </c>
      <c r="AG101" s="622">
        <f t="shared" si="91"/>
        <v>78.582089821109008</v>
      </c>
      <c r="AH101" s="623">
        <f t="shared" si="92"/>
        <v>60.307393672383789</v>
      </c>
      <c r="AI101" s="624">
        <f t="shared" si="93"/>
        <v>-80.097608852586632</v>
      </c>
      <c r="AJ101" s="625">
        <f t="shared" si="94"/>
        <v>149.81207609172438</v>
      </c>
      <c r="AK101" s="4">
        <f t="shared" si="213"/>
        <v>0.89311785983267045</v>
      </c>
      <c r="AL101" s="5">
        <f t="shared" si="95"/>
        <v>-0.41565217983647534</v>
      </c>
      <c r="AM101" s="6">
        <f t="shared" si="96"/>
        <v>-0.17197021208656157</v>
      </c>
      <c r="AN101" s="612">
        <f t="shared" si="97"/>
        <v>-67.523365982778017</v>
      </c>
      <c r="AO101" s="613">
        <f t="shared" si="466"/>
        <v>26.732311062676068</v>
      </c>
      <c r="AP101" s="624">
        <f t="shared" si="99"/>
        <v>-24.957011669133621</v>
      </c>
      <c r="AQ101" s="625">
        <f t="shared" si="476"/>
        <v>2.155832690611597</v>
      </c>
      <c r="AS101" s="56">
        <f t="shared" si="550"/>
        <v>-275.2189122408746</v>
      </c>
      <c r="AT101" s="78">
        <f t="shared" si="477"/>
        <v>-1.0205449898690042</v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>
        <f t="shared" si="522"/>
        <v>6.2489999999999997</v>
      </c>
      <c r="IH101" s="797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6.149</v>
      </c>
      <c r="II101" s="800" cm="1">
        <f t="array" ref="II101">IFERROR(IF($IH101&lt;1,$IH101+LARGE((IF($M$9:$M$150="",0,$M$9:$M$150)-MOD(IF($M$9:$M$150="",0,$M$9:$M$150),1)),1),$IH101),"")</f>
        <v>6.149</v>
      </c>
      <c r="IJ101" s="839" t="str">
        <f t="shared" si="523"/>
        <v>1613</v>
      </c>
      <c r="IK101" s="839" t="str">
        <f t="shared" si="524"/>
        <v>1313</v>
      </c>
      <c r="IL101" s="791">
        <f t="shared" si="654"/>
        <v>11.16789838755497</v>
      </c>
      <c r="IM101" s="830">
        <v>1.2633913375557099E-3</v>
      </c>
      <c r="IN101" s="5">
        <f t="shared" si="655"/>
        <v>0</v>
      </c>
      <c r="IO101" s="852">
        <v>0</v>
      </c>
      <c r="IP101" s="9">
        <f t="shared" si="656"/>
        <v>-5.7057172084431018</v>
      </c>
      <c r="IQ101" s="5">
        <f t="shared" si="657"/>
        <v>-2.1012063372383127</v>
      </c>
      <c r="IR101" s="5">
        <f t="shared" si="525"/>
        <v>0.314</v>
      </c>
      <c r="IS101" s="5">
        <f t="shared" si="658"/>
        <v>0.29888662458213011</v>
      </c>
      <c r="IT101" s="791">
        <f t="shared" si="659"/>
        <v>79.002444642607799</v>
      </c>
      <c r="IU101" s="9">
        <f t="shared" si="660"/>
        <v>-5.7499173417507032</v>
      </c>
      <c r="IV101" s="5">
        <f t="shared" si="661"/>
        <v>-2.0603062138835408</v>
      </c>
      <c r="IW101" s="5">
        <f t="shared" si="526"/>
        <v>0.26600000000000001</v>
      </c>
      <c r="IX101" s="5">
        <f t="shared" si="662"/>
        <v>0.23756935071549035</v>
      </c>
      <c r="IY101" s="833">
        <f t="shared" si="663"/>
        <v>67.523365982778017</v>
      </c>
    </row>
    <row r="102" spans="1:259" ht="15" customHeight="1" x14ac:dyDescent="0.25">
      <c r="A102" s="84">
        <f t="shared" si="527"/>
        <v>0</v>
      </c>
      <c r="B102" s="770">
        <v>-5.8010696191487758</v>
      </c>
      <c r="C102" s="771">
        <v>0.76671380626582364</v>
      </c>
      <c r="D102" s="772">
        <v>-2.8823086930430182</v>
      </c>
      <c r="E102" s="773">
        <v>-0.88512439734948989</v>
      </c>
      <c r="F102" s="771">
        <v>0.1169845930440342</v>
      </c>
      <c r="G102" s="774">
        <v>0.45041026432245557</v>
      </c>
      <c r="H102" s="773">
        <v>0.25700000000000001</v>
      </c>
      <c r="I102" s="771">
        <v>0.41499999999999992</v>
      </c>
      <c r="J102" s="601">
        <v>6.2560000000000002</v>
      </c>
      <c r="K102" s="426" t="str">
        <f t="shared" si="651"/>
        <v>Knuckle</v>
      </c>
      <c r="L102" s="327"/>
      <c r="M102" s="173">
        <f t="shared" si="469"/>
        <v>6.2560000000000002</v>
      </c>
      <c r="N102" s="21">
        <f t="shared" si="470"/>
        <v>-5.8010696191487758</v>
      </c>
      <c r="O102" s="5">
        <f t="shared" si="471"/>
        <v>0.76671380626582364</v>
      </c>
      <c r="P102" s="10">
        <f t="shared" si="472"/>
        <v>-2.8823086930430182</v>
      </c>
      <c r="Q102" s="624">
        <f t="shared" si="528"/>
        <v>172.47098809266257</v>
      </c>
      <c r="R102" s="5">
        <f t="shared" si="83"/>
        <v>5.8515176481772277</v>
      </c>
      <c r="S102" s="6">
        <f t="shared" si="84"/>
        <v>-2.8823086930430182</v>
      </c>
      <c r="T102" s="4">
        <f t="shared" si="85"/>
        <v>0.7654988164543165</v>
      </c>
      <c r="U102" s="5">
        <f t="shared" si="86"/>
        <v>5.801230072056839</v>
      </c>
      <c r="V102" s="8">
        <f t="shared" si="117"/>
        <v>-2.8823086930430182</v>
      </c>
      <c r="W102" s="624">
        <f t="shared" si="652"/>
        <v>82.482988090929979</v>
      </c>
      <c r="X102" s="5">
        <f t="shared" si="87"/>
        <v>5.8515176481772277</v>
      </c>
      <c r="Y102" s="7">
        <f t="shared" si="650"/>
        <v>-2.8823086930430182</v>
      </c>
      <c r="Z102" s="21">
        <f t="shared" si="473"/>
        <v>0.88512439734948989</v>
      </c>
      <c r="AA102" s="5">
        <f t="shared" si="474"/>
        <v>-0.1169845930440342</v>
      </c>
      <c r="AB102" s="5">
        <f t="shared" si="475"/>
        <v>-0.45041026432245557</v>
      </c>
      <c r="AC102" s="8">
        <f t="shared" si="88"/>
        <v>1</v>
      </c>
      <c r="AD102" s="9">
        <f t="shared" si="118"/>
        <v>0.88512439734948989</v>
      </c>
      <c r="AE102" s="5">
        <f t="shared" si="89"/>
        <v>-0.1169845930440342</v>
      </c>
      <c r="AF102" s="10">
        <f t="shared" si="90"/>
        <v>-0.45041026432245557</v>
      </c>
      <c r="AG102" s="622">
        <f t="shared" si="91"/>
        <v>-14.559669527677375</v>
      </c>
      <c r="AH102" s="623">
        <f t="shared" si="92"/>
        <v>27.733166433773377</v>
      </c>
      <c r="AI102" s="624">
        <f t="shared" si="93"/>
        <v>-63.229990870719611</v>
      </c>
      <c r="AJ102" s="625">
        <f t="shared" si="94"/>
        <v>82.471002646957501</v>
      </c>
      <c r="AK102" s="4">
        <f t="shared" si="213"/>
        <v>2.2679489646015849E-7</v>
      </c>
      <c r="AL102" s="5">
        <f t="shared" si="95"/>
        <v>-0.89282170324926835</v>
      </c>
      <c r="AM102" s="6">
        <f t="shared" si="96"/>
        <v>-0.45041026432245557</v>
      </c>
      <c r="AN102" s="612">
        <f t="shared" si="97"/>
        <v>-63.229990870718886</v>
      </c>
      <c r="AO102" s="613">
        <f t="shared" si="466"/>
        <v>0</v>
      </c>
      <c r="AP102" s="624">
        <f t="shared" si="99"/>
        <v>-89.999985445705079</v>
      </c>
      <c r="AQ102" s="625">
        <f t="shared" si="476"/>
        <v>2.118435223967094</v>
      </c>
      <c r="AS102" s="56">
        <f t="shared" si="550"/>
        <v>-277.51701190906999</v>
      </c>
      <c r="AT102" s="78">
        <f t="shared" si="477"/>
        <v>-1.8338657591708547</v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>
        <f>IFERROR(IF((((($IW102*COS(RADIANS(180-$IY102)))*COS(RADIANS($IY102)))-(($IX102*SIN(RADIANS(180-$IY102)))*SIN(RADIANS($IY102))))+$IU102)&lt;(((Settings!$C$19/2)*-1)+$IF$8),1,""),"")</f>
        <v>1</v>
      </c>
      <c r="IG102" s="836">
        <f t="shared" si="522"/>
        <v>6.2560000000000002</v>
      </c>
      <c r="IH102" s="797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6.1559999999999997</v>
      </c>
      <c r="II102" s="800" cm="1">
        <f t="array" ref="II102">IFERROR(IF($IH102&lt;1,$IH102+LARGE((IF($M$9:$M$150="",0,$M$9:$M$150)-MOD(IF($M$9:$M$150="",0,$M$9:$M$150),1)),1),$IH102),"")</f>
        <v>6.1559999999999997</v>
      </c>
      <c r="IJ102" s="839" t="str">
        <f t="shared" si="523"/>
        <v>1613</v>
      </c>
      <c r="IK102" s="839" t="str">
        <f t="shared" si="524"/>
        <v>Knuckle</v>
      </c>
      <c r="IL102" s="791">
        <f t="shared" si="654"/>
        <v>13.255998086070662</v>
      </c>
      <c r="IM102" s="830">
        <v>2.21367543062996E-4</v>
      </c>
      <c r="IN102" s="5">
        <f t="shared" si="655"/>
        <v>0</v>
      </c>
      <c r="IO102" s="852">
        <v>0</v>
      </c>
      <c r="IP102" s="9">
        <f t="shared" si="656"/>
        <v>-5.8263175721737985</v>
      </c>
      <c r="IQ102" s="5">
        <f t="shared" si="657"/>
        <v>-2.8917087213935049</v>
      </c>
      <c r="IR102" s="5">
        <f t="shared" si="525"/>
        <v>0.314</v>
      </c>
      <c r="IS102" s="5">
        <f t="shared" si="658"/>
        <v>0.28018709362890826</v>
      </c>
      <c r="IT102" s="791">
        <f t="shared" si="659"/>
        <v>86.045272919053645</v>
      </c>
      <c r="IU102" s="9">
        <f t="shared" si="660"/>
        <v>-5.8515176481772277</v>
      </c>
      <c r="IV102" s="5">
        <f t="shared" si="661"/>
        <v>-2.8823086930430182</v>
      </c>
      <c r="IW102" s="5">
        <f t="shared" si="526"/>
        <v>0.25700000000000001</v>
      </c>
      <c r="IX102" s="5">
        <f t="shared" si="662"/>
        <v>0.25700000000000001</v>
      </c>
      <c r="IY102" s="833">
        <f t="shared" si="663"/>
        <v>63.229990870718886</v>
      </c>
    </row>
    <row r="103" spans="1:259" ht="15" customHeight="1" x14ac:dyDescent="0.25">
      <c r="A103" s="84">
        <f t="shared" si="527"/>
        <v>0.02</v>
      </c>
      <c r="B103" s="770">
        <v>-2.0148521127634087</v>
      </c>
      <c r="C103" s="771">
        <v>1.6341007308223916</v>
      </c>
      <c r="D103" s="772">
        <v>-0.17430052569038545</v>
      </c>
      <c r="E103" s="773">
        <v>-0.54222138305405665</v>
      </c>
      <c r="F103" s="771">
        <v>-0.76211575211607263</v>
      </c>
      <c r="G103" s="774">
        <v>0.3538015716973274</v>
      </c>
      <c r="H103" s="773">
        <v>0.314</v>
      </c>
      <c r="I103" s="771">
        <v>0.52</v>
      </c>
      <c r="J103" s="601">
        <v>7.1130000000000004</v>
      </c>
      <c r="K103" s="426" t="str">
        <f t="shared" si="651"/>
        <v>1613</v>
      </c>
      <c r="L103" s="327"/>
      <c r="M103" s="173">
        <f t="shared" si="469"/>
        <v>7.1130000000000004</v>
      </c>
      <c r="N103" s="21">
        <f t="shared" si="470"/>
        <v>-2.0148521127634087</v>
      </c>
      <c r="O103" s="5">
        <f t="shared" si="471"/>
        <v>1.6341007308223916</v>
      </c>
      <c r="P103" s="10">
        <f t="shared" si="472"/>
        <v>-0.17430052569038545</v>
      </c>
      <c r="Q103" s="624">
        <f t="shared" si="528"/>
        <v>140.95699264272054</v>
      </c>
      <c r="R103" s="5">
        <f t="shared" si="83"/>
        <v>2.5942078241307973</v>
      </c>
      <c r="S103" s="6">
        <f t="shared" si="84"/>
        <v>-0.17430052569038545</v>
      </c>
      <c r="T103" s="4">
        <f t="shared" si="85"/>
        <v>1.6336787054068742</v>
      </c>
      <c r="U103" s="5">
        <f t="shared" si="86"/>
        <v>2.0151943137775983</v>
      </c>
      <c r="V103" s="8">
        <f t="shared" si="117"/>
        <v>-0.17430052569038545</v>
      </c>
      <c r="W103" s="624">
        <f t="shared" si="652"/>
        <v>50.968992640987949</v>
      </c>
      <c r="X103" s="5">
        <f t="shared" si="87"/>
        <v>2.5942078241307973</v>
      </c>
      <c r="Y103" s="7">
        <f t="shared" si="650"/>
        <v>-0.17430052569038545</v>
      </c>
      <c r="Z103" s="21">
        <f t="shared" si="473"/>
        <v>0.54222138305405665</v>
      </c>
      <c r="AA103" s="5">
        <f t="shared" si="474"/>
        <v>0.76211575211607263</v>
      </c>
      <c r="AB103" s="5">
        <f t="shared" si="475"/>
        <v>-0.3538015716973274</v>
      </c>
      <c r="AC103" s="8">
        <f t="shared" si="88"/>
        <v>1</v>
      </c>
      <c r="AD103" s="9">
        <f t="shared" si="118"/>
        <v>0.54222138305405665</v>
      </c>
      <c r="AE103" s="5">
        <f t="shared" si="89"/>
        <v>0.76211575211607263</v>
      </c>
      <c r="AF103" s="10">
        <f t="shared" si="90"/>
        <v>-0.3538015716973274</v>
      </c>
      <c r="AG103" s="622">
        <f t="shared" si="91"/>
        <v>65.097574321410207</v>
      </c>
      <c r="AH103" s="623">
        <f t="shared" si="92"/>
        <v>57.165013572857227</v>
      </c>
      <c r="AI103" s="624">
        <f t="shared" si="93"/>
        <v>-69.279986652300252</v>
      </c>
      <c r="AJ103" s="625">
        <f t="shared" si="94"/>
        <v>144.56934565699706</v>
      </c>
      <c r="AK103" s="4">
        <f t="shared" si="213"/>
        <v>0.93346218028961236</v>
      </c>
      <c r="AL103" s="5">
        <f t="shared" si="95"/>
        <v>5.8930516996413052E-2</v>
      </c>
      <c r="AM103" s="6">
        <f t="shared" si="96"/>
        <v>-0.3538015716973274</v>
      </c>
      <c r="AN103" s="612">
        <f t="shared" si="97"/>
        <v>9.4565848639320631</v>
      </c>
      <c r="AO103" s="613">
        <f t="shared" si="466"/>
        <v>21.018897056717336</v>
      </c>
      <c r="AP103" s="624">
        <f t="shared" si="99"/>
        <v>3.6123530142765015</v>
      </c>
      <c r="AQ103" s="625">
        <f t="shared" si="476"/>
        <v>4.7694921821532086</v>
      </c>
      <c r="AS103" s="56">
        <f t="shared" si="550"/>
        <v>-309.03100735901205</v>
      </c>
      <c r="AT103" s="78">
        <f t="shared" si="477"/>
        <v>0.9931952798815592</v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>
        <f t="shared" si="522"/>
        <v>7.1130000000000004</v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3"/>
        <v/>
      </c>
      <c r="IK103" s="839" t="str">
        <f t="shared" si="524"/>
        <v/>
      </c>
      <c r="IL103" s="791" t="str">
        <f t="shared" si="654"/>
        <v/>
      </c>
      <c r="IM103" s="830"/>
      <c r="IN103" s="5" t="str">
        <f t="shared" si="655"/>
        <v/>
      </c>
      <c r="IO103" s="852"/>
      <c r="IP103" s="9" t="str">
        <f t="shared" si="656"/>
        <v/>
      </c>
      <c r="IQ103" s="5" t="str">
        <f t="shared" si="657"/>
        <v/>
      </c>
      <c r="IR103" s="5" t="str">
        <f t="shared" si="525"/>
        <v/>
      </c>
      <c r="IS103" s="5" t="str">
        <f t="shared" si="658"/>
        <v/>
      </c>
      <c r="IT103" s="791" t="str">
        <f t="shared" si="659"/>
        <v/>
      </c>
      <c r="IU103" s="9" t="str">
        <f t="shared" si="660"/>
        <v/>
      </c>
      <c r="IV103" s="5" t="str">
        <f t="shared" si="661"/>
        <v/>
      </c>
      <c r="IW103" s="5" t="str">
        <f t="shared" si="526"/>
        <v/>
      </c>
      <c r="IX103" s="5" t="str">
        <f t="shared" si="662"/>
        <v/>
      </c>
      <c r="IY103" s="833" t="str">
        <f t="shared" si="663"/>
        <v/>
      </c>
    </row>
    <row r="104" spans="1:259" ht="15" customHeight="1" x14ac:dyDescent="0.25">
      <c r="A104" s="84">
        <f t="shared" si="527"/>
        <v>0.02</v>
      </c>
      <c r="B104" s="770">
        <v>-2.6097304798068253</v>
      </c>
      <c r="C104" s="771">
        <v>2.1621047852814477</v>
      </c>
      <c r="D104" s="772">
        <v>-8.1800246709543945E-2</v>
      </c>
      <c r="E104" s="773">
        <v>-0.66848564151095469</v>
      </c>
      <c r="F104" s="771">
        <v>-0.69806795038774005</v>
      </c>
      <c r="G104" s="774">
        <v>0.25656984182702985</v>
      </c>
      <c r="H104" s="773">
        <v>0.314</v>
      </c>
      <c r="I104" s="771">
        <v>0.52</v>
      </c>
      <c r="J104" s="601">
        <v>7.12</v>
      </c>
      <c r="K104" s="426" t="str">
        <f t="shared" si="651"/>
        <v>1613</v>
      </c>
      <c r="L104" s="327"/>
      <c r="M104" s="173">
        <f t="shared" si="469"/>
        <v>7.12</v>
      </c>
      <c r="N104" s="21">
        <f t="shared" si="470"/>
        <v>-2.6097304798068253</v>
      </c>
      <c r="O104" s="5">
        <f t="shared" si="471"/>
        <v>2.1621047852814477</v>
      </c>
      <c r="P104" s="10">
        <f t="shared" si="472"/>
        <v>-8.1800246709543945E-2</v>
      </c>
      <c r="Q104" s="624">
        <f t="shared" si="528"/>
        <v>140.35899272906104</v>
      </c>
      <c r="R104" s="5">
        <f t="shared" si="83"/>
        <v>3.3890102212548276</v>
      </c>
      <c r="S104" s="6">
        <f t="shared" si="84"/>
        <v>-8.1800246709543945E-2</v>
      </c>
      <c r="T104" s="4">
        <f t="shared" si="85"/>
        <v>2.1615581572705627</v>
      </c>
      <c r="U104" s="5">
        <f t="shared" si="86"/>
        <v>2.6101832526676714</v>
      </c>
      <c r="V104" s="8">
        <f t="shared" si="117"/>
        <v>-8.1800246709543945E-2</v>
      </c>
      <c r="W104" s="624">
        <f t="shared" si="652"/>
        <v>50.370992727328456</v>
      </c>
      <c r="X104" s="5">
        <f t="shared" si="87"/>
        <v>3.3890102212548276</v>
      </c>
      <c r="Y104" s="7">
        <f t="shared" si="650"/>
        <v>-8.1800246709543945E-2</v>
      </c>
      <c r="Z104" s="21">
        <f t="shared" si="473"/>
        <v>0.66848564151095469</v>
      </c>
      <c r="AA104" s="5">
        <f t="shared" si="474"/>
        <v>0.69806795038774005</v>
      </c>
      <c r="AB104" s="5">
        <f t="shared" si="475"/>
        <v>-0.25656984182702985</v>
      </c>
      <c r="AC104" s="8">
        <f t="shared" si="88"/>
        <v>1</v>
      </c>
      <c r="AD104" s="9">
        <f t="shared" si="118"/>
        <v>0.66848564151095469</v>
      </c>
      <c r="AE104" s="5">
        <f t="shared" si="89"/>
        <v>0.69806795038774005</v>
      </c>
      <c r="AF104" s="10">
        <f t="shared" si="90"/>
        <v>-0.25656984182702985</v>
      </c>
      <c r="AG104" s="622">
        <f t="shared" si="91"/>
        <v>69.819460005718838</v>
      </c>
      <c r="AH104" s="623">
        <f t="shared" si="92"/>
        <v>48.049706786127587</v>
      </c>
      <c r="AI104" s="624">
        <f t="shared" si="93"/>
        <v>-75.133374416317992</v>
      </c>
      <c r="AJ104" s="625">
        <f t="shared" si="94"/>
        <v>136.24010999371649</v>
      </c>
      <c r="AK104" s="4">
        <f t="shared" si="213"/>
        <v>0.96402931776825584</v>
      </c>
      <c r="AL104" s="5">
        <f t="shared" si="95"/>
        <v>-6.9421831927169275E-2</v>
      </c>
      <c r="AM104" s="6">
        <f t="shared" si="96"/>
        <v>-0.25656984182702985</v>
      </c>
      <c r="AN104" s="612">
        <f t="shared" si="97"/>
        <v>-15.140370248253214</v>
      </c>
      <c r="AO104" s="613">
        <f t="shared" si="466"/>
        <v>15.414252229197286</v>
      </c>
      <c r="AP104" s="624">
        <f t="shared" si="99"/>
        <v>-4.118882735344525</v>
      </c>
      <c r="AQ104" s="625">
        <f t="shared" si="476"/>
        <v>3.6544271934841155</v>
      </c>
      <c r="AS104" s="56">
        <f t="shared" si="550"/>
        <v>-309.62900727267152</v>
      </c>
      <c r="AT104" s="78">
        <f t="shared" si="477"/>
        <v>1.0879546696473363</v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>
        <f t="shared" si="522"/>
        <v>7.12</v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3"/>
        <v/>
      </c>
      <c r="IK104" s="839" t="str">
        <f t="shared" si="524"/>
        <v/>
      </c>
      <c r="IL104" s="791" t="str">
        <f t="shared" si="654"/>
        <v/>
      </c>
      <c r="IM104" s="830"/>
      <c r="IN104" s="5" t="str">
        <f t="shared" si="655"/>
        <v/>
      </c>
      <c r="IO104" s="852"/>
      <c r="IP104" s="9" t="str">
        <f t="shared" si="656"/>
        <v/>
      </c>
      <c r="IQ104" s="5" t="str">
        <f t="shared" si="657"/>
        <v/>
      </c>
      <c r="IR104" s="5" t="str">
        <f t="shared" si="525"/>
        <v/>
      </c>
      <c r="IS104" s="5" t="str">
        <f t="shared" si="658"/>
        <v/>
      </c>
      <c r="IT104" s="791" t="str">
        <f t="shared" si="659"/>
        <v/>
      </c>
      <c r="IU104" s="9" t="str">
        <f t="shared" si="660"/>
        <v/>
      </c>
      <c r="IV104" s="5" t="str">
        <f t="shared" si="661"/>
        <v/>
      </c>
      <c r="IW104" s="5" t="str">
        <f t="shared" si="526"/>
        <v/>
      </c>
      <c r="IX104" s="5" t="str">
        <f t="shared" si="662"/>
        <v/>
      </c>
      <c r="IY104" s="833" t="str">
        <f t="shared" si="663"/>
        <v/>
      </c>
    </row>
    <row r="105" spans="1:259" ht="15" customHeight="1" x14ac:dyDescent="0.25">
      <c r="A105" s="84">
        <f t="shared" si="527"/>
        <v>0.02</v>
      </c>
      <c r="B105" s="770">
        <v>-3.1669214942246318</v>
      </c>
      <c r="C105" s="771">
        <v>2.716394769814507</v>
      </c>
      <c r="D105" s="772">
        <v>-0.24480073831902674</v>
      </c>
      <c r="E105" s="773">
        <v>-0.74215939907168038</v>
      </c>
      <c r="F105" s="771">
        <v>-0.62936773112290667</v>
      </c>
      <c r="G105" s="774">
        <v>0.23042501034125396</v>
      </c>
      <c r="H105" s="773">
        <v>0.314</v>
      </c>
      <c r="I105" s="771">
        <v>0.52</v>
      </c>
      <c r="J105" s="601">
        <v>7.1269999999999998</v>
      </c>
      <c r="K105" s="426" t="str">
        <f t="shared" si="651"/>
        <v>1613</v>
      </c>
      <c r="L105" s="327"/>
      <c r="M105" s="173">
        <f t="shared" ref="M105:M136" si="667">IF(J105="","",VALUE(J105))</f>
        <v>7.1269999999999998</v>
      </c>
      <c r="N105" s="21">
        <f t="shared" ref="N105:N136" si="668">IF(M105="","",B105)</f>
        <v>-3.1669214942246318</v>
      </c>
      <c r="O105" s="5">
        <f t="shared" ref="O105:O136" si="669">IF(M105="","",C105)</f>
        <v>2.716394769814507</v>
      </c>
      <c r="P105" s="10">
        <f t="shared" ref="P105:P136" si="670">IF(M105="","",D105)</f>
        <v>-0.24480073831902674</v>
      </c>
      <c r="Q105" s="624">
        <f t="shared" si="528"/>
        <v>139.37899287055552</v>
      </c>
      <c r="R105" s="5">
        <f t="shared" si="83"/>
        <v>4.1723125836947528</v>
      </c>
      <c r="S105" s="6">
        <f t="shared" si="84"/>
        <v>-0.24480073831902674</v>
      </c>
      <c r="T105" s="4">
        <f t="shared" si="85"/>
        <v>2.7157314318512182</v>
      </c>
      <c r="U105" s="5">
        <f t="shared" si="86"/>
        <v>3.1674903450701968</v>
      </c>
      <c r="V105" s="8">
        <f t="shared" si="117"/>
        <v>-0.24480073831902674</v>
      </c>
      <c r="W105" s="624">
        <f t="shared" si="652"/>
        <v>49.390992868822934</v>
      </c>
      <c r="X105" s="5">
        <f t="shared" si="87"/>
        <v>4.1723125836947528</v>
      </c>
      <c r="Y105" s="7">
        <f t="shared" si="650"/>
        <v>-0.24480073831902674</v>
      </c>
      <c r="Z105" s="21">
        <f t="shared" ref="Z105:Z136" si="671">IF(M105="","",-E105)</f>
        <v>0.74215939907168038</v>
      </c>
      <c r="AA105" s="5">
        <f t="shared" ref="AA105:AA136" si="672">IF(M105="","",-F105)</f>
        <v>0.62936773112290667</v>
      </c>
      <c r="AB105" s="5">
        <f t="shared" ref="AB105:AB136" si="673">IF(M105="","",-G105)</f>
        <v>-0.23042501034125396</v>
      </c>
      <c r="AC105" s="8">
        <f t="shared" si="88"/>
        <v>1</v>
      </c>
      <c r="AD105" s="9">
        <f t="shared" si="118"/>
        <v>0.74215939907168038</v>
      </c>
      <c r="AE105" s="5">
        <f t="shared" si="89"/>
        <v>0.62936773112290667</v>
      </c>
      <c r="AF105" s="10">
        <f t="shared" si="90"/>
        <v>-0.23042501034125396</v>
      </c>
      <c r="AG105" s="622">
        <f t="shared" si="91"/>
        <v>69.891239190570374</v>
      </c>
      <c r="AH105" s="623">
        <f t="shared" si="92"/>
        <v>42.084310440658292</v>
      </c>
      <c r="AI105" s="624">
        <f t="shared" si="93"/>
        <v>-76.67790483429178</v>
      </c>
      <c r="AJ105" s="625">
        <f t="shared" si="94"/>
        <v>130.29868827614121</v>
      </c>
      <c r="AK105" s="4">
        <f t="shared" si="213"/>
        <v>0.9608954327005963</v>
      </c>
      <c r="AL105" s="5">
        <f t="shared" si="95"/>
        <v>-0.15357174878331975</v>
      </c>
      <c r="AM105" s="6">
        <f t="shared" si="96"/>
        <v>-0.23042501034125396</v>
      </c>
      <c r="AN105" s="612">
        <f t="shared" si="97"/>
        <v>-33.682333294118393</v>
      </c>
      <c r="AO105" s="613">
        <f t="shared" si="466"/>
        <v>16.075958298350535</v>
      </c>
      <c r="AP105" s="624">
        <f t="shared" si="99"/>
        <v>-9.080304594414315</v>
      </c>
      <c r="AQ105" s="625">
        <f t="shared" ref="AQ105:AQ136" si="674">IF(M105="","",DEGREES(ATAN(($AS$5*SIN(RADIANS(90)))/(($X105*2*PI())-($AS$5*COS(RADIANS(90)))))))</f>
        <v>2.9697212097574366</v>
      </c>
      <c r="AS105" s="56">
        <f t="shared" si="550"/>
        <v>-310.60900713117707</v>
      </c>
      <c r="AT105" s="78">
        <f t="shared" ref="AT105:AT136" si="675">IF(M105="","",Y105+(((AS105-$AS$9)*$AS$6)*-1))</f>
        <v>0.92865639972554126</v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>
        <f t="shared" ref="IG105:IG136" si="720">M105</f>
        <v>7.1269999999999998</v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1">IF(ISNUMBER($II105),INDEX($K$9:$K$150,MATCH($II105,$M$9:$M$150,0)),"")</f>
        <v/>
      </c>
      <c r="IK105" s="839" t="str">
        <f t="shared" ref="IK105:IK136" si="722">IF(ISNUMBER($II105),INDEX($K$9:$K$150,MATCH($IG105,$M$9:$M$150,0)),"")</f>
        <v/>
      </c>
      <c r="IL105" s="791" t="str">
        <f t="shared" si="654"/>
        <v/>
      </c>
      <c r="IM105" s="830"/>
      <c r="IN105" s="5" t="str">
        <f t="shared" si="655"/>
        <v/>
      </c>
      <c r="IO105" s="852"/>
      <c r="IP105" s="9" t="str">
        <f t="shared" si="656"/>
        <v/>
      </c>
      <c r="IQ105" s="5" t="str">
        <f t="shared" si="657"/>
        <v/>
      </c>
      <c r="IR105" s="5" t="str">
        <f t="shared" ref="IR105:IR136" si="723">IF(ISNUMBER($II105),INDEX($H$9:$H$150,MATCH($II105,$M$9:$M$150,0)),"")</f>
        <v/>
      </c>
      <c r="IS105" s="5" t="str">
        <f t="shared" si="658"/>
        <v/>
      </c>
      <c r="IT105" s="791" t="str">
        <f t="shared" si="659"/>
        <v/>
      </c>
      <c r="IU105" s="9" t="str">
        <f t="shared" si="660"/>
        <v/>
      </c>
      <c r="IV105" s="5" t="str">
        <f t="shared" si="661"/>
        <v/>
      </c>
      <c r="IW105" s="5" t="str">
        <f t="shared" ref="IW105:IW136" si="724">IF(ISNUMBER($II105),$H105,"")</f>
        <v/>
      </c>
      <c r="IX105" s="5" t="str">
        <f t="shared" si="662"/>
        <v/>
      </c>
      <c r="IY105" s="833" t="str">
        <f t="shared" si="663"/>
        <v/>
      </c>
    </row>
    <row r="106" spans="1:259" ht="15" customHeight="1" x14ac:dyDescent="0.25">
      <c r="A106" s="84">
        <f t="shared" si="527"/>
        <v>0.02</v>
      </c>
      <c r="B106" s="770">
        <v>-3.6338785781441105</v>
      </c>
      <c r="C106" s="771">
        <v>3.2333478012528807</v>
      </c>
      <c r="D106" s="772">
        <v>-0.64700195135788541</v>
      </c>
      <c r="E106" s="773">
        <v>-0.8022732883664484</v>
      </c>
      <c r="F106" s="771">
        <v>-0.56749600777050779</v>
      </c>
      <c r="G106" s="774">
        <v>0.18521838984890593</v>
      </c>
      <c r="H106" s="773">
        <v>0.314</v>
      </c>
      <c r="I106" s="771">
        <v>0.52</v>
      </c>
      <c r="J106" s="601">
        <v>7.1340000000000003</v>
      </c>
      <c r="K106" s="426" t="str">
        <f t="shared" si="651"/>
        <v>1613</v>
      </c>
      <c r="L106" s="327"/>
      <c r="M106" s="173">
        <f t="shared" si="667"/>
        <v>7.1340000000000003</v>
      </c>
      <c r="N106" s="21">
        <f t="shared" si="668"/>
        <v>-3.6338785781441105</v>
      </c>
      <c r="O106" s="5">
        <f t="shared" si="669"/>
        <v>3.2333478012528807</v>
      </c>
      <c r="P106" s="10">
        <f t="shared" si="670"/>
        <v>-0.64700195135788541</v>
      </c>
      <c r="Q106" s="624">
        <f t="shared" si="528"/>
        <v>138.33799302085728</v>
      </c>
      <c r="R106" s="5">
        <f t="shared" ref="R106:R129" si="725">IF(M106="","",SQRT(N106^2+O106^2))</f>
        <v>4.8641146701698448</v>
      </c>
      <c r="S106" s="6">
        <f t="shared" ref="S106:S129" si="726">IF(M106="","",P106)</f>
        <v>-0.64700195135788541</v>
      </c>
      <c r="T106" s="4">
        <f t="shared" ref="T106:T129" si="727">IF(M106="","",X106*COS(RADIANS(W106)))</f>
        <v>3.2325866527034237</v>
      </c>
      <c r="U106" s="5">
        <f t="shared" ref="U106:U129" si="728">IF(M106="","",X106*SIN(RADIANS(W106)))</f>
        <v>3.6345556891214601</v>
      </c>
      <c r="V106" s="8">
        <f t="shared" ref="V106:V129" si="729">IF(M106="","",Y106)</f>
        <v>-0.64700195135788541</v>
      </c>
      <c r="W106" s="624">
        <f t="shared" si="652"/>
        <v>48.349993019124696</v>
      </c>
      <c r="X106" s="5">
        <f t="shared" ref="X106:X129" si="730">IF(M106="","",R106)</f>
        <v>4.8641146701698448</v>
      </c>
      <c r="Y106" s="7">
        <f t="shared" si="650"/>
        <v>-0.64700195135788541</v>
      </c>
      <c r="Z106" s="21">
        <f t="shared" si="671"/>
        <v>0.8022732883664484</v>
      </c>
      <c r="AA106" s="5">
        <f t="shared" si="672"/>
        <v>0.56749600777050779</v>
      </c>
      <c r="AB106" s="5">
        <f t="shared" si="673"/>
        <v>-0.18521838984890593</v>
      </c>
      <c r="AC106" s="8">
        <f t="shared" ref="AC106:AC129" si="731">IF(M106="","",SQRT(Z106^2+AA106^2+AB106^2))</f>
        <v>1</v>
      </c>
      <c r="AD106" s="9">
        <f t="shared" ref="AD106:AD129" si="732">IF(M106="","",Z106*(1/SQRT(Z106^2+AA106^2+AB106^2)))</f>
        <v>0.8022732883664484</v>
      </c>
      <c r="AE106" s="5">
        <f t="shared" ref="AE106:AE129" si="733">IF(M106="","",AA106*(1/SQRT(Z106^2+AA106^2+AB106^2)))</f>
        <v>0.56749600777050779</v>
      </c>
      <c r="AF106" s="10">
        <f t="shared" ref="AF106:AF129" si="734">IF(M106="","",AB106*(1/SQRT(Z106^2+AA106^2+AB106^2)))</f>
        <v>-0.18521838984890593</v>
      </c>
      <c r="AG106" s="622">
        <f t="shared" ref="AG106:AG129" si="735">IF(M106="","",DEGREES(ATAN2(-AF106,AE106)))</f>
        <v>71.924440303405319</v>
      </c>
      <c r="AH106" s="623">
        <f t="shared" ref="AH106:AH129" si="736">IF(M106="","",DEGREES(ACOS(AD106)))</f>
        <v>36.652262959674317</v>
      </c>
      <c r="AI106" s="624">
        <f t="shared" ref="AI106:AI129" si="737">IF(M106="","",DEGREES(-ACOS(-AF106)))</f>
        <v>-79.326134735710696</v>
      </c>
      <c r="AJ106" s="625">
        <f t="shared" ref="AJ106:AJ129" si="738">IF(M106="","",DEGREES(ATAN2(-AE106,AD106)))</f>
        <v>125.27405956119932</v>
      </c>
      <c r="AK106" s="4">
        <f t="shared" ref="AK106:AK129" si="739">IF(M106="","",(COS(RADIANS((90-$Q$8)-W106))*AD106)+(-SIN(RADIANS((90-$Q$8)-W106))*AE106))</f>
        <v>0.95726364909085082</v>
      </c>
      <c r="AL106" s="5">
        <f t="shared" ref="AL106:AL129" si="740">IF(M106="","",(SIN(RADIANS((90-$Q$8)-W106))*AD106)+(COS(RADIANS((90-$Q$8)-W106))*AE106))</f>
        <v>-0.222127112687864</v>
      </c>
      <c r="AM106" s="6">
        <f t="shared" ref="AM106:AM129" si="741">IF(M106="","",AF106)</f>
        <v>-0.18521838984890593</v>
      </c>
      <c r="AN106" s="612">
        <f t="shared" ref="AN106:AN129" si="742">IF(M106="","",DEGREES(ATAN2(-AM106,AL106)))</f>
        <v>-50.177313244108326</v>
      </c>
      <c r="AO106" s="613">
        <f t="shared" si="466"/>
        <v>16.811067490596812</v>
      </c>
      <c r="AP106" s="624">
        <f t="shared" ref="AP106:AP129" si="743">IF(M106="","",DEGREES(ATAN2(AK106,AL106)))</f>
        <v>-13.063933459657958</v>
      </c>
      <c r="AQ106" s="625">
        <f t="shared" si="674"/>
        <v>2.5479532137917151</v>
      </c>
      <c r="AS106" s="56">
        <f t="shared" si="550"/>
        <v>-311.65000698087533</v>
      </c>
      <c r="AT106" s="78">
        <f t="shared" si="675"/>
        <v>0.53038785278554268</v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>
        <f t="shared" si="720"/>
        <v>7.1340000000000003</v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1"/>
        <v/>
      </c>
      <c r="IK106" s="839" t="str">
        <f t="shared" si="722"/>
        <v/>
      </c>
      <c r="IL106" s="791" t="str">
        <f t="shared" si="654"/>
        <v/>
      </c>
      <c r="IM106" s="830"/>
      <c r="IN106" s="5" t="str">
        <f t="shared" si="655"/>
        <v/>
      </c>
      <c r="IO106" s="852"/>
      <c r="IP106" s="9" t="str">
        <f t="shared" si="656"/>
        <v/>
      </c>
      <c r="IQ106" s="5" t="str">
        <f t="shared" si="657"/>
        <v/>
      </c>
      <c r="IR106" s="5" t="str">
        <f t="shared" si="723"/>
        <v/>
      </c>
      <c r="IS106" s="5" t="str">
        <f t="shared" si="658"/>
        <v/>
      </c>
      <c r="IT106" s="791" t="str">
        <f t="shared" si="659"/>
        <v/>
      </c>
      <c r="IU106" s="9" t="str">
        <f t="shared" si="660"/>
        <v/>
      </c>
      <c r="IV106" s="5" t="str">
        <f t="shared" si="661"/>
        <v/>
      </c>
      <c r="IW106" s="5" t="str">
        <f t="shared" si="724"/>
        <v/>
      </c>
      <c r="IX106" s="5" t="str">
        <f t="shared" si="662"/>
        <v/>
      </c>
      <c r="IY106" s="833" t="str">
        <f t="shared" si="663"/>
        <v/>
      </c>
    </row>
    <row r="107" spans="1:259" ht="15" customHeight="1" x14ac:dyDescent="0.25">
      <c r="A107" s="84">
        <f t="shared" si="527"/>
        <v>0.02</v>
      </c>
      <c r="B107" s="770">
        <v>-3.9726318215466754</v>
      </c>
      <c r="C107" s="771">
        <v>3.6433097264716441</v>
      </c>
      <c r="D107" s="772">
        <v>-1.2490037669953622</v>
      </c>
      <c r="E107" s="773">
        <v>-0.84458844765115948</v>
      </c>
      <c r="F107" s="771">
        <v>-0.51989016801223142</v>
      </c>
      <c r="G107" s="774">
        <v>0.12800221599026576</v>
      </c>
      <c r="H107" s="773">
        <v>0.314</v>
      </c>
      <c r="I107" s="771">
        <v>0.52</v>
      </c>
      <c r="J107" s="601">
        <v>7.141</v>
      </c>
      <c r="K107" s="426" t="str">
        <f t="shared" si="651"/>
        <v>1613</v>
      </c>
      <c r="L107" s="327"/>
      <c r="M107" s="173">
        <f t="shared" si="667"/>
        <v>7.141</v>
      </c>
      <c r="N107" s="21">
        <f t="shared" si="668"/>
        <v>-3.9726318215466754</v>
      </c>
      <c r="O107" s="5">
        <f t="shared" si="669"/>
        <v>3.6433097264716441</v>
      </c>
      <c r="P107" s="10">
        <f t="shared" si="670"/>
        <v>-1.2490037669953622</v>
      </c>
      <c r="Q107" s="624">
        <f t="shared" si="528"/>
        <v>137.47599314531467</v>
      </c>
      <c r="R107" s="5">
        <f t="shared" si="725"/>
        <v>5.3903162571938337</v>
      </c>
      <c r="S107" s="6">
        <f t="shared" si="726"/>
        <v>-1.2490037669953622</v>
      </c>
      <c r="T107" s="4">
        <f t="shared" si="727"/>
        <v>3.6424776206280902</v>
      </c>
      <c r="U107" s="5">
        <f t="shared" si="728"/>
        <v>3.9733947873061477</v>
      </c>
      <c r="V107" s="8">
        <f t="shared" si="729"/>
        <v>-1.2490037669953622</v>
      </c>
      <c r="W107" s="624">
        <f t="shared" si="652"/>
        <v>47.487993143582088</v>
      </c>
      <c r="X107" s="5">
        <f t="shared" si="730"/>
        <v>5.3903162571938337</v>
      </c>
      <c r="Y107" s="7">
        <f t="shared" si="650"/>
        <v>-1.2490037669953622</v>
      </c>
      <c r="Z107" s="21">
        <f t="shared" si="671"/>
        <v>0.84458844765115948</v>
      </c>
      <c r="AA107" s="5">
        <f t="shared" si="672"/>
        <v>0.51989016801223142</v>
      </c>
      <c r="AB107" s="5">
        <f t="shared" si="673"/>
        <v>-0.12800221599026576</v>
      </c>
      <c r="AC107" s="8">
        <f t="shared" si="731"/>
        <v>1</v>
      </c>
      <c r="AD107" s="9">
        <f t="shared" si="732"/>
        <v>0.84458844765115948</v>
      </c>
      <c r="AE107" s="5">
        <f t="shared" si="733"/>
        <v>0.51989016801223142</v>
      </c>
      <c r="AF107" s="10">
        <f t="shared" si="734"/>
        <v>-0.12800221599026576</v>
      </c>
      <c r="AG107" s="622">
        <f t="shared" si="735"/>
        <v>76.168309500017855</v>
      </c>
      <c r="AH107" s="623">
        <f t="shared" si="736"/>
        <v>32.372131773306513</v>
      </c>
      <c r="AI107" s="624">
        <f t="shared" si="737"/>
        <v>-82.645836769622321</v>
      </c>
      <c r="AJ107" s="625">
        <f t="shared" si="738"/>
        <v>121.61455921790088</v>
      </c>
      <c r="AK107" s="4">
        <f t="shared" si="739"/>
        <v>0.95401258219027252</v>
      </c>
      <c r="AL107" s="5">
        <f t="shared" si="740"/>
        <v>-0.27106350865476186</v>
      </c>
      <c r="AM107" s="6">
        <f t="shared" si="741"/>
        <v>-0.12800221599026576</v>
      </c>
      <c r="AN107" s="612">
        <f t="shared" si="742"/>
        <v>-64.722277147438973</v>
      </c>
      <c r="AO107" s="613">
        <f t="shared" si="466"/>
        <v>17.443582973754094</v>
      </c>
      <c r="AP107" s="624">
        <f t="shared" si="743"/>
        <v>-15.86143392741379</v>
      </c>
      <c r="AQ107" s="625">
        <f t="shared" si="674"/>
        <v>2.2995039554029724</v>
      </c>
      <c r="AS107" s="56">
        <f t="shared" ref="AS107:AS138" si="746">IF(G107="","",IF(AND(W107&lt;(AS106+180),W107&gt;(AS106-180)),W107,IF(W107&gt;(AS106+180),W107-360,IF(W107&lt;(AS106-180),W107+360,"Error"))))</f>
        <v>-312.51200685641788</v>
      </c>
      <c r="AT107" s="78">
        <f t="shared" si="675"/>
        <v>-6.8357518877662171E-2</v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>
        <f t="shared" si="720"/>
        <v>7.141</v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1"/>
        <v/>
      </c>
      <c r="IK107" s="839" t="str">
        <f t="shared" si="722"/>
        <v/>
      </c>
      <c r="IL107" s="791" t="str">
        <f t="shared" si="654"/>
        <v/>
      </c>
      <c r="IM107" s="830"/>
      <c r="IN107" s="5" t="str">
        <f t="shared" si="655"/>
        <v/>
      </c>
      <c r="IO107" s="852"/>
      <c r="IP107" s="9" t="str">
        <f t="shared" si="656"/>
        <v/>
      </c>
      <c r="IQ107" s="5" t="str">
        <f t="shared" si="657"/>
        <v/>
      </c>
      <c r="IR107" s="5" t="str">
        <f t="shared" si="723"/>
        <v/>
      </c>
      <c r="IS107" s="5" t="str">
        <f t="shared" si="658"/>
        <v/>
      </c>
      <c r="IT107" s="791" t="str">
        <f t="shared" si="659"/>
        <v/>
      </c>
      <c r="IU107" s="9" t="str">
        <f t="shared" si="660"/>
        <v/>
      </c>
      <c r="IV107" s="5" t="str">
        <f t="shared" si="661"/>
        <v/>
      </c>
      <c r="IW107" s="5" t="str">
        <f t="shared" si="724"/>
        <v/>
      </c>
      <c r="IX107" s="5" t="str">
        <f t="shared" si="662"/>
        <v/>
      </c>
      <c r="IY107" s="833" t="str">
        <f t="shared" si="663"/>
        <v/>
      </c>
    </row>
    <row r="108" spans="1:259" ht="15" customHeight="1" x14ac:dyDescent="0.25">
      <c r="A108" s="84">
        <f t="shared" si="527"/>
        <v>0.02</v>
      </c>
      <c r="B108" s="770">
        <v>-4.1530356174485439</v>
      </c>
      <c r="C108" s="771">
        <v>3.8753448721937889</v>
      </c>
      <c r="D108" s="772">
        <v>-1.9899060015565011</v>
      </c>
      <c r="E108" s="773">
        <v>-0.86775603434618254</v>
      </c>
      <c r="F108" s="771">
        <v>-0.49243059035696701</v>
      </c>
      <c r="G108" s="774">
        <v>6.7168285198268785E-2</v>
      </c>
      <c r="H108" s="773">
        <v>0.314</v>
      </c>
      <c r="I108" s="771">
        <v>0.52</v>
      </c>
      <c r="J108" s="601">
        <v>7.1479999999999997</v>
      </c>
      <c r="K108" s="426" t="str">
        <f t="shared" si="651"/>
        <v>1613</v>
      </c>
      <c r="L108" s="327"/>
      <c r="M108" s="173">
        <f t="shared" si="667"/>
        <v>7.1479999999999997</v>
      </c>
      <c r="N108" s="21">
        <f t="shared" si="668"/>
        <v>-4.1530356174485439</v>
      </c>
      <c r="O108" s="5">
        <f t="shared" si="669"/>
        <v>3.8753448721937889</v>
      </c>
      <c r="P108" s="10">
        <f t="shared" si="670"/>
        <v>-1.9899060015565011</v>
      </c>
      <c r="Q108" s="624">
        <f t="shared" si="528"/>
        <v>136.98099321678384</v>
      </c>
      <c r="R108" s="5">
        <f t="shared" si="725"/>
        <v>5.6803171318364702</v>
      </c>
      <c r="S108" s="6">
        <f t="shared" si="726"/>
        <v>-1.9899060015565011</v>
      </c>
      <c r="T108" s="4">
        <f t="shared" si="727"/>
        <v>3.8744749775842089</v>
      </c>
      <c r="U108" s="5">
        <f t="shared" si="728"/>
        <v>4.1538471765712268</v>
      </c>
      <c r="V108" s="8">
        <f t="shared" si="729"/>
        <v>-1.9899060015565011</v>
      </c>
      <c r="W108" s="624">
        <f t="shared" si="652"/>
        <v>46.992993215051257</v>
      </c>
      <c r="X108" s="5">
        <f t="shared" si="730"/>
        <v>5.6803171318364702</v>
      </c>
      <c r="Y108" s="7">
        <f t="shared" si="650"/>
        <v>-1.9899060015565011</v>
      </c>
      <c r="Z108" s="21">
        <f t="shared" si="671"/>
        <v>0.86775603434618254</v>
      </c>
      <c r="AA108" s="5">
        <f t="shared" si="672"/>
        <v>0.49243059035696701</v>
      </c>
      <c r="AB108" s="5">
        <f t="shared" si="673"/>
        <v>-6.7168285198268785E-2</v>
      </c>
      <c r="AC108" s="8">
        <f t="shared" si="731"/>
        <v>1</v>
      </c>
      <c r="AD108" s="9">
        <f t="shared" si="732"/>
        <v>0.86775603434618254</v>
      </c>
      <c r="AE108" s="5">
        <f t="shared" si="733"/>
        <v>0.49243059035696701</v>
      </c>
      <c r="AF108" s="10">
        <f t="shared" si="734"/>
        <v>-6.7168285198268785E-2</v>
      </c>
      <c r="AG108" s="622">
        <f t="shared" si="735"/>
        <v>82.232702567595041</v>
      </c>
      <c r="AH108" s="623">
        <f t="shared" si="736"/>
        <v>29.801085894560629</v>
      </c>
      <c r="AI108" s="624">
        <f t="shared" si="737"/>
        <v>-86.148641079186788</v>
      </c>
      <c r="AJ108" s="625">
        <f t="shared" si="738"/>
        <v>119.57386372315766</v>
      </c>
      <c r="AK108" s="4">
        <f t="shared" si="739"/>
        <v>0.9520481961442856</v>
      </c>
      <c r="AL108" s="5">
        <f t="shared" si="740"/>
        <v>-0.29848392533256501</v>
      </c>
      <c r="AM108" s="6">
        <f t="shared" si="741"/>
        <v>-6.7168285198268785E-2</v>
      </c>
      <c r="AN108" s="612">
        <f t="shared" si="742"/>
        <v>-77.317898713714271</v>
      </c>
      <c r="AO108" s="613">
        <f t="shared" si="466"/>
        <v>17.815212205013996</v>
      </c>
      <c r="AP108" s="624">
        <f t="shared" si="743"/>
        <v>-17.407129493626197</v>
      </c>
      <c r="AQ108" s="625">
        <f t="shared" si="674"/>
        <v>2.1822224530959238</v>
      </c>
      <c r="AS108" s="56">
        <f t="shared" si="746"/>
        <v>-313.00700678494877</v>
      </c>
      <c r="AT108" s="78">
        <f t="shared" si="675"/>
        <v>-0.80738975370879551</v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>
        <f t="shared" si="720"/>
        <v>7.1479999999999997</v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1"/>
        <v/>
      </c>
      <c r="IK108" s="839" t="str">
        <f t="shared" si="722"/>
        <v/>
      </c>
      <c r="IL108" s="791" t="str">
        <f t="shared" si="654"/>
        <v/>
      </c>
      <c r="IM108" s="830"/>
      <c r="IN108" s="5" t="str">
        <f t="shared" si="655"/>
        <v/>
      </c>
      <c r="IO108" s="852"/>
      <c r="IP108" s="9" t="str">
        <f t="shared" si="656"/>
        <v/>
      </c>
      <c r="IQ108" s="5" t="str">
        <f t="shared" si="657"/>
        <v/>
      </c>
      <c r="IR108" s="5" t="str">
        <f t="shared" si="723"/>
        <v/>
      </c>
      <c r="IS108" s="5" t="str">
        <f t="shared" si="658"/>
        <v/>
      </c>
      <c r="IT108" s="791" t="str">
        <f t="shared" si="659"/>
        <v/>
      </c>
      <c r="IU108" s="9" t="str">
        <f t="shared" si="660"/>
        <v/>
      </c>
      <c r="IV108" s="5" t="str">
        <f t="shared" si="661"/>
        <v/>
      </c>
      <c r="IW108" s="5" t="str">
        <f t="shared" si="724"/>
        <v/>
      </c>
      <c r="IX108" s="5" t="str">
        <f t="shared" si="662"/>
        <v/>
      </c>
      <c r="IY108" s="833" t="str">
        <f t="shared" si="663"/>
        <v/>
      </c>
    </row>
    <row r="109" spans="1:259" ht="15" customHeight="1" x14ac:dyDescent="0.25">
      <c r="A109" s="84">
        <f t="shared" si="527"/>
        <v>0.02</v>
      </c>
      <c r="B109" s="770">
        <v>-4.2336652330010729</v>
      </c>
      <c r="C109" s="771">
        <v>3.9824962323711324</v>
      </c>
      <c r="D109" s="772">
        <v>-2.7782083790764713</v>
      </c>
      <c r="E109" s="773">
        <v>-0.92162740672349086</v>
      </c>
      <c r="F109" s="771">
        <v>-0.38646394428231351</v>
      </c>
      <c r="G109" s="774">
        <v>3.5334727194219706E-2</v>
      </c>
      <c r="H109" s="773">
        <v>0.314</v>
      </c>
      <c r="I109" s="771">
        <v>0.52</v>
      </c>
      <c r="J109" s="601">
        <v>7.1550000000000002</v>
      </c>
      <c r="K109" s="426" t="str">
        <f t="shared" si="651"/>
        <v>1613</v>
      </c>
      <c r="L109" s="327"/>
      <c r="M109" s="173">
        <f t="shared" si="667"/>
        <v>7.1550000000000002</v>
      </c>
      <c r="N109" s="21">
        <f t="shared" si="668"/>
        <v>-4.2336652330010729</v>
      </c>
      <c r="O109" s="5">
        <f t="shared" si="669"/>
        <v>3.9824962323711324</v>
      </c>
      <c r="P109" s="10">
        <f t="shared" si="670"/>
        <v>-2.7782083790764713</v>
      </c>
      <c r="Q109" s="624">
        <f t="shared" si="528"/>
        <v>136.75099324999172</v>
      </c>
      <c r="R109" s="5">
        <f t="shared" si="725"/>
        <v>5.8124175302512713</v>
      </c>
      <c r="S109" s="6">
        <f t="shared" si="726"/>
        <v>-2.7782083790764713</v>
      </c>
      <c r="T109" s="4">
        <f t="shared" si="727"/>
        <v>3.9816094483868301</v>
      </c>
      <c r="U109" s="5">
        <f t="shared" si="728"/>
        <v>4.234499232080343</v>
      </c>
      <c r="V109" s="8">
        <f t="shared" si="729"/>
        <v>-2.7782083790764713</v>
      </c>
      <c r="W109" s="624">
        <f t="shared" si="652"/>
        <v>46.762993248259136</v>
      </c>
      <c r="X109" s="5">
        <f t="shared" si="730"/>
        <v>5.8124175302512713</v>
      </c>
      <c r="Y109" s="7">
        <f t="shared" si="650"/>
        <v>-2.7782083790764713</v>
      </c>
      <c r="Z109" s="21">
        <f t="shared" si="671"/>
        <v>0.92162740672349086</v>
      </c>
      <c r="AA109" s="5">
        <f t="shared" si="672"/>
        <v>0.38646394428231351</v>
      </c>
      <c r="AB109" s="5">
        <f t="shared" si="673"/>
        <v>-3.5334727194219706E-2</v>
      </c>
      <c r="AC109" s="8">
        <f t="shared" si="731"/>
        <v>1</v>
      </c>
      <c r="AD109" s="9">
        <f t="shared" si="732"/>
        <v>0.92162740672349086</v>
      </c>
      <c r="AE109" s="5">
        <f t="shared" si="733"/>
        <v>0.38646394428231351</v>
      </c>
      <c r="AF109" s="10">
        <f t="shared" si="734"/>
        <v>-3.5334727194219706E-2</v>
      </c>
      <c r="AG109" s="622">
        <f t="shared" si="735"/>
        <v>84.775922893192458</v>
      </c>
      <c r="AH109" s="623">
        <f t="shared" si="736"/>
        <v>22.834830668464626</v>
      </c>
      <c r="AI109" s="624">
        <f t="shared" si="737"/>
        <v>-87.97504773905672</v>
      </c>
      <c r="AJ109" s="625">
        <f t="shared" si="738"/>
        <v>112.74965625175598</v>
      </c>
      <c r="AK109" s="4">
        <f t="shared" si="739"/>
        <v>0.91296549362195778</v>
      </c>
      <c r="AL109" s="5">
        <f t="shared" si="740"/>
        <v>-0.40650395386727128</v>
      </c>
      <c r="AM109" s="6">
        <f t="shared" si="741"/>
        <v>-3.5334727194219706E-2</v>
      </c>
      <c r="AN109" s="612">
        <f t="shared" si="742"/>
        <v>-85.032139776067012</v>
      </c>
      <c r="AO109" s="613">
        <f t="shared" si="466"/>
        <v>24.081567425784165</v>
      </c>
      <c r="AP109" s="624">
        <f t="shared" si="743"/>
        <v>-24.00133699823575</v>
      </c>
      <c r="AQ109" s="625">
        <f t="shared" si="674"/>
        <v>2.1326728170686193</v>
      </c>
      <c r="AS109" s="56">
        <f t="shared" si="746"/>
        <v>-313.23700675174086</v>
      </c>
      <c r="AT109" s="78">
        <f t="shared" si="675"/>
        <v>-1.5948232424653288</v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>
        <f t="shared" si="720"/>
        <v>7.1550000000000002</v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1"/>
        <v/>
      </c>
      <c r="IK109" s="839" t="str">
        <f t="shared" si="722"/>
        <v/>
      </c>
      <c r="IL109" s="791" t="str">
        <f t="shared" si="654"/>
        <v/>
      </c>
      <c r="IM109" s="830"/>
      <c r="IN109" s="5" t="str">
        <f t="shared" si="655"/>
        <v/>
      </c>
      <c r="IO109" s="852"/>
      <c r="IP109" s="9" t="str">
        <f t="shared" si="656"/>
        <v/>
      </c>
      <c r="IQ109" s="5" t="str">
        <f t="shared" si="657"/>
        <v/>
      </c>
      <c r="IR109" s="5" t="str">
        <f t="shared" si="723"/>
        <v/>
      </c>
      <c r="IS109" s="5" t="str">
        <f t="shared" si="658"/>
        <v/>
      </c>
      <c r="IT109" s="791" t="str">
        <f t="shared" si="659"/>
        <v/>
      </c>
      <c r="IU109" s="9" t="str">
        <f t="shared" si="660"/>
        <v/>
      </c>
      <c r="IV109" s="5" t="str">
        <f t="shared" si="661"/>
        <v/>
      </c>
      <c r="IW109" s="5" t="str">
        <f t="shared" si="724"/>
        <v/>
      </c>
      <c r="IX109" s="5" t="str">
        <f t="shared" si="662"/>
        <v/>
      </c>
      <c r="IY109" s="833" t="str">
        <f t="shared" si="663"/>
        <v/>
      </c>
    </row>
    <row r="110" spans="1:259" ht="15" customHeight="1" x14ac:dyDescent="0.25">
      <c r="A110" s="84">
        <f t="shared" si="527"/>
        <v>0.02</v>
      </c>
      <c r="B110" s="770">
        <v>-4.294112248738581</v>
      </c>
      <c r="C110" s="771">
        <v>4.0642917108359411</v>
      </c>
      <c r="D110" s="772">
        <v>-3.5325106540521327</v>
      </c>
      <c r="E110" s="773">
        <v>-0.99342282372660995</v>
      </c>
      <c r="F110" s="771">
        <v>-0.1145036824692891</v>
      </c>
      <c r="G110" s="774">
        <v>1.4578093126044298E-7</v>
      </c>
      <c r="H110" s="773">
        <v>0.314</v>
      </c>
      <c r="I110" s="771">
        <v>0.52</v>
      </c>
      <c r="J110" s="601">
        <v>7.1619999999999999</v>
      </c>
      <c r="K110" s="426" t="str">
        <f t="shared" si="651"/>
        <v>1613</v>
      </c>
      <c r="L110" s="327"/>
      <c r="M110" s="173">
        <f t="shared" si="667"/>
        <v>7.1619999999999999</v>
      </c>
      <c r="N110" s="21">
        <f t="shared" si="668"/>
        <v>-4.294112248738581</v>
      </c>
      <c r="O110" s="5">
        <f t="shared" si="669"/>
        <v>4.0642917108359411</v>
      </c>
      <c r="P110" s="10">
        <f t="shared" si="670"/>
        <v>-3.5325106540521327</v>
      </c>
      <c r="Q110" s="624">
        <f t="shared" si="528"/>
        <v>136.57499327540296</v>
      </c>
      <c r="R110" s="5">
        <f t="shared" si="725"/>
        <v>5.9125178321537817</v>
      </c>
      <c r="S110" s="6">
        <f t="shared" si="726"/>
        <v>-3.5325106540521327</v>
      </c>
      <c r="T110" s="4">
        <f t="shared" si="727"/>
        <v>4.0633922650662138</v>
      </c>
      <c r="U110" s="5">
        <f t="shared" si="728"/>
        <v>4.29496337769445</v>
      </c>
      <c r="V110" s="8">
        <f t="shared" si="729"/>
        <v>-3.5325106540521327</v>
      </c>
      <c r="W110" s="624">
        <f t="shared" si="652"/>
        <v>46.586993273670373</v>
      </c>
      <c r="X110" s="5">
        <f t="shared" si="730"/>
        <v>5.9125178321537817</v>
      </c>
      <c r="Y110" s="7">
        <f t="shared" si="650"/>
        <v>-3.5325106540521327</v>
      </c>
      <c r="Z110" s="21">
        <f t="shared" si="671"/>
        <v>0.99342282372660995</v>
      </c>
      <c r="AA110" s="5">
        <f t="shared" si="672"/>
        <v>0.1145036824692891</v>
      </c>
      <c r="AB110" s="5">
        <f t="shared" si="673"/>
        <v>-1.4578093126044298E-7</v>
      </c>
      <c r="AC110" s="8">
        <f t="shared" si="731"/>
        <v>1</v>
      </c>
      <c r="AD110" s="9">
        <f t="shared" si="732"/>
        <v>0.99342282372660995</v>
      </c>
      <c r="AE110" s="5">
        <f t="shared" si="733"/>
        <v>0.1145036824692891</v>
      </c>
      <c r="AF110" s="10">
        <f t="shared" si="734"/>
        <v>-1.4578093126044298E-7</v>
      </c>
      <c r="AG110" s="622">
        <f t="shared" si="735"/>
        <v>89.999927053594135</v>
      </c>
      <c r="AH110" s="623">
        <f t="shared" si="736"/>
        <v>6.5749990506935321</v>
      </c>
      <c r="AI110" s="624">
        <f t="shared" si="737"/>
        <v>-89.999991647367906</v>
      </c>
      <c r="AJ110" s="625">
        <f t="shared" si="738"/>
        <v>96.574999050688305</v>
      </c>
      <c r="AK110" s="4">
        <f t="shared" si="739"/>
        <v>0.76604450791050738</v>
      </c>
      <c r="AL110" s="5">
        <f t="shared" si="740"/>
        <v>-0.6427875324709772</v>
      </c>
      <c r="AM110" s="6">
        <f t="shared" si="741"/>
        <v>-1.4578093126044298E-7</v>
      </c>
      <c r="AN110" s="612">
        <f t="shared" si="742"/>
        <v>-89.999987005609668</v>
      </c>
      <c r="AO110" s="613">
        <f t="shared" si="466"/>
        <v>39.999994224715365</v>
      </c>
      <c r="AP110" s="624">
        <f t="shared" si="743"/>
        <v>-39.999994224714648</v>
      </c>
      <c r="AQ110" s="625">
        <f t="shared" si="674"/>
        <v>2.0965986702941062</v>
      </c>
      <c r="AS110" s="56">
        <f t="shared" si="746"/>
        <v>-313.41300672632963</v>
      </c>
      <c r="AT110" s="78">
        <f t="shared" si="675"/>
        <v>-2.3484606286480991</v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>
        <f t="shared" si="720"/>
        <v>7.1619999999999999</v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1"/>
        <v/>
      </c>
      <c r="IK110" s="839" t="str">
        <f t="shared" si="722"/>
        <v/>
      </c>
      <c r="IL110" s="791" t="str">
        <f t="shared" si="654"/>
        <v/>
      </c>
      <c r="IM110" s="830"/>
      <c r="IN110" s="5" t="str">
        <f t="shared" si="655"/>
        <v/>
      </c>
      <c r="IO110" s="852"/>
      <c r="IP110" s="9" t="str">
        <f t="shared" si="656"/>
        <v/>
      </c>
      <c r="IQ110" s="5" t="str">
        <f t="shared" si="657"/>
        <v/>
      </c>
      <c r="IR110" s="5" t="str">
        <f t="shared" si="723"/>
        <v/>
      </c>
      <c r="IS110" s="5" t="str">
        <f t="shared" si="658"/>
        <v/>
      </c>
      <c r="IT110" s="791" t="str">
        <f t="shared" si="659"/>
        <v/>
      </c>
      <c r="IU110" s="9" t="str">
        <f t="shared" si="660"/>
        <v/>
      </c>
      <c r="IV110" s="5" t="str">
        <f t="shared" si="661"/>
        <v/>
      </c>
      <c r="IW110" s="5" t="str">
        <f t="shared" si="724"/>
        <v/>
      </c>
      <c r="IX110" s="5" t="str">
        <f t="shared" si="662"/>
        <v/>
      </c>
      <c r="IY110" s="833" t="str">
        <f t="shared" si="663"/>
        <v/>
      </c>
    </row>
    <row r="111" spans="1:259" ht="15" customHeight="1" x14ac:dyDescent="0.25">
      <c r="A111" s="84">
        <f t="shared" si="527"/>
        <v>0.02</v>
      </c>
      <c r="B111" s="770">
        <v>-1.8937966419833749</v>
      </c>
      <c r="C111" s="771">
        <v>2.8124316852172178</v>
      </c>
      <c r="D111" s="772">
        <v>-2.370007147941558E-2</v>
      </c>
      <c r="E111" s="773">
        <v>-0.79146735627350762</v>
      </c>
      <c r="F111" s="771">
        <v>-0.44405781805596733</v>
      </c>
      <c r="G111" s="774">
        <v>0.41999056915221111</v>
      </c>
      <c r="H111" s="773">
        <v>0.26600000000000001</v>
      </c>
      <c r="I111" s="771">
        <v>0.52</v>
      </c>
      <c r="J111" s="601">
        <v>7.22</v>
      </c>
      <c r="K111" s="426" t="str">
        <f t="shared" si="651"/>
        <v>1313</v>
      </c>
      <c r="L111" s="327"/>
      <c r="M111" s="173">
        <f t="shared" si="667"/>
        <v>7.22</v>
      </c>
      <c r="N111" s="21">
        <f t="shared" si="668"/>
        <v>-1.8937966419833749</v>
      </c>
      <c r="O111" s="5">
        <f t="shared" si="669"/>
        <v>2.8124316852172178</v>
      </c>
      <c r="P111" s="10">
        <f t="shared" si="670"/>
        <v>-2.370007147941558E-2</v>
      </c>
      <c r="Q111" s="624">
        <f t="shared" si="528"/>
        <v>123.95499509750528</v>
      </c>
      <c r="R111" s="5">
        <f t="shared" si="725"/>
        <v>3.390610226080442</v>
      </c>
      <c r="S111" s="6">
        <f t="shared" si="726"/>
        <v>-2.370007147941558E-2</v>
      </c>
      <c r="T111" s="4">
        <f t="shared" si="727"/>
        <v>2.8120349877526833</v>
      </c>
      <c r="U111" s="5">
        <f t="shared" si="728"/>
        <v>1.8943856346731605</v>
      </c>
      <c r="V111" s="8">
        <f t="shared" si="729"/>
        <v>-2.370007147941558E-2</v>
      </c>
      <c r="W111" s="624">
        <f t="shared" si="652"/>
        <v>33.966995095772688</v>
      </c>
      <c r="X111" s="5">
        <f t="shared" si="730"/>
        <v>3.390610226080442</v>
      </c>
      <c r="Y111" s="7">
        <f t="shared" si="650"/>
        <v>-2.370007147941558E-2</v>
      </c>
      <c r="Z111" s="21">
        <f t="shared" si="671"/>
        <v>0.79146735627350762</v>
      </c>
      <c r="AA111" s="5">
        <f t="shared" si="672"/>
        <v>0.44405781805596733</v>
      </c>
      <c r="AB111" s="5">
        <f t="shared" si="673"/>
        <v>-0.41999056915221111</v>
      </c>
      <c r="AC111" s="8">
        <f t="shared" si="731"/>
        <v>1</v>
      </c>
      <c r="AD111" s="9">
        <f t="shared" si="732"/>
        <v>0.79146735627350762</v>
      </c>
      <c r="AE111" s="5">
        <f t="shared" si="733"/>
        <v>0.44405781805596733</v>
      </c>
      <c r="AF111" s="10">
        <f t="shared" si="734"/>
        <v>-0.41999056915221111</v>
      </c>
      <c r="AG111" s="622">
        <f t="shared" si="735"/>
        <v>46.59550709648218</v>
      </c>
      <c r="AH111" s="623">
        <f t="shared" si="736"/>
        <v>37.67714957625526</v>
      </c>
      <c r="AI111" s="624">
        <f t="shared" si="737"/>
        <v>-65.166007917597909</v>
      </c>
      <c r="AJ111" s="625">
        <f t="shared" si="738"/>
        <v>119.29488255943525</v>
      </c>
      <c r="AK111" s="4">
        <f t="shared" si="739"/>
        <v>0.90452835058688641</v>
      </c>
      <c r="AL111" s="5">
        <f t="shared" si="740"/>
        <v>-7.3731843919494167E-2</v>
      </c>
      <c r="AM111" s="6">
        <f t="shared" si="741"/>
        <v>-0.41999056915221111</v>
      </c>
      <c r="AN111" s="612">
        <f t="shared" si="742"/>
        <v>-9.9571497204426898</v>
      </c>
      <c r="AO111" s="613">
        <f t="shared" si="466"/>
        <v>25.240165457185054</v>
      </c>
      <c r="AP111" s="624">
        <f t="shared" si="743"/>
        <v>-4.6601125380700328</v>
      </c>
      <c r="AQ111" s="625">
        <f t="shared" si="674"/>
        <v>3.6527073651822546</v>
      </c>
      <c r="AS111" s="56">
        <f t="shared" si="746"/>
        <v>-326.03300490422731</v>
      </c>
      <c r="AT111" s="78">
        <f t="shared" si="675"/>
        <v>1.2080255025966757</v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>
        <f>IFERROR(IF($IU111="","",IF($IU111&lt;(((Settings!$C$19/2)*-1)*$IE$8),"",1)),"")</f>
        <v>1</v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>
        <f t="shared" si="720"/>
        <v>7.22</v>
      </c>
      <c r="IH111" s="797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0.12</v>
      </c>
      <c r="II111" s="800" cm="1">
        <f t="array" ref="II111">IFERROR(IF($IH111&lt;1,$IH111+LARGE((IF($M$9:$M$150="",0,$M$9:$M$150)-MOD(IF($M$9:$M$150="",0,$M$9:$M$150),1)),1),$IH111),"")</f>
        <v>7.12</v>
      </c>
      <c r="IJ111" s="839" t="str">
        <f t="shared" si="721"/>
        <v>1613</v>
      </c>
      <c r="IK111" s="839" t="str">
        <f t="shared" si="722"/>
        <v>1313</v>
      </c>
      <c r="IL111" s="791">
        <f t="shared" si="654"/>
        <v>16.403997631555768</v>
      </c>
      <c r="IM111" s="830">
        <v>3.9361780871920802E-3</v>
      </c>
      <c r="IN111" s="5">
        <f t="shared" si="655"/>
        <v>0.06</v>
      </c>
      <c r="IO111" s="852">
        <v>30</v>
      </c>
      <c r="IP111" s="9">
        <f t="shared" si="656"/>
        <v>-3.3890102212548276</v>
      </c>
      <c r="IQ111" s="5">
        <f t="shared" si="657"/>
        <v>-8.1800246709543945E-2</v>
      </c>
      <c r="IR111" s="5">
        <f t="shared" si="723"/>
        <v>0.314</v>
      </c>
      <c r="IS111" s="5">
        <f t="shared" si="658"/>
        <v>0.30270520577923232</v>
      </c>
      <c r="IT111" s="791">
        <f t="shared" si="659"/>
        <v>15.140370248253214</v>
      </c>
      <c r="IU111" s="9">
        <f t="shared" si="660"/>
        <v>-3.390610226080442</v>
      </c>
      <c r="IV111" s="5">
        <f t="shared" si="661"/>
        <v>-2.370007147941558E-2</v>
      </c>
      <c r="IW111" s="5">
        <f t="shared" si="724"/>
        <v>0.26600000000000001</v>
      </c>
      <c r="IX111" s="5">
        <f t="shared" si="662"/>
        <v>0.2406045412561118</v>
      </c>
      <c r="IY111" s="833">
        <f t="shared" si="663"/>
        <v>9.9571497204426898</v>
      </c>
    </row>
    <row r="112" spans="1:259" ht="15" customHeight="1" x14ac:dyDescent="0.25">
      <c r="A112" s="84">
        <f t="shared" si="527"/>
        <v>0.02</v>
      </c>
      <c r="B112" s="770">
        <v>-2.4215182560556769</v>
      </c>
      <c r="C112" s="771">
        <v>3.4136624155032051</v>
      </c>
      <c r="D112" s="772">
        <v>-0.18750056550170555</v>
      </c>
      <c r="E112" s="773">
        <v>-0.84395245268592289</v>
      </c>
      <c r="F112" s="771">
        <v>-0.36855324807820566</v>
      </c>
      <c r="G112" s="774">
        <v>0.38975987599600331</v>
      </c>
      <c r="H112" s="773">
        <v>0.26600000000000001</v>
      </c>
      <c r="I112" s="771">
        <v>0.52</v>
      </c>
      <c r="J112" s="601">
        <v>7.2270000000000003</v>
      </c>
      <c r="K112" s="426" t="str">
        <f t="shared" si="651"/>
        <v>1313</v>
      </c>
      <c r="L112" s="327"/>
      <c r="M112" s="173">
        <f t="shared" si="667"/>
        <v>7.2270000000000003</v>
      </c>
      <c r="N112" s="21">
        <f t="shared" si="668"/>
        <v>-2.4215182560556769</v>
      </c>
      <c r="O112" s="5">
        <f t="shared" si="669"/>
        <v>3.4136624155032051</v>
      </c>
      <c r="P112" s="10">
        <f t="shared" si="670"/>
        <v>-0.18750056550170555</v>
      </c>
      <c r="Q112" s="624">
        <f t="shared" si="528"/>
        <v>125.35039489603446</v>
      </c>
      <c r="R112" s="5">
        <f t="shared" si="725"/>
        <v>4.1853126229028703</v>
      </c>
      <c r="S112" s="6">
        <f t="shared" si="726"/>
        <v>-0.18750056550170555</v>
      </c>
      <c r="T112" s="4">
        <f t="shared" si="727"/>
        <v>3.4131551791125818</v>
      </c>
      <c r="U112" s="5">
        <f t="shared" si="728"/>
        <v>2.4222331586218253</v>
      </c>
      <c r="V112" s="8">
        <f t="shared" si="729"/>
        <v>-0.18750056550170555</v>
      </c>
      <c r="W112" s="624">
        <f t="shared" si="652"/>
        <v>35.362394894301872</v>
      </c>
      <c r="X112" s="5">
        <f t="shared" si="730"/>
        <v>4.1853126229028703</v>
      </c>
      <c r="Y112" s="7">
        <f t="shared" si="650"/>
        <v>-0.18750056550170555</v>
      </c>
      <c r="Z112" s="21">
        <f t="shared" si="671"/>
        <v>0.84395245268592289</v>
      </c>
      <c r="AA112" s="5">
        <f t="shared" si="672"/>
        <v>0.36855324807820566</v>
      </c>
      <c r="AB112" s="5">
        <f t="shared" si="673"/>
        <v>-0.38975987599600331</v>
      </c>
      <c r="AC112" s="8">
        <f t="shared" si="731"/>
        <v>1</v>
      </c>
      <c r="AD112" s="9">
        <f t="shared" si="732"/>
        <v>0.84395245268592289</v>
      </c>
      <c r="AE112" s="5">
        <f t="shared" si="733"/>
        <v>0.36855324807820566</v>
      </c>
      <c r="AF112" s="10">
        <f t="shared" si="734"/>
        <v>-0.38975987599600331</v>
      </c>
      <c r="AG112" s="622">
        <f t="shared" si="735"/>
        <v>43.398110707059004</v>
      </c>
      <c r="AH112" s="623">
        <f t="shared" si="736"/>
        <v>32.440127044030845</v>
      </c>
      <c r="AI112" s="624">
        <f t="shared" si="737"/>
        <v>-67.060440987935465</v>
      </c>
      <c r="AJ112" s="625">
        <f t="shared" si="738"/>
        <v>113.59084879445331</v>
      </c>
      <c r="AK112" s="4">
        <f t="shared" si="739"/>
        <v>0.90158789240897397</v>
      </c>
      <c r="AL112" s="5">
        <f t="shared" si="740"/>
        <v>-0.1876872700135111</v>
      </c>
      <c r="AM112" s="6">
        <f t="shared" si="741"/>
        <v>-0.38975987599600331</v>
      </c>
      <c r="AN112" s="612">
        <f t="shared" si="742"/>
        <v>-25.712949969625562</v>
      </c>
      <c r="AO112" s="613">
        <f t="shared" si="466"/>
        <v>25.632420010378823</v>
      </c>
      <c r="AP112" s="624">
        <f t="shared" si="743"/>
        <v>-11.75954610158114</v>
      </c>
      <c r="AQ112" s="625">
        <f t="shared" si="674"/>
        <v>2.9605133656536293</v>
      </c>
      <c r="AS112" s="56">
        <f t="shared" si="746"/>
        <v>-324.63760510569813</v>
      </c>
      <c r="AT112" s="78">
        <f t="shared" si="675"/>
        <v>1.0389534982243867</v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>
        <f>IFERROR(IF($IU112="","",IF($IU112&lt;(((Settings!$C$19/2)*-1)*$IE$8),"",1)),"")</f>
        <v>1</v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>
        <f t="shared" si="720"/>
        <v>7.2270000000000003</v>
      </c>
      <c r="IH112" s="797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0.127</v>
      </c>
      <c r="II112" s="800" cm="1">
        <f t="array" ref="II112">IFERROR(IF($IH112&lt;1,$IH112+LARGE((IF($M$9:$M$150="",0,$M$9:$M$150)-MOD(IF($M$9:$M$150="",0,$M$9:$M$150),1)),1),$IH112),"")</f>
        <v>7.1269999999999998</v>
      </c>
      <c r="IJ112" s="839" t="str">
        <f t="shared" si="721"/>
        <v>1613</v>
      </c>
      <c r="IK112" s="839" t="str">
        <f t="shared" si="722"/>
        <v>1313</v>
      </c>
      <c r="IL112" s="791">
        <f t="shared" si="654"/>
        <v>14.028597974521062</v>
      </c>
      <c r="IM112" s="830">
        <v>3.1262209665006702E-3</v>
      </c>
      <c r="IN112" s="5">
        <f t="shared" si="655"/>
        <v>0.04</v>
      </c>
      <c r="IO112" s="852">
        <v>20</v>
      </c>
      <c r="IP112" s="9">
        <f t="shared" si="656"/>
        <v>-4.1723125836947528</v>
      </c>
      <c r="IQ112" s="5">
        <f t="shared" si="657"/>
        <v>-0.24480073831902674</v>
      </c>
      <c r="IR112" s="5">
        <f t="shared" si="723"/>
        <v>0.314</v>
      </c>
      <c r="IS112" s="5">
        <f t="shared" si="658"/>
        <v>0.30172116586798725</v>
      </c>
      <c r="IT112" s="791">
        <f t="shared" si="659"/>
        <v>33.682333294118393</v>
      </c>
      <c r="IU112" s="9">
        <f t="shared" si="660"/>
        <v>-4.1853126229028703</v>
      </c>
      <c r="IV112" s="5">
        <f t="shared" si="661"/>
        <v>-0.18750056550170555</v>
      </c>
      <c r="IW112" s="5">
        <f t="shared" si="724"/>
        <v>0.26600000000000001</v>
      </c>
      <c r="IX112" s="5">
        <f t="shared" si="662"/>
        <v>0.2398223793807871</v>
      </c>
      <c r="IY112" s="833">
        <f t="shared" si="663"/>
        <v>25.712949969625562</v>
      </c>
    </row>
    <row r="113" spans="1:259" ht="15" customHeight="1" x14ac:dyDescent="0.25">
      <c r="A113" s="84">
        <f t="shared" si="527"/>
        <v>0.02</v>
      </c>
      <c r="B113" s="770">
        <v>-2.8724399988115916</v>
      </c>
      <c r="C113" s="771">
        <v>3.9549685932640073</v>
      </c>
      <c r="D113" s="772">
        <v>-0.59270178758859138</v>
      </c>
      <c r="E113" s="773">
        <v>-0.89401591714854722</v>
      </c>
      <c r="F113" s="771">
        <v>-0.29748698326797085</v>
      </c>
      <c r="G113" s="774">
        <v>0.33501796171423998</v>
      </c>
      <c r="H113" s="773">
        <v>0.26600000000000001</v>
      </c>
      <c r="I113" s="771">
        <v>0.52</v>
      </c>
      <c r="J113" s="601">
        <v>7.234</v>
      </c>
      <c r="K113" s="426" t="str">
        <f t="shared" si="651"/>
        <v>1313</v>
      </c>
      <c r="L113" s="327"/>
      <c r="M113" s="173">
        <f t="shared" si="667"/>
        <v>7.234</v>
      </c>
      <c r="N113" s="21">
        <f t="shared" si="668"/>
        <v>-2.8724399988115916</v>
      </c>
      <c r="O113" s="5">
        <f t="shared" si="669"/>
        <v>3.9549685932640073</v>
      </c>
      <c r="P113" s="10">
        <f t="shared" si="670"/>
        <v>-0.59270178758859138</v>
      </c>
      <c r="Q113" s="624">
        <f t="shared" si="528"/>
        <v>125.99039480362991</v>
      </c>
      <c r="R113" s="5">
        <f t="shared" si="725"/>
        <v>4.8880147422524631</v>
      </c>
      <c r="S113" s="6">
        <f t="shared" si="726"/>
        <v>-0.59270178758859138</v>
      </c>
      <c r="T113" s="4">
        <f t="shared" si="727"/>
        <v>3.954366904186581</v>
      </c>
      <c r="U113" s="5">
        <f t="shared" si="728"/>
        <v>2.873268262371484</v>
      </c>
      <c r="V113" s="8">
        <f t="shared" si="729"/>
        <v>-0.59270178758859138</v>
      </c>
      <c r="W113" s="624">
        <f t="shared" si="652"/>
        <v>36.002394801897324</v>
      </c>
      <c r="X113" s="5">
        <f t="shared" si="730"/>
        <v>4.8880147422524631</v>
      </c>
      <c r="Y113" s="7">
        <f t="shared" si="650"/>
        <v>-0.59270178758859138</v>
      </c>
      <c r="Z113" s="21">
        <f t="shared" si="671"/>
        <v>0.89401591714854722</v>
      </c>
      <c r="AA113" s="5">
        <f t="shared" si="672"/>
        <v>0.29748698326797085</v>
      </c>
      <c r="AB113" s="5">
        <f t="shared" si="673"/>
        <v>-0.33501796171423998</v>
      </c>
      <c r="AC113" s="8">
        <f t="shared" si="731"/>
        <v>1</v>
      </c>
      <c r="AD113" s="9">
        <f t="shared" si="732"/>
        <v>0.89401591714854722</v>
      </c>
      <c r="AE113" s="5">
        <f t="shared" si="733"/>
        <v>0.29748698326797085</v>
      </c>
      <c r="AF113" s="10">
        <f t="shared" si="734"/>
        <v>-0.33501796171423998</v>
      </c>
      <c r="AG113" s="622">
        <f t="shared" si="735"/>
        <v>41.604219035170786</v>
      </c>
      <c r="AH113" s="623">
        <f t="shared" si="736"/>
        <v>26.61769409463237</v>
      </c>
      <c r="AI113" s="624">
        <f t="shared" si="737"/>
        <v>-70.426369809650168</v>
      </c>
      <c r="AJ113" s="625">
        <f t="shared" si="738"/>
        <v>108.40504715505362</v>
      </c>
      <c r="AK113" s="4">
        <f t="shared" si="739"/>
        <v>0.89818026654359417</v>
      </c>
      <c r="AL113" s="5">
        <f t="shared" si="740"/>
        <v>-0.28466677733889889</v>
      </c>
      <c r="AM113" s="6">
        <f t="shared" si="741"/>
        <v>-0.33501796171423998</v>
      </c>
      <c r="AN113" s="612">
        <f t="shared" si="742"/>
        <v>-40.354756300201913</v>
      </c>
      <c r="AO113" s="613">
        <f t="shared" si="466"/>
        <v>26.080107161589083</v>
      </c>
      <c r="AP113" s="624">
        <f t="shared" si="743"/>
        <v>-17.585347648576292</v>
      </c>
      <c r="AQ113" s="625">
        <f t="shared" si="674"/>
        <v>2.5355112303554206</v>
      </c>
      <c r="AS113" s="56">
        <f t="shared" si="746"/>
        <v>-323.99760519810269</v>
      </c>
      <c r="AT113" s="78">
        <f t="shared" si="675"/>
        <v>0.63133449870880676</v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>
        <f t="shared" si="720"/>
        <v>7.234</v>
      </c>
      <c r="IH113" s="797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0.13400000000000001</v>
      </c>
      <c r="II113" s="800" cm="1">
        <f t="array" ref="II113">IFERROR(IF($IH113&lt;1,$IH113+LARGE((IF($M$9:$M$150="",0,$M$9:$M$150)-MOD(IF($M$9:$M$150="",0,$M$9:$M$150),1)),1),$IH113),"")</f>
        <v>7.1340000000000003</v>
      </c>
      <c r="IJ113" s="839" t="str">
        <f t="shared" si="721"/>
        <v>1613</v>
      </c>
      <c r="IK113" s="839" t="str">
        <f t="shared" si="722"/>
        <v>1313</v>
      </c>
      <c r="IL113" s="791">
        <f t="shared" si="654"/>
        <v>12.347598217227372</v>
      </c>
      <c r="IM113" s="830">
        <v>2.3573164456376899E-3</v>
      </c>
      <c r="IN113" s="5">
        <f t="shared" si="655"/>
        <v>0.04</v>
      </c>
      <c r="IO113" s="852">
        <v>20</v>
      </c>
      <c r="IP113" s="9">
        <f t="shared" si="656"/>
        <v>-4.8641146701698448</v>
      </c>
      <c r="IQ113" s="5">
        <f t="shared" si="657"/>
        <v>-0.64700195135788541</v>
      </c>
      <c r="IR113" s="5">
        <f t="shared" si="723"/>
        <v>0.314</v>
      </c>
      <c r="IS113" s="5">
        <f t="shared" si="658"/>
        <v>0.30058078581452718</v>
      </c>
      <c r="IT113" s="791">
        <f t="shared" si="659"/>
        <v>50.177313244108326</v>
      </c>
      <c r="IU113" s="9">
        <f t="shared" si="660"/>
        <v>-4.8880147422524631</v>
      </c>
      <c r="IV113" s="5">
        <f t="shared" si="661"/>
        <v>-0.59270178758859138</v>
      </c>
      <c r="IW113" s="5">
        <f t="shared" si="724"/>
        <v>0.26600000000000001</v>
      </c>
      <c r="IX113" s="5">
        <f t="shared" si="662"/>
        <v>0.23891595090059606</v>
      </c>
      <c r="IY113" s="833">
        <f t="shared" si="663"/>
        <v>40.354756300201913</v>
      </c>
    </row>
    <row r="114" spans="1:259" ht="15" customHeight="1" x14ac:dyDescent="0.25">
      <c r="A114" s="84">
        <f t="shared" si="527"/>
        <v>0.02</v>
      </c>
      <c r="B114" s="770">
        <v>-3.1887515160874043</v>
      </c>
      <c r="C114" s="771">
        <v>4.388183749083109</v>
      </c>
      <c r="D114" s="772">
        <v>-1.1999036189093146</v>
      </c>
      <c r="E114" s="773">
        <v>-0.93559984649507644</v>
      </c>
      <c r="F114" s="771">
        <v>-0.23519330571472824</v>
      </c>
      <c r="G114" s="774">
        <v>0.26331926664292499</v>
      </c>
      <c r="H114" s="773">
        <v>0.26600000000000001</v>
      </c>
      <c r="I114" s="771">
        <v>0.52</v>
      </c>
      <c r="J114" s="601">
        <v>7.2409999999999997</v>
      </c>
      <c r="K114" s="426" t="str">
        <f t="shared" si="651"/>
        <v>1313</v>
      </c>
      <c r="L114" s="327"/>
      <c r="M114" s="173">
        <f t="shared" si="667"/>
        <v>7.2409999999999997</v>
      </c>
      <c r="N114" s="21">
        <f t="shared" si="668"/>
        <v>-3.1887515160874043</v>
      </c>
      <c r="O114" s="5">
        <f t="shared" si="669"/>
        <v>4.388183749083109</v>
      </c>
      <c r="P114" s="10">
        <f t="shared" si="670"/>
        <v>-1.1999036189093146</v>
      </c>
      <c r="Q114" s="624">
        <f t="shared" si="528"/>
        <v>126.00469480156526</v>
      </c>
      <c r="R114" s="5">
        <f t="shared" si="725"/>
        <v>5.4244163600397428</v>
      </c>
      <c r="S114" s="6">
        <f t="shared" si="726"/>
        <v>-1.1999036189093146</v>
      </c>
      <c r="T114" s="4">
        <f t="shared" si="727"/>
        <v>4.3875158023850016</v>
      </c>
      <c r="U114" s="5">
        <f t="shared" si="728"/>
        <v>3.1896705050661125</v>
      </c>
      <c r="V114" s="8">
        <f t="shared" si="729"/>
        <v>-1.1999036189093146</v>
      </c>
      <c r="W114" s="624">
        <f t="shared" si="652"/>
        <v>36.016694799832678</v>
      </c>
      <c r="X114" s="5">
        <f t="shared" si="730"/>
        <v>5.4244163600397428</v>
      </c>
      <c r="Y114" s="7">
        <f t="shared" si="650"/>
        <v>-1.1999036189093146</v>
      </c>
      <c r="Z114" s="21">
        <f t="shared" si="671"/>
        <v>0.93559984649507644</v>
      </c>
      <c r="AA114" s="5">
        <f t="shared" si="672"/>
        <v>0.23519330571472824</v>
      </c>
      <c r="AB114" s="5">
        <f t="shared" si="673"/>
        <v>-0.26331926664292499</v>
      </c>
      <c r="AC114" s="8">
        <f t="shared" si="731"/>
        <v>1</v>
      </c>
      <c r="AD114" s="9">
        <f t="shared" si="732"/>
        <v>0.93559984649507644</v>
      </c>
      <c r="AE114" s="5">
        <f t="shared" si="733"/>
        <v>0.23519330571472824</v>
      </c>
      <c r="AF114" s="10">
        <f t="shared" si="734"/>
        <v>-0.26331926664292499</v>
      </c>
      <c r="AG114" s="622">
        <f t="shared" si="735"/>
        <v>41.770809200360773</v>
      </c>
      <c r="AH114" s="623">
        <f t="shared" si="736"/>
        <v>20.674728629587371</v>
      </c>
      <c r="AI114" s="624">
        <f t="shared" si="737"/>
        <v>-74.732892761881047</v>
      </c>
      <c r="AJ114" s="625">
        <f t="shared" si="738"/>
        <v>104.11076403534371</v>
      </c>
      <c r="AK114" s="4">
        <f t="shared" si="739"/>
        <v>0.89512985912648835</v>
      </c>
      <c r="AL114" s="5">
        <f t="shared" si="740"/>
        <v>-0.35972975845045868</v>
      </c>
      <c r="AM114" s="6">
        <f t="shared" si="741"/>
        <v>-0.26331926664292499</v>
      </c>
      <c r="AN114" s="612">
        <f t="shared" si="742"/>
        <v>-53.796174743965608</v>
      </c>
      <c r="AO114" s="613">
        <f t="shared" si="466"/>
        <v>26.474885333197388</v>
      </c>
      <c r="AP114" s="624">
        <f t="shared" si="743"/>
        <v>-21.893930766221555</v>
      </c>
      <c r="AQ114" s="625">
        <f t="shared" si="674"/>
        <v>2.2850637036771495</v>
      </c>
      <c r="AS114" s="56">
        <f t="shared" si="746"/>
        <v>-323.98330520016731</v>
      </c>
      <c r="AT114" s="78">
        <f t="shared" si="675"/>
        <v>2.4078645173660984E-2</v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>
        <f t="shared" si="720"/>
        <v>7.2409999999999997</v>
      </c>
      <c r="IH114" s="797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0.14099999999999999</v>
      </c>
      <c r="II114" s="800" cm="1">
        <f t="array" ref="II114">IFERROR(IF($IH114&lt;1,$IH114+LARGE((IF($M$9:$M$150="",0,$M$9:$M$150)-MOD(IF($M$9:$M$150="",0,$M$9:$M$150),1)),1),$IH114),"")</f>
        <v>7.141</v>
      </c>
      <c r="IJ114" s="839" t="str">
        <f t="shared" si="721"/>
        <v>1613</v>
      </c>
      <c r="IK114" s="839" t="str">
        <f t="shared" si="722"/>
        <v>1313</v>
      </c>
      <c r="IL114" s="791">
        <f t="shared" si="654"/>
        <v>11.47129834374941</v>
      </c>
      <c r="IM114" s="830">
        <v>1.7719643680461201E-3</v>
      </c>
      <c r="IN114" s="5">
        <f t="shared" si="655"/>
        <v>0.02</v>
      </c>
      <c r="IO114" s="852">
        <v>10</v>
      </c>
      <c r="IP114" s="9">
        <f t="shared" si="656"/>
        <v>-5.3903162571938337</v>
      </c>
      <c r="IQ114" s="5">
        <f t="shared" si="657"/>
        <v>-1.2490037669953622</v>
      </c>
      <c r="IR114" s="5">
        <f t="shared" si="723"/>
        <v>0.314</v>
      </c>
      <c r="IS114" s="5">
        <f t="shared" si="658"/>
        <v>0.29955995080774556</v>
      </c>
      <c r="IT114" s="791">
        <f t="shared" si="659"/>
        <v>64.722277147438973</v>
      </c>
      <c r="IU114" s="9">
        <f t="shared" si="660"/>
        <v>-5.4244163600397428</v>
      </c>
      <c r="IV114" s="5">
        <f t="shared" si="661"/>
        <v>-1.1999036189093146</v>
      </c>
      <c r="IW114" s="5">
        <f t="shared" si="724"/>
        <v>0.26600000000000001</v>
      </c>
      <c r="IX114" s="5">
        <f t="shared" si="662"/>
        <v>0.23810454252764587</v>
      </c>
      <c r="IY114" s="833">
        <f t="shared" si="663"/>
        <v>53.796174743965608</v>
      </c>
    </row>
    <row r="115" spans="1:259" ht="15" customHeight="1" x14ac:dyDescent="0.25">
      <c r="A115" s="84">
        <f t="shared" si="527"/>
        <v>0.02</v>
      </c>
      <c r="B115" s="770">
        <v>-3.3449968509283536</v>
      </c>
      <c r="C115" s="771">
        <v>4.6440668108187078</v>
      </c>
      <c r="D115" s="772">
        <v>-1.9478058745825184</v>
      </c>
      <c r="E115" s="773">
        <v>-0.96460775867564941</v>
      </c>
      <c r="F115" s="771">
        <v>-0.18919611546011239</v>
      </c>
      <c r="G115" s="774">
        <v>0.18367553402003206</v>
      </c>
      <c r="H115" s="773">
        <v>0.26600000000000001</v>
      </c>
      <c r="I115" s="771">
        <v>0.52</v>
      </c>
      <c r="J115" s="601">
        <v>7.2480000000000002</v>
      </c>
      <c r="K115" s="426" t="str">
        <f t="shared" si="651"/>
        <v>1313</v>
      </c>
      <c r="L115" s="327"/>
      <c r="M115" s="173">
        <f t="shared" si="667"/>
        <v>7.2480000000000002</v>
      </c>
      <c r="N115" s="21">
        <f t="shared" si="668"/>
        <v>-3.3449968509283536</v>
      </c>
      <c r="O115" s="5">
        <f t="shared" si="669"/>
        <v>4.6440668108187078</v>
      </c>
      <c r="P115" s="10">
        <f t="shared" si="670"/>
        <v>-1.9478058745825184</v>
      </c>
      <c r="Q115" s="624">
        <f t="shared" si="528"/>
        <v>125.76419483628915</v>
      </c>
      <c r="R115" s="5">
        <f t="shared" si="725"/>
        <v>5.723317261524862</v>
      </c>
      <c r="S115" s="6">
        <f t="shared" si="726"/>
        <v>-1.9478058745825184</v>
      </c>
      <c r="T115" s="4">
        <f t="shared" si="727"/>
        <v>4.6433661345670165</v>
      </c>
      <c r="U115" s="5">
        <f t="shared" si="728"/>
        <v>3.3459694284952173</v>
      </c>
      <c r="V115" s="8">
        <f t="shared" si="729"/>
        <v>-1.9478058745825184</v>
      </c>
      <c r="W115" s="624">
        <f t="shared" si="652"/>
        <v>35.776194834556563</v>
      </c>
      <c r="X115" s="5">
        <f t="shared" si="730"/>
        <v>5.723317261524862</v>
      </c>
      <c r="Y115" s="7">
        <f t="shared" si="650"/>
        <v>-1.9478058745825184</v>
      </c>
      <c r="Z115" s="21">
        <f t="shared" si="671"/>
        <v>0.96460775867564941</v>
      </c>
      <c r="AA115" s="5">
        <f t="shared" si="672"/>
        <v>0.18919611546011239</v>
      </c>
      <c r="AB115" s="5">
        <f t="shared" si="673"/>
        <v>-0.18367553402003206</v>
      </c>
      <c r="AC115" s="8">
        <f t="shared" si="731"/>
        <v>1</v>
      </c>
      <c r="AD115" s="9">
        <f t="shared" si="732"/>
        <v>0.96460775867564941</v>
      </c>
      <c r="AE115" s="5">
        <f t="shared" si="733"/>
        <v>0.18919611546011239</v>
      </c>
      <c r="AF115" s="10">
        <f t="shared" si="734"/>
        <v>-0.18367553402003206</v>
      </c>
      <c r="AG115" s="622">
        <f t="shared" si="735"/>
        <v>45.848235333732774</v>
      </c>
      <c r="AH115" s="623">
        <f t="shared" si="736"/>
        <v>15.289065619149683</v>
      </c>
      <c r="AI115" s="624">
        <f t="shared" si="737"/>
        <v>-79.416077061408359</v>
      </c>
      <c r="AJ115" s="625">
        <f t="shared" si="738"/>
        <v>101.09700271651818</v>
      </c>
      <c r="AK115" s="4">
        <f t="shared" si="739"/>
        <v>0.89328671718324748</v>
      </c>
      <c r="AL115" s="5">
        <f t="shared" si="740"/>
        <v>-0.41024643704294733</v>
      </c>
      <c r="AM115" s="6">
        <f t="shared" si="741"/>
        <v>-0.18367553402003206</v>
      </c>
      <c r="AN115" s="612">
        <f t="shared" si="742"/>
        <v>-65.880983067767431</v>
      </c>
      <c r="AO115" s="613">
        <f t="shared" si="466"/>
        <v>26.710794982581636</v>
      </c>
      <c r="AP115" s="624">
        <f t="shared" si="743"/>
        <v>-24.667192119770981</v>
      </c>
      <c r="AQ115" s="625">
        <f t="shared" si="674"/>
        <v>2.1658427658256665</v>
      </c>
      <c r="AS115" s="56">
        <f t="shared" si="746"/>
        <v>-324.22380516544342</v>
      </c>
      <c r="AT115" s="78">
        <f t="shared" si="675"/>
        <v>-0.7229150550751664</v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>
        <f t="shared" si="720"/>
        <v>7.2480000000000002</v>
      </c>
      <c r="IH115" s="797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0.14799999999999999</v>
      </c>
      <c r="II115" s="800" cm="1">
        <f t="array" ref="II115">IFERROR(IF($IH115&lt;1,$IH115+LARGE((IF($M$9:$M$150="",0,$M$9:$M$150)-MOD(IF($M$9:$M$150="",0,$M$9:$M$150),1)),1),$IH115),"")</f>
        <v>7.1479999999999997</v>
      </c>
      <c r="IJ115" s="839" t="str">
        <f t="shared" si="721"/>
        <v>1613</v>
      </c>
      <c r="IK115" s="839" t="str">
        <f t="shared" si="722"/>
        <v>1313</v>
      </c>
      <c r="IL115" s="791">
        <f t="shared" si="654"/>
        <v>11.216798380494694</v>
      </c>
      <c r="IM115" s="830">
        <v>1.3098946548498001E-3</v>
      </c>
      <c r="IN115" s="5">
        <f t="shared" si="655"/>
        <v>0</v>
      </c>
      <c r="IO115" s="852">
        <v>0</v>
      </c>
      <c r="IP115" s="9">
        <f t="shared" si="656"/>
        <v>-5.6803171318364702</v>
      </c>
      <c r="IQ115" s="5">
        <f t="shared" si="657"/>
        <v>-1.9899060015565011</v>
      </c>
      <c r="IR115" s="5">
        <f t="shared" si="723"/>
        <v>0.314</v>
      </c>
      <c r="IS115" s="5">
        <f t="shared" si="658"/>
        <v>0.29894313358930569</v>
      </c>
      <c r="IT115" s="791">
        <f t="shared" si="659"/>
        <v>77.317898713714271</v>
      </c>
      <c r="IU115" s="9">
        <f t="shared" si="660"/>
        <v>-5.723317261524862</v>
      </c>
      <c r="IV115" s="5">
        <f t="shared" si="661"/>
        <v>-1.9478058745825184</v>
      </c>
      <c r="IW115" s="5">
        <f t="shared" si="724"/>
        <v>0.26600000000000001</v>
      </c>
      <c r="IX115" s="5">
        <f t="shared" si="662"/>
        <v>0.23761426677074385</v>
      </c>
      <c r="IY115" s="833">
        <f t="shared" si="663"/>
        <v>65.880983067767431</v>
      </c>
    </row>
    <row r="116" spans="1:259" ht="15" customHeight="1" x14ac:dyDescent="0.25">
      <c r="A116" s="84">
        <f t="shared" si="527"/>
        <v>0</v>
      </c>
      <c r="B116" s="770">
        <v>-3.2298989869196291</v>
      </c>
      <c r="C116" s="771">
        <v>4.8684285133223426</v>
      </c>
      <c r="D116" s="772">
        <v>-2.7639083359475407</v>
      </c>
      <c r="E116" s="773">
        <v>-0.47741365181285428</v>
      </c>
      <c r="F116" s="771">
        <v>0.71960544881349242</v>
      </c>
      <c r="G116" s="774">
        <v>0.50422634114120501</v>
      </c>
      <c r="H116" s="773">
        <v>0.25700000000000001</v>
      </c>
      <c r="I116" s="771">
        <v>0.41499999999999992</v>
      </c>
      <c r="J116" s="601">
        <v>7.2549999999999999</v>
      </c>
      <c r="K116" s="426" t="str">
        <f t="shared" si="651"/>
        <v>Knuckle</v>
      </c>
      <c r="L116" s="327"/>
      <c r="M116" s="173">
        <f t="shared" si="667"/>
        <v>7.2549999999999999</v>
      </c>
      <c r="N116" s="21">
        <f t="shared" si="668"/>
        <v>-3.2298989869196291</v>
      </c>
      <c r="O116" s="5">
        <f t="shared" si="669"/>
        <v>4.8684285133223426</v>
      </c>
      <c r="P116" s="10">
        <f t="shared" si="670"/>
        <v>-2.7639083359475407</v>
      </c>
      <c r="Q116" s="624">
        <f t="shared" si="528"/>
        <v>123.56179515427631</v>
      </c>
      <c r="R116" s="5">
        <f t="shared" si="725"/>
        <v>5.8424176207315446</v>
      </c>
      <c r="S116" s="6">
        <f t="shared" si="726"/>
        <v>-2.7639083359475407</v>
      </c>
      <c r="T116" s="4">
        <f t="shared" si="727"/>
        <v>4.8677519381864611</v>
      </c>
      <c r="U116" s="5">
        <f t="shared" si="728"/>
        <v>3.2309185572088306</v>
      </c>
      <c r="V116" s="8">
        <f t="shared" si="729"/>
        <v>-2.7639083359475407</v>
      </c>
      <c r="W116" s="624">
        <f t="shared" si="652"/>
        <v>33.573795152543724</v>
      </c>
      <c r="X116" s="5">
        <f t="shared" si="730"/>
        <v>5.8424176207315446</v>
      </c>
      <c r="Y116" s="7">
        <f t="shared" si="650"/>
        <v>-2.7639083359475407</v>
      </c>
      <c r="Z116" s="21">
        <f t="shared" si="671"/>
        <v>0.47741365181285428</v>
      </c>
      <c r="AA116" s="5">
        <f t="shared" si="672"/>
        <v>-0.71960544881349242</v>
      </c>
      <c r="AB116" s="5">
        <f t="shared" si="673"/>
        <v>-0.50422634114120501</v>
      </c>
      <c r="AC116" s="8">
        <f t="shared" si="731"/>
        <v>1</v>
      </c>
      <c r="AD116" s="9">
        <f t="shared" si="732"/>
        <v>0.47741365181285428</v>
      </c>
      <c r="AE116" s="5">
        <f t="shared" si="733"/>
        <v>-0.71960544881349242</v>
      </c>
      <c r="AF116" s="10">
        <f t="shared" si="734"/>
        <v>-0.50422634114120501</v>
      </c>
      <c r="AG116" s="622">
        <f t="shared" si="735"/>
        <v>-54.981135085896604</v>
      </c>
      <c r="AH116" s="623">
        <f t="shared" si="736"/>
        <v>61.48338065982697</v>
      </c>
      <c r="AI116" s="624">
        <f t="shared" si="737"/>
        <v>-59.719991377500904</v>
      </c>
      <c r="AJ116" s="625">
        <f t="shared" si="738"/>
        <v>33.561810201542073</v>
      </c>
      <c r="AK116" s="4">
        <f t="shared" si="739"/>
        <v>2.2679489669608088E-7</v>
      </c>
      <c r="AL116" s="5">
        <f t="shared" si="740"/>
        <v>-0.86357153548464161</v>
      </c>
      <c r="AM116" s="6">
        <f t="shared" si="741"/>
        <v>-0.50422634114120501</v>
      </c>
      <c r="AN116" s="612">
        <f t="shared" si="742"/>
        <v>-59.719991377500037</v>
      </c>
      <c r="AO116" s="613">
        <f t="shared" si="466"/>
        <v>0</v>
      </c>
      <c r="AP116" s="624">
        <f t="shared" si="743"/>
        <v>-89.999984952734238</v>
      </c>
      <c r="AQ116" s="625">
        <f t="shared" si="674"/>
        <v>2.1217318409722208</v>
      </c>
      <c r="AS116" s="56">
        <f t="shared" si="746"/>
        <v>-326.42620484745629</v>
      </c>
      <c r="AT116" s="78">
        <f t="shared" si="675"/>
        <v>-1.5306973398636956</v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 t="str">
        <f>IFERROR(IF($IU116="","",IF($IU116&lt;(((Settings!$C$19/2)*-1)*$IE$8),"",1)),"")</f>
        <v/>
      </c>
      <c r="IF116" s="91">
        <f>IFERROR(IF((((($IW116*COS(RADIANS(180-$IY116)))*COS(RADIANS($IY116)))-(($IX116*SIN(RADIANS(180-$IY116)))*SIN(RADIANS($IY116))))+$IU116)&lt;(((Settings!$C$19/2)*-1)+$IF$8),1,""),"")</f>
        <v>1</v>
      </c>
      <c r="IG116" s="836">
        <f t="shared" si="720"/>
        <v>7.2549999999999999</v>
      </c>
      <c r="IH116" s="797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0.155</v>
      </c>
      <c r="II116" s="800" cm="1">
        <f t="array" ref="II116">IFERROR(IF($IH116&lt;1,$IH116+LARGE((IF($M$9:$M$150="",0,$M$9:$M$150)-MOD(IF($M$9:$M$150="",0,$M$9:$M$150),1)),1),$IH116),"")</f>
        <v>7.1550000000000002</v>
      </c>
      <c r="IJ116" s="839" t="str">
        <f t="shared" si="721"/>
        <v>1613</v>
      </c>
      <c r="IK116" s="839" t="str">
        <f t="shared" si="722"/>
        <v>Knuckle</v>
      </c>
      <c r="IL116" s="791">
        <f t="shared" si="654"/>
        <v>13.189198095715412</v>
      </c>
      <c r="IM116" s="830">
        <v>4.01593173581264E-4</v>
      </c>
      <c r="IN116" s="5">
        <f t="shared" si="655"/>
        <v>0</v>
      </c>
      <c r="IO116" s="852">
        <v>0</v>
      </c>
      <c r="IP116" s="9">
        <f t="shared" si="656"/>
        <v>-5.8124175302512713</v>
      </c>
      <c r="IQ116" s="5">
        <f t="shared" si="657"/>
        <v>-2.7782083790764713</v>
      </c>
      <c r="IR116" s="5">
        <f t="shared" si="723"/>
        <v>0.314</v>
      </c>
      <c r="IS116" s="5">
        <f t="shared" si="658"/>
        <v>0.28667116499729473</v>
      </c>
      <c r="IT116" s="791">
        <f t="shared" si="659"/>
        <v>85.032139776067012</v>
      </c>
      <c r="IU116" s="9">
        <f t="shared" si="660"/>
        <v>-5.8424176207315446</v>
      </c>
      <c r="IV116" s="5">
        <f t="shared" si="661"/>
        <v>-2.7639083359475407</v>
      </c>
      <c r="IW116" s="5">
        <f t="shared" si="724"/>
        <v>0.25700000000000001</v>
      </c>
      <c r="IX116" s="5">
        <f t="shared" si="662"/>
        <v>0.25700000000000001</v>
      </c>
      <c r="IY116" s="833">
        <f t="shared" si="663"/>
        <v>59.719991377500037</v>
      </c>
    </row>
    <row r="117" spans="1:259" ht="15" customHeight="1" x14ac:dyDescent="0.25">
      <c r="A117" s="84">
        <f t="shared" si="527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51"/>
        <v/>
      </c>
      <c r="L117" s="327"/>
      <c r="M117" s="173" t="str">
        <f t="shared" si="667"/>
        <v/>
      </c>
      <c r="N117" s="21" t="str">
        <f t="shared" si="668"/>
        <v/>
      </c>
      <c r="O117" s="5" t="str">
        <f t="shared" si="669"/>
        <v/>
      </c>
      <c r="P117" s="10" t="str">
        <f t="shared" si="670"/>
        <v/>
      </c>
      <c r="Q117" s="624" t="str">
        <f t="shared" si="528"/>
        <v/>
      </c>
      <c r="R117" s="5" t="str">
        <f t="shared" si="725"/>
        <v/>
      </c>
      <c r="S117" s="6" t="str">
        <f t="shared" si="726"/>
        <v/>
      </c>
      <c r="T117" s="4" t="str">
        <f t="shared" si="727"/>
        <v/>
      </c>
      <c r="U117" s="5" t="str">
        <f t="shared" si="728"/>
        <v/>
      </c>
      <c r="V117" s="8" t="str">
        <f t="shared" si="729"/>
        <v/>
      </c>
      <c r="W117" s="624" t="str">
        <f t="shared" si="652"/>
        <v/>
      </c>
      <c r="X117" s="5" t="str">
        <f t="shared" si="730"/>
        <v/>
      </c>
      <c r="Y117" s="7" t="str">
        <f t="shared" si="650"/>
        <v/>
      </c>
      <c r="Z117" s="21" t="str">
        <f t="shared" si="671"/>
        <v/>
      </c>
      <c r="AA117" s="5" t="str">
        <f t="shared" si="672"/>
        <v/>
      </c>
      <c r="AB117" s="5" t="str">
        <f t="shared" si="673"/>
        <v/>
      </c>
      <c r="AC117" s="8" t="str">
        <f t="shared" si="731"/>
        <v/>
      </c>
      <c r="AD117" s="9" t="str">
        <f t="shared" si="732"/>
        <v/>
      </c>
      <c r="AE117" s="5" t="str">
        <f t="shared" si="733"/>
        <v/>
      </c>
      <c r="AF117" s="10" t="str">
        <f t="shared" si="734"/>
        <v/>
      </c>
      <c r="AG117" s="622" t="str">
        <f t="shared" si="735"/>
        <v/>
      </c>
      <c r="AH117" s="623" t="str">
        <f t="shared" si="736"/>
        <v/>
      </c>
      <c r="AI117" s="624" t="str">
        <f t="shared" si="737"/>
        <v/>
      </c>
      <c r="AJ117" s="625" t="str">
        <f t="shared" si="738"/>
        <v/>
      </c>
      <c r="AK117" s="4" t="str">
        <f t="shared" si="739"/>
        <v/>
      </c>
      <c r="AL117" s="5" t="str">
        <f t="shared" si="740"/>
        <v/>
      </c>
      <c r="AM117" s="6" t="str">
        <f t="shared" si="741"/>
        <v/>
      </c>
      <c r="AN117" s="612" t="str">
        <f t="shared" si="742"/>
        <v/>
      </c>
      <c r="AO117" s="613" t="str">
        <f t="shared" si="466"/>
        <v/>
      </c>
      <c r="AP117" s="624" t="str">
        <f t="shared" si="743"/>
        <v/>
      </c>
      <c r="AQ117" s="625" t="str">
        <f t="shared" si="674"/>
        <v/>
      </c>
      <c r="AS117" s="56" t="str">
        <f t="shared" si="746"/>
        <v/>
      </c>
      <c r="AT117" s="78" t="str">
        <f t="shared" si="675"/>
        <v/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20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1"/>
        <v/>
      </c>
      <c r="IK117" s="839" t="str">
        <f t="shared" si="722"/>
        <v/>
      </c>
      <c r="IL117" s="791" t="str">
        <f t="shared" si="654"/>
        <v/>
      </c>
      <c r="IM117" s="830"/>
      <c r="IN117" s="5" t="str">
        <f t="shared" si="655"/>
        <v/>
      </c>
      <c r="IO117" s="852"/>
      <c r="IP117" s="9" t="str">
        <f t="shared" si="656"/>
        <v/>
      </c>
      <c r="IQ117" s="5" t="str">
        <f t="shared" si="657"/>
        <v/>
      </c>
      <c r="IR117" s="5" t="str">
        <f t="shared" si="723"/>
        <v/>
      </c>
      <c r="IS117" s="5" t="str">
        <f t="shared" si="658"/>
        <v/>
      </c>
      <c r="IT117" s="791" t="str">
        <f t="shared" si="659"/>
        <v/>
      </c>
      <c r="IU117" s="9" t="str">
        <f t="shared" si="660"/>
        <v/>
      </c>
      <c r="IV117" s="5" t="str">
        <f t="shared" si="661"/>
        <v/>
      </c>
      <c r="IW117" s="5" t="str">
        <f t="shared" si="724"/>
        <v/>
      </c>
      <c r="IX117" s="5" t="str">
        <f t="shared" si="662"/>
        <v/>
      </c>
      <c r="IY117" s="833" t="str">
        <f t="shared" si="663"/>
        <v/>
      </c>
    </row>
    <row r="118" spans="1:259" ht="15" customHeight="1" x14ac:dyDescent="0.25">
      <c r="A118" s="84">
        <f t="shared" si="527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51"/>
        <v/>
      </c>
      <c r="L118" s="327"/>
      <c r="M118" s="173" t="str">
        <f t="shared" si="667"/>
        <v/>
      </c>
      <c r="N118" s="21" t="str">
        <f t="shared" si="668"/>
        <v/>
      </c>
      <c r="O118" s="5" t="str">
        <f t="shared" si="669"/>
        <v/>
      </c>
      <c r="P118" s="10" t="str">
        <f t="shared" si="670"/>
        <v/>
      </c>
      <c r="Q118" s="624" t="str">
        <f t="shared" si="528"/>
        <v/>
      </c>
      <c r="R118" s="5" t="str">
        <f t="shared" si="725"/>
        <v/>
      </c>
      <c r="S118" s="6" t="str">
        <f t="shared" si="726"/>
        <v/>
      </c>
      <c r="T118" s="4" t="str">
        <f t="shared" si="727"/>
        <v/>
      </c>
      <c r="U118" s="5" t="str">
        <f t="shared" si="728"/>
        <v/>
      </c>
      <c r="V118" s="8" t="str">
        <f t="shared" si="729"/>
        <v/>
      </c>
      <c r="W118" s="624" t="str">
        <f t="shared" si="652"/>
        <v/>
      </c>
      <c r="X118" s="5" t="str">
        <f t="shared" si="730"/>
        <v/>
      </c>
      <c r="Y118" s="7" t="str">
        <f t="shared" si="650"/>
        <v/>
      </c>
      <c r="Z118" s="21" t="str">
        <f t="shared" si="671"/>
        <v/>
      </c>
      <c r="AA118" s="5" t="str">
        <f t="shared" si="672"/>
        <v/>
      </c>
      <c r="AB118" s="5" t="str">
        <f t="shared" si="673"/>
        <v/>
      </c>
      <c r="AC118" s="8" t="str">
        <f t="shared" si="731"/>
        <v/>
      </c>
      <c r="AD118" s="9" t="str">
        <f t="shared" si="732"/>
        <v/>
      </c>
      <c r="AE118" s="5" t="str">
        <f t="shared" si="733"/>
        <v/>
      </c>
      <c r="AF118" s="10" t="str">
        <f t="shared" si="734"/>
        <v/>
      </c>
      <c r="AG118" s="622" t="str">
        <f t="shared" si="735"/>
        <v/>
      </c>
      <c r="AH118" s="623" t="str">
        <f t="shared" si="736"/>
        <v/>
      </c>
      <c r="AI118" s="624" t="str">
        <f t="shared" si="737"/>
        <v/>
      </c>
      <c r="AJ118" s="625" t="str">
        <f t="shared" si="738"/>
        <v/>
      </c>
      <c r="AK118" s="4" t="str">
        <f t="shared" si="739"/>
        <v/>
      </c>
      <c r="AL118" s="5" t="str">
        <f t="shared" si="740"/>
        <v/>
      </c>
      <c r="AM118" s="6" t="str">
        <f t="shared" si="741"/>
        <v/>
      </c>
      <c r="AN118" s="612" t="str">
        <f t="shared" si="742"/>
        <v/>
      </c>
      <c r="AO118" s="613" t="str">
        <f t="shared" si="466"/>
        <v/>
      </c>
      <c r="AP118" s="624" t="str">
        <f t="shared" si="743"/>
        <v/>
      </c>
      <c r="AQ118" s="625" t="str">
        <f t="shared" si="674"/>
        <v/>
      </c>
      <c r="AS118" s="56" t="str">
        <f t="shared" si="746"/>
        <v/>
      </c>
      <c r="AT118" s="78" t="str">
        <f t="shared" si="675"/>
        <v/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20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1"/>
        <v/>
      </c>
      <c r="IK118" s="839" t="str">
        <f t="shared" si="722"/>
        <v/>
      </c>
      <c r="IL118" s="791" t="str">
        <f t="shared" si="654"/>
        <v/>
      </c>
      <c r="IM118" s="830"/>
      <c r="IN118" s="5" t="str">
        <f t="shared" si="655"/>
        <v/>
      </c>
      <c r="IO118" s="852"/>
      <c r="IP118" s="9" t="str">
        <f t="shared" si="656"/>
        <v/>
      </c>
      <c r="IQ118" s="5" t="str">
        <f t="shared" si="657"/>
        <v/>
      </c>
      <c r="IR118" s="5" t="str">
        <f t="shared" si="723"/>
        <v/>
      </c>
      <c r="IS118" s="5" t="str">
        <f t="shared" si="658"/>
        <v/>
      </c>
      <c r="IT118" s="791" t="str">
        <f t="shared" si="659"/>
        <v/>
      </c>
      <c r="IU118" s="9" t="str">
        <f t="shared" si="660"/>
        <v/>
      </c>
      <c r="IV118" s="5" t="str">
        <f t="shared" si="661"/>
        <v/>
      </c>
      <c r="IW118" s="5" t="str">
        <f t="shared" si="724"/>
        <v/>
      </c>
      <c r="IX118" s="5" t="str">
        <f t="shared" si="662"/>
        <v/>
      </c>
      <c r="IY118" s="833" t="str">
        <f t="shared" si="663"/>
        <v/>
      </c>
    </row>
    <row r="119" spans="1:259" ht="15" customHeight="1" x14ac:dyDescent="0.25">
      <c r="A119" s="84">
        <f t="shared" si="527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51"/>
        <v/>
      </c>
      <c r="L119" s="327"/>
      <c r="M119" s="173" t="str">
        <f t="shared" si="667"/>
        <v/>
      </c>
      <c r="N119" s="21" t="str">
        <f t="shared" si="668"/>
        <v/>
      </c>
      <c r="O119" s="5" t="str">
        <f t="shared" si="669"/>
        <v/>
      </c>
      <c r="P119" s="10" t="str">
        <f t="shared" si="670"/>
        <v/>
      </c>
      <c r="Q119" s="624" t="str">
        <f t="shared" si="528"/>
        <v/>
      </c>
      <c r="R119" s="5" t="str">
        <f t="shared" si="725"/>
        <v/>
      </c>
      <c r="S119" s="6" t="str">
        <f t="shared" si="726"/>
        <v/>
      </c>
      <c r="T119" s="4" t="str">
        <f t="shared" si="727"/>
        <v/>
      </c>
      <c r="U119" s="5" t="str">
        <f t="shared" si="728"/>
        <v/>
      </c>
      <c r="V119" s="8" t="str">
        <f t="shared" si="729"/>
        <v/>
      </c>
      <c r="W119" s="624" t="str">
        <f t="shared" si="652"/>
        <v/>
      </c>
      <c r="X119" s="5" t="str">
        <f t="shared" si="730"/>
        <v/>
      </c>
      <c r="Y119" s="7" t="str">
        <f t="shared" si="650"/>
        <v/>
      </c>
      <c r="Z119" s="21" t="str">
        <f t="shared" si="671"/>
        <v/>
      </c>
      <c r="AA119" s="5" t="str">
        <f t="shared" si="672"/>
        <v/>
      </c>
      <c r="AB119" s="5" t="str">
        <f t="shared" si="673"/>
        <v/>
      </c>
      <c r="AC119" s="8" t="str">
        <f t="shared" si="731"/>
        <v/>
      </c>
      <c r="AD119" s="9" t="str">
        <f t="shared" si="732"/>
        <v/>
      </c>
      <c r="AE119" s="5" t="str">
        <f t="shared" si="733"/>
        <v/>
      </c>
      <c r="AF119" s="10" t="str">
        <f t="shared" si="734"/>
        <v/>
      </c>
      <c r="AG119" s="622" t="str">
        <f t="shared" si="735"/>
        <v/>
      </c>
      <c r="AH119" s="623" t="str">
        <f t="shared" si="736"/>
        <v/>
      </c>
      <c r="AI119" s="624" t="str">
        <f t="shared" si="737"/>
        <v/>
      </c>
      <c r="AJ119" s="625" t="str">
        <f t="shared" si="738"/>
        <v/>
      </c>
      <c r="AK119" s="4" t="str">
        <f t="shared" si="739"/>
        <v/>
      </c>
      <c r="AL119" s="5" t="str">
        <f t="shared" si="740"/>
        <v/>
      </c>
      <c r="AM119" s="6" t="str">
        <f t="shared" si="741"/>
        <v/>
      </c>
      <c r="AN119" s="612" t="str">
        <f t="shared" si="742"/>
        <v/>
      </c>
      <c r="AO119" s="613" t="str">
        <f t="shared" si="466"/>
        <v/>
      </c>
      <c r="AP119" s="624" t="str">
        <f t="shared" si="743"/>
        <v/>
      </c>
      <c r="AQ119" s="625" t="str">
        <f t="shared" si="674"/>
        <v/>
      </c>
      <c r="AS119" s="56" t="str">
        <f t="shared" si="746"/>
        <v/>
      </c>
      <c r="AT119" s="78" t="str">
        <f t="shared" si="675"/>
        <v/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20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1"/>
        <v/>
      </c>
      <c r="IK119" s="839" t="str">
        <f t="shared" si="722"/>
        <v/>
      </c>
      <c r="IL119" s="791" t="str">
        <f t="shared" si="654"/>
        <v/>
      </c>
      <c r="IM119" s="830"/>
      <c r="IN119" s="5" t="str">
        <f t="shared" si="655"/>
        <v/>
      </c>
      <c r="IO119" s="852"/>
      <c r="IP119" s="9" t="str">
        <f t="shared" si="656"/>
        <v/>
      </c>
      <c r="IQ119" s="5" t="str">
        <f t="shared" si="657"/>
        <v/>
      </c>
      <c r="IR119" s="5" t="str">
        <f t="shared" si="723"/>
        <v/>
      </c>
      <c r="IS119" s="5" t="str">
        <f t="shared" si="658"/>
        <v/>
      </c>
      <c r="IT119" s="791" t="str">
        <f t="shared" si="659"/>
        <v/>
      </c>
      <c r="IU119" s="9" t="str">
        <f t="shared" si="660"/>
        <v/>
      </c>
      <c r="IV119" s="5" t="str">
        <f t="shared" si="661"/>
        <v/>
      </c>
      <c r="IW119" s="5" t="str">
        <f t="shared" si="724"/>
        <v/>
      </c>
      <c r="IX119" s="5" t="str">
        <f t="shared" si="662"/>
        <v/>
      </c>
      <c r="IY119" s="833" t="str">
        <f t="shared" si="663"/>
        <v/>
      </c>
    </row>
    <row r="120" spans="1:259" ht="15" customHeight="1" x14ac:dyDescent="0.25">
      <c r="A120" s="84">
        <f t="shared" si="527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51"/>
        <v/>
      </c>
      <c r="L120" s="327"/>
      <c r="M120" s="173" t="str">
        <f t="shared" si="667"/>
        <v/>
      </c>
      <c r="N120" s="21" t="str">
        <f t="shared" si="668"/>
        <v/>
      </c>
      <c r="O120" s="5" t="str">
        <f t="shared" si="669"/>
        <v/>
      </c>
      <c r="P120" s="10" t="str">
        <f t="shared" si="670"/>
        <v/>
      </c>
      <c r="Q120" s="624" t="str">
        <f t="shared" si="528"/>
        <v/>
      </c>
      <c r="R120" s="5" t="str">
        <f t="shared" si="725"/>
        <v/>
      </c>
      <c r="S120" s="6" t="str">
        <f t="shared" si="726"/>
        <v/>
      </c>
      <c r="T120" s="4" t="str">
        <f t="shared" si="727"/>
        <v/>
      </c>
      <c r="U120" s="5" t="str">
        <f t="shared" si="728"/>
        <v/>
      </c>
      <c r="V120" s="8" t="str">
        <f t="shared" si="729"/>
        <v/>
      </c>
      <c r="W120" s="624" t="str">
        <f t="shared" si="652"/>
        <v/>
      </c>
      <c r="X120" s="5" t="str">
        <f t="shared" si="730"/>
        <v/>
      </c>
      <c r="Y120" s="7" t="str">
        <f t="shared" si="650"/>
        <v/>
      </c>
      <c r="Z120" s="21" t="str">
        <f t="shared" si="671"/>
        <v/>
      </c>
      <c r="AA120" s="5" t="str">
        <f t="shared" si="672"/>
        <v/>
      </c>
      <c r="AB120" s="5" t="str">
        <f t="shared" si="673"/>
        <v/>
      </c>
      <c r="AC120" s="8" t="str">
        <f t="shared" si="731"/>
        <v/>
      </c>
      <c r="AD120" s="9" t="str">
        <f t="shared" si="732"/>
        <v/>
      </c>
      <c r="AE120" s="5" t="str">
        <f t="shared" si="733"/>
        <v/>
      </c>
      <c r="AF120" s="10" t="str">
        <f t="shared" si="734"/>
        <v/>
      </c>
      <c r="AG120" s="622" t="str">
        <f t="shared" si="735"/>
        <v/>
      </c>
      <c r="AH120" s="623" t="str">
        <f t="shared" si="736"/>
        <v/>
      </c>
      <c r="AI120" s="624" t="str">
        <f t="shared" si="737"/>
        <v/>
      </c>
      <c r="AJ120" s="625" t="str">
        <f t="shared" si="738"/>
        <v/>
      </c>
      <c r="AK120" s="4" t="str">
        <f t="shared" si="739"/>
        <v/>
      </c>
      <c r="AL120" s="5" t="str">
        <f t="shared" si="740"/>
        <v/>
      </c>
      <c r="AM120" s="6" t="str">
        <f t="shared" si="741"/>
        <v/>
      </c>
      <c r="AN120" s="612" t="str">
        <f t="shared" si="742"/>
        <v/>
      </c>
      <c r="AO120" s="613" t="str">
        <f t="shared" ref="AO120:AO150" si="751">IF(ROUND(IF(M120="",0,DEGREES(ACOS(AK120))),4)=90,0,IF(M120="","",DEGREES(ACOS(AK120))))</f>
        <v/>
      </c>
      <c r="AP120" s="624" t="str">
        <f t="shared" si="743"/>
        <v/>
      </c>
      <c r="AQ120" s="625" t="str">
        <f t="shared" si="674"/>
        <v/>
      </c>
      <c r="AS120" s="56" t="str">
        <f t="shared" si="746"/>
        <v/>
      </c>
      <c r="AT120" s="78" t="str">
        <f t="shared" si="675"/>
        <v/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20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1"/>
        <v/>
      </c>
      <c r="IK120" s="839" t="str">
        <f t="shared" si="722"/>
        <v/>
      </c>
      <c r="IL120" s="791" t="str">
        <f t="shared" si="654"/>
        <v/>
      </c>
      <c r="IM120" s="830"/>
      <c r="IN120" s="5" t="str">
        <f t="shared" si="655"/>
        <v/>
      </c>
      <c r="IO120" s="852"/>
      <c r="IP120" s="9" t="str">
        <f t="shared" si="656"/>
        <v/>
      </c>
      <c r="IQ120" s="5" t="str">
        <f t="shared" si="657"/>
        <v/>
      </c>
      <c r="IR120" s="5" t="str">
        <f t="shared" si="723"/>
        <v/>
      </c>
      <c r="IS120" s="5" t="str">
        <f t="shared" si="658"/>
        <v/>
      </c>
      <c r="IT120" s="791" t="str">
        <f t="shared" si="659"/>
        <v/>
      </c>
      <c r="IU120" s="9" t="str">
        <f t="shared" si="660"/>
        <v/>
      </c>
      <c r="IV120" s="5" t="str">
        <f t="shared" si="661"/>
        <v/>
      </c>
      <c r="IW120" s="5" t="str">
        <f t="shared" si="724"/>
        <v/>
      </c>
      <c r="IX120" s="5" t="str">
        <f t="shared" si="662"/>
        <v/>
      </c>
      <c r="IY120" s="833" t="str">
        <f t="shared" si="663"/>
        <v/>
      </c>
    </row>
    <row r="121" spans="1:259" ht="15" customHeight="1" x14ac:dyDescent="0.25">
      <c r="A121" s="84">
        <f t="shared" si="527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51"/>
        <v/>
      </c>
      <c r="L121" s="327"/>
      <c r="M121" s="173" t="str">
        <f t="shared" si="667"/>
        <v/>
      </c>
      <c r="N121" s="21" t="str">
        <f t="shared" si="668"/>
        <v/>
      </c>
      <c r="O121" s="5" t="str">
        <f t="shared" si="669"/>
        <v/>
      </c>
      <c r="P121" s="10" t="str">
        <f t="shared" si="670"/>
        <v/>
      </c>
      <c r="Q121" s="624" t="str">
        <f t="shared" si="528"/>
        <v/>
      </c>
      <c r="R121" s="5" t="str">
        <f t="shared" si="725"/>
        <v/>
      </c>
      <c r="S121" s="6" t="str">
        <f t="shared" si="726"/>
        <v/>
      </c>
      <c r="T121" s="4" t="str">
        <f t="shared" si="727"/>
        <v/>
      </c>
      <c r="U121" s="5" t="str">
        <f t="shared" si="728"/>
        <v/>
      </c>
      <c r="V121" s="8" t="str">
        <f t="shared" si="729"/>
        <v/>
      </c>
      <c r="W121" s="624" t="str">
        <f t="shared" si="652"/>
        <v/>
      </c>
      <c r="X121" s="5" t="str">
        <f t="shared" si="730"/>
        <v/>
      </c>
      <c r="Y121" s="7" t="str">
        <f t="shared" si="650"/>
        <v/>
      </c>
      <c r="Z121" s="21" t="str">
        <f t="shared" si="671"/>
        <v/>
      </c>
      <c r="AA121" s="5" t="str">
        <f t="shared" si="672"/>
        <v/>
      </c>
      <c r="AB121" s="5" t="str">
        <f t="shared" si="673"/>
        <v/>
      </c>
      <c r="AC121" s="8" t="str">
        <f t="shared" si="731"/>
        <v/>
      </c>
      <c r="AD121" s="9" t="str">
        <f t="shared" si="732"/>
        <v/>
      </c>
      <c r="AE121" s="5" t="str">
        <f t="shared" si="733"/>
        <v/>
      </c>
      <c r="AF121" s="10" t="str">
        <f t="shared" si="734"/>
        <v/>
      </c>
      <c r="AG121" s="622" t="str">
        <f t="shared" si="735"/>
        <v/>
      </c>
      <c r="AH121" s="623" t="str">
        <f t="shared" si="736"/>
        <v/>
      </c>
      <c r="AI121" s="624" t="str">
        <f t="shared" si="737"/>
        <v/>
      </c>
      <c r="AJ121" s="625" t="str">
        <f t="shared" si="738"/>
        <v/>
      </c>
      <c r="AK121" s="4" t="str">
        <f t="shared" si="739"/>
        <v/>
      </c>
      <c r="AL121" s="5" t="str">
        <f t="shared" si="740"/>
        <v/>
      </c>
      <c r="AM121" s="6" t="str">
        <f t="shared" si="741"/>
        <v/>
      </c>
      <c r="AN121" s="612" t="str">
        <f t="shared" si="742"/>
        <v/>
      </c>
      <c r="AO121" s="613" t="str">
        <f t="shared" si="751"/>
        <v/>
      </c>
      <c r="AP121" s="624" t="str">
        <f t="shared" si="743"/>
        <v/>
      </c>
      <c r="AQ121" s="625" t="str">
        <f t="shared" si="674"/>
        <v/>
      </c>
      <c r="AS121" s="56" t="str">
        <f t="shared" si="746"/>
        <v/>
      </c>
      <c r="AT121" s="78" t="str">
        <f t="shared" si="675"/>
        <v/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20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1"/>
        <v/>
      </c>
      <c r="IK121" s="839" t="str">
        <f t="shared" si="722"/>
        <v/>
      </c>
      <c r="IL121" s="791" t="str">
        <f t="shared" si="654"/>
        <v/>
      </c>
      <c r="IM121" s="830"/>
      <c r="IN121" s="5" t="str">
        <f t="shared" si="655"/>
        <v/>
      </c>
      <c r="IO121" s="852"/>
      <c r="IP121" s="9" t="str">
        <f t="shared" si="656"/>
        <v/>
      </c>
      <c r="IQ121" s="5" t="str">
        <f t="shared" si="657"/>
        <v/>
      </c>
      <c r="IR121" s="5" t="str">
        <f t="shared" si="723"/>
        <v/>
      </c>
      <c r="IS121" s="5" t="str">
        <f t="shared" si="658"/>
        <v/>
      </c>
      <c r="IT121" s="791" t="str">
        <f t="shared" si="659"/>
        <v/>
      </c>
      <c r="IU121" s="9" t="str">
        <f t="shared" si="660"/>
        <v/>
      </c>
      <c r="IV121" s="5" t="str">
        <f t="shared" si="661"/>
        <v/>
      </c>
      <c r="IW121" s="5" t="str">
        <f t="shared" si="724"/>
        <v/>
      </c>
      <c r="IX121" s="5" t="str">
        <f t="shared" si="662"/>
        <v/>
      </c>
      <c r="IY121" s="833" t="str">
        <f t="shared" si="663"/>
        <v/>
      </c>
    </row>
    <row r="122" spans="1:259" ht="15" customHeight="1" x14ac:dyDescent="0.25">
      <c r="A122" s="84">
        <f t="shared" si="527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51"/>
        <v/>
      </c>
      <c r="L122" s="327"/>
      <c r="M122" s="173" t="str">
        <f t="shared" si="667"/>
        <v/>
      </c>
      <c r="N122" s="21" t="str">
        <f t="shared" si="668"/>
        <v/>
      </c>
      <c r="O122" s="5" t="str">
        <f t="shared" si="669"/>
        <v/>
      </c>
      <c r="P122" s="10" t="str">
        <f t="shared" si="670"/>
        <v/>
      </c>
      <c r="Q122" s="624" t="str">
        <f t="shared" si="528"/>
        <v/>
      </c>
      <c r="R122" s="5" t="str">
        <f t="shared" si="725"/>
        <v/>
      </c>
      <c r="S122" s="6" t="str">
        <f t="shared" si="726"/>
        <v/>
      </c>
      <c r="T122" s="4" t="str">
        <f t="shared" si="727"/>
        <v/>
      </c>
      <c r="U122" s="5" t="str">
        <f t="shared" si="728"/>
        <v/>
      </c>
      <c r="V122" s="8" t="str">
        <f t="shared" si="729"/>
        <v/>
      </c>
      <c r="W122" s="624" t="str">
        <f t="shared" si="652"/>
        <v/>
      </c>
      <c r="X122" s="5" t="str">
        <f t="shared" si="730"/>
        <v/>
      </c>
      <c r="Y122" s="7" t="str">
        <f t="shared" si="650"/>
        <v/>
      </c>
      <c r="Z122" s="21" t="str">
        <f t="shared" si="671"/>
        <v/>
      </c>
      <c r="AA122" s="5" t="str">
        <f t="shared" si="672"/>
        <v/>
      </c>
      <c r="AB122" s="5" t="str">
        <f t="shared" si="673"/>
        <v/>
      </c>
      <c r="AC122" s="8" t="str">
        <f t="shared" si="731"/>
        <v/>
      </c>
      <c r="AD122" s="9" t="str">
        <f t="shared" si="732"/>
        <v/>
      </c>
      <c r="AE122" s="5" t="str">
        <f t="shared" si="733"/>
        <v/>
      </c>
      <c r="AF122" s="10" t="str">
        <f t="shared" si="734"/>
        <v/>
      </c>
      <c r="AG122" s="622" t="str">
        <f t="shared" si="735"/>
        <v/>
      </c>
      <c r="AH122" s="623" t="str">
        <f t="shared" si="736"/>
        <v/>
      </c>
      <c r="AI122" s="624" t="str">
        <f t="shared" si="737"/>
        <v/>
      </c>
      <c r="AJ122" s="625" t="str">
        <f t="shared" si="738"/>
        <v/>
      </c>
      <c r="AK122" s="4" t="str">
        <f t="shared" si="739"/>
        <v/>
      </c>
      <c r="AL122" s="5" t="str">
        <f t="shared" si="740"/>
        <v/>
      </c>
      <c r="AM122" s="6" t="str">
        <f t="shared" si="741"/>
        <v/>
      </c>
      <c r="AN122" s="612" t="str">
        <f t="shared" si="742"/>
        <v/>
      </c>
      <c r="AO122" s="613" t="str">
        <f t="shared" si="751"/>
        <v/>
      </c>
      <c r="AP122" s="624" t="str">
        <f t="shared" si="743"/>
        <v/>
      </c>
      <c r="AQ122" s="625" t="str">
        <f t="shared" si="674"/>
        <v/>
      </c>
      <c r="AS122" s="56" t="str">
        <f t="shared" si="746"/>
        <v/>
      </c>
      <c r="AT122" s="78" t="str">
        <f t="shared" si="675"/>
        <v/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20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1"/>
        <v/>
      </c>
      <c r="IK122" s="839" t="str">
        <f t="shared" si="722"/>
        <v/>
      </c>
      <c r="IL122" s="791" t="str">
        <f t="shared" si="654"/>
        <v/>
      </c>
      <c r="IM122" s="830"/>
      <c r="IN122" s="5" t="str">
        <f t="shared" si="655"/>
        <v/>
      </c>
      <c r="IO122" s="852"/>
      <c r="IP122" s="9" t="str">
        <f t="shared" si="656"/>
        <v/>
      </c>
      <c r="IQ122" s="5" t="str">
        <f t="shared" si="657"/>
        <v/>
      </c>
      <c r="IR122" s="5" t="str">
        <f t="shared" si="723"/>
        <v/>
      </c>
      <c r="IS122" s="5" t="str">
        <f t="shared" si="658"/>
        <v/>
      </c>
      <c r="IT122" s="791" t="str">
        <f t="shared" si="659"/>
        <v/>
      </c>
      <c r="IU122" s="9" t="str">
        <f t="shared" si="660"/>
        <v/>
      </c>
      <c r="IV122" s="5" t="str">
        <f t="shared" si="661"/>
        <v/>
      </c>
      <c r="IW122" s="5" t="str">
        <f t="shared" si="724"/>
        <v/>
      </c>
      <c r="IX122" s="5" t="str">
        <f t="shared" si="662"/>
        <v/>
      </c>
      <c r="IY122" s="833" t="str">
        <f t="shared" si="663"/>
        <v/>
      </c>
    </row>
    <row r="123" spans="1:259" ht="15" customHeight="1" x14ac:dyDescent="0.25">
      <c r="A123" s="84">
        <f t="shared" si="527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51"/>
        <v/>
      </c>
      <c r="L123" s="327"/>
      <c r="M123" s="173" t="str">
        <f t="shared" si="667"/>
        <v/>
      </c>
      <c r="N123" s="21" t="str">
        <f t="shared" si="668"/>
        <v/>
      </c>
      <c r="O123" s="5" t="str">
        <f t="shared" si="669"/>
        <v/>
      </c>
      <c r="P123" s="10" t="str">
        <f t="shared" si="670"/>
        <v/>
      </c>
      <c r="Q123" s="624" t="str">
        <f t="shared" si="528"/>
        <v/>
      </c>
      <c r="R123" s="5" t="str">
        <f t="shared" si="725"/>
        <v/>
      </c>
      <c r="S123" s="6" t="str">
        <f t="shared" si="726"/>
        <v/>
      </c>
      <c r="T123" s="4" t="str">
        <f t="shared" si="727"/>
        <v/>
      </c>
      <c r="U123" s="5" t="str">
        <f t="shared" si="728"/>
        <v/>
      </c>
      <c r="V123" s="8" t="str">
        <f t="shared" si="729"/>
        <v/>
      </c>
      <c r="W123" s="624" t="str">
        <f t="shared" si="652"/>
        <v/>
      </c>
      <c r="X123" s="5" t="str">
        <f t="shared" si="730"/>
        <v/>
      </c>
      <c r="Y123" s="7" t="str">
        <f t="shared" si="650"/>
        <v/>
      </c>
      <c r="Z123" s="21" t="str">
        <f t="shared" si="671"/>
        <v/>
      </c>
      <c r="AA123" s="5" t="str">
        <f t="shared" si="672"/>
        <v/>
      </c>
      <c r="AB123" s="5" t="str">
        <f t="shared" si="673"/>
        <v/>
      </c>
      <c r="AC123" s="8" t="str">
        <f t="shared" si="731"/>
        <v/>
      </c>
      <c r="AD123" s="9" t="str">
        <f t="shared" si="732"/>
        <v/>
      </c>
      <c r="AE123" s="5" t="str">
        <f t="shared" si="733"/>
        <v/>
      </c>
      <c r="AF123" s="10" t="str">
        <f t="shared" si="734"/>
        <v/>
      </c>
      <c r="AG123" s="622" t="str">
        <f t="shared" si="735"/>
        <v/>
      </c>
      <c r="AH123" s="623" t="str">
        <f t="shared" si="736"/>
        <v/>
      </c>
      <c r="AI123" s="624" t="str">
        <f t="shared" si="737"/>
        <v/>
      </c>
      <c r="AJ123" s="625" t="str">
        <f t="shared" si="738"/>
        <v/>
      </c>
      <c r="AK123" s="4" t="str">
        <f t="shared" si="739"/>
        <v/>
      </c>
      <c r="AL123" s="5" t="str">
        <f t="shared" si="740"/>
        <v/>
      </c>
      <c r="AM123" s="6" t="str">
        <f t="shared" si="741"/>
        <v/>
      </c>
      <c r="AN123" s="612" t="str">
        <f t="shared" si="742"/>
        <v/>
      </c>
      <c r="AO123" s="613" t="str">
        <f t="shared" si="751"/>
        <v/>
      </c>
      <c r="AP123" s="624" t="str">
        <f t="shared" si="743"/>
        <v/>
      </c>
      <c r="AQ123" s="625" t="str">
        <f t="shared" si="674"/>
        <v/>
      </c>
      <c r="AS123" s="56" t="str">
        <f t="shared" si="746"/>
        <v/>
      </c>
      <c r="AT123" s="78" t="str">
        <f t="shared" si="675"/>
        <v/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20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51"/>
        <v/>
      </c>
      <c r="L124" s="327"/>
      <c r="M124" s="173" t="str">
        <f t="shared" si="667"/>
        <v/>
      </c>
      <c r="N124" s="21" t="str">
        <f t="shared" si="668"/>
        <v/>
      </c>
      <c r="O124" s="5" t="str">
        <f t="shared" si="669"/>
        <v/>
      </c>
      <c r="P124" s="10" t="str">
        <f t="shared" si="670"/>
        <v/>
      </c>
      <c r="Q124" s="624" t="str">
        <f t="shared" si="528"/>
        <v/>
      </c>
      <c r="R124" s="5" t="str">
        <f t="shared" si="725"/>
        <v/>
      </c>
      <c r="S124" s="6" t="str">
        <f t="shared" si="726"/>
        <v/>
      </c>
      <c r="T124" s="4" t="str">
        <f t="shared" si="727"/>
        <v/>
      </c>
      <c r="U124" s="5" t="str">
        <f t="shared" si="728"/>
        <v/>
      </c>
      <c r="V124" s="8" t="str">
        <f t="shared" si="729"/>
        <v/>
      </c>
      <c r="W124" s="624" t="str">
        <f t="shared" si="652"/>
        <v/>
      </c>
      <c r="X124" s="5" t="str">
        <f t="shared" si="730"/>
        <v/>
      </c>
      <c r="Y124" s="7" t="str">
        <f t="shared" si="650"/>
        <v/>
      </c>
      <c r="Z124" s="21" t="str">
        <f t="shared" si="671"/>
        <v/>
      </c>
      <c r="AA124" s="5" t="str">
        <f t="shared" si="672"/>
        <v/>
      </c>
      <c r="AB124" s="5" t="str">
        <f t="shared" si="673"/>
        <v/>
      </c>
      <c r="AC124" s="8" t="str">
        <f t="shared" si="731"/>
        <v/>
      </c>
      <c r="AD124" s="9" t="str">
        <f t="shared" si="732"/>
        <v/>
      </c>
      <c r="AE124" s="5" t="str">
        <f t="shared" si="733"/>
        <v/>
      </c>
      <c r="AF124" s="10" t="str">
        <f t="shared" si="734"/>
        <v/>
      </c>
      <c r="AG124" s="622" t="str">
        <f t="shared" si="735"/>
        <v/>
      </c>
      <c r="AH124" s="623" t="str">
        <f t="shared" si="736"/>
        <v/>
      </c>
      <c r="AI124" s="624" t="str">
        <f t="shared" si="737"/>
        <v/>
      </c>
      <c r="AJ124" s="625" t="str">
        <f t="shared" si="738"/>
        <v/>
      </c>
      <c r="AK124" s="4" t="str">
        <f t="shared" si="739"/>
        <v/>
      </c>
      <c r="AL124" s="5" t="str">
        <f t="shared" si="740"/>
        <v/>
      </c>
      <c r="AM124" s="6" t="str">
        <f t="shared" si="741"/>
        <v/>
      </c>
      <c r="AN124" s="612" t="str">
        <f t="shared" si="742"/>
        <v/>
      </c>
      <c r="AO124" s="613" t="str">
        <f t="shared" si="751"/>
        <v/>
      </c>
      <c r="AP124" s="624" t="str">
        <f t="shared" si="743"/>
        <v/>
      </c>
      <c r="AQ124" s="625" t="str">
        <f t="shared" si="674"/>
        <v/>
      </c>
      <c r="AS124" s="56" t="str">
        <f t="shared" si="746"/>
        <v/>
      </c>
      <c r="AT124" s="78" t="str">
        <f t="shared" si="675"/>
        <v/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20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51"/>
        <v/>
      </c>
      <c r="L125" s="327"/>
      <c r="M125" s="173" t="str">
        <f t="shared" si="667"/>
        <v/>
      </c>
      <c r="N125" s="21" t="str">
        <f t="shared" si="668"/>
        <v/>
      </c>
      <c r="O125" s="5" t="str">
        <f t="shared" si="669"/>
        <v/>
      </c>
      <c r="P125" s="10" t="str">
        <f t="shared" si="670"/>
        <v/>
      </c>
      <c r="Q125" s="624" t="str">
        <f t="shared" si="528"/>
        <v/>
      </c>
      <c r="R125" s="5" t="str">
        <f t="shared" si="725"/>
        <v/>
      </c>
      <c r="S125" s="6" t="str">
        <f t="shared" si="726"/>
        <v/>
      </c>
      <c r="T125" s="4" t="str">
        <f t="shared" si="727"/>
        <v/>
      </c>
      <c r="U125" s="5" t="str">
        <f t="shared" si="728"/>
        <v/>
      </c>
      <c r="V125" s="8" t="str">
        <f t="shared" si="729"/>
        <v/>
      </c>
      <c r="W125" s="624" t="str">
        <f t="shared" si="652"/>
        <v/>
      </c>
      <c r="X125" s="5" t="str">
        <f t="shared" si="730"/>
        <v/>
      </c>
      <c r="Y125" s="7" t="str">
        <f t="shared" si="650"/>
        <v/>
      </c>
      <c r="Z125" s="21" t="str">
        <f t="shared" si="671"/>
        <v/>
      </c>
      <c r="AA125" s="5" t="str">
        <f t="shared" si="672"/>
        <v/>
      </c>
      <c r="AB125" s="5" t="str">
        <f t="shared" si="673"/>
        <v/>
      </c>
      <c r="AC125" s="8" t="str">
        <f t="shared" si="731"/>
        <v/>
      </c>
      <c r="AD125" s="9" t="str">
        <f t="shared" si="732"/>
        <v/>
      </c>
      <c r="AE125" s="5" t="str">
        <f t="shared" si="733"/>
        <v/>
      </c>
      <c r="AF125" s="10" t="str">
        <f t="shared" si="734"/>
        <v/>
      </c>
      <c r="AG125" s="622" t="str">
        <f t="shared" si="735"/>
        <v/>
      </c>
      <c r="AH125" s="623" t="str">
        <f t="shared" si="736"/>
        <v/>
      </c>
      <c r="AI125" s="624" t="str">
        <f t="shared" si="737"/>
        <v/>
      </c>
      <c r="AJ125" s="625" t="str">
        <f t="shared" si="738"/>
        <v/>
      </c>
      <c r="AK125" s="4" t="str">
        <f t="shared" si="739"/>
        <v/>
      </c>
      <c r="AL125" s="5" t="str">
        <f t="shared" si="740"/>
        <v/>
      </c>
      <c r="AM125" s="6" t="str">
        <f t="shared" si="741"/>
        <v/>
      </c>
      <c r="AN125" s="612" t="str">
        <f t="shared" si="742"/>
        <v/>
      </c>
      <c r="AO125" s="613" t="str">
        <f t="shared" si="751"/>
        <v/>
      </c>
      <c r="AP125" s="624" t="str">
        <f t="shared" si="743"/>
        <v/>
      </c>
      <c r="AQ125" s="625" t="str">
        <f t="shared" si="674"/>
        <v/>
      </c>
      <c r="AS125" s="56" t="str">
        <f t="shared" si="746"/>
        <v/>
      </c>
      <c r="AT125" s="78" t="str">
        <f t="shared" si="675"/>
        <v/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20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51"/>
        <v/>
      </c>
      <c r="L126" s="327"/>
      <c r="M126" s="173" t="str">
        <f t="shared" si="667"/>
        <v/>
      </c>
      <c r="N126" s="21" t="str">
        <f t="shared" si="668"/>
        <v/>
      </c>
      <c r="O126" s="5" t="str">
        <f t="shared" si="669"/>
        <v/>
      </c>
      <c r="P126" s="10" t="str">
        <f t="shared" si="670"/>
        <v/>
      </c>
      <c r="Q126" s="624" t="str">
        <f t="shared" si="528"/>
        <v/>
      </c>
      <c r="R126" s="5" t="str">
        <f t="shared" si="725"/>
        <v/>
      </c>
      <c r="S126" s="6" t="str">
        <f t="shared" si="726"/>
        <v/>
      </c>
      <c r="T126" s="4" t="str">
        <f t="shared" si="727"/>
        <v/>
      </c>
      <c r="U126" s="5" t="str">
        <f t="shared" si="728"/>
        <v/>
      </c>
      <c r="V126" s="8" t="str">
        <f t="shared" si="729"/>
        <v/>
      </c>
      <c r="W126" s="624" t="str">
        <f t="shared" si="652"/>
        <v/>
      </c>
      <c r="X126" s="5" t="str">
        <f t="shared" si="730"/>
        <v/>
      </c>
      <c r="Y126" s="7" t="str">
        <f t="shared" si="650"/>
        <v/>
      </c>
      <c r="Z126" s="21" t="str">
        <f t="shared" si="671"/>
        <v/>
      </c>
      <c r="AA126" s="5" t="str">
        <f t="shared" si="672"/>
        <v/>
      </c>
      <c r="AB126" s="5" t="str">
        <f t="shared" si="673"/>
        <v/>
      </c>
      <c r="AC126" s="8" t="str">
        <f t="shared" si="731"/>
        <v/>
      </c>
      <c r="AD126" s="9" t="str">
        <f t="shared" si="732"/>
        <v/>
      </c>
      <c r="AE126" s="5" t="str">
        <f t="shared" si="733"/>
        <v/>
      </c>
      <c r="AF126" s="10" t="str">
        <f t="shared" si="734"/>
        <v/>
      </c>
      <c r="AG126" s="622" t="str">
        <f t="shared" si="735"/>
        <v/>
      </c>
      <c r="AH126" s="623" t="str">
        <f t="shared" si="736"/>
        <v/>
      </c>
      <c r="AI126" s="624" t="str">
        <f t="shared" si="737"/>
        <v/>
      </c>
      <c r="AJ126" s="625" t="str">
        <f t="shared" si="738"/>
        <v/>
      </c>
      <c r="AK126" s="4" t="str">
        <f t="shared" si="739"/>
        <v/>
      </c>
      <c r="AL126" s="5" t="str">
        <f t="shared" si="740"/>
        <v/>
      </c>
      <c r="AM126" s="6" t="str">
        <f t="shared" si="741"/>
        <v/>
      </c>
      <c r="AN126" s="612" t="str">
        <f t="shared" si="742"/>
        <v/>
      </c>
      <c r="AO126" s="613" t="str">
        <f t="shared" si="751"/>
        <v/>
      </c>
      <c r="AP126" s="624" t="str">
        <f t="shared" si="743"/>
        <v/>
      </c>
      <c r="AQ126" s="625" t="str">
        <f t="shared" si="674"/>
        <v/>
      </c>
      <c r="AS126" s="56" t="str">
        <f t="shared" si="746"/>
        <v/>
      </c>
      <c r="AT126" s="78" t="str">
        <f t="shared" si="675"/>
        <v/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20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51"/>
        <v/>
      </c>
      <c r="L127" s="327"/>
      <c r="M127" s="173" t="str">
        <f t="shared" si="667"/>
        <v/>
      </c>
      <c r="N127" s="21" t="str">
        <f t="shared" si="668"/>
        <v/>
      </c>
      <c r="O127" s="5" t="str">
        <f t="shared" si="669"/>
        <v/>
      </c>
      <c r="P127" s="10" t="str">
        <f t="shared" si="670"/>
        <v/>
      </c>
      <c r="Q127" s="624" t="str">
        <f t="shared" si="528"/>
        <v/>
      </c>
      <c r="R127" s="5" t="str">
        <f t="shared" si="725"/>
        <v/>
      </c>
      <c r="S127" s="6" t="str">
        <f t="shared" si="726"/>
        <v/>
      </c>
      <c r="T127" s="4" t="str">
        <f t="shared" si="727"/>
        <v/>
      </c>
      <c r="U127" s="5" t="str">
        <f t="shared" si="728"/>
        <v/>
      </c>
      <c r="V127" s="8" t="str">
        <f t="shared" si="729"/>
        <v/>
      </c>
      <c r="W127" s="624" t="str">
        <f t="shared" si="652"/>
        <v/>
      </c>
      <c r="X127" s="5" t="str">
        <f t="shared" si="730"/>
        <v/>
      </c>
      <c r="Y127" s="7" t="str">
        <f t="shared" si="650"/>
        <v/>
      </c>
      <c r="Z127" s="21" t="str">
        <f t="shared" si="671"/>
        <v/>
      </c>
      <c r="AA127" s="5" t="str">
        <f t="shared" si="672"/>
        <v/>
      </c>
      <c r="AB127" s="5" t="str">
        <f t="shared" si="673"/>
        <v/>
      </c>
      <c r="AC127" s="8" t="str">
        <f t="shared" si="731"/>
        <v/>
      </c>
      <c r="AD127" s="9" t="str">
        <f t="shared" si="732"/>
        <v/>
      </c>
      <c r="AE127" s="5" t="str">
        <f t="shared" si="733"/>
        <v/>
      </c>
      <c r="AF127" s="10" t="str">
        <f t="shared" si="734"/>
        <v/>
      </c>
      <c r="AG127" s="622" t="str">
        <f t="shared" si="735"/>
        <v/>
      </c>
      <c r="AH127" s="623" t="str">
        <f t="shared" si="736"/>
        <v/>
      </c>
      <c r="AI127" s="624" t="str">
        <f t="shared" si="737"/>
        <v/>
      </c>
      <c r="AJ127" s="625" t="str">
        <f t="shared" si="738"/>
        <v/>
      </c>
      <c r="AK127" s="4" t="str">
        <f t="shared" si="739"/>
        <v/>
      </c>
      <c r="AL127" s="5" t="str">
        <f t="shared" si="740"/>
        <v/>
      </c>
      <c r="AM127" s="6" t="str">
        <f t="shared" si="741"/>
        <v/>
      </c>
      <c r="AN127" s="612" t="str">
        <f t="shared" si="742"/>
        <v/>
      </c>
      <c r="AO127" s="613" t="str">
        <f t="shared" si="751"/>
        <v/>
      </c>
      <c r="AP127" s="624" t="str">
        <f t="shared" si="743"/>
        <v/>
      </c>
      <c r="AQ127" s="625" t="str">
        <f t="shared" si="674"/>
        <v/>
      </c>
      <c r="AS127" s="56" t="str">
        <f t="shared" si="746"/>
        <v/>
      </c>
      <c r="AT127" s="78" t="str">
        <f t="shared" si="675"/>
        <v/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20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51"/>
        <v/>
      </c>
      <c r="L128" s="327"/>
      <c r="M128" s="173" t="str">
        <f t="shared" si="667"/>
        <v/>
      </c>
      <c r="N128" s="21" t="str">
        <f t="shared" si="668"/>
        <v/>
      </c>
      <c r="O128" s="5" t="str">
        <f t="shared" si="669"/>
        <v/>
      </c>
      <c r="P128" s="10" t="str">
        <f t="shared" si="670"/>
        <v/>
      </c>
      <c r="Q128" s="624" t="str">
        <f t="shared" si="528"/>
        <v/>
      </c>
      <c r="R128" s="5" t="str">
        <f t="shared" si="725"/>
        <v/>
      </c>
      <c r="S128" s="6" t="str">
        <f t="shared" si="726"/>
        <v/>
      </c>
      <c r="T128" s="4" t="str">
        <f t="shared" si="727"/>
        <v/>
      </c>
      <c r="U128" s="5" t="str">
        <f t="shared" si="728"/>
        <v/>
      </c>
      <c r="V128" s="8" t="str">
        <f t="shared" si="729"/>
        <v/>
      </c>
      <c r="W128" s="624" t="str">
        <f t="shared" si="652"/>
        <v/>
      </c>
      <c r="X128" s="5" t="str">
        <f t="shared" si="730"/>
        <v/>
      </c>
      <c r="Y128" s="7" t="str">
        <f t="shared" si="650"/>
        <v/>
      </c>
      <c r="Z128" s="21" t="str">
        <f t="shared" si="671"/>
        <v/>
      </c>
      <c r="AA128" s="5" t="str">
        <f t="shared" si="672"/>
        <v/>
      </c>
      <c r="AB128" s="5" t="str">
        <f t="shared" si="673"/>
        <v/>
      </c>
      <c r="AC128" s="8" t="str">
        <f t="shared" si="731"/>
        <v/>
      </c>
      <c r="AD128" s="9" t="str">
        <f t="shared" si="732"/>
        <v/>
      </c>
      <c r="AE128" s="5" t="str">
        <f t="shared" si="733"/>
        <v/>
      </c>
      <c r="AF128" s="10" t="str">
        <f t="shared" si="734"/>
        <v/>
      </c>
      <c r="AG128" s="622" t="str">
        <f t="shared" si="735"/>
        <v/>
      </c>
      <c r="AH128" s="623" t="str">
        <f t="shared" si="736"/>
        <v/>
      </c>
      <c r="AI128" s="624" t="str">
        <f t="shared" si="737"/>
        <v/>
      </c>
      <c r="AJ128" s="625" t="str">
        <f t="shared" si="738"/>
        <v/>
      </c>
      <c r="AK128" s="4" t="str">
        <f t="shared" si="739"/>
        <v/>
      </c>
      <c r="AL128" s="5" t="str">
        <f t="shared" si="740"/>
        <v/>
      </c>
      <c r="AM128" s="6" t="str">
        <f t="shared" si="741"/>
        <v/>
      </c>
      <c r="AN128" s="612" t="str">
        <f t="shared" si="742"/>
        <v/>
      </c>
      <c r="AO128" s="613" t="str">
        <f t="shared" si="751"/>
        <v/>
      </c>
      <c r="AP128" s="624" t="str">
        <f t="shared" si="743"/>
        <v/>
      </c>
      <c r="AQ128" s="625" t="str">
        <f t="shared" si="674"/>
        <v/>
      </c>
      <c r="AS128" s="56" t="str">
        <f t="shared" si="746"/>
        <v/>
      </c>
      <c r="AT128" s="78" t="str">
        <f t="shared" si="675"/>
        <v/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20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1"/>
        <v/>
      </c>
      <c r="IK128" s="839" t="str">
        <f t="shared" si="722"/>
        <v/>
      </c>
      <c r="IL128" s="791" t="str">
        <f t="shared" si="654"/>
        <v/>
      </c>
      <c r="IM128" s="830"/>
      <c r="IN128" s="5" t="str">
        <f t="shared" si="655"/>
        <v/>
      </c>
      <c r="IO128" s="852"/>
      <c r="IP128" s="9" t="str">
        <f t="shared" si="656"/>
        <v/>
      </c>
      <c r="IQ128" s="5" t="str">
        <f t="shared" si="657"/>
        <v/>
      </c>
      <c r="IR128" s="5" t="str">
        <f t="shared" si="723"/>
        <v/>
      </c>
      <c r="IS128" s="5" t="str">
        <f t="shared" si="658"/>
        <v/>
      </c>
      <c r="IT128" s="791" t="str">
        <f t="shared" si="659"/>
        <v/>
      </c>
      <c r="IU128" s="9" t="str">
        <f t="shared" si="660"/>
        <v/>
      </c>
      <c r="IV128" s="5" t="str">
        <f t="shared" si="661"/>
        <v/>
      </c>
      <c r="IW128" s="5" t="str">
        <f t="shared" si="724"/>
        <v/>
      </c>
      <c r="IX128" s="5" t="str">
        <f t="shared" si="662"/>
        <v/>
      </c>
      <c r="IY128" s="833" t="str">
        <f t="shared" si="663"/>
        <v/>
      </c>
    </row>
    <row r="129" spans="1:259" ht="15" customHeight="1" x14ac:dyDescent="0.25">
      <c r="A129" s="84">
        <f t="shared" si="527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51"/>
        <v/>
      </c>
      <c r="L129" s="327"/>
      <c r="M129" s="173" t="str">
        <f t="shared" si="667"/>
        <v/>
      </c>
      <c r="N129" s="21" t="str">
        <f t="shared" si="668"/>
        <v/>
      </c>
      <c r="O129" s="5" t="str">
        <f t="shared" si="669"/>
        <v/>
      </c>
      <c r="P129" s="10" t="str">
        <f t="shared" si="670"/>
        <v/>
      </c>
      <c r="Q129" s="624" t="str">
        <f t="shared" si="528"/>
        <v/>
      </c>
      <c r="R129" s="5" t="str">
        <f t="shared" si="725"/>
        <v/>
      </c>
      <c r="S129" s="6" t="str">
        <f t="shared" si="726"/>
        <v/>
      </c>
      <c r="T129" s="4" t="str">
        <f t="shared" si="727"/>
        <v/>
      </c>
      <c r="U129" s="5" t="str">
        <f t="shared" si="728"/>
        <v/>
      </c>
      <c r="V129" s="8" t="str">
        <f t="shared" si="729"/>
        <v/>
      </c>
      <c r="W129" s="624" t="str">
        <f t="shared" si="652"/>
        <v/>
      </c>
      <c r="X129" s="5" t="str">
        <f t="shared" si="730"/>
        <v/>
      </c>
      <c r="Y129" s="7" t="str">
        <f t="shared" si="650"/>
        <v/>
      </c>
      <c r="Z129" s="21" t="str">
        <f t="shared" si="671"/>
        <v/>
      </c>
      <c r="AA129" s="5" t="str">
        <f t="shared" si="672"/>
        <v/>
      </c>
      <c r="AB129" s="5" t="str">
        <f t="shared" si="673"/>
        <v/>
      </c>
      <c r="AC129" s="8" t="str">
        <f t="shared" si="731"/>
        <v/>
      </c>
      <c r="AD129" s="9" t="str">
        <f t="shared" si="732"/>
        <v/>
      </c>
      <c r="AE129" s="5" t="str">
        <f t="shared" si="733"/>
        <v/>
      </c>
      <c r="AF129" s="10" t="str">
        <f t="shared" si="734"/>
        <v/>
      </c>
      <c r="AG129" s="622" t="str">
        <f t="shared" si="735"/>
        <v/>
      </c>
      <c r="AH129" s="623" t="str">
        <f t="shared" si="736"/>
        <v/>
      </c>
      <c r="AI129" s="624" t="str">
        <f t="shared" si="737"/>
        <v/>
      </c>
      <c r="AJ129" s="625" t="str">
        <f t="shared" si="738"/>
        <v/>
      </c>
      <c r="AK129" s="4" t="str">
        <f t="shared" si="739"/>
        <v/>
      </c>
      <c r="AL129" s="5" t="str">
        <f t="shared" si="740"/>
        <v/>
      </c>
      <c r="AM129" s="6" t="str">
        <f t="shared" si="741"/>
        <v/>
      </c>
      <c r="AN129" s="612" t="str">
        <f t="shared" si="742"/>
        <v/>
      </c>
      <c r="AO129" s="613" t="str">
        <f t="shared" si="751"/>
        <v/>
      </c>
      <c r="AP129" s="624" t="str">
        <f t="shared" si="743"/>
        <v/>
      </c>
      <c r="AQ129" s="625" t="str">
        <f t="shared" si="674"/>
        <v/>
      </c>
      <c r="AS129" s="56" t="str">
        <f t="shared" si="746"/>
        <v/>
      </c>
      <c r="AT129" s="78" t="str">
        <f t="shared" si="675"/>
        <v/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20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1"/>
        <v/>
      </c>
      <c r="IK129" s="839" t="str">
        <f t="shared" si="722"/>
        <v/>
      </c>
      <c r="IL129" s="791" t="str">
        <f t="shared" si="654"/>
        <v/>
      </c>
      <c r="IM129" s="830"/>
      <c r="IN129" s="5" t="str">
        <f t="shared" si="655"/>
        <v/>
      </c>
      <c r="IO129" s="852"/>
      <c r="IP129" s="9" t="str">
        <f t="shared" si="656"/>
        <v/>
      </c>
      <c r="IQ129" s="5" t="str">
        <f t="shared" si="657"/>
        <v/>
      </c>
      <c r="IR129" s="5" t="str">
        <f t="shared" si="723"/>
        <v/>
      </c>
      <c r="IS129" s="5" t="str">
        <f t="shared" si="658"/>
        <v/>
      </c>
      <c r="IT129" s="791" t="str">
        <f t="shared" si="659"/>
        <v/>
      </c>
      <c r="IU129" s="9" t="str">
        <f t="shared" si="660"/>
        <v/>
      </c>
      <c r="IV129" s="5" t="str">
        <f t="shared" si="661"/>
        <v/>
      </c>
      <c r="IW129" s="5" t="str">
        <f t="shared" si="724"/>
        <v/>
      </c>
      <c r="IX129" s="5" t="str">
        <f t="shared" si="662"/>
        <v/>
      </c>
      <c r="IY129" s="833" t="str">
        <f t="shared" si="663"/>
        <v/>
      </c>
    </row>
    <row r="130" spans="1:259" ht="15" customHeight="1" x14ac:dyDescent="0.25">
      <c r="A130" s="84">
        <f t="shared" si="527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51"/>
        <v/>
      </c>
      <c r="L130" s="327"/>
      <c r="M130" s="569" t="str">
        <f t="shared" si="667"/>
        <v/>
      </c>
      <c r="N130" s="570" t="str">
        <f t="shared" si="668"/>
        <v/>
      </c>
      <c r="O130" s="571" t="str">
        <f t="shared" si="669"/>
        <v/>
      </c>
      <c r="P130" s="572" t="str">
        <f t="shared" si="670"/>
        <v/>
      </c>
      <c r="Q130" s="628" t="str">
        <f t="shared" ref="Q130:Q150" si="752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3">IF(M130="","",SQRT(N130^2+O130^2))</f>
        <v/>
      </c>
      <c r="S130" s="574" t="str">
        <f t="shared" ref="S130:S150" si="754">IF(M130="","",P130)</f>
        <v/>
      </c>
      <c r="T130" s="575" t="str">
        <f t="shared" ref="T130:T150" si="755">IF(M130="","",X130*COS(RADIANS(W130)))</f>
        <v/>
      </c>
      <c r="U130" s="571" t="str">
        <f t="shared" ref="U130:U150" si="756">IF(M130="","",X130*SIN(RADIANS(W130)))</f>
        <v/>
      </c>
      <c r="V130" s="576" t="str">
        <f t="shared" ref="V130:V150" si="757">IF(M130="","",Y130)</f>
        <v/>
      </c>
      <c r="W130" s="628" t="str">
        <f t="shared" ref="W130:W150" si="758">IF(M130="","",IF(Q130-$Q$8&lt;0,360+Q130-$Q$8,Q130-$Q$8))</f>
        <v/>
      </c>
      <c r="X130" s="571" t="str">
        <f t="shared" ref="X130:X150" si="759">IF(M130="","",R130)</f>
        <v/>
      </c>
      <c r="Y130" s="577" t="str">
        <f t="shared" ref="Y130:Y150" si="760">IF(M130="","",S130)</f>
        <v/>
      </c>
      <c r="Z130" s="570" t="str">
        <f t="shared" si="671"/>
        <v/>
      </c>
      <c r="AA130" s="571" t="str">
        <f t="shared" si="672"/>
        <v/>
      </c>
      <c r="AB130" s="571" t="str">
        <f t="shared" si="673"/>
        <v/>
      </c>
      <c r="AC130" s="576" t="str">
        <f t="shared" ref="AC130:AC150" si="761">IF(M130="","",SQRT(Z130^2+AA130^2+AB130^2))</f>
        <v/>
      </c>
      <c r="AD130" s="573" t="str">
        <f t="shared" ref="AD130:AD150" si="762">IF(M130="","",Z130*(1/SQRT(Z130^2+AA130^2+AB130^2)))</f>
        <v/>
      </c>
      <c r="AE130" s="571" t="str">
        <f t="shared" ref="AE130:AE150" si="763">IF(M130="","",AA130*(1/SQRT(Z130^2+AA130^2+AB130^2)))</f>
        <v/>
      </c>
      <c r="AF130" s="572" t="str">
        <f t="shared" ref="AF130:AF150" si="764">IF(M130="","",AB130*(1/SQRT(Z130^2+AA130^2+AB130^2)))</f>
        <v/>
      </c>
      <c r="AG130" s="626" t="str">
        <f t="shared" ref="AG130:AG150" si="765">IF(M130="","",DEGREES(ATAN2(-AF130,AE130)))</f>
        <v/>
      </c>
      <c r="AH130" s="627" t="str">
        <f t="shared" ref="AH130:AH150" si="766">IF(M130="","",DEGREES(ACOS(AD130)))</f>
        <v/>
      </c>
      <c r="AI130" s="628" t="str">
        <f t="shared" ref="AI130:AI150" si="767">IF(M130="","",DEGREES(-ACOS(-AF130)))</f>
        <v/>
      </c>
      <c r="AJ130" s="629" t="str">
        <f t="shared" ref="AJ130:AJ150" si="768">IF(M130="","",DEGREES(ATAN2(-AE130,AD130)))</f>
        <v/>
      </c>
      <c r="AK130" s="575" t="str">
        <f t="shared" ref="AK130:AK150" si="769">IF(M130="","",(COS(RADIANS((90-$Q$8)-W130))*AD130)+(-SIN(RADIANS((90-$Q$8)-W130))*AE130))</f>
        <v/>
      </c>
      <c r="AL130" s="571" t="str">
        <f t="shared" ref="AL130:AL150" si="770">IF(M130="","",(SIN(RADIANS((90-$Q$8)-W130))*AD130)+(COS(RADIANS((90-$Q$8)-W130))*AE130))</f>
        <v/>
      </c>
      <c r="AM130" s="574" t="str">
        <f t="shared" ref="AM130:AM150" si="771">IF(M130="","",AF130)</f>
        <v/>
      </c>
      <c r="AN130" s="614" t="str">
        <f t="shared" ref="AN130:AN150" si="772">IF(M130="","",DEGREES(ATAN2(-AM130,AL130)))</f>
        <v/>
      </c>
      <c r="AO130" s="615" t="str">
        <f t="shared" si="751"/>
        <v/>
      </c>
      <c r="AP130" s="628" t="str">
        <f t="shared" ref="AP130:AP150" si="773">IF(M130="","",DEGREES(ATAN2(AK130,AL130)))</f>
        <v/>
      </c>
      <c r="AQ130" s="629" t="str">
        <f t="shared" si="674"/>
        <v/>
      </c>
      <c r="AS130" s="582" t="str">
        <f t="shared" si="746"/>
        <v/>
      </c>
      <c r="AT130" s="583" t="str">
        <f t="shared" si="675"/>
        <v/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20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1"/>
        <v/>
      </c>
      <c r="IK130" s="839" t="str">
        <f t="shared" si="722"/>
        <v/>
      </c>
      <c r="IL130" s="791" t="str">
        <f t="shared" si="654"/>
        <v/>
      </c>
      <c r="IM130" s="830"/>
      <c r="IN130" s="5" t="str">
        <f t="shared" si="655"/>
        <v/>
      </c>
      <c r="IO130" s="852"/>
      <c r="IP130" s="9" t="str">
        <f t="shared" si="656"/>
        <v/>
      </c>
      <c r="IQ130" s="5" t="str">
        <f t="shared" si="657"/>
        <v/>
      </c>
      <c r="IR130" s="5" t="str">
        <f t="shared" si="723"/>
        <v/>
      </c>
      <c r="IS130" s="5" t="str">
        <f t="shared" si="658"/>
        <v/>
      </c>
      <c r="IT130" s="791" t="str">
        <f t="shared" si="659"/>
        <v/>
      </c>
      <c r="IU130" s="9" t="str">
        <f t="shared" si="660"/>
        <v/>
      </c>
      <c r="IV130" s="5" t="str">
        <f t="shared" si="661"/>
        <v/>
      </c>
      <c r="IW130" s="5" t="str">
        <f t="shared" si="724"/>
        <v/>
      </c>
      <c r="IX130" s="5" t="str">
        <f t="shared" si="662"/>
        <v/>
      </c>
      <c r="IY130" s="833" t="str">
        <f t="shared" si="663"/>
        <v/>
      </c>
    </row>
    <row r="131" spans="1:259" ht="15" customHeight="1" x14ac:dyDescent="0.25">
      <c r="A131" s="84">
        <f t="shared" si="527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51"/>
        <v/>
      </c>
      <c r="L131" s="327"/>
      <c r="M131" s="569" t="str">
        <f t="shared" si="667"/>
        <v/>
      </c>
      <c r="N131" s="570" t="str">
        <f t="shared" si="668"/>
        <v/>
      </c>
      <c r="O131" s="571" t="str">
        <f t="shared" si="669"/>
        <v/>
      </c>
      <c r="P131" s="572" t="str">
        <f t="shared" si="670"/>
        <v/>
      </c>
      <c r="Q131" s="628" t="str">
        <f t="shared" si="752"/>
        <v/>
      </c>
      <c r="R131" s="571" t="str">
        <f t="shared" si="753"/>
        <v/>
      </c>
      <c r="S131" s="574" t="str">
        <f t="shared" si="754"/>
        <v/>
      </c>
      <c r="T131" s="575" t="str">
        <f t="shared" si="755"/>
        <v/>
      </c>
      <c r="U131" s="571" t="str">
        <f t="shared" si="756"/>
        <v/>
      </c>
      <c r="V131" s="576" t="str">
        <f t="shared" si="757"/>
        <v/>
      </c>
      <c r="W131" s="628" t="str">
        <f t="shared" si="758"/>
        <v/>
      </c>
      <c r="X131" s="571" t="str">
        <f t="shared" si="759"/>
        <v/>
      </c>
      <c r="Y131" s="577" t="str">
        <f t="shared" si="760"/>
        <v/>
      </c>
      <c r="Z131" s="570" t="str">
        <f t="shared" si="671"/>
        <v/>
      </c>
      <c r="AA131" s="571" t="str">
        <f t="shared" si="672"/>
        <v/>
      </c>
      <c r="AB131" s="571" t="str">
        <f t="shared" si="673"/>
        <v/>
      </c>
      <c r="AC131" s="576" t="str">
        <f t="shared" si="761"/>
        <v/>
      </c>
      <c r="AD131" s="573" t="str">
        <f t="shared" si="762"/>
        <v/>
      </c>
      <c r="AE131" s="571" t="str">
        <f t="shared" si="763"/>
        <v/>
      </c>
      <c r="AF131" s="572" t="str">
        <f t="shared" si="764"/>
        <v/>
      </c>
      <c r="AG131" s="626" t="str">
        <f t="shared" si="765"/>
        <v/>
      </c>
      <c r="AH131" s="627" t="str">
        <f t="shared" si="766"/>
        <v/>
      </c>
      <c r="AI131" s="628" t="str">
        <f t="shared" si="767"/>
        <v/>
      </c>
      <c r="AJ131" s="629" t="str">
        <f t="shared" si="768"/>
        <v/>
      </c>
      <c r="AK131" s="575" t="str">
        <f t="shared" si="769"/>
        <v/>
      </c>
      <c r="AL131" s="571" t="str">
        <f t="shared" si="770"/>
        <v/>
      </c>
      <c r="AM131" s="574" t="str">
        <f t="shared" si="771"/>
        <v/>
      </c>
      <c r="AN131" s="614" t="str">
        <f t="shared" si="772"/>
        <v/>
      </c>
      <c r="AO131" s="615" t="str">
        <f t="shared" si="751"/>
        <v/>
      </c>
      <c r="AP131" s="628" t="str">
        <f t="shared" si="773"/>
        <v/>
      </c>
      <c r="AQ131" s="629" t="str">
        <f t="shared" si="674"/>
        <v/>
      </c>
      <c r="AS131" s="582" t="str">
        <f t="shared" si="746"/>
        <v/>
      </c>
      <c r="AT131" s="583" t="str">
        <f t="shared" si="675"/>
        <v/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20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1"/>
        <v/>
      </c>
      <c r="IK131" s="839" t="str">
        <f t="shared" si="722"/>
        <v/>
      </c>
      <c r="IL131" s="791" t="str">
        <f t="shared" si="654"/>
        <v/>
      </c>
      <c r="IM131" s="830"/>
      <c r="IN131" s="5" t="str">
        <f t="shared" si="655"/>
        <v/>
      </c>
      <c r="IO131" s="852"/>
      <c r="IP131" s="9" t="str">
        <f t="shared" si="656"/>
        <v/>
      </c>
      <c r="IQ131" s="5" t="str">
        <f t="shared" si="657"/>
        <v/>
      </c>
      <c r="IR131" s="5" t="str">
        <f t="shared" si="723"/>
        <v/>
      </c>
      <c r="IS131" s="5" t="str">
        <f t="shared" si="658"/>
        <v/>
      </c>
      <c r="IT131" s="791" t="str">
        <f t="shared" si="659"/>
        <v/>
      </c>
      <c r="IU131" s="9" t="str">
        <f t="shared" si="660"/>
        <v/>
      </c>
      <c r="IV131" s="5" t="str">
        <f t="shared" si="661"/>
        <v/>
      </c>
      <c r="IW131" s="5" t="str">
        <f t="shared" si="724"/>
        <v/>
      </c>
      <c r="IX131" s="5" t="str">
        <f t="shared" si="662"/>
        <v/>
      </c>
      <c r="IY131" s="833" t="str">
        <f t="shared" si="663"/>
        <v/>
      </c>
    </row>
    <row r="132" spans="1:259" ht="15" customHeight="1" x14ac:dyDescent="0.25">
      <c r="A132" s="84">
        <f t="shared" si="527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51"/>
        <v/>
      </c>
      <c r="L132" s="327"/>
      <c r="M132" s="569" t="str">
        <f t="shared" si="667"/>
        <v/>
      </c>
      <c r="N132" s="570" t="str">
        <f t="shared" si="668"/>
        <v/>
      </c>
      <c r="O132" s="571" t="str">
        <f t="shared" si="669"/>
        <v/>
      </c>
      <c r="P132" s="572" t="str">
        <f t="shared" si="670"/>
        <v/>
      </c>
      <c r="Q132" s="628" t="str">
        <f t="shared" si="752"/>
        <v/>
      </c>
      <c r="R132" s="571" t="str">
        <f t="shared" si="753"/>
        <v/>
      </c>
      <c r="S132" s="574" t="str">
        <f t="shared" si="754"/>
        <v/>
      </c>
      <c r="T132" s="575" t="str">
        <f t="shared" si="755"/>
        <v/>
      </c>
      <c r="U132" s="571" t="str">
        <f t="shared" si="756"/>
        <v/>
      </c>
      <c r="V132" s="576" t="str">
        <f t="shared" si="757"/>
        <v/>
      </c>
      <c r="W132" s="628" t="str">
        <f t="shared" si="758"/>
        <v/>
      </c>
      <c r="X132" s="571" t="str">
        <f t="shared" si="759"/>
        <v/>
      </c>
      <c r="Y132" s="577" t="str">
        <f t="shared" si="760"/>
        <v/>
      </c>
      <c r="Z132" s="570" t="str">
        <f t="shared" si="671"/>
        <v/>
      </c>
      <c r="AA132" s="571" t="str">
        <f t="shared" si="672"/>
        <v/>
      </c>
      <c r="AB132" s="571" t="str">
        <f t="shared" si="673"/>
        <v/>
      </c>
      <c r="AC132" s="576" t="str">
        <f t="shared" si="761"/>
        <v/>
      </c>
      <c r="AD132" s="573" t="str">
        <f t="shared" si="762"/>
        <v/>
      </c>
      <c r="AE132" s="571" t="str">
        <f t="shared" si="763"/>
        <v/>
      </c>
      <c r="AF132" s="572" t="str">
        <f t="shared" si="764"/>
        <v/>
      </c>
      <c r="AG132" s="626" t="str">
        <f t="shared" si="765"/>
        <v/>
      </c>
      <c r="AH132" s="627" t="str">
        <f t="shared" si="766"/>
        <v/>
      </c>
      <c r="AI132" s="628" t="str">
        <f t="shared" si="767"/>
        <v/>
      </c>
      <c r="AJ132" s="629" t="str">
        <f t="shared" si="768"/>
        <v/>
      </c>
      <c r="AK132" s="575" t="str">
        <f t="shared" si="769"/>
        <v/>
      </c>
      <c r="AL132" s="571" t="str">
        <f t="shared" si="770"/>
        <v/>
      </c>
      <c r="AM132" s="574" t="str">
        <f t="shared" si="771"/>
        <v/>
      </c>
      <c r="AN132" s="614" t="str">
        <f t="shared" si="772"/>
        <v/>
      </c>
      <c r="AO132" s="615" t="str">
        <f t="shared" si="751"/>
        <v/>
      </c>
      <c r="AP132" s="628" t="str">
        <f t="shared" si="773"/>
        <v/>
      </c>
      <c r="AQ132" s="629" t="str">
        <f t="shared" si="674"/>
        <v/>
      </c>
      <c r="AS132" s="582" t="str">
        <f t="shared" si="746"/>
        <v/>
      </c>
      <c r="AT132" s="583" t="str">
        <f t="shared" si="675"/>
        <v/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20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1"/>
        <v/>
      </c>
      <c r="IK132" s="839" t="str">
        <f t="shared" si="722"/>
        <v/>
      </c>
      <c r="IL132" s="791" t="str">
        <f t="shared" si="654"/>
        <v/>
      </c>
      <c r="IM132" s="830"/>
      <c r="IN132" s="5" t="str">
        <f t="shared" si="655"/>
        <v/>
      </c>
      <c r="IO132" s="852"/>
      <c r="IP132" s="9" t="str">
        <f t="shared" si="656"/>
        <v/>
      </c>
      <c r="IQ132" s="5" t="str">
        <f t="shared" si="657"/>
        <v/>
      </c>
      <c r="IR132" s="5" t="str">
        <f t="shared" si="723"/>
        <v/>
      </c>
      <c r="IS132" s="5" t="str">
        <f t="shared" si="658"/>
        <v/>
      </c>
      <c r="IT132" s="791" t="str">
        <f t="shared" si="659"/>
        <v/>
      </c>
      <c r="IU132" s="9" t="str">
        <f t="shared" si="660"/>
        <v/>
      </c>
      <c r="IV132" s="5" t="str">
        <f t="shared" si="661"/>
        <v/>
      </c>
      <c r="IW132" s="5" t="str">
        <f t="shared" si="724"/>
        <v/>
      </c>
      <c r="IX132" s="5" t="str">
        <f t="shared" si="662"/>
        <v/>
      </c>
      <c r="IY132" s="833" t="str">
        <f t="shared" si="663"/>
        <v/>
      </c>
    </row>
    <row r="133" spans="1:259" ht="15" customHeight="1" x14ac:dyDescent="0.25">
      <c r="A133" s="84">
        <f t="shared" si="527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51"/>
        <v/>
      </c>
      <c r="L133" s="327"/>
      <c r="M133" s="569" t="str">
        <f t="shared" si="667"/>
        <v/>
      </c>
      <c r="N133" s="570" t="str">
        <f t="shared" si="668"/>
        <v/>
      </c>
      <c r="O133" s="571" t="str">
        <f t="shared" si="669"/>
        <v/>
      </c>
      <c r="P133" s="572" t="str">
        <f t="shared" si="670"/>
        <v/>
      </c>
      <c r="Q133" s="628" t="str">
        <f t="shared" si="752"/>
        <v/>
      </c>
      <c r="R133" s="571" t="str">
        <f t="shared" si="753"/>
        <v/>
      </c>
      <c r="S133" s="574" t="str">
        <f t="shared" si="754"/>
        <v/>
      </c>
      <c r="T133" s="575" t="str">
        <f t="shared" si="755"/>
        <v/>
      </c>
      <c r="U133" s="571" t="str">
        <f t="shared" si="756"/>
        <v/>
      </c>
      <c r="V133" s="576" t="str">
        <f t="shared" si="757"/>
        <v/>
      </c>
      <c r="W133" s="628" t="str">
        <f t="shared" si="758"/>
        <v/>
      </c>
      <c r="X133" s="571" t="str">
        <f t="shared" si="759"/>
        <v/>
      </c>
      <c r="Y133" s="577" t="str">
        <f t="shared" si="760"/>
        <v/>
      </c>
      <c r="Z133" s="570" t="str">
        <f t="shared" si="671"/>
        <v/>
      </c>
      <c r="AA133" s="571" t="str">
        <f t="shared" si="672"/>
        <v/>
      </c>
      <c r="AB133" s="571" t="str">
        <f t="shared" si="673"/>
        <v/>
      </c>
      <c r="AC133" s="576" t="str">
        <f t="shared" si="761"/>
        <v/>
      </c>
      <c r="AD133" s="573" t="str">
        <f t="shared" si="762"/>
        <v/>
      </c>
      <c r="AE133" s="571" t="str">
        <f t="shared" si="763"/>
        <v/>
      </c>
      <c r="AF133" s="572" t="str">
        <f t="shared" si="764"/>
        <v/>
      </c>
      <c r="AG133" s="626" t="str">
        <f t="shared" si="765"/>
        <v/>
      </c>
      <c r="AH133" s="627" t="str">
        <f t="shared" si="766"/>
        <v/>
      </c>
      <c r="AI133" s="628" t="str">
        <f t="shared" si="767"/>
        <v/>
      </c>
      <c r="AJ133" s="629" t="str">
        <f t="shared" si="768"/>
        <v/>
      </c>
      <c r="AK133" s="575" t="str">
        <f t="shared" si="769"/>
        <v/>
      </c>
      <c r="AL133" s="571" t="str">
        <f t="shared" si="770"/>
        <v/>
      </c>
      <c r="AM133" s="574" t="str">
        <f t="shared" si="771"/>
        <v/>
      </c>
      <c r="AN133" s="614" t="str">
        <f t="shared" si="772"/>
        <v/>
      </c>
      <c r="AO133" s="615" t="str">
        <f t="shared" si="751"/>
        <v/>
      </c>
      <c r="AP133" s="628" t="str">
        <f t="shared" si="773"/>
        <v/>
      </c>
      <c r="AQ133" s="629" t="str">
        <f t="shared" si="674"/>
        <v/>
      </c>
      <c r="AS133" s="582" t="str">
        <f t="shared" si="746"/>
        <v/>
      </c>
      <c r="AT133" s="583" t="str">
        <f t="shared" si="675"/>
        <v/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20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1"/>
        <v/>
      </c>
      <c r="IK133" s="839" t="str">
        <f t="shared" si="722"/>
        <v/>
      </c>
      <c r="IL133" s="791" t="str">
        <f t="shared" si="654"/>
        <v/>
      </c>
      <c r="IM133" s="830"/>
      <c r="IN133" s="5" t="str">
        <f t="shared" si="655"/>
        <v/>
      </c>
      <c r="IO133" s="852"/>
      <c r="IP133" s="9" t="str">
        <f t="shared" si="656"/>
        <v/>
      </c>
      <c r="IQ133" s="5" t="str">
        <f t="shared" si="657"/>
        <v/>
      </c>
      <c r="IR133" s="5" t="str">
        <f t="shared" si="723"/>
        <v/>
      </c>
      <c r="IS133" s="5" t="str">
        <f t="shared" si="658"/>
        <v/>
      </c>
      <c r="IT133" s="791" t="str">
        <f t="shared" si="659"/>
        <v/>
      </c>
      <c r="IU133" s="9" t="str">
        <f t="shared" si="660"/>
        <v/>
      </c>
      <c r="IV133" s="5" t="str">
        <f t="shared" si="661"/>
        <v/>
      </c>
      <c r="IW133" s="5" t="str">
        <f t="shared" si="724"/>
        <v/>
      </c>
      <c r="IX133" s="5" t="str">
        <f t="shared" si="662"/>
        <v/>
      </c>
      <c r="IY133" s="833" t="str">
        <f t="shared" si="663"/>
        <v/>
      </c>
    </row>
    <row r="134" spans="1:259" ht="15" customHeight="1" x14ac:dyDescent="0.25">
      <c r="A134" s="84">
        <f t="shared" si="527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51"/>
        <v/>
      </c>
      <c r="L134" s="327"/>
      <c r="M134" s="569" t="str">
        <f t="shared" si="667"/>
        <v/>
      </c>
      <c r="N134" s="570" t="str">
        <f t="shared" si="668"/>
        <v/>
      </c>
      <c r="O134" s="571" t="str">
        <f t="shared" si="669"/>
        <v/>
      </c>
      <c r="P134" s="572" t="str">
        <f t="shared" si="670"/>
        <v/>
      </c>
      <c r="Q134" s="628" t="str">
        <f t="shared" si="752"/>
        <v/>
      </c>
      <c r="R134" s="571" t="str">
        <f t="shared" si="753"/>
        <v/>
      </c>
      <c r="S134" s="574" t="str">
        <f t="shared" si="754"/>
        <v/>
      </c>
      <c r="T134" s="575" t="str">
        <f t="shared" si="755"/>
        <v/>
      </c>
      <c r="U134" s="571" t="str">
        <f t="shared" si="756"/>
        <v/>
      </c>
      <c r="V134" s="576" t="str">
        <f t="shared" si="757"/>
        <v/>
      </c>
      <c r="W134" s="628" t="str">
        <f t="shared" si="758"/>
        <v/>
      </c>
      <c r="X134" s="571" t="str">
        <f t="shared" si="759"/>
        <v/>
      </c>
      <c r="Y134" s="577" t="str">
        <f t="shared" si="760"/>
        <v/>
      </c>
      <c r="Z134" s="570" t="str">
        <f t="shared" si="671"/>
        <v/>
      </c>
      <c r="AA134" s="571" t="str">
        <f t="shared" si="672"/>
        <v/>
      </c>
      <c r="AB134" s="571" t="str">
        <f t="shared" si="673"/>
        <v/>
      </c>
      <c r="AC134" s="576" t="str">
        <f t="shared" si="761"/>
        <v/>
      </c>
      <c r="AD134" s="573" t="str">
        <f t="shared" si="762"/>
        <v/>
      </c>
      <c r="AE134" s="571" t="str">
        <f t="shared" si="763"/>
        <v/>
      </c>
      <c r="AF134" s="572" t="str">
        <f t="shared" si="764"/>
        <v/>
      </c>
      <c r="AG134" s="626" t="str">
        <f t="shared" si="765"/>
        <v/>
      </c>
      <c r="AH134" s="627" t="str">
        <f t="shared" si="766"/>
        <v/>
      </c>
      <c r="AI134" s="628" t="str">
        <f t="shared" si="767"/>
        <v/>
      </c>
      <c r="AJ134" s="629" t="str">
        <f t="shared" si="768"/>
        <v/>
      </c>
      <c r="AK134" s="575" t="str">
        <f t="shared" si="769"/>
        <v/>
      </c>
      <c r="AL134" s="571" t="str">
        <f t="shared" si="770"/>
        <v/>
      </c>
      <c r="AM134" s="574" t="str">
        <f t="shared" si="771"/>
        <v/>
      </c>
      <c r="AN134" s="614" t="str">
        <f t="shared" si="772"/>
        <v/>
      </c>
      <c r="AO134" s="615" t="str">
        <f t="shared" si="751"/>
        <v/>
      </c>
      <c r="AP134" s="628" t="str">
        <f t="shared" si="773"/>
        <v/>
      </c>
      <c r="AQ134" s="629" t="str">
        <f t="shared" si="674"/>
        <v/>
      </c>
      <c r="AS134" s="582" t="str">
        <f t="shared" si="746"/>
        <v/>
      </c>
      <c r="AT134" s="583" t="str">
        <f t="shared" si="675"/>
        <v/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20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1"/>
        <v/>
      </c>
      <c r="IK134" s="839" t="str">
        <f t="shared" si="722"/>
        <v/>
      </c>
      <c r="IL134" s="791" t="str">
        <f t="shared" si="654"/>
        <v/>
      </c>
      <c r="IM134" s="830"/>
      <c r="IN134" s="5" t="str">
        <f t="shared" si="655"/>
        <v/>
      </c>
      <c r="IO134" s="852"/>
      <c r="IP134" s="9" t="str">
        <f t="shared" si="656"/>
        <v/>
      </c>
      <c r="IQ134" s="5" t="str">
        <f t="shared" si="657"/>
        <v/>
      </c>
      <c r="IR134" s="5" t="str">
        <f t="shared" si="723"/>
        <v/>
      </c>
      <c r="IS134" s="5" t="str">
        <f t="shared" si="658"/>
        <v/>
      </c>
      <c r="IT134" s="791" t="str">
        <f t="shared" si="659"/>
        <v/>
      </c>
      <c r="IU134" s="9" t="str">
        <f t="shared" si="660"/>
        <v/>
      </c>
      <c r="IV134" s="5" t="str">
        <f t="shared" si="661"/>
        <v/>
      </c>
      <c r="IW134" s="5" t="str">
        <f t="shared" si="724"/>
        <v/>
      </c>
      <c r="IX134" s="5" t="str">
        <f t="shared" si="662"/>
        <v/>
      </c>
      <c r="IY134" s="833" t="str">
        <f t="shared" si="663"/>
        <v/>
      </c>
    </row>
    <row r="135" spans="1:259" ht="15" customHeight="1" x14ac:dyDescent="0.25">
      <c r="A135" s="84">
        <f t="shared" si="527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51"/>
        <v/>
      </c>
      <c r="L135" s="327"/>
      <c r="M135" s="569" t="str">
        <f t="shared" si="667"/>
        <v/>
      </c>
      <c r="N135" s="570" t="str">
        <f t="shared" si="668"/>
        <v/>
      </c>
      <c r="O135" s="571" t="str">
        <f t="shared" si="669"/>
        <v/>
      </c>
      <c r="P135" s="572" t="str">
        <f t="shared" si="670"/>
        <v/>
      </c>
      <c r="Q135" s="628" t="str">
        <f t="shared" si="752"/>
        <v/>
      </c>
      <c r="R135" s="571" t="str">
        <f t="shared" si="753"/>
        <v/>
      </c>
      <c r="S135" s="574" t="str">
        <f t="shared" si="754"/>
        <v/>
      </c>
      <c r="T135" s="575" t="str">
        <f t="shared" si="755"/>
        <v/>
      </c>
      <c r="U135" s="571" t="str">
        <f t="shared" si="756"/>
        <v/>
      </c>
      <c r="V135" s="576" t="str">
        <f t="shared" si="757"/>
        <v/>
      </c>
      <c r="W135" s="628" t="str">
        <f t="shared" si="758"/>
        <v/>
      </c>
      <c r="X135" s="571" t="str">
        <f t="shared" si="759"/>
        <v/>
      </c>
      <c r="Y135" s="577" t="str">
        <f t="shared" si="760"/>
        <v/>
      </c>
      <c r="Z135" s="570" t="str">
        <f t="shared" si="671"/>
        <v/>
      </c>
      <c r="AA135" s="571" t="str">
        <f t="shared" si="672"/>
        <v/>
      </c>
      <c r="AB135" s="571" t="str">
        <f t="shared" si="673"/>
        <v/>
      </c>
      <c r="AC135" s="576" t="str">
        <f t="shared" si="761"/>
        <v/>
      </c>
      <c r="AD135" s="573" t="str">
        <f t="shared" si="762"/>
        <v/>
      </c>
      <c r="AE135" s="571" t="str">
        <f t="shared" si="763"/>
        <v/>
      </c>
      <c r="AF135" s="572" t="str">
        <f t="shared" si="764"/>
        <v/>
      </c>
      <c r="AG135" s="626" t="str">
        <f t="shared" si="765"/>
        <v/>
      </c>
      <c r="AH135" s="627" t="str">
        <f t="shared" si="766"/>
        <v/>
      </c>
      <c r="AI135" s="628" t="str">
        <f t="shared" si="767"/>
        <v/>
      </c>
      <c r="AJ135" s="629" t="str">
        <f t="shared" si="768"/>
        <v/>
      </c>
      <c r="AK135" s="575" t="str">
        <f t="shared" si="769"/>
        <v/>
      </c>
      <c r="AL135" s="571" t="str">
        <f t="shared" si="770"/>
        <v/>
      </c>
      <c r="AM135" s="574" t="str">
        <f t="shared" si="771"/>
        <v/>
      </c>
      <c r="AN135" s="614" t="str">
        <f t="shared" si="772"/>
        <v/>
      </c>
      <c r="AO135" s="615" t="str">
        <f t="shared" si="751"/>
        <v/>
      </c>
      <c r="AP135" s="628" t="str">
        <f t="shared" si="773"/>
        <v/>
      </c>
      <c r="AQ135" s="629" t="str">
        <f t="shared" si="674"/>
        <v/>
      </c>
      <c r="AS135" s="582" t="str">
        <f t="shared" si="746"/>
        <v/>
      </c>
      <c r="AT135" s="583" t="str">
        <f t="shared" si="675"/>
        <v/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20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1"/>
        <v/>
      </c>
      <c r="IK135" s="839" t="str">
        <f t="shared" si="722"/>
        <v/>
      </c>
      <c r="IL135" s="791" t="str">
        <f t="shared" si="654"/>
        <v/>
      </c>
      <c r="IM135" s="830"/>
      <c r="IN135" s="5" t="str">
        <f t="shared" si="655"/>
        <v/>
      </c>
      <c r="IO135" s="852"/>
      <c r="IP135" s="9" t="str">
        <f t="shared" si="656"/>
        <v/>
      </c>
      <c r="IQ135" s="5" t="str">
        <f t="shared" si="657"/>
        <v/>
      </c>
      <c r="IR135" s="5" t="str">
        <f t="shared" si="723"/>
        <v/>
      </c>
      <c r="IS135" s="5" t="str">
        <f t="shared" si="658"/>
        <v/>
      </c>
      <c r="IT135" s="791" t="str">
        <f t="shared" si="659"/>
        <v/>
      </c>
      <c r="IU135" s="9" t="str">
        <f t="shared" si="660"/>
        <v/>
      </c>
      <c r="IV135" s="5" t="str">
        <f t="shared" si="661"/>
        <v/>
      </c>
      <c r="IW135" s="5" t="str">
        <f t="shared" si="724"/>
        <v/>
      </c>
      <c r="IX135" s="5" t="str">
        <f t="shared" si="662"/>
        <v/>
      </c>
      <c r="IY135" s="833" t="str">
        <f t="shared" si="663"/>
        <v/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0.90630781366099955</v>
      </c>
      <c r="F154" s="175">
        <f>F9*-1</f>
        <v>0.10938162473876806</v>
      </c>
      <c r="G154" s="175">
        <f>G9*-1</f>
        <v>-0.40821784266066358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0.92718387533450819</v>
      </c>
      <c r="F155" s="175">
        <f t="shared" si="940"/>
        <v>9.6955293815894641E-2</v>
      </c>
      <c r="G155" s="175">
        <f t="shared" si="940"/>
        <v>-0.36184213729298681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0.92718387533450819</v>
      </c>
      <c r="F156" s="175">
        <f t="shared" si="942"/>
        <v>9.6955293815894628E-2</v>
      </c>
      <c r="G156" s="175">
        <f t="shared" si="942"/>
        <v>-0.36184213729298681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0.92716789685091727</v>
      </c>
      <c r="F157" s="175">
        <f t="shared" si="943"/>
        <v>8.221477582026171E-2</v>
      </c>
      <c r="G157" s="175">
        <f t="shared" si="943"/>
        <v>-0.36551391449009291</v>
      </c>
      <c r="H157" s="144"/>
      <c r="I157" s="91"/>
      <c r="J157" s="84">
        <f t="shared" si="941"/>
        <v>1.1120000000000001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0.96383133338914595</v>
      </c>
      <c r="F158" s="175">
        <f t="shared" si="946"/>
        <v>-6.5231915103088942E-2</v>
      </c>
      <c r="G158" s="175">
        <f t="shared" si="946"/>
        <v>-0.25840657505041259</v>
      </c>
      <c r="H158" s="144"/>
      <c r="I158" s="91"/>
      <c r="J158" s="84">
        <f t="shared" si="941"/>
        <v>1.119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0.95742260466122997</v>
      </c>
      <c r="F159" s="175">
        <f t="shared" si="947"/>
        <v>-0.16701375894452158</v>
      </c>
      <c r="G159" s="175">
        <f t="shared" si="947"/>
        <v>-0.23547475534954376</v>
      </c>
      <c r="H159" s="144"/>
      <c r="I159" s="91"/>
      <c r="J159" s="84">
        <f t="shared" si="941"/>
        <v>1.1259999999999999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0.94747351809621527</v>
      </c>
      <c r="F160" s="175">
        <f t="shared" si="948"/>
        <v>-0.25534609627798882</v>
      </c>
      <c r="G160" s="175">
        <f t="shared" si="948"/>
        <v>-0.19259362300443134</v>
      </c>
      <c r="H160" s="144"/>
      <c r="I160" s="91"/>
      <c r="J160" s="84">
        <f t="shared" si="941"/>
        <v>1.133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0.93685327538150442</v>
      </c>
      <c r="F161" s="175">
        <f t="shared" si="949"/>
        <v>-0.32196143304214603</v>
      </c>
      <c r="G161" s="175">
        <f t="shared" si="949"/>
        <v>-0.13655319857255235</v>
      </c>
      <c r="H161" s="144"/>
      <c r="I161" s="91"/>
      <c r="J161" s="84">
        <f t="shared" si="941"/>
        <v>1.1399999999999999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0.92948919435145094</v>
      </c>
      <c r="F162" s="175">
        <f t="shared" si="950"/>
        <v>-0.36096078544499866</v>
      </c>
      <c r="G162" s="175">
        <f t="shared" si="950"/>
        <v>-7.5875878609874187E-2</v>
      </c>
      <c r="H162" s="144"/>
      <c r="I162" s="91"/>
      <c r="J162" s="84">
        <f t="shared" si="941"/>
        <v>1.147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0.89509225836444484</v>
      </c>
      <c r="F163" s="175">
        <f t="shared" si="951"/>
        <v>-0.444119575777294</v>
      </c>
      <c r="G163" s="175">
        <f t="shared" si="951"/>
        <v>-3.9593578108508914E-2</v>
      </c>
      <c r="H163" s="144"/>
      <c r="I163" s="91"/>
      <c r="J163" s="84">
        <f t="shared" si="941"/>
        <v>1.1539999999999999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0.71416740426718461</v>
      </c>
      <c r="F164" s="175">
        <f t="shared" si="952"/>
        <v>-0.69997494146737171</v>
      </c>
      <c r="G164" s="175">
        <f t="shared" si="952"/>
        <v>-1.4578093215395225E-7</v>
      </c>
      <c r="H164" s="144"/>
      <c r="I164" s="91"/>
      <c r="J164" s="84">
        <f t="shared" si="941"/>
        <v>1.161</v>
      </c>
    </row>
    <row r="165" spans="5:16" x14ac:dyDescent="0.25">
      <c r="E165" s="175">
        <f t="shared" ref="E165:G165" si="953">E20*-1</f>
        <v>0.84582836607831324</v>
      </c>
      <c r="F165" s="175">
        <f t="shared" si="953"/>
        <v>-0.32640006130067145</v>
      </c>
      <c r="G165" s="175">
        <f t="shared" si="953"/>
        <v>-0.42194475363512818</v>
      </c>
      <c r="H165" s="144"/>
      <c r="I165" s="91"/>
      <c r="J165" s="84">
        <f t="shared" si="941"/>
        <v>1.2190000000000001</v>
      </c>
    </row>
    <row r="166" spans="5:16" x14ac:dyDescent="0.25">
      <c r="E166" s="175">
        <f t="shared" ref="E166:G166" si="954">E21*-1</f>
        <v>0.82036964021536229</v>
      </c>
      <c r="F166" s="175">
        <f t="shared" si="954"/>
        <v>-0.41277861151647405</v>
      </c>
      <c r="G166" s="175">
        <f t="shared" si="954"/>
        <v>-0.39573661858292675</v>
      </c>
      <c r="H166" s="144"/>
      <c r="I166" s="91"/>
      <c r="J166" s="84">
        <f t="shared" si="941"/>
        <v>1.226</v>
      </c>
    </row>
    <row r="167" spans="5:16" x14ac:dyDescent="0.25">
      <c r="E167" s="175">
        <f t="shared" ref="E167:G167" si="955">E22*-1</f>
        <v>0.7966978319791731</v>
      </c>
      <c r="F167" s="175">
        <f t="shared" si="955"/>
        <v>-0.49687742130096069</v>
      </c>
      <c r="G167" s="175">
        <f t="shared" si="955"/>
        <v>-0.34407178425583362</v>
      </c>
      <c r="H167" s="144"/>
      <c r="I167" s="91"/>
      <c r="J167" s="84">
        <f t="shared" si="941"/>
        <v>1.2330000000000001</v>
      </c>
    </row>
    <row r="168" spans="5:16" x14ac:dyDescent="0.25">
      <c r="E168" s="175">
        <f t="shared" ref="E168:G168" si="956">E23*-1</f>
        <v>0.77400815278794177</v>
      </c>
      <c r="F168" s="175">
        <f t="shared" si="956"/>
        <v>-0.57071542935987096</v>
      </c>
      <c r="G168" s="175">
        <f t="shared" si="956"/>
        <v>-0.27421757439736844</v>
      </c>
      <c r="H168" s="144"/>
      <c r="I168" s="91"/>
      <c r="J168" s="84">
        <f t="shared" si="941"/>
        <v>1.24</v>
      </c>
    </row>
    <row r="169" spans="5:16" x14ac:dyDescent="0.25">
      <c r="E169" s="175">
        <f t="shared" ref="E169:G169" si="957">E24*-1</f>
        <v>0.75571707396695653</v>
      </c>
      <c r="F169" s="175">
        <f t="shared" si="957"/>
        <v>-0.62509536261972742</v>
      </c>
      <c r="G169" s="175">
        <f t="shared" si="957"/>
        <v>-0.19531382886558066</v>
      </c>
      <c r="H169" s="144"/>
      <c r="I169" s="91"/>
      <c r="J169" s="84">
        <f t="shared" si="941"/>
        <v>1.2470000000000001</v>
      </c>
    </row>
    <row r="170" spans="5:16" x14ac:dyDescent="0.25">
      <c r="E170" s="175">
        <f t="shared" ref="E170:G170" si="958">E25*-1</f>
        <v>-0.24951840776902987</v>
      </c>
      <c r="F170" s="175">
        <f t="shared" si="958"/>
        <v>-0.79769316054000627</v>
      </c>
      <c r="G170" s="175">
        <f t="shared" si="958"/>
        <v>-0.54902293741892427</v>
      </c>
      <c r="H170" s="144"/>
      <c r="I170" s="91"/>
      <c r="J170" s="84">
        <f t="shared" si="941"/>
        <v>1.254</v>
      </c>
    </row>
    <row r="171" spans="5:16" x14ac:dyDescent="0.25">
      <c r="E171" s="175">
        <f t="shared" ref="E171:G171" si="959">E26*-1</f>
        <v>0.62342295401089265</v>
      </c>
      <c r="F171" s="175">
        <f t="shared" si="959"/>
        <v>-0.69311910094267049</v>
      </c>
      <c r="G171" s="175">
        <f t="shared" si="959"/>
        <v>-0.36184213729298692</v>
      </c>
      <c r="H171" s="144"/>
      <c r="I171" s="91"/>
      <c r="J171" s="84">
        <f t="shared" si="941"/>
        <v>2.1110000000000002</v>
      </c>
    </row>
    <row r="172" spans="5:16" x14ac:dyDescent="0.25">
      <c r="E172" s="175">
        <f t="shared" ref="E172:G172" si="960">E27*-1</f>
        <v>0.5257836058176405</v>
      </c>
      <c r="F172" s="175">
        <f t="shared" si="960"/>
        <v>-0.80429700762941503</v>
      </c>
      <c r="G172" s="175">
        <f t="shared" si="960"/>
        <v>-0.27687167311187472</v>
      </c>
      <c r="H172" s="144"/>
      <c r="I172" s="91"/>
      <c r="J172" s="84">
        <f t="shared" si="941"/>
        <v>2.1179999999999999</v>
      </c>
    </row>
    <row r="173" spans="5:16" x14ac:dyDescent="0.25">
      <c r="E173" s="175">
        <f t="shared" ref="E173:G173" si="961">E28*-1</f>
        <v>0.43961730212279643</v>
      </c>
      <c r="F173" s="175">
        <f t="shared" si="961"/>
        <v>-0.86549557062770055</v>
      </c>
      <c r="G173" s="175">
        <f t="shared" si="961"/>
        <v>-0.24011256713905058</v>
      </c>
      <c r="H173" s="144"/>
      <c r="I173" s="91"/>
      <c r="J173" s="84">
        <f t="shared" si="941"/>
        <v>2.125</v>
      </c>
    </row>
    <row r="174" spans="5:16" x14ac:dyDescent="0.25">
      <c r="E174" s="175">
        <f t="shared" ref="E174:G174" si="962">E29*-1</f>
        <v>0.36048931149797564</v>
      </c>
      <c r="F174" s="175">
        <f t="shared" si="962"/>
        <v>-0.91113667998275538</v>
      </c>
      <c r="G174" s="175">
        <f t="shared" si="962"/>
        <v>-0.19969328152373478</v>
      </c>
      <c r="H174" s="144"/>
      <c r="I174" s="91"/>
      <c r="J174" s="84">
        <f t="shared" si="941"/>
        <v>2.1320000000000001</v>
      </c>
    </row>
    <row r="175" spans="5:16" x14ac:dyDescent="0.25">
      <c r="E175" s="175">
        <f t="shared" ref="E175:G175" si="963">E30*-1</f>
        <v>0.29747588347296638</v>
      </c>
      <c r="F175" s="175">
        <f t="shared" si="963"/>
        <v>-0.94364315009451882</v>
      </c>
      <c r="G175" s="175">
        <f t="shared" si="963"/>
        <v>-0.14507137564547901</v>
      </c>
      <c r="H175" s="144"/>
      <c r="I175" s="91"/>
      <c r="J175" s="84">
        <f t="shared" si="941"/>
        <v>2.1389999999999998</v>
      </c>
    </row>
    <row r="176" spans="5:16" x14ac:dyDescent="0.25">
      <c r="E176" s="175">
        <f t="shared" ref="E176:G176" si="964">E31*-1</f>
        <v>0.25799718576320213</v>
      </c>
      <c r="F176" s="175">
        <f t="shared" si="964"/>
        <v>-0.96243637817720451</v>
      </c>
      <c r="G176" s="175">
        <f t="shared" si="964"/>
        <v>-8.4579371595046443E-2</v>
      </c>
      <c r="H176" s="144"/>
      <c r="I176" s="91"/>
      <c r="J176" s="84">
        <f t="shared" si="941"/>
        <v>2.1459999999999999</v>
      </c>
    </row>
    <row r="177" spans="5:10" x14ac:dyDescent="0.25">
      <c r="E177" s="175">
        <f t="shared" ref="E177:G177" si="965">E32*-1</f>
        <v>0.18327522627170126</v>
      </c>
      <c r="F177" s="175">
        <f t="shared" si="965"/>
        <v>-0.98204861368164698</v>
      </c>
      <c r="G177" s="175">
        <f t="shared" si="965"/>
        <v>-4.4617393480705481E-2</v>
      </c>
      <c r="H177" s="144"/>
      <c r="I177" s="91"/>
      <c r="J177" s="84">
        <f t="shared" si="941"/>
        <v>2.153</v>
      </c>
    </row>
    <row r="178" spans="5:10" x14ac:dyDescent="0.25">
      <c r="E178" s="175">
        <f t="shared" ref="E178:G178" si="966">E33*-1</f>
        <v>-0.11368238340063659</v>
      </c>
      <c r="F178" s="175">
        <f t="shared" si="966"/>
        <v>-0.99351712380412438</v>
      </c>
      <c r="G178" s="175">
        <f t="shared" si="966"/>
        <v>2.0102818432056815E-4</v>
      </c>
      <c r="H178" s="144"/>
      <c r="I178" s="91"/>
      <c r="J178" s="84">
        <f t="shared" si="941"/>
        <v>2.16</v>
      </c>
    </row>
    <row r="179" spans="5:10" x14ac:dyDescent="0.25">
      <c r="E179" s="175">
        <f t="shared" ref="E179:G179" si="967">E34*-1</f>
        <v>-0.14651531816872729</v>
      </c>
      <c r="F179" s="175">
        <f t="shared" si="967"/>
        <v>-0.98920840147154809</v>
      </c>
      <c r="G179" s="175">
        <f t="shared" si="967"/>
        <v>-1.4578093208816876E-7</v>
      </c>
      <c r="H179" s="144"/>
      <c r="I179" s="91"/>
      <c r="J179" s="84">
        <f t="shared" si="941"/>
        <v>2.1669999999999998</v>
      </c>
    </row>
    <row r="180" spans="5:10" x14ac:dyDescent="0.25">
      <c r="E180" s="175">
        <f t="shared" ref="E180:G180" si="968">E35*-1</f>
        <v>0.16619710219914091</v>
      </c>
      <c r="F180" s="175">
        <f t="shared" si="968"/>
        <v>-0.90079188379638042</v>
      </c>
      <c r="G180" s="175">
        <f t="shared" si="968"/>
        <v>-0.40118886488432942</v>
      </c>
      <c r="H180" s="144"/>
      <c r="I180" s="91"/>
      <c r="J180" s="84">
        <f t="shared" si="941"/>
        <v>2.2250000000000001</v>
      </c>
    </row>
    <row r="181" spans="5:10" x14ac:dyDescent="0.25">
      <c r="E181" s="175">
        <f t="shared" ref="E181:G181" si="969">E36*-1</f>
        <v>8.3437061674299456E-2</v>
      </c>
      <c r="F181" s="175">
        <f t="shared" si="969"/>
        <v>-0.93199152419792131</v>
      </c>
      <c r="G181" s="175">
        <f t="shared" si="969"/>
        <v>-0.35274644656239212</v>
      </c>
      <c r="H181" s="144"/>
      <c r="I181" s="91"/>
      <c r="J181" s="84">
        <f t="shared" si="941"/>
        <v>2.2320000000000002</v>
      </c>
    </row>
    <row r="182" spans="5:10" x14ac:dyDescent="0.25">
      <c r="E182" s="175">
        <f t="shared" ref="E182:G182" si="970">E37*-1</f>
        <v>7.8224585742202313E-3</v>
      </c>
      <c r="F182" s="175">
        <f t="shared" si="970"/>
        <v>-0.9584969773066514</v>
      </c>
      <c r="G182" s="175">
        <f t="shared" si="970"/>
        <v>-0.28499535721809077</v>
      </c>
      <c r="H182" s="144"/>
      <c r="I182" s="91"/>
      <c r="J182" s="84">
        <f t="shared" si="941"/>
        <v>2.2389999999999999</v>
      </c>
    </row>
    <row r="183" spans="5:10" x14ac:dyDescent="0.25">
      <c r="E183" s="175">
        <f t="shared" ref="E183:G183" si="971">E38*-1</f>
        <v>-5.0086787611077599E-2</v>
      </c>
      <c r="F183" s="175">
        <f t="shared" si="971"/>
        <v>-0.97708560369764874</v>
      </c>
      <c r="G183" s="175">
        <f t="shared" si="971"/>
        <v>-0.20686961292950762</v>
      </c>
      <c r="H183" s="144"/>
      <c r="I183" s="91"/>
      <c r="J183" s="84">
        <f t="shared" si="941"/>
        <v>2.246</v>
      </c>
    </row>
    <row r="184" spans="5:10" x14ac:dyDescent="0.25">
      <c r="E184" s="175">
        <f t="shared" ref="E184:G184" si="972">E39*-1</f>
        <v>-0.15601565298993172</v>
      </c>
      <c r="F184" s="175">
        <f t="shared" si="972"/>
        <v>-0.97841484067735962</v>
      </c>
      <c r="G184" s="175">
        <f t="shared" si="972"/>
        <v>-0.13551204951745896</v>
      </c>
      <c r="H184" s="144"/>
      <c r="I184" s="91"/>
      <c r="J184" s="84">
        <f t="shared" si="941"/>
        <v>2.2530000000000001</v>
      </c>
    </row>
    <row r="185" spans="5:10" x14ac:dyDescent="0.25">
      <c r="E185" s="175">
        <f t="shared" ref="E185:G185" si="973">E40*-1</f>
        <v>-0.91009882612553838</v>
      </c>
      <c r="F185" s="175">
        <f t="shared" si="973"/>
        <v>-0.30017025524688001</v>
      </c>
      <c r="G185" s="175">
        <f t="shared" si="973"/>
        <v>-0.28568854465998489</v>
      </c>
      <c r="H185" s="144"/>
      <c r="I185" s="91"/>
      <c r="J185" s="84">
        <f t="shared" si="941"/>
        <v>2.2599999999999998</v>
      </c>
    </row>
    <row r="186" spans="5:10" x14ac:dyDescent="0.25">
      <c r="E186" s="175">
        <f t="shared" ref="E186:G186" si="974">E41*-1</f>
        <v>-0.13023136895663226</v>
      </c>
      <c r="F186" s="175">
        <f t="shared" si="974"/>
        <v>-0.92309807616467543</v>
      </c>
      <c r="G186" s="175">
        <f t="shared" si="974"/>
        <v>-0.36184213729298687</v>
      </c>
      <c r="H186" s="144"/>
      <c r="I186" s="91"/>
      <c r="J186" s="84">
        <f t="shared" si="941"/>
        <v>3.1030000000000002</v>
      </c>
    </row>
    <row r="187" spans="5:10" x14ac:dyDescent="0.25">
      <c r="E187" s="175">
        <f t="shared" ref="E187:G187" si="975">E42*-1</f>
        <v>-0.13023136895663218</v>
      </c>
      <c r="F187" s="175">
        <f t="shared" si="975"/>
        <v>-0.92309807616467543</v>
      </c>
      <c r="G187" s="175">
        <f t="shared" si="975"/>
        <v>-0.36184213729298681</v>
      </c>
      <c r="H187" s="144"/>
      <c r="I187" s="91"/>
      <c r="J187" s="84">
        <f t="shared" si="941"/>
        <v>3.1059999999999999</v>
      </c>
    </row>
    <row r="188" spans="5:10" x14ac:dyDescent="0.25">
      <c r="E188" s="175">
        <f t="shared" ref="E188:G188" si="976">E43*-1</f>
        <v>-0.13023136895663223</v>
      </c>
      <c r="F188" s="175">
        <f t="shared" si="976"/>
        <v>-0.92309807616467543</v>
      </c>
      <c r="G188" s="175">
        <f t="shared" si="976"/>
        <v>-0.36184213729298692</v>
      </c>
      <c r="H188" s="144"/>
      <c r="I188" s="91"/>
      <c r="J188" s="84">
        <f t="shared" si="941"/>
        <v>3.11</v>
      </c>
    </row>
    <row r="189" spans="5:10" x14ac:dyDescent="0.25">
      <c r="E189" s="175">
        <f t="shared" ref="E189:G189" si="977">E44*-1</f>
        <v>-0.25861041778137089</v>
      </c>
      <c r="F189" s="175">
        <f t="shared" si="977"/>
        <v>-0.92001955295562443</v>
      </c>
      <c r="G189" s="175">
        <f t="shared" si="977"/>
        <v>-0.29442261121435287</v>
      </c>
      <c r="H189" s="144"/>
      <c r="I189" s="91"/>
      <c r="J189" s="84">
        <f t="shared" si="941"/>
        <v>3.117</v>
      </c>
    </row>
    <row r="190" spans="5:10" x14ac:dyDescent="0.25">
      <c r="E190" s="175">
        <f t="shared" ref="E190:G190" si="978">E45*-1</f>
        <v>-0.36691345531739228</v>
      </c>
      <c r="F190" s="175">
        <f t="shared" si="978"/>
        <v>-0.89759746759968329</v>
      </c>
      <c r="G190" s="175">
        <f t="shared" si="978"/>
        <v>-0.24432212848141213</v>
      </c>
      <c r="H190" s="144"/>
      <c r="I190" s="91"/>
      <c r="J190" s="84">
        <f t="shared" si="941"/>
        <v>3.1240000000000001</v>
      </c>
    </row>
    <row r="191" spans="5:10" x14ac:dyDescent="0.25">
      <c r="E191" s="175">
        <f t="shared" ref="E191:G191" si="979">E46*-1</f>
        <v>-0.45509249856510231</v>
      </c>
      <c r="F191" s="175">
        <f t="shared" si="979"/>
        <v>-0.86616653724306381</v>
      </c>
      <c r="G191" s="175">
        <f t="shared" si="979"/>
        <v>-0.20650992109371555</v>
      </c>
      <c r="H191" s="144"/>
      <c r="I191" s="91"/>
      <c r="J191" s="84">
        <f t="shared" si="941"/>
        <v>3.1309999999999998</v>
      </c>
    </row>
    <row r="192" spans="5:10" x14ac:dyDescent="0.25">
      <c r="E192" s="175">
        <f t="shared" ref="E192:G192" si="980">E47*-1</f>
        <v>-0.52375827608493908</v>
      </c>
      <c r="F192" s="175">
        <f t="shared" si="980"/>
        <v>-0.8379296008991981</v>
      </c>
      <c r="G192" s="175">
        <f t="shared" si="980"/>
        <v>-0.15346417226650444</v>
      </c>
      <c r="H192" s="144"/>
      <c r="I192" s="91"/>
      <c r="J192" s="84">
        <f t="shared" si="941"/>
        <v>3.1379999999999999</v>
      </c>
    </row>
    <row r="193" spans="5:10" x14ac:dyDescent="0.25">
      <c r="E193" s="175">
        <f t="shared" ref="E193:G193" si="981">E48*-1</f>
        <v>-0.56729053601194623</v>
      </c>
      <c r="F193" s="175">
        <f t="shared" si="981"/>
        <v>-0.81821571114529901</v>
      </c>
      <c r="G193" s="175">
        <f t="shared" si="981"/>
        <v>-9.3297898080671182E-2</v>
      </c>
      <c r="H193" s="144"/>
      <c r="I193" s="91"/>
      <c r="J193" s="84">
        <f t="shared" si="941"/>
        <v>3.145</v>
      </c>
    </row>
    <row r="194" spans="5:10" x14ac:dyDescent="0.25">
      <c r="E194" s="175">
        <f t="shared" ref="E194:G194" si="982">E49*-1</f>
        <v>-0.62142783268167834</v>
      </c>
      <c r="F194" s="175">
        <f t="shared" si="982"/>
        <v>-0.78195458940629825</v>
      </c>
      <c r="G194" s="175">
        <f t="shared" si="982"/>
        <v>-4.872852219162483E-2</v>
      </c>
      <c r="H194" s="144"/>
      <c r="I194" s="91"/>
      <c r="J194" s="84">
        <f t="shared" si="941"/>
        <v>3.1520000000000001</v>
      </c>
    </row>
    <row r="195" spans="5:10" x14ac:dyDescent="0.25">
      <c r="E195" s="175">
        <f t="shared" ref="E195:G195" si="983">E50*-1</f>
        <v>-0.80522850218788522</v>
      </c>
      <c r="F195" s="175">
        <f t="shared" si="983"/>
        <v>-0.59287021982863852</v>
      </c>
      <c r="G195" s="175">
        <f t="shared" si="983"/>
        <v>-1.0581195801843732E-2</v>
      </c>
      <c r="H195" s="144"/>
      <c r="I195" s="91"/>
      <c r="J195" s="84">
        <f t="shared" si="941"/>
        <v>3.1589999999999998</v>
      </c>
    </row>
    <row r="196" spans="5:10" x14ac:dyDescent="0.25">
      <c r="E196" s="175">
        <f t="shared" ref="E196:G196" si="984">E51*-1</f>
        <v>-0.85195576420818198</v>
      </c>
      <c r="F196" s="175">
        <f t="shared" si="984"/>
        <v>-0.52361376589279163</v>
      </c>
      <c r="G196" s="175">
        <f t="shared" si="984"/>
        <v>-1.457809316770762E-7</v>
      </c>
      <c r="H196" s="144"/>
      <c r="I196" s="91"/>
      <c r="J196" s="84">
        <f t="shared" si="941"/>
        <v>3.1659999999999999</v>
      </c>
    </row>
    <row r="197" spans="5:10" x14ac:dyDescent="0.25">
      <c r="E197" s="175">
        <f t="shared" ref="E197:G197" si="985">E52*-1</f>
        <v>-0.57323967492874128</v>
      </c>
      <c r="F197" s="175">
        <f t="shared" si="985"/>
        <v>-0.71167405612432533</v>
      </c>
      <c r="G197" s="175">
        <f t="shared" si="985"/>
        <v>-0.40609889550101197</v>
      </c>
      <c r="H197" s="144"/>
      <c r="I197" s="91"/>
      <c r="J197" s="84">
        <f t="shared" si="941"/>
        <v>3.2240000000000002</v>
      </c>
    </row>
    <row r="198" spans="5:10" x14ac:dyDescent="0.25">
      <c r="E198" s="175">
        <f t="shared" ref="E198:G198" si="986">E53*-1</f>
        <v>-0.65018360578756174</v>
      </c>
      <c r="F198" s="175">
        <f t="shared" si="986"/>
        <v>-0.66851724519965694</v>
      </c>
      <c r="G198" s="175">
        <f t="shared" si="986"/>
        <v>-0.36103458509642328</v>
      </c>
      <c r="H198" s="144"/>
      <c r="I198" s="91"/>
      <c r="J198" s="84">
        <f t="shared" si="941"/>
        <v>3.2309999999999999</v>
      </c>
    </row>
    <row r="199" spans="5:10" x14ac:dyDescent="0.25">
      <c r="E199" s="175">
        <f t="shared" ref="E199:G199" si="987">E54*-1</f>
        <v>-0.72085959201013594</v>
      </c>
      <c r="F199" s="175">
        <f t="shared" si="987"/>
        <v>-0.62690401440369059</v>
      </c>
      <c r="G199" s="175">
        <f t="shared" si="987"/>
        <v>-0.29555508002996284</v>
      </c>
      <c r="H199" s="144"/>
      <c r="I199" s="91"/>
      <c r="J199" s="84">
        <f t="shared" si="941"/>
        <v>3.238</v>
      </c>
    </row>
    <row r="200" spans="5:10" x14ac:dyDescent="0.25">
      <c r="E200" s="175">
        <f t="shared" ref="E200:G200" si="988">E55*-1</f>
        <v>-0.77499930214896529</v>
      </c>
      <c r="F200" s="175">
        <f t="shared" si="988"/>
        <v>-0.59303859747318155</v>
      </c>
      <c r="G200" s="175">
        <f t="shared" si="988"/>
        <v>-0.21836048996020027</v>
      </c>
      <c r="H200" s="144"/>
      <c r="I200" s="91"/>
      <c r="J200" s="84">
        <f t="shared" si="941"/>
        <v>3.2450000000000001</v>
      </c>
    </row>
    <row r="201" spans="5:10" x14ac:dyDescent="0.25">
      <c r="E201" s="175">
        <f t="shared" ref="E201:G201" si="989">E56*-1</f>
        <v>-0.83782077425406332</v>
      </c>
      <c r="F201" s="175">
        <f t="shared" si="989"/>
        <v>-0.52631202983359449</v>
      </c>
      <c r="G201" s="175">
        <f t="shared" si="989"/>
        <v>-0.14509306489547885</v>
      </c>
      <c r="H201" s="144"/>
      <c r="I201" s="91"/>
      <c r="J201" s="84">
        <f t="shared" si="941"/>
        <v>3.2519999999999998</v>
      </c>
    </row>
    <row r="202" spans="5:10" x14ac:dyDescent="0.25">
      <c r="E202" s="175">
        <f t="shared" ref="E202:G202" si="990">E57*-1</f>
        <v>-0.80521692652265564</v>
      </c>
      <c r="F202" s="175">
        <f t="shared" si="990"/>
        <v>0.49755134008163848</v>
      </c>
      <c r="G202" s="175">
        <f t="shared" si="990"/>
        <v>-0.32259628829912762</v>
      </c>
      <c r="H202" s="144"/>
      <c r="I202" s="91"/>
      <c r="J202" s="84">
        <f t="shared" si="941"/>
        <v>3.2589999999999999</v>
      </c>
    </row>
    <row r="203" spans="5:10" x14ac:dyDescent="0.25">
      <c r="E203" s="175">
        <f t="shared" ref="E203:G203" si="991">E58*-1</f>
        <v>-0.88424838557698082</v>
      </c>
      <c r="F203" s="175">
        <f t="shared" si="991"/>
        <v>-0.34842638491375982</v>
      </c>
      <c r="G203" s="175">
        <f t="shared" si="991"/>
        <v>-0.31097242144671206</v>
      </c>
      <c r="H203" s="144"/>
      <c r="I203" s="91"/>
      <c r="J203" s="84">
        <f t="shared" si="941"/>
        <v>4.1159999999999997</v>
      </c>
    </row>
    <row r="204" spans="5:10" x14ac:dyDescent="0.25">
      <c r="E204" s="175">
        <f t="shared" ref="E204:G204" si="992">E59*-1</f>
        <v>-0.9373765157733619</v>
      </c>
      <c r="F204" s="175">
        <f t="shared" si="992"/>
        <v>-0.2444928696371278</v>
      </c>
      <c r="G204" s="175">
        <f t="shared" si="992"/>
        <v>-0.24808971033316729</v>
      </c>
      <c r="H204" s="144"/>
      <c r="I204" s="91"/>
      <c r="J204" s="84">
        <f t="shared" si="941"/>
        <v>4.1230000000000002</v>
      </c>
    </row>
    <row r="205" spans="5:10" x14ac:dyDescent="0.25">
      <c r="E205" s="175">
        <f t="shared" ref="E205:G205" si="993">E60*-1</f>
        <v>-0.96501347309193697</v>
      </c>
      <c r="F205" s="175">
        <f t="shared" si="993"/>
        <v>-0.15289018392296039</v>
      </c>
      <c r="G205" s="175">
        <f t="shared" si="993"/>
        <v>-0.21301077064561955</v>
      </c>
      <c r="H205" s="144"/>
      <c r="I205" s="91"/>
      <c r="J205" s="84">
        <f t="shared" si="941"/>
        <v>4.13</v>
      </c>
    </row>
    <row r="206" spans="5:10" x14ac:dyDescent="0.25">
      <c r="E206" s="175">
        <f t="shared" ref="E206:G206" si="994">E61*-1</f>
        <v>-0.98377550373385103</v>
      </c>
      <c r="F206" s="175">
        <f t="shared" si="994"/>
        <v>-7.7726661212727144E-2</v>
      </c>
      <c r="G206" s="175">
        <f t="shared" si="994"/>
        <v>-0.16169206656459648</v>
      </c>
      <c r="H206" s="144"/>
      <c r="I206" s="91"/>
      <c r="J206" s="84">
        <f t="shared" si="941"/>
        <v>4.1369999999999996</v>
      </c>
    </row>
    <row r="207" spans="5:10" x14ac:dyDescent="0.25">
      <c r="E207" s="175">
        <f t="shared" ref="E207:G207" si="995">E62*-1</f>
        <v>-0.99441702066922455</v>
      </c>
      <c r="F207" s="175">
        <f t="shared" si="995"/>
        <v>-2.6984937192067158E-2</v>
      </c>
      <c r="G207" s="175">
        <f t="shared" si="995"/>
        <v>-0.10201275492840818</v>
      </c>
      <c r="H207" s="144"/>
      <c r="I207" s="91"/>
      <c r="J207" s="84">
        <f t="shared" si="941"/>
        <v>4.1440000000000001</v>
      </c>
    </row>
    <row r="208" spans="5:10" x14ac:dyDescent="0.25">
      <c r="E208" s="175">
        <f t="shared" ref="E208:G208" si="996">E63*-1</f>
        <v>-0.99828005008176579</v>
      </c>
      <c r="F208" s="175">
        <f t="shared" si="996"/>
        <v>2.6406072556942446E-2</v>
      </c>
      <c r="G208" s="175">
        <f t="shared" si="996"/>
        <v>-5.2341770517099949E-2</v>
      </c>
      <c r="H208" s="144"/>
      <c r="I208" s="91"/>
      <c r="J208" s="84">
        <f t="shared" si="941"/>
        <v>4.1509999999999998</v>
      </c>
    </row>
    <row r="209" spans="5:10" x14ac:dyDescent="0.25">
      <c r="E209" s="175">
        <f t="shared" ref="E209:G209" si="997">E64*-1</f>
        <v>-0.96685637102271871</v>
      </c>
      <c r="F209" s="175">
        <f t="shared" si="997"/>
        <v>0.2546415295884869</v>
      </c>
      <c r="G209" s="175">
        <f t="shared" si="997"/>
        <v>-1.8613146472720707E-2</v>
      </c>
      <c r="H209" s="144"/>
      <c r="I209" s="91"/>
      <c r="J209" s="84">
        <f t="shared" si="941"/>
        <v>4.1580000000000004</v>
      </c>
    </row>
    <row r="210" spans="5:10" x14ac:dyDescent="0.25">
      <c r="E210" s="175">
        <f t="shared" ref="E210:G210" si="998">E65*-1</f>
        <v>-0.92437952081290509</v>
      </c>
      <c r="F210" s="175">
        <f t="shared" si="998"/>
        <v>0.38147411642427709</v>
      </c>
      <c r="G210" s="175">
        <f t="shared" si="998"/>
        <v>-1.4578093202322137E-7</v>
      </c>
      <c r="H210" s="144"/>
      <c r="I210" s="91"/>
      <c r="J210" s="84">
        <f t="shared" si="941"/>
        <v>4.165</v>
      </c>
    </row>
    <row r="211" spans="5:10" x14ac:dyDescent="0.25">
      <c r="E211" s="175">
        <f t="shared" ref="E211:G211" si="999">E66*-1</f>
        <v>-0.91122249907189268</v>
      </c>
      <c r="F211" s="175">
        <f t="shared" si="999"/>
        <v>3.4680262771924646E-2</v>
      </c>
      <c r="G211" s="175">
        <f t="shared" si="999"/>
        <v>-0.41045199056557724</v>
      </c>
      <c r="H211" s="144"/>
      <c r="I211" s="91"/>
      <c r="J211" s="84">
        <f t="shared" si="941"/>
        <v>4.2229999999999999</v>
      </c>
    </row>
    <row r="212" spans="5:10" x14ac:dyDescent="0.25">
      <c r="E212" s="175">
        <f t="shared" ref="E212:G212" si="1000">E67*-1</f>
        <v>-0.92149199817084071</v>
      </c>
      <c r="F212" s="175">
        <f t="shared" si="1000"/>
        <v>0.1215100680208039</v>
      </c>
      <c r="G212" s="175">
        <f t="shared" si="1000"/>
        <v>-0.3689008005910141</v>
      </c>
      <c r="H212" s="144"/>
      <c r="I212" s="91"/>
      <c r="J212" s="84">
        <f t="shared" si="941"/>
        <v>4.2300000000000004</v>
      </c>
    </row>
    <row r="213" spans="5:10" x14ac:dyDescent="0.25">
      <c r="E213" s="175">
        <f t="shared" ref="E213:G213" si="1001">E68*-1</f>
        <v>-0.92979196448683454</v>
      </c>
      <c r="F213" s="175">
        <f t="shared" si="1001"/>
        <v>0.20479029108048052</v>
      </c>
      <c r="G213" s="175">
        <f t="shared" si="1001"/>
        <v>-0.30585591289835323</v>
      </c>
      <c r="H213" s="144"/>
      <c r="I213" s="91"/>
      <c r="J213" s="84">
        <f t="shared" si="941"/>
        <v>4.2370000000000001</v>
      </c>
    </row>
    <row r="214" spans="5:10" x14ac:dyDescent="0.25">
      <c r="E214" s="175">
        <f t="shared" ref="E214:G214" si="1002">E69*-1</f>
        <v>-0.93463474518878031</v>
      </c>
      <c r="F214" s="175">
        <f t="shared" si="1002"/>
        <v>0.27141448937001489</v>
      </c>
      <c r="G214" s="175">
        <f t="shared" si="1002"/>
        <v>-0.2297652455135849</v>
      </c>
      <c r="H214" s="144"/>
      <c r="I214" s="91"/>
      <c r="J214" s="84">
        <f t="shared" si="941"/>
        <v>4.2439999999999998</v>
      </c>
    </row>
    <row r="215" spans="5:10" x14ac:dyDescent="0.25">
      <c r="E215" s="175">
        <f t="shared" ref="E215:G215" si="1003">E70*-1</f>
        <v>-0.92449925599220872</v>
      </c>
      <c r="F215" s="175">
        <f t="shared" si="1003"/>
        <v>0.34857715177173426</v>
      </c>
      <c r="G215" s="175">
        <f t="shared" si="1003"/>
        <v>-0.15425658797133454</v>
      </c>
      <c r="H215" s="144"/>
      <c r="I215" s="91"/>
      <c r="J215" s="84">
        <f t="shared" si="941"/>
        <v>4.2510000000000003</v>
      </c>
    </row>
    <row r="216" spans="5:10" x14ac:dyDescent="0.25">
      <c r="E216" s="175">
        <f t="shared" ref="E216:G216" si="1004">E71*-1</f>
        <v>-7.051523160867508E-2</v>
      </c>
      <c r="F216" s="175">
        <f t="shared" si="1004"/>
        <v>0.93009562327444029</v>
      </c>
      <c r="G216" s="175">
        <f t="shared" si="1004"/>
        <v>-0.36048541395860312</v>
      </c>
      <c r="H216" s="144"/>
      <c r="I216" s="91"/>
      <c r="J216" s="84">
        <f t="shared" si="941"/>
        <v>4.258</v>
      </c>
    </row>
    <row r="217" spans="5:10" x14ac:dyDescent="0.25">
      <c r="E217" s="175">
        <f t="shared" ref="E217:G217" si="1005">E72*-1</f>
        <v>-0.83422226667379684</v>
      </c>
      <c r="F217" s="175">
        <f t="shared" si="1005"/>
        <v>0.4020316360813766</v>
      </c>
      <c r="G217" s="175">
        <f t="shared" si="1005"/>
        <v>-0.37741724043207714</v>
      </c>
      <c r="H217" s="144"/>
      <c r="I217" s="91"/>
      <c r="J217" s="84">
        <f t="shared" si="941"/>
        <v>5.1020000000000003</v>
      </c>
    </row>
    <row r="218" spans="5:10" x14ac:dyDescent="0.25">
      <c r="E218" s="175">
        <f t="shared" ref="E218:G218" si="1006">E73*-1</f>
        <v>-0.83767484564856731</v>
      </c>
      <c r="F218" s="175">
        <f t="shared" si="1006"/>
        <v>0.40911015710550674</v>
      </c>
      <c r="G218" s="175">
        <f t="shared" si="1006"/>
        <v>-0.36184213729298681</v>
      </c>
      <c r="H218" s="144"/>
      <c r="I218" s="91"/>
      <c r="J218" s="84">
        <f t="shared" si="941"/>
        <v>5.1050000000000004</v>
      </c>
    </row>
    <row r="219" spans="5:10" x14ac:dyDescent="0.25">
      <c r="E219" s="175">
        <f t="shared" ref="E219:G219" si="1007">E74*-1</f>
        <v>-0.8376748456485672</v>
      </c>
      <c r="F219" s="175">
        <f t="shared" si="1007"/>
        <v>0.40911015710550674</v>
      </c>
      <c r="G219" s="175">
        <f t="shared" si="1007"/>
        <v>-0.36184213729298681</v>
      </c>
      <c r="H219" s="144"/>
      <c r="I219" s="91"/>
      <c r="J219" s="84">
        <f t="shared" ref="J219:J282" si="1008">J74</f>
        <v>5.1079999999999997</v>
      </c>
    </row>
    <row r="220" spans="5:10" x14ac:dyDescent="0.25">
      <c r="E220" s="175">
        <f t="shared" ref="E220:G220" si="1009">E75*-1</f>
        <v>-0.80839799705815185</v>
      </c>
      <c r="F220" s="175">
        <f t="shared" si="1009"/>
        <v>0.48982557610002359</v>
      </c>
      <c r="G220" s="175">
        <f t="shared" si="1009"/>
        <v>-0.32644078077141092</v>
      </c>
      <c r="H220" s="144"/>
      <c r="I220" s="91"/>
      <c r="J220" s="84">
        <f t="shared" si="1008"/>
        <v>5.1150000000000002</v>
      </c>
    </row>
    <row r="221" spans="5:10" x14ac:dyDescent="0.25">
      <c r="E221" s="175">
        <f t="shared" ref="E221:G221" si="1010">E76*-1</f>
        <v>-0.75730247821475594</v>
      </c>
      <c r="F221" s="175">
        <f t="shared" si="1010"/>
        <v>0.60273764745343839</v>
      </c>
      <c r="G221" s="175">
        <f t="shared" si="1010"/>
        <v>-0.2513966682994902</v>
      </c>
      <c r="H221" s="144"/>
      <c r="I221" s="91"/>
      <c r="J221" s="84">
        <f t="shared" si="1008"/>
        <v>5.1219999999999999</v>
      </c>
    </row>
    <row r="222" spans="5:10" x14ac:dyDescent="0.25">
      <c r="E222" s="175">
        <f t="shared" ref="E222:G222" si="1011">E77*-1</f>
        <v>-0.69884393129649003</v>
      </c>
      <c r="F222" s="175">
        <f t="shared" si="1011"/>
        <v>0.68086613672924423</v>
      </c>
      <c r="G222" s="175">
        <f t="shared" si="1011"/>
        <v>-0.21917678605514077</v>
      </c>
      <c r="H222" s="144"/>
      <c r="I222" s="91"/>
      <c r="J222" s="84">
        <f t="shared" si="1008"/>
        <v>5.1289999999999996</v>
      </c>
    </row>
    <row r="223" spans="5:10" x14ac:dyDescent="0.25">
      <c r="E223" s="175">
        <f t="shared" ref="E223:G223" si="1012">E78*-1</f>
        <v>-0.64748895288324626</v>
      </c>
      <c r="F223" s="175">
        <f t="shared" si="1012"/>
        <v>0.74293031169363399</v>
      </c>
      <c r="G223" s="175">
        <f t="shared" si="1012"/>
        <v>-0.16974276968683383</v>
      </c>
      <c r="H223" s="144"/>
      <c r="I223" s="91"/>
      <c r="J223" s="84">
        <f t="shared" si="1008"/>
        <v>5.1360000000000001</v>
      </c>
    </row>
    <row r="224" spans="5:10" x14ac:dyDescent="0.25">
      <c r="E224" s="175">
        <f t="shared" ref="E224:G224" si="1013">E79*-1</f>
        <v>-0.61017342662217633</v>
      </c>
      <c r="F224" s="175">
        <f t="shared" si="1013"/>
        <v>0.78449375363807006</v>
      </c>
      <c r="G224" s="175">
        <f t="shared" si="1013"/>
        <v>-0.11071558131989662</v>
      </c>
      <c r="H224" s="144"/>
      <c r="I224" s="91"/>
      <c r="J224" s="84">
        <f t="shared" si="1008"/>
        <v>5.1429999999999998</v>
      </c>
    </row>
    <row r="225" spans="5:10" x14ac:dyDescent="0.25">
      <c r="E225" s="175">
        <f t="shared" ref="E225:G225" si="1014">E80*-1</f>
        <v>-0.57894562088646206</v>
      </c>
      <c r="F225" s="175">
        <f t="shared" si="1014"/>
        <v>0.8134695773843017</v>
      </c>
      <c r="G225" s="175">
        <f t="shared" si="1014"/>
        <v>-5.5580704624847488E-2</v>
      </c>
      <c r="H225" s="144"/>
      <c r="I225" s="91"/>
      <c r="J225" s="84">
        <f t="shared" si="1008"/>
        <v>5.15</v>
      </c>
    </row>
    <row r="226" spans="5:10" x14ac:dyDescent="0.25">
      <c r="E226" s="175">
        <f t="shared" ref="E226:G226" si="1015">E81*-1</f>
        <v>-0.40836057661527503</v>
      </c>
      <c r="F226" s="175">
        <f t="shared" si="1015"/>
        <v>0.91246484610254797</v>
      </c>
      <c r="G226" s="175">
        <f t="shared" si="1015"/>
        <v>-2.5486154937409546E-2</v>
      </c>
      <c r="H226" s="144"/>
      <c r="I226" s="91"/>
      <c r="J226" s="84">
        <f t="shared" si="1008"/>
        <v>5.157</v>
      </c>
    </row>
    <row r="227" spans="5:10" x14ac:dyDescent="0.25">
      <c r="E227" s="175">
        <f t="shared" ref="E227:G227" si="1016">E82*-1</f>
        <v>-0.23471773902903709</v>
      </c>
      <c r="F227" s="175">
        <f t="shared" si="1016"/>
        <v>0.97206356941564054</v>
      </c>
      <c r="G227" s="175">
        <f t="shared" si="1016"/>
        <v>-1.4578093164421206E-7</v>
      </c>
      <c r="H227" s="144"/>
      <c r="I227" s="91"/>
      <c r="J227" s="84">
        <f t="shared" si="1008"/>
        <v>5.1639999999999997</v>
      </c>
    </row>
    <row r="228" spans="5:10" x14ac:dyDescent="0.25">
      <c r="E228" s="175">
        <f t="shared" ref="E228:G228" si="1017">E83*-1</f>
        <v>-0.51542329080559068</v>
      </c>
      <c r="F228" s="175">
        <f t="shared" si="1017"/>
        <v>0.75016887984848502</v>
      </c>
      <c r="G228" s="175">
        <f t="shared" si="1017"/>
        <v>-0.41422878099186322</v>
      </c>
      <c r="H228" s="144"/>
      <c r="I228" s="91"/>
      <c r="J228" s="84">
        <f t="shared" si="1008"/>
        <v>5.2220000000000004</v>
      </c>
    </row>
    <row r="229" spans="5:10" x14ac:dyDescent="0.25">
      <c r="E229" s="175">
        <f t="shared" ref="E229:G229" si="1018">E84*-1</f>
        <v>-0.45179780476211684</v>
      </c>
      <c r="F229" s="175">
        <f t="shared" si="1018"/>
        <v>0.8088626562858886</v>
      </c>
      <c r="G229" s="175">
        <f t="shared" si="1018"/>
        <v>-0.37632425762667576</v>
      </c>
      <c r="H229" s="144"/>
      <c r="I229" s="91"/>
      <c r="J229" s="84">
        <f t="shared" si="1008"/>
        <v>5.2290000000000001</v>
      </c>
    </row>
    <row r="230" spans="5:10" x14ac:dyDescent="0.25">
      <c r="E230" s="175">
        <f t="shared" ref="E230:G230" si="1019">E85*-1</f>
        <v>-0.38844143137375903</v>
      </c>
      <c r="F230" s="175">
        <f t="shared" si="1019"/>
        <v>0.86563894565167077</v>
      </c>
      <c r="G230" s="175">
        <f t="shared" si="1019"/>
        <v>-0.31588363389604279</v>
      </c>
      <c r="H230" s="144"/>
      <c r="I230" s="91"/>
      <c r="J230" s="84">
        <f t="shared" si="1008"/>
        <v>5.2359999999999998</v>
      </c>
    </row>
    <row r="231" spans="5:10" x14ac:dyDescent="0.25">
      <c r="E231" s="175">
        <f t="shared" ref="E231:G231" si="1020">E86*-1</f>
        <v>-0.33535503371984055</v>
      </c>
      <c r="F231" s="175">
        <f t="shared" si="1020"/>
        <v>0.91072478927440081</v>
      </c>
      <c r="G231" s="175">
        <f t="shared" si="1020"/>
        <v>-0.24107542296937484</v>
      </c>
      <c r="H231" s="144"/>
      <c r="I231" s="91"/>
      <c r="J231" s="84">
        <f t="shared" si="1008"/>
        <v>5.2430000000000003</v>
      </c>
    </row>
    <row r="232" spans="5:10" x14ac:dyDescent="0.25">
      <c r="E232" s="175">
        <f t="shared" ref="E232:G232" si="1021">E87*-1</f>
        <v>-0.28128121416416368</v>
      </c>
      <c r="F232" s="175">
        <f t="shared" si="1021"/>
        <v>0.94564268338856639</v>
      </c>
      <c r="G232" s="175">
        <f t="shared" si="1021"/>
        <v>-0.16322007815218614</v>
      </c>
      <c r="H232" s="144"/>
      <c r="I232" s="91"/>
      <c r="J232" s="84">
        <f t="shared" si="1008"/>
        <v>5.25</v>
      </c>
    </row>
    <row r="233" spans="5:10" x14ac:dyDescent="0.25">
      <c r="E233" s="175">
        <f t="shared" ref="E233:G233" si="1022">E88*-1</f>
        <v>0.69707270601708216</v>
      </c>
      <c r="F233" s="175">
        <f t="shared" si="1022"/>
        <v>0.59319863726087652</v>
      </c>
      <c r="G233" s="175">
        <f t="shared" si="1022"/>
        <v>-0.40274684266653404</v>
      </c>
      <c r="H233" s="144"/>
      <c r="I233" s="91"/>
      <c r="J233" s="84">
        <f t="shared" si="1008"/>
        <v>5.2569999999999997</v>
      </c>
    </row>
    <row r="234" spans="5:10" x14ac:dyDescent="0.25">
      <c r="E234" s="175">
        <f t="shared" ref="E234:G234" si="1023">E89*-1</f>
        <v>-0.22109601650503657</v>
      </c>
      <c r="F234" s="175">
        <f t="shared" si="1023"/>
        <v>0.91504439830171291</v>
      </c>
      <c r="G234" s="175">
        <f t="shared" si="1023"/>
        <v>-0.33735782282653654</v>
      </c>
      <c r="H234" s="144"/>
      <c r="I234" s="91"/>
      <c r="J234" s="84">
        <f t="shared" si="1008"/>
        <v>6.1139999999999999</v>
      </c>
    </row>
    <row r="235" spans="5:10" x14ac:dyDescent="0.25">
      <c r="E235" s="175">
        <f t="shared" ref="E235:G235" si="1024">E90*-1</f>
        <v>-7.3489666402068318E-2</v>
      </c>
      <c r="F235" s="175">
        <f t="shared" si="1024"/>
        <v>0.96434817711772636</v>
      </c>
      <c r="G235" s="175">
        <f t="shared" si="1024"/>
        <v>-0.25422797293341082</v>
      </c>
      <c r="H235" s="144"/>
      <c r="I235" s="91"/>
      <c r="J235" s="84">
        <f t="shared" si="1008"/>
        <v>6.1210000000000004</v>
      </c>
    </row>
    <row r="236" spans="5:10" x14ac:dyDescent="0.25">
      <c r="E236" s="175">
        <f t="shared" ref="E236:G236" si="1025">E91*-1</f>
        <v>2.5318028100397846E-2</v>
      </c>
      <c r="F236" s="175">
        <f t="shared" si="1025"/>
        <v>0.97403333923137003</v>
      </c>
      <c r="G236" s="175">
        <f t="shared" si="1025"/>
        <v>-0.22498455840100309</v>
      </c>
      <c r="H236" s="144"/>
      <c r="I236" s="91"/>
      <c r="J236" s="84">
        <f t="shared" si="1008"/>
        <v>6.1280000000000001</v>
      </c>
    </row>
    <row r="237" spans="5:10" x14ac:dyDescent="0.25">
      <c r="E237" s="175">
        <f t="shared" ref="E237:G237" si="1026">E92*-1</f>
        <v>0.10868250739187879</v>
      </c>
      <c r="F237" s="175">
        <f t="shared" si="1026"/>
        <v>0.97808398595456891</v>
      </c>
      <c r="G237" s="175">
        <f t="shared" si="1026"/>
        <v>-0.17759456356047898</v>
      </c>
      <c r="H237" s="144"/>
      <c r="I237" s="91"/>
      <c r="J237" s="84">
        <f t="shared" si="1008"/>
        <v>6.1349999999999998</v>
      </c>
    </row>
    <row r="238" spans="5:10" x14ac:dyDescent="0.25">
      <c r="E238" s="175">
        <f t="shared" ref="E238:G238" si="1027">E93*-1</f>
        <v>0.16851233949910308</v>
      </c>
      <c r="F238" s="175">
        <f t="shared" si="1027"/>
        <v>0.9784429640399912</v>
      </c>
      <c r="G238" s="175">
        <f t="shared" si="1027"/>
        <v>-0.11938575106425267</v>
      </c>
      <c r="H238" s="144"/>
      <c r="I238" s="91"/>
      <c r="J238" s="84">
        <f t="shared" si="1008"/>
        <v>6.1420000000000003</v>
      </c>
    </row>
    <row r="239" spans="5:10" x14ac:dyDescent="0.25">
      <c r="E239" s="175">
        <f t="shared" ref="E239:G239" si="1028">E94*-1</f>
        <v>0.20080865492458047</v>
      </c>
      <c r="F239" s="175">
        <f t="shared" si="1028"/>
        <v>0.97788392002440827</v>
      </c>
      <c r="G239" s="175">
        <f t="shared" si="1028"/>
        <v>-5.8471557744579239E-2</v>
      </c>
      <c r="H239" s="144"/>
      <c r="I239" s="91"/>
      <c r="J239" s="84">
        <f t="shared" si="1008"/>
        <v>6.149</v>
      </c>
    </row>
    <row r="240" spans="5:10" x14ac:dyDescent="0.25">
      <c r="E240" s="175">
        <f t="shared" ref="E240:G240" si="1029">E95*-1</f>
        <v>0.35904670960502344</v>
      </c>
      <c r="F240" s="175">
        <f t="shared" si="1029"/>
        <v>0.93280018822804944</v>
      </c>
      <c r="G240" s="175">
        <f t="shared" si="1029"/>
        <v>-3.1133087921402555E-2</v>
      </c>
      <c r="H240" s="144"/>
      <c r="I240" s="91"/>
      <c r="J240" s="84">
        <f t="shared" si="1008"/>
        <v>6.1559999999999997</v>
      </c>
    </row>
    <row r="241" spans="5:10" x14ac:dyDescent="0.25">
      <c r="E241" s="175">
        <f t="shared" ref="E241:G241" si="1030">E96*-1</f>
        <v>0.56532708883299698</v>
      </c>
      <c r="F241" s="175">
        <f t="shared" si="1030"/>
        <v>0.824866827210058</v>
      </c>
      <c r="G241" s="175">
        <f t="shared" si="1030"/>
        <v>-1.4578093219790013E-7</v>
      </c>
      <c r="H241" s="144"/>
      <c r="I241" s="91"/>
      <c r="J241" s="84">
        <f t="shared" si="1008"/>
        <v>6.1630000000000003</v>
      </c>
    </row>
    <row r="242" spans="5:10" x14ac:dyDescent="0.25">
      <c r="E242" s="175">
        <f t="shared" ref="E242:G242" si="1031">E97*-1</f>
        <v>0.20252000699368392</v>
      </c>
      <c r="F242" s="175">
        <f t="shared" si="1031"/>
        <v>0.88586224461908114</v>
      </c>
      <c r="G242" s="175">
        <f t="shared" si="1031"/>
        <v>-0.4174131410553838</v>
      </c>
      <c r="H242" s="144"/>
      <c r="I242" s="91"/>
      <c r="J242" s="84">
        <f t="shared" si="1008"/>
        <v>6.2210000000000001</v>
      </c>
    </row>
    <row r="243" spans="5:10" x14ac:dyDescent="0.25">
      <c r="E243" s="175">
        <f t="shared" ref="E243:G243" si="1032">E98*-1</f>
        <v>0.28714450570849404</v>
      </c>
      <c r="F243" s="175">
        <f t="shared" si="1032"/>
        <v>0.87786329037726918</v>
      </c>
      <c r="G243" s="175">
        <f t="shared" si="1032"/>
        <v>-0.38328067554915829</v>
      </c>
      <c r="H243" s="144"/>
      <c r="I243" s="91"/>
      <c r="J243" s="84">
        <f t="shared" si="1008"/>
        <v>6.2279999999999998</v>
      </c>
    </row>
    <row r="244" spans="5:10" x14ac:dyDescent="0.25">
      <c r="E244" s="175">
        <f t="shared" ref="E244:G244" si="1033">E99*-1</f>
        <v>0.37282315543745637</v>
      </c>
      <c r="F244" s="175">
        <f t="shared" si="1033"/>
        <v>0.86889482033852117</v>
      </c>
      <c r="G244" s="175">
        <f t="shared" si="1033"/>
        <v>-0.32561432087447773</v>
      </c>
      <c r="H244" s="144"/>
      <c r="I244" s="91"/>
      <c r="J244" s="84">
        <f t="shared" si="1008"/>
        <v>6.2350000000000003</v>
      </c>
    </row>
    <row r="245" spans="5:10" x14ac:dyDescent="0.25">
      <c r="E245" s="175">
        <f t="shared" ref="E245:G245" si="1034">E100*-1</f>
        <v>0.44456889499596425</v>
      </c>
      <c r="F245" s="175">
        <f t="shared" si="1034"/>
        <v>0.85948786845940117</v>
      </c>
      <c r="G245" s="175">
        <f t="shared" si="1034"/>
        <v>-0.25226791625805794</v>
      </c>
      <c r="H245" s="144"/>
      <c r="I245" s="91"/>
      <c r="J245" s="84">
        <f t="shared" si="1008"/>
        <v>6.242</v>
      </c>
    </row>
    <row r="246" spans="5:10" x14ac:dyDescent="0.25">
      <c r="E246" s="175">
        <f t="shared" ref="E246:G246" si="1035">E101*-1</f>
        <v>0.49534657268578508</v>
      </c>
      <c r="F246" s="175">
        <f t="shared" si="1035"/>
        <v>0.85150338759358402</v>
      </c>
      <c r="G246" s="175">
        <f t="shared" si="1035"/>
        <v>-0.17197021208656157</v>
      </c>
      <c r="H246" s="144"/>
      <c r="I246" s="91"/>
      <c r="J246" s="84">
        <f t="shared" si="1008"/>
        <v>6.2489999999999997</v>
      </c>
    </row>
    <row r="247" spans="5:10" x14ac:dyDescent="0.25">
      <c r="E247" s="175">
        <f t="shared" ref="E247:G247" si="1036">E102*-1</f>
        <v>0.88512439734948989</v>
      </c>
      <c r="F247" s="175">
        <f t="shared" si="1036"/>
        <v>-0.1169845930440342</v>
      </c>
      <c r="G247" s="175">
        <f t="shared" si="1036"/>
        <v>-0.45041026432245557</v>
      </c>
      <c r="H247" s="144"/>
      <c r="I247" s="91"/>
      <c r="J247" s="84">
        <f t="shared" si="1008"/>
        <v>6.2560000000000002</v>
      </c>
    </row>
    <row r="248" spans="5:10" x14ac:dyDescent="0.25">
      <c r="E248" s="175">
        <f t="shared" ref="E248:G248" si="1037">E103*-1</f>
        <v>0.54222138305405665</v>
      </c>
      <c r="F248" s="175">
        <f t="shared" si="1037"/>
        <v>0.76211575211607263</v>
      </c>
      <c r="G248" s="175">
        <f t="shared" si="1037"/>
        <v>-0.3538015716973274</v>
      </c>
      <c r="H248" s="144"/>
      <c r="I248" s="91"/>
      <c r="J248" s="84">
        <f t="shared" si="1008"/>
        <v>7.1130000000000004</v>
      </c>
    </row>
    <row r="249" spans="5:10" x14ac:dyDescent="0.25">
      <c r="E249" s="175">
        <f t="shared" ref="E249:G249" si="1038">E104*-1</f>
        <v>0.66848564151095469</v>
      </c>
      <c r="F249" s="175">
        <f t="shared" si="1038"/>
        <v>0.69806795038774005</v>
      </c>
      <c r="G249" s="175">
        <f t="shared" si="1038"/>
        <v>-0.25656984182702985</v>
      </c>
      <c r="H249" s="144"/>
      <c r="I249" s="91"/>
      <c r="J249" s="84">
        <f t="shared" si="1008"/>
        <v>7.12</v>
      </c>
    </row>
    <row r="250" spans="5:10" x14ac:dyDescent="0.25">
      <c r="E250" s="175">
        <f t="shared" ref="E250:G250" si="1039">E105*-1</f>
        <v>0.74215939907168038</v>
      </c>
      <c r="F250" s="175">
        <f t="shared" si="1039"/>
        <v>0.62936773112290667</v>
      </c>
      <c r="G250" s="175">
        <f t="shared" si="1039"/>
        <v>-0.23042501034125396</v>
      </c>
      <c r="H250" s="144"/>
      <c r="I250" s="91"/>
      <c r="J250" s="84">
        <f t="shared" si="1008"/>
        <v>7.1269999999999998</v>
      </c>
    </row>
    <row r="251" spans="5:10" x14ac:dyDescent="0.25">
      <c r="E251" s="175">
        <f t="shared" ref="E251:G251" si="1040">E106*-1</f>
        <v>0.8022732883664484</v>
      </c>
      <c r="F251" s="175">
        <f t="shared" si="1040"/>
        <v>0.56749600777050779</v>
      </c>
      <c r="G251" s="175">
        <f t="shared" si="1040"/>
        <v>-0.18521838984890593</v>
      </c>
      <c r="H251" s="144"/>
      <c r="I251" s="91"/>
      <c r="J251" s="84">
        <f t="shared" si="1008"/>
        <v>7.1340000000000003</v>
      </c>
    </row>
    <row r="252" spans="5:10" x14ac:dyDescent="0.25">
      <c r="E252" s="175">
        <f t="shared" ref="E252:G252" si="1041">E107*-1</f>
        <v>0.84458844765115948</v>
      </c>
      <c r="F252" s="175">
        <f t="shared" si="1041"/>
        <v>0.51989016801223142</v>
      </c>
      <c r="G252" s="175">
        <f t="shared" si="1041"/>
        <v>-0.12800221599026576</v>
      </c>
      <c r="H252" s="144"/>
      <c r="I252" s="91"/>
      <c r="J252" s="84">
        <f t="shared" si="1008"/>
        <v>7.141</v>
      </c>
    </row>
    <row r="253" spans="5:10" x14ac:dyDescent="0.25">
      <c r="E253" s="175">
        <f t="shared" ref="E253:G253" si="1042">E108*-1</f>
        <v>0.86775603434618254</v>
      </c>
      <c r="F253" s="175">
        <f t="shared" si="1042"/>
        <v>0.49243059035696701</v>
      </c>
      <c r="G253" s="175">
        <f t="shared" si="1042"/>
        <v>-6.7168285198268785E-2</v>
      </c>
      <c r="H253" s="144"/>
      <c r="I253" s="91"/>
      <c r="J253" s="84">
        <f t="shared" si="1008"/>
        <v>7.1479999999999997</v>
      </c>
    </row>
    <row r="254" spans="5:10" x14ac:dyDescent="0.25">
      <c r="E254" s="175">
        <f t="shared" ref="E254:G254" si="1043">E109*-1</f>
        <v>0.92162740672349086</v>
      </c>
      <c r="F254" s="175">
        <f t="shared" si="1043"/>
        <v>0.38646394428231351</v>
      </c>
      <c r="G254" s="175">
        <f t="shared" si="1043"/>
        <v>-3.5334727194219706E-2</v>
      </c>
      <c r="H254" s="144"/>
      <c r="I254" s="91"/>
      <c r="J254" s="84">
        <f t="shared" si="1008"/>
        <v>7.1550000000000002</v>
      </c>
    </row>
    <row r="255" spans="5:10" x14ac:dyDescent="0.25">
      <c r="E255" s="175">
        <f t="shared" ref="E255:G255" si="1044">E110*-1</f>
        <v>0.99342282372660995</v>
      </c>
      <c r="F255" s="175">
        <f t="shared" si="1044"/>
        <v>0.1145036824692891</v>
      </c>
      <c r="G255" s="175">
        <f t="shared" si="1044"/>
        <v>-1.4578093126044298E-7</v>
      </c>
      <c r="H255" s="144"/>
      <c r="I255" s="91"/>
      <c r="J255" s="84">
        <f t="shared" si="1008"/>
        <v>7.1619999999999999</v>
      </c>
    </row>
    <row r="256" spans="5:10" x14ac:dyDescent="0.25">
      <c r="E256" s="175">
        <f t="shared" ref="E256:G256" si="1045">E111*-1</f>
        <v>0.79146735627350762</v>
      </c>
      <c r="F256" s="175">
        <f t="shared" si="1045"/>
        <v>0.44405781805596733</v>
      </c>
      <c r="G256" s="175">
        <f t="shared" si="1045"/>
        <v>-0.41999056915221111</v>
      </c>
      <c r="H256" s="144"/>
      <c r="I256" s="91"/>
      <c r="J256" s="84">
        <f t="shared" si="1008"/>
        <v>7.22</v>
      </c>
    </row>
    <row r="257" spans="5:10" x14ac:dyDescent="0.25">
      <c r="E257" s="175">
        <f t="shared" ref="E257:G257" si="1046">E112*-1</f>
        <v>0.84395245268592289</v>
      </c>
      <c r="F257" s="175">
        <f t="shared" si="1046"/>
        <v>0.36855324807820566</v>
      </c>
      <c r="G257" s="175">
        <f t="shared" si="1046"/>
        <v>-0.38975987599600331</v>
      </c>
      <c r="H257" s="144"/>
      <c r="I257" s="91"/>
      <c r="J257" s="84">
        <f t="shared" si="1008"/>
        <v>7.2270000000000003</v>
      </c>
    </row>
    <row r="258" spans="5:10" x14ac:dyDescent="0.25">
      <c r="E258" s="175">
        <f t="shared" ref="E258:G258" si="1047">E113*-1</f>
        <v>0.89401591714854722</v>
      </c>
      <c r="F258" s="175">
        <f t="shared" si="1047"/>
        <v>0.29748698326797085</v>
      </c>
      <c r="G258" s="175">
        <f t="shared" si="1047"/>
        <v>-0.33501796171423998</v>
      </c>
      <c r="H258" s="144"/>
      <c r="I258" s="91"/>
      <c r="J258" s="84">
        <f t="shared" si="1008"/>
        <v>7.234</v>
      </c>
    </row>
    <row r="259" spans="5:10" x14ac:dyDescent="0.25">
      <c r="E259" s="175">
        <f t="shared" ref="E259:G259" si="1048">E114*-1</f>
        <v>0.93559984649507644</v>
      </c>
      <c r="F259" s="175">
        <f t="shared" si="1048"/>
        <v>0.23519330571472824</v>
      </c>
      <c r="G259" s="175">
        <f t="shared" si="1048"/>
        <v>-0.26331926664292499</v>
      </c>
      <c r="H259" s="144"/>
      <c r="I259" s="91"/>
      <c r="J259" s="84">
        <f t="shared" si="1008"/>
        <v>7.2409999999999997</v>
      </c>
    </row>
    <row r="260" spans="5:10" x14ac:dyDescent="0.25">
      <c r="E260" s="175">
        <f t="shared" ref="E260:G260" si="1049">E115*-1</f>
        <v>0.96460775867564941</v>
      </c>
      <c r="F260" s="175">
        <f t="shared" si="1049"/>
        <v>0.18919611546011239</v>
      </c>
      <c r="G260" s="175">
        <f t="shared" si="1049"/>
        <v>-0.18367553402003206</v>
      </c>
      <c r="H260" s="144"/>
      <c r="I260" s="91"/>
      <c r="J260" s="84">
        <f t="shared" si="1008"/>
        <v>7.2480000000000002</v>
      </c>
    </row>
    <row r="261" spans="5:10" x14ac:dyDescent="0.25">
      <c r="E261" s="175">
        <f t="shared" ref="E261:G261" si="1050">E116*-1</f>
        <v>0.47741365181285428</v>
      </c>
      <c r="F261" s="175">
        <f t="shared" si="1050"/>
        <v>-0.71960544881349242</v>
      </c>
      <c r="G261" s="175">
        <f t="shared" si="1050"/>
        <v>-0.50422634114120501</v>
      </c>
      <c r="H261" s="144"/>
      <c r="I261" s="91"/>
      <c r="J261" s="84">
        <f t="shared" si="1008"/>
        <v>7.2549999999999999</v>
      </c>
    </row>
    <row r="262" spans="5:10" x14ac:dyDescent="0.25">
      <c r="E262" s="175">
        <f t="shared" ref="E262:G262" si="1051">E117*-1</f>
        <v>0</v>
      </c>
      <c r="F262" s="175">
        <f t="shared" si="1051"/>
        <v>0</v>
      </c>
      <c r="G262" s="175">
        <f t="shared" si="1051"/>
        <v>0</v>
      </c>
      <c r="H262" s="144"/>
      <c r="I262" s="91"/>
      <c r="J262" s="84">
        <f t="shared" si="1008"/>
        <v>0</v>
      </c>
    </row>
    <row r="263" spans="5:10" x14ac:dyDescent="0.25">
      <c r="E263" s="175">
        <f t="shared" ref="E263:G263" si="1052">E118*-1</f>
        <v>0</v>
      </c>
      <c r="F263" s="175">
        <f t="shared" si="1052"/>
        <v>0</v>
      </c>
      <c r="G263" s="175">
        <f t="shared" si="1052"/>
        <v>0</v>
      </c>
      <c r="H263" s="144"/>
      <c r="I263" s="91"/>
      <c r="J263" s="84">
        <f t="shared" si="1008"/>
        <v>0</v>
      </c>
    </row>
    <row r="264" spans="5:10" x14ac:dyDescent="0.25">
      <c r="E264" s="175">
        <f t="shared" ref="E264:G264" si="1053">E119*-1</f>
        <v>0</v>
      </c>
      <c r="F264" s="175">
        <f t="shared" si="1053"/>
        <v>0</v>
      </c>
      <c r="G264" s="175">
        <f t="shared" si="1053"/>
        <v>0</v>
      </c>
      <c r="H264" s="144"/>
      <c r="I264" s="91"/>
      <c r="J264" s="84">
        <f t="shared" si="1008"/>
        <v>0</v>
      </c>
    </row>
    <row r="265" spans="5:10" x14ac:dyDescent="0.25">
      <c r="E265" s="175">
        <f t="shared" ref="E265:G265" si="1054">E120*-1</f>
        <v>0</v>
      </c>
      <c r="F265" s="175">
        <f t="shared" si="1054"/>
        <v>0</v>
      </c>
      <c r="G265" s="175">
        <f t="shared" si="1054"/>
        <v>0</v>
      </c>
      <c r="H265" s="144"/>
      <c r="I265" s="91"/>
      <c r="J265" s="84">
        <f t="shared" si="1008"/>
        <v>0</v>
      </c>
    </row>
    <row r="266" spans="5:10" x14ac:dyDescent="0.25">
      <c r="E266" s="175">
        <f t="shared" ref="E266:G266" si="1055">E121*-1</f>
        <v>0</v>
      </c>
      <c r="F266" s="175">
        <f t="shared" si="1055"/>
        <v>0</v>
      </c>
      <c r="G266" s="175">
        <f t="shared" si="1055"/>
        <v>0</v>
      </c>
      <c r="H266" s="144"/>
      <c r="I266" s="91"/>
      <c r="J266" s="84">
        <f t="shared" si="1008"/>
        <v>0</v>
      </c>
    </row>
    <row r="267" spans="5:10" x14ac:dyDescent="0.25">
      <c r="E267" s="175">
        <f t="shared" ref="E267:G267" si="1056">E122*-1</f>
        <v>0</v>
      </c>
      <c r="F267" s="175">
        <f t="shared" si="1056"/>
        <v>0</v>
      </c>
      <c r="G267" s="175">
        <f t="shared" si="1056"/>
        <v>0</v>
      </c>
      <c r="H267" s="144"/>
      <c r="I267" s="91"/>
      <c r="J267" s="84">
        <f t="shared" si="1008"/>
        <v>0</v>
      </c>
    </row>
    <row r="268" spans="5:10" x14ac:dyDescent="0.25">
      <c r="E268" s="175">
        <f t="shared" ref="E268:G268" si="1057">E123*-1</f>
        <v>0</v>
      </c>
      <c r="F268" s="175">
        <f t="shared" si="1057"/>
        <v>0</v>
      </c>
      <c r="G268" s="175">
        <f t="shared" si="1057"/>
        <v>0</v>
      </c>
      <c r="H268" s="144"/>
      <c r="I268" s="91"/>
      <c r="J268" s="84">
        <f t="shared" si="1008"/>
        <v>0</v>
      </c>
    </row>
    <row r="269" spans="5:10" x14ac:dyDescent="0.25">
      <c r="E269" s="175">
        <f t="shared" ref="E269:G269" si="1058">E124*-1</f>
        <v>0</v>
      </c>
      <c r="F269" s="175">
        <f t="shared" si="1058"/>
        <v>0</v>
      </c>
      <c r="G269" s="175">
        <f t="shared" si="1058"/>
        <v>0</v>
      </c>
      <c r="H269" s="144"/>
      <c r="I269" s="91"/>
      <c r="J269" s="84">
        <f t="shared" si="1008"/>
        <v>0</v>
      </c>
    </row>
    <row r="270" spans="5:10" x14ac:dyDescent="0.25">
      <c r="E270" s="175">
        <f t="shared" ref="E270:G270" si="1059">E125*-1</f>
        <v>0</v>
      </c>
      <c r="F270" s="175">
        <f t="shared" si="1059"/>
        <v>0</v>
      </c>
      <c r="G270" s="175">
        <f t="shared" si="1059"/>
        <v>0</v>
      </c>
      <c r="H270" s="144"/>
      <c r="I270" s="91"/>
      <c r="J270" s="84">
        <f t="shared" si="1008"/>
        <v>0</v>
      </c>
    </row>
    <row r="271" spans="5:10" x14ac:dyDescent="0.25">
      <c r="E271" s="175">
        <f t="shared" ref="E271:G271" si="1060">E126*-1</f>
        <v>0</v>
      </c>
      <c r="F271" s="175">
        <f t="shared" si="1060"/>
        <v>0</v>
      </c>
      <c r="G271" s="175">
        <f t="shared" si="1060"/>
        <v>0</v>
      </c>
      <c r="H271" s="144"/>
      <c r="I271" s="91"/>
      <c r="J271" s="84">
        <f t="shared" si="1008"/>
        <v>0</v>
      </c>
    </row>
    <row r="272" spans="5:10" x14ac:dyDescent="0.25">
      <c r="E272" s="175">
        <f t="shared" ref="E272:G272" si="1061">E127*-1</f>
        <v>0</v>
      </c>
      <c r="F272" s="175">
        <f t="shared" si="1061"/>
        <v>0</v>
      </c>
      <c r="G272" s="175">
        <f t="shared" si="1061"/>
        <v>0</v>
      </c>
      <c r="H272" s="144"/>
      <c r="I272" s="91"/>
      <c r="J272" s="84">
        <f t="shared" si="1008"/>
        <v>0</v>
      </c>
    </row>
    <row r="273" spans="5:10" x14ac:dyDescent="0.25">
      <c r="E273" s="175">
        <f t="shared" ref="E273:G273" si="1062">E128*-1</f>
        <v>0</v>
      </c>
      <c r="F273" s="175">
        <f t="shared" si="1062"/>
        <v>0</v>
      </c>
      <c r="G273" s="175">
        <f t="shared" si="1062"/>
        <v>0</v>
      </c>
      <c r="H273" s="144"/>
      <c r="I273" s="91"/>
      <c r="J273" s="84">
        <f t="shared" si="1008"/>
        <v>0</v>
      </c>
    </row>
    <row r="274" spans="5:10" x14ac:dyDescent="0.25">
      <c r="E274" s="175">
        <f t="shared" ref="E274:G274" si="1063">E129*-1</f>
        <v>0</v>
      </c>
      <c r="F274" s="175">
        <f t="shared" si="1063"/>
        <v>0</v>
      </c>
      <c r="G274" s="175">
        <f t="shared" si="1063"/>
        <v>0</v>
      </c>
      <c r="H274" s="144"/>
      <c r="I274" s="91"/>
      <c r="J274" s="84">
        <f t="shared" si="1008"/>
        <v>0</v>
      </c>
    </row>
    <row r="275" spans="5:10" x14ac:dyDescent="0.25">
      <c r="E275" s="175">
        <f t="shared" ref="E275:G275" si="1064">E130*-1</f>
        <v>0</v>
      </c>
      <c r="F275" s="175">
        <f t="shared" si="1064"/>
        <v>0</v>
      </c>
      <c r="G275" s="175">
        <f t="shared" si="1064"/>
        <v>0</v>
      </c>
      <c r="H275" s="144"/>
      <c r="I275" s="91"/>
      <c r="J275" s="84">
        <f t="shared" si="1008"/>
        <v>0</v>
      </c>
    </row>
    <row r="276" spans="5:10" x14ac:dyDescent="0.25">
      <c r="E276" s="175">
        <f t="shared" ref="E276:G276" si="1065">E131*-1</f>
        <v>0</v>
      </c>
      <c r="F276" s="175">
        <f t="shared" si="1065"/>
        <v>0</v>
      </c>
      <c r="G276" s="175">
        <f t="shared" si="1065"/>
        <v>0</v>
      </c>
      <c r="H276" s="144"/>
      <c r="I276" s="91"/>
      <c r="J276" s="84">
        <f t="shared" si="1008"/>
        <v>0</v>
      </c>
    </row>
    <row r="277" spans="5:10" x14ac:dyDescent="0.25">
      <c r="E277" s="175">
        <f t="shared" ref="E277:G277" si="1066">E132*-1</f>
        <v>0</v>
      </c>
      <c r="F277" s="175">
        <f t="shared" si="1066"/>
        <v>0</v>
      </c>
      <c r="G277" s="175">
        <f t="shared" si="1066"/>
        <v>0</v>
      </c>
      <c r="H277" s="144"/>
      <c r="I277" s="91"/>
      <c r="J277" s="84">
        <f t="shared" si="1008"/>
        <v>0</v>
      </c>
    </row>
    <row r="278" spans="5:10" x14ac:dyDescent="0.25">
      <c r="E278" s="175">
        <f t="shared" ref="E278:G278" si="1067">E133*-1</f>
        <v>0</v>
      </c>
      <c r="F278" s="175">
        <f t="shared" si="1067"/>
        <v>0</v>
      </c>
      <c r="G278" s="175">
        <f t="shared" si="1067"/>
        <v>0</v>
      </c>
      <c r="H278" s="144"/>
      <c r="I278" s="91"/>
      <c r="J278" s="84">
        <f t="shared" si="1008"/>
        <v>0</v>
      </c>
    </row>
    <row r="279" spans="5:10" x14ac:dyDescent="0.25">
      <c r="E279" s="175">
        <f t="shared" ref="E279:G279" si="1068">E134*-1</f>
        <v>0</v>
      </c>
      <c r="F279" s="175">
        <f t="shared" si="1068"/>
        <v>0</v>
      </c>
      <c r="G279" s="175">
        <f t="shared" si="1068"/>
        <v>0</v>
      </c>
      <c r="H279" s="144"/>
      <c r="I279" s="91"/>
      <c r="J279" s="84">
        <f t="shared" si="1008"/>
        <v>0</v>
      </c>
    </row>
    <row r="280" spans="5:10" x14ac:dyDescent="0.25">
      <c r="E280" s="175">
        <f t="shared" ref="E280:G280" si="1069">E135*-1</f>
        <v>0</v>
      </c>
      <c r="F280" s="175">
        <f t="shared" si="1069"/>
        <v>0</v>
      </c>
      <c r="G280" s="175">
        <f t="shared" si="1069"/>
        <v>0</v>
      </c>
      <c r="H280" s="144"/>
      <c r="I280" s="91"/>
      <c r="J280" s="84">
        <f t="shared" si="1008"/>
        <v>0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CO4:DA4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BF2:ER3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5:CO6"/>
    <mergeCell ref="CP5:CS6"/>
    <mergeCell ref="CT5:CU6"/>
    <mergeCell ref="BS5:CE5"/>
    <mergeCell ref="CF6:CH6"/>
    <mergeCell ref="CV5:DA5"/>
    <mergeCell ref="CY6:DA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31" t="s">
        <v>321</v>
      </c>
      <c r="O1" s="1231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33" t="str">
        <f>Settings!B28</f>
        <v>yyyy.mm.dd --- Job # --- Assy #</v>
      </c>
      <c r="C2" s="1234"/>
      <c r="D2" s="1234"/>
      <c r="E2" s="1234"/>
      <c r="F2" s="1234"/>
      <c r="G2" s="1234"/>
      <c r="H2" s="1234"/>
      <c r="I2" s="1234"/>
      <c r="J2" s="1234"/>
      <c r="K2" s="1235"/>
      <c r="L2" s="36"/>
      <c r="M2" s="1239" t="s">
        <v>0</v>
      </c>
      <c r="N2" s="1114" t="s">
        <v>1</v>
      </c>
      <c r="O2" s="1115"/>
      <c r="P2" s="1115"/>
      <c r="Q2" s="1115"/>
      <c r="R2" s="1115"/>
      <c r="S2" s="1115"/>
      <c r="T2" s="1115"/>
      <c r="U2" s="1115"/>
      <c r="V2" s="1115"/>
      <c r="W2" s="1115"/>
      <c r="X2" s="1115"/>
      <c r="Y2" s="1153"/>
      <c r="Z2" s="1114" t="s">
        <v>2</v>
      </c>
      <c r="AA2" s="1115"/>
      <c r="AB2" s="1115"/>
      <c r="AC2" s="1115"/>
      <c r="AD2" s="1115"/>
      <c r="AE2" s="1115"/>
      <c r="AF2" s="1115"/>
      <c r="AG2" s="1115"/>
      <c r="AH2" s="1115"/>
      <c r="AI2" s="1115"/>
      <c r="AJ2" s="1115"/>
      <c r="AK2" s="1115"/>
      <c r="AL2" s="1115"/>
      <c r="AM2" s="1115"/>
      <c r="AN2" s="1115"/>
      <c r="AO2" s="1115"/>
      <c r="AP2" s="1115"/>
      <c r="AQ2" s="1116"/>
      <c r="AS2" s="1159" t="s">
        <v>44</v>
      </c>
      <c r="AT2" s="1160"/>
      <c r="AV2" s="1242" t="str">
        <f>M2</f>
        <v>CS-Name</v>
      </c>
      <c r="AW2" s="1273"/>
      <c r="AX2" s="1273"/>
      <c r="AY2" s="1273"/>
      <c r="AZ2" s="1273"/>
      <c r="BA2" s="1273"/>
      <c r="BB2" s="1273"/>
      <c r="BC2" s="1274"/>
      <c r="BF2" s="1266" t="s">
        <v>322</v>
      </c>
      <c r="BG2" s="1267"/>
      <c r="BH2" s="1267"/>
      <c r="BI2" s="1267"/>
      <c r="BJ2" s="1267"/>
      <c r="BK2" s="1268"/>
      <c r="BM2" s="1259" t="s">
        <v>279</v>
      </c>
      <c r="BN2" s="1260"/>
      <c r="BO2" s="1260"/>
      <c r="BP2" s="1261"/>
      <c r="BR2" s="1259" t="s">
        <v>279</v>
      </c>
      <c r="BS2" s="1260"/>
      <c r="BT2" s="1260"/>
      <c r="BU2" s="1261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92"/>
      <c r="C3" s="1193"/>
      <c r="D3" s="1193"/>
      <c r="E3" s="1193"/>
      <c r="F3" s="1193"/>
      <c r="G3" s="1193"/>
      <c r="H3" s="1193"/>
      <c r="I3" s="1193"/>
      <c r="J3" s="1193"/>
      <c r="K3" s="1194"/>
      <c r="L3" s="36"/>
      <c r="M3" s="1240"/>
      <c r="N3" s="1154"/>
      <c r="O3" s="1155"/>
      <c r="P3" s="1155"/>
      <c r="Q3" s="1155"/>
      <c r="R3" s="1155"/>
      <c r="S3" s="1155"/>
      <c r="T3" s="1155"/>
      <c r="U3" s="1155"/>
      <c r="V3" s="1155"/>
      <c r="W3" s="1155"/>
      <c r="X3" s="1155"/>
      <c r="Y3" s="1156"/>
      <c r="Z3" s="1058"/>
      <c r="AA3" s="1059"/>
      <c r="AB3" s="1059"/>
      <c r="AC3" s="1059"/>
      <c r="AD3" s="1059"/>
      <c r="AE3" s="1059"/>
      <c r="AF3" s="1059"/>
      <c r="AG3" s="1059"/>
      <c r="AH3" s="1059"/>
      <c r="AI3" s="1059"/>
      <c r="AJ3" s="1059"/>
      <c r="AK3" s="1059"/>
      <c r="AL3" s="1059"/>
      <c r="AM3" s="1059"/>
      <c r="AN3" s="1059"/>
      <c r="AO3" s="1059"/>
      <c r="AP3" s="1059"/>
      <c r="AQ3" s="1117"/>
      <c r="AS3" s="488">
        <v>200</v>
      </c>
      <c r="AT3" s="485" t="s">
        <v>45</v>
      </c>
      <c r="AV3" s="1243"/>
      <c r="AW3" s="1275"/>
      <c r="AX3" s="1275"/>
      <c r="AY3" s="1275"/>
      <c r="AZ3" s="1275"/>
      <c r="BA3" s="1275"/>
      <c r="BB3" s="1275"/>
      <c r="BC3" s="1276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88" t="s">
        <v>316</v>
      </c>
      <c r="C4" s="895"/>
      <c r="D4" s="895"/>
      <c r="E4" s="895"/>
      <c r="F4" s="895"/>
      <c r="G4" s="895"/>
      <c r="H4" s="895"/>
      <c r="I4" s="895"/>
      <c r="J4" s="895"/>
      <c r="K4" s="1236"/>
      <c r="L4" s="36"/>
      <c r="M4" s="1240"/>
      <c r="N4" s="1208" t="s">
        <v>3</v>
      </c>
      <c r="O4" s="1145"/>
      <c r="P4" s="1145"/>
      <c r="Q4" s="1146" t="s">
        <v>4</v>
      </c>
      <c r="R4" s="1145"/>
      <c r="S4" s="1147"/>
      <c r="T4" s="1217" t="str">
        <f>N4</f>
        <v>Cartesian Coordinates</v>
      </c>
      <c r="U4" s="1121"/>
      <c r="V4" s="1218"/>
      <c r="W4" s="1121" t="str">
        <f>Q4</f>
        <v>Polar XY; Cartesian Z</v>
      </c>
      <c r="X4" s="1121"/>
      <c r="Y4" s="1191"/>
      <c r="Z4" s="1237" t="s">
        <v>3</v>
      </c>
      <c r="AA4" s="1238"/>
      <c r="AB4" s="1238"/>
      <c r="AC4" s="1238"/>
      <c r="AD4" s="1238"/>
      <c r="AE4" s="1238"/>
      <c r="AF4" s="1238"/>
      <c r="AG4" s="1245" t="s">
        <v>31</v>
      </c>
      <c r="AH4" s="1238"/>
      <c r="AI4" s="1238"/>
      <c r="AJ4" s="1246"/>
      <c r="AK4" s="1247" t="s">
        <v>32</v>
      </c>
      <c r="AL4" s="1248"/>
      <c r="AM4" s="1248"/>
      <c r="AN4" s="1248"/>
      <c r="AO4" s="1248"/>
      <c r="AP4" s="1248"/>
      <c r="AQ4" s="1249"/>
      <c r="AS4" s="489">
        <v>250</v>
      </c>
      <c r="AT4" s="486" t="s">
        <v>46</v>
      </c>
      <c r="AV4" s="1243"/>
      <c r="AW4" s="1277"/>
      <c r="AX4" s="1277"/>
      <c r="AY4" s="1277"/>
      <c r="AZ4" s="1278"/>
      <c r="BA4" s="1277" t="str">
        <f>Z2</f>
        <v>PDC Orientation</v>
      </c>
      <c r="BB4" s="1277"/>
      <c r="BC4" s="1278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92" t="str">
        <f>CONCATENATE(B7," ; ",E7," ; ",H8)</f>
        <v>Absolute-Point ; Incremental-Vector Point ; Radius</v>
      </c>
      <c r="C5" s="1193"/>
      <c r="D5" s="1193"/>
      <c r="E5" s="1193"/>
      <c r="F5" s="1193"/>
      <c r="G5" s="1193"/>
      <c r="H5" s="1193"/>
      <c r="I5" s="1193"/>
      <c r="J5" s="1193"/>
      <c r="K5" s="1194"/>
      <c r="L5" s="36"/>
      <c r="M5" s="1240"/>
      <c r="N5" s="1228" t="s">
        <v>5</v>
      </c>
      <c r="O5" s="1173"/>
      <c r="P5" s="1173"/>
      <c r="Q5" s="1172" t="s">
        <v>6</v>
      </c>
      <c r="R5" s="1173"/>
      <c r="S5" s="1174"/>
      <c r="T5" s="1143" t="str">
        <f>CONCATENATE("Relative to ",M8,"'s θ &amp; Z; Z Axis")</f>
        <v>Relative to 's θ &amp; Z; Z Axis</v>
      </c>
      <c r="U5" s="1128"/>
      <c r="V5" s="1171"/>
      <c r="W5" s="1128" t="str">
        <f>CONCATENATE("Relative to ",M8,"'s θ &amp; Z; Z Axis")</f>
        <v>Relative to 's θ &amp; Z; Z Axis</v>
      </c>
      <c r="X5" s="1128"/>
      <c r="Y5" s="1219"/>
      <c r="Z5" s="1209" t="str">
        <f>N5</f>
        <v>Relative to World_CS</v>
      </c>
      <c r="AA5" s="1128"/>
      <c r="AB5" s="1128"/>
      <c r="AC5" s="1128"/>
      <c r="AD5" s="1128"/>
      <c r="AE5" s="1128"/>
      <c r="AF5" s="1128"/>
      <c r="AG5" s="1143" t="str">
        <f>N5</f>
        <v>Relative to World_CS</v>
      </c>
      <c r="AH5" s="1128"/>
      <c r="AI5" s="1128"/>
      <c r="AJ5" s="1129"/>
      <c r="AK5" s="1182" t="s">
        <v>7</v>
      </c>
      <c r="AL5" s="1173"/>
      <c r="AM5" s="1173"/>
      <c r="AN5" s="1173"/>
      <c r="AO5" s="1173"/>
      <c r="AP5" s="1173"/>
      <c r="AQ5" s="1174"/>
      <c r="AS5" s="57">
        <f>((AS4*12)/60)/AS3</f>
        <v>0.25</v>
      </c>
      <c r="AT5" s="486" t="s">
        <v>47</v>
      </c>
      <c r="AV5" s="1243"/>
      <c r="AW5" s="1217" t="str">
        <f>W4</f>
        <v>Polar XY; Cartesian Z</v>
      </c>
      <c r="AX5" s="1121"/>
      <c r="AY5" s="1121"/>
      <c r="AZ5" s="964" t="s">
        <v>104</v>
      </c>
      <c r="BA5" s="1121" t="str">
        <f>AK4</f>
        <v>Polar Z Projection → XZ Plane</v>
      </c>
      <c r="BB5" s="1121"/>
      <c r="BC5" s="1122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95"/>
      <c r="C6" s="1196"/>
      <c r="D6" s="1196"/>
      <c r="E6" s="1196"/>
      <c r="F6" s="1196"/>
      <c r="G6" s="1196"/>
      <c r="H6" s="1196"/>
      <c r="I6" s="1196"/>
      <c r="J6" s="1196"/>
      <c r="K6" s="1197"/>
      <c r="L6" s="36"/>
      <c r="M6" s="1240"/>
      <c r="N6" s="1224" t="s">
        <v>8</v>
      </c>
      <c r="O6" s="1226" t="s">
        <v>9</v>
      </c>
      <c r="P6" s="1222" t="s">
        <v>10</v>
      </c>
      <c r="Q6" s="1229" t="s">
        <v>11</v>
      </c>
      <c r="R6" s="1230"/>
      <c r="S6" s="1220" t="s">
        <v>10</v>
      </c>
      <c r="T6" s="1167" t="str">
        <f>N6</f>
        <v>X</v>
      </c>
      <c r="U6" s="1169" t="str">
        <f>O6</f>
        <v>Y</v>
      </c>
      <c r="V6" s="1215" t="str">
        <f>P6</f>
        <v>Z</v>
      </c>
      <c r="W6" s="1123" t="str">
        <f>Q6</f>
        <v>Projected XY</v>
      </c>
      <c r="X6" s="1124"/>
      <c r="Y6" s="1165" t="str">
        <f>S6</f>
        <v>Z</v>
      </c>
      <c r="Z6" s="1148" t="s">
        <v>12</v>
      </c>
      <c r="AA6" s="1149"/>
      <c r="AB6" s="1149"/>
      <c r="AC6" s="1150"/>
      <c r="AD6" s="1146" t="s">
        <v>13</v>
      </c>
      <c r="AE6" s="1145"/>
      <c r="AF6" s="1145"/>
      <c r="AG6" s="1144" t="s">
        <v>7</v>
      </c>
      <c r="AH6" s="1145"/>
      <c r="AI6" s="1146" t="s">
        <v>14</v>
      </c>
      <c r="AJ6" s="1147"/>
      <c r="AK6" s="1217" t="str">
        <f>AD6</f>
        <v>Unit Vector</v>
      </c>
      <c r="AL6" s="1121"/>
      <c r="AM6" s="1122"/>
      <c r="AN6" s="37" t="s">
        <v>15</v>
      </c>
      <c r="AO6" s="38" t="s">
        <v>16</v>
      </c>
      <c r="AP6" s="189" t="s">
        <v>17</v>
      </c>
      <c r="AQ6" s="1157" t="s">
        <v>108</v>
      </c>
      <c r="AS6" s="177">
        <f>AS5/360</f>
        <v>6.9444444444444447E-4</v>
      </c>
      <c r="AT6" s="487" t="s">
        <v>48</v>
      </c>
      <c r="AV6" s="1243"/>
      <c r="AW6" s="1143" t="str">
        <f>W5</f>
        <v>Relative to 's θ &amp; Z; Z Axis</v>
      </c>
      <c r="AX6" s="1128"/>
      <c r="AY6" s="1128"/>
      <c r="AZ6" s="1256"/>
      <c r="BA6" s="1128" t="str">
        <f>AK5</f>
        <v>Vector Along X Axis</v>
      </c>
      <c r="BB6" s="1128"/>
      <c r="BC6" s="1129"/>
      <c r="BF6" s="475">
        <f>SUM(AZ9:AZ150)</f>
        <v>0</v>
      </c>
      <c r="BG6" s="1232" t="s">
        <v>318</v>
      </c>
      <c r="BH6" s="1232"/>
      <c r="BI6" s="1232"/>
      <c r="BJ6" s="1232"/>
      <c r="BK6" s="1232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210" t="s">
        <v>40</v>
      </c>
      <c r="C7" s="1211"/>
      <c r="D7" s="1212"/>
      <c r="E7" s="1213" t="s">
        <v>41</v>
      </c>
      <c r="F7" s="1211"/>
      <c r="G7" s="1214"/>
      <c r="H7" s="878" t="s">
        <v>314</v>
      </c>
      <c r="I7" s="865"/>
      <c r="J7" s="866"/>
      <c r="K7" s="564"/>
      <c r="L7" s="36"/>
      <c r="M7" s="1241"/>
      <c r="N7" s="1225"/>
      <c r="O7" s="1227"/>
      <c r="P7" s="1223"/>
      <c r="Q7" s="39" t="s">
        <v>18</v>
      </c>
      <c r="R7" s="2" t="s">
        <v>19</v>
      </c>
      <c r="S7" s="1221"/>
      <c r="T7" s="1168"/>
      <c r="U7" s="1170"/>
      <c r="V7" s="1216"/>
      <c r="W7" s="40" t="str">
        <f>Q7</f>
        <v>&lt; θ°</v>
      </c>
      <c r="X7" s="30" t="str">
        <f>R7</f>
        <v>r</v>
      </c>
      <c r="Y7" s="1166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58"/>
      <c r="AS7" s="1163" t="s">
        <v>54</v>
      </c>
      <c r="AT7" s="1161" t="s">
        <v>53</v>
      </c>
      <c r="AV7" s="1243"/>
      <c r="AW7" s="1255" t="str">
        <f>$W$6</f>
        <v>Projected XY</v>
      </c>
      <c r="AX7" s="1124"/>
      <c r="AY7" s="1257" t="str">
        <f>$Y$6</f>
        <v>Z</v>
      </c>
      <c r="AZ7" s="1256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32"/>
      <c r="BH7" s="1232"/>
      <c r="BI7" s="1232"/>
      <c r="BJ7" s="1232"/>
      <c r="BK7" s="1232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64"/>
      <c r="AT8" s="1162"/>
      <c r="AV8" s="1244"/>
      <c r="AW8" s="49" t="str">
        <f>$W$7</f>
        <v>&lt; θ°</v>
      </c>
      <c r="AX8" s="30" t="str">
        <f>$X$7</f>
        <v>r</v>
      </c>
      <c r="AY8" s="1258"/>
      <c r="AZ8" s="965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79" t="s">
        <v>369</v>
      </c>
      <c r="BK9" s="1280"/>
      <c r="BL9" s="1280"/>
      <c r="BM9" s="1280"/>
      <c r="BN9" s="1281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79" t="s">
        <v>370</v>
      </c>
      <c r="BK19" s="1280"/>
      <c r="BL19" s="1280"/>
      <c r="BM19" s="1280"/>
      <c r="BN19" s="1281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3" t="str">
        <f>$W$6</f>
        <v>Projected XY</v>
      </c>
      <c r="AX152" s="1254"/>
      <c r="AY152" s="1271" t="str">
        <f>$Y$6</f>
        <v>Z</v>
      </c>
      <c r="AZ152" s="1269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72"/>
      <c r="AZ153" s="1270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198" t="s">
        <v>42</v>
      </c>
      <c r="C157" s="1199"/>
      <c r="D157" s="1199"/>
      <c r="E157" s="1199"/>
      <c r="F157" s="1199"/>
      <c r="G157" s="1199"/>
      <c r="H157" s="1199"/>
      <c r="I157" s="1199"/>
      <c r="J157" s="1199"/>
      <c r="K157" s="1200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201"/>
      <c r="C158" s="1149"/>
      <c r="D158" s="1149"/>
      <c r="E158" s="1149"/>
      <c r="F158" s="1149"/>
      <c r="G158" s="1149"/>
      <c r="H158" s="1149"/>
      <c r="I158" s="1149"/>
      <c r="J158" s="1149"/>
      <c r="K158" s="1202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203"/>
      <c r="C159" s="1204"/>
      <c r="D159" s="1204"/>
      <c r="E159" s="1204"/>
      <c r="F159" s="1204"/>
      <c r="G159" s="1204"/>
      <c r="H159" s="1204"/>
      <c r="I159" s="1204"/>
      <c r="J159" s="1204"/>
      <c r="K159" s="1205"/>
      <c r="AQ159" s="171"/>
    </row>
    <row r="160" spans="2:60" ht="15" customHeight="1" x14ac:dyDescent="0.25">
      <c r="B160" s="1192" t="str">
        <f>CONCATENATE(B162," ; ",E162," ; ",H163)</f>
        <v>Absolute-Point ; Incremental-Vector Point ; Radius</v>
      </c>
      <c r="C160" s="1193"/>
      <c r="D160" s="1193"/>
      <c r="E160" s="1193"/>
      <c r="F160" s="1193"/>
      <c r="G160" s="1193"/>
      <c r="H160" s="1193"/>
      <c r="I160" s="1193"/>
      <c r="J160" s="1193"/>
      <c r="K160" s="1194"/>
      <c r="AQ160" s="171"/>
    </row>
    <row r="161" spans="2:43" ht="15" customHeight="1" x14ac:dyDescent="0.25">
      <c r="B161" s="1195"/>
      <c r="C161" s="1196"/>
      <c r="D161" s="1196"/>
      <c r="E161" s="1196"/>
      <c r="F161" s="1196"/>
      <c r="G161" s="1196"/>
      <c r="H161" s="1196"/>
      <c r="I161" s="1196"/>
      <c r="J161" s="1196"/>
      <c r="K161" s="1197"/>
      <c r="AQ161" s="171"/>
    </row>
    <row r="162" spans="2:43" ht="15" customHeight="1" x14ac:dyDescent="0.25">
      <c r="B162" s="1210" t="s">
        <v>40</v>
      </c>
      <c r="C162" s="1211"/>
      <c r="D162" s="1212"/>
      <c r="E162" s="1213" t="s">
        <v>41</v>
      </c>
      <c r="F162" s="1211"/>
      <c r="G162" s="1214"/>
      <c r="H162" s="878" t="s">
        <v>314</v>
      </c>
      <c r="I162" s="865"/>
      <c r="J162" s="866"/>
      <c r="K162" s="564"/>
      <c r="M162" s="1049" t="s">
        <v>313</v>
      </c>
      <c r="N162" s="1250"/>
      <c r="O162" s="1262" t="s">
        <v>292</v>
      </c>
      <c r="P162" s="1263"/>
      <c r="Q162" s="1264"/>
      <c r="R162" s="1265" t="s">
        <v>41</v>
      </c>
      <c r="S162" s="1263"/>
      <c r="T162" s="1264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1"/>
      <c r="N163" s="1252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1.1120000000000001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1.119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1.1259999999999999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1.133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1.1399999999999999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1.147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1.1539999999999999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1.161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1.2190000000000001</v>
      </c>
      <c r="N175" s="594" t="str">
        <f>Assy.Model!K20</f>
        <v>1313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1.226</v>
      </c>
      <c r="N176" s="594" t="str">
        <f>Assy.Model!K21</f>
        <v>1313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1.2330000000000001</v>
      </c>
      <c r="N177" s="594" t="str">
        <f>Assy.Model!K22</f>
        <v>1313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1.24</v>
      </c>
      <c r="N178" s="594" t="str">
        <f>Assy.Model!K23</f>
        <v>1313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1.2470000000000001</v>
      </c>
      <c r="N179" s="594" t="str">
        <f>Assy.Model!K24</f>
        <v>1313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1.254</v>
      </c>
      <c r="N180" s="594" t="str">
        <f>Assy.Model!K25</f>
        <v>Knuckle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2.1110000000000002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2.1179999999999999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2.125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2.1320000000000001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2.1389999999999998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2.1459999999999999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2.153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2.16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2.1669999999999998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2.2250000000000001</v>
      </c>
      <c r="N190" s="594" t="str">
        <f>Assy.Model!K35</f>
        <v>1313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2.2320000000000002</v>
      </c>
      <c r="N191" s="594" t="str">
        <f>Assy.Model!K36</f>
        <v>1313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2.2389999999999999</v>
      </c>
      <c r="N192" s="594" t="str">
        <f>Assy.Model!K37</f>
        <v>1313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2.246</v>
      </c>
      <c r="N193" s="594" t="str">
        <f>Assy.Model!K38</f>
        <v>1313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2.2530000000000001</v>
      </c>
      <c r="N194" s="594" t="str">
        <f>Assy.Model!K39</f>
        <v>1313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2.2599999999999998</v>
      </c>
      <c r="N195" s="594" t="str">
        <f>Assy.Model!K40</f>
        <v>Knuckle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3.1030000000000002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3.1059999999999999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3.11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3.117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3.1240000000000001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3.1309999999999998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3.1379999999999999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3.145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3.1520000000000001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3.1589999999999998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3.1659999999999999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3.2240000000000002</v>
      </c>
      <c r="N207" s="594" t="str">
        <f>Assy.Model!K52</f>
        <v>1313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3.2309999999999999</v>
      </c>
      <c r="N208" s="594" t="str">
        <f>Assy.Model!K53</f>
        <v>1313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3.238</v>
      </c>
      <c r="N209" s="594" t="str">
        <f>Assy.Model!K54</f>
        <v>1313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3.2450000000000001</v>
      </c>
      <c r="N210" s="594" t="str">
        <f>Assy.Model!K55</f>
        <v>1313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3.2519999999999998</v>
      </c>
      <c r="N211" s="594" t="str">
        <f>Assy.Model!K56</f>
        <v>1313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3.2589999999999999</v>
      </c>
      <c r="N212" s="594" t="str">
        <f>Assy.Model!K57</f>
        <v>Knuckle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4.1159999999999997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4.1230000000000002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4.13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4.1369999999999996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4.1440000000000001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4.1509999999999998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4.1580000000000004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4.165</v>
      </c>
      <c r="N220" s="594" t="str">
        <f>Assy.Model!K65</f>
        <v>1613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4.2229999999999999</v>
      </c>
      <c r="N221" s="594" t="str">
        <f>Assy.Model!K66</f>
        <v>1313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4.2300000000000004</v>
      </c>
      <c r="N222" s="594" t="str">
        <f>Assy.Model!K67</f>
        <v>1313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4.2370000000000001</v>
      </c>
      <c r="N223" s="594" t="str">
        <f>Assy.Model!K68</f>
        <v>1313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4.2439999999999998</v>
      </c>
      <c r="N224" s="594" t="str">
        <f>Assy.Model!K69</f>
        <v>1313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4.2510000000000003</v>
      </c>
      <c r="N225" s="594" t="str">
        <f>Assy.Model!K70</f>
        <v>1313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4.258</v>
      </c>
      <c r="N226" s="594" t="str">
        <f>Assy.Model!K71</f>
        <v>Knuckle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5.1020000000000003</v>
      </c>
      <c r="N227" s="594" t="str">
        <f>Assy.Model!K72</f>
        <v>1613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5.1050000000000004</v>
      </c>
      <c r="N228" s="594" t="str">
        <f>Assy.Model!K73</f>
        <v>1613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5.1079999999999997</v>
      </c>
      <c r="N229" s="594" t="str">
        <f>Assy.Model!K74</f>
        <v>1613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5.1150000000000002</v>
      </c>
      <c r="N230" s="594" t="str">
        <f>Assy.Model!K75</f>
        <v>1613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5.1219999999999999</v>
      </c>
      <c r="N231" s="594" t="str">
        <f>Assy.Model!K76</f>
        <v>1613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5.1289999999999996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5.1360000000000001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5.1429999999999998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5.15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5.157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5.1639999999999997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5.2220000000000004</v>
      </c>
      <c r="N238" s="594" t="str">
        <f>Assy.Model!K83</f>
        <v>1313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5.2290000000000001</v>
      </c>
      <c r="N239" s="594" t="str">
        <f>Assy.Model!K84</f>
        <v>1313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5.2359999999999998</v>
      </c>
      <c r="N240" s="594" t="str">
        <f>Assy.Model!K85</f>
        <v>1313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5.2430000000000003</v>
      </c>
      <c r="N241" s="594" t="str">
        <f>Assy.Model!K86</f>
        <v>1313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5.25</v>
      </c>
      <c r="N242" s="594" t="str">
        <f>Assy.Model!K87</f>
        <v>1313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5.2569999999999997</v>
      </c>
      <c r="N243" s="594" t="str">
        <f>Assy.Model!K88</f>
        <v>Knuckle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6.1139999999999999</v>
      </c>
      <c r="N244" s="594" t="str">
        <f>Assy.Model!K89</f>
        <v>1613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6.1210000000000004</v>
      </c>
      <c r="N245" s="594" t="str">
        <f>Assy.Model!K90</f>
        <v>1613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6.1280000000000001</v>
      </c>
      <c r="N246" s="594" t="str">
        <f>Assy.Model!K91</f>
        <v>1613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6.1349999999999998</v>
      </c>
      <c r="N247" s="594" t="str">
        <f>Assy.Model!K92</f>
        <v>1613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6.1420000000000003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6.149</v>
      </c>
      <c r="N249" s="594" t="str">
        <f>Assy.Model!K94</f>
        <v>1613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6.1559999999999997</v>
      </c>
      <c r="N250" s="594" t="str">
        <f>Assy.Model!K95</f>
        <v>1613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6.1630000000000003</v>
      </c>
      <c r="N251" s="594" t="str">
        <f>Assy.Model!K96</f>
        <v>1613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6.2210000000000001</v>
      </c>
      <c r="N252" s="594" t="str">
        <f>Assy.Model!K97</f>
        <v>1313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6.2279999999999998</v>
      </c>
      <c r="N253" s="594" t="str">
        <f>Assy.Model!K98</f>
        <v>1313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6.2350000000000003</v>
      </c>
      <c r="N254" s="594" t="str">
        <f>Assy.Model!K99</f>
        <v>1313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6.242</v>
      </c>
      <c r="N255" s="594" t="str">
        <f>Assy.Model!K100</f>
        <v>1313</v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>
        <f>Assy.Model!$M101</f>
        <v>6.2489999999999997</v>
      </c>
      <c r="N256" s="594" t="str">
        <f>Assy.Model!K101</f>
        <v>1313</v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>
        <f>Assy.Model!$M102</f>
        <v>6.2560000000000002</v>
      </c>
      <c r="N257" s="594" t="str">
        <f>Assy.Model!K102</f>
        <v>Knuckle</v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>
        <f>Assy.Model!$M103</f>
        <v>7.1130000000000004</v>
      </c>
      <c r="N258" s="594" t="str">
        <f>Assy.Model!K103</f>
        <v>1613</v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>
        <f>Assy.Model!$M104</f>
        <v>7.12</v>
      </c>
      <c r="N259" s="594" t="str">
        <f>Assy.Model!K104</f>
        <v>1613</v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>
        <f>Assy.Model!$M105</f>
        <v>7.1269999999999998</v>
      </c>
      <c r="N260" s="594" t="str">
        <f>Assy.Model!K105</f>
        <v>1613</v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>
        <f>Assy.Model!$M106</f>
        <v>7.1340000000000003</v>
      </c>
      <c r="N261" s="594" t="str">
        <f>Assy.Model!K106</f>
        <v>1613</v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>
        <f>Assy.Model!$M107</f>
        <v>7.141</v>
      </c>
      <c r="N262" s="594" t="str">
        <f>Assy.Model!K107</f>
        <v>1613</v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>
        <f>Assy.Model!$M108</f>
        <v>7.1479999999999997</v>
      </c>
      <c r="N263" s="594" t="str">
        <f>Assy.Model!K108</f>
        <v>1613</v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>
        <f>Assy.Model!$M109</f>
        <v>7.1550000000000002</v>
      </c>
      <c r="N264" s="594" t="str">
        <f>Assy.Model!K109</f>
        <v>1613</v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>
        <f>Assy.Model!$M110</f>
        <v>7.1619999999999999</v>
      </c>
      <c r="N265" s="594" t="str">
        <f>Assy.Model!K110</f>
        <v>1613</v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>
        <f>Assy.Model!$M111</f>
        <v>7.22</v>
      </c>
      <c r="N266" s="594" t="str">
        <f>Assy.Model!K111</f>
        <v>1313</v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>
        <f>Assy.Model!$M112</f>
        <v>7.2270000000000003</v>
      </c>
      <c r="N267" s="594" t="str">
        <f>Assy.Model!K112</f>
        <v>1313</v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>
        <f>Assy.Model!$M113</f>
        <v>7.234</v>
      </c>
      <c r="N268" s="594" t="str">
        <f>Assy.Model!K113</f>
        <v>1313</v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>
        <f>Assy.Model!$M114</f>
        <v>7.2409999999999997</v>
      </c>
      <c r="N269" s="594" t="str">
        <f>Assy.Model!K114</f>
        <v>1313</v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>
        <f>Assy.Model!$M115</f>
        <v>7.2480000000000002</v>
      </c>
      <c r="N270" s="594" t="str">
        <f>Assy.Model!K115</f>
        <v>1313</v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>
        <f>Assy.Model!$M116</f>
        <v>7.2549999999999999</v>
      </c>
      <c r="N271" s="594" t="str">
        <f>Assy.Model!K116</f>
        <v>Knuckle</v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2023-03-17T20:05:57Z</dcterms:modified>
</cp:coreProperties>
</file>