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20\"/>
    </mc:Choice>
  </mc:AlternateContent>
  <xr:revisionPtr revIDLastSave="0" documentId="13_ncr:1_{FC610720-4547-4B39-B7E9-298F431AF692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9" i="1" l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L2" i="1" l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T11" i="1"/>
  <c r="IR11" i="1"/>
  <c r="IQ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W48" i="1"/>
  <c r="IR48" i="1"/>
  <c r="IN48" i="1"/>
  <c r="IQ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P32" i="1"/>
  <c r="IN32" i="1"/>
  <c r="IR32" i="1"/>
  <c r="IQ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Q49" i="1"/>
  <c r="IW49" i="1"/>
  <c r="IP49" i="1"/>
  <c r="IN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X11" i="1" l="1"/>
  <c r="IY11" i="1"/>
  <c r="IK11" i="1"/>
  <c r="JA23" i="1" s="1" a="1"/>
  <c r="JA23" i="1" s="1"/>
  <c r="JA9" i="1" a="1"/>
  <c r="IF85" i="1"/>
  <c r="IF129" i="1"/>
  <c r="IF73" i="1"/>
  <c r="IF138" i="1"/>
  <c r="IF10" i="1"/>
  <c r="IF150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34" i="1"/>
  <c r="IF8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F11" i="1" l="1"/>
  <c r="JA9" i="1"/>
  <c r="JB15" i="1" s="1" a="1"/>
  <c r="JB15" i="1" s="1"/>
  <c r="JB11" i="1" a="1"/>
  <c r="JB11" i="1" s="1"/>
  <c r="JB10" i="1" a="1"/>
  <c r="JB10" i="1" s="1"/>
  <c r="JB24" i="1" a="1"/>
  <c r="JB24" i="1" s="1"/>
  <c r="JB25" i="1" a="1"/>
  <c r="JB25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V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52" i="1" l="1"/>
  <c r="IV48" i="1"/>
  <c r="JB16" i="1" a="1"/>
  <c r="JB16" i="1" s="1"/>
  <c r="JB9" i="1" a="1"/>
  <c r="JB9" i="1" s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U49" i="1" s="1"/>
  <c r="IE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52" i="1" l="1"/>
  <c r="IU48" i="1"/>
  <c r="IE48" i="1" s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IL48" i="1" s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IL16" i="1" s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49" i="1" l="1"/>
  <c r="IL32" i="1"/>
  <c r="IL23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Y49" i="1" s="1"/>
  <c r="AK50" i="1"/>
  <c r="AL50" i="1"/>
  <c r="AN50" i="1" s="1"/>
  <c r="U50" i="1"/>
  <c r="T50" i="1"/>
  <c r="T49" i="1"/>
  <c r="AK49" i="1"/>
  <c r="AO49" i="1" s="1"/>
  <c r="IX49" i="1" s="1"/>
  <c r="AK48" i="1"/>
  <c r="U48" i="1"/>
  <c r="AL48" i="1"/>
  <c r="AN48" i="1" s="1"/>
  <c r="IY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IT48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IT32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45" i="1" l="1"/>
  <c r="IT49" i="1"/>
  <c r="IF49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AP48" i="1"/>
  <c r="AP45" i="1"/>
  <c r="AO45" i="1"/>
  <c r="AP46" i="1"/>
  <c r="AO46" i="1"/>
  <c r="AP43" i="1"/>
  <c r="AO44" i="1"/>
  <c r="IS48" i="1" s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IX32" i="1" s="1"/>
  <c r="IF32" i="1" s="1"/>
  <c r="AP32" i="1"/>
  <c r="AO29" i="1"/>
  <c r="AP29" i="1"/>
  <c r="AP30" i="1"/>
  <c r="AO27" i="1"/>
  <c r="IX27" i="1" s="1"/>
  <c r="IF27" i="1" s="1"/>
  <c r="AP27" i="1"/>
  <c r="AP28" i="1"/>
  <c r="AO28" i="1"/>
  <c r="IS32" i="1" s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45" i="1" l="1"/>
  <c r="IF45" i="1" s="1"/>
  <c r="IS49" i="1"/>
  <c r="IS52" i="1"/>
  <c r="IX48" i="1"/>
  <c r="IF48" i="1" s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<sst xmlns="http://schemas.openxmlformats.org/spreadsheetml/2006/main" count="734" uniqueCount="391">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</sst>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5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3" fontId="26" fillId="63" borderId="0" xfId="0" applyNumberFormat="1" applyFont="1" applyFill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  <xf numFmtId="0" fontId="26" fillId="0" borderId="0" xfId="0" applyNumberFormat="1" applyFont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35" sqref="C35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3" t="s">
        <v>77</v>
      </c>
      <c r="D1" s="913"/>
      <c r="E1" s="913"/>
      <c r="F1" s="913"/>
      <c r="G1" s="913"/>
      <c r="H1" s="913"/>
      <c r="I1" s="913"/>
      <c r="J1" s="913"/>
      <c r="K1" s="91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0" t="s">
        <v>80</v>
      </c>
      <c r="B6" s="900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9" t="s">
        <v>379</v>
      </c>
      <c r="AQ7" s="899"/>
      <c r="AR7" s="899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5">
        <v>9</v>
      </c>
      <c r="D9" s="875"/>
      <c r="E9" s="875"/>
      <c r="F9" s="875"/>
      <c r="G9" s="875"/>
      <c r="H9" s="875"/>
      <c r="I9" s="875"/>
      <c r="J9" s="875"/>
      <c r="K9" s="906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4"/>
      <c r="C10" s="895"/>
      <c r="D10" s="895"/>
      <c r="E10" s="895"/>
      <c r="F10" s="895"/>
      <c r="G10" s="895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1"/>
      <c r="B11" s="901" t="s">
        <v>33</v>
      </c>
      <c r="C11" s="910" t="s">
        <v>34</v>
      </c>
      <c r="D11" s="910"/>
      <c r="E11" s="907" t="s">
        <v>39</v>
      </c>
      <c r="F11" s="901" t="s">
        <v>35</v>
      </c>
      <c r="G11" s="901" t="s">
        <v>36</v>
      </c>
      <c r="H11" s="901" t="s">
        <v>43</v>
      </c>
      <c r="I11" s="908" t="s">
        <v>67</v>
      </c>
      <c r="J11" s="910" t="s">
        <v>56</v>
      </c>
      <c r="K11" s="910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4" t="s">
        <v>347</v>
      </c>
      <c r="AN11" s="875"/>
      <c r="AO11" s="875"/>
      <c r="AP11" s="875"/>
      <c r="AQ11" s="875"/>
      <c r="AR11" s="876"/>
      <c r="AS11" s="885" t="s">
        <v>354</v>
      </c>
      <c r="AT11" s="886"/>
      <c r="AU11" s="886"/>
      <c r="AV11" s="887"/>
      <c r="BC11" s="470"/>
    </row>
    <row r="12" spans="1:55" ht="15.75" thickBot="1" x14ac:dyDescent="0.3">
      <c r="A12" s="912"/>
      <c r="B12" s="902"/>
      <c r="C12" s="48" t="s">
        <v>8</v>
      </c>
      <c r="D12" s="49" t="s">
        <v>10</v>
      </c>
      <c r="E12" s="902"/>
      <c r="F12" s="902"/>
      <c r="G12" s="902"/>
      <c r="H12" s="902"/>
      <c r="I12" s="909"/>
      <c r="J12" s="53" t="s">
        <v>8</v>
      </c>
      <c r="K12" s="54" t="s">
        <v>10</v>
      </c>
      <c r="M12" s="31"/>
      <c r="N12" s="31"/>
      <c r="O12" s="922" t="s">
        <v>46</v>
      </c>
      <c r="P12" s="923"/>
      <c r="Q12" s="903" t="s">
        <v>45</v>
      </c>
      <c r="R12" s="904"/>
      <c r="S12" s="904"/>
      <c r="T12" s="904"/>
      <c r="U12" s="904"/>
      <c r="V12" s="904"/>
      <c r="W12" s="904"/>
      <c r="X12" s="904"/>
      <c r="Y12" s="904"/>
      <c r="Z12" s="904"/>
      <c r="AA12" s="904"/>
      <c r="AB12" s="904"/>
      <c r="AC12" s="904"/>
      <c r="AD12" s="904"/>
      <c r="AE12" s="905"/>
      <c r="AF12" s="916" t="s">
        <v>56</v>
      </c>
      <c r="AG12" s="917"/>
      <c r="AH12" s="31"/>
      <c r="AK12" s="880" t="s">
        <v>355</v>
      </c>
      <c r="AL12" s="896"/>
      <c r="AM12" s="877" t="s">
        <v>352</v>
      </c>
      <c r="AN12" s="878"/>
      <c r="AO12" s="879"/>
      <c r="AP12" s="880" t="s">
        <v>380</v>
      </c>
      <c r="AQ12" s="879"/>
      <c r="AR12" s="802" t="s">
        <v>378</v>
      </c>
      <c r="AS12" s="882" t="s">
        <v>352</v>
      </c>
      <c r="AT12" s="879"/>
      <c r="AU12" s="883" t="s">
        <v>353</v>
      </c>
      <c r="AV12" s="884"/>
      <c r="AW12" s="888" t="s">
        <v>351</v>
      </c>
      <c r="AX12" s="889"/>
      <c r="AZ12" s="880" t="s">
        <v>60</v>
      </c>
      <c r="BA12" s="879"/>
      <c r="BC12" s="881" t="s">
        <v>383</v>
      </c>
    </row>
    <row r="13" spans="1:55" ht="15.75" thickBot="1" x14ac:dyDescent="0.3">
      <c r="A13" s="64" t="s">
        <v>57</v>
      </c>
      <c r="B13" s="890" t="s">
        <v>97</v>
      </c>
      <c r="C13" s="892" t="str">
        <f>SUBSTITUTE(ADDRESS(1,COLUMN(Assy.Model!X9),4),"1","")</f>
        <v>X</v>
      </c>
      <c r="D13" s="101" t="str">
        <f>SUBSTITUTE(ADDRESS(1,COLUMN(Assy.Model!Y9),4),"1","")</f>
        <v>Y</v>
      </c>
      <c r="E13" s="897" t="str">
        <f>SUBSTITUTE(ADDRESS(1,COLUMN(Assy.Model!H9),4),"1","")</f>
        <v>H</v>
      </c>
      <c r="F13" s="897" t="str">
        <f>SUBSTITUTE(ADDRESS(1,COLUMN(Assy.Model!AN9),4),"1","")</f>
        <v>AN</v>
      </c>
      <c r="G13" s="897" t="str">
        <f>SUBSTITUTE(ADDRESS(1,COLUMN(Assy.Model!AO9),4),"1","")</f>
        <v>AO</v>
      </c>
      <c r="H13" s="897" t="str">
        <f>SUBSTITUTE(ADDRESS(1,COLUMN(Assy.Model!AO9),4),"1","")</f>
        <v>AO</v>
      </c>
      <c r="I13" s="897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4"/>
      <c r="P13" s="92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1"/>
    </row>
    <row r="14" spans="1:55" x14ac:dyDescent="0.25">
      <c r="A14" s="62" t="s">
        <v>58</v>
      </c>
      <c r="B14" s="891"/>
      <c r="C14" s="893"/>
      <c r="D14" s="102" t="str">
        <f>SUBSTITUTE(ADDRESS(1,COLUMN(Assy.Model!AT9),4),"1","")</f>
        <v>AT</v>
      </c>
      <c r="E14" s="898"/>
      <c r="F14" s="898"/>
      <c r="G14" s="898"/>
      <c r="H14" s="898"/>
      <c r="I14" s="898"/>
      <c r="J14" s="91">
        <v>0</v>
      </c>
      <c r="K14" s="92">
        <v>0</v>
      </c>
      <c r="L14" s="31"/>
      <c r="M14" s="190">
        <v>6.25E-2</v>
      </c>
      <c r="N14" s="31">
        <v>32</v>
      </c>
      <c r="O14" s="92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2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2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2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2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8.75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2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5" t="s">
        <v>64</v>
      </c>
      <c r="C21" s="875"/>
      <c r="D21" s="875"/>
      <c r="E21" s="875"/>
      <c r="F21" s="906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1"/>
      <c r="C22" s="905" t="s">
        <v>63</v>
      </c>
      <c r="D22" s="906"/>
      <c r="E22" s="908" t="s">
        <v>60</v>
      </c>
      <c r="F22" s="908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6"/>
      <c r="C23" s="57" t="s">
        <v>8</v>
      </c>
      <c r="D23" s="57" t="s">
        <v>9</v>
      </c>
      <c r="E23" s="909"/>
      <c r="F23" s="909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8">
        <v>0</v>
      </c>
      <c r="E24" s="918">
        <v>2</v>
      </c>
      <c r="F24" s="91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4.375</v>
      </c>
      <c r="D25" s="919"/>
      <c r="E25" s="919"/>
      <c r="F25" s="91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4" t="s">
        <v>311</v>
      </c>
      <c r="C27" s="914"/>
      <c r="D27" s="914"/>
      <c r="E27" s="914"/>
      <c r="F27" s="91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5" t="s">
        <v>390</v>
      </c>
      <c r="C28" s="915"/>
      <c r="D28" s="915"/>
      <c r="E28" s="915"/>
      <c r="F28" s="91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5" t="s">
        <v>95</v>
      </c>
      <c r="D3" s="875"/>
      <c r="E3" s="875"/>
      <c r="F3" s="875"/>
      <c r="G3" s="875"/>
      <c r="H3" s="875"/>
      <c r="I3" s="875"/>
      <c r="J3" s="875"/>
      <c r="K3" s="876"/>
      <c r="L3" s="932"/>
      <c r="M3" s="875"/>
      <c r="N3" s="875"/>
      <c r="O3" s="875"/>
      <c r="P3" s="875"/>
      <c r="Q3" s="875"/>
      <c r="R3" s="906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4" t="s">
        <v>86</v>
      </c>
      <c r="C4" s="971" t="s">
        <v>82</v>
      </c>
      <c r="D4" s="875" t="s">
        <v>83</v>
      </c>
      <c r="E4" s="875"/>
      <c r="F4" s="875"/>
      <c r="G4" s="875"/>
      <c r="H4" s="875"/>
      <c r="I4" s="875"/>
      <c r="J4" s="875"/>
      <c r="K4" s="875"/>
      <c r="L4" s="150" t="s">
        <v>91</v>
      </c>
      <c r="M4" s="905" t="s">
        <v>94</v>
      </c>
      <c r="N4" s="875"/>
      <c r="O4" s="875"/>
      <c r="P4" s="876"/>
      <c r="Q4" s="875" t="s">
        <v>52</v>
      </c>
      <c r="R4" s="906"/>
      <c r="S4" s="107"/>
      <c r="T4" s="905">
        <v>350</v>
      </c>
      <c r="U4" s="875"/>
      <c r="V4" s="875" t="s">
        <v>76</v>
      </c>
      <c r="W4" s="875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5"/>
      <c r="C5" s="972"/>
      <c r="D5" s="960" t="s">
        <v>85</v>
      </c>
      <c r="E5" s="974" t="s">
        <v>89</v>
      </c>
      <c r="F5" s="910" t="s">
        <v>34</v>
      </c>
      <c r="G5" s="910"/>
      <c r="H5" s="907" t="s">
        <v>39</v>
      </c>
      <c r="I5" s="901" t="s">
        <v>35</v>
      </c>
      <c r="J5" s="901" t="s">
        <v>36</v>
      </c>
      <c r="K5" s="944" t="s">
        <v>67</v>
      </c>
      <c r="L5" s="151" t="s">
        <v>92</v>
      </c>
      <c r="M5" s="908" t="s">
        <v>90</v>
      </c>
      <c r="N5" s="908" t="s">
        <v>47</v>
      </c>
      <c r="O5" s="927" t="s">
        <v>84</v>
      </c>
      <c r="P5" s="928"/>
      <c r="Q5" s="929" t="s">
        <v>84</v>
      </c>
      <c r="R5" s="930"/>
      <c r="S5" s="107"/>
      <c r="T5" s="922" t="s">
        <v>46</v>
      </c>
      <c r="U5" s="933"/>
      <c r="V5" s="889" t="s">
        <v>45</v>
      </c>
      <c r="W5" s="917"/>
      <c r="X5" s="917"/>
      <c r="Y5" s="917"/>
      <c r="Z5" s="917"/>
      <c r="AA5" s="917"/>
      <c r="AB5" s="917"/>
      <c r="AC5" s="917"/>
      <c r="AD5" s="917"/>
      <c r="AE5" s="917"/>
      <c r="AF5" s="917"/>
      <c r="AG5" s="917"/>
      <c r="AH5" s="917"/>
      <c r="AI5" s="917"/>
      <c r="AJ5" s="917"/>
      <c r="AK5" s="31"/>
      <c r="AL5" s="31"/>
    </row>
    <row r="6" spans="2:38" ht="15" customHeight="1" thickBot="1" x14ac:dyDescent="0.3">
      <c r="B6" s="956"/>
      <c r="C6" s="973"/>
      <c r="D6" s="961"/>
      <c r="E6" s="975"/>
      <c r="F6" s="108" t="s">
        <v>8</v>
      </c>
      <c r="G6" s="109" t="s">
        <v>10</v>
      </c>
      <c r="H6" s="945"/>
      <c r="I6" s="945"/>
      <c r="J6" s="945"/>
      <c r="K6" s="934"/>
      <c r="L6" s="152" t="s">
        <v>93</v>
      </c>
      <c r="M6" s="931"/>
      <c r="N6" s="931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4"/>
      <c r="U6" s="935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2">
        <f>ROW(Assy.Model!B9)</f>
        <v>9</v>
      </c>
      <c r="D7" s="951" t="str">
        <f>SUBSTITUTE(ADDRESS(1,COLUMN(Assy.Model!B9),4),"1","")</f>
        <v>B</v>
      </c>
      <c r="E7" s="965" t="str">
        <f>SUBSTITUTE(ADDRESS(1,COLUMN(Assy.Model!M9),4),"1","")</f>
        <v>M</v>
      </c>
      <c r="F7" s="968" t="str">
        <f>SUBSTITUTE(ADDRESS(1,COLUMN(Assy.Model!X9),4),"1","")</f>
        <v>X</v>
      </c>
      <c r="G7" s="957" t="str">
        <f>SUBSTITUTE(ADDRESS(1,COLUMN(Assy.Model!AT9),4),"1","")</f>
        <v>AT</v>
      </c>
      <c r="H7" s="936" t="str">
        <f>SUBSTITUTE(ADDRESS(1,COLUMN(Assy.Model!H9),4),"1","")</f>
        <v>H</v>
      </c>
      <c r="I7" s="936" t="str">
        <f>SUBSTITUTE(ADDRESS(1,COLUMN(Assy.Model!AN9),4),"1","")</f>
        <v>AN</v>
      </c>
      <c r="J7" s="936" t="str">
        <f>SUBSTITUTE(ADDRESS(1,COLUMN(Assy.Model!AO9),4),"1","")</f>
        <v>AO</v>
      </c>
      <c r="K7" s="939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6" t="s">
        <v>81</v>
      </c>
      <c r="C8" s="963"/>
      <c r="D8" s="952"/>
      <c r="E8" s="966"/>
      <c r="F8" s="969"/>
      <c r="G8" s="958"/>
      <c r="H8" s="937"/>
      <c r="I8" s="937"/>
      <c r="J8" s="937"/>
      <c r="K8" s="940"/>
      <c r="L8" s="153" t="s">
        <v>93</v>
      </c>
      <c r="M8" s="942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6"/>
      <c r="C9" s="963"/>
      <c r="D9" s="952"/>
      <c r="E9" s="966"/>
      <c r="F9" s="969"/>
      <c r="G9" s="958"/>
      <c r="H9" s="937"/>
      <c r="I9" s="937"/>
      <c r="J9" s="937"/>
      <c r="K9" s="940"/>
      <c r="L9" s="153" t="s">
        <v>92</v>
      </c>
      <c r="M9" s="942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6"/>
      <c r="C10" s="963"/>
      <c r="D10" s="952"/>
      <c r="E10" s="966"/>
      <c r="F10" s="969"/>
      <c r="G10" s="958"/>
      <c r="H10" s="937"/>
      <c r="I10" s="937"/>
      <c r="J10" s="937"/>
      <c r="K10" s="940"/>
      <c r="L10" s="153" t="s">
        <v>92</v>
      </c>
      <c r="M10" s="942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6"/>
      <c r="C11" s="963"/>
      <c r="D11" s="952"/>
      <c r="E11" s="966"/>
      <c r="F11" s="969"/>
      <c r="G11" s="958"/>
      <c r="H11" s="937"/>
      <c r="I11" s="937"/>
      <c r="J11" s="937"/>
      <c r="K11" s="940"/>
      <c r="L11" s="153" t="s">
        <v>92</v>
      </c>
      <c r="M11" s="942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6"/>
      <c r="C12" s="963"/>
      <c r="D12" s="952"/>
      <c r="E12" s="966"/>
      <c r="F12" s="969"/>
      <c r="G12" s="958"/>
      <c r="H12" s="937"/>
      <c r="I12" s="937"/>
      <c r="J12" s="937"/>
      <c r="K12" s="940"/>
      <c r="L12" s="153" t="s">
        <v>92</v>
      </c>
      <c r="M12" s="942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6"/>
      <c r="C13" s="963"/>
      <c r="D13" s="952"/>
      <c r="E13" s="966"/>
      <c r="F13" s="969"/>
      <c r="G13" s="958"/>
      <c r="H13" s="937"/>
      <c r="I13" s="937"/>
      <c r="J13" s="937"/>
      <c r="K13" s="940"/>
      <c r="L13" s="153" t="s">
        <v>92</v>
      </c>
      <c r="M13" s="942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7"/>
      <c r="C14" s="964"/>
      <c r="D14" s="953"/>
      <c r="E14" s="967"/>
      <c r="F14" s="970"/>
      <c r="G14" s="959"/>
      <c r="H14" s="938"/>
      <c r="I14" s="938"/>
      <c r="J14" s="938"/>
      <c r="K14" s="941"/>
      <c r="L14" s="154" t="s">
        <v>93</v>
      </c>
      <c r="M14" s="943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5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M1" sqref="M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9" t="str">
        <f>CONCATENATE(Settings!$C$19," ",Settings!$B$28)</f>
        <v>8.75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40" t="s">
        <v>315</v>
      </c>
      <c r="C2" s="1241"/>
      <c r="D2" s="1241"/>
      <c r="E2" s="1241"/>
      <c r="F2" s="1241"/>
      <c r="G2" s="1241"/>
      <c r="H2" s="1241"/>
      <c r="I2" s="1241"/>
      <c r="J2" s="1241"/>
      <c r="K2" s="1242"/>
      <c r="L2" s="984" t="str" cm="1">
        <f t="array" ref="L2">IF(OR($K$9:$K$150="Undefined"),"Undefined Element","")</f>
        <v/>
      </c>
      <c r="M2" s="1248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00" t="s">
        <v>0</v>
      </c>
      <c r="AW2" s="1142" t="s">
        <v>109</v>
      </c>
      <c r="AX2" s="1143"/>
      <c r="AY2" s="1143"/>
      <c r="AZ2" s="1143"/>
      <c r="BA2" s="1143"/>
      <c r="BB2" s="1143"/>
      <c r="BC2" s="1143"/>
      <c r="BD2" s="1143"/>
      <c r="BE2" s="1144"/>
      <c r="BF2" s="1154" t="s">
        <v>115</v>
      </c>
      <c r="BG2" s="1143"/>
      <c r="BH2" s="1143"/>
      <c r="BI2" s="1143"/>
      <c r="BJ2" s="1143"/>
      <c r="BK2" s="1143"/>
      <c r="BL2" s="1143"/>
      <c r="BM2" s="1143"/>
      <c r="BN2" s="1143"/>
      <c r="BO2" s="1143"/>
      <c r="BP2" s="1143"/>
      <c r="BQ2" s="1143"/>
      <c r="BR2" s="1143"/>
      <c r="BS2" s="1143"/>
      <c r="BT2" s="1143"/>
      <c r="BU2" s="1143"/>
      <c r="BV2" s="1143"/>
      <c r="BW2" s="1143"/>
      <c r="BX2" s="1143"/>
      <c r="BY2" s="1143"/>
      <c r="BZ2" s="1143"/>
      <c r="CA2" s="1143"/>
      <c r="CB2" s="1143"/>
      <c r="CC2" s="1143"/>
      <c r="CD2" s="1143"/>
      <c r="CE2" s="1143"/>
      <c r="CF2" s="1143"/>
      <c r="CG2" s="1143"/>
      <c r="CH2" s="1143"/>
      <c r="CI2" s="1143"/>
      <c r="CJ2" s="1143"/>
      <c r="CK2" s="1143"/>
      <c r="CL2" s="1143"/>
      <c r="CM2" s="1143"/>
      <c r="CN2" s="1143"/>
      <c r="CO2" s="1143"/>
      <c r="CP2" s="1143"/>
      <c r="CQ2" s="1143"/>
      <c r="CR2" s="1143"/>
      <c r="CS2" s="1143"/>
      <c r="CT2" s="1143"/>
      <c r="CU2" s="1143"/>
      <c r="CV2" s="1143"/>
      <c r="CW2" s="1143"/>
      <c r="CX2" s="1143"/>
      <c r="CY2" s="1143"/>
      <c r="CZ2" s="1143"/>
      <c r="DA2" s="1143"/>
      <c r="DB2" s="1143"/>
      <c r="DC2" s="1143"/>
      <c r="DD2" s="1143"/>
      <c r="DE2" s="1143"/>
      <c r="DF2" s="1143"/>
      <c r="DG2" s="1143"/>
      <c r="DH2" s="1143"/>
      <c r="DI2" s="1143"/>
      <c r="DJ2" s="1143"/>
      <c r="DK2" s="1143"/>
      <c r="DL2" s="1143"/>
      <c r="DM2" s="1143"/>
      <c r="DN2" s="1143"/>
      <c r="DO2" s="1143"/>
      <c r="DP2" s="1143"/>
      <c r="DQ2" s="1143"/>
      <c r="DR2" s="1143"/>
      <c r="DS2" s="1143"/>
      <c r="DT2" s="1143"/>
      <c r="DU2" s="1143"/>
      <c r="DV2" s="1143"/>
      <c r="DW2" s="1143"/>
      <c r="DX2" s="1143"/>
      <c r="DY2" s="1143"/>
      <c r="DZ2" s="1143"/>
      <c r="EA2" s="1143"/>
      <c r="EB2" s="1143"/>
      <c r="EC2" s="1143"/>
      <c r="ED2" s="1143"/>
      <c r="EE2" s="1143"/>
      <c r="EF2" s="1143"/>
      <c r="EG2" s="1143"/>
      <c r="EH2" s="1143"/>
      <c r="EI2" s="1143"/>
      <c r="EJ2" s="1143"/>
      <c r="EK2" s="1143"/>
      <c r="EL2" s="1143"/>
      <c r="EM2" s="1143"/>
      <c r="EN2" s="1143"/>
      <c r="EO2" s="1143"/>
      <c r="EP2" s="1143"/>
      <c r="EQ2" s="1143"/>
      <c r="ER2" s="1155"/>
      <c r="ES2" s="1045" t="s">
        <v>197</v>
      </c>
      <c r="ET2" s="1046"/>
      <c r="EU2" s="1046"/>
      <c r="EV2" s="1046"/>
      <c r="EW2" s="1046"/>
      <c r="EX2" s="1046"/>
      <c r="EY2" s="1046"/>
      <c r="EZ2" s="1046"/>
      <c r="FA2" s="1046"/>
      <c r="FB2" s="1046"/>
      <c r="FC2" s="1046"/>
      <c r="FD2" s="1046"/>
      <c r="FE2" s="1046"/>
      <c r="FF2" s="1047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2" t="s">
        <v>266</v>
      </c>
      <c r="HQ2" s="1073" t="str">
        <f>IFERROR(CONCATENATE("Sum of Lateral Forces = ",ROUND(HE3,0)," lbs @ ",ROUND(HF3,1),"° Relative to Blade 1"),"")</f>
        <v/>
      </c>
      <c r="HR2" s="1074"/>
      <c r="HS2" s="1074"/>
      <c r="HT2" s="1074"/>
      <c r="HU2" s="1074"/>
      <c r="HV2" s="1075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3"/>
      <c r="C3" s="1198"/>
      <c r="D3" s="1198"/>
      <c r="E3" s="1198"/>
      <c r="F3" s="1198"/>
      <c r="G3" s="1198"/>
      <c r="H3" s="1198"/>
      <c r="I3" s="1198"/>
      <c r="J3" s="1198"/>
      <c r="K3" s="1244"/>
      <c r="L3" s="984"/>
      <c r="M3" s="1243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145"/>
      <c r="AA3" s="1146"/>
      <c r="AB3" s="1146"/>
      <c r="AC3" s="1146"/>
      <c r="AD3" s="1146"/>
      <c r="AE3" s="1146"/>
      <c r="AF3" s="1146"/>
      <c r="AG3" s="1146"/>
      <c r="AH3" s="1146"/>
      <c r="AI3" s="1146"/>
      <c r="AJ3" s="1146"/>
      <c r="AK3" s="1146"/>
      <c r="AL3" s="1146"/>
      <c r="AM3" s="1146"/>
      <c r="AN3" s="1146"/>
      <c r="AO3" s="1146"/>
      <c r="AP3" s="1146"/>
      <c r="AQ3" s="1147"/>
      <c r="AS3" s="466">
        <v>100</v>
      </c>
      <c r="AT3" s="463" t="s">
        <v>45</v>
      </c>
      <c r="AV3" s="1201"/>
      <c r="AW3" s="1048"/>
      <c r="AX3" s="1049"/>
      <c r="AY3" s="1049"/>
      <c r="AZ3" s="1049"/>
      <c r="BA3" s="1049"/>
      <c r="BB3" s="1049"/>
      <c r="BC3" s="1049"/>
      <c r="BD3" s="1049"/>
      <c r="BE3" s="1163"/>
      <c r="BF3" s="1156"/>
      <c r="BG3" s="1049"/>
      <c r="BH3" s="1049"/>
      <c r="BI3" s="1049"/>
      <c r="BJ3" s="1049"/>
      <c r="BK3" s="1049"/>
      <c r="BL3" s="1049"/>
      <c r="BM3" s="1049"/>
      <c r="BN3" s="1049"/>
      <c r="BO3" s="1049"/>
      <c r="BP3" s="1049"/>
      <c r="BQ3" s="1049"/>
      <c r="BR3" s="1049"/>
      <c r="BS3" s="1049"/>
      <c r="BT3" s="1049"/>
      <c r="BU3" s="1049"/>
      <c r="BV3" s="1049"/>
      <c r="BW3" s="1049"/>
      <c r="BX3" s="1049"/>
      <c r="BY3" s="1049"/>
      <c r="BZ3" s="1049"/>
      <c r="CA3" s="1049"/>
      <c r="CB3" s="1049"/>
      <c r="CC3" s="1049"/>
      <c r="CD3" s="1049"/>
      <c r="CE3" s="1049"/>
      <c r="CF3" s="1049"/>
      <c r="CG3" s="1049"/>
      <c r="CH3" s="1049"/>
      <c r="CI3" s="1049"/>
      <c r="CJ3" s="1049"/>
      <c r="CK3" s="1049"/>
      <c r="CL3" s="1049"/>
      <c r="CM3" s="1049"/>
      <c r="CN3" s="1049"/>
      <c r="CO3" s="1049"/>
      <c r="CP3" s="1049"/>
      <c r="CQ3" s="1049"/>
      <c r="CR3" s="1049"/>
      <c r="CS3" s="1049"/>
      <c r="CT3" s="1049"/>
      <c r="CU3" s="1049"/>
      <c r="CV3" s="1049"/>
      <c r="CW3" s="1049"/>
      <c r="CX3" s="1049"/>
      <c r="CY3" s="1049"/>
      <c r="CZ3" s="1049"/>
      <c r="DA3" s="1049"/>
      <c r="DB3" s="1049"/>
      <c r="DC3" s="1049"/>
      <c r="DD3" s="1049"/>
      <c r="DE3" s="1049"/>
      <c r="DF3" s="1049"/>
      <c r="DG3" s="1049"/>
      <c r="DH3" s="1049"/>
      <c r="DI3" s="1049"/>
      <c r="DJ3" s="1049"/>
      <c r="DK3" s="1049"/>
      <c r="DL3" s="1049"/>
      <c r="DM3" s="1049"/>
      <c r="DN3" s="1049"/>
      <c r="DO3" s="1049"/>
      <c r="DP3" s="1049"/>
      <c r="DQ3" s="1049"/>
      <c r="DR3" s="1049"/>
      <c r="DS3" s="1049"/>
      <c r="DT3" s="1049"/>
      <c r="DU3" s="1049"/>
      <c r="DV3" s="1049"/>
      <c r="DW3" s="1049"/>
      <c r="DX3" s="1049"/>
      <c r="DY3" s="1049"/>
      <c r="DZ3" s="1049"/>
      <c r="EA3" s="1049"/>
      <c r="EB3" s="1049"/>
      <c r="EC3" s="1049"/>
      <c r="ED3" s="1049"/>
      <c r="EE3" s="1049"/>
      <c r="EF3" s="1049"/>
      <c r="EG3" s="1049"/>
      <c r="EH3" s="1049"/>
      <c r="EI3" s="1049"/>
      <c r="EJ3" s="1049"/>
      <c r="EK3" s="1049"/>
      <c r="EL3" s="1049"/>
      <c r="EM3" s="1049"/>
      <c r="EN3" s="1049"/>
      <c r="EO3" s="1049"/>
      <c r="EP3" s="1049"/>
      <c r="EQ3" s="1049"/>
      <c r="ER3" s="1050"/>
      <c r="ES3" s="1048"/>
      <c r="ET3" s="1049"/>
      <c r="EU3" s="1049"/>
      <c r="EV3" s="1049"/>
      <c r="EW3" s="1049"/>
      <c r="EX3" s="1049"/>
      <c r="EY3" s="1049"/>
      <c r="EZ3" s="1049"/>
      <c r="FA3" s="1049"/>
      <c r="FB3" s="1049"/>
      <c r="FC3" s="1049"/>
      <c r="FD3" s="1049"/>
      <c r="FE3" s="1049"/>
      <c r="FF3" s="1050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3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5"/>
      <c r="C4" s="1246"/>
      <c r="D4" s="1246"/>
      <c r="E4" s="1246"/>
      <c r="F4" s="1246"/>
      <c r="G4" s="1246"/>
      <c r="H4" s="1246"/>
      <c r="I4" s="1246"/>
      <c r="J4" s="1246"/>
      <c r="K4" s="1247"/>
      <c r="L4" s="984"/>
      <c r="M4" s="1243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$Q$4</f>
        <v>Polar XY; Cartesian Z</v>
      </c>
      <c r="X4" s="1167"/>
      <c r="Y4" s="1233"/>
      <c r="Z4" s="1186" t="s">
        <v>3</v>
      </c>
      <c r="AA4" s="1184"/>
      <c r="AB4" s="1184"/>
      <c r="AC4" s="1184"/>
      <c r="AD4" s="1184"/>
      <c r="AE4" s="1184"/>
      <c r="AF4" s="1184"/>
      <c r="AG4" s="1196" t="s">
        <v>31</v>
      </c>
      <c r="AH4" s="1184"/>
      <c r="AI4" s="1184"/>
      <c r="AJ4" s="1185"/>
      <c r="AK4" s="1148" t="s">
        <v>32</v>
      </c>
      <c r="AL4" s="1149"/>
      <c r="AM4" s="1149"/>
      <c r="AN4" s="1149"/>
      <c r="AO4" s="1149"/>
      <c r="AP4" s="1149"/>
      <c r="AQ4" s="1150"/>
      <c r="AS4" s="467">
        <v>125</v>
      </c>
      <c r="AT4" s="464" t="s">
        <v>46</v>
      </c>
      <c r="AV4" s="1201"/>
      <c r="AW4" s="1096" t="s">
        <v>112</v>
      </c>
      <c r="AX4" s="1000"/>
      <c r="AY4" s="923"/>
      <c r="AZ4" s="1161"/>
      <c r="BA4" s="1162"/>
      <c r="BB4" s="1164" t="s">
        <v>113</v>
      </c>
      <c r="BC4" s="1167" t="str">
        <f>$Q$4</f>
        <v>Polar XY; Cartesian Z</v>
      </c>
      <c r="BD4" s="1167"/>
      <c r="BE4" s="1168"/>
      <c r="BF4" s="1119" t="s">
        <v>129</v>
      </c>
      <c r="BG4" s="1120"/>
      <c r="BH4" s="1120"/>
      <c r="BI4" s="1120"/>
      <c r="BJ4" s="1120"/>
      <c r="BK4" s="1120"/>
      <c r="BL4" s="1120"/>
      <c r="BM4" s="1120"/>
      <c r="BN4" s="1120"/>
      <c r="BO4" s="1120"/>
      <c r="BP4" s="1120"/>
      <c r="BQ4" s="1120"/>
      <c r="BR4" s="1120"/>
      <c r="BS4" s="1120"/>
      <c r="BT4" s="1120"/>
      <c r="BU4" s="1120"/>
      <c r="BV4" s="1120"/>
      <c r="BW4" s="1120"/>
      <c r="BX4" s="1120"/>
      <c r="BY4" s="1120"/>
      <c r="BZ4" s="1120"/>
      <c r="CA4" s="1120"/>
      <c r="CB4" s="1120"/>
      <c r="CC4" s="1120"/>
      <c r="CD4" s="1120"/>
      <c r="CE4" s="1120"/>
      <c r="CF4" s="1120"/>
      <c r="CG4" s="1120"/>
      <c r="CH4" s="1120"/>
      <c r="CI4" s="1120"/>
      <c r="CJ4" s="1120"/>
      <c r="CK4" s="1120"/>
      <c r="CL4" s="1120"/>
      <c r="CM4" s="1120"/>
      <c r="CN4" s="1121"/>
      <c r="CO4" s="1157" t="s">
        <v>193</v>
      </c>
      <c r="CP4" s="1158"/>
      <c r="CQ4" s="1158"/>
      <c r="CR4" s="1158"/>
      <c r="CS4" s="1158"/>
      <c r="CT4" s="1158"/>
      <c r="CU4" s="1158"/>
      <c r="CV4" s="1158"/>
      <c r="CW4" s="1158"/>
      <c r="CX4" s="1158"/>
      <c r="CY4" s="1158"/>
      <c r="CZ4" s="1158"/>
      <c r="DA4" s="1159"/>
      <c r="DB4" s="1042" t="s">
        <v>162</v>
      </c>
      <c r="DC4" s="1043"/>
      <c r="DD4" s="1043"/>
      <c r="DE4" s="1043"/>
      <c r="DF4" s="1043"/>
      <c r="DG4" s="1043"/>
      <c r="DH4" s="1043"/>
      <c r="DI4" s="1043"/>
      <c r="DJ4" s="1043"/>
      <c r="DK4" s="1043"/>
      <c r="DL4" s="1043"/>
      <c r="DM4" s="1043"/>
      <c r="DN4" s="1043"/>
      <c r="DO4" s="1043"/>
      <c r="DP4" s="1043"/>
      <c r="DQ4" s="1043"/>
      <c r="DR4" s="1043"/>
      <c r="DS4" s="1043"/>
      <c r="DT4" s="1043"/>
      <c r="DU4" s="1043"/>
      <c r="DV4" s="1043"/>
      <c r="DW4" s="1043"/>
      <c r="DX4" s="1043"/>
      <c r="DY4" s="1043"/>
      <c r="DZ4" s="1043"/>
      <c r="EA4" s="1043"/>
      <c r="EB4" s="1043"/>
      <c r="EC4" s="1043"/>
      <c r="ED4" s="1043"/>
      <c r="EE4" s="1043"/>
      <c r="EF4" s="1043"/>
      <c r="EG4" s="1043"/>
      <c r="EH4" s="1043"/>
      <c r="EI4" s="1043"/>
      <c r="EJ4" s="1043"/>
      <c r="EK4" s="1043"/>
      <c r="EL4" s="1043"/>
      <c r="EM4" s="1043"/>
      <c r="EN4" s="1043"/>
      <c r="EO4" s="1043"/>
      <c r="EP4" s="1043"/>
      <c r="EQ4" s="1043"/>
      <c r="ER4" s="1044"/>
      <c r="ES4" s="1065" t="s">
        <v>196</v>
      </c>
      <c r="ET4" s="1066"/>
      <c r="EU4" s="1066"/>
      <c r="EV4" s="1066"/>
      <c r="EW4" s="1066"/>
      <c r="EX4" s="1066"/>
      <c r="EY4" s="1067"/>
      <c r="EZ4" s="1100" t="s">
        <v>201</v>
      </c>
      <c r="FA4" s="1101"/>
      <c r="FB4" s="1101"/>
      <c r="FC4" s="1101"/>
      <c r="FD4" s="1101"/>
      <c r="FE4" s="1101"/>
      <c r="FF4" s="1102"/>
      <c r="FG4" s="343"/>
      <c r="FP4" s="1032" t="s">
        <v>229</v>
      </c>
      <c r="FZ4" s="1032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3" t="s">
        <v>236</v>
      </c>
      <c r="GK4" s="904"/>
      <c r="GL4" s="904"/>
      <c r="GM4" s="904"/>
      <c r="GN4" s="990"/>
      <c r="GO4" s="992" t="s">
        <v>229</v>
      </c>
      <c r="GP4" s="996" t="s">
        <v>228</v>
      </c>
      <c r="GR4" s="1002" t="s">
        <v>261</v>
      </c>
      <c r="GS4" s="932" t="s">
        <v>259</v>
      </c>
      <c r="GT4" s="875"/>
      <c r="GU4" s="875"/>
      <c r="GV4" s="875"/>
      <c r="GW4" s="875"/>
      <c r="GX4" s="875"/>
      <c r="GY4" s="875"/>
      <c r="GZ4" s="875"/>
      <c r="HA4" s="1079" t="str">
        <f>IFERROR(CONCATENATE("Lateral Forces = ",ROUND(HE3,0)," lbs @ ",ROUND(HF3,1),"° Relative to Blade 1"),"")</f>
        <v/>
      </c>
      <c r="HB4" s="1080"/>
      <c r="HC4" s="1080"/>
      <c r="HD4" s="1080"/>
      <c r="HE4" s="1080"/>
      <c r="HF4" s="1080"/>
      <c r="HG4" s="1080"/>
      <c r="HH4" s="1081"/>
      <c r="HI4" s="1087" t="s">
        <v>0</v>
      </c>
      <c r="HO4" s="1034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0" t="s">
        <v>381</v>
      </c>
      <c r="IF4" s="900"/>
      <c r="IG4" s="767" cm="1">
        <f t="array" ref="IG4">MAX(MOD(IF($IG$9:$IG$150="",0,($IG$9:$IG$150*1000)),100))</f>
        <v>32</v>
      </c>
      <c r="IL4" s="31"/>
      <c r="IM4" s="767"/>
    </row>
    <row r="5" spans="1:283" ht="15" customHeight="1" x14ac:dyDescent="0.25">
      <c r="B5" s="1234" t="str">
        <f>CONCATENATE(B7," ; ",E7," ; ",H7)</f>
        <v>Absolute-Point ; Incremental-Vector Point ; Pocket Info.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43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about Z Axis")</f>
        <v>Relative to 1.113's θ about Z Axis</v>
      </c>
      <c r="U5" s="1137"/>
      <c r="V5" s="1138"/>
      <c r="W5" s="1137" t="str">
        <f>CONCATENATE("Relative to ",M8,"'s θ about Z Axis")</f>
        <v>Relative to 1.113's θ about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01"/>
      <c r="AW5" s="1177"/>
      <c r="AX5" s="1178"/>
      <c r="AY5" s="1179"/>
      <c r="AZ5" s="1008"/>
      <c r="BA5" s="913"/>
      <c r="BB5" s="1165"/>
      <c r="BC5" s="1173" t="str">
        <f>$W$5</f>
        <v>Relative to 1.113's θ about Z Axis</v>
      </c>
      <c r="BD5" s="1137"/>
      <c r="BE5" s="1174"/>
      <c r="BF5" s="932" t="s">
        <v>128</v>
      </c>
      <c r="BG5" s="875"/>
      <c r="BH5" s="875"/>
      <c r="BI5" s="875"/>
      <c r="BJ5" s="875"/>
      <c r="BK5" s="875"/>
      <c r="BL5" s="875"/>
      <c r="BM5" s="875"/>
      <c r="BN5" s="875"/>
      <c r="BO5" s="875"/>
      <c r="BP5" s="875"/>
      <c r="BQ5" s="875"/>
      <c r="BR5" s="876"/>
      <c r="BS5" s="932" t="s">
        <v>130</v>
      </c>
      <c r="BT5" s="875"/>
      <c r="BU5" s="875"/>
      <c r="BV5" s="875"/>
      <c r="BW5" s="875"/>
      <c r="BX5" s="875"/>
      <c r="BY5" s="875"/>
      <c r="BZ5" s="875"/>
      <c r="CA5" s="875"/>
      <c r="CB5" s="875"/>
      <c r="CC5" s="875"/>
      <c r="CD5" s="875"/>
      <c r="CE5" s="876"/>
      <c r="CF5" s="932" t="s">
        <v>138</v>
      </c>
      <c r="CG5" s="875"/>
      <c r="CH5" s="876"/>
      <c r="CI5" s="932" t="s">
        <v>139</v>
      </c>
      <c r="CJ5" s="875"/>
      <c r="CK5" s="875"/>
      <c r="CL5" s="875"/>
      <c r="CM5" s="875"/>
      <c r="CN5" s="876"/>
      <c r="CO5" s="1014" t="s">
        <v>275</v>
      </c>
      <c r="CP5" s="1014" t="s">
        <v>149</v>
      </c>
      <c r="CQ5" s="1000"/>
      <c r="CR5" s="1000"/>
      <c r="CS5" s="933"/>
      <c r="CT5" s="1000" t="s">
        <v>150</v>
      </c>
      <c r="CU5" s="923"/>
      <c r="CV5" s="932" t="s">
        <v>161</v>
      </c>
      <c r="CW5" s="875"/>
      <c r="CX5" s="875"/>
      <c r="CY5" s="875"/>
      <c r="CZ5" s="875"/>
      <c r="DA5" s="876"/>
      <c r="DB5" s="932" t="s">
        <v>163</v>
      </c>
      <c r="DC5" s="875"/>
      <c r="DD5" s="875"/>
      <c r="DE5" s="875"/>
      <c r="DF5" s="875"/>
      <c r="DG5" s="875"/>
      <c r="DH5" s="876"/>
      <c r="DI5" s="1021" t="s">
        <v>173</v>
      </c>
      <c r="DJ5" s="1021"/>
      <c r="DK5" s="1129"/>
      <c r="DL5" s="1020" t="s">
        <v>174</v>
      </c>
      <c r="DM5" s="1021"/>
      <c r="DN5" s="1022"/>
      <c r="DO5" s="1131" t="s">
        <v>175</v>
      </c>
      <c r="DP5" s="1132"/>
      <c r="DQ5" s="1132"/>
      <c r="DR5" s="1013" t="s">
        <v>187</v>
      </c>
      <c r="DS5" s="1013"/>
      <c r="DT5" s="1013"/>
      <c r="DU5" s="1013"/>
      <c r="DV5" s="1013"/>
      <c r="DW5" s="1013"/>
      <c r="DX5" s="1014" t="s">
        <v>190</v>
      </c>
      <c r="DY5" s="954" t="s">
        <v>149</v>
      </c>
      <c r="DZ5" s="1013"/>
      <c r="EA5" s="1013"/>
      <c r="EB5" s="1013"/>
      <c r="EC5" s="1013" t="s">
        <v>150</v>
      </c>
      <c r="ED5" s="1013"/>
      <c r="EE5" s="1002" t="s">
        <v>194</v>
      </c>
      <c r="EF5" s="1002"/>
      <c r="EG5" s="1010"/>
      <c r="EH5" s="1026" t="s">
        <v>195</v>
      </c>
      <c r="EI5" s="1027"/>
      <c r="EJ5" s="1028"/>
      <c r="EK5" s="1013" t="s">
        <v>188</v>
      </c>
      <c r="EL5" s="1014"/>
      <c r="EM5" s="932" t="s">
        <v>189</v>
      </c>
      <c r="EN5" s="875"/>
      <c r="EO5" s="875"/>
      <c r="EP5" s="875"/>
      <c r="EQ5" s="875"/>
      <c r="ER5" s="1122"/>
      <c r="ES5" s="1096" t="s">
        <v>202</v>
      </c>
      <c r="ET5" s="1000"/>
      <c r="EU5" s="933"/>
      <c r="EV5" s="1068" t="s">
        <v>222</v>
      </c>
      <c r="EW5" s="1069"/>
      <c r="EX5" s="1069"/>
      <c r="EY5" s="1070"/>
      <c r="EZ5" s="1057" t="s">
        <v>200</v>
      </c>
      <c r="FA5" s="927" t="s">
        <v>202</v>
      </c>
      <c r="FB5" s="1110"/>
      <c r="FC5" s="928"/>
      <c r="FD5" s="1114" t="s">
        <v>222</v>
      </c>
      <c r="FE5" s="1115"/>
      <c r="FF5" s="1116"/>
      <c r="FP5" s="1034"/>
      <c r="FQ5" s="31"/>
      <c r="FR5" s="31"/>
      <c r="FS5" s="31"/>
      <c r="FT5" s="31"/>
      <c r="FZ5" s="1034"/>
      <c r="GJ5" s="988" t="s">
        <v>269</v>
      </c>
      <c r="GK5" s="1036" t="s">
        <v>267</v>
      </c>
      <c r="GL5" s="1038" t="s">
        <v>110</v>
      </c>
      <c r="GM5" s="1038" t="s">
        <v>111</v>
      </c>
      <c r="GN5" s="1039"/>
      <c r="GO5" s="993"/>
      <c r="GP5" s="997"/>
      <c r="GQ5" s="31"/>
      <c r="GR5" s="984"/>
      <c r="GS5" s="1008" t="s">
        <v>248</v>
      </c>
      <c r="GT5" s="1009"/>
      <c r="GU5" s="1004" t="s">
        <v>249</v>
      </c>
      <c r="GV5" s="1005"/>
      <c r="GW5" s="1006"/>
      <c r="GX5" s="1007"/>
      <c r="GY5" s="991" t="s">
        <v>107</v>
      </c>
      <c r="GZ5" s="915"/>
      <c r="HA5" s="1076" t="s">
        <v>248</v>
      </c>
      <c r="HB5" s="1077"/>
      <c r="HC5" s="1077"/>
      <c r="HD5" s="1078"/>
      <c r="HE5" s="1093" t="s">
        <v>249</v>
      </c>
      <c r="HF5" s="1077"/>
      <c r="HG5" s="1077"/>
      <c r="HH5" s="1094"/>
      <c r="HI5" s="1088"/>
      <c r="HN5" s="386" t="s">
        <v>263</v>
      </c>
      <c r="HO5" s="58" t="s">
        <v>264</v>
      </c>
      <c r="HS5" s="1082" t="s">
        <v>274</v>
      </c>
      <c r="HZ5" s="383"/>
    </row>
    <row r="6" spans="1:283" ht="15" customHeight="1" thickBot="1" x14ac:dyDescent="0.4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>Inactive Element</v>
      </c>
      <c r="M6" s="1243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$Q$6</f>
        <v>Projected XY</v>
      </c>
      <c r="X6" s="1170"/>
      <c r="Y6" s="1211" t="str">
        <f>$S$6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139" t="str">
        <f>AD6</f>
        <v>Unit Vector</v>
      </c>
      <c r="AL6" s="1140"/>
      <c r="AM6" s="1141"/>
      <c r="AN6" s="34" t="s">
        <v>15</v>
      </c>
      <c r="AO6" s="35" t="s">
        <v>16</v>
      </c>
      <c r="AP6" s="737" t="s">
        <v>17</v>
      </c>
      <c r="AQ6" s="1203" t="s">
        <v>108</v>
      </c>
      <c r="AS6" s="172">
        <f>(AS5/360)</f>
        <v>6.9444444444444447E-4</v>
      </c>
      <c r="AT6" s="465" t="s">
        <v>48</v>
      </c>
      <c r="AV6" s="1201"/>
      <c r="AW6" s="1194" t="s">
        <v>105</v>
      </c>
      <c r="AX6" s="1195"/>
      <c r="AY6" s="195" t="s">
        <v>110</v>
      </c>
      <c r="AZ6" s="1175" t="s">
        <v>111</v>
      </c>
      <c r="BA6" s="1176"/>
      <c r="BB6" s="1166"/>
      <c r="BC6" s="1169" t="str">
        <f>$Q$6</f>
        <v>Projected XY</v>
      </c>
      <c r="BD6" s="1170"/>
      <c r="BE6" s="1171" t="str">
        <f>$S$6</f>
        <v>Z</v>
      </c>
      <c r="BF6" s="882" t="s">
        <v>125</v>
      </c>
      <c r="BG6" s="878"/>
      <c r="BH6" s="987"/>
      <c r="BI6" s="880" t="s">
        <v>126</v>
      </c>
      <c r="BJ6" s="878"/>
      <c r="BK6" s="879"/>
      <c r="BL6" s="883" t="s">
        <v>127</v>
      </c>
      <c r="BM6" s="878"/>
      <c r="BN6" s="884"/>
      <c r="BO6" s="882" t="s">
        <v>135</v>
      </c>
      <c r="BP6" s="878"/>
      <c r="BQ6" s="878"/>
      <c r="BR6" s="884"/>
      <c r="BS6" s="882" t="s">
        <v>125</v>
      </c>
      <c r="BT6" s="878"/>
      <c r="BU6" s="987"/>
      <c r="BV6" s="880" t="s">
        <v>126</v>
      </c>
      <c r="BW6" s="878"/>
      <c r="BX6" s="879"/>
      <c r="BY6" s="883" t="s">
        <v>127</v>
      </c>
      <c r="BZ6" s="878"/>
      <c r="CA6" s="884"/>
      <c r="CB6" s="882" t="s">
        <v>135</v>
      </c>
      <c r="CC6" s="878"/>
      <c r="CD6" s="878"/>
      <c r="CE6" s="884"/>
      <c r="CF6" s="888" t="s">
        <v>136</v>
      </c>
      <c r="CG6" s="1124"/>
      <c r="CH6" s="1124"/>
      <c r="CI6" s="1126" t="s">
        <v>137</v>
      </c>
      <c r="CJ6" s="1124"/>
      <c r="CK6" s="889"/>
      <c r="CL6" s="1123" t="s">
        <v>140</v>
      </c>
      <c r="CM6" s="1124"/>
      <c r="CN6" s="1125"/>
      <c r="CO6" s="1016"/>
      <c r="CP6" s="1016"/>
      <c r="CQ6" s="1098"/>
      <c r="CR6" s="1098"/>
      <c r="CS6" s="1099"/>
      <c r="CT6" s="1098"/>
      <c r="CU6" s="1160"/>
      <c r="CV6" s="1182" t="s">
        <v>147</v>
      </c>
      <c r="CW6" s="878"/>
      <c r="CX6" s="879"/>
      <c r="CY6" s="1117" t="s">
        <v>148</v>
      </c>
      <c r="CZ6" s="1072"/>
      <c r="DA6" s="1118"/>
      <c r="DB6" s="1127" t="s">
        <v>176</v>
      </c>
      <c r="DC6" s="1063"/>
      <c r="DD6" s="1064"/>
      <c r="DE6" s="1128" t="s">
        <v>177</v>
      </c>
      <c r="DF6" s="1063"/>
      <c r="DG6" s="1064"/>
      <c r="DH6" s="253" t="s">
        <v>29</v>
      </c>
      <c r="DI6" s="1024"/>
      <c r="DJ6" s="1024"/>
      <c r="DK6" s="1130"/>
      <c r="DL6" s="1023"/>
      <c r="DM6" s="1024"/>
      <c r="DN6" s="1025"/>
      <c r="DO6" s="1133"/>
      <c r="DP6" s="1134"/>
      <c r="DQ6" s="1134"/>
      <c r="DR6" s="1015"/>
      <c r="DS6" s="1015"/>
      <c r="DT6" s="1015"/>
      <c r="DU6" s="1015"/>
      <c r="DV6" s="1015"/>
      <c r="DW6" s="1015"/>
      <c r="DX6" s="1016"/>
      <c r="DY6" s="1135"/>
      <c r="DZ6" s="1015"/>
      <c r="EA6" s="1015"/>
      <c r="EB6" s="1015"/>
      <c r="EC6" s="1015"/>
      <c r="ED6" s="1015"/>
      <c r="EE6" s="1011"/>
      <c r="EF6" s="1011"/>
      <c r="EG6" s="1012"/>
      <c r="EH6" s="1029"/>
      <c r="EI6" s="1030"/>
      <c r="EJ6" s="1031"/>
      <c r="EK6" s="1015"/>
      <c r="EL6" s="1016"/>
      <c r="EM6" s="1017" t="s">
        <v>199</v>
      </c>
      <c r="EN6" s="1018"/>
      <c r="EO6" s="1019"/>
      <c r="EP6" s="1103" t="s">
        <v>198</v>
      </c>
      <c r="EQ6" s="1018"/>
      <c r="ER6" s="1105"/>
      <c r="ES6" s="1097"/>
      <c r="ET6" s="1098"/>
      <c r="EU6" s="1099"/>
      <c r="EV6" s="274" t="s">
        <v>221</v>
      </c>
      <c r="EW6" s="1103" t="s">
        <v>202</v>
      </c>
      <c r="EX6" s="1018"/>
      <c r="EY6" s="1104"/>
      <c r="EZ6" s="1058"/>
      <c r="FA6" s="1111"/>
      <c r="FB6" s="1112"/>
      <c r="FC6" s="1113"/>
      <c r="FD6" s="1017" t="s">
        <v>202</v>
      </c>
      <c r="FE6" s="1018"/>
      <c r="FF6" s="1105"/>
      <c r="FG6" s="1107" t="s">
        <v>224</v>
      </c>
      <c r="FH6" s="1108"/>
      <c r="FI6" s="1109"/>
      <c r="FJ6" s="1013" t="s">
        <v>203</v>
      </c>
      <c r="FK6" s="1014" t="s">
        <v>214</v>
      </c>
      <c r="FL6" s="1000"/>
      <c r="FM6" s="933"/>
      <c r="FN6" s="1053" t="s">
        <v>204</v>
      </c>
      <c r="FO6" s="1060" t="s">
        <v>227</v>
      </c>
      <c r="FP6" s="1051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4" t="s">
        <v>218</v>
      </c>
      <c r="FV6" s="1000"/>
      <c r="FW6" s="933"/>
      <c r="FX6" s="1053" t="s">
        <v>219</v>
      </c>
      <c r="FY6" s="1060" t="s">
        <v>227</v>
      </c>
      <c r="FZ6" s="1051" t="s">
        <v>225</v>
      </c>
      <c r="GA6" s="1055" t="s">
        <v>239</v>
      </c>
      <c r="GB6" s="336" t="s">
        <v>207</v>
      </c>
      <c r="GC6" s="337" t="s">
        <v>240</v>
      </c>
      <c r="GD6" s="338" t="s">
        <v>226</v>
      </c>
      <c r="GE6" s="985"/>
      <c r="GF6" s="1010" t="s">
        <v>260</v>
      </c>
      <c r="GG6" s="336" t="s">
        <v>207</v>
      </c>
      <c r="GH6" s="337" t="s">
        <v>240</v>
      </c>
      <c r="GI6" s="338" t="s">
        <v>226</v>
      </c>
      <c r="GJ6" s="989"/>
      <c r="GK6" s="1037"/>
      <c r="GL6" s="1040"/>
      <c r="GM6" s="1040"/>
      <c r="GN6" s="1041"/>
      <c r="GO6" s="994" t="s">
        <v>238</v>
      </c>
      <c r="GP6" s="998" t="s">
        <v>225</v>
      </c>
      <c r="GQ6" s="1000" t="s">
        <v>203</v>
      </c>
      <c r="GR6" s="984"/>
      <c r="GS6" s="1085" t="s">
        <v>252</v>
      </c>
      <c r="GT6" s="1086"/>
      <c r="GU6" s="1071" t="s">
        <v>251</v>
      </c>
      <c r="GV6" s="1072"/>
      <c r="GW6" s="1072"/>
      <c r="GX6" s="361" t="s">
        <v>106</v>
      </c>
      <c r="GY6" s="880" t="s">
        <v>250</v>
      </c>
      <c r="GZ6" s="987"/>
      <c r="HA6" s="1062" t="s">
        <v>252</v>
      </c>
      <c r="HB6" s="1063"/>
      <c r="HC6" s="1063"/>
      <c r="HD6" s="1064"/>
      <c r="HE6" s="880" t="s">
        <v>251</v>
      </c>
      <c r="HF6" s="878"/>
      <c r="HG6" s="878"/>
      <c r="HH6" s="884"/>
      <c r="HI6" s="1088"/>
      <c r="HN6" s="971" t="s">
        <v>238</v>
      </c>
      <c r="HO6" s="974" t="s">
        <v>265</v>
      </c>
      <c r="HP6" s="954" t="s">
        <v>203</v>
      </c>
      <c r="HQ6" s="391"/>
      <c r="HS6" s="1083"/>
      <c r="HT6" s="906" t="s">
        <v>270</v>
      </c>
      <c r="HU6" s="904"/>
      <c r="HV6" s="990"/>
      <c r="HW6" s="932" t="s">
        <v>258</v>
      </c>
      <c r="HX6" s="875"/>
      <c r="HY6" s="876"/>
      <c r="HZ6" s="932" t="s">
        <v>249</v>
      </c>
      <c r="IA6" s="906"/>
      <c r="IE6" s="853"/>
      <c r="IF6" s="853"/>
    </row>
    <row r="7" spans="1:283" ht="15" customHeight="1" thickBot="1" x14ac:dyDescent="0.4">
      <c r="A7" s="143"/>
      <c r="B7" s="1251" t="s">
        <v>40</v>
      </c>
      <c r="C7" s="1252"/>
      <c r="D7" s="1253"/>
      <c r="E7" s="1254" t="s">
        <v>41</v>
      </c>
      <c r="F7" s="1252"/>
      <c r="G7" s="1255"/>
      <c r="H7" s="1230" t="s">
        <v>98</v>
      </c>
      <c r="I7" s="1231"/>
      <c r="J7" s="1232"/>
      <c r="K7" s="173"/>
      <c r="L7" s="984"/>
      <c r="M7" s="124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$Q$7</f>
        <v>&lt; θ°</v>
      </c>
      <c r="X7" s="27" t="str">
        <f>$R$7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4"/>
      <c r="AS7" s="1209" t="s">
        <v>54</v>
      </c>
      <c r="AT7" s="1207" t="s">
        <v>53</v>
      </c>
      <c r="AV7" s="120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6"/>
      <c r="BC7" s="37" t="str">
        <f>$Q$7</f>
        <v>&lt; θ°</v>
      </c>
      <c r="BD7" s="27" t="str">
        <f>$R$7</f>
        <v>r</v>
      </c>
      <c r="BE7" s="1172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6"/>
      <c r="FK7" s="350" t="s">
        <v>211</v>
      </c>
      <c r="FL7" s="351" t="s">
        <v>212</v>
      </c>
      <c r="FM7" s="352" t="s">
        <v>213</v>
      </c>
      <c r="FN7" s="1054"/>
      <c r="FO7" s="1061"/>
      <c r="FP7" s="1052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4"/>
      <c r="FY7" s="1061"/>
      <c r="FZ7" s="1052"/>
      <c r="GA7" s="1056"/>
      <c r="GB7" s="223" t="s">
        <v>232</v>
      </c>
      <c r="GC7" s="131" t="s">
        <v>233</v>
      </c>
      <c r="GD7" s="224" t="s">
        <v>234</v>
      </c>
      <c r="GE7" s="986"/>
      <c r="GF7" s="1035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5"/>
      <c r="GP7" s="999"/>
      <c r="GQ7" s="1001"/>
      <c r="GR7" s="1003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9"/>
      <c r="HJ7" s="31"/>
      <c r="HK7" s="1032" t="s">
        <v>246</v>
      </c>
      <c r="HL7" s="1032" t="s">
        <v>237</v>
      </c>
      <c r="HM7" s="922" t="s">
        <v>245</v>
      </c>
      <c r="HN7" s="972"/>
      <c r="HO7" s="1095"/>
      <c r="HP7" s="1090"/>
      <c r="HQ7" s="392"/>
      <c r="HR7" s="412"/>
      <c r="HS7" s="1083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220" t="s">
        <v>364</v>
      </c>
      <c r="JC7" s="1220"/>
      <c r="JD7" s="1220"/>
      <c r="JE7" s="122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4"/>
      <c r="M8" s="462" cm="1">
        <f t="array" ref="M8">IF(AND(ISNUMBER('SN#.Run#'!$P$1),COUNT($M$9:$M$150)&gt;='SN#.Run#'!$P$1),INDEX($M$9:$M$150,'SN#.Run#'!$P$1),"")</f>
        <v>1.113</v>
      </c>
      <c r="N8" s="608"/>
      <c r="O8" s="609"/>
      <c r="P8" s="619"/>
      <c r="Q8" s="611">
        <f>IFERROR(INDEX(Q$9:Q$150,MATCH($M$8,$M$9:$M$150,0)),"")</f>
        <v>89.010000142938296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-0.11660035166666062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10"/>
      <c r="AT8" s="1208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92"/>
      <c r="HL8" s="1092"/>
      <c r="HM8" s="934"/>
      <c r="HN8" s="973"/>
      <c r="HO8" s="975"/>
      <c r="HP8" s="1091"/>
      <c r="HQ8" s="393" t="s">
        <v>49</v>
      </c>
      <c r="HR8" s="413" t="s">
        <v>51</v>
      </c>
      <c r="HS8" s="1084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0.36250109330329738</v>
      </c>
      <c r="D9" s="704">
        <v>-0.51420155083187735</v>
      </c>
      <c r="E9" s="705">
        <v>-0.93969263802333458</v>
      </c>
      <c r="F9" s="703">
        <v>-7.4026687011984588E-2</v>
      </c>
      <c r="G9" s="706">
        <v>0.33391285637839119</v>
      </c>
      <c r="H9" s="705">
        <v>0.33400000000000002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1713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0.36250109330329738</v>
      </c>
      <c r="P9" s="625">
        <f t="shared" ref="P9:P40" si="4">IF(M9="","",D9)</f>
        <v>-0.51420155083187735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0.36250109330329738</v>
      </c>
      <c r="S9" s="626">
        <f>IF(M9="","",P9)</f>
        <v>-0.51420155083187735</v>
      </c>
      <c r="T9" s="627">
        <f>IF(M9="","",X9*COS(RADIANS(W9)))</f>
        <v>0.3624469813116431</v>
      </c>
      <c r="U9" s="624">
        <f>IF(M9="","",X9*SIN(RADIANS(W9)))</f>
        <v>6.2632566739171209E-3</v>
      </c>
      <c r="V9" s="628">
        <f>IF(M9="","",Y9)</f>
        <v>-0.51420155083187735</v>
      </c>
      <c r="W9" s="583">
        <f t="shared" ref="W9:W14" si="5">IF(M9="","",IF(Q9-$Q$8&lt;0,360+Q9-$Q$8,Q9-$Q$8))</f>
        <v>0.98999985706170435</v>
      </c>
      <c r="X9" s="629">
        <f>IF(M9="","",R9)</f>
        <v>0.36250109330329738</v>
      </c>
      <c r="Y9" s="630">
        <f>IF(M9="","",S9)</f>
        <v>-0.51420155083187735</v>
      </c>
      <c r="Z9" s="623">
        <f t="shared" ref="Z9:Z40" si="6">IF(M9="","",-E9)</f>
        <v>0.93969263802333458</v>
      </c>
      <c r="AA9" s="624">
        <f t="shared" ref="AA9:AA40" si="7">IF(M9="","",-F9)</f>
        <v>7.4026687011984588E-2</v>
      </c>
      <c r="AB9" s="624">
        <f t="shared" ref="AB9:AB40" si="8">IF(M9="","",-G9)</f>
        <v>-0.33391285637839119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7.4026687011984588E-2</v>
      </c>
      <c r="AF9" s="625">
        <f>IF(M9="","",AB9*(1/SQRT(Z9^2+AA9^2+AB9^2)))</f>
        <v>-0.33391285637839119</v>
      </c>
      <c r="AG9" s="599">
        <f>IF(M9="","",DEGREES(ATAN2(-AF9,AE9)))</f>
        <v>12.499998195223558</v>
      </c>
      <c r="AH9" s="600">
        <f>IF(M9="","",DEGREES(ACOS(AD9)))</f>
        <v>19.999997112357679</v>
      </c>
      <c r="AI9" s="583">
        <f>IF(M9="","",DEGREES(-ACOS(-AF9)))</f>
        <v>-70.493557137026102</v>
      </c>
      <c r="AJ9" s="601">
        <f>IF(M9="","",DEGREES(ATAN2(-AE9,AD9)))</f>
        <v>94.504318914165438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7.4026687011984588E-2</v>
      </c>
      <c r="AM9" s="626">
        <f>IF(M9="","",AF9)</f>
        <v>-0.33391285637839119</v>
      </c>
      <c r="AN9" s="581">
        <f>IF(M9="","",DEGREES(ATAN2(-AM9,AL9)))</f>
        <v>12.499998195223558</v>
      </c>
      <c r="AO9" s="582">
        <f>IF(ROUND(IF(M9="",0,DEGREES(ACOS(AK9))),4)=90,0,IF(M9="","",DEGREES(ACOS(AK9))))</f>
        <v>19.999997112357679</v>
      </c>
      <c r="AP9" s="781">
        <f>IF(M9="","",DEGREES(ATAN2(AK9,AL9)))</f>
        <v>4.5043189141654389</v>
      </c>
      <c r="AQ9" s="584">
        <f t="shared" ref="AQ9:AQ40" si="9">IF(M9="","",DEGREES(ATAN(($AS$5*SIN(RADIANS(90)))/(($X9*2*PI())-($AS$5*COS(RADIANS(90)))))))</f>
        <v>6.2638077144907296</v>
      </c>
      <c r="AS9" s="51">
        <f>IF(M9="","",W9)</f>
        <v>0.98999985706170435</v>
      </c>
      <c r="AT9" s="71">
        <f t="shared" ref="AT9:AT40" si="10">IF(M9="","",Y9+(((AS9-$AS$9)*$AS$6)*-1))</f>
        <v>-0.51420155083187735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1713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1">IFERROR(_xlfn._xlws.SORT(_xlfn.UNIQUE(_xlfn._xlws.FILTER(IF($II$9:$II$150="",$K$9:$K$150,""),IF($II$9:$II$150="",$K$9:$K$150,"")&lt;&gt;"")),,-1),"")</f>
        <v>1713</v>
      </c>
      <c r="JB9" s="786" cm="1">
        <f t="array" ref="JB9">IF($JA9="","",COUNT(IF(IF($II$9:$II$150="",$IJ$9:$IJ$150,"")=$JA9,$IG$9:$IG$150,"")))</f>
        <v>11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1.1825035664307566</v>
      </c>
      <c r="D10" s="709">
        <v>-0.33240100252142357</v>
      </c>
      <c r="E10" s="710">
        <v>-0.96592583607220739</v>
      </c>
      <c r="F10" s="708">
        <v>-5.6018678339987651E-2</v>
      </c>
      <c r="G10" s="711">
        <v>0.25268396641901963</v>
      </c>
      <c r="H10" s="710">
        <v>0.33400000000000002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1713</v>
      </c>
      <c r="M10" s="168">
        <f t="shared" si="1"/>
        <v>1.1040000000000001</v>
      </c>
      <c r="N10" s="632">
        <f t="shared" si="2"/>
        <v>0</v>
      </c>
      <c r="O10" s="629">
        <f t="shared" si="3"/>
        <v>1.1825035664307566</v>
      </c>
      <c r="P10" s="633">
        <f t="shared" si="4"/>
        <v>-0.33240100252142357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1.1825035664307566</v>
      </c>
      <c r="S10" s="634">
        <f t="shared" ref="S10:S105" si="80">IF(M10="","",P10)</f>
        <v>-0.33240100252142357</v>
      </c>
      <c r="T10" s="635">
        <f t="shared" ref="T10:T105" si="81">IF(M10="","",X10*COS(RADIANS(W10)))</f>
        <v>1.1823270493821187</v>
      </c>
      <c r="U10" s="629">
        <f t="shared" ref="U10:U105" si="82">IF(M10="","",X10*SIN(RADIANS(W10)))</f>
        <v>2.0431175219053785E-2</v>
      </c>
      <c r="V10" s="636">
        <f>IF(M10="","",Y10)</f>
        <v>-0.33240100252142357</v>
      </c>
      <c r="W10" s="585">
        <f t="shared" si="5"/>
        <v>0.98999985706170435</v>
      </c>
      <c r="X10" s="629">
        <f t="shared" ref="X10:X105" si="83">IF(M10="","",R10)</f>
        <v>1.1825035664307566</v>
      </c>
      <c r="Y10" s="630">
        <f>IF(M10="","",S10)</f>
        <v>-0.33240100252142357</v>
      </c>
      <c r="Z10" s="632">
        <f t="shared" si="6"/>
        <v>0.96592583607220739</v>
      </c>
      <c r="AA10" s="629">
        <f t="shared" si="7"/>
        <v>5.6018678339987651E-2</v>
      </c>
      <c r="AB10" s="629">
        <f t="shared" si="8"/>
        <v>-0.25268396641901963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5.6018678339987651E-2</v>
      </c>
      <c r="AF10" s="633">
        <f t="shared" ref="AF10:AF105" si="86">IF(M10="","",AB10*(1/SQRT(Z10^2+AA10^2+AB10^2)))</f>
        <v>-0.25268396641901963</v>
      </c>
      <c r="AG10" s="602">
        <f t="shared" ref="AG10:AG105" si="87">IF(M10="","",DEGREES(ATAN2(-AF10,AE10)))</f>
        <v>12.499998195223558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-75.36360748526684</v>
      </c>
      <c r="AJ10" s="586">
        <f t="shared" ref="AJ10:AJ105" si="90">IF(M10="","",DEGREES(ATAN2(-AE10,AD10)))</f>
        <v>93.31913956845878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5.6018678339987651E-2</v>
      </c>
      <c r="AM10" s="634">
        <f t="shared" ref="AM10:AM105" si="92">IF(M10="","",AF10)</f>
        <v>-0.25268396641901963</v>
      </c>
      <c r="AN10" s="581">
        <f t="shared" ref="AN10:AN105" si="93">IF(M10="","",DEGREES(ATAN2(-AM10,AL10)))</f>
        <v>12.499998195223558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3.319139568458791</v>
      </c>
      <c r="AQ10" s="586">
        <f t="shared" si="9"/>
        <v>1.9271543251256438</v>
      </c>
      <c r="AS10" s="52">
        <f>IF($M10="","",IF(AND($W10&lt;($AS$9+180),$W10&gt;($AS$9-180)),$W10,IF($W10&gt;($AS$9+180),$W10-360,IF($W10&lt;($AS$9-180),$W10+360,"Error"))))</f>
        <v>0.98999985706170435</v>
      </c>
      <c r="AT10" s="72">
        <f t="shared" si="10"/>
        <v>-0.33240100252142357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1713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1613</v>
      </c>
      <c r="JB10" s="787" cm="1">
        <f t="array" ref="JB10">IF($JA10="","",COUNT(IF(IF($II$9:$II$150="",$IJ$9:$IJ$150,"")=$JA10,$IG$9:$IG$150,"")))</f>
        <v>15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2.8722607581912803E-3</v>
      </c>
      <c r="C11" s="708">
        <v>2.0571041990159875</v>
      </c>
      <c r="D11" s="709">
        <v>-0.13850041771725985</v>
      </c>
      <c r="E11" s="710">
        <v>-0.96576645696828045</v>
      </c>
      <c r="F11" s="708">
        <v>-3.4382526826307255E-2</v>
      </c>
      <c r="G11" s="711">
        <v>0.25712446877723033</v>
      </c>
      <c r="H11" s="710">
        <v>0.33400000000000002</v>
      </c>
      <c r="I11" s="708">
        <v>0.52</v>
      </c>
      <c r="J11" s="570">
        <v>1.1080000000000001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1713</v>
      </c>
      <c r="L11" s="779" t="s">
        <v>332</v>
      </c>
      <c r="M11" s="168">
        <f t="shared" si="1"/>
        <v>1.1080000000000001</v>
      </c>
      <c r="N11" s="632">
        <f t="shared" si="2"/>
        <v>2.8722607581912803E-3</v>
      </c>
      <c r="O11" s="629">
        <f t="shared" si="3"/>
        <v>2.0571041990159875</v>
      </c>
      <c r="P11" s="633">
        <f t="shared" si="4"/>
        <v>-0.13850041771725985</v>
      </c>
      <c r="Q11" s="585">
        <f t="shared" ref="Q11:Q73" si="113">IF(M11="","",IF(DEGREES(ATAN2(N11,O11))&lt;0,DEGREES(ATAN2(N11,O11))+360,IF(DEGREES(ATAN2(N11,O11))&gt;360,DEGREES(ATAN2(N11,O11))-360,DEGREES(ATAN2(N11,O11)))))</f>
        <v>89.92000001155057</v>
      </c>
      <c r="R11" s="629">
        <f t="shared" si="79"/>
        <v>2.0571062042323121</v>
      </c>
      <c r="S11" s="634">
        <f t="shared" si="80"/>
        <v>-0.13850041771725985</v>
      </c>
      <c r="T11" s="635">
        <f t="shared" si="81"/>
        <v>2.0568467534506905</v>
      </c>
      <c r="U11" s="629">
        <f t="shared" si="82"/>
        <v>3.2670603153669937E-2</v>
      </c>
      <c r="V11" s="636">
        <f t="shared" ref="V11:V105" si="114">IF(M11="","",Y11)</f>
        <v>-0.13850041771725985</v>
      </c>
      <c r="W11" s="585">
        <f t="shared" si="5"/>
        <v>0.90999986861227455</v>
      </c>
      <c r="X11" s="629">
        <f>IF(M11="","",R11)</f>
        <v>2.0571062042323121</v>
      </c>
      <c r="Y11" s="630">
        <f>IF(M11="","",S11)</f>
        <v>-0.13850041771725985</v>
      </c>
      <c r="Z11" s="632">
        <f t="shared" si="6"/>
        <v>0.96576645696828045</v>
      </c>
      <c r="AA11" s="629">
        <f t="shared" si="7"/>
        <v>3.4382526826307255E-2</v>
      </c>
      <c r="AB11" s="629">
        <f t="shared" si="8"/>
        <v>-0.25712446877723033</v>
      </c>
      <c r="AC11" s="636">
        <f t="shared" si="84"/>
        <v>1</v>
      </c>
      <c r="AD11" s="637">
        <f t="shared" ref="AD11:AD105" si="115">IF(M11="","",Z11*(1/SQRT(Z11^2+AA11^2+AB11^2)))</f>
        <v>0.96576645696828045</v>
      </c>
      <c r="AE11" s="629">
        <f t="shared" si="85"/>
        <v>3.4382526826307255E-2</v>
      </c>
      <c r="AF11" s="633">
        <f t="shared" si="86"/>
        <v>-0.25712446877723033</v>
      </c>
      <c r="AG11" s="602">
        <f>IF(M11="","",DEGREES(ATAN2(-AF11,AE11)))</f>
        <v>7.6163752566642025</v>
      </c>
      <c r="AH11" s="603">
        <f t="shared" si="88"/>
        <v>15.035239764504583</v>
      </c>
      <c r="AI11" s="585">
        <f t="shared" si="89"/>
        <v>-75.100493546104346</v>
      </c>
      <c r="AJ11" s="586">
        <f t="shared" si="90"/>
        <v>92.03894224350519</v>
      </c>
      <c r="AK11" s="635">
        <f>IF(M11="","",(COS(RADIANS((90-$Q$8)-W11))*AD11)+(-SIN(RADIANS((90-$Q$8)-W11))*AE11))</f>
        <v>0.96571750852165739</v>
      </c>
      <c r="AL11" s="629">
        <f t="shared" si="91"/>
        <v>3.5730957036578526E-2</v>
      </c>
      <c r="AM11" s="634">
        <f t="shared" si="92"/>
        <v>-0.25712446877723033</v>
      </c>
      <c r="AN11" s="581">
        <f>IF(M11="","",DEGREES(ATAN2(-AM11,AL11)))</f>
        <v>7.9113656048235566</v>
      </c>
      <c r="AO11" s="582">
        <f>IF(ROUND(IF(M11="",0,DEGREES(ACOS(AK11))),4)=90,0,IF(M11="","",DEGREES(ACOS(AK11))))</f>
        <v>15.046047064459652</v>
      </c>
      <c r="AP11" s="585">
        <f t="shared" si="95"/>
        <v>2.1189422319546178</v>
      </c>
      <c r="AQ11" s="586">
        <f t="shared" si="9"/>
        <v>1.1080820215399998</v>
      </c>
      <c r="AS11" s="52">
        <f t="shared" ref="AS11:AS42" si="116">IF(G11="","",IF(AND(W11&lt;(AS10+180),W11&gt;(AS10-180)),W11,IF(W11&gt;(AS10+180),W11-360,IF(W11&lt;(AS10-180),W11+360,"Error"))))</f>
        <v>0.90999986861227455</v>
      </c>
      <c r="AT11" s="72">
        <f t="shared" si="10"/>
        <v>-0.13844486216972551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1.1080000000000001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1713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>
        <v>1313</v>
      </c>
      <c r="JB11" s="787" cm="1">
        <f t="array" ref="JB11">IF($JA11="","",COUNT(IF(IF($II$9:$II$150="",$IJ$9:$IJ$150,"")=$JA11,$IG$9:$IG$150,"")))</f>
        <v>5</v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4.9848611944602238E-2</v>
      </c>
      <c r="C12" s="708">
        <v>2.8846780297440597</v>
      </c>
      <c r="D12" s="709">
        <v>-0.11660035166666062</v>
      </c>
      <c r="E12" s="710">
        <v>-0.96093270718931922</v>
      </c>
      <c r="F12" s="708">
        <v>0.14356229943364274</v>
      </c>
      <c r="G12" s="711">
        <v>0.23663938479283439</v>
      </c>
      <c r="H12" s="710">
        <v>0.314</v>
      </c>
      <c r="I12" s="708">
        <v>0.52</v>
      </c>
      <c r="J12" s="570">
        <v>1.113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1.113</v>
      </c>
      <c r="N12" s="632">
        <f t="shared" si="2"/>
        <v>4.9848611944602238E-2</v>
      </c>
      <c r="O12" s="629">
        <f t="shared" si="3"/>
        <v>2.8846780297440597</v>
      </c>
      <c r="P12" s="633">
        <f t="shared" si="4"/>
        <v>-0.11660035166666062</v>
      </c>
      <c r="Q12" s="585">
        <f>IF(M12="","",IF(DEGREES(ATAN2(N12,O12))&lt;0,DEGREES(ATAN2(N12,O12))+360,IF(DEGREES(ATAN2(N12,O12))&gt;360,DEGREES(ATAN2(N12,O12))-360,DEGREES(ATAN2(N12,O12)))))</f>
        <v>89.010000142938296</v>
      </c>
      <c r="R12" s="629">
        <f t="shared" si="79"/>
        <v>2.885108701487844</v>
      </c>
      <c r="S12" s="634">
        <f t="shared" si="80"/>
        <v>-0.11660035166666062</v>
      </c>
      <c r="T12" s="635">
        <f>IF(M12="","",X12*COS(RADIANS(W12)))</f>
        <v>2.885108701487844</v>
      </c>
      <c r="U12" s="629">
        <f t="shared" si="82"/>
        <v>0</v>
      </c>
      <c r="V12" s="636">
        <f t="shared" si="114"/>
        <v>-0.11660035166666062</v>
      </c>
      <c r="W12" s="585">
        <f>IF(M12="","",IF(Q12-$Q$8&lt;0,360+Q12-$Q$8,Q12-$Q$8))</f>
        <v>0</v>
      </c>
      <c r="X12" s="629">
        <f t="shared" si="83"/>
        <v>2.885108701487844</v>
      </c>
      <c r="Y12" s="630">
        <f>IF(M12="","",S12)</f>
        <v>-0.11660035166666062</v>
      </c>
      <c r="Z12" s="632">
        <f t="shared" si="6"/>
        <v>0.96093270718931922</v>
      </c>
      <c r="AA12" s="629">
        <f t="shared" si="7"/>
        <v>-0.14356229943364274</v>
      </c>
      <c r="AB12" s="629">
        <f t="shared" si="8"/>
        <v>-0.23663938479283439</v>
      </c>
      <c r="AC12" s="636">
        <f t="shared" si="84"/>
        <v>1</v>
      </c>
      <c r="AD12" s="637">
        <f t="shared" si="115"/>
        <v>0.96093270718931922</v>
      </c>
      <c r="AE12" s="629">
        <f t="shared" si="85"/>
        <v>-0.14356229943364274</v>
      </c>
      <c r="AF12" s="633">
        <f t="shared" si="86"/>
        <v>-0.23663938479283439</v>
      </c>
      <c r="AG12" s="602">
        <f t="shared" si="87"/>
        <v>-31.243982169010089</v>
      </c>
      <c r="AH12" s="603">
        <f t="shared" si="88"/>
        <v>16.068244028385873</v>
      </c>
      <c r="AI12" s="585">
        <f t="shared" si="89"/>
        <v>-76.31172138180824</v>
      </c>
      <c r="AJ12" s="586">
        <f t="shared" si="90"/>
        <v>81.502919406846416</v>
      </c>
      <c r="AK12" s="635">
        <f t="shared" ref="AK12:AK105" si="211">IF(M12="","",(COS(RADIANS((90-$Q$8)-W12))*AD12)+(-SIN(RADIANS((90-$Q$8)-W12))*AE12))</f>
        <v>0.96326971958202412</v>
      </c>
      <c r="AL12" s="629">
        <f>IF(M12="","",(SIN(RADIANS((90-$Q$8)-W12))*AD12)+(COS(RADIANS((90-$Q$8)-W12))*AE12))</f>
        <v>-0.12693797265293572</v>
      </c>
      <c r="AM12" s="634">
        <f t="shared" si="92"/>
        <v>-0.23663938479283439</v>
      </c>
      <c r="AN12" s="581">
        <f>IF(M12="","",DEGREES(ATAN2(-AM12,AL12)))</f>
        <v>-28.209975012120953</v>
      </c>
      <c r="AO12" s="582">
        <f t="shared" si="94"/>
        <v>15.577153824064556</v>
      </c>
      <c r="AP12" s="585">
        <f t="shared" si="95"/>
        <v>-7.5070807360918792</v>
      </c>
      <c r="AQ12" s="586">
        <f t="shared" si="9"/>
        <v>0.79012001088765993</v>
      </c>
      <c r="AS12" s="52">
        <f t="shared" si="116"/>
        <v>0</v>
      </c>
      <c r="AT12" s="72">
        <f>IF(M12="","",Y12+(((AS12-$AS$9)*$AS$6)*-1))</f>
        <v>-0.11591285176592332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1.113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0.13687231636413613</v>
      </c>
      <c r="C13" s="708">
        <v>3.5956066672998666</v>
      </c>
      <c r="D13" s="709">
        <v>-0.51180154359345553</v>
      </c>
      <c r="E13" s="710">
        <v>-0.93437635688519882</v>
      </c>
      <c r="F13" s="708">
        <v>0.29605601188120223</v>
      </c>
      <c r="G13" s="711">
        <v>0.1982212438739632</v>
      </c>
      <c r="H13" s="710">
        <v>0.314</v>
      </c>
      <c r="I13" s="708">
        <v>0.52</v>
      </c>
      <c r="J13" s="570">
        <v>1.1180000000000001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 t="str">
        <f>IF($L12=$JH$22,$JH$29,IF($L12=$JI$22,$JI$29,""))</f>
        <v/>
      </c>
      <c r="M13" s="168">
        <f t="shared" si="1"/>
        <v>1.1180000000000001</v>
      </c>
      <c r="N13" s="632">
        <f t="shared" si="2"/>
        <v>0.13687231636413613</v>
      </c>
      <c r="O13" s="629">
        <f t="shared" si="3"/>
        <v>3.5956066672998666</v>
      </c>
      <c r="P13" s="633">
        <f t="shared" si="4"/>
        <v>-0.51180154359345553</v>
      </c>
      <c r="Q13" s="585">
        <f t="shared" si="113"/>
        <v>87.820000314753017</v>
      </c>
      <c r="R13" s="629">
        <f t="shared" si="79"/>
        <v>3.5982108522039309</v>
      </c>
      <c r="S13" s="634">
        <f t="shared" si="80"/>
        <v>-0.51180154359345553</v>
      </c>
      <c r="T13" s="635">
        <f>IF(M13="","",X13*COS(RADIANS(W13)))</f>
        <v>3.5974348025061089</v>
      </c>
      <c r="U13" s="629">
        <f t="shared" si="82"/>
        <v>-7.4727362030054145E-2</v>
      </c>
      <c r="V13" s="636">
        <f t="shared" si="114"/>
        <v>-0.51180154359345553</v>
      </c>
      <c r="W13" s="585">
        <f t="shared" si="5"/>
        <v>358.81000017181475</v>
      </c>
      <c r="X13" s="629">
        <f t="shared" si="83"/>
        <v>3.5982108522039309</v>
      </c>
      <c r="Y13" s="630">
        <f>IF(M13="","",S13)</f>
        <v>-0.51180154359345553</v>
      </c>
      <c r="Z13" s="632">
        <f t="shared" si="6"/>
        <v>0.93437635688519882</v>
      </c>
      <c r="AA13" s="629">
        <f t="shared" si="7"/>
        <v>-0.29605601188120223</v>
      </c>
      <c r="AB13" s="629">
        <f t="shared" si="8"/>
        <v>-0.1982212438739632</v>
      </c>
      <c r="AC13" s="636">
        <f t="shared" si="84"/>
        <v>1</v>
      </c>
      <c r="AD13" s="637">
        <f>IF(M13="","",Z13*(1/SQRT(Z13^2+AA13^2+AB13^2)))</f>
        <v>0.93437635688519882</v>
      </c>
      <c r="AE13" s="629">
        <f t="shared" si="85"/>
        <v>-0.29605601188120223</v>
      </c>
      <c r="AF13" s="633">
        <f t="shared" si="86"/>
        <v>-0.1982212438739632</v>
      </c>
      <c r="AG13" s="602">
        <f>IF(M13="","",DEGREES(ATAN2(-AF13,AE13)))</f>
        <v>-56.196122182146127</v>
      </c>
      <c r="AH13" s="603">
        <f t="shared" si="88"/>
        <v>20.872376459125249</v>
      </c>
      <c r="AI13" s="585">
        <f t="shared" si="89"/>
        <v>-78.567038543067696</v>
      </c>
      <c r="AJ13" s="586">
        <f t="shared" si="90"/>
        <v>72.419258188172691</v>
      </c>
      <c r="AK13" s="635">
        <f t="shared" si="211"/>
        <v>0.94496177971917861</v>
      </c>
      <c r="AL13" s="629">
        <f t="shared" si="91"/>
        <v>-0.26029900757978591</v>
      </c>
      <c r="AM13" s="634">
        <f t="shared" si="92"/>
        <v>-0.1982212438739632</v>
      </c>
      <c r="AN13" s="581">
        <f t="shared" si="93"/>
        <v>-52.710233353842632</v>
      </c>
      <c r="AO13" s="582">
        <f t="shared" si="94"/>
        <v>19.097746764940947</v>
      </c>
      <c r="AP13" s="585">
        <f t="shared" si="95"/>
        <v>-15.400742126580321</v>
      </c>
      <c r="AQ13" s="586">
        <f t="shared" si="9"/>
        <v>0.63354645198340953</v>
      </c>
      <c r="AS13" s="52">
        <f t="shared" si="116"/>
        <v>-1.1899998281852504</v>
      </c>
      <c r="AT13" s="72">
        <f t="shared" si="10"/>
        <v>-0.5102876549231451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1.1180000000000001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0.24110186290847324</v>
      </c>
      <c r="C14" s="708">
        <v>4.1814674780170611</v>
      </c>
      <c r="D14" s="709">
        <v>-1.920305791642267</v>
      </c>
      <c r="E14" s="710">
        <v>-0.78477643035032718</v>
      </c>
      <c r="F14" s="708">
        <v>0.61977895605335087</v>
      </c>
      <c r="G14" s="711">
        <v>1.3008419227653169E-7</v>
      </c>
      <c r="H14" s="710">
        <v>0.26600000000000001</v>
      </c>
      <c r="I14" s="708">
        <v>0.52</v>
      </c>
      <c r="J14" s="570">
        <v>1.1279999999999999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1313</v>
      </c>
      <c r="L14" s="776" t="s">
        <v>367</v>
      </c>
      <c r="M14" s="168">
        <f t="shared" si="1"/>
        <v>1.1279999999999999</v>
      </c>
      <c r="N14" s="632">
        <f t="shared" si="2"/>
        <v>0.24110186290847324</v>
      </c>
      <c r="O14" s="629">
        <f t="shared" si="3"/>
        <v>4.1814674780170611</v>
      </c>
      <c r="P14" s="633">
        <f t="shared" si="4"/>
        <v>-1.920305791642267</v>
      </c>
      <c r="Q14" s="585">
        <f t="shared" si="113"/>
        <v>86.700000476461</v>
      </c>
      <c r="R14" s="629">
        <f t="shared" si="79"/>
        <v>4.1884126322524979</v>
      </c>
      <c r="S14" s="634">
        <f t="shared" si="80"/>
        <v>-1.920305791642267</v>
      </c>
      <c r="T14" s="635">
        <f t="shared" si="81"/>
        <v>4.1850090268355302</v>
      </c>
      <c r="U14" s="629">
        <f t="shared" si="82"/>
        <v>-0.16881890687190063</v>
      </c>
      <c r="V14" s="636">
        <f t="shared" si="114"/>
        <v>-1.920305791642267</v>
      </c>
      <c r="W14" s="585">
        <f t="shared" si="5"/>
        <v>357.69000033352273</v>
      </c>
      <c r="X14" s="629">
        <f t="shared" si="83"/>
        <v>4.1884126322524979</v>
      </c>
      <c r="Y14" s="630">
        <f t="shared" ref="Y14:Y75" si="223">IF(M14="","",S14)</f>
        <v>-1.920305791642267</v>
      </c>
      <c r="Z14" s="632">
        <f t="shared" si="6"/>
        <v>0.78477643035032718</v>
      </c>
      <c r="AA14" s="629">
        <f t="shared" si="7"/>
        <v>-0.61977895605335087</v>
      </c>
      <c r="AB14" s="629">
        <f t="shared" si="8"/>
        <v>-1.3008419227653169E-7</v>
      </c>
      <c r="AC14" s="636">
        <f t="shared" si="84"/>
        <v>1</v>
      </c>
      <c r="AD14" s="637">
        <f>IF(M14="","",Z14*(1/SQRT(Z14^2+AA14^2+AB14^2)))</f>
        <v>0.78477643035032718</v>
      </c>
      <c r="AE14" s="629">
        <f t="shared" si="85"/>
        <v>-0.61977895605335087</v>
      </c>
      <c r="AF14" s="633">
        <f t="shared" si="86"/>
        <v>-1.3008419227653169E-7</v>
      </c>
      <c r="AG14" s="602">
        <f t="shared" si="87"/>
        <v>-89.99998797430095</v>
      </c>
      <c r="AH14" s="603">
        <f t="shared" si="88"/>
        <v>38.299994470164897</v>
      </c>
      <c r="AI14" s="585">
        <f t="shared" si="89"/>
        <v>-89.999992546724798</v>
      </c>
      <c r="AJ14" s="586">
        <f t="shared" si="90"/>
        <v>51.700005529835707</v>
      </c>
      <c r="AK14" s="635">
        <f>IF(M14="","",(COS(RADIANS((90-$Q$8)-W14))*AD14)+(-SIN(RADIANS((90-$Q$8)-W14))*AE14))</f>
        <v>0.81915209487729168</v>
      </c>
      <c r="AL14" s="629">
        <f t="shared" si="91"/>
        <v>-0.57357636410344537</v>
      </c>
      <c r="AM14" s="634">
        <f t="shared" si="92"/>
        <v>-1.3008419227653169E-7</v>
      </c>
      <c r="AN14" s="581">
        <f t="shared" si="93"/>
        <v>-89.999987005609611</v>
      </c>
      <c r="AO14" s="582">
        <f t="shared" si="94"/>
        <v>34.999994946625982</v>
      </c>
      <c r="AP14" s="585">
        <f>IF(M14="","",DEGREES(ATAN2(AK14,AL14)))</f>
        <v>-34.999994946625314</v>
      </c>
      <c r="AQ14" s="586">
        <f t="shared" si="9"/>
        <v>0.54427733323535543</v>
      </c>
      <c r="AS14" s="52">
        <f t="shared" si="116"/>
        <v>-2.3099996664772675</v>
      </c>
      <c r="AT14" s="72">
        <f t="shared" si="10"/>
        <v>-1.918014125306476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1.1279999999999999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1313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0.21019123565451217</v>
      </c>
      <c r="C15" s="708">
        <v>4.0241264580725753</v>
      </c>
      <c r="D15" s="709">
        <v>-1.2037036303701489</v>
      </c>
      <c r="E15" s="710">
        <v>-0.88294335517423672</v>
      </c>
      <c r="F15" s="708">
        <v>0.4493375046009786</v>
      </c>
      <c r="G15" s="711">
        <v>0.13603984163702654</v>
      </c>
      <c r="H15" s="710">
        <v>0.314</v>
      </c>
      <c r="I15" s="708">
        <v>0.52</v>
      </c>
      <c r="J15" s="570">
        <v>1.1319999999999999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873" t="str">
        <f>IF($L14=$JH$22,$JH$29,IF($L14=$JI$22,$JI$29,""))</f>
        <v/>
      </c>
      <c r="M15" s="168">
        <f t="shared" si="1"/>
        <v>1.1319999999999999</v>
      </c>
      <c r="N15" s="632">
        <f t="shared" si="2"/>
        <v>0.21019123565451217</v>
      </c>
      <c r="O15" s="629">
        <f t="shared" si="3"/>
        <v>4.0241264580725753</v>
      </c>
      <c r="P15" s="633">
        <f t="shared" si="4"/>
        <v>-1.2037036303701489</v>
      </c>
      <c r="Q15" s="585">
        <f t="shared" si="113"/>
        <v>87.010000431702537</v>
      </c>
      <c r="R15" s="629">
        <f t="shared" si="79"/>
        <v>4.0296121533102545</v>
      </c>
      <c r="S15" s="634">
        <f t="shared" si="80"/>
        <v>-1.2037036303701489</v>
      </c>
      <c r="T15" s="635">
        <f t="shared" si="81"/>
        <v>4.0271574231717011</v>
      </c>
      <c r="U15" s="629">
        <f t="shared" si="82"/>
        <v>-0.14063141576038762</v>
      </c>
      <c r="V15" s="636">
        <f t="shared" si="114"/>
        <v>-1.2037036303701489</v>
      </c>
      <c r="W15" s="585">
        <f t="shared" ref="W15:W78" si="224">IF(M15="","",IF(Q15-$Q$8&lt;0,360+Q15-$Q$8,Q15-$Q$8))</f>
        <v>358.00000028876428</v>
      </c>
      <c r="X15" s="629">
        <f>IF(M15="","",R15)</f>
        <v>4.0296121533102545</v>
      </c>
      <c r="Y15" s="630">
        <f>IF(M15="","",S15)</f>
        <v>-1.2037036303701489</v>
      </c>
      <c r="Z15" s="632">
        <f t="shared" si="6"/>
        <v>0.88294335517423672</v>
      </c>
      <c r="AA15" s="629">
        <f t="shared" si="7"/>
        <v>-0.4493375046009786</v>
      </c>
      <c r="AB15" s="629">
        <f t="shared" si="8"/>
        <v>-0.13603984163702654</v>
      </c>
      <c r="AC15" s="636">
        <f t="shared" si="84"/>
        <v>1</v>
      </c>
      <c r="AD15" s="637">
        <f t="shared" si="115"/>
        <v>0.88294335517423672</v>
      </c>
      <c r="AE15" s="629">
        <f t="shared" si="85"/>
        <v>-0.4493375046009786</v>
      </c>
      <c r="AF15" s="633">
        <f t="shared" si="86"/>
        <v>-0.13603984163702654</v>
      </c>
      <c r="AG15" s="602">
        <f t="shared" si="87"/>
        <v>-73.155971675810434</v>
      </c>
      <c r="AH15" s="603">
        <f t="shared" si="88"/>
        <v>28.000517175918613</v>
      </c>
      <c r="AI15" s="585">
        <f t="shared" si="89"/>
        <v>-82.18124681899242</v>
      </c>
      <c r="AJ15" s="586">
        <f t="shared" si="90"/>
        <v>63.028063496256472</v>
      </c>
      <c r="AK15" s="635">
        <f t="shared" si="211"/>
        <v>0.90517955155005103</v>
      </c>
      <c r="AL15" s="629">
        <f t="shared" si="91"/>
        <v>-0.4026700149539586</v>
      </c>
      <c r="AM15" s="634">
        <f t="shared" si="92"/>
        <v>-0.13603984163702654</v>
      </c>
      <c r="AN15" s="581">
        <f>IF(M15="","",DEGREES(ATAN2(-AM15,AL15)))</f>
        <v>-71.332744167391354</v>
      </c>
      <c r="AO15" s="582">
        <f t="shared" si="94"/>
        <v>25.152523501086801</v>
      </c>
      <c r="AP15" s="585">
        <f t="shared" si="95"/>
        <v>-23.981936935446086</v>
      </c>
      <c r="AQ15" s="586">
        <f t="shared" si="9"/>
        <v>0.56572505250805372</v>
      </c>
      <c r="AS15" s="52">
        <f t="shared" si="116"/>
        <v>-1.9999997112357164</v>
      </c>
      <c r="AT15" s="72">
        <f t="shared" si="10"/>
        <v>-1.2016272417810534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1.1319999999999999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31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1.1282236477046248</v>
      </c>
      <c r="C16" s="708">
        <v>2.6643909792718987</v>
      </c>
      <c r="D16" s="709">
        <v>-9.2104731918929206E-2</v>
      </c>
      <c r="E16" s="710">
        <v>8.233463794992027E-2</v>
      </c>
      <c r="F16" s="708">
        <v>0.1944404580546969</v>
      </c>
      <c r="G16" s="711">
        <v>0.977452769020138</v>
      </c>
      <c r="H16" s="710">
        <v>0.26250000000000001</v>
      </c>
      <c r="I16" s="708">
        <v>0.40699999999999997</v>
      </c>
      <c r="J16" s="570">
        <v>1.2130000000000001</v>
      </c>
      <c r="K16" s="865" t="str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Inactive</v>
      </c>
      <c r="L16" s="320"/>
      <c r="M16" s="168">
        <f t="shared" si="1"/>
        <v>1.2130000000000001</v>
      </c>
      <c r="N16" s="632">
        <f t="shared" si="2"/>
        <v>1.1282236477046248</v>
      </c>
      <c r="O16" s="629">
        <f t="shared" si="3"/>
        <v>2.6643909792718987</v>
      </c>
      <c r="P16" s="633">
        <f t="shared" si="4"/>
        <v>-9.2104731918929206E-2</v>
      </c>
      <c r="Q16" s="585">
        <f>IF(M16="","",IF(DEGREES(ATAN2(N16,O16))&lt;0,DEGREES(ATAN2(N16,O16))+360,IF(DEGREES(ATAN2(N16,O16))&gt;360,DEGREES(ATAN2(N16,O16))-360,DEGREES(ATAN2(N16,O16)))))</f>
        <v>67.050003313569547</v>
      </c>
      <c r="R16" s="629">
        <f t="shared" si="79"/>
        <v>2.8934180288484757</v>
      </c>
      <c r="S16" s="634">
        <f t="shared" si="80"/>
        <v>-9.2104731918929206E-2</v>
      </c>
      <c r="T16" s="635">
        <f t="shared" si="81"/>
        <v>2.683486587303435</v>
      </c>
      <c r="U16" s="629">
        <f t="shared" si="82"/>
        <v>-1.0820201594369492</v>
      </c>
      <c r="V16" s="636">
        <f t="shared" si="114"/>
        <v>-9.2104731918929206E-2</v>
      </c>
      <c r="W16" s="585">
        <f>IF(M16="","",IF(Q16-$Q$8&lt;0,360+Q16-$Q$8,Q16-$Q$8))</f>
        <v>338.04000317063128</v>
      </c>
      <c r="X16" s="629">
        <f t="shared" si="83"/>
        <v>2.8934180288484757</v>
      </c>
      <c r="Y16" s="630">
        <f t="shared" si="223"/>
        <v>-9.2104731918929206E-2</v>
      </c>
      <c r="Z16" s="632">
        <f t="shared" si="6"/>
        <v>-8.233463794992027E-2</v>
      </c>
      <c r="AA16" s="629">
        <f t="shared" si="7"/>
        <v>-0.1944404580546969</v>
      </c>
      <c r="AB16" s="629">
        <f t="shared" si="8"/>
        <v>-0.977452769020138</v>
      </c>
      <c r="AC16" s="636">
        <f t="shared" si="84"/>
        <v>1</v>
      </c>
      <c r="AD16" s="637">
        <f t="shared" si="115"/>
        <v>-8.233463794992027E-2</v>
      </c>
      <c r="AE16" s="629">
        <f t="shared" si="85"/>
        <v>-0.1944404580546969</v>
      </c>
      <c r="AF16" s="633">
        <f t="shared" si="86"/>
        <v>-0.977452769020138</v>
      </c>
      <c r="AG16" s="602">
        <f t="shared" si="87"/>
        <v>-11.250733798219366</v>
      </c>
      <c r="AH16" s="603">
        <f t="shared" si="88"/>
        <v>94.722773488046002</v>
      </c>
      <c r="AI16" s="585">
        <f t="shared" si="89"/>
        <v>-12.189998239988814</v>
      </c>
      <c r="AJ16" s="586">
        <f t="shared" si="90"/>
        <v>-22.949935146607324</v>
      </c>
      <c r="AK16" s="635">
        <f t="shared" si="211"/>
        <v>2.2679489673771425E-7</v>
      </c>
      <c r="AL16" s="629">
        <f t="shared" si="91"/>
        <v>-0.21115417195692193</v>
      </c>
      <c r="AM16" s="634">
        <f t="shared" si="92"/>
        <v>-0.977452769020138</v>
      </c>
      <c r="AN16" s="581">
        <f t="shared" si="93"/>
        <v>-12.189998239982007</v>
      </c>
      <c r="AO16" s="582">
        <f t="shared" si="94"/>
        <v>0</v>
      </c>
      <c r="AP16" s="585">
        <f t="shared" si="95"/>
        <v>-89.999938460176864</v>
      </c>
      <c r="AQ16" s="586">
        <f t="shared" si="9"/>
        <v>0.78785122807874353</v>
      </c>
      <c r="AS16" s="52">
        <f t="shared" si="116"/>
        <v>-21.95999682936872</v>
      </c>
      <c r="AT16" s="72">
        <f t="shared" si="10"/>
        <v>-7.6167234220019184E-2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>Nose</v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1.2130000000000001</v>
      </c>
      <c r="IH16" s="731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1.113</v>
      </c>
      <c r="II16" s="734" cm="1">
        <f t="array" ref="II16">IFERROR(ROUND(VALUE(IF($IH16&lt;1,$IH16+LARGE((IF($M$9:$M$150="",0,$M$9:$M$150)-MOD(IF($M$9:$M$150="",0,$M$9:$M$150),1)),1),$IH16)),4),"")</f>
        <v>1.113</v>
      </c>
      <c r="IJ16" s="533">
        <f t="shared" si="112"/>
        <v>1613</v>
      </c>
      <c r="IK16" s="533" t="str">
        <f t="shared" si="66"/>
        <v>Inactive</v>
      </c>
      <c r="IL16" s="727">
        <f>IF(ISNUMBER($II16),IFERROR(IF(INDEX($W$9:$W$150,MATCH($II16,$M$9:$M$150,0))&lt;$W16,((INDEX($W$9:$W$150,MATCH($II16,$M$9:$M$150,0))+360)-$W16),INDEX($W$9:$W$150,MATCH($II16,$M$9:$M$150,0))-$W16),""),"")</f>
        <v>21.95999682936872</v>
      </c>
      <c r="IM16" s="759">
        <v>1.4281001778579799E-2</v>
      </c>
      <c r="IN16" s="5">
        <f>IF(ISNUMBER($II16),(($IO16*12)/60)/$AS$3,"")</f>
        <v>0.24</v>
      </c>
      <c r="IO16" s="771">
        <v>120</v>
      </c>
      <c r="IP16" s="9">
        <f>IF(ISNUMBER($II16),(INDEX($X$9:$X$150,MATCH($II16,$M$9:$M$150,0))*-1),"")</f>
        <v>-2.885108701487844</v>
      </c>
      <c r="IQ16" s="5">
        <f>IF(ISNUMBER($II16),INDEX($Y$9:$Y$150,MATCH($II16,$M$9:$M$150,0)),"")</f>
        <v>-0.11660035166666062</v>
      </c>
      <c r="IR16" s="5">
        <f t="shared" si="71"/>
        <v>0.314</v>
      </c>
      <c r="IS16" s="5">
        <f>IF(ISNUMBER($II16),$IR16*COS(RADIANS(INDEX($AO$9:$AO$150,MATCH($II16,$M$9:$M$150,0)))),"")</f>
        <v>0.30246669194875558</v>
      </c>
      <c r="IT16" s="727">
        <f>IF(ISNUMBER($II16),(-1*INDEX($AN$9:$AN$150,MATCH($II16,$M$9:$M$150,0))),"")</f>
        <v>28.209975012120953</v>
      </c>
      <c r="IU16" s="9">
        <f>IF(ISNUMBER($II16),-$X16,"")</f>
        <v>-2.8934180288484757</v>
      </c>
      <c r="IV16" s="5">
        <f>IF(ISNUMBER($II16),$Y16,"")</f>
        <v>-9.2104731918929206E-2</v>
      </c>
      <c r="IW16" s="5">
        <f t="shared" si="76"/>
        <v>0.26250000000000001</v>
      </c>
      <c r="IX16" s="5">
        <f>IF(ISNUMBER($II16),$IW16*COS(RADIANS($AO16)),"")</f>
        <v>0.26250000000000001</v>
      </c>
      <c r="IY16" s="762">
        <f>IF(ISNUMBER($II16),(-1*$AN16),"")</f>
        <v>12.189998239982007</v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1.2855514320171253</v>
      </c>
      <c r="C17" s="708">
        <v>3.3806832370030815</v>
      </c>
      <c r="D17" s="709">
        <v>-0.49438856598542902</v>
      </c>
      <c r="E17" s="710">
        <v>0.19097388661888332</v>
      </c>
      <c r="F17" s="708">
        <v>0.50221486391228021</v>
      </c>
      <c r="G17" s="711">
        <v>0.84339148981670886</v>
      </c>
      <c r="H17" s="710">
        <v>0.26250000000000001</v>
      </c>
      <c r="I17" s="708">
        <v>0.40699999999999997</v>
      </c>
      <c r="J17" s="570">
        <v>1.218</v>
      </c>
      <c r="K17" s="865" t="str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Inactive</v>
      </c>
      <c r="M17" s="168">
        <f t="shared" si="1"/>
        <v>1.218</v>
      </c>
      <c r="N17" s="632">
        <f t="shared" si="2"/>
        <v>1.2855514320171253</v>
      </c>
      <c r="O17" s="629">
        <f t="shared" si="3"/>
        <v>3.3806832370030815</v>
      </c>
      <c r="P17" s="633">
        <f t="shared" si="4"/>
        <v>-0.49438856598542902</v>
      </c>
      <c r="Q17" s="585">
        <f>IF(M17="","",IF(DEGREES(ATAN2(N17,O17))&lt;0,DEGREES(ATAN2(N17,O17))+360,IF(DEGREES(ATAN2(N17,O17))&gt;360,DEGREES(ATAN2(N17,O17))-360,DEGREES(ATAN2(N17,O17)))))</f>
        <v>69.180003006035648</v>
      </c>
      <c r="R17" s="629">
        <f>IF(M17="","",SQRT(N17^2+O17^2))</f>
        <v>3.6168579780404588</v>
      </c>
      <c r="S17" s="634">
        <f>IF(M17="","",P17)</f>
        <v>-0.49438856598542902</v>
      </c>
      <c r="T17" s="635">
        <f>IF(M17="","",X17*COS(RADIANS(W17)))</f>
        <v>3.4023902145226086</v>
      </c>
      <c r="U17" s="629">
        <f>IF(M17="","",X17*SIN(RADIANS(W17)))</f>
        <v>-1.2269484347093464</v>
      </c>
      <c r="V17" s="636">
        <f>IF(M17="","",Y17)</f>
        <v>-0.49438856598542902</v>
      </c>
      <c r="W17" s="585">
        <f t="shared" si="224"/>
        <v>340.17000286309735</v>
      </c>
      <c r="X17" s="629">
        <f>IF(M17="","",R17)</f>
        <v>3.6168579780404588</v>
      </c>
      <c r="Y17" s="630">
        <f t="shared" si="223"/>
        <v>-0.49438856598542902</v>
      </c>
      <c r="Z17" s="632">
        <f t="shared" si="6"/>
        <v>-0.19097388661888332</v>
      </c>
      <c r="AA17" s="629">
        <f t="shared" si="7"/>
        <v>-0.50221486391228021</v>
      </c>
      <c r="AB17" s="629">
        <f t="shared" si="8"/>
        <v>-0.84339148981670886</v>
      </c>
      <c r="AC17" s="636">
        <f>IF(M17="","",SQRT(Z17^2+AA17^2+AB17^2))</f>
        <v>1</v>
      </c>
      <c r="AD17" s="637">
        <f>IF(M17="","",Z17*(1/SQRT(Z17^2+AA17^2+AB17^2)))</f>
        <v>-0.19097388661888332</v>
      </c>
      <c r="AE17" s="629">
        <f>IF(M17="","",AA17*(1/SQRT(Z17^2+AA17^2+AB17^2)))</f>
        <v>-0.50221486391228021</v>
      </c>
      <c r="AF17" s="633">
        <f>IF(M17="","",AB17*(1/SQRT(Z17^2+AA17^2+AB17^2)))</f>
        <v>-0.84339148981670886</v>
      </c>
      <c r="AG17" s="602">
        <f>IF(M17="","",DEGREES(ATAN2(-AF17,AE17)))</f>
        <v>-30.772556321680561</v>
      </c>
      <c r="AH17" s="603">
        <f>IF(M17="","",DEGREES(ACOS(AD17)))</f>
        <v>101.0096245567688</v>
      </c>
      <c r="AI17" s="585">
        <f>IF(M17="","",DEGREES(-ACOS(-AF17)))</f>
        <v>-32.499995307583561</v>
      </c>
      <c r="AJ17" s="586">
        <f>IF(M17="","",DEGREES(ATAN2(-AE17,AD17)))</f>
        <v>-20.819972809334658</v>
      </c>
      <c r="AK17" s="635">
        <f>IF(M17="","",(COS(RADIANS((90-$Q$8)-W17))*AD17)+(-SIN(RADIANS((90-$Q$8)-W17))*AE17))</f>
        <v>2.2679489694588106E-7</v>
      </c>
      <c r="AL17" s="629">
        <f>IF(M17="","",(SIN(RADIANS((90-$Q$8)-W17))*AD17)+(COS(RADIANS((90-$Q$8)-W17))*AE17))</f>
        <v>-0.53729953927460317</v>
      </c>
      <c r="AM17" s="634">
        <f>IF(M17="","",AF17)</f>
        <v>-0.84339148981670886</v>
      </c>
      <c r="AN17" s="581">
        <f>IF(M17="","",DEGREES(ATAN2(-AM17,AL17)))</f>
        <v>-32.499995307581258</v>
      </c>
      <c r="AO17" s="582">
        <f t="shared" si="94"/>
        <v>0</v>
      </c>
      <c r="AP17" s="585">
        <f>IF(M17="","",DEGREES(ATAN2(AK17,AL17)))</f>
        <v>-89.999975815370277</v>
      </c>
      <c r="AQ17" s="586">
        <f t="shared" si="9"/>
        <v>0.63028039482097153</v>
      </c>
      <c r="AS17" s="52">
        <f t="shared" si="116"/>
        <v>-19.829997136902648</v>
      </c>
      <c r="AT17" s="72">
        <f t="shared" si="10"/>
        <v>-0.47993023473962043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Taper</v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1.218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1.1180000000000001</v>
      </c>
      <c r="II17" s="734" cm="1">
        <f t="array" ref="II17">IFERROR(ROUND(VALUE(IF($IH17&lt;1,$IH17+LARGE((IF($M$9:$M$150="",0,$M$9:$M$150)-MOD(IF($M$9:$M$150="",0,$M$9:$M$150),1)),1),$IH17)),4),"")</f>
        <v>1.1180000000000001</v>
      </c>
      <c r="IJ17" s="533">
        <f t="shared" si="112"/>
        <v>1613</v>
      </c>
      <c r="IK17" s="533" t="str">
        <f t="shared" si="66"/>
        <v>Inactive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18.639997308717398</v>
      </c>
      <c r="IM17" s="759">
        <v>8.7876550568530207E-3</v>
      </c>
      <c r="IN17" s="5">
        <f t="shared" ref="IN17:IN80" si="226">IF(ISNUMBER($II17),(($IO17*12)/60)/$AS$3,"")</f>
        <v>0.22</v>
      </c>
      <c r="IO17" s="771">
        <v>110</v>
      </c>
      <c r="IP17" s="9">
        <f t="shared" ref="IP17:IP80" si="227">IF(ISNUMBER($II17),(INDEX($X$9:$X$150,MATCH($II17,$M$9:$M$150,0))*-1),"")</f>
        <v>-3.5982108522039309</v>
      </c>
      <c r="IQ17" s="5">
        <f t="shared" ref="IQ17:IQ80" si="228">IF(ISNUMBER($II17),INDEX($Y$9:$Y$150,MATCH($II17,$M$9:$M$150,0)),"")</f>
        <v>-0.51180154359345553</v>
      </c>
      <c r="IR17" s="5">
        <f t="shared" si="71"/>
        <v>0.314</v>
      </c>
      <c r="IS17" s="5">
        <f t="shared" ref="IS17:IS80" si="229">IF(ISNUMBER($II17),$IR17*COS(RADIANS(INDEX($AO$9:$AO$150,MATCH($II17,$M$9:$M$150,0)))),"")</f>
        <v>0.29671799883182209</v>
      </c>
      <c r="IT17" s="727">
        <f t="shared" ref="IT17:IT80" si="230">IF(ISNUMBER($II17),(-1*INDEX($AN$9:$AN$150,MATCH($II17,$M$9:$M$150,0))),"")</f>
        <v>52.710233353842632</v>
      </c>
      <c r="IU17" s="9">
        <f t="shared" ref="IU17:IU80" si="231">IF(ISNUMBER($II17),-$X17,"")</f>
        <v>-3.6168579780404588</v>
      </c>
      <c r="IV17" s="5">
        <f t="shared" ref="IV17:IV80" si="232">IF(ISNUMBER($II17),$Y17,"")</f>
        <v>-0.49438856598542902</v>
      </c>
      <c r="IW17" s="5">
        <f t="shared" si="76"/>
        <v>0.26250000000000001</v>
      </c>
      <c r="IX17" s="5">
        <f t="shared" ref="IX17:IX80" si="233">IF(ISNUMBER($II17),$IW17*COS(RADIANS($AO17)),"")</f>
        <v>0.26250000000000001</v>
      </c>
      <c r="IY17" s="762">
        <f t="shared" ref="IY17:IY80" si="234">IF(ISNUMBER($II17),(-1*$AN17),"")</f>
        <v>32.499995307581258</v>
      </c>
    </row>
    <row r="18" spans="1:269" ht="15" customHeight="1" x14ac:dyDescent="0.25">
      <c r="A18" s="79"/>
      <c r="B18" s="707">
        <v>1.7790509181424661</v>
      </c>
      <c r="C18" s="708">
        <v>0.64716849305446877</v>
      </c>
      <c r="D18" s="709">
        <v>-0.17490052749999097</v>
      </c>
      <c r="E18" s="710">
        <v>-0.37515112302855697</v>
      </c>
      <c r="F18" s="708">
        <v>0.89134579763979371</v>
      </c>
      <c r="G18" s="711">
        <v>0.25448831784640441</v>
      </c>
      <c r="H18" s="710">
        <v>0.33400000000000002</v>
      </c>
      <c r="I18" s="708">
        <v>0.52</v>
      </c>
      <c r="J18" s="570">
        <v>2.1070000000000002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1713</v>
      </c>
      <c r="L18" s="779" t="s">
        <v>331</v>
      </c>
      <c r="M18" s="168">
        <f t="shared" si="1"/>
        <v>2.1070000000000002</v>
      </c>
      <c r="N18" s="632">
        <f t="shared" si="2"/>
        <v>1.7790509181424661</v>
      </c>
      <c r="O18" s="629">
        <f t="shared" si="3"/>
        <v>0.64716849305446877</v>
      </c>
      <c r="P18" s="633">
        <f t="shared" si="4"/>
        <v>-0.17490052749999097</v>
      </c>
      <c r="Q18" s="585">
        <f t="shared" si="113"/>
        <v>19.989958130630324</v>
      </c>
      <c r="R18" s="629">
        <f>IF(M18="","",SQRT(N18^2+O18^2))</f>
        <v>1.8931057096068207</v>
      </c>
      <c r="S18" s="634">
        <f>IF(M18="","",P18)</f>
        <v>-0.17490052749999097</v>
      </c>
      <c r="T18" s="635">
        <f>IF(M18="","",X18*COS(RADIANS(W18)))</f>
        <v>0.67781014673606454</v>
      </c>
      <c r="U18" s="629">
        <f>IF(M18="","",X18*SIN(RADIANS(W18)))</f>
        <v>-1.7676036412973297</v>
      </c>
      <c r="V18" s="636">
        <f>IF(M18="","",Y18)</f>
        <v>-0.17490052749999097</v>
      </c>
      <c r="W18" s="585">
        <f t="shared" si="224"/>
        <v>290.97995798769205</v>
      </c>
      <c r="X18" s="629">
        <f>IF(M18="","",R18)</f>
        <v>1.8931057096068207</v>
      </c>
      <c r="Y18" s="630">
        <f t="shared" si="223"/>
        <v>-0.17490052749999097</v>
      </c>
      <c r="Z18" s="632">
        <f t="shared" si="6"/>
        <v>0.37515112302855697</v>
      </c>
      <c r="AA18" s="629">
        <f t="shared" si="7"/>
        <v>-0.89134579763979371</v>
      </c>
      <c r="AB18" s="629">
        <f t="shared" si="8"/>
        <v>-0.25448831784640441</v>
      </c>
      <c r="AC18" s="636">
        <f>IF(M18="","",SQRT(Z18^2+AA18^2+AB18^2))</f>
        <v>1</v>
      </c>
      <c r="AD18" s="637">
        <f>IF(M18="","",Z18*(1/SQRT(Z18^2+AA18^2+AB18^2)))</f>
        <v>0.37515112302855697</v>
      </c>
      <c r="AE18" s="629">
        <f>IF(M18="","",AA18*(1/SQRT(Z18^2+AA18^2+AB18^2)))</f>
        <v>-0.89134579763979371</v>
      </c>
      <c r="AF18" s="633">
        <f>IF(M18="","",AB18*(1/SQRT(Z18^2+AA18^2+AB18^2)))</f>
        <v>-0.25448831784640441</v>
      </c>
      <c r="AG18" s="602">
        <f>IF(M18="","",DEGREES(ATAN2(-AF18,AE18)))</f>
        <v>-74.065415369346113</v>
      </c>
      <c r="AH18" s="603">
        <f>IF(M18="","",DEGREES(ACOS(AD18)))</f>
        <v>67.966346531319218</v>
      </c>
      <c r="AI18" s="585">
        <f>IF(M18="","",DEGREES(-ACOS(-AF18)))</f>
        <v>-75.256732295803033</v>
      </c>
      <c r="AJ18" s="586">
        <f>IF(M18="","",DEGREES(ATAN2(-AE18,AD18)))</f>
        <v>22.825334189213635</v>
      </c>
      <c r="AK18" s="635">
        <f>IF(M18="","",(COS(RADIANS((90-$Q$8)-W18))*AD18)+(-SIN(RADIANS((90-$Q$8)-W18))*AE18))</f>
        <v>0.96589194008154755</v>
      </c>
      <c r="AL18" s="629">
        <f>IF(M18="","",(SIN(RADIANS((90-$Q$8)-W18))*AD18)+(COS(RADIANS((90-$Q$8)-W18))*AE18))</f>
        <v>4.7837811041181399E-2</v>
      </c>
      <c r="AM18" s="634">
        <f>IF(M18="","",AF18)</f>
        <v>-0.25448831784640441</v>
      </c>
      <c r="AN18" s="581">
        <f>IF(M18="","",DEGREES(ATAN2(-AM18,AL18)))</f>
        <v>10.646024557057995</v>
      </c>
      <c r="AO18" s="582">
        <f t="shared" si="94"/>
        <v>15.007499689873663</v>
      </c>
      <c r="AP18" s="585">
        <f>IF(M18="","",DEGREES(ATAN2(AK18,AL18)))</f>
        <v>2.8353760585833099</v>
      </c>
      <c r="AQ18" s="586">
        <f t="shared" si="9"/>
        <v>1.2040484713701052</v>
      </c>
      <c r="AS18" s="52">
        <f t="shared" si="116"/>
        <v>-69.020042012307954</v>
      </c>
      <c r="AT18" s="72">
        <f t="shared" si="10"/>
        <v>-0.12628244286848425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2.1070000000000002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1713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2.5716425512511849</v>
      </c>
      <c r="C19" s="708">
        <v>0.89704865762922015</v>
      </c>
      <c r="D19" s="709">
        <v>-8.3500251836759548E-2</v>
      </c>
      <c r="E19" s="710">
        <v>-0.22266749533598643</v>
      </c>
      <c r="F19" s="708">
        <v>0.94320121021954462</v>
      </c>
      <c r="G19" s="711">
        <v>0.24655762726223873</v>
      </c>
      <c r="H19" s="710">
        <v>0.314</v>
      </c>
      <c r="I19" s="708">
        <v>0.52</v>
      </c>
      <c r="J19" s="570">
        <v>2.1120000000000001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2.1120000000000001</v>
      </c>
      <c r="N19" s="632">
        <f t="shared" si="2"/>
        <v>2.5716425512511849</v>
      </c>
      <c r="O19" s="629">
        <f t="shared" si="3"/>
        <v>0.89704865762922015</v>
      </c>
      <c r="P19" s="633">
        <f t="shared" si="4"/>
        <v>-8.3500251836759548E-2</v>
      </c>
      <c r="Q19" s="585">
        <f t="shared" si="113"/>
        <v>19.22995824036073</v>
      </c>
      <c r="R19" s="629">
        <f>IF(M19="","",SQRT(N19^2+O19^2))</f>
        <v>2.7236082144023741</v>
      </c>
      <c r="S19" s="634">
        <f>IF(M19="","",P19)</f>
        <v>-8.3500251836759548E-2</v>
      </c>
      <c r="T19" s="635">
        <f>IF(M19="","",X19*COS(RADIANS(W19)))</f>
        <v>0.9413473275621741</v>
      </c>
      <c r="U19" s="629">
        <f>IF(M19="","",X19*SIN(RADIANS(W19)))</f>
        <v>-2.5557595572454859</v>
      </c>
      <c r="V19" s="636">
        <f>IF(M19="","",Y19)</f>
        <v>-8.3500251836759548E-2</v>
      </c>
      <c r="W19" s="585">
        <f t="shared" si="224"/>
        <v>290.21995809742242</v>
      </c>
      <c r="X19" s="629">
        <f>IF(M19="","",R19)</f>
        <v>2.7236082144023741</v>
      </c>
      <c r="Y19" s="630">
        <f t="shared" si="223"/>
        <v>-8.3500251836759548E-2</v>
      </c>
      <c r="Z19" s="632">
        <f t="shared" si="6"/>
        <v>0.22266749533598643</v>
      </c>
      <c r="AA19" s="629">
        <f t="shared" si="7"/>
        <v>-0.94320121021954462</v>
      </c>
      <c r="AB19" s="629">
        <f t="shared" si="8"/>
        <v>-0.24655762726223873</v>
      </c>
      <c r="AC19" s="636">
        <f>IF(M19="","",SQRT(Z19^2+AA19^2+AB19^2))</f>
        <v>1</v>
      </c>
      <c r="AD19" s="637">
        <f>IF(M19="","",Z19*(1/SQRT(Z19^2+AA19^2+AB19^2)))</f>
        <v>0.22266749533598643</v>
      </c>
      <c r="AE19" s="629">
        <f>IF(M19="","",AA19*(1/SQRT(Z19^2+AA19^2+AB19^2)))</f>
        <v>-0.94320121021954462</v>
      </c>
      <c r="AF19" s="633">
        <f>IF(M19="","",AB19*(1/SQRT(Z19^2+AA19^2+AB19^2)))</f>
        <v>-0.24655762726223873</v>
      </c>
      <c r="AG19" s="602">
        <f>IF(M19="","",DEGREES(ATAN2(-AF19,AE19)))</f>
        <v>-75.350399797078282</v>
      </c>
      <c r="AH19" s="603">
        <f>IF(M19="","",DEGREES(ACOS(AD19)))</f>
        <v>77.134243693092117</v>
      </c>
      <c r="AI19" s="585">
        <f>IF(M19="","",DEGREES(-ACOS(-AF19)))</f>
        <v>-75.726096642322815</v>
      </c>
      <c r="AJ19" s="586">
        <f>IF(M19="","",DEGREES(ATAN2(-AE19,AD19)))</f>
        <v>13.282979762286953</v>
      </c>
      <c r="AK19" s="635">
        <f>IF(M19="","",(COS(RADIANS((90-$Q$8)-W19))*AD19)+(-SIN(RADIANS((90-$Q$8)-W19))*AE19))</f>
        <v>0.96391247849025219</v>
      </c>
      <c r="AL19" s="629">
        <f>IF(M19="","",(SIN(RADIANS((90-$Q$8)-W19))*AD19)+(COS(RADIANS((90-$Q$8)-W19))*AE19))</f>
        <v>-0.10040951274453241</v>
      </c>
      <c r="AM19" s="634">
        <f>IF(M19="","",AF19)</f>
        <v>-0.24655762726223873</v>
      </c>
      <c r="AN19" s="581">
        <f>IF(M19="","",DEGREES(ATAN2(-AM19,AL19)))</f>
        <v>-22.15839500476671</v>
      </c>
      <c r="AO19" s="582">
        <f t="shared" si="94"/>
        <v>15.439418414836855</v>
      </c>
      <c r="AP19" s="585">
        <f>IF(M19="","",DEGREES(ATAN2(AK19,AL19)))</f>
        <v>-5.9469784780737234</v>
      </c>
      <c r="AQ19" s="586">
        <f t="shared" si="9"/>
        <v>0.83696489915207761</v>
      </c>
      <c r="AS19" s="52">
        <f t="shared" si="116"/>
        <v>-69.78004190257758</v>
      </c>
      <c r="AT19" s="72">
        <f t="shared" si="10"/>
        <v>-3.4354389503676711E-2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2.1120000000000001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707">
        <v>3.3024701391673061</v>
      </c>
      <c r="C20" s="708">
        <v>1.0755844852761149</v>
      </c>
      <c r="D20" s="709">
        <v>-0.4046012202772804</v>
      </c>
      <c r="E20" s="710">
        <v>-7.3833341339035394E-2</v>
      </c>
      <c r="F20" s="708">
        <v>0.97598637932265353</v>
      </c>
      <c r="G20" s="711">
        <v>0.20493712470748465</v>
      </c>
      <c r="H20" s="710">
        <v>0.314</v>
      </c>
      <c r="I20" s="708">
        <v>0.52</v>
      </c>
      <c r="J20" s="570">
        <v>2.117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>
        <f>IF($L19=$JH$22,$JH$30,IF($L19=$JI$22,$JI$30,""))</f>
        <v>110</v>
      </c>
      <c r="M20" s="168">
        <f t="shared" si="1"/>
        <v>2.117</v>
      </c>
      <c r="N20" s="632">
        <f t="shared" si="2"/>
        <v>3.3024701391673061</v>
      </c>
      <c r="O20" s="629">
        <f t="shared" si="3"/>
        <v>1.0755844852761149</v>
      </c>
      <c r="P20" s="633">
        <f t="shared" si="4"/>
        <v>-0.4046012202772804</v>
      </c>
      <c r="Q20" s="585">
        <f t="shared" si="113"/>
        <v>18.039958412175451</v>
      </c>
      <c r="R20" s="629">
        <f>IF(M20="","",SQRT(N20^2+O20^2))</f>
        <v>3.473210475202793</v>
      </c>
      <c r="S20" s="634">
        <f>IF(M20="","",P20)</f>
        <v>-0.4046012202772804</v>
      </c>
      <c r="T20" s="635">
        <f>IF(M20="","",X20*COS(RADIANS(W20)))</f>
        <v>1.1324836684838298</v>
      </c>
      <c r="U20" s="629">
        <f>IF(M20="","",X20*SIN(RADIANS(W20)))</f>
        <v>-3.2833933278965861</v>
      </c>
      <c r="V20" s="636">
        <f>IF(M20="","",Y20)</f>
        <v>-0.4046012202772804</v>
      </c>
      <c r="W20" s="585">
        <f t="shared" si="224"/>
        <v>289.02995826923717</v>
      </c>
      <c r="X20" s="629">
        <f>IF(M20="","",R20)</f>
        <v>3.473210475202793</v>
      </c>
      <c r="Y20" s="630">
        <f t="shared" si="223"/>
        <v>-0.4046012202772804</v>
      </c>
      <c r="Z20" s="632">
        <f t="shared" si="6"/>
        <v>7.3833341339035394E-2</v>
      </c>
      <c r="AA20" s="629">
        <f t="shared" si="7"/>
        <v>-0.97598637932265353</v>
      </c>
      <c r="AB20" s="629">
        <f t="shared" si="8"/>
        <v>-0.20493712470748465</v>
      </c>
      <c r="AC20" s="636">
        <f>IF(M20="","",SQRT(Z20^2+AA20^2+AB20^2))</f>
        <v>1</v>
      </c>
      <c r="AD20" s="637">
        <f>IF(M20="","",Z20*(1/SQRT(Z20^2+AA20^2+AB20^2)))</f>
        <v>7.3833341339035394E-2</v>
      </c>
      <c r="AE20" s="629">
        <f>IF(M20="","",AA20*(1/SQRT(Z20^2+AA20^2+AB20^2)))</f>
        <v>-0.97598637932265353</v>
      </c>
      <c r="AF20" s="633">
        <f>IF(M20="","",AB20*(1/SQRT(Z20^2+AA20^2+AB20^2)))</f>
        <v>-0.20493712470748465</v>
      </c>
      <c r="AG20" s="602">
        <f>IF(M20="","",DEGREES(ATAN2(-AF20,AE20)))</f>
        <v>-78.141346243229393</v>
      </c>
      <c r="AH20" s="603">
        <f>IF(M20="","",DEGREES(ACOS(AD20)))</f>
        <v>85.765808176352422</v>
      </c>
      <c r="AI20" s="585">
        <f>IF(M20="","",DEGREES(-ACOS(-AF20)))</f>
        <v>-78.174181585390016</v>
      </c>
      <c r="AJ20" s="586">
        <f>IF(M20="","",DEGREES(ATAN2(-AE20,AD20)))</f>
        <v>4.3261838198239539</v>
      </c>
      <c r="AK20" s="635">
        <f>IF(M20="","",(COS(RADIANS((90-$Q$8)-W20))*AD20)+(-SIN(RADIANS((90-$Q$8)-W20))*AE20))</f>
        <v>0.95087236836535538</v>
      </c>
      <c r="AL20" s="629">
        <f>IF(M20="","",(SIN(RADIANS((90-$Q$8)-W20))*AD20)+(COS(RADIANS((90-$Q$8)-W20))*AE20))</f>
        <v>-0.23203989742259626</v>
      </c>
      <c r="AM20" s="634">
        <f>IF(M20="","",AF20)</f>
        <v>-0.20493712470748465</v>
      </c>
      <c r="AN20" s="581">
        <f>IF(M20="","",DEGREES(ATAN2(-AM20,AL20)))</f>
        <v>-48.549129008275685</v>
      </c>
      <c r="AO20" s="582">
        <f t="shared" si="94"/>
        <v>18.034112176107744</v>
      </c>
      <c r="AP20" s="585">
        <f>IF(M20="","",DEGREES(ATAN2(AK20,AL20)))</f>
        <v>-13.713774592351477</v>
      </c>
      <c r="AQ20" s="586">
        <f t="shared" si="9"/>
        <v>0.65634574337193574</v>
      </c>
      <c r="AS20" s="52">
        <f t="shared" si="116"/>
        <v>-70.97004173076283</v>
      </c>
      <c r="AT20" s="72">
        <f t="shared" si="10"/>
        <v>-0.3546289691746245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2.117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707">
        <v>3.7963965117844678</v>
      </c>
      <c r="C21" s="708">
        <v>1.1693718272947593</v>
      </c>
      <c r="D21" s="709">
        <v>-1.0492031643967439</v>
      </c>
      <c r="E21" s="710">
        <v>8.631498754785133E-2</v>
      </c>
      <c r="F21" s="708">
        <v>0.98480896020686681</v>
      </c>
      <c r="G21" s="711">
        <v>0.15066862586777791</v>
      </c>
      <c r="H21" s="710">
        <v>0.314</v>
      </c>
      <c r="I21" s="708">
        <v>0.52</v>
      </c>
      <c r="J21" s="570">
        <v>2.1219999999999999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2.1219999999999999</v>
      </c>
      <c r="N21" s="632">
        <f t="shared" si="2"/>
        <v>3.7963965117844678</v>
      </c>
      <c r="O21" s="629">
        <f t="shared" si="3"/>
        <v>1.1693718272947593</v>
      </c>
      <c r="P21" s="633">
        <f t="shared" si="4"/>
        <v>-1.0492031643967439</v>
      </c>
      <c r="Q21" s="585">
        <f t="shared" si="113"/>
        <v>17.119958545006995</v>
      </c>
      <c r="R21" s="629">
        <f>IF(M21="","",SQRT(N21^2+O21^2))</f>
        <v>3.9724119807945346</v>
      </c>
      <c r="S21" s="634">
        <f>IF(M21="","",P21)</f>
        <v>-1.0492031643967439</v>
      </c>
      <c r="T21" s="635">
        <f>IF(M21="","",X21*COS(RADIANS(W21)))</f>
        <v>1.234791019647012</v>
      </c>
      <c r="U21" s="629">
        <f>IF(M21="","",X21*SIN(RADIANS(W21)))</f>
        <v>-3.7756255220769779</v>
      </c>
      <c r="V21" s="636">
        <f>IF(M21="","",Y21)</f>
        <v>-1.0492031643967439</v>
      </c>
      <c r="W21" s="585">
        <f t="shared" si="224"/>
        <v>288.10995840206868</v>
      </c>
      <c r="X21" s="629">
        <f>IF(M21="","",R21)</f>
        <v>3.9724119807945346</v>
      </c>
      <c r="Y21" s="630">
        <f t="shared" si="223"/>
        <v>-1.0492031643967439</v>
      </c>
      <c r="Z21" s="632">
        <f t="shared" si="6"/>
        <v>-8.631498754785133E-2</v>
      </c>
      <c r="AA21" s="629">
        <f t="shared" si="7"/>
        <v>-0.98480896020686681</v>
      </c>
      <c r="AB21" s="629">
        <f t="shared" si="8"/>
        <v>-0.15066862586777791</v>
      </c>
      <c r="AC21" s="636">
        <f>IF(M21="","",SQRT(Z21^2+AA21^2+AB21^2))</f>
        <v>1</v>
      </c>
      <c r="AD21" s="637">
        <f>IF(M21="","",Z21*(1/SQRT(Z21^2+AA21^2+AB21^2)))</f>
        <v>-8.631498754785133E-2</v>
      </c>
      <c r="AE21" s="629">
        <f>IF(M21="","",AA21*(1/SQRT(Z21^2+AA21^2+AB21^2)))</f>
        <v>-0.98480896020686681</v>
      </c>
      <c r="AF21" s="633">
        <f>IF(M21="","",AB21*(1/SQRT(Z21^2+AA21^2+AB21^2)))</f>
        <v>-0.15066862586777791</v>
      </c>
      <c r="AG21" s="602">
        <f>IF(M21="","",DEGREES(ATAN2(-AF21,AE21)))</f>
        <v>-81.301610033007066</v>
      </c>
      <c r="AH21" s="603">
        <f>IF(M21="","",DEGREES(ACOS(AD21)))</f>
        <v>94.951646046647852</v>
      </c>
      <c r="AI21" s="585">
        <f>IF(M21="","",DEGREES(-ACOS(-AF21)))</f>
        <v>-81.334323616938676</v>
      </c>
      <c r="AJ21" s="586">
        <f>IF(M21="","",DEGREES(ATAN2(-AE21,AD21)))</f>
        <v>-5.0089704479742885</v>
      </c>
      <c r="AK21" s="635">
        <f>IF(M21="","",(COS(RADIANS((90-$Q$8)-W21))*AD21)+(-SIN(RADIANS((90-$Q$8)-W21))*AE21))</f>
        <v>0.91576377379268648</v>
      </c>
      <c r="AL21" s="629">
        <f>IF(M21="","",(SIN(RADIANS((90-$Q$8)-W21))*AD21)+(COS(RADIANS((90-$Q$8)-W21))*AE21))</f>
        <v>-0.37239183099001166</v>
      </c>
      <c r="AM21" s="634">
        <f>IF(M21="","",AF21)</f>
        <v>-0.15066862586777791</v>
      </c>
      <c r="AN21" s="581">
        <f>IF(M21="","",DEGREES(ATAN2(-AM21,AL21)))</f>
        <v>-67.971890744804625</v>
      </c>
      <c r="AO21" s="582">
        <f>IF(ROUND(IF(M21="",0,DEGREES(ACOS(AK21))),4)=90,0,IF(M21="","",DEGREES(ACOS(AK21))))</f>
        <v>23.685573060778776</v>
      </c>
      <c r="AP21" s="585">
        <f>IF(M21="","",DEGREES(ATAN2(AK21,AL21)))</f>
        <v>-22.128928992981244</v>
      </c>
      <c r="AQ21" s="586">
        <f t="shared" si="9"/>
        <v>0.57387058775822863</v>
      </c>
      <c r="AS21" s="52">
        <f t="shared" si="116"/>
        <v>-71.890041597931315</v>
      </c>
      <c r="AT21" s="72">
        <f t="shared" si="10"/>
        <v>-0.99859202449744322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2.1219999999999999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707">
        <v>4.0117567064156017</v>
      </c>
      <c r="C22" s="708">
        <v>1.2035815329846791</v>
      </c>
      <c r="D22" s="709">
        <v>-1.7731053476857288</v>
      </c>
      <c r="E22" s="710">
        <v>0.313993058159167</v>
      </c>
      <c r="F22" s="708">
        <v>0.94942527848579905</v>
      </c>
      <c r="G22" s="711">
        <v>1.3008419217248076E-7</v>
      </c>
      <c r="H22" s="710">
        <v>0.26600000000000001</v>
      </c>
      <c r="I22" s="708">
        <v>0.52</v>
      </c>
      <c r="J22" s="570">
        <v>2.1269999999999998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1313</v>
      </c>
      <c r="L22" s="873">
        <f>IF($L21=$JH$22,$JH$30,IF($L21=$JI$22,$JI$30,""))</f>
        <v>0</v>
      </c>
      <c r="M22" s="168">
        <f t="shared" si="1"/>
        <v>2.1269999999999998</v>
      </c>
      <c r="N22" s="632">
        <f t="shared" si="2"/>
        <v>4.0117567064156017</v>
      </c>
      <c r="O22" s="629">
        <f t="shared" si="3"/>
        <v>1.2035815329846791</v>
      </c>
      <c r="P22" s="633">
        <f t="shared" si="4"/>
        <v>-1.7731053476857288</v>
      </c>
      <c r="Q22" s="585">
        <f t="shared" si="113"/>
        <v>16.699958605647485</v>
      </c>
      <c r="R22" s="629">
        <f t="shared" si="79"/>
        <v>4.1884126322524988</v>
      </c>
      <c r="S22" s="634">
        <f t="shared" si="80"/>
        <v>-1.7731053476857288</v>
      </c>
      <c r="T22" s="635">
        <f t="shared" si="81"/>
        <v>1.2727165900498825</v>
      </c>
      <c r="U22" s="629">
        <f t="shared" si="82"/>
        <v>-3.9903624972455956</v>
      </c>
      <c r="V22" s="636">
        <f t="shared" si="114"/>
        <v>-1.7731053476857288</v>
      </c>
      <c r="W22" s="585">
        <f t="shared" si="224"/>
        <v>287.68995846270923</v>
      </c>
      <c r="X22" s="629">
        <f t="shared" si="83"/>
        <v>4.1884126322524988</v>
      </c>
      <c r="Y22" s="630">
        <f t="shared" si="223"/>
        <v>-1.7731053476857288</v>
      </c>
      <c r="Z22" s="632">
        <f t="shared" si="6"/>
        <v>-0.313993058159167</v>
      </c>
      <c r="AA22" s="629">
        <f t="shared" si="7"/>
        <v>-0.94942527848579905</v>
      </c>
      <c r="AB22" s="629">
        <f t="shared" si="8"/>
        <v>-1.3008419217248076E-7</v>
      </c>
      <c r="AC22" s="636">
        <f t="shared" si="84"/>
        <v>1</v>
      </c>
      <c r="AD22" s="637">
        <f t="shared" si="115"/>
        <v>-0.313993058159167</v>
      </c>
      <c r="AE22" s="629">
        <f t="shared" si="85"/>
        <v>-0.94942527848579905</v>
      </c>
      <c r="AF22" s="633">
        <f t="shared" si="86"/>
        <v>-1.3008419217248076E-7</v>
      </c>
      <c r="AG22" s="602">
        <f t="shared" si="87"/>
        <v>-89.999992149697974</v>
      </c>
      <c r="AH22" s="603">
        <f t="shared" si="88"/>
        <v>108.30003634097763</v>
      </c>
      <c r="AI22" s="585">
        <f t="shared" si="89"/>
        <v>-89.999992546724812</v>
      </c>
      <c r="AJ22" s="586">
        <f t="shared" si="90"/>
        <v>-18.30003634097779</v>
      </c>
      <c r="AK22" s="635">
        <f t="shared" si="211"/>
        <v>0.81915209487729179</v>
      </c>
      <c r="AL22" s="629">
        <f t="shared" si="91"/>
        <v>-0.57357636410344459</v>
      </c>
      <c r="AM22" s="634">
        <f t="shared" si="92"/>
        <v>-1.3008419217248076E-7</v>
      </c>
      <c r="AN22" s="581">
        <f t="shared" si="93"/>
        <v>-89.999987005609626</v>
      </c>
      <c r="AO22" s="582">
        <f t="shared" si="94"/>
        <v>34.999994946625968</v>
      </c>
      <c r="AP22" s="585">
        <f t="shared" si="95"/>
        <v>-34.999994946625279</v>
      </c>
      <c r="AQ22" s="586">
        <f t="shared" si="9"/>
        <v>0.54427733323535532</v>
      </c>
      <c r="AS22" s="52">
        <f t="shared" si="116"/>
        <v>-72.310041537290772</v>
      </c>
      <c r="AT22" s="72">
        <f t="shared" si="10"/>
        <v>-1.7222025411618729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2.1269999999999998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1313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2.723392001791578</v>
      </c>
      <c r="C23" s="708">
        <v>-0.17754767227097831</v>
      </c>
      <c r="D23" s="709">
        <v>-5.9148964570914363E-2</v>
      </c>
      <c r="E23" s="710">
        <v>0.14112000593596713</v>
      </c>
      <c r="F23" s="708">
        <v>-9.1998910130188429E-3</v>
      </c>
      <c r="G23" s="711">
        <v>0.98994974919436252</v>
      </c>
      <c r="H23" s="710">
        <v>0.26250000000000001</v>
      </c>
      <c r="I23" s="708">
        <v>0.40699999999999997</v>
      </c>
      <c r="J23" s="570">
        <v>2.2120000000000002</v>
      </c>
      <c r="K23" s="865" t="str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Inactive</v>
      </c>
      <c r="M23" s="168">
        <f t="shared" si="1"/>
        <v>2.2120000000000002</v>
      </c>
      <c r="N23" s="632">
        <f t="shared" si="2"/>
        <v>2.723392001791578</v>
      </c>
      <c r="O23" s="629">
        <f t="shared" si="3"/>
        <v>-0.17754767227097831</v>
      </c>
      <c r="P23" s="633">
        <f t="shared" si="4"/>
        <v>-5.9148964570914363E-2</v>
      </c>
      <c r="Q23" s="585">
        <f t="shared" si="113"/>
        <v>356.2699615553741</v>
      </c>
      <c r="R23" s="629">
        <f t="shared" si="79"/>
        <v>2.7291733494505586</v>
      </c>
      <c r="S23" s="634">
        <f t="shared" si="80"/>
        <v>-5.9148964570914363E-2</v>
      </c>
      <c r="T23" s="635">
        <f t="shared" si="81"/>
        <v>-0.13046668160816144</v>
      </c>
      <c r="U23" s="629">
        <f t="shared" si="82"/>
        <v>-2.726053120601529</v>
      </c>
      <c r="V23" s="636">
        <f t="shared" si="114"/>
        <v>-5.9148964570914363E-2</v>
      </c>
      <c r="W23" s="585">
        <f t="shared" si="224"/>
        <v>267.25996141243581</v>
      </c>
      <c r="X23" s="629">
        <f t="shared" si="83"/>
        <v>2.7291733494505586</v>
      </c>
      <c r="Y23" s="630">
        <f t="shared" si="223"/>
        <v>-5.9148964570914363E-2</v>
      </c>
      <c r="Z23" s="632">
        <f t="shared" si="6"/>
        <v>-0.14112000593596713</v>
      </c>
      <c r="AA23" s="629">
        <f t="shared" si="7"/>
        <v>9.1998910130188429E-3</v>
      </c>
      <c r="AB23" s="629">
        <f t="shared" si="8"/>
        <v>-0.98994974919436252</v>
      </c>
      <c r="AC23" s="636">
        <f t="shared" si="84"/>
        <v>1</v>
      </c>
      <c r="AD23" s="637">
        <f t="shared" si="115"/>
        <v>-0.14112000593596713</v>
      </c>
      <c r="AE23" s="629">
        <f t="shared" si="85"/>
        <v>9.1998910130188429E-3</v>
      </c>
      <c r="AF23" s="633">
        <f t="shared" si="86"/>
        <v>-0.98994974919436252</v>
      </c>
      <c r="AG23" s="602">
        <f t="shared" si="87"/>
        <v>0.53245101929300576</v>
      </c>
      <c r="AH23" s="603">
        <f t="shared" si="88"/>
        <v>98.112661337832407</v>
      </c>
      <c r="AI23" s="585">
        <f t="shared" si="89"/>
        <v>-8.1299988261837033</v>
      </c>
      <c r="AJ23" s="586">
        <f t="shared" si="90"/>
        <v>-93.729946559248035</v>
      </c>
      <c r="AK23" s="635">
        <f t="shared" si="211"/>
        <v>2.2679489670995867E-7</v>
      </c>
      <c r="AL23" s="629">
        <f t="shared" si="91"/>
        <v>-0.14141956749321286</v>
      </c>
      <c r="AM23" s="634">
        <f t="shared" si="92"/>
        <v>-0.98994974919436252</v>
      </c>
      <c r="AN23" s="581">
        <f t="shared" si="93"/>
        <v>-8.129998826173404</v>
      </c>
      <c r="AO23" s="582">
        <f t="shared" si="94"/>
        <v>0</v>
      </c>
      <c r="AP23" s="585">
        <f t="shared" si="95"/>
        <v>-89.999908114622144</v>
      </c>
      <c r="AQ23" s="586">
        <f t="shared" si="9"/>
        <v>0.83525846224361266</v>
      </c>
      <c r="AS23" s="52">
        <f t="shared" si="116"/>
        <v>-92.740038587564186</v>
      </c>
      <c r="AT23" s="72">
        <f t="shared" si="10"/>
        <v>5.9413399045202889E-3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Nose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2.2120000000000002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2.1120000000000001</v>
      </c>
      <c r="II23" s="734" cm="1">
        <f t="array" ref="II23">IFERROR(ROUND(VALUE(IF($IH23&lt;1,$IH23+LARGE((IF($M$9:$M$150="",0,$M$9:$M$150)-MOD(IF($M$9:$M$150="",0,$M$9:$M$150),1)),1),$IH23)),4),"")</f>
        <v>2.1120000000000001</v>
      </c>
      <c r="IJ23" s="533">
        <f t="shared" si="112"/>
        <v>1613</v>
      </c>
      <c r="IK23" s="533" t="str">
        <f t="shared" si="66"/>
        <v>Inactive</v>
      </c>
      <c r="IL23" s="727">
        <f t="shared" si="225"/>
        <v>22.959996684986606</v>
      </c>
      <c r="IM23" s="759">
        <v>1.53590959856316E-2</v>
      </c>
      <c r="IN23" s="5">
        <f t="shared" si="226"/>
        <v>0.24</v>
      </c>
      <c r="IO23" s="771">
        <v>120</v>
      </c>
      <c r="IP23" s="9">
        <f t="shared" si="227"/>
        <v>-2.7236082144023741</v>
      </c>
      <c r="IQ23" s="5">
        <f t="shared" si="228"/>
        <v>-8.3500251836759548E-2</v>
      </c>
      <c r="IR23" s="5">
        <f t="shared" si="71"/>
        <v>0.314</v>
      </c>
      <c r="IS23" s="5">
        <f t="shared" si="229"/>
        <v>0.30266851824593921</v>
      </c>
      <c r="IT23" s="727">
        <f t="shared" si="230"/>
        <v>22.15839500476671</v>
      </c>
      <c r="IU23" s="9">
        <f t="shared" si="231"/>
        <v>-2.7291733494505586</v>
      </c>
      <c r="IV23" s="5">
        <f t="shared" si="232"/>
        <v>-5.9148964570914363E-2</v>
      </c>
      <c r="IW23" s="5">
        <f t="shared" si="76"/>
        <v>0.26250000000000001</v>
      </c>
      <c r="IX23" s="5">
        <f t="shared" si="233"/>
        <v>0.26250000000000001</v>
      </c>
      <c r="IY23" s="762">
        <f t="shared" si="234"/>
        <v>8.129998826173404</v>
      </c>
      <c r="JA23" s="855" t="str" cm="1">
        <f t="array" ref="JA23">IFERROR(_xlfn._xlws.SORT(_xlfn.UNIQUE(_xlfn._xlws.FILTER($IK$9:$IK$150,$IK$9:$IK$150&lt;&gt;"")),,1),"")</f>
        <v>Inactive</v>
      </c>
      <c r="JB23" s="859" cm="1">
        <f t="array" ref="JB23">IF($JA23="","",COUNT(IF(IF($II$9:$II$150&lt;&gt;"",$IK$9:$IK$150,"")=$JA23,$IG$9:$IG$150,"")))</f>
        <v>10</v>
      </c>
      <c r="JC23" s="199"/>
      <c r="JD23" s="199"/>
      <c r="JE23" s="871"/>
      <c r="JF23" s="796" cm="1">
        <f t="array" ref="JF23:JG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4</v>
      </c>
      <c r="JG23" s="801">
        <v>6</v>
      </c>
      <c r="JH23" s="800" cm="1">
        <f t="array" ref="JH23:JI23">IF(_xlfn.ANCHORARRAY($JF$23)="","",_xlfn.MINIFS($IO$9:$IO$150,$IK$9:$IK$150,_xlfn.ANCHORARRAY($JA$23),$IE$9:$IE$150,_xlfn.ANCHORARRAY($JH$22),$II$9:$II$150,"&lt;&gt;"&amp;"",$IF$9:$IF$150,"&lt;&gt;"&amp;"Gage"))</f>
        <v>110</v>
      </c>
      <c r="JI23" s="801">
        <v>0</v>
      </c>
    </row>
    <row r="24" spans="1:269" ht="15" customHeight="1" x14ac:dyDescent="0.25">
      <c r="A24" s="79"/>
      <c r="B24" s="707">
        <v>3.4899108202838907</v>
      </c>
      <c r="C24" s="708">
        <v>-6.5184108415571207E-2</v>
      </c>
      <c r="D24" s="709">
        <v>-0.38479828486276441</v>
      </c>
      <c r="E24" s="710">
        <v>0.47615509570196035</v>
      </c>
      <c r="F24" s="708">
        <v>-8.8933372074892023E-3</v>
      </c>
      <c r="G24" s="711">
        <v>0.879316344321184</v>
      </c>
      <c r="H24" s="710">
        <v>0.26250000000000001</v>
      </c>
      <c r="I24" s="708">
        <v>0.40699999999999997</v>
      </c>
      <c r="J24" s="570">
        <v>2.2170000000000001</v>
      </c>
      <c r="K24" s="865" t="str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Inactive</v>
      </c>
      <c r="M24" s="168">
        <f t="shared" si="1"/>
        <v>2.2170000000000001</v>
      </c>
      <c r="N24" s="632">
        <f t="shared" si="2"/>
        <v>3.4899108202838907</v>
      </c>
      <c r="O24" s="629">
        <f t="shared" si="3"/>
        <v>-6.5184108415571207E-2</v>
      </c>
      <c r="P24" s="633">
        <f t="shared" si="4"/>
        <v>-0.38479828486276441</v>
      </c>
      <c r="Q24" s="585">
        <f t="shared" si="113"/>
        <v>358.9299611713177</v>
      </c>
      <c r="R24" s="629">
        <f t="shared" si="79"/>
        <v>3.4905195174249508</v>
      </c>
      <c r="S24" s="634">
        <f t="shared" si="80"/>
        <v>-0.38479828486276441</v>
      </c>
      <c r="T24" s="635">
        <f t="shared" si="81"/>
        <v>-4.8760572612014845E-3</v>
      </c>
      <c r="U24" s="629">
        <f t="shared" si="82"/>
        <v>-3.4905161116359422</v>
      </c>
      <c r="V24" s="636">
        <f t="shared" si="114"/>
        <v>-0.38479828486276441</v>
      </c>
      <c r="W24" s="585">
        <f t="shared" si="224"/>
        <v>269.91996102837942</v>
      </c>
      <c r="X24" s="629">
        <f t="shared" si="83"/>
        <v>3.4905195174249508</v>
      </c>
      <c r="Y24" s="630">
        <f t="shared" si="223"/>
        <v>-0.38479828486276441</v>
      </c>
      <c r="Z24" s="632">
        <f t="shared" si="6"/>
        <v>-0.47615509570196035</v>
      </c>
      <c r="AA24" s="629">
        <f t="shared" si="7"/>
        <v>8.8933372074892023E-3</v>
      </c>
      <c r="AB24" s="629">
        <f t="shared" si="8"/>
        <v>-0.879316344321184</v>
      </c>
      <c r="AC24" s="636">
        <f t="shared" si="84"/>
        <v>1</v>
      </c>
      <c r="AD24" s="637">
        <f t="shared" si="115"/>
        <v>-0.47615509570196035</v>
      </c>
      <c r="AE24" s="629">
        <f t="shared" si="85"/>
        <v>8.8933372074892023E-3</v>
      </c>
      <c r="AF24" s="633">
        <f t="shared" si="86"/>
        <v>-0.879316344321184</v>
      </c>
      <c r="AG24" s="602">
        <f t="shared" si="87"/>
        <v>0.579465306099189</v>
      </c>
      <c r="AH24" s="603">
        <f t="shared" si="88"/>
        <v>118.43458486806352</v>
      </c>
      <c r="AI24" s="585">
        <f t="shared" si="89"/>
        <v>-28.439995893775347</v>
      </c>
      <c r="AJ24" s="586">
        <f t="shared" si="90"/>
        <v>-91.070011543193644</v>
      </c>
      <c r="AK24" s="635">
        <f>IF(M24="","",(COS(RADIANS((90-$Q$8)-W24))*AD24)+(-SIN(RADIANS((90-$Q$8)-W24))*AE24))</f>
        <v>2.2679489662495722E-7</v>
      </c>
      <c r="AL24" s="629">
        <f t="shared" si="91"/>
        <v>-0.47623814064979897</v>
      </c>
      <c r="AM24" s="634">
        <f t="shared" si="92"/>
        <v>-0.879316344321184</v>
      </c>
      <c r="AN24" s="581">
        <f t="shared" si="93"/>
        <v>-28.439995893772636</v>
      </c>
      <c r="AO24" s="582">
        <f t="shared" si="94"/>
        <v>0</v>
      </c>
      <c r="AP24" s="585">
        <f t="shared" si="95"/>
        <v>-89.99997271451133</v>
      </c>
      <c r="AQ24" s="586">
        <f t="shared" si="9"/>
        <v>0.65309129094672547</v>
      </c>
      <c r="AS24" s="52">
        <f t="shared" si="116"/>
        <v>-90.080038971620581</v>
      </c>
      <c r="AT24" s="72">
        <f t="shared" si="10"/>
        <v>-0.32155520234284618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2.2170000000000001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2.117</v>
      </c>
      <c r="II24" s="734" cm="1">
        <f t="array" ref="II24">IFERROR(ROUND(VALUE(IF($IH24&lt;1,$IH24+LARGE((IF($M$9:$M$150="",0,$M$9:$M$150)-MOD(IF($M$9:$M$150="",0,$M$9:$M$150),1)),1),$IH24)),4),"")</f>
        <v>2.117</v>
      </c>
      <c r="IJ24" s="533">
        <f t="shared" si="112"/>
        <v>1613</v>
      </c>
      <c r="IK24" s="533" t="str">
        <f t="shared" si="66"/>
        <v>Inactive</v>
      </c>
      <c r="IL24" s="727">
        <f t="shared" si="225"/>
        <v>19.109997240857751</v>
      </c>
      <c r="IM24" s="759">
        <v>9.9063670593952397E-3</v>
      </c>
      <c r="IN24" s="5">
        <f t="shared" si="226"/>
        <v>0.22</v>
      </c>
      <c r="IO24" s="771">
        <v>110</v>
      </c>
      <c r="IP24" s="9">
        <f t="shared" si="227"/>
        <v>-3.473210475202793</v>
      </c>
      <c r="IQ24" s="5">
        <f t="shared" si="228"/>
        <v>-0.4046012202772804</v>
      </c>
      <c r="IR24" s="5">
        <f t="shared" si="71"/>
        <v>0.314</v>
      </c>
      <c r="IS24" s="5">
        <f t="shared" si="229"/>
        <v>0.29857392366672159</v>
      </c>
      <c r="IT24" s="727">
        <f t="shared" si="230"/>
        <v>48.549129008275685</v>
      </c>
      <c r="IU24" s="9">
        <f t="shared" si="231"/>
        <v>-3.4905195174249508</v>
      </c>
      <c r="IV24" s="5">
        <f t="shared" si="232"/>
        <v>-0.38479828486276441</v>
      </c>
      <c r="IW24" s="5">
        <f t="shared" si="76"/>
        <v>0.26250000000000001</v>
      </c>
      <c r="IX24" s="5">
        <f t="shared" si="233"/>
        <v>0.26250000000000001</v>
      </c>
      <c r="IY24" s="762">
        <f t="shared" si="234"/>
        <v>28.439995893772636</v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0.52149686525588757</v>
      </c>
      <c r="C25" s="708">
        <v>-0.74477556745056395</v>
      </c>
      <c r="D25" s="709">
        <v>-0.39300118529157491</v>
      </c>
      <c r="E25" s="710">
        <v>0.75910945438804922</v>
      </c>
      <c r="F25" s="708">
        <v>0.59991970243810988</v>
      </c>
      <c r="G25" s="711">
        <v>0.25268396641901958</v>
      </c>
      <c r="H25" s="710">
        <v>0.33400000000000002</v>
      </c>
      <c r="I25" s="708">
        <v>0.52</v>
      </c>
      <c r="J25" s="570">
        <v>3.1030000000000002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1713</v>
      </c>
      <c r="L25" s="320"/>
      <c r="M25" s="168">
        <f t="shared" si="1"/>
        <v>3.1030000000000002</v>
      </c>
      <c r="N25" s="632">
        <f t="shared" si="2"/>
        <v>0.52149686525588757</v>
      </c>
      <c r="O25" s="629">
        <f t="shared" si="3"/>
        <v>-0.74477556745056395</v>
      </c>
      <c r="P25" s="633">
        <f t="shared" si="4"/>
        <v>-0.39300118529157491</v>
      </c>
      <c r="Q25" s="585">
        <f t="shared" si="113"/>
        <v>304.99996895784517</v>
      </c>
      <c r="R25" s="629">
        <f>IF(M25="","",SQRT(N25^2+O25^2))</f>
        <v>0.90920274215547048</v>
      </c>
      <c r="S25" s="634">
        <f>IF(M25="","",P25)</f>
        <v>-0.39300118529157491</v>
      </c>
      <c r="T25" s="635">
        <f>IF(M25="","",X25*COS(RADIANS(W25)))</f>
        <v>-0.73565402251700285</v>
      </c>
      <c r="U25" s="629">
        <f>IF(M25="","",X25*SIN(RADIANS(W25)))</f>
        <v>-0.53428717511987878</v>
      </c>
      <c r="V25" s="636">
        <f>IF(M25="","",Y25)</f>
        <v>-0.39300118529157491</v>
      </c>
      <c r="W25" s="585">
        <f t="shared" si="224"/>
        <v>215.98996881490689</v>
      </c>
      <c r="X25" s="629">
        <f>IF(M25="","",R25)</f>
        <v>0.90920274215547048</v>
      </c>
      <c r="Y25" s="630">
        <f t="shared" si="223"/>
        <v>-0.39300118529157491</v>
      </c>
      <c r="Z25" s="632">
        <f t="shared" si="6"/>
        <v>-0.75910945438804922</v>
      </c>
      <c r="AA25" s="629">
        <f t="shared" si="7"/>
        <v>-0.59991970243810988</v>
      </c>
      <c r="AB25" s="629">
        <f t="shared" si="8"/>
        <v>-0.25268396641901958</v>
      </c>
      <c r="AC25" s="636">
        <f>IF(M25="","",SQRT(Z25^2+AA25^2+AB25^2))</f>
        <v>1</v>
      </c>
      <c r="AD25" s="637">
        <f>IF(M25="","",Z25*(1/SQRT(Z25^2+AA25^2+AB25^2)))</f>
        <v>-0.75910945438804922</v>
      </c>
      <c r="AE25" s="629">
        <f>IF(M25="","",AA25*(1/SQRT(Z25^2+AA25^2+AB25^2)))</f>
        <v>-0.59991970243810988</v>
      </c>
      <c r="AF25" s="633">
        <f>IF(M25="","",AB25*(1/SQRT(Z25^2+AA25^2+AB25^2)))</f>
        <v>-0.25268396641901958</v>
      </c>
      <c r="AG25" s="602">
        <f>IF(M25="","",DEGREES(ATAN2(-AF25,AE25)))</f>
        <v>-67.159353563717374</v>
      </c>
      <c r="AH25" s="603">
        <f>IF(M25="","",DEGREES(ACOS(AD25)))</f>
        <v>139.38575213102033</v>
      </c>
      <c r="AI25" s="585">
        <f>IF(M25="","",DEGREES(-ACOS(-AF25)))</f>
        <v>-75.363607485266854</v>
      </c>
      <c r="AJ25" s="586">
        <f>IF(M25="","",DEGREES(ATAN2(-AE25,AD25)))</f>
        <v>-51.680891473696057</v>
      </c>
      <c r="AK25" s="635">
        <f>IF(M25="","",(COS(RADIANS((90-$Q$8)-W25))*AD25)+(-SIN(RADIANS((90-$Q$8)-W25))*AE25))</f>
        <v>0.96592583607220739</v>
      </c>
      <c r="AL25" s="629">
        <f>IF(M25="","",(SIN(RADIANS((90-$Q$8)-W25))*AD25)+(COS(RADIANS((90-$Q$8)-W25))*AE25))</f>
        <v>5.6018678339987527E-2</v>
      </c>
      <c r="AM25" s="634">
        <f>IF(M25="","",AF25)</f>
        <v>-0.25268396641901958</v>
      </c>
      <c r="AN25" s="581">
        <f>IF(M25="","",DEGREES(ATAN2(-AM25,AL25)))</f>
        <v>12.499998195223531</v>
      </c>
      <c r="AO25" s="582">
        <f>IF(ROUND(IF(M25="",0,DEGREES(ACOS(AK25))),4)=90,0,IF(M25="","",DEGREES(ACOS(AK25))))</f>
        <v>14.999997834268255</v>
      </c>
      <c r="AP25" s="585">
        <f>IF(M25="","",DEGREES(ATAN2(AK25,AL25)))</f>
        <v>3.3191395684587839</v>
      </c>
      <c r="AQ25" s="586">
        <f t="shared" si="9"/>
        <v>2.5057920199734047</v>
      </c>
      <c r="AS25" s="52">
        <f t="shared" si="116"/>
        <v>-144.01003118509311</v>
      </c>
      <c r="AT25" s="72">
        <f t="shared" si="10"/>
        <v>-0.29230671929007851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3.1030000000000002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1713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0.99183059766880854</v>
      </c>
      <c r="C26" s="708">
        <v>-1.4164825244561319</v>
      </c>
      <c r="D26" s="709">
        <v>-0.21120063698112113</v>
      </c>
      <c r="E26" s="710">
        <v>0.75910945438804889</v>
      </c>
      <c r="F26" s="708">
        <v>0.59991970243811021</v>
      </c>
      <c r="G26" s="711">
        <v>0.25268396641901947</v>
      </c>
      <c r="H26" s="710">
        <v>0.33400000000000002</v>
      </c>
      <c r="I26" s="708">
        <v>0.52</v>
      </c>
      <c r="J26" s="570">
        <v>3.1059999999999999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1713</v>
      </c>
      <c r="L26" s="843"/>
      <c r="M26" s="168">
        <f t="shared" si="1"/>
        <v>3.1059999999999999</v>
      </c>
      <c r="N26" s="632">
        <f t="shared" si="2"/>
        <v>0.99183059766880854</v>
      </c>
      <c r="O26" s="629">
        <f t="shared" si="3"/>
        <v>-1.4164825244561319</v>
      </c>
      <c r="P26" s="633">
        <f t="shared" si="4"/>
        <v>-0.21120063698112113</v>
      </c>
      <c r="Q26" s="585">
        <f t="shared" si="113"/>
        <v>304.99996895784517</v>
      </c>
      <c r="R26" s="629">
        <f>IF(M26="","",SQRT(N26^2+O26^2))</f>
        <v>1.7292052152829294</v>
      </c>
      <c r="S26" s="634">
        <f>IF(M26="","",P26)</f>
        <v>-0.21120063698112113</v>
      </c>
      <c r="T26" s="635">
        <f>IF(M26="","",X26*COS(RADIANS(W26)))</f>
        <v>-1.3991343331900585</v>
      </c>
      <c r="U26" s="629">
        <f>IF(M26="","",X26*SIN(RADIANS(W26)))</f>
        <v>-1.0161563827730908</v>
      </c>
      <c r="V26" s="636">
        <f>IF(M26="","",Y26)</f>
        <v>-0.21120063698112113</v>
      </c>
      <c r="W26" s="585">
        <f t="shared" si="224"/>
        <v>215.98996881490689</v>
      </c>
      <c r="X26" s="629">
        <f>IF(M26="","",R26)</f>
        <v>1.7292052152829294</v>
      </c>
      <c r="Y26" s="630">
        <f t="shared" si="223"/>
        <v>-0.21120063698112113</v>
      </c>
      <c r="Z26" s="632">
        <f t="shared" si="6"/>
        <v>-0.75910945438804889</v>
      </c>
      <c r="AA26" s="629">
        <f t="shared" si="7"/>
        <v>-0.59991970243811021</v>
      </c>
      <c r="AB26" s="629">
        <f t="shared" si="8"/>
        <v>-0.25268396641901947</v>
      </c>
      <c r="AC26" s="636">
        <f>IF(M26="","",SQRT(Z26^2+AA26^2+AB26^2))</f>
        <v>1</v>
      </c>
      <c r="AD26" s="637">
        <f>IF(M26="","",Z26*(1/SQRT(Z26^2+AA26^2+AB26^2)))</f>
        <v>-0.75910945438804889</v>
      </c>
      <c r="AE26" s="629">
        <f>IF(M26="","",AA26*(1/SQRT(Z26^2+AA26^2+AB26^2)))</f>
        <v>-0.59991970243811021</v>
      </c>
      <c r="AF26" s="633">
        <f>IF(M26="","",AB26*(1/SQRT(Z26^2+AA26^2+AB26^2)))</f>
        <v>-0.25268396641901947</v>
      </c>
      <c r="AG26" s="602">
        <f>IF(M26="","",DEGREES(ATAN2(-AF26,AE26)))</f>
        <v>-67.159353563717403</v>
      </c>
      <c r="AH26" s="603">
        <f>IF(M26="","",DEGREES(ACOS(AD26)))</f>
        <v>139.3857521310203</v>
      </c>
      <c r="AI26" s="585">
        <f>IF(M26="","",DEGREES(-ACOS(-AF26)))</f>
        <v>-75.363607485266854</v>
      </c>
      <c r="AJ26" s="586">
        <f>IF(M26="","",DEGREES(ATAN2(-AE26,AD26)))</f>
        <v>-51.680891473696029</v>
      </c>
      <c r="AK26" s="635">
        <f>IF(M26="","",(COS(RADIANS((90-$Q$8)-W26))*AD26)+(-SIN(RADIANS((90-$Q$8)-W26))*AE26))</f>
        <v>0.96592583607220739</v>
      </c>
      <c r="AL26" s="629">
        <f>IF(M26="","",(SIN(RADIANS((90-$Q$8)-W26))*AD26)+(COS(RADIANS((90-$Q$8)-W26))*AE26))</f>
        <v>5.6018678339987971E-2</v>
      </c>
      <c r="AM26" s="634">
        <f>IF(M26="","",AF26)</f>
        <v>-0.25268396641901947</v>
      </c>
      <c r="AN26" s="581">
        <f>IF(M26="","",DEGREES(ATAN2(-AM26,AL26)))</f>
        <v>12.499998195223633</v>
      </c>
      <c r="AO26" s="582">
        <f t="shared" si="94"/>
        <v>14.999997834268255</v>
      </c>
      <c r="AP26" s="585">
        <f>IF(M26="","",DEGREES(ATAN2(AK26,AL26)))</f>
        <v>3.3191395684588101</v>
      </c>
      <c r="AQ26" s="586">
        <f t="shared" si="9"/>
        <v>1.3181341368428969</v>
      </c>
      <c r="AS26" s="52">
        <f t="shared" si="116"/>
        <v>-144.01003118509311</v>
      </c>
      <c r="AT26" s="72">
        <f t="shared" si="10"/>
        <v>-0.11050617097962472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3.1059999999999999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1713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1.4469170121058919</v>
      </c>
      <c r="C27" s="708">
        <v>-2.1092205820295415</v>
      </c>
      <c r="D27" s="709">
        <v>-8.6300260281585009E-2</v>
      </c>
      <c r="E27" s="710">
        <v>0.83640374808558526</v>
      </c>
      <c r="F27" s="708">
        <v>0.48574339900035307</v>
      </c>
      <c r="G27" s="711">
        <v>0.25393329934447112</v>
      </c>
      <c r="H27" s="710">
        <v>0.33400000000000002</v>
      </c>
      <c r="I27" s="708">
        <v>0.52</v>
      </c>
      <c r="J27" s="570">
        <v>3.1110000000000002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1713</v>
      </c>
      <c r="L27" s="843"/>
      <c r="M27" s="168">
        <f t="shared" si="1"/>
        <v>3.1110000000000002</v>
      </c>
      <c r="N27" s="632">
        <f t="shared" si="2"/>
        <v>1.4469170121058919</v>
      </c>
      <c r="O27" s="629">
        <f t="shared" si="3"/>
        <v>-2.1092205820295415</v>
      </c>
      <c r="P27" s="633">
        <f t="shared" si="4"/>
        <v>-8.6300260281585009E-2</v>
      </c>
      <c r="Q27" s="585">
        <f t="shared" si="113"/>
        <v>304.4499690372553</v>
      </c>
      <c r="R27" s="629">
        <f t="shared" si="79"/>
        <v>2.5578077143480664</v>
      </c>
      <c r="S27" s="634">
        <f t="shared" si="80"/>
        <v>-8.6300260281585009E-2</v>
      </c>
      <c r="T27" s="635">
        <f t="shared" si="81"/>
        <v>-2.0839060466288708</v>
      </c>
      <c r="U27" s="629">
        <f t="shared" si="82"/>
        <v>-1.4831439216752063</v>
      </c>
      <c r="V27" s="636">
        <f t="shared" si="114"/>
        <v>-8.6300260281585009E-2</v>
      </c>
      <c r="W27" s="585">
        <f t="shared" si="224"/>
        <v>215.43996889431702</v>
      </c>
      <c r="X27" s="629">
        <f t="shared" si="83"/>
        <v>2.5578077143480664</v>
      </c>
      <c r="Y27" s="630">
        <f t="shared" si="223"/>
        <v>-8.6300260281585009E-2</v>
      </c>
      <c r="Z27" s="632">
        <f t="shared" si="6"/>
        <v>-0.83640374808558526</v>
      </c>
      <c r="AA27" s="629">
        <f t="shared" si="7"/>
        <v>-0.48574339900035307</v>
      </c>
      <c r="AB27" s="629">
        <f t="shared" si="8"/>
        <v>-0.25393329934447112</v>
      </c>
      <c r="AC27" s="636">
        <f t="shared" si="84"/>
        <v>1</v>
      </c>
      <c r="AD27" s="637">
        <f t="shared" si="115"/>
        <v>-0.83640374808558526</v>
      </c>
      <c r="AE27" s="629">
        <f t="shared" si="85"/>
        <v>-0.48574339900035307</v>
      </c>
      <c r="AF27" s="633">
        <f t="shared" si="86"/>
        <v>-0.25393329934447112</v>
      </c>
      <c r="AG27" s="602">
        <f t="shared" si="87"/>
        <v>-62.400668180659316</v>
      </c>
      <c r="AH27" s="603">
        <f t="shared" si="88"/>
        <v>146.76229021438544</v>
      </c>
      <c r="AI27" s="585">
        <f t="shared" si="89"/>
        <v>-75.289612672804665</v>
      </c>
      <c r="AJ27" s="586">
        <f t="shared" si="90"/>
        <v>-59.854023924865082</v>
      </c>
      <c r="AK27" s="635">
        <f t="shared" si="211"/>
        <v>0.96449407593928749</v>
      </c>
      <c r="AL27" s="629">
        <f t="shared" si="91"/>
        <v>-7.2588270140921562E-2</v>
      </c>
      <c r="AM27" s="634">
        <f t="shared" si="92"/>
        <v>-0.25393329934447112</v>
      </c>
      <c r="AN27" s="581">
        <f t="shared" si="93"/>
        <v>-15.952884284879605</v>
      </c>
      <c r="AO27" s="582">
        <f t="shared" si="94"/>
        <v>15.313747778026125</v>
      </c>
      <c r="AP27" s="585">
        <f t="shared" si="95"/>
        <v>-4.3039929621203825</v>
      </c>
      <c r="AQ27" s="586">
        <f t="shared" si="9"/>
        <v>0.89120959366192176</v>
      </c>
      <c r="AS27" s="52">
        <f t="shared" si="116"/>
        <v>-144.56003110568298</v>
      </c>
      <c r="AT27" s="72">
        <f t="shared" si="10"/>
        <v>1.4776150109209921E-2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3.1110000000000002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1713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1.8317601485279618</v>
      </c>
      <c r="C28" s="708">
        <v>-2.7849066212485787</v>
      </c>
      <c r="D28" s="709">
        <v>-0.32062320484121781</v>
      </c>
      <c r="E28" s="710">
        <v>0.91140607627806725</v>
      </c>
      <c r="F28" s="708">
        <v>0.3545893492848553</v>
      </c>
      <c r="G28" s="711">
        <v>0.2088189586631464</v>
      </c>
      <c r="H28" s="710">
        <v>0.314</v>
      </c>
      <c r="I28" s="708">
        <v>0.52</v>
      </c>
      <c r="J28" s="570">
        <v>3.1160000000000001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3.1160000000000001</v>
      </c>
      <c r="N28" s="632">
        <f t="shared" si="2"/>
        <v>1.8317601485279618</v>
      </c>
      <c r="O28" s="629">
        <f t="shared" si="3"/>
        <v>-2.7849066212485787</v>
      </c>
      <c r="P28" s="633">
        <f t="shared" si="4"/>
        <v>-0.32062320484121781</v>
      </c>
      <c r="Q28" s="585">
        <f t="shared" si="113"/>
        <v>303.33474429268045</v>
      </c>
      <c r="R28" s="629">
        <f t="shared" si="79"/>
        <v>3.3333241862755196</v>
      </c>
      <c r="S28" s="634">
        <f t="shared" si="80"/>
        <v>-0.32062320484121781</v>
      </c>
      <c r="T28" s="635">
        <f t="shared" si="81"/>
        <v>-2.7528419432824762</v>
      </c>
      <c r="U28" s="629">
        <f t="shared" si="82"/>
        <v>-1.8796040450355798</v>
      </c>
      <c r="V28" s="636">
        <f t="shared" si="114"/>
        <v>-0.32062320484121781</v>
      </c>
      <c r="W28" s="585">
        <f t="shared" si="224"/>
        <v>214.32474414974217</v>
      </c>
      <c r="X28" s="629">
        <f t="shared" si="83"/>
        <v>3.3333241862755196</v>
      </c>
      <c r="Y28" s="630">
        <f t="shared" si="223"/>
        <v>-0.32062320484121781</v>
      </c>
      <c r="Z28" s="632">
        <f t="shared" si="6"/>
        <v>-0.91140607627806725</v>
      </c>
      <c r="AA28" s="629">
        <f t="shared" si="7"/>
        <v>-0.3545893492848553</v>
      </c>
      <c r="AB28" s="629">
        <f t="shared" si="8"/>
        <v>-0.2088189586631464</v>
      </c>
      <c r="AC28" s="636">
        <f t="shared" si="84"/>
        <v>1</v>
      </c>
      <c r="AD28" s="637">
        <f t="shared" si="115"/>
        <v>-0.91140607627806725</v>
      </c>
      <c r="AE28" s="629">
        <f t="shared" si="85"/>
        <v>-0.3545893492848553</v>
      </c>
      <c r="AF28" s="633">
        <f t="shared" si="86"/>
        <v>-0.2088189586631464</v>
      </c>
      <c r="AG28" s="602">
        <f t="shared" si="87"/>
        <v>-59.506014033174587</v>
      </c>
      <c r="AH28" s="603">
        <f t="shared" si="88"/>
        <v>155.70038980150153</v>
      </c>
      <c r="AI28" s="585">
        <f t="shared" si="89"/>
        <v>-77.946850811525536</v>
      </c>
      <c r="AJ28" s="586">
        <f t="shared" si="90"/>
        <v>-68.741104471414076</v>
      </c>
      <c r="AK28" s="635">
        <f t="shared" si="211"/>
        <v>0.95631366091253422</v>
      </c>
      <c r="AL28" s="629">
        <f t="shared" si="91"/>
        <v>-0.20459429233218024</v>
      </c>
      <c r="AM28" s="634">
        <f t="shared" si="92"/>
        <v>-0.2088189586631464</v>
      </c>
      <c r="AN28" s="581">
        <f t="shared" si="93"/>
        <v>-44.414515319027622</v>
      </c>
      <c r="AO28" s="582">
        <f t="shared" si="94"/>
        <v>16.998254819355278</v>
      </c>
      <c r="AP28" s="585">
        <f t="shared" si="95"/>
        <v>-12.075848764094529</v>
      </c>
      <c r="AQ28" s="586">
        <f t="shared" si="9"/>
        <v>0.68388738664191451</v>
      </c>
      <c r="AS28" s="52">
        <f t="shared" si="116"/>
        <v>-145.67525585025783</v>
      </c>
      <c r="AT28" s="72">
        <f t="shared" si="10"/>
        <v>-0.2187723328222459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3.1160000000000001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2.0816233870166885</v>
      </c>
      <c r="C29" s="708">
        <v>-3.297901730957931</v>
      </c>
      <c r="D29" s="709">
        <v>-0.90130271832899844</v>
      </c>
      <c r="E29" s="710">
        <v>0.96512446493506143</v>
      </c>
      <c r="F29" s="708">
        <v>0.20549019916621661</v>
      </c>
      <c r="G29" s="711">
        <v>0.16219909133666616</v>
      </c>
      <c r="H29" s="710">
        <v>0.314</v>
      </c>
      <c r="I29" s="708">
        <v>0.52</v>
      </c>
      <c r="J29" s="570">
        <v>3.121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3.121</v>
      </c>
      <c r="N29" s="632">
        <f t="shared" si="2"/>
        <v>2.0816233870166885</v>
      </c>
      <c r="O29" s="629">
        <f t="shared" si="3"/>
        <v>-3.297901730957931</v>
      </c>
      <c r="P29" s="633">
        <f t="shared" si="4"/>
        <v>-0.90130271832899844</v>
      </c>
      <c r="Q29" s="585">
        <f t="shared" si="113"/>
        <v>302.25996935345216</v>
      </c>
      <c r="R29" s="629">
        <f>IF(M29="","",SQRT(N29^2+O29^2))</f>
        <v>3.899911762133875</v>
      </c>
      <c r="S29" s="634">
        <f>IF(M29="","",P29)</f>
        <v>-0.90130271832899844</v>
      </c>
      <c r="T29" s="635">
        <f>IF(M29="","",X29*COS(RADIANS(W29)))</f>
        <v>-3.2614433647725383</v>
      </c>
      <c r="U29" s="629">
        <f>IF(M29="","",X29*SIN(RADIANS(W29)))</f>
        <v>-2.1382934622757772</v>
      </c>
      <c r="V29" s="636">
        <f>IF(M29="","",Y29)</f>
        <v>-0.90130271832899844</v>
      </c>
      <c r="W29" s="585">
        <f t="shared" si="224"/>
        <v>213.24996921051388</v>
      </c>
      <c r="X29" s="629">
        <f>IF(M29="","",R29)</f>
        <v>3.899911762133875</v>
      </c>
      <c r="Y29" s="630">
        <f t="shared" si="223"/>
        <v>-0.90130271832899844</v>
      </c>
      <c r="Z29" s="632">
        <f t="shared" si="6"/>
        <v>-0.96512446493506143</v>
      </c>
      <c r="AA29" s="629">
        <f t="shared" si="7"/>
        <v>-0.20549019916621661</v>
      </c>
      <c r="AB29" s="629">
        <f t="shared" si="8"/>
        <v>-0.16219909133666616</v>
      </c>
      <c r="AC29" s="636">
        <f>IF(M29="","",SQRT(Z29^2+AA29^2+AB29^2))</f>
        <v>1</v>
      </c>
      <c r="AD29" s="637">
        <f>IF(M29="","",Z29*(1/SQRT(Z29^2+AA29^2+AB29^2)))</f>
        <v>-0.96512446493506143</v>
      </c>
      <c r="AE29" s="629">
        <f>IF(M29="","",AA29*(1/SQRT(Z29^2+AA29^2+AB29^2)))</f>
        <v>-0.20549019916621661</v>
      </c>
      <c r="AF29" s="633">
        <f>IF(M29="","",AB29*(1/SQRT(Z29^2+AA29^2+AB29^2)))</f>
        <v>-0.16219909133666616</v>
      </c>
      <c r="AG29" s="602">
        <f>IF(M29="","",DEGREES(ATAN2(-AF29,AE29)))</f>
        <v>-51.714992479337887</v>
      </c>
      <c r="AH29" s="603">
        <f>IF(M29="","",DEGREES(ACOS(AD29)))</f>
        <v>164.82361252044149</v>
      </c>
      <c r="AI29" s="585">
        <f>IF(M29="","",DEGREES(-ACOS(-AF29)))</f>
        <v>-80.665437542506012</v>
      </c>
      <c r="AJ29" s="586">
        <f>IF(M29="","",DEGREES(ATAN2(-AE29,AD29)))</f>
        <v>-77.980311087133231</v>
      </c>
      <c r="AK29" s="635">
        <f>IF(M29="","",(COS(RADIANS((90-$Q$8)-W29))*AD29)+(-SIN(RADIANS((90-$Q$8)-W29))*AE29))</f>
        <v>0.92582577968653912</v>
      </c>
      <c r="AL29" s="629">
        <f>IF(M29="","",(SIN(RADIANS((90-$Q$8)-W29))*AD29)+(COS(RADIANS((90-$Q$8)-W29))*AE29))</f>
        <v>-0.3413767426720396</v>
      </c>
      <c r="AM29" s="634">
        <f>IF(M29="","",AF29)</f>
        <v>-0.16219909133666616</v>
      </c>
      <c r="AN29" s="581">
        <f>IF(M29="","",DEGREES(ATAN2(-AM29,AL29)))</f>
        <v>-64.586100921465075</v>
      </c>
      <c r="AO29" s="582">
        <f t="shared" si="94"/>
        <v>22.206793262407626</v>
      </c>
      <c r="AP29" s="585">
        <f>IF(M29="","",DEGREES(ATAN2(AK29,AL29)))</f>
        <v>-20.240280440585398</v>
      </c>
      <c r="AQ29" s="586">
        <f t="shared" si="9"/>
        <v>0.58453823489033685</v>
      </c>
      <c r="AS29" s="52">
        <f t="shared" si="116"/>
        <v>-146.75003078948612</v>
      </c>
      <c r="AT29" s="72">
        <f t="shared" si="10"/>
        <v>-0.79870547482445131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3.121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2.1669437902413149</v>
      </c>
      <c r="C30" s="708">
        <v>-3.4854114565157848</v>
      </c>
      <c r="D30" s="709">
        <v>-1.6907050991665793</v>
      </c>
      <c r="E30" s="710">
        <v>0.99627217445929783</v>
      </c>
      <c r="F30" s="708">
        <v>2.1887913281148925E-2</v>
      </c>
      <c r="G30" s="711">
        <v>8.344263688510474E-2</v>
      </c>
      <c r="H30" s="710">
        <v>0.314</v>
      </c>
      <c r="I30" s="708">
        <v>0.52</v>
      </c>
      <c r="J30" s="570">
        <v>3.1259999999999999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3.1259999999999999</v>
      </c>
      <c r="N30" s="632">
        <f t="shared" si="2"/>
        <v>2.1669437902413149</v>
      </c>
      <c r="O30" s="629">
        <f t="shared" si="3"/>
        <v>-3.4854114565157848</v>
      </c>
      <c r="P30" s="633">
        <f t="shared" si="4"/>
        <v>-1.6907050991665793</v>
      </c>
      <c r="Q30" s="585">
        <f t="shared" si="113"/>
        <v>301.86996940976121</v>
      </c>
      <c r="R30" s="629">
        <f>IF(M30="","",SQRT(N30^2+O30^2))</f>
        <v>4.1041123780029318</v>
      </c>
      <c r="S30" s="634">
        <f>IF(M30="","",P30)</f>
        <v>-1.6907050991665793</v>
      </c>
      <c r="T30" s="635">
        <f>IF(M30="","",X30*COS(RADIANS(W30)))</f>
        <v>-3.4474509428343372</v>
      </c>
      <c r="U30" s="629">
        <f>IF(M30="","",X30*SIN(RADIANS(W30)))</f>
        <v>-2.2268409031692227</v>
      </c>
      <c r="V30" s="636">
        <f>IF(M30="","",Y30)</f>
        <v>-1.6907050991665793</v>
      </c>
      <c r="W30" s="585">
        <f t="shared" si="224"/>
        <v>212.85996926682293</v>
      </c>
      <c r="X30" s="629">
        <f>IF(M30="","",R30)</f>
        <v>4.1041123780029318</v>
      </c>
      <c r="Y30" s="630">
        <f t="shared" si="223"/>
        <v>-1.6907050991665793</v>
      </c>
      <c r="Z30" s="632">
        <f t="shared" si="6"/>
        <v>-0.99627217445929783</v>
      </c>
      <c r="AA30" s="629">
        <f t="shared" si="7"/>
        <v>-2.1887913281148925E-2</v>
      </c>
      <c r="AB30" s="629">
        <f t="shared" si="8"/>
        <v>-8.344263688510474E-2</v>
      </c>
      <c r="AC30" s="636">
        <f>IF(M30="","",SQRT(Z30^2+AA30^2+AB30^2))</f>
        <v>1</v>
      </c>
      <c r="AD30" s="637">
        <f>IF(M30="","",Z30*(1/SQRT(Z30^2+AA30^2+AB30^2)))</f>
        <v>-0.99627217445929783</v>
      </c>
      <c r="AE30" s="629">
        <f>IF(M30="","",AA30*(1/SQRT(Z30^2+AA30^2+AB30^2)))</f>
        <v>-2.1887913281148925E-2</v>
      </c>
      <c r="AF30" s="633">
        <f>IF(M30="","",AB30*(1/SQRT(Z30^2+AA30^2+AB30^2)))</f>
        <v>-8.344263688510474E-2</v>
      </c>
      <c r="AG30" s="602">
        <f>IF(M30="","",DEGREES(ATAN2(-AF30,AE30)))</f>
        <v>-14.698167308844196</v>
      </c>
      <c r="AH30" s="603">
        <f>IF(M30="","",DEGREES(ACOS(AD30)))</f>
        <v>175.05119402733197</v>
      </c>
      <c r="AI30" s="585">
        <f>IF(M30="","",DEGREES(-ACOS(-AF30)))</f>
        <v>-85.213523632597344</v>
      </c>
      <c r="AJ30" s="586">
        <f>IF(M30="","",DEGREES(ATAN2(-AE30,AD30)))</f>
        <v>-88.741424910730004</v>
      </c>
      <c r="AK30" s="635">
        <f>IF(M30="","",(COS(RADIANS((90-$Q$8)-W30))*AD30)+(-SIN(RADIANS((90-$Q$8)-W30))*AE30))</f>
        <v>0.85763936370256477</v>
      </c>
      <c r="AL30" s="629">
        <f>IF(M30="","",(SIN(RADIANS((90-$Q$8)-W30))*AD30)+(COS(RADIANS((90-$Q$8)-W30))*AE30))</f>
        <v>-0.50743674303061714</v>
      </c>
      <c r="AM30" s="634">
        <f>IF(M30="","",AF30)</f>
        <v>-8.344263688510474E-2</v>
      </c>
      <c r="AN30" s="581">
        <f>IF(M30="","",DEGREES(ATAN2(-AM30,AL30)))</f>
        <v>-80.661881676416385</v>
      </c>
      <c r="AO30" s="582">
        <f>IF(ROUND(IF(M30="",0,DEGREES(ACOS(AK30))),4)=90,0,IF(M30="","",DEGREES(ACOS(AK30))))</f>
        <v>30.947444891360604</v>
      </c>
      <c r="AP30" s="585">
        <f>IF(M30="","",DEGREES(ATAN2(AK30,AL30)))</f>
        <v>-30.611394320491208</v>
      </c>
      <c r="AQ30" s="586">
        <f t="shared" si="9"/>
        <v>0.55545633310133724</v>
      </c>
      <c r="AS30" s="52">
        <f t="shared" si="116"/>
        <v>-147.14003073317707</v>
      </c>
      <c r="AT30" s="72">
        <f t="shared" si="10"/>
        <v>-1.5878370223678024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3.1259999999999999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10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110</v>
      </c>
      <c r="JI30" s="804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>0</v>
      </c>
    </row>
    <row r="31" spans="1:269" ht="15" customHeight="1" x14ac:dyDescent="0.25">
      <c r="A31" s="79"/>
      <c r="B31" s="707">
        <v>2.2008902001882875</v>
      </c>
      <c r="C31" s="708">
        <v>-3.5635491724862538</v>
      </c>
      <c r="D31" s="709">
        <v>-2.4221073050756323</v>
      </c>
      <c r="E31" s="710">
        <v>0.99834179098215825</v>
      </c>
      <c r="F31" s="708">
        <v>-5.7564471495183615E-2</v>
      </c>
      <c r="G31" s="711">
        <v>1.3008419226915673E-7</v>
      </c>
      <c r="H31" s="710">
        <v>0.26600000000000001</v>
      </c>
      <c r="I31" s="708">
        <v>0.52</v>
      </c>
      <c r="J31" s="570">
        <v>3.1309999999999998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1313</v>
      </c>
      <c r="L31" s="320"/>
      <c r="M31" s="168">
        <f t="shared" si="1"/>
        <v>3.1309999999999998</v>
      </c>
      <c r="N31" s="632">
        <f t="shared" si="2"/>
        <v>2.2008902001882875</v>
      </c>
      <c r="O31" s="629">
        <f t="shared" si="3"/>
        <v>-3.5635491724862538</v>
      </c>
      <c r="P31" s="633">
        <f t="shared" si="4"/>
        <v>-2.4221073050756323</v>
      </c>
      <c r="Q31" s="585">
        <f t="shared" si="113"/>
        <v>301.69996943430613</v>
      </c>
      <c r="R31" s="629">
        <f>IF(M31="","",SQRT(N31^2+O31^2))</f>
        <v>4.1884126322524988</v>
      </c>
      <c r="S31" s="634">
        <f>IF(M31="","",P31)</f>
        <v>-2.4221073050756323</v>
      </c>
      <c r="T31" s="635">
        <f>IF(M31="","",X31*COS(RADIANS(W31)))</f>
        <v>-3.5249904722886951</v>
      </c>
      <c r="U31" s="629">
        <f>IF(M31="","",X31*SIN(RADIANS(W31)))</f>
        <v>-2.2621323012339989</v>
      </c>
      <c r="V31" s="636">
        <f>IF(M31="","",Y31)</f>
        <v>-2.4221073050756323</v>
      </c>
      <c r="W31" s="585">
        <f t="shared" si="224"/>
        <v>212.68996929136785</v>
      </c>
      <c r="X31" s="629">
        <f>IF(M31="","",R31)</f>
        <v>4.1884126322524988</v>
      </c>
      <c r="Y31" s="630">
        <f t="shared" si="223"/>
        <v>-2.4221073050756323</v>
      </c>
      <c r="Z31" s="632">
        <f t="shared" si="6"/>
        <v>-0.99834179098215825</v>
      </c>
      <c r="AA31" s="629">
        <f t="shared" si="7"/>
        <v>5.7564471495183615E-2</v>
      </c>
      <c r="AB31" s="629">
        <f t="shared" si="8"/>
        <v>-1.3008419226915673E-7</v>
      </c>
      <c r="AC31" s="636">
        <f>IF(M31="","",SQRT(Z31^2+AA31^2+AB31^2))</f>
        <v>1</v>
      </c>
      <c r="AD31" s="637">
        <f>IF(M31="","",Z31*(1/SQRT(Z31^2+AA31^2+AB31^2)))</f>
        <v>-0.99834179098215825</v>
      </c>
      <c r="AE31" s="629">
        <f>IF(M31="","",AA31*(1/SQRT(Z31^2+AA31^2+AB31^2)))</f>
        <v>5.7564471495183615E-2</v>
      </c>
      <c r="AF31" s="633">
        <f>IF(M31="","",AB31*(1/SQRT(Z31^2+AA31^2+AB31^2)))</f>
        <v>-1.3008419226915673E-7</v>
      </c>
      <c r="AG31" s="602">
        <f>IF(M31="","",DEGREES(ATAN2(-AF31,AE31)))</f>
        <v>89.999870522997881</v>
      </c>
      <c r="AH31" s="603">
        <f>IF(M31="","",DEGREES(ACOS(AD31)))</f>
        <v>176.69997448767262</v>
      </c>
      <c r="AI31" s="585">
        <f>IF(M31="","",DEGREES(-ACOS(-AF31)))</f>
        <v>-89.999992546724798</v>
      </c>
      <c r="AJ31" s="586">
        <f>IF(M31="","",DEGREES(ATAN2(-AE31,AD31)))</f>
        <v>-93.30002551231911</v>
      </c>
      <c r="AK31" s="635">
        <f>IF(M31="","",(COS(RADIANS((90-$Q$8)-W31))*AD31)+(-SIN(RADIANS((90-$Q$8)-W31))*AE31))</f>
        <v>0.81915209487729224</v>
      </c>
      <c r="AL31" s="629">
        <f>IF(M31="","",(SIN(RADIANS((90-$Q$8)-W31))*AD31)+(COS(RADIANS((90-$Q$8)-W31))*AE31))</f>
        <v>-0.57357636410344426</v>
      </c>
      <c r="AM31" s="634">
        <f>IF(M31="","",AF31)</f>
        <v>-1.3008419226915673E-7</v>
      </c>
      <c r="AN31" s="581">
        <f>IF(M31="","",DEGREES(ATAN2(-AM31,AL31)))</f>
        <v>-89.999987005609611</v>
      </c>
      <c r="AO31" s="582">
        <f t="shared" si="94"/>
        <v>34.999994946625925</v>
      </c>
      <c r="AP31" s="585">
        <f>IF(M31="","",DEGREES(ATAN2(AK31,AL31)))</f>
        <v>-34.999994946625243</v>
      </c>
      <c r="AQ31" s="586">
        <f t="shared" si="9"/>
        <v>0.54427733323535532</v>
      </c>
      <c r="AS31" s="52">
        <f t="shared" si="116"/>
        <v>-147.31003070863215</v>
      </c>
      <c r="AT31" s="72">
        <f t="shared" si="10"/>
        <v>-2.3191211727383449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3.1309999999999998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1313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0.7891286805370531</v>
      </c>
      <c r="C32" s="708">
        <v>-3.2593848148205078</v>
      </c>
      <c r="D32" s="709">
        <v>-0.28849801177189033</v>
      </c>
      <c r="E32" s="710">
        <v>9.7133528470746688E-2</v>
      </c>
      <c r="F32" s="708">
        <v>-0.40119538796063298</v>
      </c>
      <c r="G32" s="711">
        <v>0.91082783133034528</v>
      </c>
      <c r="H32" s="710">
        <v>0.26250000000000001</v>
      </c>
      <c r="I32" s="708">
        <v>0.40699999999999997</v>
      </c>
      <c r="J32" s="570">
        <v>3.2160000000000002</v>
      </c>
      <c r="K32" s="865" t="str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Inactive</v>
      </c>
      <c r="L32" s="1314"/>
      <c r="M32" s="168">
        <f t="shared" si="1"/>
        <v>3.2160000000000002</v>
      </c>
      <c r="N32" s="632">
        <f t="shared" si="2"/>
        <v>0.7891286805370531</v>
      </c>
      <c r="O32" s="629">
        <f t="shared" si="3"/>
        <v>-3.2593848148205078</v>
      </c>
      <c r="P32" s="633">
        <f t="shared" si="4"/>
        <v>-0.28849801177189033</v>
      </c>
      <c r="Q32" s="585">
        <f t="shared" si="113"/>
        <v>283.6099720461786</v>
      </c>
      <c r="R32" s="629">
        <f t="shared" si="79"/>
        <v>3.3535523621271617</v>
      </c>
      <c r="S32" s="634">
        <f t="shared" si="80"/>
        <v>-0.28849801177189033</v>
      </c>
      <c r="T32" s="635">
        <f t="shared" si="81"/>
        <v>-3.2452637890541993</v>
      </c>
      <c r="U32" s="629">
        <f t="shared" si="82"/>
        <v>-0.84532620034058259</v>
      </c>
      <c r="V32" s="636">
        <f t="shared" si="114"/>
        <v>-0.28849801177189033</v>
      </c>
      <c r="W32" s="585">
        <f t="shared" si="224"/>
        <v>194.59997190324032</v>
      </c>
      <c r="X32" s="629">
        <f t="shared" si="83"/>
        <v>3.3535523621271617</v>
      </c>
      <c r="Y32" s="630">
        <f t="shared" si="223"/>
        <v>-0.28849801177189033</v>
      </c>
      <c r="Z32" s="632">
        <f t="shared" si="6"/>
        <v>-9.7133528470746688E-2</v>
      </c>
      <c r="AA32" s="629">
        <f t="shared" si="7"/>
        <v>0.40119538796063298</v>
      </c>
      <c r="AB32" s="629">
        <f t="shared" si="8"/>
        <v>-0.91082783133034528</v>
      </c>
      <c r="AC32" s="636">
        <f t="shared" si="84"/>
        <v>1</v>
      </c>
      <c r="AD32" s="637">
        <f t="shared" si="115"/>
        <v>-9.7133528470746688E-2</v>
      </c>
      <c r="AE32" s="629">
        <f t="shared" si="85"/>
        <v>0.40119538796063298</v>
      </c>
      <c r="AF32" s="633">
        <f t="shared" si="86"/>
        <v>-0.91082783133034528</v>
      </c>
      <c r="AG32" s="602">
        <f t="shared" si="87"/>
        <v>23.772212605106724</v>
      </c>
      <c r="AH32" s="603">
        <f t="shared" si="88"/>
        <v>95.574130023735179</v>
      </c>
      <c r="AI32" s="585">
        <f t="shared" si="89"/>
        <v>-24.379996479967261</v>
      </c>
      <c r="AJ32" s="586">
        <f t="shared" si="90"/>
        <v>-166.38999647412993</v>
      </c>
      <c r="AK32" s="635">
        <f t="shared" si="211"/>
        <v>2.2679489687649212E-7</v>
      </c>
      <c r="AL32" s="629">
        <f t="shared" si="91"/>
        <v>-0.41278646013890608</v>
      </c>
      <c r="AM32" s="634">
        <f t="shared" si="92"/>
        <v>-0.91082783133034528</v>
      </c>
      <c r="AN32" s="581">
        <f t="shared" si="93"/>
        <v>-24.379996479964014</v>
      </c>
      <c r="AO32" s="582">
        <f t="shared" si="94"/>
        <v>0</v>
      </c>
      <c r="AP32" s="585">
        <f t="shared" si="95"/>
        <v>-89.999968520308542</v>
      </c>
      <c r="AQ32" s="586">
        <f t="shared" si="9"/>
        <v>0.67976265835655503</v>
      </c>
      <c r="AS32" s="52">
        <f t="shared" si="116"/>
        <v>-165.40002809675968</v>
      </c>
      <c r="AT32" s="72">
        <f t="shared" si="10"/>
        <v>-0.17294938124840326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>Taper</v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3.2160000000000002</v>
      </c>
      <c r="IH32" s="731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3.1160000000000001</v>
      </c>
      <c r="II32" s="734" cm="1">
        <f t="array" ref="II32">IFERROR(ROUND(VALUE(IF($IH32&lt;1,$IH32+LARGE((IF($M$9:$M$150="",0,$M$9:$M$150)-MOD(IF($M$9:$M$150="",0,$M$9:$M$150),1)),1),$IH32)),4),"")</f>
        <v>3.1160000000000001</v>
      </c>
      <c r="IJ32" s="533">
        <f t="shared" si="112"/>
        <v>1613</v>
      </c>
      <c r="IK32" s="533" t="str">
        <f t="shared" si="66"/>
        <v>Inactive</v>
      </c>
      <c r="IL32" s="727">
        <f t="shared" si="225"/>
        <v>19.724772246501857</v>
      </c>
      <c r="IM32" s="759">
        <v>2.1999824602982499E-4</v>
      </c>
      <c r="IN32" s="5">
        <f t="shared" si="226"/>
        <v>0</v>
      </c>
      <c r="IO32" s="771">
        <v>0</v>
      </c>
      <c r="IP32" s="9">
        <f t="shared" si="227"/>
        <v>-3.3333241862755196</v>
      </c>
      <c r="IQ32" s="5">
        <f t="shared" si="228"/>
        <v>-0.32062320484121781</v>
      </c>
      <c r="IR32" s="5">
        <f t="shared" si="71"/>
        <v>0.314</v>
      </c>
      <c r="IS32" s="5">
        <f t="shared" si="229"/>
        <v>0.30028248952653575</v>
      </c>
      <c r="IT32" s="727">
        <f t="shared" si="230"/>
        <v>44.414515319027622</v>
      </c>
      <c r="IU32" s="9">
        <f t="shared" si="231"/>
        <v>-3.3535523621271617</v>
      </c>
      <c r="IV32" s="5">
        <f t="shared" si="232"/>
        <v>-0.28849801177189033</v>
      </c>
      <c r="IW32" s="5">
        <f t="shared" si="76"/>
        <v>0.26250000000000001</v>
      </c>
      <c r="IX32" s="5">
        <f t="shared" si="233"/>
        <v>0.26250000000000001</v>
      </c>
      <c r="IY32" s="762">
        <f t="shared" si="234"/>
        <v>24.379996479964014</v>
      </c>
    </row>
    <row r="33" spans="1:267" ht="15" customHeight="1" x14ac:dyDescent="0.25">
      <c r="A33" s="79"/>
      <c r="B33" s="707">
        <v>0.99021689727998885</v>
      </c>
      <c r="C33" s="708">
        <v>-3.7933652240283973</v>
      </c>
      <c r="D33" s="709">
        <v>-0.89172720166407227</v>
      </c>
      <c r="E33" s="710">
        <v>0.17762915973161625</v>
      </c>
      <c r="F33" s="708">
        <v>-0.68046848120420345</v>
      </c>
      <c r="G33" s="711">
        <v>0.71092230778101539</v>
      </c>
      <c r="H33" s="710">
        <v>0.26250000000000001</v>
      </c>
      <c r="I33" s="708">
        <v>0.40699999999999997</v>
      </c>
      <c r="J33" s="570">
        <v>3.2210000000000001</v>
      </c>
      <c r="K33" s="865" t="str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Inactive</v>
      </c>
      <c r="L33" s="320"/>
      <c r="M33" s="168">
        <f t="shared" si="1"/>
        <v>3.2210000000000001</v>
      </c>
      <c r="N33" s="632">
        <f t="shared" si="2"/>
        <v>0.99021689727998885</v>
      </c>
      <c r="O33" s="629">
        <f t="shared" si="3"/>
        <v>-3.7933652240283973</v>
      </c>
      <c r="P33" s="633">
        <f t="shared" si="4"/>
        <v>-0.89172720166407227</v>
      </c>
      <c r="Q33" s="585">
        <f t="shared" si="113"/>
        <v>284.62997189890882</v>
      </c>
      <c r="R33" s="629">
        <f t="shared" si="79"/>
        <v>3.9204781885028797</v>
      </c>
      <c r="S33" s="634">
        <f t="shared" si="80"/>
        <v>-0.89172720166407227</v>
      </c>
      <c r="T33" s="635">
        <f t="shared" si="81"/>
        <v>-3.7756901073012381</v>
      </c>
      <c r="U33" s="629">
        <f t="shared" si="82"/>
        <v>-1.0556104585283281</v>
      </c>
      <c r="V33" s="636">
        <f t="shared" si="114"/>
        <v>-0.89172720166407227</v>
      </c>
      <c r="W33" s="585">
        <f t="shared" si="224"/>
        <v>195.61997175597054</v>
      </c>
      <c r="X33" s="629">
        <f t="shared" si="83"/>
        <v>3.9204781885028797</v>
      </c>
      <c r="Y33" s="630">
        <f t="shared" si="223"/>
        <v>-0.89172720166407227</v>
      </c>
      <c r="Z33" s="632">
        <f t="shared" si="6"/>
        <v>-0.17762915973161625</v>
      </c>
      <c r="AA33" s="629">
        <f t="shared" si="7"/>
        <v>0.68046848120420345</v>
      </c>
      <c r="AB33" s="629">
        <f t="shared" si="8"/>
        <v>-0.71092230778101539</v>
      </c>
      <c r="AC33" s="636">
        <f t="shared" si="84"/>
        <v>1</v>
      </c>
      <c r="AD33" s="637">
        <f t="shared" si="115"/>
        <v>-0.17762915973161625</v>
      </c>
      <c r="AE33" s="629">
        <f t="shared" si="85"/>
        <v>0.68046848120420345</v>
      </c>
      <c r="AF33" s="633">
        <f t="shared" si="86"/>
        <v>-0.71092230778101539</v>
      </c>
      <c r="AG33" s="602">
        <f t="shared" si="87"/>
        <v>43.746148676424696</v>
      </c>
      <c r="AH33" s="603">
        <f t="shared" si="88"/>
        <v>100.23169541541986</v>
      </c>
      <c r="AI33" s="585">
        <f t="shared" si="89"/>
        <v>-44.689993547564747</v>
      </c>
      <c r="AJ33" s="586">
        <f t="shared" si="90"/>
        <v>-165.37000962400532</v>
      </c>
      <c r="AK33" s="635">
        <f t="shared" si="211"/>
        <v>2.267948972511924E-7</v>
      </c>
      <c r="AL33" s="629">
        <f t="shared" si="91"/>
        <v>-0.7032705541249854</v>
      </c>
      <c r="AM33" s="634">
        <f t="shared" si="92"/>
        <v>-0.71092230778101539</v>
      </c>
      <c r="AN33" s="581">
        <f t="shared" si="93"/>
        <v>-44.689993547563269</v>
      </c>
      <c r="AO33" s="582">
        <f t="shared" si="94"/>
        <v>0</v>
      </c>
      <c r="AP33" s="585">
        <f t="shared" si="95"/>
        <v>-89.999981522914112</v>
      </c>
      <c r="AQ33" s="586">
        <f t="shared" si="9"/>
        <v>0.58147201837885598</v>
      </c>
      <c r="AS33" s="52">
        <f t="shared" si="116"/>
        <v>-164.38002824402946</v>
      </c>
      <c r="AT33" s="72">
        <f t="shared" si="10"/>
        <v>-0.77688690437164787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>Taper</v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3.2210000000000001</v>
      </c>
      <c r="IH33" s="731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3.121</v>
      </c>
      <c r="II33" s="734" cm="1">
        <f t="array" ref="II33">IFERROR(ROUND(VALUE(IF($IH33&lt;1,$IH33+LARGE((IF($M$9:$M$150="",0,$M$9:$M$150)-MOD(IF($M$9:$M$150="",0,$M$9:$M$150),1)),1),$IH33)),4),"")</f>
        <v>3.121</v>
      </c>
      <c r="IJ33" s="533">
        <f t="shared" si="112"/>
        <v>1613</v>
      </c>
      <c r="IK33" s="533" t="str">
        <f t="shared" si="66"/>
        <v>Inactive</v>
      </c>
      <c r="IL33" s="727">
        <f t="shared" si="225"/>
        <v>17.629997454543343</v>
      </c>
      <c r="IM33" s="759">
        <v>5.5309502356448896E-3</v>
      </c>
      <c r="IN33" s="5">
        <f t="shared" si="226"/>
        <v>0.18</v>
      </c>
      <c r="IO33" s="771">
        <v>90</v>
      </c>
      <c r="IP33" s="9">
        <f t="shared" si="227"/>
        <v>-3.899911762133875</v>
      </c>
      <c r="IQ33" s="5">
        <f t="shared" si="228"/>
        <v>-0.90130271832899844</v>
      </c>
      <c r="IR33" s="5">
        <f t="shared" si="71"/>
        <v>0.314</v>
      </c>
      <c r="IS33" s="5">
        <f t="shared" si="229"/>
        <v>0.29070929482157326</v>
      </c>
      <c r="IT33" s="727">
        <f t="shared" si="230"/>
        <v>64.586100921465075</v>
      </c>
      <c r="IU33" s="9">
        <f t="shared" si="231"/>
        <v>-3.9204781885028797</v>
      </c>
      <c r="IV33" s="5">
        <f t="shared" si="232"/>
        <v>-0.89172720166407227</v>
      </c>
      <c r="IW33" s="5">
        <f t="shared" si="76"/>
        <v>0.26250000000000001</v>
      </c>
      <c r="IX33" s="5">
        <f t="shared" si="233"/>
        <v>0.26250000000000001</v>
      </c>
      <c r="IY33" s="762">
        <f t="shared" si="234"/>
        <v>44.689993547563269</v>
      </c>
    </row>
    <row r="34" spans="1:267" ht="15" customHeight="1" x14ac:dyDescent="0.25">
      <c r="A34" s="79"/>
      <c r="B34" s="707">
        <v>-0.44965071127026124</v>
      </c>
      <c r="C34" s="708">
        <v>-0.44965040533490552</v>
      </c>
      <c r="D34" s="709">
        <v>-0.45360136806172613</v>
      </c>
      <c r="E34" s="710">
        <v>0.72040130119855772</v>
      </c>
      <c r="F34" s="708">
        <v>-0.62835819528077674</v>
      </c>
      <c r="G34" s="711">
        <v>0.29357783236291934</v>
      </c>
      <c r="H34" s="710">
        <v>0.33400000000000002</v>
      </c>
      <c r="I34" s="708">
        <v>0.52</v>
      </c>
      <c r="J34" s="570">
        <v>4.1020000000000003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1713</v>
      </c>
      <c r="L34" s="320"/>
      <c r="M34" s="168">
        <f t="shared" si="1"/>
        <v>4.1020000000000003</v>
      </c>
      <c r="N34" s="632">
        <f t="shared" si="2"/>
        <v>-0.44965071127026124</v>
      </c>
      <c r="O34" s="629">
        <f t="shared" si="3"/>
        <v>-0.44965040533490552</v>
      </c>
      <c r="P34" s="633">
        <f t="shared" si="4"/>
        <v>-0.45360136806172613</v>
      </c>
      <c r="Q34" s="585">
        <f t="shared" si="113"/>
        <v>224.99998050841441</v>
      </c>
      <c r="R34" s="629">
        <f>IF(M34="","",SQRT(N34^2+O34^2))</f>
        <v>0.63590191788018435</v>
      </c>
      <c r="S34" s="634">
        <f>IF(M34="","",P34)</f>
        <v>-0.45360136806172613</v>
      </c>
      <c r="T34" s="635">
        <f>IF(M34="","",X34*COS(RADIANS(W34)))</f>
        <v>-0.45735230304195129</v>
      </c>
      <c r="U34" s="629">
        <f>IF(M34="","",X34*SIN(RADIANS(W34)))</f>
        <v>0.4418145765656899</v>
      </c>
      <c r="V34" s="636">
        <f>IF(M34="","",Y34)</f>
        <v>-0.45360136806172613</v>
      </c>
      <c r="W34" s="585">
        <f t="shared" si="224"/>
        <v>135.98998036547613</v>
      </c>
      <c r="X34" s="629">
        <f>IF(M34="","",R34)</f>
        <v>0.63590191788018435</v>
      </c>
      <c r="Y34" s="630">
        <f t="shared" si="223"/>
        <v>-0.45360136806172613</v>
      </c>
      <c r="Z34" s="632">
        <f t="shared" si="6"/>
        <v>-0.72040130119855772</v>
      </c>
      <c r="AA34" s="629">
        <f t="shared" si="7"/>
        <v>0.62835819528077674</v>
      </c>
      <c r="AB34" s="629">
        <f t="shared" si="8"/>
        <v>-0.29357783236291934</v>
      </c>
      <c r="AC34" s="636">
        <f>IF(M34="","",SQRT(Z34^2+AA34^2+AB34^2))</f>
        <v>1</v>
      </c>
      <c r="AD34" s="637">
        <f>IF(M34="","",Z34*(1/SQRT(Z34^2+AA34^2+AB34^2)))</f>
        <v>-0.72040130119855772</v>
      </c>
      <c r="AE34" s="629">
        <f>IF(M34="","",AA34*(1/SQRT(Z34^2+AA34^2+AB34^2)))</f>
        <v>0.62835819528077674</v>
      </c>
      <c r="AF34" s="633">
        <f>IF(M34="","",AB34*(1/SQRT(Z34^2+AA34^2+AB34^2)))</f>
        <v>-0.29357783236291934</v>
      </c>
      <c r="AG34" s="602">
        <f>IF(M34="","",DEGREES(ATAN2(-AF34,AE34)))</f>
        <v>64.957353714208011</v>
      </c>
      <c r="AH34" s="603">
        <f>IF(M34="","",DEGREES(ACOS(AD34)))</f>
        <v>136.08762255200273</v>
      </c>
      <c r="AI34" s="585">
        <f>IF(M34="","",DEGREES(-ACOS(-AF34)))</f>
        <v>-72.927722444134986</v>
      </c>
      <c r="AJ34" s="586">
        <f>IF(M34="","",DEGREES(ATAN2(-AE34,AD34)))</f>
        <v>-131.09602922734501</v>
      </c>
      <c r="AK34" s="635">
        <f>IF(M34="","",(COS(RADIANS((90-$Q$8)-W34))*AD34)+(-SIN(RADIANS((90-$Q$8)-W34))*AE34))</f>
        <v>0.95371696400905348</v>
      </c>
      <c r="AL34" s="629">
        <f>IF(M34="","",(SIN(RADIANS((90-$Q$8)-W34))*AD34)+(COS(RADIANS((90-$Q$8)-W34))*AE34))</f>
        <v>6.5084628803148803E-2</v>
      </c>
      <c r="AM34" s="634">
        <f>IF(M34="","",AF34)</f>
        <v>-0.29357783236291934</v>
      </c>
      <c r="AN34" s="581">
        <f>IF(M34="","",DEGREES(ATAN2(-AM34,AL34)))</f>
        <v>12.499998195223567</v>
      </c>
      <c r="AO34" s="582">
        <f t="shared" si="94"/>
        <v>17.499997473312952</v>
      </c>
      <c r="AP34" s="585">
        <f>IF(M34="","",DEGREES(ATAN2(AK34,AL34)))</f>
        <v>3.9039902642405808</v>
      </c>
      <c r="AQ34" s="586">
        <f t="shared" si="9"/>
        <v>3.5803611175868686</v>
      </c>
      <c r="AS34" s="52">
        <f t="shared" si="116"/>
        <v>-224.01001963452387</v>
      </c>
      <c r="AT34" s="72">
        <f t="shared" si="10"/>
        <v>-0.29735135452590278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4.1020000000000003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1713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-1.0294095069464482</v>
      </c>
      <c r="C35" s="708">
        <v>-1.0294088065522182</v>
      </c>
      <c r="D35" s="709">
        <v>-0.27180081975127235</v>
      </c>
      <c r="E35" s="710">
        <v>0.72262367725694254</v>
      </c>
      <c r="F35" s="708">
        <v>-0.64340176731371046</v>
      </c>
      <c r="G35" s="711">
        <v>0.25268396641901952</v>
      </c>
      <c r="H35" s="710">
        <v>0.33400000000000002</v>
      </c>
      <c r="I35" s="708">
        <v>0.52</v>
      </c>
      <c r="J35" s="570">
        <v>4.1050000000000004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1713</v>
      </c>
      <c r="L35" s="320"/>
      <c r="M35" s="168">
        <f t="shared" si="1"/>
        <v>4.1050000000000004</v>
      </c>
      <c r="N35" s="632">
        <f t="shared" si="2"/>
        <v>-1.0294095069464482</v>
      </c>
      <c r="O35" s="629">
        <f t="shared" si="3"/>
        <v>-1.0294088065522182</v>
      </c>
      <c r="P35" s="633">
        <f t="shared" si="4"/>
        <v>-0.27180081975127235</v>
      </c>
      <c r="Q35" s="585">
        <f t="shared" si="113"/>
        <v>224.99998050841441</v>
      </c>
      <c r="R35" s="629">
        <f>IF(M35="","",SQRT(N35^2+O35^2))</f>
        <v>1.4558043907060425</v>
      </c>
      <c r="S35" s="634">
        <f>IF(M35="","",P35)</f>
        <v>-0.27180081975127235</v>
      </c>
      <c r="T35" s="635">
        <f>IF(M35="","",X35*COS(RADIANS(W35)))</f>
        <v>-1.0470411743489112</v>
      </c>
      <c r="U35" s="629">
        <f>IF(M35="","",X35*SIN(RADIANS(W35)))</f>
        <v>1.0114698231865566</v>
      </c>
      <c r="V35" s="636">
        <f>IF(M35="","",Y35)</f>
        <v>-0.27180081975127235</v>
      </c>
      <c r="W35" s="585">
        <f t="shared" si="224"/>
        <v>135.98998036547613</v>
      </c>
      <c r="X35" s="629">
        <f>IF(M35="","",R35)</f>
        <v>1.4558043907060425</v>
      </c>
      <c r="Y35" s="630">
        <f t="shared" si="223"/>
        <v>-0.27180081975127235</v>
      </c>
      <c r="Z35" s="632">
        <f t="shared" si="6"/>
        <v>-0.72262367725694254</v>
      </c>
      <c r="AA35" s="629">
        <f t="shared" si="7"/>
        <v>0.64340176731371046</v>
      </c>
      <c r="AB35" s="629">
        <f t="shared" si="8"/>
        <v>-0.25268396641901952</v>
      </c>
      <c r="AC35" s="636">
        <f>IF(M35="","",SQRT(Z35^2+AA35^2+AB35^2))</f>
        <v>1</v>
      </c>
      <c r="AD35" s="637">
        <f>IF(M35="","",Z35*(1/SQRT(Z35^2+AA35^2+AB35^2)))</f>
        <v>-0.72262367725694254</v>
      </c>
      <c r="AE35" s="629">
        <f>IF(M35="","",AA35*(1/SQRT(Z35^2+AA35^2+AB35^2)))</f>
        <v>0.64340176731371046</v>
      </c>
      <c r="AF35" s="633">
        <f>IF(M35="","",AB35*(1/SQRT(Z35^2+AA35^2+AB35^2)))</f>
        <v>-0.25268396641901952</v>
      </c>
      <c r="AG35" s="602">
        <f>IF(M35="","",DEGREES(ATAN2(-AF35,AE35)))</f>
        <v>68.558513735843121</v>
      </c>
      <c r="AH35" s="603">
        <f>IF(M35="","",DEGREES(ACOS(AD35)))</f>
        <v>136.2715231008342</v>
      </c>
      <c r="AI35" s="585">
        <f>IF(M35="","",DEGREES(-ACOS(-AF35)))</f>
        <v>-75.363607485266854</v>
      </c>
      <c r="AJ35" s="586">
        <f>IF(M35="","",DEGREES(ATAN2(-AE35,AD35)))</f>
        <v>-131.68087992312678</v>
      </c>
      <c r="AK35" s="635">
        <f>IF(M35="","",(COS(RADIANS((90-$Q$8)-W35))*AD35)+(-SIN(RADIANS((90-$Q$8)-W35))*AE35))</f>
        <v>0.96592583607220739</v>
      </c>
      <c r="AL35" s="629">
        <f>IF(M35="","",(SIN(RADIANS((90-$Q$8)-W35))*AD35)+(COS(RADIANS((90-$Q$8)-W35))*AE35))</f>
        <v>5.601867833998786E-2</v>
      </c>
      <c r="AM35" s="634">
        <f>IF(M35="","",AF35)</f>
        <v>-0.25268396641901952</v>
      </c>
      <c r="AN35" s="581">
        <f>IF(M35="","",DEGREES(ATAN2(-AM35,AL35)))</f>
        <v>12.499998195223608</v>
      </c>
      <c r="AO35" s="582">
        <f t="shared" si="94"/>
        <v>14.999997834268255</v>
      </c>
      <c r="AP35" s="585">
        <f>IF(M35="","",DEGREES(ATAN2(AK35,AL35)))</f>
        <v>3.3191395684588034</v>
      </c>
      <c r="AQ35" s="586">
        <f t="shared" si="9"/>
        <v>1.5655669519732247</v>
      </c>
      <c r="AS35" s="52">
        <f t="shared" si="116"/>
        <v>-224.01001963452387</v>
      </c>
      <c r="AT35" s="72">
        <f t="shared" si="10"/>
        <v>-0.11555080621544903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4.1050000000000004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1713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-1.6997932753723641</v>
      </c>
      <c r="C36" s="708">
        <v>-1.6785649986917006</v>
      </c>
      <c r="D36" s="709">
        <v>-8.6900262091190478E-2</v>
      </c>
      <c r="E36" s="710">
        <v>0.64702479111823452</v>
      </c>
      <c r="F36" s="708">
        <v>-0.71728592196147078</v>
      </c>
      <c r="G36" s="711">
        <v>0.25857267031588621</v>
      </c>
      <c r="H36" s="710">
        <v>0.33400000000000002</v>
      </c>
      <c r="I36" s="708">
        <v>0.52</v>
      </c>
      <c r="J36" s="570">
        <v>4.1100000000000003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1713</v>
      </c>
      <c r="L36" s="320"/>
      <c r="M36" s="168">
        <f t="shared" si="1"/>
        <v>4.1100000000000003</v>
      </c>
      <c r="N36" s="632">
        <f t="shared" si="2"/>
        <v>-1.6997932753723641</v>
      </c>
      <c r="O36" s="629">
        <f t="shared" si="3"/>
        <v>-1.6785649986917006</v>
      </c>
      <c r="P36" s="633">
        <f t="shared" si="4"/>
        <v>-8.6900262091190478E-2</v>
      </c>
      <c r="Q36" s="585">
        <f t="shared" si="113"/>
        <v>224.63998056039196</v>
      </c>
      <c r="R36" s="629">
        <f>IF(M36="","",SQRT(N36^2+O36^2))</f>
        <v>2.3889072049441307</v>
      </c>
      <c r="S36" s="634">
        <f>IF(M36="","",P36)</f>
        <v>-8.6900262091190478E-2</v>
      </c>
      <c r="T36" s="635">
        <f>IF(M36="","",X36*COS(RADIANS(W36)))</f>
        <v>-1.7076832862666944</v>
      </c>
      <c r="U36" s="629">
        <f>IF(M36="","",X36*SIN(RADIANS(W36)))</f>
        <v>1.6705374666972788</v>
      </c>
      <c r="V36" s="636">
        <f>IF(M36="","",Y36)</f>
        <v>-8.6900262091190478E-2</v>
      </c>
      <c r="W36" s="585">
        <f t="shared" si="224"/>
        <v>135.62998041745368</v>
      </c>
      <c r="X36" s="629">
        <f>IF(M36="","",R36)</f>
        <v>2.3889072049441307</v>
      </c>
      <c r="Y36" s="630">
        <f t="shared" si="223"/>
        <v>-8.6900262091190478E-2</v>
      </c>
      <c r="Z36" s="632">
        <f t="shared" si="6"/>
        <v>-0.64702479111823452</v>
      </c>
      <c r="AA36" s="629">
        <f t="shared" si="7"/>
        <v>0.71728592196147078</v>
      </c>
      <c r="AB36" s="629">
        <f t="shared" si="8"/>
        <v>-0.25857267031588621</v>
      </c>
      <c r="AC36" s="636">
        <f>IF(M36="","",SQRT(Z36^2+AA36^2+AB36^2))</f>
        <v>1</v>
      </c>
      <c r="AD36" s="637">
        <f>IF(M36="","",Z36*(1/SQRT(Z36^2+AA36^2+AB36^2)))</f>
        <v>-0.64702479111823452</v>
      </c>
      <c r="AE36" s="629">
        <f>IF(M36="","",AA36*(1/SQRT(Z36^2+AA36^2+AB36^2)))</f>
        <v>0.71728592196147078</v>
      </c>
      <c r="AF36" s="633">
        <f>IF(M36="","",AB36*(1/SQRT(Z36^2+AA36^2+AB36^2)))</f>
        <v>-0.25857267031588621</v>
      </c>
      <c r="AG36" s="602">
        <f>IF(M36="","",DEGREES(ATAN2(-AF36,AE36)))</f>
        <v>70.176396074051866</v>
      </c>
      <c r="AH36" s="603">
        <f>IF(M36="","",DEGREES(ACOS(AD36)))</f>
        <v>130.31765765379836</v>
      </c>
      <c r="AI36" s="585">
        <f>IF(M36="","",DEGREES(-ACOS(-AF36)))</f>
        <v>-75.014613703111948</v>
      </c>
      <c r="AJ36" s="586">
        <f>IF(M36="","",DEGREES(ATAN2(-AE36,AD36)))</f>
        <v>-137.94809161800072</v>
      </c>
      <c r="AK36" s="635">
        <f>IF(M36="","",(COS(RADIANS((90-$Q$8)-W36))*AD36)+(-SIN(RADIANS((90-$Q$8)-W36))*AE36))</f>
        <v>0.96500648897334029</v>
      </c>
      <c r="AL36" s="629">
        <f>IF(M36="","",(SIN(RADIANS((90-$Q$8)-W36))*AD36)+(COS(RADIANS((90-$Q$8)-W36))*AE36))</f>
        <v>-4.3619381071474006E-2</v>
      </c>
      <c r="AM36" s="634">
        <f>IF(M36="","",AF36)</f>
        <v>-0.25857267031588621</v>
      </c>
      <c r="AN36" s="581">
        <f>IF(M36="","",DEGREES(ATAN2(-AM36,AL36)))</f>
        <v>-9.5752434909742021</v>
      </c>
      <c r="AO36" s="582">
        <f t="shared" si="94"/>
        <v>15.202186332065978</v>
      </c>
      <c r="AP36" s="585">
        <f>IF(M36="","",DEGREES(ATAN2(AK36,AL36)))</f>
        <v>-2.5880721783926766</v>
      </c>
      <c r="AQ36" s="586">
        <f t="shared" si="9"/>
        <v>0.95420862567808351</v>
      </c>
      <c r="AS36" s="52">
        <f t="shared" si="116"/>
        <v>-224.37001958254632</v>
      </c>
      <c r="AT36" s="72">
        <f t="shared" si="10"/>
        <v>6.959975140853733E-2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4.1100000000000003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1713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-2.315940840166594</v>
      </c>
      <c r="C37" s="708">
        <v>-2.1992812447908783</v>
      </c>
      <c r="D37" s="709">
        <v>-0.23060069549169759</v>
      </c>
      <c r="E37" s="710">
        <v>0.53525783175777686</v>
      </c>
      <c r="F37" s="708">
        <v>-0.81818109158688579</v>
      </c>
      <c r="G37" s="711">
        <v>0.20994941036272438</v>
      </c>
      <c r="H37" s="710">
        <v>0.314</v>
      </c>
      <c r="I37" s="708">
        <v>0.52</v>
      </c>
      <c r="J37" s="570">
        <v>4.1150000000000002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4.1150000000000002</v>
      </c>
      <c r="N37" s="632">
        <f t="shared" si="2"/>
        <v>-2.315940840166594</v>
      </c>
      <c r="O37" s="629">
        <f t="shared" si="3"/>
        <v>-2.1992812447908783</v>
      </c>
      <c r="P37" s="633">
        <f t="shared" si="4"/>
        <v>-0.23060069549169759</v>
      </c>
      <c r="Q37" s="585">
        <f t="shared" si="113"/>
        <v>223.51998072209994</v>
      </c>
      <c r="R37" s="629">
        <f t="shared" si="79"/>
        <v>3.1938096325298515</v>
      </c>
      <c r="S37" s="634">
        <f t="shared" si="80"/>
        <v>-0.23060069549169759</v>
      </c>
      <c r="T37" s="635">
        <f t="shared" si="81"/>
        <v>-2.2389675373317135</v>
      </c>
      <c r="U37" s="629">
        <f t="shared" si="82"/>
        <v>2.2775961748332887</v>
      </c>
      <c r="V37" s="636">
        <f t="shared" si="114"/>
        <v>-0.23060069549169759</v>
      </c>
      <c r="W37" s="585">
        <f t="shared" si="224"/>
        <v>134.50998057916166</v>
      </c>
      <c r="X37" s="629">
        <f t="shared" si="83"/>
        <v>3.1938096325298515</v>
      </c>
      <c r="Y37" s="630">
        <f t="shared" si="223"/>
        <v>-0.23060069549169759</v>
      </c>
      <c r="Z37" s="632">
        <f t="shared" si="6"/>
        <v>-0.53525783175777686</v>
      </c>
      <c r="AA37" s="629">
        <f t="shared" si="7"/>
        <v>0.81818109158688579</v>
      </c>
      <c r="AB37" s="629">
        <f t="shared" si="8"/>
        <v>-0.20994941036272438</v>
      </c>
      <c r="AC37" s="636">
        <f t="shared" si="84"/>
        <v>1</v>
      </c>
      <c r="AD37" s="637">
        <f t="shared" si="115"/>
        <v>-0.53525783175777686</v>
      </c>
      <c r="AE37" s="629">
        <f t="shared" si="85"/>
        <v>0.81818109158688579</v>
      </c>
      <c r="AF37" s="633">
        <f t="shared" si="86"/>
        <v>-0.20994941036272438</v>
      </c>
      <c r="AG37" s="602">
        <f t="shared" si="87"/>
        <v>75.608132879222026</v>
      </c>
      <c r="AH37" s="603">
        <f t="shared" si="88"/>
        <v>122.3613986162883</v>
      </c>
      <c r="AI37" s="585">
        <f t="shared" si="89"/>
        <v>-77.880612419717821</v>
      </c>
      <c r="AJ37" s="586">
        <f t="shared" si="90"/>
        <v>-146.80710394278054</v>
      </c>
      <c r="AK37" s="635">
        <f t="shared" si="211"/>
        <v>0.96187370840167019</v>
      </c>
      <c r="AL37" s="629">
        <f t="shared" si="91"/>
        <v>-0.1752718293792917</v>
      </c>
      <c r="AM37" s="634">
        <f t="shared" si="92"/>
        <v>-0.20994941036272438</v>
      </c>
      <c r="AN37" s="581">
        <f t="shared" si="93"/>
        <v>-39.856103902438896</v>
      </c>
      <c r="AO37" s="582">
        <f t="shared" si="94"/>
        <v>15.872286599019725</v>
      </c>
      <c r="AP37" s="585">
        <f t="shared" si="95"/>
        <v>-10.327084664880493</v>
      </c>
      <c r="AQ37" s="586">
        <f t="shared" si="9"/>
        <v>0.71375847796426828</v>
      </c>
      <c r="AS37" s="52">
        <f t="shared" si="116"/>
        <v>-225.49001942083834</v>
      </c>
      <c r="AT37" s="72">
        <f t="shared" si="10"/>
        <v>-7.3322904326489219E-2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4.1150000000000002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-2.814620434972551</v>
      </c>
      <c r="C38" s="708">
        <v>-2.5719021720689845</v>
      </c>
      <c r="D38" s="709">
        <v>-0.76150229669092684</v>
      </c>
      <c r="E38" s="710">
        <v>0.39629702669949535</v>
      </c>
      <c r="F38" s="708">
        <v>-0.90095076670283136</v>
      </c>
      <c r="G38" s="711">
        <v>0.17673817529532163</v>
      </c>
      <c r="H38" s="710">
        <v>0.314</v>
      </c>
      <c r="I38" s="708">
        <v>0.52</v>
      </c>
      <c r="J38" s="570">
        <v>4.12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4.12</v>
      </c>
      <c r="N38" s="632">
        <f t="shared" si="2"/>
        <v>-2.814620434972551</v>
      </c>
      <c r="O38" s="629">
        <f t="shared" si="3"/>
        <v>-2.5719021720689845</v>
      </c>
      <c r="P38" s="633">
        <f t="shared" si="4"/>
        <v>-0.76150229669092684</v>
      </c>
      <c r="Q38" s="585">
        <f t="shared" si="113"/>
        <v>222.41998088092026</v>
      </c>
      <c r="R38" s="629">
        <f t="shared" si="79"/>
        <v>3.8127114991378819</v>
      </c>
      <c r="S38" s="634">
        <f t="shared" si="80"/>
        <v>-0.76150229669092684</v>
      </c>
      <c r="T38" s="635">
        <f t="shared" si="81"/>
        <v>-2.6201489768320863</v>
      </c>
      <c r="U38" s="629">
        <f t="shared" si="82"/>
        <v>2.7697632236102798</v>
      </c>
      <c r="V38" s="636">
        <f t="shared" si="114"/>
        <v>-0.76150229669092684</v>
      </c>
      <c r="W38" s="585">
        <f t="shared" si="224"/>
        <v>133.40998073798198</v>
      </c>
      <c r="X38" s="629">
        <f t="shared" si="83"/>
        <v>3.8127114991378819</v>
      </c>
      <c r="Y38" s="630">
        <f t="shared" si="223"/>
        <v>-0.76150229669092684</v>
      </c>
      <c r="Z38" s="632">
        <f t="shared" si="6"/>
        <v>-0.39629702669949535</v>
      </c>
      <c r="AA38" s="629">
        <f t="shared" si="7"/>
        <v>0.90095076670283136</v>
      </c>
      <c r="AB38" s="629">
        <f t="shared" si="8"/>
        <v>-0.17673817529532163</v>
      </c>
      <c r="AC38" s="636">
        <f t="shared" si="84"/>
        <v>1</v>
      </c>
      <c r="AD38" s="637">
        <f t="shared" si="115"/>
        <v>-0.39629702669949535</v>
      </c>
      <c r="AE38" s="629">
        <f t="shared" si="85"/>
        <v>0.90095076670283136</v>
      </c>
      <c r="AF38" s="633">
        <f t="shared" si="86"/>
        <v>-0.17673817529532163</v>
      </c>
      <c r="AG38" s="602">
        <f t="shared" si="87"/>
        <v>78.901306674158775</v>
      </c>
      <c r="AH38" s="603">
        <f t="shared" si="88"/>
        <v>113.34689087630578</v>
      </c>
      <c r="AI38" s="585">
        <f t="shared" si="89"/>
        <v>-79.820174937241475</v>
      </c>
      <c r="AJ38" s="586">
        <f t="shared" si="90"/>
        <v>-156.25696923772892</v>
      </c>
      <c r="AK38" s="635">
        <f t="shared" si="211"/>
        <v>0.93242607614626771</v>
      </c>
      <c r="AL38" s="629">
        <f t="shared" si="91"/>
        <v>-0.31519078336105377</v>
      </c>
      <c r="AM38" s="634">
        <f t="shared" si="92"/>
        <v>-0.17673817529532163</v>
      </c>
      <c r="AN38" s="581">
        <f t="shared" si="93"/>
        <v>-60.719170386897204</v>
      </c>
      <c r="AO38" s="582">
        <f t="shared" si="94"/>
        <v>21.183789652580103</v>
      </c>
      <c r="AP38" s="585">
        <f t="shared" si="95"/>
        <v>-18.676950118649199</v>
      </c>
      <c r="AQ38" s="586">
        <f t="shared" si="9"/>
        <v>0.59790620903987757</v>
      </c>
      <c r="AS38" s="52">
        <f t="shared" si="116"/>
        <v>-226.59001926201802</v>
      </c>
      <c r="AT38" s="72">
        <f t="shared" si="10"/>
        <v>-0.60346061674712148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4.12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-3.0495159541333159</v>
      </c>
      <c r="C39" s="708">
        <v>-2.7342515020071736</v>
      </c>
      <c r="D39" s="709">
        <v>-1.526104602731482</v>
      </c>
      <c r="E39" s="710">
        <v>0.23114527296000648</v>
      </c>
      <c r="F39" s="708">
        <v>-0.96724265508765028</v>
      </c>
      <c r="G39" s="711">
        <v>0.10494526653087875</v>
      </c>
      <c r="H39" s="710">
        <v>0.314</v>
      </c>
      <c r="I39" s="708">
        <v>0.52</v>
      </c>
      <c r="J39" s="570">
        <v>4.125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4.125</v>
      </c>
      <c r="N39" s="632">
        <f t="shared" si="2"/>
        <v>-3.0495159541333159</v>
      </c>
      <c r="O39" s="629">
        <f t="shared" si="3"/>
        <v>-2.7342515020071736</v>
      </c>
      <c r="P39" s="633">
        <f t="shared" si="4"/>
        <v>-1.526104602731482</v>
      </c>
      <c r="Q39" s="585">
        <f t="shared" si="113"/>
        <v>221.87998095888662</v>
      </c>
      <c r="R39" s="629">
        <f t="shared" si="79"/>
        <v>4.0958123529700563</v>
      </c>
      <c r="S39" s="634">
        <f t="shared" si="80"/>
        <v>-1.526104602731482</v>
      </c>
      <c r="T39" s="635">
        <f t="shared" si="81"/>
        <v>-2.7865325728993602</v>
      </c>
      <c r="U39" s="629">
        <f t="shared" si="82"/>
        <v>3.0018186239200033</v>
      </c>
      <c r="V39" s="636">
        <f t="shared" si="114"/>
        <v>-1.526104602731482</v>
      </c>
      <c r="W39" s="585">
        <f t="shared" si="224"/>
        <v>132.86998081594834</v>
      </c>
      <c r="X39" s="629">
        <f t="shared" si="83"/>
        <v>4.0958123529700563</v>
      </c>
      <c r="Y39" s="630">
        <f t="shared" si="223"/>
        <v>-1.526104602731482</v>
      </c>
      <c r="Z39" s="632">
        <f t="shared" si="6"/>
        <v>-0.23114527296000648</v>
      </c>
      <c r="AA39" s="629">
        <f t="shared" si="7"/>
        <v>0.96724265508765028</v>
      </c>
      <c r="AB39" s="629">
        <f t="shared" si="8"/>
        <v>-0.10494526653087875</v>
      </c>
      <c r="AC39" s="636">
        <f t="shared" si="84"/>
        <v>1</v>
      </c>
      <c r="AD39" s="637">
        <f t="shared" si="115"/>
        <v>-0.23114527296000648</v>
      </c>
      <c r="AE39" s="629">
        <f t="shared" si="85"/>
        <v>0.96724265508765028</v>
      </c>
      <c r="AF39" s="633">
        <f t="shared" si="86"/>
        <v>-0.10494526653087875</v>
      </c>
      <c r="AG39" s="602">
        <f t="shared" si="87"/>
        <v>83.80766435439466</v>
      </c>
      <c r="AH39" s="603">
        <f t="shared" si="88"/>
        <v>103.36450812396406</v>
      </c>
      <c r="AI39" s="585">
        <f t="shared" si="89"/>
        <v>-83.975986858938612</v>
      </c>
      <c r="AJ39" s="586">
        <f t="shared" si="90"/>
        <v>-166.55989561216987</v>
      </c>
      <c r="AK39" s="635">
        <f t="shared" si="211"/>
        <v>0.8744617451489477</v>
      </c>
      <c r="AL39" s="629">
        <f t="shared" si="91"/>
        <v>-0.47360653215915416</v>
      </c>
      <c r="AM39" s="634">
        <f t="shared" si="92"/>
        <v>-0.10494526653087875</v>
      </c>
      <c r="AN39" s="581">
        <f t="shared" si="93"/>
        <v>-77.505854877812922</v>
      </c>
      <c r="AO39" s="582">
        <f t="shared" si="94"/>
        <v>29.018662783829996</v>
      </c>
      <c r="AP39" s="585">
        <f t="shared" si="95"/>
        <v>-28.439876571056494</v>
      </c>
      <c r="AQ39" s="586">
        <f t="shared" si="9"/>
        <v>0.55658187581069585</v>
      </c>
      <c r="AS39" s="52">
        <f t="shared" si="116"/>
        <v>-227.13001918405166</v>
      </c>
      <c r="AT39" s="72">
        <f t="shared" si="10"/>
        <v>-1.3676879228418199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4.125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-3.1272297191000527</v>
      </c>
      <c r="C40" s="708">
        <v>-2.7862581829381337</v>
      </c>
      <c r="D40" s="709">
        <v>-2.2548068004973105</v>
      </c>
      <c r="E40" s="710">
        <v>0.11667049508498985</v>
      </c>
      <c r="F40" s="708">
        <v>-0.99317067796859904</v>
      </c>
      <c r="G40" s="711">
        <v>1.3008419303862608E-7</v>
      </c>
      <c r="H40" s="710">
        <v>0.26600000000000001</v>
      </c>
      <c r="I40" s="708">
        <v>0.52</v>
      </c>
      <c r="J40" s="570">
        <v>4.13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4.13</v>
      </c>
      <c r="N40" s="632">
        <f t="shared" si="2"/>
        <v>-3.1272297191000527</v>
      </c>
      <c r="O40" s="629">
        <f t="shared" si="3"/>
        <v>-2.7862581829381337</v>
      </c>
      <c r="P40" s="633">
        <f t="shared" si="4"/>
        <v>-2.2548068004973105</v>
      </c>
      <c r="Q40" s="585">
        <f t="shared" si="113"/>
        <v>221.6999809848754</v>
      </c>
      <c r="R40" s="629">
        <f t="shared" si="79"/>
        <v>4.1884126322524979</v>
      </c>
      <c r="S40" s="634">
        <f t="shared" si="80"/>
        <v>-2.2548068004973105</v>
      </c>
      <c r="T40" s="635">
        <f t="shared" si="81"/>
        <v>-2.8398742210371455</v>
      </c>
      <c r="U40" s="629">
        <f t="shared" si="82"/>
        <v>3.0786222221475894</v>
      </c>
      <c r="V40" s="636">
        <f t="shared" si="114"/>
        <v>-2.2548068004973105</v>
      </c>
      <c r="W40" s="585">
        <f t="shared" si="224"/>
        <v>132.68998084193709</v>
      </c>
      <c r="X40" s="629">
        <f t="shared" si="83"/>
        <v>4.1884126322524979</v>
      </c>
      <c r="Y40" s="630">
        <f t="shared" si="223"/>
        <v>-2.2548068004973105</v>
      </c>
      <c r="Z40" s="632">
        <f t="shared" si="6"/>
        <v>-0.11667049508498985</v>
      </c>
      <c r="AA40" s="629">
        <f t="shared" si="7"/>
        <v>0.99317067796859904</v>
      </c>
      <c r="AB40" s="629">
        <f t="shared" si="8"/>
        <v>-1.3008419303862608E-7</v>
      </c>
      <c r="AC40" s="636">
        <f t="shared" si="84"/>
        <v>1</v>
      </c>
      <c r="AD40" s="637">
        <f t="shared" si="115"/>
        <v>-0.11667049508498985</v>
      </c>
      <c r="AE40" s="629">
        <f t="shared" si="85"/>
        <v>0.99317067796859904</v>
      </c>
      <c r="AF40" s="633">
        <f t="shared" si="86"/>
        <v>-1.3008419303862608E-7</v>
      </c>
      <c r="AG40" s="602">
        <f t="shared" si="87"/>
        <v>89.999992495473933</v>
      </c>
      <c r="AH40" s="603">
        <f t="shared" si="88"/>
        <v>96.69998603825006</v>
      </c>
      <c r="AI40" s="585">
        <f t="shared" si="89"/>
        <v>-89.999992546724755</v>
      </c>
      <c r="AJ40" s="586">
        <f t="shared" si="90"/>
        <v>-173.30001396174987</v>
      </c>
      <c r="AK40" s="635">
        <f t="shared" si="211"/>
        <v>0.81915209487729213</v>
      </c>
      <c r="AL40" s="629">
        <f t="shared" si="91"/>
        <v>-0.57357636410344426</v>
      </c>
      <c r="AM40" s="634">
        <f t="shared" si="92"/>
        <v>-1.3008419303862608E-7</v>
      </c>
      <c r="AN40" s="581">
        <f t="shared" si="93"/>
        <v>-89.999987005609526</v>
      </c>
      <c r="AO40" s="582">
        <f t="shared" si="94"/>
        <v>34.999994946625939</v>
      </c>
      <c r="AP40" s="585">
        <f t="shared" si="95"/>
        <v>-34.999994946625243</v>
      </c>
      <c r="AQ40" s="586">
        <f t="shared" si="9"/>
        <v>0.54427733323535543</v>
      </c>
      <c r="AS40" s="52">
        <f t="shared" si="116"/>
        <v>-227.31001915806291</v>
      </c>
      <c r="AT40" s="72">
        <f t="shared" si="10"/>
        <v>-2.0962651206256964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4.13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1313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-2.9480981596962934</v>
      </c>
      <c r="C41" s="708">
        <v>-1.2635554897482522</v>
      </c>
      <c r="D41" s="709">
        <v>-0.20662114712294904</v>
      </c>
      <c r="E41" s="710">
        <v>-0.31903117405629972</v>
      </c>
      <c r="F41" s="708">
        <v>-0.13673707488041045</v>
      </c>
      <c r="G41" s="711">
        <v>0.93782838639775035</v>
      </c>
      <c r="H41" s="710">
        <v>0.26250000000000001</v>
      </c>
      <c r="I41" s="708">
        <v>0.40699999999999997</v>
      </c>
      <c r="J41" s="570">
        <v>4.2149999999999999</v>
      </c>
      <c r="K41" s="865" t="str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Inactive</v>
      </c>
      <c r="L41" s="320"/>
      <c r="M41" s="168">
        <f t="shared" ref="M41:M72" si="239">IF(J41="","",VALUE(J41))</f>
        <v>4.2149999999999999</v>
      </c>
      <c r="N41" s="632">
        <f t="shared" ref="N41:N72" si="240">IF(M41="","",B41)</f>
        <v>-2.9480981596962934</v>
      </c>
      <c r="O41" s="629">
        <f t="shared" ref="O41:O72" si="241">IF(M41="","",C41)</f>
        <v>-1.2635554897482522</v>
      </c>
      <c r="P41" s="633">
        <f t="shared" ref="P41:P72" si="242">IF(M41="","",D41)</f>
        <v>-0.20662114712294904</v>
      </c>
      <c r="Q41" s="585">
        <f t="shared" si="113"/>
        <v>203.19998365594455</v>
      </c>
      <c r="R41" s="629">
        <f t="shared" si="79"/>
        <v>3.2074686646758712</v>
      </c>
      <c r="S41" s="634">
        <f t="shared" si="80"/>
        <v>-0.20662114712294904</v>
      </c>
      <c r="T41" s="635">
        <f t="shared" si="81"/>
        <v>-1.314303811090757</v>
      </c>
      <c r="U41" s="629">
        <f t="shared" si="82"/>
        <v>2.9258265032345867</v>
      </c>
      <c r="V41" s="636">
        <f t="shared" si="114"/>
        <v>-0.20662114712294904</v>
      </c>
      <c r="W41" s="585">
        <f t="shared" si="224"/>
        <v>114.18998351300625</v>
      </c>
      <c r="X41" s="629">
        <f t="shared" si="83"/>
        <v>3.2074686646758712</v>
      </c>
      <c r="Y41" s="630">
        <f t="shared" si="223"/>
        <v>-0.20662114712294904</v>
      </c>
      <c r="Z41" s="632">
        <f t="shared" ref="Z41:Z72" si="243">IF(M41="","",-E41)</f>
        <v>0.31903117405629972</v>
      </c>
      <c r="AA41" s="629">
        <f t="shared" ref="AA41:AA72" si="244">IF(M41="","",-F41)</f>
        <v>0.13673707488041045</v>
      </c>
      <c r="AB41" s="629">
        <f t="shared" ref="AB41:AB72" si="245">IF(M41="","",-G41)</f>
        <v>-0.93782838639775035</v>
      </c>
      <c r="AC41" s="636">
        <f t="shared" si="84"/>
        <v>1</v>
      </c>
      <c r="AD41" s="637">
        <f t="shared" si="115"/>
        <v>0.31903117405629972</v>
      </c>
      <c r="AE41" s="629">
        <f t="shared" si="85"/>
        <v>0.13673707488041045</v>
      </c>
      <c r="AF41" s="633">
        <f t="shared" si="86"/>
        <v>-0.93782838639775035</v>
      </c>
      <c r="AG41" s="602">
        <f t="shared" si="87"/>
        <v>8.2953763408259196</v>
      </c>
      <c r="AH41" s="603">
        <f t="shared" si="88"/>
        <v>71.395655478870268</v>
      </c>
      <c r="AI41" s="585">
        <f t="shared" si="89"/>
        <v>-20.309997067603195</v>
      </c>
      <c r="AJ41" s="586">
        <f t="shared" si="90"/>
        <v>113.20002109304319</v>
      </c>
      <c r="AK41" s="635">
        <f t="shared" si="211"/>
        <v>2.2679489664056973E-7</v>
      </c>
      <c r="AL41" s="629">
        <f t="shared" si="91"/>
        <v>-0.34709929078945195</v>
      </c>
      <c r="AM41" s="634">
        <f t="shared" si="92"/>
        <v>-0.93782838639775035</v>
      </c>
      <c r="AN41" s="581">
        <f t="shared" si="93"/>
        <v>-20.30999706759923</v>
      </c>
      <c r="AO41" s="582">
        <f t="shared" si="94"/>
        <v>0</v>
      </c>
      <c r="AP41" s="585">
        <f t="shared" si="95"/>
        <v>-89.999962562901345</v>
      </c>
      <c r="AQ41" s="586">
        <f t="shared" ref="AQ41:AQ72" si="246">IF(M41="","",DEGREES(ATAN(($AS$5*SIN(RADIANS(90)))/(($X41*2*PI())-($AS$5*COS(RADIANS(90)))))))</f>
        <v>0.71071924396518049</v>
      </c>
      <c r="AS41" s="52">
        <f t="shared" si="116"/>
        <v>-245.81001648699373</v>
      </c>
      <c r="AT41" s="72">
        <f t="shared" ref="AT41:AT72" si="247">IF(M41="","",Y41+(((AS41-$AS$9)*$AS$6)*-1))</f>
        <v>-3.5232246884021629E-2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Nose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4.2149999999999999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4.1150000000000002</v>
      </c>
      <c r="II41" s="734" cm="1">
        <f t="array" ref="II41">IFERROR(ROUND(VALUE(IF($IH41&lt;1,$IH41+LARGE((IF($M$9:$M$150="",0,$M$9:$M$150)-MOD(IF($M$9:$M$150="",0,$M$9:$M$150),1)),1),$IH41)),4),"")</f>
        <v>4.1150000000000002</v>
      </c>
      <c r="IJ41" s="533">
        <f t="shared" si="112"/>
        <v>1613</v>
      </c>
      <c r="IK41" s="533" t="str">
        <f t="shared" ref="IK41:IK72" si="382">IF(ISNUMBER($II41),INDEX($K$9:$K$150,MATCH($IG41,$M$9:$M$150,0)),"")</f>
        <v>Inactive</v>
      </c>
      <c r="IL41" s="727">
        <f t="shared" si="225"/>
        <v>20.319997066155409</v>
      </c>
      <c r="IM41" s="759">
        <v>1.2152579012420801E-2</v>
      </c>
      <c r="IN41" s="5">
        <f t="shared" si="226"/>
        <v>0.22</v>
      </c>
      <c r="IO41" s="771">
        <v>110</v>
      </c>
      <c r="IP41" s="9">
        <f t="shared" si="227"/>
        <v>-3.1938096325298515</v>
      </c>
      <c r="IQ41" s="5">
        <f t="shared" si="228"/>
        <v>-0.23060069549169759</v>
      </c>
      <c r="IR41" s="5">
        <f t="shared" ref="IR41:IR72" si="383">IF(ISNUMBER($II41),INDEX($H$9:$H$150,MATCH($II41,$M$9:$M$150,0)),"")</f>
        <v>0.314</v>
      </c>
      <c r="IS41" s="5">
        <f t="shared" si="229"/>
        <v>0.30202834443812443</v>
      </c>
      <c r="IT41" s="727">
        <f t="shared" si="230"/>
        <v>39.856103902438896</v>
      </c>
      <c r="IU41" s="9">
        <f t="shared" si="231"/>
        <v>-3.2074686646758712</v>
      </c>
      <c r="IV41" s="5">
        <f t="shared" si="232"/>
        <v>-0.20662114712294904</v>
      </c>
      <c r="IW41" s="5">
        <f t="shared" ref="IW41:IW72" si="384">IF(ISNUMBER($II41),$H41,"")</f>
        <v>0.26250000000000001</v>
      </c>
      <c r="IX41" s="5">
        <f t="shared" si="233"/>
        <v>0.26250000000000001</v>
      </c>
      <c r="IY41" s="762">
        <f t="shared" si="234"/>
        <v>20.30999706759923</v>
      </c>
    </row>
    <row r="42" spans="1:267" ht="15" customHeight="1" x14ac:dyDescent="0.25">
      <c r="A42" s="79"/>
      <c r="B42" s="707">
        <v>-3.4873252463641973</v>
      </c>
      <c r="C42" s="708">
        <v>-1.5907348186360606</v>
      </c>
      <c r="D42" s="709">
        <v>-0.7492449716052102</v>
      </c>
      <c r="E42" s="710">
        <v>-0.59244662747113852</v>
      </c>
      <c r="F42" s="708">
        <v>-0.27024331865483803</v>
      </c>
      <c r="G42" s="711">
        <v>0.75893052535821337</v>
      </c>
      <c r="H42" s="710">
        <v>0.26250000000000001</v>
      </c>
      <c r="I42" s="708">
        <v>0.40699999999999997</v>
      </c>
      <c r="J42" s="570">
        <v>4.22</v>
      </c>
      <c r="K42" s="865" t="str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Inactive</v>
      </c>
      <c r="L42" s="320"/>
      <c r="M42" s="168">
        <f t="shared" si="239"/>
        <v>4.22</v>
      </c>
      <c r="N42" s="632">
        <f t="shared" si="240"/>
        <v>-3.4873252463641973</v>
      </c>
      <c r="O42" s="629">
        <f t="shared" si="241"/>
        <v>-1.5907348186360606</v>
      </c>
      <c r="P42" s="633">
        <f t="shared" si="242"/>
        <v>-0.7492449716052102</v>
      </c>
      <c r="Q42" s="585">
        <f t="shared" si="113"/>
        <v>204.51998346536016</v>
      </c>
      <c r="R42" s="629">
        <f t="shared" ref="R42:R47" si="385">IF(M42="","",SQRT(N42^2+O42^2))</f>
        <v>3.8329981264214323</v>
      </c>
      <c r="S42" s="634">
        <f t="shared" ref="S42:S47" si="386">IF(M42="","",P42)</f>
        <v>-0.7492449716052102</v>
      </c>
      <c r="T42" s="635">
        <f t="shared" ref="T42:T47" si="387">IF(M42="","",X42*COS(RADIANS(W42)))</f>
        <v>-1.6507510108520043</v>
      </c>
      <c r="U42" s="629">
        <f t="shared" ref="U42:U47" si="388">IF(M42="","",X42*SIN(RADIANS(W42)))</f>
        <v>3.4593201264585645</v>
      </c>
      <c r="V42" s="636">
        <f t="shared" ref="V42:V47" si="389">IF(M42="","",Y42)</f>
        <v>-0.7492449716052102</v>
      </c>
      <c r="W42" s="585">
        <f t="shared" si="224"/>
        <v>115.50998332242186</v>
      </c>
      <c r="X42" s="629">
        <f t="shared" ref="X42:X47" si="390">IF(M42="","",R42)</f>
        <v>3.8329981264214323</v>
      </c>
      <c r="Y42" s="630">
        <f t="shared" si="223"/>
        <v>-0.7492449716052102</v>
      </c>
      <c r="Z42" s="632">
        <f t="shared" si="243"/>
        <v>0.59244662747113852</v>
      </c>
      <c r="AA42" s="629">
        <f t="shared" si="244"/>
        <v>0.27024331865483803</v>
      </c>
      <c r="AB42" s="629">
        <f t="shared" si="245"/>
        <v>-0.75893052535821337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0.59244662747113852</v>
      </c>
      <c r="AE42" s="629">
        <f t="shared" ref="AE42:AE47" si="393">IF(M42="","",AA42*(1/SQRT(Z42^2+AA42^2+AB42^2)))</f>
        <v>0.27024331865483803</v>
      </c>
      <c r="AF42" s="633">
        <f t="shared" ref="AF42:AF47" si="394">IF(M42="","",AB42*(1/SQRT(Z42^2+AA42^2+AB42^2)))</f>
        <v>-0.75893052535821337</v>
      </c>
      <c r="AG42" s="602">
        <f t="shared" ref="AG42:AG47" si="395">IF(M42="","",DEGREES(ATAN2(-AF42,AE42)))</f>
        <v>19.600021076141175</v>
      </c>
      <c r="AH42" s="603">
        <f t="shared" ref="AH42:AH47" si="396">IF(M42="","",DEGREES(ACOS(AD42)))</f>
        <v>53.669178785527016</v>
      </c>
      <c r="AI42" s="585">
        <f t="shared" ref="AI42:AI47" si="397">IF(M42="","",DEGREES(-ACOS(-AF42)))</f>
        <v>-40.629994133756362</v>
      </c>
      <c r="AJ42" s="586">
        <f t="shared" ref="AJ42:AJ47" si="398">IF(M42="","",DEGREES(ATAN2(-AE42,AD42)))</f>
        <v>114.52000342076101</v>
      </c>
      <c r="AK42" s="635">
        <f t="shared" ref="AK42:AK47" si="399">IF(M42="","",(COS(RADIANS((90-$Q$8)-W42))*AD42)+(-SIN(RADIANS((90-$Q$8)-W42))*AE42))</f>
        <v>2.267948964462807E-7</v>
      </c>
      <c r="AL42" s="629">
        <f t="shared" ref="AL42:AL47" si="400">IF(M42="","",(SIN(RADIANS((90-$Q$8)-W42))*AD42)+(COS(RADIANS((90-$Q$8)-W42))*AE42))</f>
        <v>-0.65117160386449191</v>
      </c>
      <c r="AM42" s="634">
        <f t="shared" ref="AM42:AM47" si="401">IF(M42="","",AF42)</f>
        <v>-0.75893052535821337</v>
      </c>
      <c r="AN42" s="581">
        <f t="shared" ref="AN42:AN47" si="402">IF(M42="","",DEGREES(ATAN2(-AM42,AL42)))</f>
        <v>-40.629994133754643</v>
      </c>
      <c r="AO42" s="582">
        <f t="shared" si="94"/>
        <v>0</v>
      </c>
      <c r="AP42" s="585">
        <f t="shared" ref="AP42:AP47" si="403">IF(M42="","",DEGREES(ATAN2(AK42,AL42)))</f>
        <v>-89.999980044599141</v>
      </c>
      <c r="AQ42" s="586">
        <f t="shared" si="246"/>
        <v>0.59474194273376357</v>
      </c>
      <c r="AS42" s="52">
        <f t="shared" si="116"/>
        <v>-244.49001667757813</v>
      </c>
      <c r="AT42" s="72">
        <f t="shared" si="247"/>
        <v>-0.57877273790059913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Taper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4.22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4.12</v>
      </c>
      <c r="II42" s="734" cm="1">
        <f t="array" ref="II42">IFERROR(ROUND(VALUE(IF($IH42&lt;1,$IH42+LARGE((IF($M$9:$M$150="",0,$M$9:$M$150)-MOD(IF($M$9:$M$150="",0,$M$9:$M$150),1)),1),$IH42)),4),"")</f>
        <v>4.12</v>
      </c>
      <c r="IJ42" s="533">
        <f t="shared" si="112"/>
        <v>1613</v>
      </c>
      <c r="IK42" s="533" t="str">
        <f t="shared" si="382"/>
        <v>Inactive</v>
      </c>
      <c r="IL42" s="727">
        <f t="shared" si="225"/>
        <v>17.899997415560122</v>
      </c>
      <c r="IM42" s="759">
        <v>6.5950189729192497E-3</v>
      </c>
      <c r="IN42" s="5">
        <f t="shared" si="226"/>
        <v>0.2</v>
      </c>
      <c r="IO42" s="771">
        <v>100</v>
      </c>
      <c r="IP42" s="9">
        <f t="shared" si="227"/>
        <v>-3.8127114991378819</v>
      </c>
      <c r="IQ42" s="5">
        <f t="shared" si="228"/>
        <v>-0.76150229669092684</v>
      </c>
      <c r="IR42" s="5">
        <f t="shared" si="383"/>
        <v>0.314</v>
      </c>
      <c r="IS42" s="5">
        <f t="shared" si="229"/>
        <v>0.29278178790992804</v>
      </c>
      <c r="IT42" s="727">
        <f t="shared" si="230"/>
        <v>60.719170386897204</v>
      </c>
      <c r="IU42" s="9">
        <f t="shared" si="231"/>
        <v>-3.8329981264214323</v>
      </c>
      <c r="IV42" s="5">
        <f t="shared" si="232"/>
        <v>-0.7492449716052102</v>
      </c>
      <c r="IW42" s="5">
        <f t="shared" si="384"/>
        <v>0.26250000000000001</v>
      </c>
      <c r="IX42" s="5">
        <f t="shared" si="233"/>
        <v>0.26250000000000001</v>
      </c>
      <c r="IY42" s="762">
        <f t="shared" si="234"/>
        <v>40.629994133754643</v>
      </c>
    </row>
    <row r="43" spans="1:267" ht="15" customHeight="1" x14ac:dyDescent="0.25">
      <c r="A43" s="79"/>
      <c r="B43" s="707">
        <v>-2.0102601709413994</v>
      </c>
      <c r="C43" s="708">
        <v>0.94595703333561554</v>
      </c>
      <c r="D43" s="709">
        <v>-0.10490031637935419</v>
      </c>
      <c r="E43" s="710">
        <v>-0.41476675447269679</v>
      </c>
      <c r="F43" s="708">
        <v>-0.87178849328581287</v>
      </c>
      <c r="G43" s="711">
        <v>0.26067865727488704</v>
      </c>
      <c r="H43" s="710">
        <v>0.33400000000000002</v>
      </c>
      <c r="I43" s="708">
        <v>0.52</v>
      </c>
      <c r="J43" s="570">
        <v>5.109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1713</v>
      </c>
      <c r="L43" s="320"/>
      <c r="M43" s="168">
        <f t="shared" si="239"/>
        <v>5.109</v>
      </c>
      <c r="N43" s="632">
        <f t="shared" si="240"/>
        <v>-2.0102601709413994</v>
      </c>
      <c r="O43" s="629">
        <f t="shared" si="241"/>
        <v>0.94595703333561554</v>
      </c>
      <c r="P43" s="633">
        <f t="shared" si="242"/>
        <v>-0.10490031637935419</v>
      </c>
      <c r="Q43" s="585">
        <f t="shared" si="113"/>
        <v>154.79999064403893</v>
      </c>
      <c r="R43" s="629">
        <f t="shared" si="385"/>
        <v>2.2217067006674087</v>
      </c>
      <c r="S43" s="634">
        <f t="shared" si="386"/>
        <v>-0.10490031637935419</v>
      </c>
      <c r="T43" s="635">
        <f t="shared" si="387"/>
        <v>0.91108275768626013</v>
      </c>
      <c r="U43" s="629">
        <f t="shared" si="388"/>
        <v>2.0263042398507838</v>
      </c>
      <c r="V43" s="636">
        <f t="shared" si="389"/>
        <v>-0.10490031637935419</v>
      </c>
      <c r="W43" s="585">
        <f t="shared" si="224"/>
        <v>65.789990501100633</v>
      </c>
      <c r="X43" s="629">
        <f t="shared" si="390"/>
        <v>2.2217067006674087</v>
      </c>
      <c r="Y43" s="630">
        <f t="shared" si="223"/>
        <v>-0.10490031637935419</v>
      </c>
      <c r="Z43" s="632">
        <f t="shared" si="243"/>
        <v>0.41476675447269679</v>
      </c>
      <c r="AA43" s="629">
        <f t="shared" si="244"/>
        <v>0.87178849328581287</v>
      </c>
      <c r="AB43" s="629">
        <f t="shared" si="245"/>
        <v>-0.26067865727488704</v>
      </c>
      <c r="AC43" s="636">
        <f t="shared" si="391"/>
        <v>1</v>
      </c>
      <c r="AD43" s="637">
        <f t="shared" si="392"/>
        <v>0.41476675447269679</v>
      </c>
      <c r="AE43" s="629">
        <f t="shared" si="393"/>
        <v>0.87178849328581287</v>
      </c>
      <c r="AF43" s="633">
        <f t="shared" si="394"/>
        <v>-0.26067865727488704</v>
      </c>
      <c r="AG43" s="602">
        <f t="shared" si="395"/>
        <v>73.35249672695457</v>
      </c>
      <c r="AH43" s="603">
        <f t="shared" si="396"/>
        <v>65.495371237762654</v>
      </c>
      <c r="AI43" s="585">
        <f t="shared" si="397"/>
        <v>-74.889664932808145</v>
      </c>
      <c r="AJ43" s="586">
        <f t="shared" si="398"/>
        <v>154.55651392914473</v>
      </c>
      <c r="AK43" s="635">
        <f t="shared" si="399"/>
        <v>0.96541690830764892</v>
      </c>
      <c r="AL43" s="629">
        <f t="shared" si="400"/>
        <v>-4.1025351994399828E-3</v>
      </c>
      <c r="AM43" s="634">
        <f t="shared" si="401"/>
        <v>-0.26067865727488704</v>
      </c>
      <c r="AN43" s="581">
        <f t="shared" si="402"/>
        <v>-0.90164093625938768</v>
      </c>
      <c r="AO43" s="582">
        <f t="shared" si="94"/>
        <v>15.112250857812397</v>
      </c>
      <c r="AP43" s="585">
        <f t="shared" si="403"/>
        <v>-0.24347671489419237</v>
      </c>
      <c r="AQ43" s="586">
        <f t="shared" si="246"/>
        <v>1.0260053446837327</v>
      </c>
      <c r="AS43" s="52">
        <f t="shared" ref="AS43:AS74" si="406">IF(G43="","",IF(AND(W43&lt;(AS42+180),W43&gt;(AS42-180)),W43,IF(W43&gt;(AS42+180),W43-360,IF(W43&lt;(AS42-180),W43+360,"Error"))))</f>
        <v>-294.21000949889935</v>
      </c>
      <c r="AT43" s="72">
        <f t="shared" si="247"/>
        <v>0.10009969011784099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5.109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1713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-2.7290334842512416</v>
      </c>
      <c r="C44" s="708">
        <v>1.3446268485355721</v>
      </c>
      <c r="D44" s="709">
        <v>-0.16580050005430819</v>
      </c>
      <c r="E44" s="710">
        <v>-0.56164996448692717</v>
      </c>
      <c r="F44" s="708">
        <v>-0.79636257400775012</v>
      </c>
      <c r="G44" s="711">
        <v>0.22440135496824509</v>
      </c>
      <c r="H44" s="710">
        <v>0.314</v>
      </c>
      <c r="I44" s="708">
        <v>0.52</v>
      </c>
      <c r="J44" s="570">
        <v>5.1139999999999999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5.1139999999999999</v>
      </c>
      <c r="N44" s="632">
        <f t="shared" si="240"/>
        <v>-2.7290334842512416</v>
      </c>
      <c r="O44" s="629">
        <f t="shared" si="241"/>
        <v>1.3446268485355721</v>
      </c>
      <c r="P44" s="633">
        <f t="shared" si="242"/>
        <v>-0.16580050005430819</v>
      </c>
      <c r="Q44" s="585">
        <f t="shared" si="113"/>
        <v>153.76999079275251</v>
      </c>
      <c r="R44" s="629">
        <f t="shared" si="385"/>
        <v>3.0423091756044744</v>
      </c>
      <c r="S44" s="634">
        <f t="shared" si="386"/>
        <v>-0.16580050005430819</v>
      </c>
      <c r="T44" s="635">
        <f t="shared" si="387"/>
        <v>1.2972741703299251</v>
      </c>
      <c r="U44" s="629">
        <f t="shared" si="388"/>
        <v>2.7518584351237951</v>
      </c>
      <c r="V44" s="636">
        <f t="shared" si="389"/>
        <v>-0.16580050005430819</v>
      </c>
      <c r="W44" s="585">
        <f t="shared" si="224"/>
        <v>64.759990649814213</v>
      </c>
      <c r="X44" s="629">
        <f t="shared" si="390"/>
        <v>3.0423091756044744</v>
      </c>
      <c r="Y44" s="630">
        <f t="shared" si="223"/>
        <v>-0.16580050005430819</v>
      </c>
      <c r="Z44" s="632">
        <f t="shared" si="243"/>
        <v>0.56164996448692717</v>
      </c>
      <c r="AA44" s="629">
        <f t="shared" si="244"/>
        <v>0.79636257400775012</v>
      </c>
      <c r="AB44" s="629">
        <f t="shared" si="245"/>
        <v>-0.22440135496824509</v>
      </c>
      <c r="AC44" s="636">
        <f t="shared" si="391"/>
        <v>1</v>
      </c>
      <c r="AD44" s="637">
        <f t="shared" si="392"/>
        <v>0.56164996448692717</v>
      </c>
      <c r="AE44" s="629">
        <f t="shared" si="393"/>
        <v>0.79636257400775012</v>
      </c>
      <c r="AF44" s="633">
        <f t="shared" si="394"/>
        <v>-0.22440135496824509</v>
      </c>
      <c r="AG44" s="602">
        <f t="shared" si="395"/>
        <v>74.263071380686441</v>
      </c>
      <c r="AH44" s="603">
        <f t="shared" si="396"/>
        <v>55.83001924874025</v>
      </c>
      <c r="AI44" s="585">
        <f t="shared" si="397"/>
        <v>-77.032321811000003</v>
      </c>
      <c r="AJ44" s="586">
        <f t="shared" si="398"/>
        <v>144.80586305696707</v>
      </c>
      <c r="AK44" s="635">
        <f t="shared" si="399"/>
        <v>0.96259439220800647</v>
      </c>
      <c r="AL44" s="629">
        <f t="shared" si="400"/>
        <v>-0.15184224701351839</v>
      </c>
      <c r="AM44" s="634">
        <f t="shared" si="401"/>
        <v>-0.22440135496824509</v>
      </c>
      <c r="AN44" s="581">
        <f t="shared" si="402"/>
        <v>-34.084434433105805</v>
      </c>
      <c r="AO44" s="582">
        <f t="shared" si="94"/>
        <v>15.720600190779638</v>
      </c>
      <c r="AP44" s="585">
        <f t="shared" si="403"/>
        <v>-8.9641277357854445</v>
      </c>
      <c r="AQ44" s="586">
        <f t="shared" si="246"/>
        <v>0.74929815943676992</v>
      </c>
      <c r="AS44" s="52">
        <f t="shared" si="406"/>
        <v>-295.2400093501858</v>
      </c>
      <c r="AT44" s="72">
        <f t="shared" si="247"/>
        <v>3.9914784117391494E-2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5.1139999999999999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-3.2957008986067908</v>
      </c>
      <c r="C45" s="708">
        <v>1.7076000506361266</v>
      </c>
      <c r="D45" s="709">
        <v>-0.63120190370494156</v>
      </c>
      <c r="E45" s="710">
        <v>-0.68767616548462684</v>
      </c>
      <c r="F45" s="708">
        <v>-0.70103583383144841</v>
      </c>
      <c r="G45" s="711">
        <v>0.18881274085348751</v>
      </c>
      <c r="H45" s="710">
        <v>0.314</v>
      </c>
      <c r="I45" s="708">
        <v>0.52</v>
      </c>
      <c r="J45" s="570">
        <v>5.1189999999999998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5.1189999999999998</v>
      </c>
      <c r="N45" s="632">
        <f t="shared" si="240"/>
        <v>-3.2957008986067908</v>
      </c>
      <c r="O45" s="629">
        <f t="shared" si="241"/>
        <v>1.7076000506361266</v>
      </c>
      <c r="P45" s="633">
        <f t="shared" si="242"/>
        <v>-0.63120190370494156</v>
      </c>
      <c r="Q45" s="585">
        <f t="shared" si="113"/>
        <v>152.60999096023576</v>
      </c>
      <c r="R45" s="629">
        <f t="shared" si="385"/>
        <v>3.7118111948225638</v>
      </c>
      <c r="S45" s="634">
        <f t="shared" si="386"/>
        <v>-0.63120190370494156</v>
      </c>
      <c r="T45" s="635">
        <f t="shared" si="387"/>
        <v>1.6504023685569307</v>
      </c>
      <c r="U45" s="629">
        <f t="shared" si="388"/>
        <v>3.3247126744835835</v>
      </c>
      <c r="V45" s="636">
        <f t="shared" si="389"/>
        <v>-0.63120190370494156</v>
      </c>
      <c r="W45" s="585">
        <f t="shared" si="224"/>
        <v>63.599990817297467</v>
      </c>
      <c r="X45" s="629">
        <f t="shared" si="390"/>
        <v>3.7118111948225638</v>
      </c>
      <c r="Y45" s="630">
        <f t="shared" si="223"/>
        <v>-0.63120190370494156</v>
      </c>
      <c r="Z45" s="632">
        <f t="shared" si="243"/>
        <v>0.68767616548462684</v>
      </c>
      <c r="AA45" s="629">
        <f t="shared" si="244"/>
        <v>0.70103583383144841</v>
      </c>
      <c r="AB45" s="629">
        <f t="shared" si="245"/>
        <v>-0.18881274085348751</v>
      </c>
      <c r="AC45" s="636">
        <f t="shared" si="391"/>
        <v>1</v>
      </c>
      <c r="AD45" s="637">
        <f t="shared" si="392"/>
        <v>0.68767616548462684</v>
      </c>
      <c r="AE45" s="629">
        <f t="shared" si="393"/>
        <v>0.70103583383144841</v>
      </c>
      <c r="AF45" s="633">
        <f t="shared" si="394"/>
        <v>-0.18881274085348751</v>
      </c>
      <c r="AG45" s="602">
        <f t="shared" si="395"/>
        <v>74.926000431911277</v>
      </c>
      <c r="AH45" s="603">
        <f t="shared" si="396"/>
        <v>46.553562429569801</v>
      </c>
      <c r="AI45" s="585">
        <f t="shared" si="397"/>
        <v>-79.11649477754554</v>
      </c>
      <c r="AJ45" s="586">
        <f t="shared" si="398"/>
        <v>135.5511790781357</v>
      </c>
      <c r="AK45" s="635">
        <f t="shared" si="399"/>
        <v>0.93880860302843328</v>
      </c>
      <c r="AL45" s="629">
        <f t="shared" si="400"/>
        <v>-0.2880766491251861</v>
      </c>
      <c r="AM45" s="634">
        <f t="shared" si="401"/>
        <v>-0.18881274085348751</v>
      </c>
      <c r="AN45" s="581">
        <f t="shared" si="402"/>
        <v>-56.7581500900029</v>
      </c>
      <c r="AO45" s="582">
        <f t="shared" si="94"/>
        <v>20.147570148929628</v>
      </c>
      <c r="AP45" s="585">
        <f t="shared" si="403"/>
        <v>-17.058811882100049</v>
      </c>
      <c r="AQ45" s="586">
        <f t="shared" si="246"/>
        <v>0.61415820984982994</v>
      </c>
      <c r="AS45" s="52">
        <f t="shared" si="406"/>
        <v>-296.40000918270255</v>
      </c>
      <c r="AT45" s="72">
        <f t="shared" si="247"/>
        <v>-0.42468106409399414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5.1189999999999998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-3.5920642717185327</v>
      </c>
      <c r="C46" s="708">
        <v>1.9155680729140248</v>
      </c>
      <c r="D46" s="709">
        <v>-1.3632041114236</v>
      </c>
      <c r="E46" s="710">
        <v>-0.80593524662784177</v>
      </c>
      <c r="F46" s="708">
        <v>-0.57920408624027708</v>
      </c>
      <c r="G46" s="711">
        <v>0.12243775857751375</v>
      </c>
      <c r="H46" s="710">
        <v>0.314</v>
      </c>
      <c r="I46" s="708">
        <v>0.52</v>
      </c>
      <c r="J46" s="570">
        <v>5.1239999999999997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5.1239999999999997</v>
      </c>
      <c r="N46" s="632">
        <f t="shared" si="240"/>
        <v>-3.5920642717185327</v>
      </c>
      <c r="O46" s="629">
        <f t="shared" si="241"/>
        <v>1.9155680729140248</v>
      </c>
      <c r="P46" s="633">
        <f t="shared" si="242"/>
        <v>-1.3632041114236</v>
      </c>
      <c r="Q46" s="585">
        <f t="shared" si="113"/>
        <v>151.9299910584156</v>
      </c>
      <c r="R46" s="629">
        <f t="shared" si="385"/>
        <v>4.0709122778714288</v>
      </c>
      <c r="S46" s="634">
        <f t="shared" si="386"/>
        <v>-1.3632041114236</v>
      </c>
      <c r="T46" s="635">
        <f t="shared" si="387"/>
        <v>1.8532188106798146</v>
      </c>
      <c r="U46" s="629">
        <f t="shared" si="388"/>
        <v>3.6246250583842241</v>
      </c>
      <c r="V46" s="636">
        <f t="shared" si="389"/>
        <v>-1.3632041114236</v>
      </c>
      <c r="W46" s="585">
        <f t="shared" si="224"/>
        <v>62.9199909154773</v>
      </c>
      <c r="X46" s="629">
        <f t="shared" si="390"/>
        <v>4.0709122778714288</v>
      </c>
      <c r="Y46" s="630">
        <f t="shared" si="223"/>
        <v>-1.3632041114236</v>
      </c>
      <c r="Z46" s="632">
        <f t="shared" si="243"/>
        <v>0.80593524662784177</v>
      </c>
      <c r="AA46" s="629">
        <f t="shared" si="244"/>
        <v>0.57920408624027708</v>
      </c>
      <c r="AB46" s="629">
        <f t="shared" si="245"/>
        <v>-0.12243775857751375</v>
      </c>
      <c r="AC46" s="636">
        <f t="shared" si="391"/>
        <v>1</v>
      </c>
      <c r="AD46" s="637">
        <f t="shared" si="392"/>
        <v>0.80593524662784177</v>
      </c>
      <c r="AE46" s="629">
        <f t="shared" si="393"/>
        <v>0.57920408624027708</v>
      </c>
      <c r="AF46" s="633">
        <f t="shared" si="394"/>
        <v>-0.12243775857751375</v>
      </c>
      <c r="AG46" s="602">
        <f t="shared" si="395"/>
        <v>78.0639832340092</v>
      </c>
      <c r="AH46" s="603">
        <f t="shared" si="396"/>
        <v>36.299325973218494</v>
      </c>
      <c r="AI46" s="585">
        <f t="shared" si="397"/>
        <v>-82.967186475686475</v>
      </c>
      <c r="AJ46" s="586">
        <f t="shared" si="398"/>
        <v>125.7037909674598</v>
      </c>
      <c r="AK46" s="635">
        <f t="shared" si="399"/>
        <v>0.89030710663914014</v>
      </c>
      <c r="AL46" s="629">
        <f t="shared" si="400"/>
        <v>-0.4385912118845488</v>
      </c>
      <c r="AM46" s="634">
        <f t="shared" si="401"/>
        <v>-0.12243775857751375</v>
      </c>
      <c r="AN46" s="581">
        <f t="shared" si="402"/>
        <v>-74.402315709740776</v>
      </c>
      <c r="AO46" s="582">
        <f t="shared" si="94"/>
        <v>27.088136841255583</v>
      </c>
      <c r="AP46" s="585">
        <f t="shared" si="403"/>
        <v>-26.2262000909558</v>
      </c>
      <c r="AQ46" s="586">
        <f t="shared" si="246"/>
        <v>0.55998603922488011</v>
      </c>
      <c r="AS46" s="52">
        <f t="shared" si="406"/>
        <v>-297.08000908452271</v>
      </c>
      <c r="AT46" s="72">
        <f t="shared" si="247"/>
        <v>-1.1562110496586109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5.1239999999999997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-3.6878021611159157</v>
      </c>
      <c r="C47" s="708">
        <v>1.9856776169562582</v>
      </c>
      <c r="D47" s="709">
        <v>-2.0876062962205899</v>
      </c>
      <c r="E47" s="710">
        <v>-0.89337141855912183</v>
      </c>
      <c r="F47" s="708">
        <v>-0.44931893850765453</v>
      </c>
      <c r="G47" s="711">
        <v>1.3008419232888124E-7</v>
      </c>
      <c r="H47" s="710">
        <v>0.26600000000000001</v>
      </c>
      <c r="I47" s="708">
        <v>0.52</v>
      </c>
      <c r="J47" s="570">
        <v>5.1289999999999996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1313</v>
      </c>
      <c r="L47" s="320"/>
      <c r="M47" s="168">
        <f t="shared" si="239"/>
        <v>5.1289999999999996</v>
      </c>
      <c r="N47" s="632">
        <f t="shared" si="240"/>
        <v>-3.6878021611159157</v>
      </c>
      <c r="O47" s="629">
        <f t="shared" si="241"/>
        <v>1.9856776169562582</v>
      </c>
      <c r="P47" s="633">
        <f t="shared" si="242"/>
        <v>-2.0876062962205899</v>
      </c>
      <c r="Q47" s="585">
        <f t="shared" si="113"/>
        <v>151.69999109162347</v>
      </c>
      <c r="R47" s="629">
        <f t="shared" si="385"/>
        <v>4.1884126322524979</v>
      </c>
      <c r="S47" s="634">
        <f t="shared" si="386"/>
        <v>-2.0876062962205899</v>
      </c>
      <c r="T47" s="635">
        <f t="shared" si="387"/>
        <v>1.9216637397652256</v>
      </c>
      <c r="U47" s="629">
        <f t="shared" si="388"/>
        <v>3.7215600021071573</v>
      </c>
      <c r="V47" s="636">
        <f t="shared" si="389"/>
        <v>-2.0876062962205899</v>
      </c>
      <c r="W47" s="585">
        <f t="shared" si="224"/>
        <v>62.689990948685178</v>
      </c>
      <c r="X47" s="629">
        <f t="shared" si="390"/>
        <v>4.1884126322524979</v>
      </c>
      <c r="Y47" s="630">
        <f t="shared" si="223"/>
        <v>-2.0876062962205899</v>
      </c>
      <c r="Z47" s="632">
        <f t="shared" si="243"/>
        <v>0.89337141855912183</v>
      </c>
      <c r="AA47" s="629">
        <f t="shared" si="244"/>
        <v>0.44931893850765453</v>
      </c>
      <c r="AB47" s="629">
        <f t="shared" si="245"/>
        <v>-1.3008419232888124E-7</v>
      </c>
      <c r="AC47" s="636">
        <f t="shared" si="391"/>
        <v>1</v>
      </c>
      <c r="AD47" s="637">
        <f t="shared" si="392"/>
        <v>0.89337141855912183</v>
      </c>
      <c r="AE47" s="629">
        <f t="shared" si="393"/>
        <v>0.44931893850765453</v>
      </c>
      <c r="AF47" s="633">
        <f t="shared" si="394"/>
        <v>-1.3008419232888124E-7</v>
      </c>
      <c r="AG47" s="602">
        <f t="shared" si="395"/>
        <v>89.999983412060871</v>
      </c>
      <c r="AH47" s="603">
        <f t="shared" si="396"/>
        <v>26.699996144999162</v>
      </c>
      <c r="AI47" s="585">
        <f t="shared" si="397"/>
        <v>-89.999992546724798</v>
      </c>
      <c r="AJ47" s="586">
        <f t="shared" si="398"/>
        <v>116.69999614499818</v>
      </c>
      <c r="AK47" s="635">
        <f t="shared" si="399"/>
        <v>0.8191520948772919</v>
      </c>
      <c r="AL47" s="629">
        <f t="shared" si="400"/>
        <v>-0.5735763641034447</v>
      </c>
      <c r="AM47" s="634">
        <f t="shared" si="401"/>
        <v>-1.3008419232888124E-7</v>
      </c>
      <c r="AN47" s="581">
        <f t="shared" si="402"/>
        <v>-89.999987005609597</v>
      </c>
      <c r="AO47" s="582">
        <f t="shared" si="94"/>
        <v>34.999994946625968</v>
      </c>
      <c r="AP47" s="585">
        <f t="shared" si="403"/>
        <v>-34.999994946625279</v>
      </c>
      <c r="AQ47" s="586">
        <f t="shared" si="246"/>
        <v>0.54427733323535543</v>
      </c>
      <c r="AS47" s="52">
        <f t="shared" si="406"/>
        <v>-297.31000905131481</v>
      </c>
      <c r="AT47" s="72">
        <f t="shared" si="247"/>
        <v>-1.8804535122564396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5.1289999999999996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1313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-2.0702472419214835</v>
      </c>
      <c r="C48" s="708">
        <v>2.2442917424735698</v>
      </c>
      <c r="D48" s="709">
        <v>-0.14142993902734091</v>
      </c>
      <c r="E48" s="710">
        <v>-0.18973297403357736</v>
      </c>
      <c r="F48" s="708">
        <v>0.20568338206101144</v>
      </c>
      <c r="G48" s="711">
        <v>0.96004986584464347</v>
      </c>
      <c r="H48" s="710">
        <v>0.26250000000000001</v>
      </c>
      <c r="I48" s="708">
        <v>0.40699999999999997</v>
      </c>
      <c r="J48" s="570">
        <v>5.2140000000000004</v>
      </c>
      <c r="K48" s="865" t="str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Inactive</v>
      </c>
      <c r="L48" s="320"/>
      <c r="M48" s="168">
        <f t="shared" si="239"/>
        <v>5.2140000000000004</v>
      </c>
      <c r="N48" s="632">
        <f t="shared" si="240"/>
        <v>-2.0702472419214835</v>
      </c>
      <c r="O48" s="629">
        <f t="shared" si="241"/>
        <v>2.2442917424735698</v>
      </c>
      <c r="P48" s="633">
        <f t="shared" si="242"/>
        <v>-0.14142993902734091</v>
      </c>
      <c r="Q48" s="585">
        <f t="shared" si="113"/>
        <v>132.68999383632752</v>
      </c>
      <c r="R48" s="629">
        <f t="shared" si="79"/>
        <v>3.0533209900072023</v>
      </c>
      <c r="S48" s="634">
        <f t="shared" si="80"/>
        <v>-0.14142993902734091</v>
      </c>
      <c r="T48" s="635">
        <f t="shared" si="81"/>
        <v>2.2081872087426557</v>
      </c>
      <c r="U48" s="629">
        <f t="shared" si="82"/>
        <v>2.1087148501312076</v>
      </c>
      <c r="V48" s="636">
        <f t="shared" si="114"/>
        <v>-0.14142993902734091</v>
      </c>
      <c r="W48" s="585">
        <f t="shared" si="224"/>
        <v>43.679993693389221</v>
      </c>
      <c r="X48" s="629">
        <f t="shared" si="83"/>
        <v>3.0533209900072023</v>
      </c>
      <c r="Y48" s="630">
        <f t="shared" si="223"/>
        <v>-0.14142993902734091</v>
      </c>
      <c r="Z48" s="632">
        <f t="shared" si="243"/>
        <v>0.18973297403357736</v>
      </c>
      <c r="AA48" s="629">
        <f t="shared" si="244"/>
        <v>-0.20568338206101144</v>
      </c>
      <c r="AB48" s="629">
        <f t="shared" si="245"/>
        <v>-0.96004986584464347</v>
      </c>
      <c r="AC48" s="636">
        <f t="shared" si="84"/>
        <v>1</v>
      </c>
      <c r="AD48" s="637">
        <f t="shared" si="115"/>
        <v>0.18973297403357736</v>
      </c>
      <c r="AE48" s="629">
        <f t="shared" si="85"/>
        <v>-0.20568338206101144</v>
      </c>
      <c r="AF48" s="633">
        <f t="shared" si="86"/>
        <v>-0.96004986584464347</v>
      </c>
      <c r="AG48" s="602">
        <f t="shared" si="87"/>
        <v>-12.092383980601296</v>
      </c>
      <c r="AH48" s="603">
        <f t="shared" si="88"/>
        <v>79.06279871655137</v>
      </c>
      <c r="AI48" s="585">
        <f t="shared" si="89"/>
        <v>-16.249997653795667</v>
      </c>
      <c r="AJ48" s="586">
        <f t="shared" si="90"/>
        <v>42.690040273228476</v>
      </c>
      <c r="AK48" s="635">
        <f t="shared" si="211"/>
        <v>2.2679489650179185E-7</v>
      </c>
      <c r="AL48" s="629">
        <f t="shared" si="91"/>
        <v>-0.27982897471782775</v>
      </c>
      <c r="AM48" s="634">
        <f t="shared" si="92"/>
        <v>-0.96004986584464347</v>
      </c>
      <c r="AN48" s="581">
        <f t="shared" si="93"/>
        <v>-16.249997653790626</v>
      </c>
      <c r="AO48" s="582">
        <f t="shared" si="94"/>
        <v>0</v>
      </c>
      <c r="AP48" s="585">
        <f t="shared" si="95"/>
        <v>-89.999953563099041</v>
      </c>
      <c r="AQ48" s="586">
        <f t="shared" si="246"/>
        <v>0.74659611905866519</v>
      </c>
      <c r="AS48" s="52">
        <f t="shared" si="406"/>
        <v>-316.32000630661076</v>
      </c>
      <c r="AT48" s="72">
        <f t="shared" si="247"/>
        <v>7.8924231919653864E-2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>Nose</v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5.2140000000000004</v>
      </c>
      <c r="IH48" s="731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0.114</v>
      </c>
      <c r="II48" s="734" cm="1">
        <f t="array" ref="II48">IFERROR(ROUND(VALUE(IF($IH48&lt;1,$IH48+LARGE((IF($M$9:$M$150="",0,$M$9:$M$150)-MOD(IF($M$9:$M$150="",0,$M$9:$M$150),1)),1),$IH48)),4),"")</f>
        <v>5.1139999999999999</v>
      </c>
      <c r="IJ48" s="533">
        <f t="shared" si="112"/>
        <v>1613</v>
      </c>
      <c r="IK48" s="533" t="str">
        <f t="shared" si="382"/>
        <v>Inactive</v>
      </c>
      <c r="IL48" s="727">
        <f t="shared" si="225"/>
        <v>21.079996956424992</v>
      </c>
      <c r="IM48" s="759">
        <v>1.3195358287299201E-2</v>
      </c>
      <c r="IN48" s="5">
        <f t="shared" si="226"/>
        <v>0.22</v>
      </c>
      <c r="IO48" s="771">
        <v>110</v>
      </c>
      <c r="IP48" s="9">
        <f t="shared" si="227"/>
        <v>-3.0423091756044744</v>
      </c>
      <c r="IQ48" s="5">
        <f t="shared" si="228"/>
        <v>-0.16580050005430819</v>
      </c>
      <c r="IR48" s="5">
        <f t="shared" si="383"/>
        <v>0.314</v>
      </c>
      <c r="IS48" s="5">
        <f t="shared" si="229"/>
        <v>0.30225463915331402</v>
      </c>
      <c r="IT48" s="727">
        <f t="shared" si="230"/>
        <v>34.084434433105805</v>
      </c>
      <c r="IU48" s="9">
        <f t="shared" si="231"/>
        <v>-3.0533209900072023</v>
      </c>
      <c r="IV48" s="5">
        <f t="shared" si="232"/>
        <v>-0.14142993902734091</v>
      </c>
      <c r="IW48" s="5">
        <f t="shared" si="384"/>
        <v>0.26250000000000001</v>
      </c>
      <c r="IX48" s="5">
        <f t="shared" si="233"/>
        <v>0.26250000000000001</v>
      </c>
      <c r="IY48" s="762">
        <f t="shared" si="234"/>
        <v>16.249997653790626</v>
      </c>
    </row>
    <row r="49" spans="1:259" ht="15" customHeight="1" x14ac:dyDescent="0.25">
      <c r="A49" s="79"/>
      <c r="B49" s="707">
        <v>-2.6098298091412171</v>
      </c>
      <c r="C49" s="708">
        <v>2.6669326934513222</v>
      </c>
      <c r="D49" s="709">
        <v>-0.61631189647075169</v>
      </c>
      <c r="E49" s="710">
        <v>-0.41661592400141689</v>
      </c>
      <c r="F49" s="708">
        <v>0.42573112551845638</v>
      </c>
      <c r="G49" s="711">
        <v>0.80323357787958161</v>
      </c>
      <c r="H49" s="710">
        <v>0.26250000000000001</v>
      </c>
      <c r="I49" s="708">
        <v>0.40699999999999997</v>
      </c>
      <c r="J49" s="570">
        <v>5.2190000000000003</v>
      </c>
      <c r="K49" s="865" t="str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Inactive</v>
      </c>
      <c r="L49" s="320"/>
      <c r="M49" s="168">
        <f t="shared" si="239"/>
        <v>5.2190000000000003</v>
      </c>
      <c r="N49" s="632">
        <f t="shared" si="240"/>
        <v>-2.6098298091412171</v>
      </c>
      <c r="O49" s="629">
        <f t="shared" si="241"/>
        <v>2.6669326934513222</v>
      </c>
      <c r="P49" s="633">
        <f t="shared" si="242"/>
        <v>-0.61631189647075169</v>
      </c>
      <c r="Q49" s="585">
        <f t="shared" si="113"/>
        <v>134.37999359232171</v>
      </c>
      <c r="R49" s="629">
        <f t="shared" si="79"/>
        <v>3.7314530178044056</v>
      </c>
      <c r="S49" s="634">
        <f t="shared" si="80"/>
        <v>-0.61631189647075169</v>
      </c>
      <c r="T49" s="635">
        <f t="shared" si="81"/>
        <v>2.621442218210893</v>
      </c>
      <c r="U49" s="629">
        <f t="shared" si="82"/>
        <v>2.6555192186582186</v>
      </c>
      <c r="V49" s="636">
        <f t="shared" si="114"/>
        <v>-0.61631189647075169</v>
      </c>
      <c r="W49" s="585">
        <f t="shared" si="224"/>
        <v>45.369993449383415</v>
      </c>
      <c r="X49" s="629">
        <f t="shared" si="83"/>
        <v>3.7314530178044056</v>
      </c>
      <c r="Y49" s="630">
        <f t="shared" si="223"/>
        <v>-0.61631189647075169</v>
      </c>
      <c r="Z49" s="632">
        <f t="shared" si="243"/>
        <v>0.41661592400141689</v>
      </c>
      <c r="AA49" s="629">
        <f t="shared" si="244"/>
        <v>-0.42573112551845638</v>
      </c>
      <c r="AB49" s="629">
        <f t="shared" si="245"/>
        <v>-0.80323357787958161</v>
      </c>
      <c r="AC49" s="636">
        <f t="shared" si="84"/>
        <v>1</v>
      </c>
      <c r="AD49" s="637">
        <f t="shared" si="115"/>
        <v>0.41661592400141689</v>
      </c>
      <c r="AE49" s="629">
        <f t="shared" si="85"/>
        <v>-0.42573112551845638</v>
      </c>
      <c r="AF49" s="633">
        <f t="shared" si="86"/>
        <v>-0.80323357787958161</v>
      </c>
      <c r="AG49" s="602">
        <f t="shared" si="87"/>
        <v>-27.924554746102224</v>
      </c>
      <c r="AH49" s="603">
        <f t="shared" si="88"/>
        <v>65.378879792592684</v>
      </c>
      <c r="AI49" s="585">
        <f t="shared" si="89"/>
        <v>-36.55999472139186</v>
      </c>
      <c r="AJ49" s="586">
        <f t="shared" si="90"/>
        <v>44.380015407281817</v>
      </c>
      <c r="AK49" s="635">
        <f t="shared" si="211"/>
        <v>2.2679489669608088E-7</v>
      </c>
      <c r="AL49" s="629">
        <f t="shared" si="91"/>
        <v>-0.59566418338415694</v>
      </c>
      <c r="AM49" s="634">
        <f t="shared" si="92"/>
        <v>-0.80323357787958161</v>
      </c>
      <c r="AN49" s="581">
        <f t="shared" si="93"/>
        <v>-36.55999472138987</v>
      </c>
      <c r="AO49" s="582">
        <f t="shared" si="94"/>
        <v>0</v>
      </c>
      <c r="AP49" s="585">
        <f t="shared" si="95"/>
        <v>-89.999978185039907</v>
      </c>
      <c r="AQ49" s="586">
        <f t="shared" si="246"/>
        <v>0.61092561652579858</v>
      </c>
      <c r="AS49" s="52">
        <f t="shared" si="406"/>
        <v>-314.6300065506166</v>
      </c>
      <c r="AT49" s="72">
        <f t="shared" si="247"/>
        <v>-0.39713133646541954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>Taper</v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5.2190000000000003</v>
      </c>
      <c r="IH49" s="731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0.11899999999999999</v>
      </c>
      <c r="II49" s="734" cm="1">
        <f t="array" ref="II49">IFERROR(ROUND(VALUE(IF($IH49&lt;1,$IH49+LARGE((IF($M$9:$M$150="",0,$M$9:$M$150)-MOD(IF($M$9:$M$150="",0,$M$9:$M$150),1)),1),$IH49)),4),"")</f>
        <v>5.1189999999999998</v>
      </c>
      <c r="IJ49" s="533">
        <f t="shared" si="112"/>
        <v>1613</v>
      </c>
      <c r="IK49" s="533" t="str">
        <f t="shared" si="382"/>
        <v>Inactive</v>
      </c>
      <c r="IL49" s="727">
        <f t="shared" si="225"/>
        <v>18.229997367914052</v>
      </c>
      <c r="IM49" s="759">
        <v>7.6875972921058196E-3</v>
      </c>
      <c r="IN49" s="5">
        <f t="shared" si="226"/>
        <v>0.2</v>
      </c>
      <c r="IO49" s="771">
        <v>100</v>
      </c>
      <c r="IP49" s="9">
        <f t="shared" si="227"/>
        <v>-3.7118111948225638</v>
      </c>
      <c r="IQ49" s="5">
        <f t="shared" si="228"/>
        <v>-0.63120190370494156</v>
      </c>
      <c r="IR49" s="5">
        <f t="shared" si="383"/>
        <v>0.314</v>
      </c>
      <c r="IS49" s="5">
        <f t="shared" si="229"/>
        <v>0.29478590135092808</v>
      </c>
      <c r="IT49" s="727">
        <f t="shared" si="230"/>
        <v>56.7581500900029</v>
      </c>
      <c r="IU49" s="9">
        <f t="shared" si="231"/>
        <v>-3.7314530178044056</v>
      </c>
      <c r="IV49" s="5">
        <f t="shared" si="232"/>
        <v>-0.61631189647075169</v>
      </c>
      <c r="IW49" s="5">
        <f t="shared" si="384"/>
        <v>0.26250000000000001</v>
      </c>
      <c r="IX49" s="5">
        <f t="shared" si="233"/>
        <v>0.26250000000000001</v>
      </c>
      <c r="IY49" s="762">
        <f t="shared" si="234"/>
        <v>36.55999472138987</v>
      </c>
    </row>
    <row r="50" spans="1:259" ht="15" customHeight="1" x14ac:dyDescent="0.25">
      <c r="A50" s="79"/>
      <c r="B50" s="707"/>
      <c r="C50" s="708"/>
      <c r="D50" s="709"/>
      <c r="E50" s="710"/>
      <c r="F50" s="708"/>
      <c r="G50" s="711"/>
      <c r="H50" s="710"/>
      <c r="I50" s="708"/>
      <c r="J50" s="570"/>
      <c r="K50" s="865" t="str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/>
      </c>
      <c r="L50" s="320"/>
      <c r="M50" s="168" t="str">
        <f t="shared" si="239"/>
        <v/>
      </c>
      <c r="N50" s="632" t="str">
        <f t="shared" si="240"/>
        <v/>
      </c>
      <c r="O50" s="629" t="str">
        <f t="shared" si="241"/>
        <v/>
      </c>
      <c r="P50" s="633" t="str">
        <f t="shared" si="242"/>
        <v/>
      </c>
      <c r="Q50" s="585" t="str">
        <f t="shared" si="113"/>
        <v/>
      </c>
      <c r="R50" s="629" t="str">
        <f t="shared" si="79"/>
        <v/>
      </c>
      <c r="S50" s="634" t="str">
        <f t="shared" si="80"/>
        <v/>
      </c>
      <c r="T50" s="635" t="str">
        <f t="shared" si="81"/>
        <v/>
      </c>
      <c r="U50" s="629" t="str">
        <f t="shared" si="82"/>
        <v/>
      </c>
      <c r="V50" s="636" t="str">
        <f t="shared" si="114"/>
        <v/>
      </c>
      <c r="W50" s="585" t="str">
        <f t="shared" si="224"/>
        <v/>
      </c>
      <c r="X50" s="629" t="str">
        <f t="shared" si="83"/>
        <v/>
      </c>
      <c r="Y50" s="630" t="str">
        <f t="shared" si="223"/>
        <v/>
      </c>
      <c r="Z50" s="632" t="str">
        <f t="shared" si="243"/>
        <v/>
      </c>
      <c r="AA50" s="629" t="str">
        <f t="shared" si="244"/>
        <v/>
      </c>
      <c r="AB50" s="629" t="str">
        <f t="shared" si="245"/>
        <v/>
      </c>
      <c r="AC50" s="636" t="str">
        <f t="shared" si="84"/>
        <v/>
      </c>
      <c r="AD50" s="637" t="str">
        <f t="shared" si="115"/>
        <v/>
      </c>
      <c r="AE50" s="629" t="str">
        <f t="shared" si="85"/>
        <v/>
      </c>
      <c r="AF50" s="633" t="str">
        <f t="shared" si="86"/>
        <v/>
      </c>
      <c r="AG50" s="602" t="str">
        <f t="shared" si="87"/>
        <v/>
      </c>
      <c r="AH50" s="603" t="str">
        <f t="shared" si="88"/>
        <v/>
      </c>
      <c r="AI50" s="585" t="str">
        <f t="shared" si="89"/>
        <v/>
      </c>
      <c r="AJ50" s="586" t="str">
        <f t="shared" si="90"/>
        <v/>
      </c>
      <c r="AK50" s="635" t="str">
        <f t="shared" si="211"/>
        <v/>
      </c>
      <c r="AL50" s="629" t="str">
        <f t="shared" si="91"/>
        <v/>
      </c>
      <c r="AM50" s="634" t="str">
        <f t="shared" si="92"/>
        <v/>
      </c>
      <c r="AN50" s="581" t="str">
        <f t="shared" si="93"/>
        <v/>
      </c>
      <c r="AO50" s="582" t="str">
        <f t="shared" si="94"/>
        <v/>
      </c>
      <c r="AP50" s="585" t="str">
        <f t="shared" si="95"/>
        <v/>
      </c>
      <c r="AQ50" s="586" t="str">
        <f t="shared" si="246"/>
        <v/>
      </c>
      <c r="AS50" s="52" t="str">
        <f t="shared" si="406"/>
        <v/>
      </c>
      <c r="AT50" s="72" t="str">
        <f t="shared" si="247"/>
        <v/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210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 t="str">
        <f t="shared" si="112"/>
        <v/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/>
      <c r="C51" s="708"/>
      <c r="D51" s="709"/>
      <c r="E51" s="710"/>
      <c r="F51" s="708"/>
      <c r="G51" s="711"/>
      <c r="H51" s="710"/>
      <c r="I51" s="708"/>
      <c r="J51" s="570"/>
      <c r="K51" s="865" t="str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/>
      </c>
      <c r="L51" s="320"/>
      <c r="M51" s="168" t="str">
        <f t="shared" si="239"/>
        <v/>
      </c>
      <c r="N51" s="632" t="str">
        <f t="shared" si="240"/>
        <v/>
      </c>
      <c r="O51" s="629" t="str">
        <f t="shared" si="241"/>
        <v/>
      </c>
      <c r="P51" s="633" t="str">
        <f t="shared" si="242"/>
        <v/>
      </c>
      <c r="Q51" s="585" t="str">
        <f t="shared" si="113"/>
        <v/>
      </c>
      <c r="R51" s="629" t="str">
        <f t="shared" si="79"/>
        <v/>
      </c>
      <c r="S51" s="634" t="str">
        <f t="shared" si="80"/>
        <v/>
      </c>
      <c r="T51" s="635" t="str">
        <f t="shared" si="81"/>
        <v/>
      </c>
      <c r="U51" s="629" t="str">
        <f t="shared" si="82"/>
        <v/>
      </c>
      <c r="V51" s="636" t="str">
        <f t="shared" si="114"/>
        <v/>
      </c>
      <c r="W51" s="585" t="str">
        <f t="shared" si="224"/>
        <v/>
      </c>
      <c r="X51" s="629" t="str">
        <f t="shared" si="83"/>
        <v/>
      </c>
      <c r="Y51" s="630" t="str">
        <f t="shared" si="223"/>
        <v/>
      </c>
      <c r="Z51" s="632" t="str">
        <f t="shared" si="243"/>
        <v/>
      </c>
      <c r="AA51" s="629" t="str">
        <f t="shared" si="244"/>
        <v/>
      </c>
      <c r="AB51" s="629" t="str">
        <f t="shared" si="245"/>
        <v/>
      </c>
      <c r="AC51" s="636" t="str">
        <f t="shared" si="84"/>
        <v/>
      </c>
      <c r="AD51" s="637" t="str">
        <f t="shared" si="115"/>
        <v/>
      </c>
      <c r="AE51" s="629" t="str">
        <f t="shared" si="85"/>
        <v/>
      </c>
      <c r="AF51" s="633" t="str">
        <f t="shared" si="86"/>
        <v/>
      </c>
      <c r="AG51" s="602" t="str">
        <f t="shared" si="87"/>
        <v/>
      </c>
      <c r="AH51" s="603" t="str">
        <f t="shared" si="88"/>
        <v/>
      </c>
      <c r="AI51" s="585" t="str">
        <f t="shared" si="89"/>
        <v/>
      </c>
      <c r="AJ51" s="586" t="str">
        <f t="shared" si="90"/>
        <v/>
      </c>
      <c r="AK51" s="635" t="str">
        <f t="shared" si="211"/>
        <v/>
      </c>
      <c r="AL51" s="629" t="str">
        <f t="shared" si="91"/>
        <v/>
      </c>
      <c r="AM51" s="634" t="str">
        <f t="shared" si="92"/>
        <v/>
      </c>
      <c r="AN51" s="581" t="str">
        <f t="shared" si="93"/>
        <v/>
      </c>
      <c r="AO51" s="582" t="str">
        <f t="shared" si="94"/>
        <v/>
      </c>
      <c r="AP51" s="585" t="str">
        <f t="shared" si="95"/>
        <v/>
      </c>
      <c r="AQ51" s="586" t="str">
        <f t="shared" si="246"/>
        <v/>
      </c>
      <c r="AS51" s="52" t="str">
        <f t="shared" si="406"/>
        <v/>
      </c>
      <c r="AT51" s="72" t="str">
        <f t="shared" si="247"/>
        <v/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210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 t="str">
        <f t="shared" si="112"/>
        <v/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/>
      <c r="C52" s="708"/>
      <c r="D52" s="709"/>
      <c r="E52" s="710"/>
      <c r="F52" s="708"/>
      <c r="G52" s="711"/>
      <c r="H52" s="710"/>
      <c r="I52" s="708"/>
      <c r="J52" s="570"/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/>
      </c>
      <c r="L52" s="320"/>
      <c r="M52" s="168" t="str">
        <f t="shared" si="239"/>
        <v/>
      </c>
      <c r="N52" s="632" t="str">
        <f t="shared" si="240"/>
        <v/>
      </c>
      <c r="O52" s="629" t="str">
        <f t="shared" si="241"/>
        <v/>
      </c>
      <c r="P52" s="633" t="str">
        <f t="shared" si="242"/>
        <v/>
      </c>
      <c r="Q52" s="585" t="str">
        <f t="shared" si="113"/>
        <v/>
      </c>
      <c r="R52" s="629" t="str">
        <f t="shared" si="79"/>
        <v/>
      </c>
      <c r="S52" s="634" t="str">
        <f t="shared" si="80"/>
        <v/>
      </c>
      <c r="T52" s="635" t="str">
        <f t="shared" si="81"/>
        <v/>
      </c>
      <c r="U52" s="629" t="str">
        <f t="shared" si="82"/>
        <v/>
      </c>
      <c r="V52" s="636" t="str">
        <f t="shared" si="114"/>
        <v/>
      </c>
      <c r="W52" s="585" t="str">
        <f t="shared" si="224"/>
        <v/>
      </c>
      <c r="X52" s="629" t="str">
        <f t="shared" si="83"/>
        <v/>
      </c>
      <c r="Y52" s="630" t="str">
        <f t="shared" si="223"/>
        <v/>
      </c>
      <c r="Z52" s="632" t="str">
        <f t="shared" si="243"/>
        <v/>
      </c>
      <c r="AA52" s="629" t="str">
        <f t="shared" si="244"/>
        <v/>
      </c>
      <c r="AB52" s="629" t="str">
        <f t="shared" si="245"/>
        <v/>
      </c>
      <c r="AC52" s="636" t="str">
        <f t="shared" si="84"/>
        <v/>
      </c>
      <c r="AD52" s="637" t="str">
        <f t="shared" si="115"/>
        <v/>
      </c>
      <c r="AE52" s="629" t="str">
        <f t="shared" si="85"/>
        <v/>
      </c>
      <c r="AF52" s="633" t="str">
        <f t="shared" si="86"/>
        <v/>
      </c>
      <c r="AG52" s="602" t="str">
        <f t="shared" si="87"/>
        <v/>
      </c>
      <c r="AH52" s="603" t="str">
        <f t="shared" si="88"/>
        <v/>
      </c>
      <c r="AI52" s="585" t="str">
        <f t="shared" si="89"/>
        <v/>
      </c>
      <c r="AJ52" s="586" t="str">
        <f t="shared" si="90"/>
        <v/>
      </c>
      <c r="AK52" s="635" t="str">
        <f t="shared" si="211"/>
        <v/>
      </c>
      <c r="AL52" s="629" t="str">
        <f t="shared" si="91"/>
        <v/>
      </c>
      <c r="AM52" s="634" t="str">
        <f t="shared" si="92"/>
        <v/>
      </c>
      <c r="AN52" s="581" t="str">
        <f t="shared" si="93"/>
        <v/>
      </c>
      <c r="AO52" s="582" t="str">
        <f t="shared" si="94"/>
        <v/>
      </c>
      <c r="AP52" s="585" t="str">
        <f t="shared" si="95"/>
        <v/>
      </c>
      <c r="AQ52" s="586" t="str">
        <f t="shared" si="246"/>
        <v/>
      </c>
      <c r="AS52" s="52" t="str">
        <f t="shared" si="406"/>
        <v/>
      </c>
      <c r="AT52" s="72" t="str">
        <f t="shared" si="247"/>
        <v/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210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 t="str">
        <f t="shared" si="112"/>
        <v/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/>
      <c r="C53" s="708"/>
      <c r="D53" s="709"/>
      <c r="E53" s="710"/>
      <c r="F53" s="708"/>
      <c r="G53" s="711"/>
      <c r="H53" s="710"/>
      <c r="I53" s="708"/>
      <c r="J53" s="570"/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/>
      </c>
      <c r="L53" s="320"/>
      <c r="M53" s="168" t="str">
        <f t="shared" si="239"/>
        <v/>
      </c>
      <c r="N53" s="632" t="str">
        <f t="shared" si="240"/>
        <v/>
      </c>
      <c r="O53" s="629" t="str">
        <f t="shared" si="241"/>
        <v/>
      </c>
      <c r="P53" s="633" t="str">
        <f t="shared" si="242"/>
        <v/>
      </c>
      <c r="Q53" s="585" t="str">
        <f t="shared" si="113"/>
        <v/>
      </c>
      <c r="R53" s="629" t="str">
        <f t="shared" ref="R53:R58" si="410">IF(M53="","",SQRT(N53^2+O53^2))</f>
        <v/>
      </c>
      <c r="S53" s="634" t="str">
        <f t="shared" ref="S53:S58" si="411">IF(M53="","",P53)</f>
        <v/>
      </c>
      <c r="T53" s="635" t="str">
        <f t="shared" ref="T53:T58" si="412">IF(M53="","",X53*COS(RADIANS(W53)))</f>
        <v/>
      </c>
      <c r="U53" s="629" t="str">
        <f t="shared" ref="U53:U58" si="413">IF(M53="","",X53*SIN(RADIANS(W53)))</f>
        <v/>
      </c>
      <c r="V53" s="636" t="str">
        <f t="shared" ref="V53:V58" si="414">IF(M53="","",Y53)</f>
        <v/>
      </c>
      <c r="W53" s="585" t="str">
        <f t="shared" si="224"/>
        <v/>
      </c>
      <c r="X53" s="629" t="str">
        <f t="shared" ref="X53:X58" si="415">IF(M53="","",R53)</f>
        <v/>
      </c>
      <c r="Y53" s="630" t="str">
        <f t="shared" si="223"/>
        <v/>
      </c>
      <c r="Z53" s="632" t="str">
        <f t="shared" si="243"/>
        <v/>
      </c>
      <c r="AA53" s="629" t="str">
        <f t="shared" si="244"/>
        <v/>
      </c>
      <c r="AB53" s="629" t="str">
        <f t="shared" si="245"/>
        <v/>
      </c>
      <c r="AC53" s="636" t="str">
        <f t="shared" ref="AC53:AC58" si="416">IF(M53="","",SQRT(Z53^2+AA53^2+AB53^2))</f>
        <v/>
      </c>
      <c r="AD53" s="637" t="str">
        <f t="shared" ref="AD53:AD58" si="417">IF(M53="","",Z53*(1/SQRT(Z53^2+AA53^2+AB53^2)))</f>
        <v/>
      </c>
      <c r="AE53" s="629" t="str">
        <f t="shared" ref="AE53:AE58" si="418">IF(M53="","",AA53*(1/SQRT(Z53^2+AA53^2+AB53^2)))</f>
        <v/>
      </c>
      <c r="AF53" s="633" t="str">
        <f t="shared" ref="AF53:AF58" si="419">IF(M53="","",AB53*(1/SQRT(Z53^2+AA53^2+AB53^2)))</f>
        <v/>
      </c>
      <c r="AG53" s="602" t="str">
        <f t="shared" ref="AG53:AG58" si="420">IF(M53="","",DEGREES(ATAN2(-AF53,AE53)))</f>
        <v/>
      </c>
      <c r="AH53" s="603" t="str">
        <f t="shared" ref="AH53:AH58" si="421">IF(M53="","",DEGREES(ACOS(AD53)))</f>
        <v/>
      </c>
      <c r="AI53" s="585" t="str">
        <f t="shared" ref="AI53:AI58" si="422">IF(M53="","",DEGREES(-ACOS(-AF53)))</f>
        <v/>
      </c>
      <c r="AJ53" s="586" t="str">
        <f t="shared" ref="AJ53:AJ58" si="423">IF(M53="","",DEGREES(ATAN2(-AE53,AD53)))</f>
        <v/>
      </c>
      <c r="AK53" s="635" t="str">
        <f t="shared" ref="AK53:AK58" si="424">IF(M53="","",(COS(RADIANS((90-$Q$8)-W53))*AD53)+(-SIN(RADIANS((90-$Q$8)-W53))*AE53))</f>
        <v/>
      </c>
      <c r="AL53" s="629" t="str">
        <f t="shared" ref="AL53:AL58" si="425">IF(M53="","",(SIN(RADIANS((90-$Q$8)-W53))*AD53)+(COS(RADIANS((90-$Q$8)-W53))*AE53))</f>
        <v/>
      </c>
      <c r="AM53" s="634" t="str">
        <f t="shared" ref="AM53:AM58" si="426">IF(M53="","",AF53)</f>
        <v/>
      </c>
      <c r="AN53" s="581" t="str">
        <f t="shared" ref="AN53:AN58" si="427">IF(M53="","",DEGREES(ATAN2(-AM53,AL53)))</f>
        <v/>
      </c>
      <c r="AO53" s="582" t="str">
        <f t="shared" si="94"/>
        <v/>
      </c>
      <c r="AP53" s="585" t="str">
        <f t="shared" ref="AP53:AP58" si="428">IF(M53="","",DEGREES(ATAN2(AK53,AL53)))</f>
        <v/>
      </c>
      <c r="AQ53" s="586" t="str">
        <f t="shared" si="246"/>
        <v/>
      </c>
      <c r="AS53" s="52" t="str">
        <f t="shared" si="406"/>
        <v/>
      </c>
      <c r="AT53" s="72" t="str">
        <f t="shared" si="247"/>
        <v/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210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 t="str">
        <f t="shared" si="112"/>
        <v/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7.4026687011984588E-2</v>
      </c>
      <c r="G154" s="170">
        <f t="shared" si="929"/>
        <v>-0.33391285637839119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5.6018678339987651E-2</v>
      </c>
      <c r="G155" s="170">
        <f t="shared" si="929"/>
        <v>-0.25268396641901963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0.96576645696828045</v>
      </c>
      <c r="F156" s="170">
        <f t="shared" si="929"/>
        <v>3.4382526826307255E-2</v>
      </c>
      <c r="G156" s="170">
        <f t="shared" si="929"/>
        <v>-0.25712446877723033</v>
      </c>
      <c r="H156" s="139"/>
      <c r="I156" s="86"/>
      <c r="J156" s="79">
        <f t="shared" si="930"/>
        <v>1.1080000000000001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0.96093270718931922</v>
      </c>
      <c r="F157" s="170">
        <f t="shared" si="929"/>
        <v>-0.14356229943364274</v>
      </c>
      <c r="G157" s="170">
        <f t="shared" si="929"/>
        <v>-0.23663938479283439</v>
      </c>
      <c r="H157" s="139"/>
      <c r="I157" s="86"/>
      <c r="J157" s="79">
        <f t="shared" si="930"/>
        <v>1.113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0.93437635688519882</v>
      </c>
      <c r="F158" s="170">
        <f t="shared" si="929"/>
        <v>-0.29605601188120223</v>
      </c>
      <c r="G158" s="170">
        <f t="shared" si="929"/>
        <v>-0.1982212438739632</v>
      </c>
      <c r="H158" s="139"/>
      <c r="I158" s="86"/>
      <c r="J158" s="79">
        <f t="shared" si="930"/>
        <v>1.1180000000000001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0.78477643035032718</v>
      </c>
      <c r="F159" s="170">
        <f t="shared" si="929"/>
        <v>-0.61977895605335087</v>
      </c>
      <c r="G159" s="170">
        <f t="shared" si="929"/>
        <v>-1.3008419227653169E-7</v>
      </c>
      <c r="H159" s="139"/>
      <c r="I159" s="86"/>
      <c r="J159" s="79">
        <f t="shared" si="930"/>
        <v>1.1279999999999999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0.88294335517423672</v>
      </c>
      <c r="F160" s="170">
        <f t="shared" si="929"/>
        <v>-0.4493375046009786</v>
      </c>
      <c r="G160" s="170">
        <f t="shared" si="929"/>
        <v>-0.13603984163702654</v>
      </c>
      <c r="H160" s="139"/>
      <c r="I160" s="86"/>
      <c r="J160" s="79">
        <f t="shared" si="930"/>
        <v>1.1319999999999999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-8.233463794992027E-2</v>
      </c>
      <c r="F161" s="170">
        <f t="shared" si="929"/>
        <v>-0.1944404580546969</v>
      </c>
      <c r="G161" s="170">
        <f t="shared" si="929"/>
        <v>-0.977452769020138</v>
      </c>
      <c r="H161" s="139"/>
      <c r="I161" s="86"/>
      <c r="J161" s="79">
        <f t="shared" si="930"/>
        <v>1.2130000000000001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-0.19097388661888332</v>
      </c>
      <c r="F162" s="170">
        <f t="shared" si="929"/>
        <v>-0.50221486391228021</v>
      </c>
      <c r="G162" s="170">
        <f t="shared" si="929"/>
        <v>-0.84339148981670886</v>
      </c>
      <c r="H162" s="139"/>
      <c r="I162" s="86"/>
      <c r="J162" s="79">
        <f t="shared" si="930"/>
        <v>1.218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0.37515112302855697</v>
      </c>
      <c r="F163" s="170">
        <f t="shared" si="929"/>
        <v>-0.89134579763979371</v>
      </c>
      <c r="G163" s="170">
        <f t="shared" si="929"/>
        <v>-0.25448831784640441</v>
      </c>
      <c r="H163" s="139"/>
      <c r="I163" s="86"/>
      <c r="J163" s="79">
        <f t="shared" si="930"/>
        <v>2.1070000000000002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0.22266749533598643</v>
      </c>
      <c r="F164" s="170">
        <f t="shared" si="929"/>
        <v>-0.94320121021954462</v>
      </c>
      <c r="G164" s="170">
        <f t="shared" si="929"/>
        <v>-0.24655762726223873</v>
      </c>
      <c r="H164" s="139"/>
      <c r="I164" s="86"/>
      <c r="J164" s="79">
        <f t="shared" si="930"/>
        <v>2.1120000000000001</v>
      </c>
    </row>
    <row r="165" spans="5:16" x14ac:dyDescent="0.25">
      <c r="E165" s="170">
        <f t="shared" si="929"/>
        <v>7.3833341339035394E-2</v>
      </c>
      <c r="F165" s="170">
        <f t="shared" si="929"/>
        <v>-0.97598637932265353</v>
      </c>
      <c r="G165" s="170">
        <f t="shared" si="929"/>
        <v>-0.20493712470748465</v>
      </c>
      <c r="H165" s="139"/>
      <c r="I165" s="86"/>
      <c r="J165" s="79">
        <f t="shared" si="930"/>
        <v>2.117</v>
      </c>
    </row>
    <row r="166" spans="5:16" x14ac:dyDescent="0.25">
      <c r="E166" s="170">
        <f t="shared" si="929"/>
        <v>-8.631498754785133E-2</v>
      </c>
      <c r="F166" s="170">
        <f t="shared" si="929"/>
        <v>-0.98480896020686681</v>
      </c>
      <c r="G166" s="170">
        <f t="shared" si="929"/>
        <v>-0.15066862586777791</v>
      </c>
      <c r="H166" s="139"/>
      <c r="I166" s="86"/>
      <c r="J166" s="79">
        <f t="shared" si="930"/>
        <v>2.1219999999999999</v>
      </c>
    </row>
    <row r="167" spans="5:16" x14ac:dyDescent="0.25">
      <c r="E167" s="170">
        <f t="shared" si="929"/>
        <v>-0.313993058159167</v>
      </c>
      <c r="F167" s="170">
        <f t="shared" si="929"/>
        <v>-0.94942527848579905</v>
      </c>
      <c r="G167" s="170">
        <f t="shared" si="929"/>
        <v>-1.3008419217248076E-7</v>
      </c>
      <c r="H167" s="139"/>
      <c r="I167" s="86"/>
      <c r="J167" s="79">
        <f t="shared" si="930"/>
        <v>2.1269999999999998</v>
      </c>
    </row>
    <row r="168" spans="5:16" x14ac:dyDescent="0.25">
      <c r="E168" s="170">
        <f t="shared" si="929"/>
        <v>-0.14112000593596713</v>
      </c>
      <c r="F168" s="170">
        <f t="shared" si="929"/>
        <v>9.1998910130188429E-3</v>
      </c>
      <c r="G168" s="170">
        <f t="shared" si="929"/>
        <v>-0.98994974919436252</v>
      </c>
      <c r="H168" s="139"/>
      <c r="I168" s="86"/>
      <c r="J168" s="79">
        <f t="shared" si="930"/>
        <v>2.2120000000000002</v>
      </c>
    </row>
    <row r="169" spans="5:16" x14ac:dyDescent="0.25">
      <c r="E169" s="170">
        <f t="shared" si="929"/>
        <v>-0.47615509570196035</v>
      </c>
      <c r="F169" s="170">
        <f t="shared" si="929"/>
        <v>8.8933372074892023E-3</v>
      </c>
      <c r="G169" s="170">
        <f t="shared" si="929"/>
        <v>-0.879316344321184</v>
      </c>
      <c r="H169" s="139"/>
      <c r="I169" s="86"/>
      <c r="J169" s="79">
        <f t="shared" si="930"/>
        <v>2.2170000000000001</v>
      </c>
    </row>
    <row r="170" spans="5:16" x14ac:dyDescent="0.25">
      <c r="E170" s="170">
        <f t="shared" si="929"/>
        <v>-0.75910945438804922</v>
      </c>
      <c r="F170" s="170">
        <f t="shared" si="929"/>
        <v>-0.59991970243810988</v>
      </c>
      <c r="G170" s="170">
        <f t="shared" si="929"/>
        <v>-0.25268396641901958</v>
      </c>
      <c r="H170" s="139"/>
      <c r="I170" s="86"/>
      <c r="J170" s="79">
        <f t="shared" si="930"/>
        <v>3.1030000000000002</v>
      </c>
    </row>
    <row r="171" spans="5:16" x14ac:dyDescent="0.25">
      <c r="E171" s="170">
        <f t="shared" si="929"/>
        <v>-0.75910945438804889</v>
      </c>
      <c r="F171" s="170">
        <f t="shared" si="929"/>
        <v>-0.59991970243811021</v>
      </c>
      <c r="G171" s="170">
        <f t="shared" si="929"/>
        <v>-0.25268396641901947</v>
      </c>
      <c r="H171" s="139"/>
      <c r="I171" s="86"/>
      <c r="J171" s="79">
        <f t="shared" si="930"/>
        <v>3.1059999999999999</v>
      </c>
      <c r="O171" t="str">
        <f>IF($J24="","",IFERROR(INDEX(_xlfn.ANCHORARRAY(Settings!$BC$14),MATCH(IFERROR(INDEX(Settings!$AK$14:$AK$32,MATCH((((ROUND($H24,6)*2)*1000000)+ROUND($I24,6)),Settings!$AI$14:$AI$32,0)),"Undefined"),_xlfn.ANCHORARRAY(Settings!$BC$14),0)),"Inactive"))</f>
        <v>Inactive</v>
      </c>
    </row>
    <row r="172" spans="5:16" x14ac:dyDescent="0.25">
      <c r="E172" s="170">
        <f t="shared" si="929"/>
        <v>-0.83640374808558526</v>
      </c>
      <c r="F172" s="170">
        <f t="shared" si="929"/>
        <v>-0.48574339900035307</v>
      </c>
      <c r="G172" s="170">
        <f t="shared" si="929"/>
        <v>-0.25393329934447112</v>
      </c>
      <c r="H172" s="139"/>
      <c r="I172" s="86"/>
      <c r="J172" s="79">
        <f t="shared" si="930"/>
        <v>3.1110000000000002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-0.91140607627806725</v>
      </c>
      <c r="F173" s="170">
        <f t="shared" si="929"/>
        <v>-0.3545893492848553</v>
      </c>
      <c r="G173" s="170">
        <f t="shared" si="929"/>
        <v>-0.2088189586631464</v>
      </c>
      <c r="H173" s="139"/>
      <c r="I173" s="86"/>
      <c r="J173" s="79">
        <f t="shared" si="930"/>
        <v>3.1160000000000001</v>
      </c>
      <c r="O173" t="str">
        <f>IF($J24="","",IFERROR(INDEX(Settings!$AK$14:$AK$32,MATCH((((ROUND($H24,6)*2)*1000000)+ROUND($I24,6)),Settings!$AI$14:$AI$32,0)),"Undefined"))</f>
        <v>CPS-32106r1</v>
      </c>
    </row>
    <row r="174" spans="5:16" x14ac:dyDescent="0.25">
      <c r="E174" s="170">
        <f t="shared" ref="E174:G193" si="933">E29*-1</f>
        <v>-0.96512446493506143</v>
      </c>
      <c r="F174" s="170">
        <f t="shared" si="933"/>
        <v>-0.20549019916621661</v>
      </c>
      <c r="G174" s="170">
        <f t="shared" si="933"/>
        <v>-0.16219909133666616</v>
      </c>
      <c r="H174" s="139"/>
      <c r="I174" s="86"/>
      <c r="J174" s="79">
        <f t="shared" si="930"/>
        <v>3.121</v>
      </c>
    </row>
    <row r="175" spans="5:16" x14ac:dyDescent="0.25">
      <c r="E175" s="170">
        <f t="shared" si="933"/>
        <v>-0.99627217445929783</v>
      </c>
      <c r="F175" s="170">
        <f t="shared" si="933"/>
        <v>-2.1887913281148925E-2</v>
      </c>
      <c r="G175" s="170">
        <f t="shared" si="933"/>
        <v>-8.344263688510474E-2</v>
      </c>
      <c r="H175" s="139"/>
      <c r="I175" s="86"/>
      <c r="J175" s="79">
        <f t="shared" si="930"/>
        <v>3.1259999999999999</v>
      </c>
    </row>
    <row r="176" spans="5:16" x14ac:dyDescent="0.25">
      <c r="E176" s="170">
        <f t="shared" si="933"/>
        <v>-0.99834179098215825</v>
      </c>
      <c r="F176" s="170">
        <f t="shared" si="933"/>
        <v>5.7564471495183615E-2</v>
      </c>
      <c r="G176" s="170">
        <f t="shared" si="933"/>
        <v>-1.3008419226915673E-7</v>
      </c>
      <c r="H176" s="139"/>
      <c r="I176" s="86"/>
      <c r="J176" s="79">
        <f t="shared" si="930"/>
        <v>3.1309999999999998</v>
      </c>
    </row>
    <row r="177" spans="5:10" x14ac:dyDescent="0.25">
      <c r="E177" s="170">
        <f t="shared" si="933"/>
        <v>-9.7133528470746688E-2</v>
      </c>
      <c r="F177" s="170">
        <f t="shared" si="933"/>
        <v>0.40119538796063298</v>
      </c>
      <c r="G177" s="170">
        <f t="shared" si="933"/>
        <v>-0.91082783133034528</v>
      </c>
      <c r="H177" s="139"/>
      <c r="I177" s="86"/>
      <c r="J177" s="79">
        <f t="shared" si="930"/>
        <v>3.2160000000000002</v>
      </c>
    </row>
    <row r="178" spans="5:10" x14ac:dyDescent="0.25">
      <c r="E178" s="170">
        <f t="shared" si="933"/>
        <v>-0.17762915973161625</v>
      </c>
      <c r="F178" s="170">
        <f t="shared" si="933"/>
        <v>0.68046848120420345</v>
      </c>
      <c r="G178" s="170">
        <f t="shared" si="933"/>
        <v>-0.71092230778101539</v>
      </c>
      <c r="H178" s="139"/>
      <c r="I178" s="86"/>
      <c r="J178" s="79">
        <f t="shared" si="930"/>
        <v>3.2210000000000001</v>
      </c>
    </row>
    <row r="179" spans="5:10" x14ac:dyDescent="0.25">
      <c r="E179" s="170">
        <f t="shared" si="933"/>
        <v>-0.72040130119855772</v>
      </c>
      <c r="F179" s="170">
        <f t="shared" si="933"/>
        <v>0.62835819528077674</v>
      </c>
      <c r="G179" s="170">
        <f t="shared" si="933"/>
        <v>-0.29357783236291934</v>
      </c>
      <c r="H179" s="139"/>
      <c r="I179" s="86"/>
      <c r="J179" s="79">
        <f t="shared" si="930"/>
        <v>4.1020000000000003</v>
      </c>
    </row>
    <row r="180" spans="5:10" x14ac:dyDescent="0.25">
      <c r="E180" s="170">
        <f t="shared" si="933"/>
        <v>-0.72262367725694254</v>
      </c>
      <c r="F180" s="170">
        <f t="shared" si="933"/>
        <v>0.64340176731371046</v>
      </c>
      <c r="G180" s="170">
        <f t="shared" si="933"/>
        <v>-0.25268396641901952</v>
      </c>
      <c r="H180" s="139"/>
      <c r="I180" s="86"/>
      <c r="J180" s="79">
        <f t="shared" si="930"/>
        <v>4.1050000000000004</v>
      </c>
    </row>
    <row r="181" spans="5:10" x14ac:dyDescent="0.25">
      <c r="E181" s="170">
        <f t="shared" si="933"/>
        <v>-0.64702479111823452</v>
      </c>
      <c r="F181" s="170">
        <f t="shared" si="933"/>
        <v>0.71728592196147078</v>
      </c>
      <c r="G181" s="170">
        <f t="shared" si="933"/>
        <v>-0.25857267031588621</v>
      </c>
      <c r="H181" s="139"/>
      <c r="I181" s="86"/>
      <c r="J181" s="79">
        <f t="shared" si="930"/>
        <v>4.1100000000000003</v>
      </c>
    </row>
    <row r="182" spans="5:10" x14ac:dyDescent="0.25">
      <c r="E182" s="170">
        <f t="shared" si="933"/>
        <v>-0.53525783175777686</v>
      </c>
      <c r="F182" s="170">
        <f t="shared" si="933"/>
        <v>0.81818109158688579</v>
      </c>
      <c r="G182" s="170">
        <f t="shared" si="933"/>
        <v>-0.20994941036272438</v>
      </c>
      <c r="H182" s="139"/>
      <c r="I182" s="86"/>
      <c r="J182" s="79">
        <f t="shared" si="930"/>
        <v>4.1150000000000002</v>
      </c>
    </row>
    <row r="183" spans="5:10" x14ac:dyDescent="0.25">
      <c r="E183" s="170">
        <f t="shared" si="933"/>
        <v>-0.39629702669949535</v>
      </c>
      <c r="F183" s="170">
        <f t="shared" si="933"/>
        <v>0.90095076670283136</v>
      </c>
      <c r="G183" s="170">
        <f t="shared" si="933"/>
        <v>-0.17673817529532163</v>
      </c>
      <c r="H183" s="139"/>
      <c r="I183" s="86"/>
      <c r="J183" s="79">
        <f t="shared" si="930"/>
        <v>4.12</v>
      </c>
    </row>
    <row r="184" spans="5:10" x14ac:dyDescent="0.25">
      <c r="E184" s="170">
        <f t="shared" si="933"/>
        <v>-0.23114527296000648</v>
      </c>
      <c r="F184" s="170">
        <f t="shared" si="933"/>
        <v>0.96724265508765028</v>
      </c>
      <c r="G184" s="170">
        <f t="shared" si="933"/>
        <v>-0.10494526653087875</v>
      </c>
      <c r="H184" s="139"/>
      <c r="I184" s="86"/>
      <c r="J184" s="79">
        <f t="shared" si="930"/>
        <v>4.125</v>
      </c>
    </row>
    <row r="185" spans="5:10" x14ac:dyDescent="0.25">
      <c r="E185" s="170">
        <f t="shared" si="933"/>
        <v>-0.11667049508498985</v>
      </c>
      <c r="F185" s="170">
        <f t="shared" si="933"/>
        <v>0.99317067796859904</v>
      </c>
      <c r="G185" s="170">
        <f t="shared" si="933"/>
        <v>-1.3008419303862608E-7</v>
      </c>
      <c r="H185" s="139"/>
      <c r="I185" s="86"/>
      <c r="J185" s="79">
        <f t="shared" si="930"/>
        <v>4.13</v>
      </c>
    </row>
    <row r="186" spans="5:10" x14ac:dyDescent="0.25">
      <c r="E186" s="170">
        <f t="shared" si="933"/>
        <v>0.31903117405629972</v>
      </c>
      <c r="F186" s="170">
        <f t="shared" si="933"/>
        <v>0.13673707488041045</v>
      </c>
      <c r="G186" s="170">
        <f t="shared" si="933"/>
        <v>-0.93782838639775035</v>
      </c>
      <c r="H186" s="139"/>
      <c r="I186" s="86"/>
      <c r="J186" s="79">
        <f t="shared" si="930"/>
        <v>4.2149999999999999</v>
      </c>
    </row>
    <row r="187" spans="5:10" x14ac:dyDescent="0.25">
      <c r="E187" s="170">
        <f t="shared" si="933"/>
        <v>0.59244662747113852</v>
      </c>
      <c r="F187" s="170">
        <f t="shared" si="933"/>
        <v>0.27024331865483803</v>
      </c>
      <c r="G187" s="170">
        <f t="shared" si="933"/>
        <v>-0.75893052535821337</v>
      </c>
      <c r="H187" s="139"/>
      <c r="I187" s="86"/>
      <c r="J187" s="79">
        <f t="shared" si="930"/>
        <v>4.22</v>
      </c>
    </row>
    <row r="188" spans="5:10" x14ac:dyDescent="0.25">
      <c r="E188" s="170">
        <f t="shared" si="933"/>
        <v>0.41476675447269679</v>
      </c>
      <c r="F188" s="170">
        <f t="shared" si="933"/>
        <v>0.87178849328581287</v>
      </c>
      <c r="G188" s="170">
        <f t="shared" si="933"/>
        <v>-0.26067865727488704</v>
      </c>
      <c r="H188" s="139"/>
      <c r="I188" s="86"/>
      <c r="J188" s="79">
        <f t="shared" si="930"/>
        <v>5.109</v>
      </c>
    </row>
    <row r="189" spans="5:10" x14ac:dyDescent="0.25">
      <c r="E189" s="170">
        <f t="shared" si="933"/>
        <v>0.56164996448692717</v>
      </c>
      <c r="F189" s="170">
        <f t="shared" si="933"/>
        <v>0.79636257400775012</v>
      </c>
      <c r="G189" s="170">
        <f t="shared" si="933"/>
        <v>-0.22440135496824509</v>
      </c>
      <c r="H189" s="139"/>
      <c r="I189" s="86"/>
      <c r="J189" s="79">
        <f t="shared" si="930"/>
        <v>5.1139999999999999</v>
      </c>
    </row>
    <row r="190" spans="5:10" x14ac:dyDescent="0.25">
      <c r="E190" s="170">
        <f t="shared" si="933"/>
        <v>0.68767616548462684</v>
      </c>
      <c r="F190" s="170">
        <f t="shared" si="933"/>
        <v>0.70103583383144841</v>
      </c>
      <c r="G190" s="170">
        <f t="shared" si="933"/>
        <v>-0.18881274085348751</v>
      </c>
      <c r="H190" s="139"/>
      <c r="I190" s="86"/>
      <c r="J190" s="79">
        <f t="shared" si="930"/>
        <v>5.1189999999999998</v>
      </c>
    </row>
    <row r="191" spans="5:10" x14ac:dyDescent="0.25">
      <c r="E191" s="170">
        <f t="shared" si="933"/>
        <v>0.80593524662784177</v>
      </c>
      <c r="F191" s="170">
        <f t="shared" si="933"/>
        <v>0.57920408624027708</v>
      </c>
      <c r="G191" s="170">
        <f t="shared" si="933"/>
        <v>-0.12243775857751375</v>
      </c>
      <c r="H191" s="139"/>
      <c r="I191" s="86"/>
      <c r="J191" s="79">
        <f t="shared" si="930"/>
        <v>5.1239999999999997</v>
      </c>
    </row>
    <row r="192" spans="5:10" x14ac:dyDescent="0.25">
      <c r="E192" s="170">
        <f t="shared" si="933"/>
        <v>0.89337141855912183</v>
      </c>
      <c r="F192" s="170">
        <f t="shared" si="933"/>
        <v>0.44931893850765453</v>
      </c>
      <c r="G192" s="170">
        <f t="shared" si="933"/>
        <v>-1.3008419232888124E-7</v>
      </c>
      <c r="H192" s="139"/>
      <c r="I192" s="86"/>
      <c r="J192" s="79">
        <f t="shared" si="930"/>
        <v>5.1289999999999996</v>
      </c>
    </row>
    <row r="193" spans="5:10" x14ac:dyDescent="0.25">
      <c r="E193" s="170">
        <f t="shared" si="933"/>
        <v>0.18973297403357736</v>
      </c>
      <c r="F193" s="170">
        <f t="shared" si="933"/>
        <v>-0.20568338206101144</v>
      </c>
      <c r="G193" s="170">
        <f t="shared" si="933"/>
        <v>-0.96004986584464347</v>
      </c>
      <c r="H193" s="139"/>
      <c r="I193" s="86"/>
      <c r="J193" s="79">
        <f t="shared" si="930"/>
        <v>5.2140000000000004</v>
      </c>
    </row>
    <row r="194" spans="5:10" x14ac:dyDescent="0.25">
      <c r="E194" s="170">
        <f t="shared" ref="E194:G213" si="934">E49*-1</f>
        <v>0.41661592400141689</v>
      </c>
      <c r="F194" s="170">
        <f t="shared" si="934"/>
        <v>-0.42573112551845638</v>
      </c>
      <c r="G194" s="170">
        <f t="shared" si="934"/>
        <v>-0.80323357787958161</v>
      </c>
      <c r="H194" s="139"/>
      <c r="I194" s="86"/>
      <c r="J194" s="79">
        <f t="shared" si="930"/>
        <v>5.2190000000000003</v>
      </c>
    </row>
    <row r="195" spans="5:10" x14ac:dyDescent="0.25">
      <c r="E195" s="170">
        <f t="shared" si="934"/>
        <v>0</v>
      </c>
      <c r="F195" s="170">
        <f t="shared" si="934"/>
        <v>0</v>
      </c>
      <c r="G195" s="170">
        <f t="shared" si="934"/>
        <v>0</v>
      </c>
      <c r="H195" s="139"/>
      <c r="I195" s="86"/>
      <c r="J195" s="79">
        <f t="shared" si="930"/>
        <v>0</v>
      </c>
    </row>
    <row r="196" spans="5:10" x14ac:dyDescent="0.25">
      <c r="E196" s="170">
        <f t="shared" si="934"/>
        <v>0</v>
      </c>
      <c r="F196" s="170">
        <f t="shared" si="934"/>
        <v>0</v>
      </c>
      <c r="G196" s="170">
        <f t="shared" si="934"/>
        <v>0</v>
      </c>
      <c r="H196" s="139"/>
      <c r="I196" s="86"/>
      <c r="J196" s="79">
        <f t="shared" si="930"/>
        <v>0</v>
      </c>
    </row>
    <row r="197" spans="5:10" x14ac:dyDescent="0.25">
      <c r="E197" s="170">
        <f t="shared" si="934"/>
        <v>0</v>
      </c>
      <c r="F197" s="170">
        <f t="shared" si="934"/>
        <v>0</v>
      </c>
      <c r="G197" s="170">
        <f t="shared" si="934"/>
        <v>0</v>
      </c>
      <c r="H197" s="139"/>
      <c r="I197" s="86"/>
      <c r="J197" s="79">
        <f t="shared" si="930"/>
        <v>0</v>
      </c>
    </row>
    <row r="198" spans="5:10" x14ac:dyDescent="0.25">
      <c r="E198" s="170">
        <f t="shared" si="934"/>
        <v>0</v>
      </c>
      <c r="F198" s="170">
        <f t="shared" si="934"/>
        <v>0</v>
      </c>
      <c r="G198" s="170">
        <f t="shared" si="934"/>
        <v>0</v>
      </c>
      <c r="H198" s="139"/>
      <c r="I198" s="86"/>
      <c r="J198" s="79">
        <f t="shared" si="930"/>
        <v>0</v>
      </c>
    </row>
    <row r="199" spans="5:10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</row>
    <row r="200" spans="5:10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</row>
    <row r="201" spans="5:10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</row>
    <row r="202" spans="5:10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39" priority="136" stopIfTrue="1" operator="between">
      <formula>9</formula>
      <formula>9.99</formula>
    </cfRule>
    <cfRule type="cellIs" dxfId="38" priority="137" stopIfTrue="1" operator="between">
      <formula>8</formula>
      <formula>8.99</formula>
    </cfRule>
    <cfRule type="cellIs" dxfId="37" priority="138" stopIfTrue="1" operator="between">
      <formula>7</formula>
      <formula>7.99</formula>
    </cfRule>
    <cfRule type="cellIs" dxfId="36" priority="139" stopIfTrue="1" operator="between">
      <formula>6</formula>
      <formula>6.99</formula>
    </cfRule>
    <cfRule type="cellIs" dxfId="35" priority="140" stopIfTrue="1" operator="between">
      <formula>5</formula>
      <formula>5.99</formula>
    </cfRule>
    <cfRule type="cellIs" dxfId="34" priority="141" stopIfTrue="1" operator="between">
      <formula>4</formula>
      <formula>4.99</formula>
    </cfRule>
    <cfRule type="cellIs" dxfId="33" priority="142" stopIfTrue="1" operator="between">
      <formula>3</formula>
      <formula>3.99</formula>
    </cfRule>
    <cfRule type="cellIs" dxfId="32" priority="143" stopIfTrue="1" operator="between">
      <formula>2</formula>
      <formula>2.99</formula>
    </cfRule>
    <cfRule type="cellIs" dxfId="31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2" stopIfTrue="1" operator="between">
      <formula>9</formula>
      <formula>9.99</formula>
    </cfRule>
    <cfRule type="cellIs" dxfId="29" priority="23" stopIfTrue="1" operator="between">
      <formula>8</formula>
      <formula>8.99</formula>
    </cfRule>
    <cfRule type="cellIs" dxfId="28" priority="24" stopIfTrue="1" operator="between">
      <formula>7</formula>
      <formula>7.99</formula>
    </cfRule>
    <cfRule type="cellIs" dxfId="27" priority="25" stopIfTrue="1" operator="between">
      <formula>6</formula>
      <formula>6.99</formula>
    </cfRule>
    <cfRule type="cellIs" dxfId="26" priority="26" stopIfTrue="1" operator="between">
      <formula>5</formula>
      <formula>5.99</formula>
    </cfRule>
    <cfRule type="cellIs" dxfId="25" priority="27" stopIfTrue="1" operator="between">
      <formula>4</formula>
      <formula>4.99</formula>
    </cfRule>
    <cfRule type="cellIs" dxfId="24" priority="28" stopIfTrue="1" operator="between">
      <formula>3</formula>
      <formula>3.99</formula>
    </cfRule>
    <cfRule type="cellIs" dxfId="23" priority="29" stopIfTrue="1" operator="between">
      <formula>2</formula>
      <formula>2.99</formula>
    </cfRule>
    <cfRule type="cellIs" dxfId="22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D8ED9B6C-DC1D-46F0-B84F-5D3F836AF6C7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7468C2D1-4AC1-4035-AB68-779719F3B19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9" t="str">
        <f>CONCATENATE(Settings!$C$19," ",Settings!$B$28)</f>
        <v>8.75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M1" s="107" t="s">
        <v>319</v>
      </c>
      <c r="N1" s="1261" t="s">
        <v>321</v>
      </c>
      <c r="O1" s="1261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0" t="str">
        <f>Settings!B28</f>
        <v xml:space="preserve"> Job# --- Assy# --- Post Braze --- yy.mm.dd</v>
      </c>
      <c r="C2" s="1271"/>
      <c r="D2" s="1271"/>
      <c r="E2" s="1271"/>
      <c r="F2" s="1271"/>
      <c r="G2" s="1271"/>
      <c r="H2" s="1271"/>
      <c r="I2" s="1271"/>
      <c r="J2" s="1271"/>
      <c r="K2" s="1272"/>
      <c r="L2" s="984" t="str" cm="1">
        <f t="array" ref="L2">IF(OR($K$9:$K$150="Undefined"),"Undefined Element","")</f>
        <v/>
      </c>
      <c r="M2" s="1267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83" t="str">
        <f>M2</f>
        <v>CS-Name</v>
      </c>
      <c r="AW2" s="1297"/>
      <c r="AX2" s="1297"/>
      <c r="AY2" s="1297"/>
      <c r="AZ2" s="1297"/>
      <c r="BA2" s="1297"/>
      <c r="BB2" s="1297"/>
      <c r="BC2" s="1298"/>
      <c r="BF2" s="1290" t="s">
        <v>322</v>
      </c>
      <c r="BG2" s="1291"/>
      <c r="BH2" s="1291"/>
      <c r="BI2" s="1291"/>
      <c r="BJ2" s="1291"/>
      <c r="BK2" s="1292"/>
      <c r="BM2" s="1307" t="s">
        <v>279</v>
      </c>
      <c r="BN2" s="1223"/>
      <c r="BO2" s="1223"/>
      <c r="BP2" s="1224"/>
      <c r="BR2" s="1307" t="s">
        <v>279</v>
      </c>
      <c r="BS2" s="1223"/>
      <c r="BT2" s="1223"/>
      <c r="BU2" s="122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4"/>
      <c r="C3" s="1235"/>
      <c r="D3" s="1235"/>
      <c r="E3" s="1235"/>
      <c r="F3" s="1235"/>
      <c r="G3" s="1235"/>
      <c r="H3" s="1235"/>
      <c r="I3" s="1235"/>
      <c r="J3" s="1235"/>
      <c r="K3" s="1236"/>
      <c r="L3" s="984"/>
      <c r="M3" s="1268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048"/>
      <c r="AA3" s="1049"/>
      <c r="AB3" s="1049"/>
      <c r="AC3" s="1049"/>
      <c r="AD3" s="1049"/>
      <c r="AE3" s="1049"/>
      <c r="AF3" s="1049"/>
      <c r="AG3" s="1049"/>
      <c r="AH3" s="1049"/>
      <c r="AI3" s="1049"/>
      <c r="AJ3" s="1049"/>
      <c r="AK3" s="1049"/>
      <c r="AL3" s="1049"/>
      <c r="AM3" s="1049"/>
      <c r="AN3" s="1049"/>
      <c r="AO3" s="1049"/>
      <c r="AP3" s="1049"/>
      <c r="AQ3" s="1163"/>
      <c r="AS3" s="466">
        <v>100</v>
      </c>
      <c r="AT3" s="463" t="s">
        <v>45</v>
      </c>
      <c r="AV3" s="1284"/>
      <c r="AW3" s="1299"/>
      <c r="AX3" s="1299"/>
      <c r="AY3" s="1299"/>
      <c r="AZ3" s="1299"/>
      <c r="BA3" s="1299"/>
      <c r="BB3" s="1299"/>
      <c r="BC3" s="1300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8" t="s">
        <v>316</v>
      </c>
      <c r="C4" s="913"/>
      <c r="D4" s="913"/>
      <c r="E4" s="913"/>
      <c r="F4" s="913"/>
      <c r="G4" s="913"/>
      <c r="H4" s="913"/>
      <c r="I4" s="913"/>
      <c r="J4" s="913"/>
      <c r="K4" s="1273"/>
      <c r="L4" s="984"/>
      <c r="M4" s="1268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Q4</f>
        <v>Polar XY; Cartesian Z</v>
      </c>
      <c r="X4" s="1167"/>
      <c r="Y4" s="1233"/>
      <c r="Z4" s="1263" t="s">
        <v>3</v>
      </c>
      <c r="AA4" s="1264"/>
      <c r="AB4" s="1264"/>
      <c r="AC4" s="1264"/>
      <c r="AD4" s="1264"/>
      <c r="AE4" s="1264"/>
      <c r="AF4" s="1264"/>
      <c r="AG4" s="1303" t="s">
        <v>31</v>
      </c>
      <c r="AH4" s="1264"/>
      <c r="AI4" s="1264"/>
      <c r="AJ4" s="1304"/>
      <c r="AK4" s="1310" t="s">
        <v>32</v>
      </c>
      <c r="AL4" s="1311"/>
      <c r="AM4" s="1311"/>
      <c r="AN4" s="1311"/>
      <c r="AO4" s="1311"/>
      <c r="AP4" s="1311"/>
      <c r="AQ4" s="1312"/>
      <c r="AS4" s="467">
        <v>125</v>
      </c>
      <c r="AT4" s="464" t="s">
        <v>46</v>
      </c>
      <c r="AV4" s="1284"/>
      <c r="AW4" s="1301"/>
      <c r="AX4" s="1301"/>
      <c r="AY4" s="1301"/>
      <c r="AZ4" s="1302"/>
      <c r="BA4" s="1301" t="str">
        <f>Z2</f>
        <v>PDC Orientation</v>
      </c>
      <c r="BB4" s="1301"/>
      <c r="BC4" s="1302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0" t="s">
        <v>381</v>
      </c>
      <c r="IF4" s="900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4" t="str">
        <f>CONCATENATE(B7," ; ",E7," ; ",H8)</f>
        <v>Absolute-Point ; Incremental-Vector Point ; Radius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68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&amp; Z; Z Axis")</f>
        <v>Relative to 's θ &amp; Z; Z Axis</v>
      </c>
      <c r="U5" s="1137"/>
      <c r="V5" s="1138"/>
      <c r="W5" s="1137" t="str">
        <f>CONCATENATE("Relative to ",M8,"'s θ &amp; Z; Z Axis")</f>
        <v>Relative to 's θ &amp; Z;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84"/>
      <c r="AW5" s="1258" t="str">
        <f>W4</f>
        <v>Polar XY; Cartesian Z</v>
      </c>
      <c r="AX5" s="1167"/>
      <c r="AY5" s="1167"/>
      <c r="AZ5" s="985" t="s">
        <v>104</v>
      </c>
      <c r="BA5" s="1167" t="str">
        <f>AK4</f>
        <v>Polar Z Projection → XZ Plane</v>
      </c>
      <c r="BB5" s="1167"/>
      <c r="BC5" s="1168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/>
      </c>
      <c r="M6" s="1268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Q6</f>
        <v>Projected XY</v>
      </c>
      <c r="X6" s="1170"/>
      <c r="Y6" s="1211" t="str">
        <f>S6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258" t="str">
        <f>AD6</f>
        <v>Unit Vector</v>
      </c>
      <c r="AL6" s="1167"/>
      <c r="AM6" s="1168"/>
      <c r="AN6" s="34" t="s">
        <v>15</v>
      </c>
      <c r="AO6" s="35" t="s">
        <v>16</v>
      </c>
      <c r="AP6" s="737" t="s">
        <v>17</v>
      </c>
      <c r="AQ6" s="1265" t="s">
        <v>108</v>
      </c>
      <c r="AS6" s="172">
        <f>(AS5/360)</f>
        <v>6.9444444444444447E-4</v>
      </c>
      <c r="AT6" s="465" t="s">
        <v>48</v>
      </c>
      <c r="AV6" s="1284"/>
      <c r="AW6" s="1136" t="str">
        <f>W5</f>
        <v>Relative to 's θ &amp; Z; Z Axis</v>
      </c>
      <c r="AX6" s="1137"/>
      <c r="AY6" s="1137"/>
      <c r="AZ6" s="1280"/>
      <c r="BA6" s="1137" t="str">
        <f>AK5</f>
        <v>Vector Along X Axis</v>
      </c>
      <c r="BB6" s="1137"/>
      <c r="BC6" s="1174"/>
      <c r="BD6" s="468"/>
      <c r="BF6" s="461">
        <f>SUM(AZ9:AZ150)</f>
        <v>0</v>
      </c>
      <c r="BG6" s="1262" t="s">
        <v>318</v>
      </c>
      <c r="BH6" s="1262"/>
      <c r="BI6" s="1262"/>
      <c r="BJ6" s="1262"/>
      <c r="BK6" s="1262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1" t="s">
        <v>40</v>
      </c>
      <c r="C7" s="1252"/>
      <c r="D7" s="1253"/>
      <c r="E7" s="1254" t="s">
        <v>41</v>
      </c>
      <c r="F7" s="1252"/>
      <c r="G7" s="1255"/>
      <c r="H7" s="880" t="s">
        <v>314</v>
      </c>
      <c r="I7" s="878"/>
      <c r="J7" s="879"/>
      <c r="K7" s="539"/>
      <c r="L7" s="984"/>
      <c r="M7" s="126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Q7</f>
        <v>&lt; θ°</v>
      </c>
      <c r="X7" s="27" t="str">
        <f>R7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6"/>
      <c r="AS7" s="1305" t="s">
        <v>54</v>
      </c>
      <c r="AT7" s="1308" t="s">
        <v>53</v>
      </c>
      <c r="AV7" s="1284"/>
      <c r="AW7" s="1279" t="str">
        <f>$W$6</f>
        <v>Projected XY</v>
      </c>
      <c r="AX7" s="1170"/>
      <c r="AY7" s="1281" t="str">
        <f>$Y$6</f>
        <v>Z</v>
      </c>
      <c r="AZ7" s="1280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2"/>
      <c r="BH7" s="1262"/>
      <c r="BI7" s="1262"/>
      <c r="BJ7" s="1262"/>
      <c r="BK7" s="1262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313" t="s">
        <v>364</v>
      </c>
      <c r="JC7" s="1220"/>
      <c r="JD7" s="1220"/>
      <c r="JE7" s="122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4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6"/>
      <c r="AT8" s="1309"/>
      <c r="AV8" s="1285"/>
      <c r="AW8" s="46" t="str">
        <f>$W$7</f>
        <v>&lt; θ°</v>
      </c>
      <c r="AX8" s="27" t="str">
        <f>$X$7</f>
        <v>r</v>
      </c>
      <c r="AY8" s="1282"/>
      <c r="AZ8" s="986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7" t="str">
        <f>$W$6</f>
        <v>Projected XY</v>
      </c>
      <c r="AX152" s="1278"/>
      <c r="AY152" s="1295" t="str">
        <f>$Y$6</f>
        <v>Z</v>
      </c>
      <c r="AZ152" s="1293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6"/>
      <c r="AZ153" s="1294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40" t="s">
        <v>42</v>
      </c>
      <c r="C157" s="1241"/>
      <c r="D157" s="1241"/>
      <c r="E157" s="1241"/>
      <c r="F157" s="1241"/>
      <c r="G157" s="1241"/>
      <c r="H157" s="1241"/>
      <c r="I157" s="1241"/>
      <c r="J157" s="1241"/>
      <c r="K157" s="1242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3"/>
      <c r="C158" s="1198"/>
      <c r="D158" s="1198"/>
      <c r="E158" s="1198"/>
      <c r="F158" s="1198"/>
      <c r="G158" s="1198"/>
      <c r="H158" s="1198"/>
      <c r="I158" s="1198"/>
      <c r="J158" s="1198"/>
      <c r="K158" s="1244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5"/>
      <c r="C159" s="1246"/>
      <c r="D159" s="1246"/>
      <c r="E159" s="1246"/>
      <c r="F159" s="1246"/>
      <c r="G159" s="1246"/>
      <c r="H159" s="1246"/>
      <c r="I159" s="1246"/>
      <c r="J159" s="1246"/>
      <c r="K159" s="1247"/>
      <c r="AQ159" s="166"/>
      <c r="BD159" s="468"/>
    </row>
    <row r="160" spans="1:259" ht="15" customHeight="1" x14ac:dyDescent="0.25">
      <c r="B160" s="1234" t="str">
        <f>CONCATENATE(B162," ; ",E162," ; ",H163)</f>
        <v>Absolute-Point ; Incremental-Vector Point ; Radius</v>
      </c>
      <c r="C160" s="1235"/>
      <c r="D160" s="1235"/>
      <c r="E160" s="1235"/>
      <c r="F160" s="1235"/>
      <c r="G160" s="1235"/>
      <c r="H160" s="1235"/>
      <c r="I160" s="1235"/>
      <c r="J160" s="1235"/>
      <c r="K160" s="1236"/>
      <c r="AQ160" s="166"/>
      <c r="BD160" s="468"/>
    </row>
    <row r="161" spans="2:56" ht="15" customHeight="1" x14ac:dyDescent="0.25">
      <c r="B161" s="1237"/>
      <c r="C161" s="1238"/>
      <c r="D161" s="1238"/>
      <c r="E161" s="1238"/>
      <c r="F161" s="1238"/>
      <c r="G161" s="1238"/>
      <c r="H161" s="1238"/>
      <c r="I161" s="1238"/>
      <c r="J161" s="1238"/>
      <c r="K161" s="1239"/>
      <c r="AQ161" s="166"/>
      <c r="BD161" s="468"/>
    </row>
    <row r="162" spans="2:56" ht="15" customHeight="1" x14ac:dyDescent="0.25">
      <c r="B162" s="1251" t="s">
        <v>40</v>
      </c>
      <c r="C162" s="1252"/>
      <c r="D162" s="1253"/>
      <c r="E162" s="1254" t="s">
        <v>41</v>
      </c>
      <c r="F162" s="1252"/>
      <c r="G162" s="1255"/>
      <c r="H162" s="880" t="s">
        <v>314</v>
      </c>
      <c r="I162" s="878"/>
      <c r="J162" s="879"/>
      <c r="K162" s="539"/>
      <c r="M162" s="1026" t="s">
        <v>313</v>
      </c>
      <c r="N162" s="1274"/>
      <c r="O162" s="1286" t="s">
        <v>292</v>
      </c>
      <c r="P162" s="1287"/>
      <c r="Q162" s="1288"/>
      <c r="R162" s="1289" t="s">
        <v>41</v>
      </c>
      <c r="S162" s="1287"/>
      <c r="T162" s="1288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5"/>
      <c r="N163" s="1276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1713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1713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1.1080000000000001</v>
      </c>
      <c r="N166" s="869">
        <f>Assy.Model!K11</f>
        <v>1713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1.113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1.1180000000000001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1.1279999999999999</v>
      </c>
      <c r="N169" s="869">
        <f>Assy.Model!K14</f>
        <v>1313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1.1319999999999999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1.2130000000000001</v>
      </c>
      <c r="N171" s="869" t="str">
        <f>Assy.Model!K16</f>
        <v>Inactive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1.218</v>
      </c>
      <c r="N172" s="869" t="str">
        <f>Assy.Model!K17</f>
        <v>Inactive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2.1070000000000002</v>
      </c>
      <c r="N173" s="869">
        <f>Assy.Model!K18</f>
        <v>1713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2.1120000000000001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2.117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2.1219999999999999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2.1269999999999998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2.2120000000000002</v>
      </c>
      <c r="N178" s="869" t="str">
        <f>Assy.Model!K23</f>
        <v>Inactive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2.2170000000000001</v>
      </c>
      <c r="N179" s="869" t="str">
        <f>Assy.Model!K24</f>
        <v>Inactive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3.1030000000000002</v>
      </c>
      <c r="N180" s="869">
        <f>Assy.Model!K25</f>
        <v>1713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3.1059999999999999</v>
      </c>
      <c r="N181" s="869">
        <f>Assy.Model!K26</f>
        <v>1713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3.1110000000000002</v>
      </c>
      <c r="N182" s="869">
        <f>Assy.Model!K27</f>
        <v>1713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3.1160000000000001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3.121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3.1259999999999999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3.1309999999999998</v>
      </c>
      <c r="N186" s="869">
        <f>Assy.Model!K31</f>
        <v>1313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3.2160000000000002</v>
      </c>
      <c r="N187" s="869" t="str">
        <f>Assy.Model!K32</f>
        <v>Inactive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3.2210000000000001</v>
      </c>
      <c r="N188" s="869" t="str">
        <f>Assy.Model!K33</f>
        <v>Inactive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4.1020000000000003</v>
      </c>
      <c r="N189" s="869">
        <f>Assy.Model!K34</f>
        <v>1713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4.1050000000000004</v>
      </c>
      <c r="N190" s="869">
        <f>Assy.Model!K35</f>
        <v>1713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4.1100000000000003</v>
      </c>
      <c r="N191" s="869">
        <f>Assy.Model!K36</f>
        <v>1713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4.1150000000000002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4.12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4.125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4.13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4.2149999999999999</v>
      </c>
      <c r="N196" s="869" t="str">
        <f>Assy.Model!K41</f>
        <v>Inactive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4.22</v>
      </c>
      <c r="N197" s="869" t="str">
        <f>Assy.Model!K42</f>
        <v>Inactive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5.109</v>
      </c>
      <c r="N198" s="869">
        <f>Assy.Model!K43</f>
        <v>1713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5.1139999999999999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5.1189999999999998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5.1239999999999997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5.1289999999999996</v>
      </c>
      <c r="N202" s="869">
        <f>Assy.Model!K47</f>
        <v>1313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5.2140000000000004</v>
      </c>
      <c r="N203" s="869" t="str">
        <f>Assy.Model!K48</f>
        <v>Inactive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5.2190000000000003</v>
      </c>
      <c r="N204" s="869" t="str">
        <f>Assy.Model!K49</f>
        <v>Inactive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 t="str">
        <f>Assy.Model!$M50</f>
        <v/>
      </c>
      <c r="N205" s="869" t="str">
        <f>Assy.Model!K50</f>
        <v/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 t="str">
        <f>Assy.Model!$M51</f>
        <v/>
      </c>
      <c r="N206" s="869" t="str">
        <f>Assy.Model!K51</f>
        <v/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 t="str">
        <f>Assy.Model!$M52</f>
        <v/>
      </c>
      <c r="N207" s="869" t="str">
        <f>Assy.Model!K52</f>
        <v/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 t="str">
        <f>Assy.Model!$M53</f>
        <v/>
      </c>
      <c r="N208" s="869" t="str">
        <f>Assy.Model!K53</f>
        <v/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2023-03-29T17:21:54Z</dcterms:modified>
</cp:coreProperties>
</file>