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98\"/>
    </mc:Choice>
  </mc:AlternateContent>
  <xr:revisionPtr revIDLastSave="0" documentId="8_{994F09DA-44FB-491B-B774-15DA96F49ECD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V23" i="1"/>
  <c r="IS23" i="1"/>
  <c r="IK23" i="1"/>
  <c r="IT23" i="1"/>
  <c r="IJ23" i="1"/>
  <c r="IW23" i="1"/>
  <c r="IN23" i="1"/>
  <c r="IP23" i="1"/>
  <c r="IL23" i="1"/>
  <c r="IY23" i="1"/>
  <c r="IX23" i="1"/>
  <c r="IU23" i="1"/>
  <c r="IE23" i="1" s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J38" i="1"/>
  <c r="IW38" i="1"/>
  <c r="IK38" i="1"/>
  <c r="IY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T20" i="1"/>
  <c r="IQ20" i="1"/>
  <c r="IJ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T30" i="1"/>
  <c r="IQ30" i="1"/>
  <c r="IV30" i="1"/>
  <c r="IK30" i="1"/>
  <c r="IJ30" i="1"/>
  <c r="IY30" i="1"/>
  <c r="IW30" i="1"/>
  <c r="IX30" i="1"/>
  <c r="IS30" i="1"/>
  <c r="IR30" i="1"/>
  <c r="IP30" i="1"/>
  <c r="IN30" i="1"/>
  <c r="IL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X46" i="1"/>
  <c r="IV46" i="1"/>
  <c r="IR46" i="1"/>
  <c r="IS46" i="1"/>
  <c r="IN46" i="1"/>
  <c r="IT46" i="1"/>
  <c r="IW46" i="1"/>
  <c r="IU46" i="1"/>
  <c r="IE46" i="1" s="1"/>
  <c r="IK46" i="1"/>
  <c r="IP46" i="1"/>
  <c r="IJ46" i="1"/>
  <c r="IL46" i="1"/>
  <c r="IY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J50" i="1"/>
  <c r="IW50" i="1"/>
  <c r="IQ50" i="1"/>
  <c r="IN50" i="1"/>
  <c r="IP50" i="1"/>
  <c r="IR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V22" i="1"/>
  <c r="IW22" i="1"/>
  <c r="IU22" i="1"/>
  <c r="IE22" i="1" s="1"/>
  <c r="IS22" i="1"/>
  <c r="IK22" i="1"/>
  <c r="IR22" i="1"/>
  <c r="IT22" i="1"/>
  <c r="IQ22" i="1"/>
  <c r="IJ22" i="1"/>
  <c r="IP22" i="1"/>
  <c r="IX22" i="1"/>
  <c r="IN22" i="1"/>
  <c r="IY22" i="1"/>
  <c r="IL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K49" i="1"/>
  <c r="IJ49" i="1"/>
  <c r="IR49" i="1"/>
  <c r="IQ49" i="1"/>
  <c r="IW49" i="1"/>
  <c r="IP49" i="1"/>
  <c r="IN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S31" i="1"/>
  <c r="IX31" i="1"/>
  <c r="IJ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J18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J55" i="1"/>
  <c r="IW55" i="1"/>
  <c r="IQ55" i="1"/>
  <c r="IN55" i="1"/>
  <c r="IV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V39" i="1"/>
  <c r="IS39" i="1"/>
  <c r="IR39" i="1"/>
  <c r="IQ39" i="1"/>
  <c r="IL39" i="1"/>
  <c r="IP39" i="1"/>
  <c r="IK39" i="1"/>
  <c r="IY39" i="1"/>
  <c r="IU39" i="1"/>
  <c r="IE39" i="1" s="1"/>
  <c r="IT39" i="1"/>
  <c r="IX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31" i="1" l="1"/>
  <c r="IF149" i="1"/>
  <c r="IF89" i="1"/>
  <c r="IF98" i="1"/>
  <c r="IF130" i="1"/>
  <c r="IF137" i="1"/>
  <c r="IF150" i="1"/>
  <c r="IF56" i="1"/>
  <c r="IF58" i="1"/>
  <c r="IF114" i="1"/>
  <c r="IF139" i="1"/>
  <c r="IF112" i="1"/>
  <c r="IF123" i="1"/>
  <c r="IF62" i="1"/>
  <c r="IF21" i="1"/>
  <c r="IF82" i="1"/>
  <c r="IF113" i="1"/>
  <c r="IF10" i="1"/>
  <c r="IF118" i="1"/>
  <c r="IF44" i="1"/>
  <c r="IF29" i="1"/>
  <c r="IF143" i="1"/>
  <c r="IF11" i="1"/>
  <c r="IF117" i="1"/>
  <c r="IF132" i="1"/>
  <c r="IF78" i="1"/>
  <c r="IF136" i="1"/>
  <c r="IF92" i="1"/>
  <c r="IF144" i="1"/>
  <c r="IF67" i="1"/>
  <c r="IF121" i="1"/>
  <c r="IF46" i="1"/>
  <c r="IF20" i="1"/>
  <c r="IF127" i="1"/>
  <c r="IF76" i="1"/>
  <c r="IF135" i="1"/>
  <c r="IF68" i="1"/>
  <c r="IF105" i="1"/>
  <c r="IF88" i="1"/>
  <c r="IF55" i="1"/>
  <c r="IF115" i="1"/>
  <c r="IF131" i="1"/>
  <c r="IF12" i="1"/>
  <c r="IF126" i="1"/>
  <c r="IF27" i="1"/>
  <c r="IF102" i="1"/>
  <c r="IF147" i="1"/>
  <c r="IF84" i="1"/>
  <c r="IF109" i="1"/>
  <c r="IF103" i="1"/>
  <c r="IF145" i="1"/>
  <c r="IF100" i="1"/>
  <c r="IF75" i="1"/>
  <c r="IF94" i="1"/>
  <c r="IF96" i="1"/>
  <c r="IF13" i="1"/>
  <c r="IF30" i="1"/>
  <c r="IF9" i="1"/>
  <c r="IF116" i="1"/>
  <c r="IF79" i="1"/>
  <c r="IF106" i="1"/>
  <c r="IF134" i="1"/>
  <c r="IF57" i="1"/>
  <c r="IF69" i="1"/>
  <c r="IF125" i="1"/>
  <c r="IF87" i="1"/>
  <c r="IF39" i="1"/>
  <c r="IF95" i="1"/>
  <c r="IF107" i="1"/>
  <c r="IF146" i="1"/>
  <c r="IF28" i="1"/>
  <c r="IF90" i="1"/>
  <c r="IF122" i="1"/>
  <c r="IF91" i="1"/>
  <c r="IF83" i="1"/>
  <c r="IF64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72" i="1"/>
  <c r="IF124" i="1"/>
  <c r="IF32" i="1"/>
  <c r="IF120" i="1"/>
  <c r="IF14" i="1"/>
  <c r="IF70" i="1"/>
  <c r="IF101" i="1"/>
  <c r="IF38" i="1"/>
  <c r="IF73" i="1"/>
  <c r="IF66" i="1"/>
  <c r="IF99" i="1"/>
  <c r="IF81" i="1"/>
  <c r="IF74" i="1"/>
  <c r="IF37" i="1"/>
  <c r="IF104" i="1"/>
  <c r="IF48" i="1"/>
  <c r="IF63" i="1"/>
  <c r="IF71" i="1"/>
  <c r="IF93" i="1"/>
  <c r="IF65" i="1"/>
  <c r="IF23" i="1"/>
  <c r="IF47" i="1"/>
  <c r="IF142" i="1"/>
  <c r="IF148" i="1"/>
  <c r="IF22" i="1"/>
  <c r="IF140" i="1"/>
  <c r="IF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AW152" i="7" l="1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26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IQ42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25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1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3" i="1" l="1"/>
  <c r="IV49" i="1"/>
  <c r="IQ33" i="1"/>
  <c r="IQ54" i="1"/>
  <c r="IV50" i="1"/>
  <c r="IQ18" i="1"/>
  <c r="IQ17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IP53" i="1" l="1"/>
  <c r="IU49" i="1"/>
  <c r="IE49" i="1" s="1"/>
  <c r="IP54" i="1"/>
  <c r="IU50" i="1"/>
  <c r="IE50" i="1" s="1"/>
  <c r="IP35" i="1"/>
  <c r="IP34" i="1"/>
  <c r="IP18" i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9" i="1" l="1"/>
  <c r="IL50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S60" i="1" s="1"/>
  <c r="AL58" i="1"/>
  <c r="AN58" i="1" s="1"/>
  <c r="IT61" i="1" s="1"/>
  <c r="U58" i="1"/>
  <c r="T58" i="1"/>
  <c r="AK58" i="1"/>
  <c r="T57" i="1"/>
  <c r="AL57" i="1"/>
  <c r="U55" i="1"/>
  <c r="AL56" i="1"/>
  <c r="AN56" i="1" s="1"/>
  <c r="IT59" i="1" s="1"/>
  <c r="T56" i="1"/>
  <c r="U56" i="1"/>
  <c r="AK56" i="1"/>
  <c r="T55" i="1"/>
  <c r="AL55" i="1"/>
  <c r="AN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T52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IT43" i="1" s="1"/>
  <c r="U40" i="1"/>
  <c r="T40" i="1"/>
  <c r="T39" i="1"/>
  <c r="AL39" i="1"/>
  <c r="AN39" i="1" s="1"/>
  <c r="IT42" i="1" s="1"/>
  <c r="AL38" i="1"/>
  <c r="AN38" i="1" s="1"/>
  <c r="IT41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IT36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IT26" i="1" s="1"/>
  <c r="AL22" i="1"/>
  <c r="AN22" i="1" s="1"/>
  <c r="IT25" i="1" s="1"/>
  <c r="U22" i="1"/>
  <c r="AK22" i="1"/>
  <c r="T22" i="1"/>
  <c r="AK21" i="1"/>
  <c r="AO21" i="1" s="1"/>
  <c r="IS24" i="1" s="1"/>
  <c r="T21" i="1"/>
  <c r="AL21" i="1"/>
  <c r="AN21" i="1" s="1"/>
  <c r="IT24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S53" i="1" l="1"/>
  <c r="IX49" i="1"/>
  <c r="IT50" i="1"/>
  <c r="IT49" i="1"/>
  <c r="IS49" i="1"/>
  <c r="IT53" i="1"/>
  <c r="IY49" i="1"/>
  <c r="IT33" i="1"/>
  <c r="IT54" i="1"/>
  <c r="IY50" i="1"/>
  <c r="IT35" i="1"/>
  <c r="IT34" i="1"/>
  <c r="IT17" i="1"/>
  <c r="IT18" i="1"/>
  <c r="IF25" i="1"/>
  <c r="IF43" i="1"/>
  <c r="IF41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AP71" i="1"/>
  <c r="AO72" i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IS61" i="1" s="1"/>
  <c r="AP58" i="1"/>
  <c r="AP56" i="1"/>
  <c r="AO56" i="1"/>
  <c r="IS59" i="1" s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51" i="1" s="1"/>
  <c r="AP47" i="1"/>
  <c r="AO48" i="1"/>
  <c r="IS52" i="1" s="1"/>
  <c r="AP48" i="1"/>
  <c r="AP45" i="1"/>
  <c r="AO45" i="1"/>
  <c r="AP46" i="1"/>
  <c r="AO46" i="1"/>
  <c r="AP43" i="1"/>
  <c r="AO44" i="1"/>
  <c r="AP44" i="1"/>
  <c r="AO42" i="1"/>
  <c r="IX42" i="1" s="1"/>
  <c r="IF42" i="1" s="1"/>
  <c r="AP42" i="1"/>
  <c r="AP41" i="1"/>
  <c r="AO40" i="1"/>
  <c r="IS43" i="1" s="1"/>
  <c r="AP40" i="1"/>
  <c r="AO39" i="1"/>
  <c r="IS42" i="1" s="1"/>
  <c r="AP39" i="1"/>
  <c r="AP37" i="1"/>
  <c r="AO37" i="1"/>
  <c r="AO38" i="1"/>
  <c r="IS41" i="1" s="1"/>
  <c r="AP38" i="1"/>
  <c r="AP35" i="1"/>
  <c r="AO35" i="1"/>
  <c r="IX35" i="1" s="1"/>
  <c r="IF35" i="1" s="1"/>
  <c r="AP36" i="1"/>
  <c r="AO36" i="1"/>
  <c r="IX36" i="1" s="1"/>
  <c r="IF36" i="1" s="1"/>
  <c r="AO33" i="1"/>
  <c r="IX33" i="1" s="1"/>
  <c r="IF33" i="1" s="1"/>
  <c r="AP33" i="1"/>
  <c r="AO34" i="1"/>
  <c r="IX34" i="1" s="1"/>
  <c r="IF34" i="1" s="1"/>
  <c r="AP34" i="1"/>
  <c r="AO31" i="1"/>
  <c r="IS35" i="1" s="1"/>
  <c r="AP31" i="1"/>
  <c r="AO32" i="1"/>
  <c r="IS36" i="1" s="1"/>
  <c r="AP32" i="1"/>
  <c r="AO29" i="1"/>
  <c r="IS33" i="1" s="1"/>
  <c r="AP29" i="1"/>
  <c r="AP30" i="1"/>
  <c r="AO27" i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IS26" i="1" s="1"/>
  <c r="AP23" i="1"/>
  <c r="AP21" i="1"/>
  <c r="AO22" i="1"/>
  <c r="IS25" i="1" s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IX18" i="1" s="1"/>
  <c r="IF18" i="1" s="1"/>
  <c r="AP18" i="1"/>
  <c r="AP15" i="1"/>
  <c r="AO15" i="1"/>
  <c r="IS19" i="1" s="1"/>
  <c r="AO16" i="1"/>
  <c r="AP16" i="1"/>
  <c r="AO13" i="1"/>
  <c r="AP13" i="1"/>
  <c r="AO14" i="1"/>
  <c r="AP14" i="1"/>
  <c r="AP11" i="1"/>
  <c r="AO12" i="1"/>
  <c r="IS16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0" i="1" l="1"/>
  <c r="IF49" i="1"/>
  <c r="IS51" i="1"/>
  <c r="IS54" i="1"/>
  <c r="IX50" i="1"/>
  <c r="IF50" i="1" s="1"/>
  <c r="IS34" i="1"/>
  <c r="IS17" i="1"/>
  <c r="IS18" i="1"/>
  <c r="IX16" i="1"/>
  <c r="IF16" i="1" s="1"/>
  <c r="AS13" i="1"/>
  <c r="BA35" i="7"/>
  <c r="IS5" i="1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<sst xmlns="http://schemas.openxmlformats.org/spreadsheetml/2006/main" count="704" uniqueCount="379">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</sst>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142" xfId="0" applyBorder="1" applyAlignment="1">
      <alignment horizontal="center" vertic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F33" sqref="F33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8.75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4.375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4" zoomScaleNormal="74" workbookViewId="0">
      <selection activeCell="IO9" sqref="IO9:IO150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63" t="str">
        <f>CONCATENATE(Settings!C19, " ",Settings!B28)</f>
        <v>8.75 yyyy.mm.dd --- Job # --- Assy #</v>
      </c>
      <c r="D1" s="963"/>
      <c r="E1" s="963"/>
      <c r="F1" s="963"/>
      <c r="G1" s="963"/>
      <c r="H1" s="963"/>
      <c r="I1" s="963"/>
      <c r="J1" s="963"/>
      <c r="K1" s="963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5" t="s">
        <v>315</v>
      </c>
      <c r="C2" s="976"/>
      <c r="D2" s="976"/>
      <c r="E2" s="976"/>
      <c r="F2" s="976"/>
      <c r="G2" s="976"/>
      <c r="H2" s="976"/>
      <c r="I2" s="976"/>
      <c r="J2" s="976"/>
      <c r="K2" s="977"/>
      <c r="M2" s="986" t="s">
        <v>0</v>
      </c>
      <c r="N2" s="1025" t="s">
        <v>1</v>
      </c>
      <c r="O2" s="1026"/>
      <c r="P2" s="1026"/>
      <c r="Q2" s="1026"/>
      <c r="R2" s="1026"/>
      <c r="S2" s="1026"/>
      <c r="T2" s="1026"/>
      <c r="U2" s="1026"/>
      <c r="V2" s="1026"/>
      <c r="W2" s="1026"/>
      <c r="X2" s="1026"/>
      <c r="Y2" s="1027"/>
      <c r="Z2" s="1025" t="s">
        <v>2</v>
      </c>
      <c r="AA2" s="1026"/>
      <c r="AB2" s="1026"/>
      <c r="AC2" s="1026"/>
      <c r="AD2" s="1026"/>
      <c r="AE2" s="1026"/>
      <c r="AF2" s="1026"/>
      <c r="AG2" s="1026"/>
      <c r="AH2" s="1026"/>
      <c r="AI2" s="1026"/>
      <c r="AJ2" s="1026"/>
      <c r="AK2" s="1026"/>
      <c r="AL2" s="1026"/>
      <c r="AM2" s="1026"/>
      <c r="AN2" s="1026"/>
      <c r="AO2" s="1026"/>
      <c r="AP2" s="1026"/>
      <c r="AQ2" s="1051"/>
      <c r="AS2" s="1033" t="s">
        <v>44</v>
      </c>
      <c r="AT2" s="1034"/>
      <c r="AV2" s="1023" t="s">
        <v>0</v>
      </c>
      <c r="AW2" s="1025" t="s">
        <v>109</v>
      </c>
      <c r="AX2" s="1026"/>
      <c r="AY2" s="1026"/>
      <c r="AZ2" s="1026"/>
      <c r="BA2" s="1026"/>
      <c r="BB2" s="1026"/>
      <c r="BC2" s="1026"/>
      <c r="BD2" s="1026"/>
      <c r="BE2" s="1051"/>
      <c r="BF2" s="1115" t="s">
        <v>115</v>
      </c>
      <c r="BG2" s="1026"/>
      <c r="BH2" s="1026"/>
      <c r="BI2" s="1026"/>
      <c r="BJ2" s="1026"/>
      <c r="BK2" s="1026"/>
      <c r="BL2" s="1026"/>
      <c r="BM2" s="1026"/>
      <c r="BN2" s="1026"/>
      <c r="BO2" s="1026"/>
      <c r="BP2" s="1026"/>
      <c r="BQ2" s="1026"/>
      <c r="BR2" s="1026"/>
      <c r="BS2" s="1026"/>
      <c r="BT2" s="1026"/>
      <c r="BU2" s="1026"/>
      <c r="BV2" s="1026"/>
      <c r="BW2" s="1026"/>
      <c r="BX2" s="1026"/>
      <c r="BY2" s="1026"/>
      <c r="BZ2" s="1026"/>
      <c r="CA2" s="1026"/>
      <c r="CB2" s="1026"/>
      <c r="CC2" s="1026"/>
      <c r="CD2" s="1026"/>
      <c r="CE2" s="1026"/>
      <c r="CF2" s="1026"/>
      <c r="CG2" s="1026"/>
      <c r="CH2" s="1026"/>
      <c r="CI2" s="1026"/>
      <c r="CJ2" s="1026"/>
      <c r="CK2" s="1026"/>
      <c r="CL2" s="1026"/>
      <c r="CM2" s="1026"/>
      <c r="CN2" s="1026"/>
      <c r="CO2" s="1026"/>
      <c r="CP2" s="1026"/>
      <c r="CQ2" s="1026"/>
      <c r="CR2" s="1026"/>
      <c r="CS2" s="1026"/>
      <c r="CT2" s="1026"/>
      <c r="CU2" s="1026"/>
      <c r="CV2" s="1026"/>
      <c r="CW2" s="1026"/>
      <c r="CX2" s="1026"/>
      <c r="CY2" s="1026"/>
      <c r="CZ2" s="1026"/>
      <c r="DA2" s="1026"/>
      <c r="DB2" s="1026"/>
      <c r="DC2" s="1026"/>
      <c r="DD2" s="1026"/>
      <c r="DE2" s="1026"/>
      <c r="DF2" s="1026"/>
      <c r="DG2" s="1026"/>
      <c r="DH2" s="1026"/>
      <c r="DI2" s="1026"/>
      <c r="DJ2" s="1026"/>
      <c r="DK2" s="1026"/>
      <c r="DL2" s="1026"/>
      <c r="DM2" s="1026"/>
      <c r="DN2" s="1026"/>
      <c r="DO2" s="1026"/>
      <c r="DP2" s="1026"/>
      <c r="DQ2" s="1026"/>
      <c r="DR2" s="1026"/>
      <c r="DS2" s="1026"/>
      <c r="DT2" s="1026"/>
      <c r="DU2" s="1026"/>
      <c r="DV2" s="1026"/>
      <c r="DW2" s="1026"/>
      <c r="DX2" s="1026"/>
      <c r="DY2" s="1026"/>
      <c r="DZ2" s="1026"/>
      <c r="EA2" s="1026"/>
      <c r="EB2" s="1026"/>
      <c r="EC2" s="1026"/>
      <c r="ED2" s="1026"/>
      <c r="EE2" s="1026"/>
      <c r="EF2" s="1026"/>
      <c r="EG2" s="1026"/>
      <c r="EH2" s="1026"/>
      <c r="EI2" s="1026"/>
      <c r="EJ2" s="1026"/>
      <c r="EK2" s="1026"/>
      <c r="EL2" s="1026"/>
      <c r="EM2" s="1026"/>
      <c r="EN2" s="1026"/>
      <c r="EO2" s="1026"/>
      <c r="EP2" s="1026"/>
      <c r="EQ2" s="1026"/>
      <c r="ER2" s="1027"/>
      <c r="ES2" s="1118" t="s">
        <v>197</v>
      </c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20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8"/>
      <c r="C3" s="979"/>
      <c r="D3" s="979"/>
      <c r="E3" s="979"/>
      <c r="F3" s="979"/>
      <c r="G3" s="979"/>
      <c r="H3" s="979"/>
      <c r="I3" s="979"/>
      <c r="J3" s="979"/>
      <c r="K3" s="980"/>
      <c r="M3" s="978"/>
      <c r="N3" s="1028"/>
      <c r="O3" s="1029"/>
      <c r="P3" s="1029"/>
      <c r="Q3" s="1029"/>
      <c r="R3" s="1029"/>
      <c r="S3" s="1029"/>
      <c r="T3" s="1029"/>
      <c r="U3" s="1029"/>
      <c r="V3" s="1029"/>
      <c r="W3" s="1029"/>
      <c r="X3" s="1029"/>
      <c r="Y3" s="1030"/>
      <c r="Z3" s="1028"/>
      <c r="AA3" s="1029"/>
      <c r="AB3" s="1029"/>
      <c r="AC3" s="1029"/>
      <c r="AD3" s="1029"/>
      <c r="AE3" s="1029"/>
      <c r="AF3" s="1029"/>
      <c r="AG3" s="1029"/>
      <c r="AH3" s="1029"/>
      <c r="AI3" s="1029"/>
      <c r="AJ3" s="1029"/>
      <c r="AK3" s="1029"/>
      <c r="AL3" s="1029"/>
      <c r="AM3" s="1029"/>
      <c r="AN3" s="1029"/>
      <c r="AO3" s="1029"/>
      <c r="AP3" s="1029"/>
      <c r="AQ3" s="1052"/>
      <c r="AS3" s="488">
        <v>100</v>
      </c>
      <c r="AT3" s="485" t="s">
        <v>45</v>
      </c>
      <c r="AV3" s="1024"/>
      <c r="AW3" s="1070"/>
      <c r="AX3" s="1071"/>
      <c r="AY3" s="1071"/>
      <c r="AZ3" s="1071"/>
      <c r="BA3" s="1071"/>
      <c r="BB3" s="1071"/>
      <c r="BC3" s="1071"/>
      <c r="BD3" s="1071"/>
      <c r="BE3" s="1072"/>
      <c r="BF3" s="1116"/>
      <c r="BG3" s="1071"/>
      <c r="BH3" s="1071"/>
      <c r="BI3" s="1071"/>
      <c r="BJ3" s="1071"/>
      <c r="BK3" s="1071"/>
      <c r="BL3" s="1071"/>
      <c r="BM3" s="1071"/>
      <c r="BN3" s="1071"/>
      <c r="BO3" s="1071"/>
      <c r="BP3" s="1071"/>
      <c r="BQ3" s="1071"/>
      <c r="BR3" s="1071"/>
      <c r="BS3" s="1071"/>
      <c r="BT3" s="1071"/>
      <c r="BU3" s="1071"/>
      <c r="BV3" s="1071"/>
      <c r="BW3" s="1071"/>
      <c r="BX3" s="1071"/>
      <c r="BY3" s="1071"/>
      <c r="BZ3" s="1071"/>
      <c r="CA3" s="1071"/>
      <c r="CB3" s="1071"/>
      <c r="CC3" s="1071"/>
      <c r="CD3" s="1071"/>
      <c r="CE3" s="1071"/>
      <c r="CF3" s="1071"/>
      <c r="CG3" s="1071"/>
      <c r="CH3" s="1071"/>
      <c r="CI3" s="1071"/>
      <c r="CJ3" s="1071"/>
      <c r="CK3" s="1071"/>
      <c r="CL3" s="1071"/>
      <c r="CM3" s="1071"/>
      <c r="CN3" s="1071"/>
      <c r="CO3" s="1071"/>
      <c r="CP3" s="1071"/>
      <c r="CQ3" s="1071"/>
      <c r="CR3" s="1071"/>
      <c r="CS3" s="1071"/>
      <c r="CT3" s="1071"/>
      <c r="CU3" s="1071"/>
      <c r="CV3" s="1071"/>
      <c r="CW3" s="1071"/>
      <c r="CX3" s="1071"/>
      <c r="CY3" s="1071"/>
      <c r="CZ3" s="1071"/>
      <c r="DA3" s="1071"/>
      <c r="DB3" s="1071"/>
      <c r="DC3" s="1071"/>
      <c r="DD3" s="1071"/>
      <c r="DE3" s="1071"/>
      <c r="DF3" s="1071"/>
      <c r="DG3" s="1071"/>
      <c r="DH3" s="1071"/>
      <c r="DI3" s="1071"/>
      <c r="DJ3" s="1071"/>
      <c r="DK3" s="1071"/>
      <c r="DL3" s="1071"/>
      <c r="DM3" s="1071"/>
      <c r="DN3" s="1071"/>
      <c r="DO3" s="1071"/>
      <c r="DP3" s="1071"/>
      <c r="DQ3" s="1071"/>
      <c r="DR3" s="1071"/>
      <c r="DS3" s="1071"/>
      <c r="DT3" s="1071"/>
      <c r="DU3" s="1071"/>
      <c r="DV3" s="1071"/>
      <c r="DW3" s="1071"/>
      <c r="DX3" s="1071"/>
      <c r="DY3" s="1071"/>
      <c r="DZ3" s="1071"/>
      <c r="EA3" s="1071"/>
      <c r="EB3" s="1071"/>
      <c r="EC3" s="1071"/>
      <c r="ED3" s="1071"/>
      <c r="EE3" s="1071"/>
      <c r="EF3" s="1071"/>
      <c r="EG3" s="1071"/>
      <c r="EH3" s="1071"/>
      <c r="EI3" s="1071"/>
      <c r="EJ3" s="1071"/>
      <c r="EK3" s="1071"/>
      <c r="EL3" s="1071"/>
      <c r="EM3" s="1071"/>
      <c r="EN3" s="1071"/>
      <c r="EO3" s="1071"/>
      <c r="EP3" s="1071"/>
      <c r="EQ3" s="1071"/>
      <c r="ER3" s="1117"/>
      <c r="ES3" s="1070"/>
      <c r="ET3" s="1071"/>
      <c r="EU3" s="1071"/>
      <c r="EV3" s="1071"/>
      <c r="EW3" s="1071"/>
      <c r="EX3" s="1071"/>
      <c r="EY3" s="1071"/>
      <c r="EZ3" s="1071"/>
      <c r="FA3" s="1071"/>
      <c r="FB3" s="1071"/>
      <c r="FC3" s="1071"/>
      <c r="FD3" s="1071"/>
      <c r="FE3" s="1071"/>
      <c r="FF3" s="1117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1"/>
      <c r="C4" s="982"/>
      <c r="D4" s="982"/>
      <c r="E4" s="982"/>
      <c r="F4" s="982"/>
      <c r="G4" s="982"/>
      <c r="H4" s="982"/>
      <c r="I4" s="982"/>
      <c r="J4" s="982"/>
      <c r="K4" s="983"/>
      <c r="M4" s="978"/>
      <c r="N4" s="990" t="s">
        <v>3</v>
      </c>
      <c r="O4" s="985"/>
      <c r="P4" s="985"/>
      <c r="Q4" s="984" t="s">
        <v>4</v>
      </c>
      <c r="R4" s="985"/>
      <c r="S4" s="1007"/>
      <c r="T4" s="1000" t="str">
        <f>N4</f>
        <v>Cartesian Coordinates</v>
      </c>
      <c r="U4" s="967"/>
      <c r="V4" s="1001"/>
      <c r="W4" s="967" t="str">
        <f>$Q$4</f>
        <v>Polar XY; Cartesian Z</v>
      </c>
      <c r="X4" s="967"/>
      <c r="Y4" s="968"/>
      <c r="Z4" s="990" t="s">
        <v>3</v>
      </c>
      <c r="AA4" s="985"/>
      <c r="AB4" s="985"/>
      <c r="AC4" s="985"/>
      <c r="AD4" s="985"/>
      <c r="AE4" s="985"/>
      <c r="AF4" s="985"/>
      <c r="AG4" s="1020" t="s">
        <v>31</v>
      </c>
      <c r="AH4" s="985"/>
      <c r="AI4" s="985"/>
      <c r="AJ4" s="1007"/>
      <c r="AK4" s="1053" t="s">
        <v>32</v>
      </c>
      <c r="AL4" s="1054"/>
      <c r="AM4" s="1054"/>
      <c r="AN4" s="1054"/>
      <c r="AO4" s="1054"/>
      <c r="AP4" s="1054"/>
      <c r="AQ4" s="1055"/>
      <c r="AS4" s="489">
        <v>680</v>
      </c>
      <c r="AT4" s="486" t="s">
        <v>46</v>
      </c>
      <c r="AV4" s="1024"/>
      <c r="AW4" s="1082" t="s">
        <v>112</v>
      </c>
      <c r="AX4" s="1062"/>
      <c r="AY4" s="882"/>
      <c r="AZ4" s="1067"/>
      <c r="BA4" s="1068"/>
      <c r="BB4" s="1073" t="s">
        <v>113</v>
      </c>
      <c r="BC4" s="967" t="str">
        <f>$Q$4</f>
        <v>Polar XY; Cartesian Z</v>
      </c>
      <c r="BD4" s="967"/>
      <c r="BE4" s="1076"/>
      <c r="BF4" s="1090" t="s">
        <v>129</v>
      </c>
      <c r="BG4" s="1091"/>
      <c r="BH4" s="1091"/>
      <c r="BI4" s="1091"/>
      <c r="BJ4" s="1091"/>
      <c r="BK4" s="1091"/>
      <c r="BL4" s="1091"/>
      <c r="BM4" s="1091"/>
      <c r="BN4" s="1091"/>
      <c r="BO4" s="1091"/>
      <c r="BP4" s="1091"/>
      <c r="BQ4" s="1091"/>
      <c r="BR4" s="1091"/>
      <c r="BS4" s="1091"/>
      <c r="BT4" s="1091"/>
      <c r="BU4" s="1091"/>
      <c r="BV4" s="1091"/>
      <c r="BW4" s="1091"/>
      <c r="BX4" s="1091"/>
      <c r="BY4" s="1091"/>
      <c r="BZ4" s="1091"/>
      <c r="CA4" s="1091"/>
      <c r="CB4" s="1091"/>
      <c r="CC4" s="1091"/>
      <c r="CD4" s="1091"/>
      <c r="CE4" s="1091"/>
      <c r="CF4" s="1091"/>
      <c r="CG4" s="1091"/>
      <c r="CH4" s="1091"/>
      <c r="CI4" s="1091"/>
      <c r="CJ4" s="1091"/>
      <c r="CK4" s="1091"/>
      <c r="CL4" s="1091"/>
      <c r="CM4" s="1091"/>
      <c r="CN4" s="1092"/>
      <c r="CO4" s="1057" t="s">
        <v>193</v>
      </c>
      <c r="CP4" s="1058"/>
      <c r="CQ4" s="1058"/>
      <c r="CR4" s="1058"/>
      <c r="CS4" s="1058"/>
      <c r="CT4" s="1058"/>
      <c r="CU4" s="1058"/>
      <c r="CV4" s="1058"/>
      <c r="CW4" s="1058"/>
      <c r="CX4" s="1058"/>
      <c r="CY4" s="1058"/>
      <c r="CZ4" s="1058"/>
      <c r="DA4" s="1059"/>
      <c r="DB4" s="1175" t="s">
        <v>162</v>
      </c>
      <c r="DC4" s="1176"/>
      <c r="DD4" s="1176"/>
      <c r="DE4" s="1176"/>
      <c r="DF4" s="1176"/>
      <c r="DG4" s="1176"/>
      <c r="DH4" s="1176"/>
      <c r="DI4" s="1176"/>
      <c r="DJ4" s="1176"/>
      <c r="DK4" s="1176"/>
      <c r="DL4" s="1176"/>
      <c r="DM4" s="1176"/>
      <c r="DN4" s="1176"/>
      <c r="DO4" s="1176"/>
      <c r="DP4" s="1176"/>
      <c r="DQ4" s="1176"/>
      <c r="DR4" s="1176"/>
      <c r="DS4" s="1176"/>
      <c r="DT4" s="1176"/>
      <c r="DU4" s="1176"/>
      <c r="DV4" s="1176"/>
      <c r="DW4" s="1176"/>
      <c r="DX4" s="1176"/>
      <c r="DY4" s="1176"/>
      <c r="DZ4" s="1176"/>
      <c r="EA4" s="1176"/>
      <c r="EB4" s="1176"/>
      <c r="EC4" s="1176"/>
      <c r="ED4" s="1176"/>
      <c r="EE4" s="1176"/>
      <c r="EF4" s="1176"/>
      <c r="EG4" s="1176"/>
      <c r="EH4" s="1176"/>
      <c r="EI4" s="1176"/>
      <c r="EJ4" s="1176"/>
      <c r="EK4" s="1176"/>
      <c r="EL4" s="1176"/>
      <c r="EM4" s="1176"/>
      <c r="EN4" s="1176"/>
      <c r="EO4" s="1176"/>
      <c r="EP4" s="1176"/>
      <c r="EQ4" s="1176"/>
      <c r="ER4" s="1177"/>
      <c r="ES4" s="1134" t="s">
        <v>196</v>
      </c>
      <c r="ET4" s="1135"/>
      <c r="EU4" s="1135"/>
      <c r="EV4" s="1135"/>
      <c r="EW4" s="1135"/>
      <c r="EX4" s="1135"/>
      <c r="EY4" s="1136"/>
      <c r="EZ4" s="1141" t="s">
        <v>201</v>
      </c>
      <c r="FA4" s="1142"/>
      <c r="FB4" s="1142"/>
      <c r="FC4" s="1142"/>
      <c r="FD4" s="1142"/>
      <c r="FE4" s="1142"/>
      <c r="FF4" s="1143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7"/>
      <c r="GO4" s="1208" t="s">
        <v>229</v>
      </c>
      <c r="GP4" s="1212" t="s">
        <v>228</v>
      </c>
      <c r="GR4" s="1188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1" t="str">
        <f>IFERROR(CONCATENATE("Lateral Forces = ",ROUND(HE3,0)," lbs @ ",ROUND(HF3,1),"° Relative to Blade 1"),"")</f>
        <v/>
      </c>
      <c r="HB4" s="1162"/>
      <c r="HC4" s="1162"/>
      <c r="HD4" s="1162"/>
      <c r="HE4" s="1162"/>
      <c r="HF4" s="1162"/>
      <c r="HG4" s="1162"/>
      <c r="HH4" s="1163"/>
      <c r="HI4" s="1170" t="s">
        <v>0</v>
      </c>
      <c r="HO4" s="1128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9" t="str">
        <f>CONCATENATE(B7," ; ",E7," ; ",H7)</f>
        <v>Absolute-Point ; Incremental-Vector Point ; Pocket Info.</v>
      </c>
      <c r="C5" s="970"/>
      <c r="D5" s="970"/>
      <c r="E5" s="970"/>
      <c r="F5" s="970"/>
      <c r="G5" s="970"/>
      <c r="H5" s="970"/>
      <c r="I5" s="970"/>
      <c r="J5" s="970"/>
      <c r="K5" s="971"/>
      <c r="M5" s="978"/>
      <c r="N5" s="1012" t="s">
        <v>5</v>
      </c>
      <c r="O5" s="1013"/>
      <c r="P5" s="1013"/>
      <c r="Q5" s="1046" t="s">
        <v>6</v>
      </c>
      <c r="R5" s="1013"/>
      <c r="S5" s="1047"/>
      <c r="T5" s="1018" t="str">
        <f>CONCATENATE("Relative to ",M8,"'s θ about Z Axis")</f>
        <v>Relative to 1.11's θ about Z Axis</v>
      </c>
      <c r="U5" s="992"/>
      <c r="V5" s="1045"/>
      <c r="W5" s="992" t="str">
        <f>CONCATENATE("Relative to ",M8,"'s θ about Z Axis")</f>
        <v>Relative to 1.11's θ about Z Axis</v>
      </c>
      <c r="X5" s="992"/>
      <c r="Y5" s="1002"/>
      <c r="Z5" s="991" t="str">
        <f>N5</f>
        <v>Relative to World_CS</v>
      </c>
      <c r="AA5" s="992"/>
      <c r="AB5" s="992"/>
      <c r="AC5" s="992"/>
      <c r="AD5" s="992"/>
      <c r="AE5" s="992"/>
      <c r="AF5" s="992"/>
      <c r="AG5" s="1018" t="str">
        <f>N5</f>
        <v>Relative to World_CS</v>
      </c>
      <c r="AH5" s="992"/>
      <c r="AI5" s="992"/>
      <c r="AJ5" s="1019"/>
      <c r="AK5" s="1056" t="s">
        <v>7</v>
      </c>
      <c r="AL5" s="1013"/>
      <c r="AM5" s="1013"/>
      <c r="AN5" s="1013"/>
      <c r="AO5" s="1013"/>
      <c r="AP5" s="1013"/>
      <c r="AQ5" s="1047"/>
      <c r="AS5" s="176">
        <f>(((AS4*12)/60)/AS3)</f>
        <v>1.36</v>
      </c>
      <c r="AT5" s="486" t="s">
        <v>47</v>
      </c>
      <c r="AV5" s="1024"/>
      <c r="AW5" s="1083"/>
      <c r="AX5" s="1084"/>
      <c r="AY5" s="1085"/>
      <c r="AZ5" s="1069"/>
      <c r="BA5" s="863"/>
      <c r="BB5" s="1074"/>
      <c r="BC5" s="1079" t="str">
        <f>$W$5</f>
        <v>Relative to 1.11's θ about Z Axis</v>
      </c>
      <c r="BD5" s="992"/>
      <c r="BE5" s="1019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60" t="s">
        <v>275</v>
      </c>
      <c r="CP5" s="1060" t="s">
        <v>149</v>
      </c>
      <c r="CQ5" s="1062"/>
      <c r="CR5" s="1062"/>
      <c r="CS5" s="961"/>
      <c r="CT5" s="1062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7" t="s">
        <v>173</v>
      </c>
      <c r="DJ5" s="1107"/>
      <c r="DK5" s="1108"/>
      <c r="DL5" s="1193" t="s">
        <v>174</v>
      </c>
      <c r="DM5" s="1107"/>
      <c r="DN5" s="1194"/>
      <c r="DO5" s="1111" t="s">
        <v>175</v>
      </c>
      <c r="DP5" s="1112"/>
      <c r="DQ5" s="1112"/>
      <c r="DR5" s="1101" t="s">
        <v>187</v>
      </c>
      <c r="DS5" s="1101"/>
      <c r="DT5" s="1101"/>
      <c r="DU5" s="1101"/>
      <c r="DV5" s="1101"/>
      <c r="DW5" s="1101"/>
      <c r="DX5" s="1060" t="s">
        <v>190</v>
      </c>
      <c r="DY5" s="921" t="s">
        <v>149</v>
      </c>
      <c r="DZ5" s="1101"/>
      <c r="EA5" s="1101"/>
      <c r="EB5" s="1101"/>
      <c r="EC5" s="1101" t="s">
        <v>150</v>
      </c>
      <c r="ED5" s="1101"/>
      <c r="EE5" s="1188" t="s">
        <v>194</v>
      </c>
      <c r="EF5" s="1188"/>
      <c r="EG5" s="1189"/>
      <c r="EH5" s="1197" t="s">
        <v>195</v>
      </c>
      <c r="EI5" s="1198"/>
      <c r="EJ5" s="1199"/>
      <c r="EK5" s="1101" t="s">
        <v>188</v>
      </c>
      <c r="EL5" s="1060"/>
      <c r="EM5" s="960" t="s">
        <v>189</v>
      </c>
      <c r="EN5" s="890"/>
      <c r="EO5" s="890"/>
      <c r="EP5" s="890"/>
      <c r="EQ5" s="890"/>
      <c r="ER5" s="1097"/>
      <c r="ES5" s="1082" t="s">
        <v>202</v>
      </c>
      <c r="ET5" s="1062"/>
      <c r="EU5" s="961"/>
      <c r="EV5" s="1137" t="s">
        <v>222</v>
      </c>
      <c r="EW5" s="1138"/>
      <c r="EX5" s="1138"/>
      <c r="EY5" s="1139"/>
      <c r="EZ5" s="1129" t="s">
        <v>200</v>
      </c>
      <c r="FA5" s="956" t="s">
        <v>202</v>
      </c>
      <c r="FB5" s="1150"/>
      <c r="FC5" s="957"/>
      <c r="FD5" s="1154" t="s">
        <v>222</v>
      </c>
      <c r="FE5" s="1155"/>
      <c r="FF5" s="1156"/>
      <c r="FP5" s="1128"/>
      <c r="FQ5" s="34"/>
      <c r="FR5" s="34"/>
      <c r="FS5" s="34"/>
      <c r="FT5" s="34"/>
      <c r="FZ5" s="1128"/>
      <c r="GJ5" s="1205" t="s">
        <v>269</v>
      </c>
      <c r="GK5" s="1178" t="s">
        <v>267</v>
      </c>
      <c r="GL5" s="1180" t="s">
        <v>110</v>
      </c>
      <c r="GM5" s="1180" t="s">
        <v>111</v>
      </c>
      <c r="GN5" s="1181"/>
      <c r="GO5" s="1209"/>
      <c r="GP5" s="1213"/>
      <c r="GQ5" s="34"/>
      <c r="GR5" s="1217"/>
      <c r="GS5" s="1069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8" t="s">
        <v>248</v>
      </c>
      <c r="HB5" s="1159"/>
      <c r="HC5" s="1159"/>
      <c r="HD5" s="1160"/>
      <c r="HE5" s="1186" t="s">
        <v>249</v>
      </c>
      <c r="HF5" s="1159"/>
      <c r="HG5" s="1159"/>
      <c r="HH5" s="1187"/>
      <c r="HI5" s="1171"/>
      <c r="HN5" s="393" t="s">
        <v>263</v>
      </c>
      <c r="HO5" s="63" t="s">
        <v>264</v>
      </c>
      <c r="HS5" s="1164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972"/>
      <c r="C6" s="973"/>
      <c r="D6" s="973"/>
      <c r="E6" s="973"/>
      <c r="F6" s="973"/>
      <c r="G6" s="973"/>
      <c r="H6" s="973"/>
      <c r="I6" s="973"/>
      <c r="J6" s="973"/>
      <c r="K6" s="974"/>
      <c r="M6" s="978"/>
      <c r="N6" s="1008" t="s">
        <v>8</v>
      </c>
      <c r="O6" s="1010" t="s">
        <v>9</v>
      </c>
      <c r="P6" s="1005" t="s">
        <v>10</v>
      </c>
      <c r="Q6" s="1014" t="s">
        <v>11</v>
      </c>
      <c r="R6" s="1015"/>
      <c r="S6" s="1003" t="s">
        <v>10</v>
      </c>
      <c r="T6" s="1041" t="str">
        <f>N6</f>
        <v>X</v>
      </c>
      <c r="U6" s="1043" t="str">
        <f>O6</f>
        <v>Y</v>
      </c>
      <c r="V6" s="998" t="str">
        <f>P6</f>
        <v>Z</v>
      </c>
      <c r="W6" s="988" t="str">
        <f>$Q$6</f>
        <v>Projected XY</v>
      </c>
      <c r="X6" s="989"/>
      <c r="Y6" s="1039" t="str">
        <f>$S$6</f>
        <v>Z</v>
      </c>
      <c r="Z6" s="1021" t="s">
        <v>12</v>
      </c>
      <c r="AA6" s="979"/>
      <c r="AB6" s="979"/>
      <c r="AC6" s="1022"/>
      <c r="AD6" s="984" t="s">
        <v>13</v>
      </c>
      <c r="AE6" s="985"/>
      <c r="AF6" s="985"/>
      <c r="AG6" s="1020" t="s">
        <v>7</v>
      </c>
      <c r="AH6" s="985"/>
      <c r="AI6" s="984" t="s">
        <v>14</v>
      </c>
      <c r="AJ6" s="1007"/>
      <c r="AK6" s="1048" t="str">
        <f>AD6</f>
        <v>Unit Vector</v>
      </c>
      <c r="AL6" s="1049"/>
      <c r="AM6" s="1050"/>
      <c r="AN6" s="190" t="s">
        <v>15</v>
      </c>
      <c r="AO6" s="191" t="s">
        <v>16</v>
      </c>
      <c r="AP6" s="803" t="s">
        <v>17</v>
      </c>
      <c r="AQ6" s="1031" t="s">
        <v>108</v>
      </c>
      <c r="AS6" s="177">
        <f>(AS5/360)</f>
        <v>3.7777777777777779E-3</v>
      </c>
      <c r="AT6" s="487" t="s">
        <v>48</v>
      </c>
      <c r="AV6" s="1024"/>
      <c r="AW6" s="1016" t="s">
        <v>105</v>
      </c>
      <c r="AX6" s="1017"/>
      <c r="AY6" s="202" t="s">
        <v>110</v>
      </c>
      <c r="AZ6" s="1080" t="s">
        <v>111</v>
      </c>
      <c r="BA6" s="1081"/>
      <c r="BB6" s="1075"/>
      <c r="BC6" s="988" t="str">
        <f>$Q$6</f>
        <v>Projected XY</v>
      </c>
      <c r="BD6" s="989"/>
      <c r="BE6" s="1077" t="str">
        <f>$S$6</f>
        <v>Z</v>
      </c>
      <c r="BF6" s="897" t="s">
        <v>125</v>
      </c>
      <c r="BG6" s="911"/>
      <c r="BH6" s="1093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93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66"/>
      <c r="CH6" s="1066"/>
      <c r="CI6" s="1100" t="s">
        <v>137</v>
      </c>
      <c r="CJ6" s="1066"/>
      <c r="CK6" s="905"/>
      <c r="CL6" s="1098" t="s">
        <v>140</v>
      </c>
      <c r="CM6" s="1066"/>
      <c r="CN6" s="1099"/>
      <c r="CO6" s="1061"/>
      <c r="CP6" s="1061"/>
      <c r="CQ6" s="1063"/>
      <c r="CR6" s="1063"/>
      <c r="CS6" s="1064"/>
      <c r="CT6" s="1063"/>
      <c r="CU6" s="1065"/>
      <c r="CV6" s="1089" t="s">
        <v>147</v>
      </c>
      <c r="CW6" s="911"/>
      <c r="CX6" s="898"/>
      <c r="CY6" s="1086" t="s">
        <v>148</v>
      </c>
      <c r="CZ6" s="1087"/>
      <c r="DA6" s="1088"/>
      <c r="DB6" s="1103" t="s">
        <v>176</v>
      </c>
      <c r="DC6" s="1104"/>
      <c r="DD6" s="1105"/>
      <c r="DE6" s="1106" t="s">
        <v>177</v>
      </c>
      <c r="DF6" s="1104"/>
      <c r="DG6" s="1105"/>
      <c r="DH6" s="260" t="s">
        <v>29</v>
      </c>
      <c r="DI6" s="1109"/>
      <c r="DJ6" s="1109"/>
      <c r="DK6" s="1110"/>
      <c r="DL6" s="1195"/>
      <c r="DM6" s="1109"/>
      <c r="DN6" s="1196"/>
      <c r="DO6" s="1113"/>
      <c r="DP6" s="1114"/>
      <c r="DQ6" s="1114"/>
      <c r="DR6" s="1102"/>
      <c r="DS6" s="1102"/>
      <c r="DT6" s="1102"/>
      <c r="DU6" s="1102"/>
      <c r="DV6" s="1102"/>
      <c r="DW6" s="1102"/>
      <c r="DX6" s="1061"/>
      <c r="DY6" s="1157"/>
      <c r="DZ6" s="1102"/>
      <c r="EA6" s="1102"/>
      <c r="EB6" s="1102"/>
      <c r="EC6" s="1102"/>
      <c r="ED6" s="1102"/>
      <c r="EE6" s="1190"/>
      <c r="EF6" s="1190"/>
      <c r="EG6" s="1191"/>
      <c r="EH6" s="1200"/>
      <c r="EI6" s="1201"/>
      <c r="EJ6" s="1202"/>
      <c r="EK6" s="1102"/>
      <c r="EL6" s="1061"/>
      <c r="EM6" s="1145" t="s">
        <v>199</v>
      </c>
      <c r="EN6" s="1095"/>
      <c r="EO6" s="1192"/>
      <c r="EP6" s="1094" t="s">
        <v>198</v>
      </c>
      <c r="EQ6" s="1095"/>
      <c r="ER6" s="1096"/>
      <c r="ES6" s="1140"/>
      <c r="ET6" s="1063"/>
      <c r="EU6" s="1064"/>
      <c r="EV6" s="281" t="s">
        <v>221</v>
      </c>
      <c r="EW6" s="1094" t="s">
        <v>202</v>
      </c>
      <c r="EX6" s="1095"/>
      <c r="EY6" s="1144"/>
      <c r="EZ6" s="1130"/>
      <c r="FA6" s="1151"/>
      <c r="FB6" s="1152"/>
      <c r="FC6" s="1153"/>
      <c r="FD6" s="1145" t="s">
        <v>202</v>
      </c>
      <c r="FE6" s="1095"/>
      <c r="FF6" s="1096"/>
      <c r="FG6" s="1147" t="s">
        <v>224</v>
      </c>
      <c r="FH6" s="1148"/>
      <c r="FI6" s="1149"/>
      <c r="FJ6" s="1101" t="s">
        <v>203</v>
      </c>
      <c r="FK6" s="1060" t="s">
        <v>214</v>
      </c>
      <c r="FL6" s="1062"/>
      <c r="FM6" s="961"/>
      <c r="FN6" s="1123" t="s">
        <v>204</v>
      </c>
      <c r="FO6" s="1132" t="s">
        <v>227</v>
      </c>
      <c r="FP6" s="112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60" t="s">
        <v>218</v>
      </c>
      <c r="FV6" s="1062"/>
      <c r="FW6" s="961"/>
      <c r="FX6" s="1123" t="s">
        <v>219</v>
      </c>
      <c r="FY6" s="1132" t="s">
        <v>227</v>
      </c>
      <c r="FZ6" s="1121" t="s">
        <v>225</v>
      </c>
      <c r="GA6" s="1125" t="s">
        <v>239</v>
      </c>
      <c r="GB6" s="343" t="s">
        <v>207</v>
      </c>
      <c r="GC6" s="344" t="s">
        <v>240</v>
      </c>
      <c r="GD6" s="345" t="s">
        <v>226</v>
      </c>
      <c r="GE6" s="1203"/>
      <c r="GF6" s="1189" t="s">
        <v>260</v>
      </c>
      <c r="GG6" s="343" t="s">
        <v>207</v>
      </c>
      <c r="GH6" s="344" t="s">
        <v>240</v>
      </c>
      <c r="GI6" s="345" t="s">
        <v>226</v>
      </c>
      <c r="GJ6" s="1206"/>
      <c r="GK6" s="1179"/>
      <c r="GL6" s="1182"/>
      <c r="GM6" s="1182"/>
      <c r="GN6" s="1183"/>
      <c r="GO6" s="1210" t="s">
        <v>238</v>
      </c>
      <c r="GP6" s="1214" t="s">
        <v>225</v>
      </c>
      <c r="GQ6" s="1062" t="s">
        <v>203</v>
      </c>
      <c r="GR6" s="1217"/>
      <c r="GS6" s="1168" t="s">
        <v>252</v>
      </c>
      <c r="GT6" s="1169"/>
      <c r="GU6" s="1227" t="s">
        <v>251</v>
      </c>
      <c r="GV6" s="1087"/>
      <c r="GW6" s="1087"/>
      <c r="GX6" s="368" t="s">
        <v>106</v>
      </c>
      <c r="GY6" s="908" t="s">
        <v>250</v>
      </c>
      <c r="GZ6" s="1093"/>
      <c r="HA6" s="1185" t="s">
        <v>252</v>
      </c>
      <c r="HB6" s="1104"/>
      <c r="HC6" s="1104"/>
      <c r="HD6" s="1105"/>
      <c r="HE6" s="908" t="s">
        <v>251</v>
      </c>
      <c r="HF6" s="911"/>
      <c r="HG6" s="911"/>
      <c r="HH6" s="900"/>
      <c r="HI6" s="1171"/>
      <c r="HN6" s="942" t="s">
        <v>238</v>
      </c>
      <c r="HO6" s="945" t="s">
        <v>265</v>
      </c>
      <c r="HP6" s="921" t="s">
        <v>203</v>
      </c>
      <c r="HQ6" s="398"/>
      <c r="HS6" s="1165"/>
      <c r="HT6" s="887" t="s">
        <v>270</v>
      </c>
      <c r="HU6" s="895"/>
      <c r="HV6" s="1167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3" t="s">
        <v>40</v>
      </c>
      <c r="C7" s="994"/>
      <c r="D7" s="995"/>
      <c r="E7" s="996" t="s">
        <v>41</v>
      </c>
      <c r="F7" s="994"/>
      <c r="G7" s="997"/>
      <c r="H7" s="964" t="s">
        <v>98</v>
      </c>
      <c r="I7" s="965"/>
      <c r="J7" s="966"/>
      <c r="K7" s="178"/>
      <c r="L7" s="327"/>
      <c r="M7" s="987"/>
      <c r="N7" s="1009"/>
      <c r="O7" s="1011"/>
      <c r="P7" s="1006"/>
      <c r="Q7" s="39" t="s">
        <v>18</v>
      </c>
      <c r="R7" s="2" t="s">
        <v>19</v>
      </c>
      <c r="S7" s="1004"/>
      <c r="T7" s="1042"/>
      <c r="U7" s="1044"/>
      <c r="V7" s="999"/>
      <c r="W7" s="40" t="str">
        <f>$Q$7</f>
        <v>&lt; θ°</v>
      </c>
      <c r="X7" s="30" t="str">
        <f>$R$7</f>
        <v>r</v>
      </c>
      <c r="Y7" s="104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32"/>
      <c r="AS7" s="1037" t="s">
        <v>54</v>
      </c>
      <c r="AT7" s="1035" t="s">
        <v>53</v>
      </c>
      <c r="AV7" s="1024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5"/>
      <c r="BC7" s="40" t="str">
        <f>$Q$7</f>
        <v>&lt; θ°</v>
      </c>
      <c r="BD7" s="30" t="str">
        <f>$R$7</f>
        <v>r</v>
      </c>
      <c r="BE7" s="107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1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6"/>
      <c r="FK7" s="357" t="s">
        <v>211</v>
      </c>
      <c r="FL7" s="358" t="s">
        <v>212</v>
      </c>
      <c r="FM7" s="359" t="s">
        <v>213</v>
      </c>
      <c r="FN7" s="1124"/>
      <c r="FO7" s="1133"/>
      <c r="FP7" s="112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4"/>
      <c r="FY7" s="1133"/>
      <c r="FZ7" s="1122"/>
      <c r="GA7" s="1126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2"/>
      <c r="HJ7" s="34"/>
      <c r="HK7" s="1127" t="s">
        <v>246</v>
      </c>
      <c r="HL7" s="1127" t="s">
        <v>237</v>
      </c>
      <c r="HM7" s="881" t="s">
        <v>245</v>
      </c>
      <c r="HN7" s="943"/>
      <c r="HO7" s="1224"/>
      <c r="HP7" s="1173"/>
      <c r="HQ7" s="399"/>
      <c r="HR7" s="419"/>
      <c r="HS7" s="1165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1.1100000000000001</v>
      </c>
      <c r="N8" s="477"/>
      <c r="O8" s="478"/>
      <c r="P8" s="479"/>
      <c r="Q8" s="643">
        <f>IFERROR(INDEX(Q$9:Q$150,MATCH($M$8,$M$9:$M$150,0)),"")</f>
        <v>89.970000004331467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-7.4500224692677655E-2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8"/>
      <c r="AT8" s="103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4"/>
      <c r="HL8" s="1184"/>
      <c r="HM8" s="954"/>
      <c r="HN8" s="944"/>
      <c r="HO8" s="946"/>
      <c r="HP8" s="1174"/>
      <c r="HQ8" s="400" t="s">
        <v>49</v>
      </c>
      <c r="HR8" s="420" t="s">
        <v>51</v>
      </c>
      <c r="HS8" s="1166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0.2950008897226834</v>
      </c>
      <c r="D9" s="767">
        <v>-0.23810071811176584</v>
      </c>
      <c r="E9" s="768">
        <v>-0.96592583607220739</v>
      </c>
      <c r="F9" s="766">
        <v>-2.2557559682354424E-2</v>
      </c>
      <c r="G9" s="769">
        <v>0.25783412440827963</v>
      </c>
      <c r="H9" s="768">
        <v>0.26600000000000001</v>
      </c>
      <c r="I9" s="766">
        <v>0.52</v>
      </c>
      <c r="J9" s="600">
        <v>1.101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>1313</v>
      </c>
      <c r="L9" s="861" t="s">
        <v>333</v>
      </c>
      <c r="M9" s="172">
        <f t="shared" ref="M9:M40" si="1">IF(J9="","",VALUE(J9))</f>
        <v>1.101</v>
      </c>
      <c r="N9" s="24">
        <f t="shared" ref="N9:N40" si="2">IF(M9="","",B9)</f>
        <v>0</v>
      </c>
      <c r="O9" s="20">
        <f t="shared" ref="O9:O40" si="3">IF(M9="","",C9)</f>
        <v>0.2950008897226834</v>
      </c>
      <c r="P9" s="25">
        <f t="shared" ref="P9:P40" si="4">IF(M9="","",D9)</f>
        <v>-0.23810071811176584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0.2950008897226834</v>
      </c>
      <c r="S9" s="23">
        <f>IF(M9="","",P9)</f>
        <v>-0.23810071811176584</v>
      </c>
      <c r="T9" s="26">
        <f>IF(M9="","",X9*COS(RADIANS(W9)))</f>
        <v>0.29500084928461157</v>
      </c>
      <c r="U9" s="20">
        <f>IF(M9="","",X9*SIN(RADIANS(W9)))</f>
        <v>1.5446207529984621E-4</v>
      </c>
      <c r="V9" s="28">
        <f>IF(M9="","",Y9)</f>
        <v>-0.23810071811176584</v>
      </c>
      <c r="W9" s="620">
        <f t="shared" ref="W9:W14" si="5">IF(M9="","",IF(Q9-$Q$8&lt;0,360+Q9-$Q$8,Q9-$Q$8))</f>
        <v>2.999999566853262E-2</v>
      </c>
      <c r="X9" s="5">
        <f>IF(M9="","",R9)</f>
        <v>0.2950008897226834</v>
      </c>
      <c r="Y9" s="7">
        <f>IF(M9="","",S9)</f>
        <v>-0.23810071811176584</v>
      </c>
      <c r="Z9" s="24">
        <f t="shared" ref="Z9:Z40" si="6">IF(M9="","",-E9)</f>
        <v>0.96592583607220739</v>
      </c>
      <c r="AA9" s="20">
        <f t="shared" ref="AA9:AA40" si="7">IF(M9="","",-F9)</f>
        <v>2.2557559682354424E-2</v>
      </c>
      <c r="AB9" s="20">
        <f t="shared" ref="AB9:AB40" si="8">IF(M9="","",-G9)</f>
        <v>-0.25783412440827963</v>
      </c>
      <c r="AC9" s="28">
        <f>IF(M9="","",SQRT(Z9^2+AA9^2+AB9^2))</f>
        <v>1</v>
      </c>
      <c r="AD9" s="27">
        <f>IF(M9="","",Z9*(1/SQRT(Z9^2+AA9^2+AB9^2)))</f>
        <v>0.96592583607220739</v>
      </c>
      <c r="AE9" s="20">
        <f>IF(M9="","",AA9*(1/SQRT(Z9^2+AA9^2+AB9^2)))</f>
        <v>2.2557559682354424E-2</v>
      </c>
      <c r="AF9" s="25">
        <f>IF(M9="","",AB9*(1/SQRT(Z9^2+AA9^2+AB9^2)))</f>
        <v>-0.25783412440827963</v>
      </c>
      <c r="AG9" s="618">
        <f>IF(M9="","",DEGREES(ATAN2(-AF9,AE9)))</f>
        <v>4.999999278089426</v>
      </c>
      <c r="AH9" s="619">
        <f>IF(M9="","",DEGREES(ACOS(AD9)))</f>
        <v>14.999997834268255</v>
      </c>
      <c r="AI9" s="620">
        <f>IF(M9="","",DEGREES(-ACOS(-AF9)))</f>
        <v>-75.058414528502141</v>
      </c>
      <c r="AJ9" s="621">
        <f>IF(M9="","",DEGREES(ATAN2(-AE9,AD9)))</f>
        <v>91.337802589549781</v>
      </c>
      <c r="AK9" s="26">
        <f>IF(M9="","",(COS(RADIANS((90-$Q$8)-W9))*AD9)+(-SIN(RADIANS((90-$Q$8)-W9))*AE9))</f>
        <v>0.96592583607220739</v>
      </c>
      <c r="AL9" s="20">
        <f>IF(M9="","",(SIN(RADIANS((90-$Q$8)-W9))*AD9)+(COS(RADIANS((90-$Q$8)-W9))*AE9))</f>
        <v>2.2557559682354424E-2</v>
      </c>
      <c r="AM9" s="23">
        <f>IF(M9="","",AF9)</f>
        <v>-0.25783412440827963</v>
      </c>
      <c r="AN9" s="612">
        <f>IF(M9="","",DEGREES(ATAN2(-AM9,AL9)))</f>
        <v>4.999999278089426</v>
      </c>
      <c r="AO9" s="613">
        <f>IF(ROUND(IF(M9="",0,DEGREES(ACOS(AK9))),4)=90,0,IF(M9="","",DEGREES(ACOS(AK9))))</f>
        <v>14.999997834268255</v>
      </c>
      <c r="AP9" s="640">
        <f>IF(M9="","",DEGREES(ATAN2(AK9,AL9)))</f>
        <v>1.3378025895497809</v>
      </c>
      <c r="AQ9" s="641">
        <f t="shared" ref="AQ9:AQ40" si="9">IF(M9="","",DEGREES(ATAN(($AS$5*SIN(RADIANS(90)))/(($X9*2*PI())-($AS$5*COS(RADIANS(90)))))))</f>
        <v>36.268578894867218</v>
      </c>
      <c r="AS9" s="55">
        <f>IF(M9="","",W9)</f>
        <v>2.999999566853262E-2</v>
      </c>
      <c r="AT9" s="76">
        <f t="shared" ref="AT9:AT40" si="10">IF(M9="","",Y9+(((AS9-$AS$9)*$AS$6)*-1))</f>
        <v>-0.23810071811176584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7">IF(ISNUMBER($II9),INDEX($K$9:$K$150,MATCH($II9,$M$9:$M$150,0)),"")</f>
        <v/>
      </c>
      <c r="IK9" s="838" t="str">
        <f t="shared" ref="IK9:IK40" si="68">IF(ISNUMBER($II9),INDEX($K$9:$K$150,MATCH($IG9,$M$9:$M$150,0)),"")</f>
        <v/>
      </c>
      <c r="IL9" s="795" t="str">
        <f t="shared" ref="IL9:IL15" si="69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0">IF(ISNUMBER($II9),(($IO9*12)/60)/$AS$3,"")</f>
        <v/>
      </c>
      <c r="IO9" s="851"/>
      <c r="IP9" s="27" t="str">
        <f t="shared" ref="IP9:IP15" si="71">IF(ISNUMBER($II9),(INDEX($X$9:$X$150,MATCH($II9,$M$9:$M$150,0))*-1),"")</f>
        <v/>
      </c>
      <c r="IQ9" s="20" t="str">
        <f t="shared" ref="IQ9:IQ15" si="72">IF(ISNUMBER($II9),INDEX($Y$9:$Y$150,MATCH($II9,$M$9:$M$150,0)),"")</f>
        <v/>
      </c>
      <c r="IR9" s="20" t="str">
        <f t="shared" ref="IR9:IR40" si="73">IF(ISNUMBER($II9),INDEX($H$9:$H$150,MATCH($II9,$M$9:$M$150,0)),"")</f>
        <v/>
      </c>
      <c r="IS9" s="20" t="str">
        <f t="shared" ref="IS9:IS15" si="74">IF(ISNUMBER($II9),$IR9*COS(RADIANS(INDEX($AO$9:$AO$150,MATCH($II9,$M$9:$M$150,0)))),"")</f>
        <v/>
      </c>
      <c r="IT9" s="795" t="str">
        <f t="shared" ref="IT9:IT15" si="75">IF(ISNUMBER($II9),(-1*INDEX($AN$9:$AN$150,MATCH($II9,$M$9:$M$150,0))),"")</f>
        <v/>
      </c>
      <c r="IU9" s="27" t="str">
        <f t="shared" ref="IU9:IU15" si="76">IF(ISNUMBER($II9),-$X9,"")</f>
        <v/>
      </c>
      <c r="IV9" s="20" t="str">
        <f t="shared" ref="IV9:IV15" si="77">IF(ISNUMBER($II9),$Y9,"")</f>
        <v/>
      </c>
      <c r="IW9" s="20" t="str">
        <f t="shared" ref="IW9:IW40" si="78">IF(ISNUMBER($II9),$H9,"")</f>
        <v/>
      </c>
      <c r="IX9" s="20" t="str">
        <f t="shared" ref="IX9:IX15" si="79">IF(ISNUMBER($II9),$IW9*COS(RADIANS($AO9)),"")</f>
        <v/>
      </c>
      <c r="IY9" s="832" t="str">
        <f t="shared" ref="IY9:IY15" si="80">IF(ISNUMBER($II9),(-1*$AN9),"")</f>
        <v/>
      </c>
    </row>
    <row r="10" spans="1:259" ht="15" customHeight="1" x14ac:dyDescent="0.25">
      <c r="A10" s="84">
        <f t="shared" ref="A10:A73" si="81">IF(ISNUMBER(VALUE($K10)),$A$7,0)</f>
        <v>0.02</v>
      </c>
      <c r="B10" s="770">
        <v>0</v>
      </c>
      <c r="C10" s="771">
        <v>0.91840276990275405</v>
      </c>
      <c r="D10" s="772">
        <v>-0.18360055373927009</v>
      </c>
      <c r="E10" s="773">
        <v>-0.96592583607220739</v>
      </c>
      <c r="F10" s="771">
        <v>-2.2557559682354424E-2</v>
      </c>
      <c r="G10" s="774">
        <v>0.25783412440827963</v>
      </c>
      <c r="H10" s="773">
        <v>0.26600000000000001</v>
      </c>
      <c r="I10" s="771">
        <v>0.52</v>
      </c>
      <c r="J10" s="601">
        <v>1.1040000000000001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>1313</v>
      </c>
      <c r="L10" s="855" t="s">
        <v>376</v>
      </c>
      <c r="M10" s="173">
        <f t="shared" si="1"/>
        <v>1.1040000000000001</v>
      </c>
      <c r="N10" s="21">
        <f t="shared" si="2"/>
        <v>0</v>
      </c>
      <c r="O10" s="5">
        <f t="shared" si="3"/>
        <v>0.91840276990275405</v>
      </c>
      <c r="P10" s="10">
        <f t="shared" si="4"/>
        <v>-0.18360055373927009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0.91840276990275405</v>
      </c>
      <c r="S10" s="6">
        <f t="shared" ref="S10:S105" si="84">IF(M10="","",P10)</f>
        <v>-0.18360055373927009</v>
      </c>
      <c r="T10" s="4">
        <f t="shared" ref="T10:T105" si="85">IF(M10="","",X10*COS(RADIANS(W10)))</f>
        <v>0.91840264401012628</v>
      </c>
      <c r="U10" s="5">
        <f t="shared" ref="U10:U105" si="86">IF(M10="","",X10*SIN(RADIANS(W10)))</f>
        <v>4.8087447442501273E-4</v>
      </c>
      <c r="V10" s="8">
        <f>IF(M10="","",Y10)</f>
        <v>-0.18360055373927009</v>
      </c>
      <c r="W10" s="624">
        <f t="shared" si="5"/>
        <v>2.999999566853262E-2</v>
      </c>
      <c r="X10" s="5">
        <f t="shared" ref="X10:X105" si="87">IF(M10="","",R10)</f>
        <v>0.91840276990275405</v>
      </c>
      <c r="Y10" s="7">
        <f>IF(M10="","",S10)</f>
        <v>-0.18360055373927009</v>
      </c>
      <c r="Z10" s="21">
        <f t="shared" si="6"/>
        <v>0.96592583607220739</v>
      </c>
      <c r="AA10" s="5">
        <f t="shared" si="7"/>
        <v>2.2557559682354424E-2</v>
      </c>
      <c r="AB10" s="5">
        <f t="shared" si="8"/>
        <v>-0.25783412440827963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2.2557559682354424E-2</v>
      </c>
      <c r="AF10" s="10">
        <f t="shared" ref="AF10:AF105" si="90">IF(M10="","",AB10*(1/SQRT(Z10^2+AA10^2+AB10^2)))</f>
        <v>-0.25783412440827963</v>
      </c>
      <c r="AG10" s="622">
        <f t="shared" ref="AG10:AG105" si="91">IF(M10="","",DEGREES(ATAN2(-AF10,AE10)))</f>
        <v>4.999999278089426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-75.058414528502141</v>
      </c>
      <c r="AJ10" s="625">
        <f t="shared" ref="AJ10:AJ105" si="94">IF(M10="","",DEGREES(ATAN2(-AE10,AD10)))</f>
        <v>91.337802589549781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2.2557559682354424E-2</v>
      </c>
      <c r="AM10" s="6">
        <f t="shared" ref="AM10:AM105" si="96">IF(M10="","",AF10)</f>
        <v>-0.25783412440827963</v>
      </c>
      <c r="AN10" s="612">
        <f t="shared" ref="AN10:AN105" si="97">IF(M10="","",DEGREES(ATAN2(-AM10,AL10)))</f>
        <v>4.999999278089426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1.3378025895497809</v>
      </c>
      <c r="AQ10" s="625">
        <f t="shared" si="9"/>
        <v>13.261559774255147</v>
      </c>
      <c r="AS10" s="56">
        <f>IF($M10="","",IF(AND($W10&lt;($AS$9+180),$W10&gt;($AS$9-180)),$W10,IF($W10&gt;($AS$9+180),$W10-360,IF($W10&lt;($AS$9-180),$W10+360,"Error"))))</f>
        <v>2.999999566853262E-2</v>
      </c>
      <c r="AT10" s="77">
        <f t="shared" si="10"/>
        <v>-0.18360055373927009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0.02</v>
      </c>
      <c r="B11" s="770">
        <v>0</v>
      </c>
      <c r="C11" s="771">
        <v>1.5418046500828246</v>
      </c>
      <c r="D11" s="772">
        <v>-0.12900038906517344</v>
      </c>
      <c r="E11" s="773">
        <v>-0.96592583607220739</v>
      </c>
      <c r="F11" s="771">
        <v>-2.2557559682354407E-2</v>
      </c>
      <c r="G11" s="774">
        <v>0.25783412440827963</v>
      </c>
      <c r="H11" s="773">
        <v>0.26600000000000001</v>
      </c>
      <c r="I11" s="771">
        <v>0.52</v>
      </c>
      <c r="J11" s="601">
        <v>1.107</v>
      </c>
      <c r="K11" s="426" t="str">
        <f t="shared" si="82"/>
        <v>1313</v>
      </c>
      <c r="L11" s="856" cm="1">
        <f t="array" ref="L11">MIN(IF(ISNUMBER($II9:$II150),IF(ISNUMBER($IF9:$IF150),"",IF(ISNUMBER(VALUE($K9:$K150)),IF(ISNUMBER($IE9:$IE150),$IO9:$IO150,""),"")),""))</f>
        <v>0</v>
      </c>
      <c r="M11" s="173">
        <f t="shared" si="1"/>
        <v>1.107</v>
      </c>
      <c r="N11" s="21">
        <f t="shared" si="2"/>
        <v>0</v>
      </c>
      <c r="O11" s="5">
        <f t="shared" si="3"/>
        <v>1.5418046500828246</v>
      </c>
      <c r="P11" s="10">
        <f t="shared" si="4"/>
        <v>-0.12900038906517344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1.5418046500828246</v>
      </c>
      <c r="S11" s="6">
        <f t="shared" si="84"/>
        <v>-0.12900038906517344</v>
      </c>
      <c r="T11" s="4">
        <f t="shared" si="85"/>
        <v>1.5418044387356411</v>
      </c>
      <c r="U11" s="5">
        <f t="shared" si="86"/>
        <v>8.0728687355017929E-4</v>
      </c>
      <c r="V11" s="8">
        <f t="shared" ref="V11:V105" si="117">IF(M11="","",Y11)</f>
        <v>-0.12900038906517344</v>
      </c>
      <c r="W11" s="624">
        <f t="shared" si="5"/>
        <v>2.999999566853262E-2</v>
      </c>
      <c r="X11" s="5">
        <f>IF(M11="","",R11)</f>
        <v>1.5418046500828246</v>
      </c>
      <c r="Y11" s="7">
        <f>IF(M11="","",S11)</f>
        <v>-0.12900038906517344</v>
      </c>
      <c r="Z11" s="21">
        <f t="shared" si="6"/>
        <v>0.96592583607220739</v>
      </c>
      <c r="AA11" s="5">
        <f t="shared" si="7"/>
        <v>2.2557559682354407E-2</v>
      </c>
      <c r="AB11" s="5">
        <f t="shared" si="8"/>
        <v>-0.25783412440827963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2.2557559682354407E-2</v>
      </c>
      <c r="AF11" s="10">
        <f t="shared" si="90"/>
        <v>-0.25783412440827963</v>
      </c>
      <c r="AG11" s="622">
        <f>IF(M11="","",DEGREES(ATAN2(-AF11,AE11)))</f>
        <v>4.9999992780894216</v>
      </c>
      <c r="AH11" s="623">
        <f t="shared" si="92"/>
        <v>14.999997834268255</v>
      </c>
      <c r="AI11" s="624">
        <f t="shared" si="93"/>
        <v>-75.058414528502141</v>
      </c>
      <c r="AJ11" s="625">
        <f t="shared" si="94"/>
        <v>91.337802589549781</v>
      </c>
      <c r="AK11" s="4">
        <f>IF(M11="","",(COS(RADIANS((90-$Q$8)-W11))*AD11)+(-SIN(RADIANS((90-$Q$8)-W11))*AE11))</f>
        <v>0.96592583607220739</v>
      </c>
      <c r="AL11" s="5">
        <f t="shared" si="95"/>
        <v>2.2557559682354407E-2</v>
      </c>
      <c r="AM11" s="6">
        <f t="shared" si="96"/>
        <v>-0.25783412440827963</v>
      </c>
      <c r="AN11" s="612">
        <f>IF(M11="","",DEGREES(ATAN2(-AM11,AL11)))</f>
        <v>4.9999992780894216</v>
      </c>
      <c r="AO11" s="613">
        <f>IF(ROUND(IF(M11="",0,DEGREES(ACOS(AK11))),4)=90,0,IF(M11="","",DEGREES(ACOS(AK11))))</f>
        <v>14.999997834268255</v>
      </c>
      <c r="AP11" s="624">
        <f t="shared" si="99"/>
        <v>1.33780258954978</v>
      </c>
      <c r="AQ11" s="625">
        <f t="shared" si="9"/>
        <v>7.9914072313811513</v>
      </c>
      <c r="AS11" s="56">
        <f t="shared" ref="AS11:AS42" si="119">IF(G11="","",IF(AND(W11&lt;(AS10+180),W11&gt;(AS10-180)),W11,IF(W11&gt;(AS10+180),W11-360,IF(W11&lt;(AS10-180),W11+360,"Error"))))</f>
        <v>2.999999566853262E-2</v>
      </c>
      <c r="AT11" s="77">
        <f t="shared" si="10"/>
        <v>-0.12900038906517344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0.02</v>
      </c>
      <c r="B12" s="770">
        <v>1.1336469126499785E-3</v>
      </c>
      <c r="C12" s="771">
        <v>2.1651062331732622</v>
      </c>
      <c r="D12" s="772">
        <v>-7.4500224692677655E-2</v>
      </c>
      <c r="E12" s="773">
        <v>-0.96584562048657119</v>
      </c>
      <c r="F12" s="771">
        <v>-8.8362234726935083E-3</v>
      </c>
      <c r="G12" s="774">
        <v>0.258967485491231</v>
      </c>
      <c r="H12" s="773">
        <v>0.26600000000000001</v>
      </c>
      <c r="I12" s="771">
        <v>0.52</v>
      </c>
      <c r="J12" s="601">
        <v>1.1100000000000001</v>
      </c>
      <c r="K12" s="426" t="str">
        <f t="shared" si="82"/>
        <v>1313</v>
      </c>
      <c r="L12" s="858" t="s">
        <v>377</v>
      </c>
      <c r="M12" s="173">
        <f t="shared" si="1"/>
        <v>1.1100000000000001</v>
      </c>
      <c r="N12" s="21">
        <f t="shared" si="2"/>
        <v>1.1336469126499785E-3</v>
      </c>
      <c r="O12" s="5">
        <f t="shared" si="3"/>
        <v>2.1651062331732622</v>
      </c>
      <c r="P12" s="10">
        <f t="shared" si="4"/>
        <v>-7.4500224692677655E-2</v>
      </c>
      <c r="Q12" s="624">
        <f>IF(M12="","",IF(DEGREES(ATAN2(N12,O12))&lt;0,DEGREES(ATAN2(N12,O12))+360,IF(DEGREES(ATAN2(N12,O12))&gt;360,DEGREES(ATAN2(N12,O12))-360,DEGREES(ATAN2(N12,O12)))))</f>
        <v>89.970000004331467</v>
      </c>
      <c r="R12" s="5">
        <f t="shared" si="83"/>
        <v>2.1651065299612942</v>
      </c>
      <c r="S12" s="6">
        <f t="shared" si="84"/>
        <v>-7.4500224692677655E-2</v>
      </c>
      <c r="T12" s="4">
        <f>IF(M12="","",X12*COS(RADIANS(W12)))</f>
        <v>2.1651065299612942</v>
      </c>
      <c r="U12" s="5">
        <f t="shared" si="86"/>
        <v>0</v>
      </c>
      <c r="V12" s="8">
        <f t="shared" si="117"/>
        <v>-7.4500224692677655E-2</v>
      </c>
      <c r="W12" s="624">
        <f>IF(M12="","",IF(Q12-$Q$8&lt;0,360+Q12-$Q$8,Q12-$Q$8))</f>
        <v>0</v>
      </c>
      <c r="X12" s="5">
        <f t="shared" si="87"/>
        <v>2.1651065299612942</v>
      </c>
      <c r="Y12" s="7">
        <f>IF(M12="","",S12)</f>
        <v>-7.4500224692677655E-2</v>
      </c>
      <c r="Z12" s="21">
        <f t="shared" si="6"/>
        <v>0.96584562048657119</v>
      </c>
      <c r="AA12" s="5">
        <f t="shared" si="7"/>
        <v>8.8362234726935083E-3</v>
      </c>
      <c r="AB12" s="5">
        <f t="shared" si="8"/>
        <v>-0.258967485491231</v>
      </c>
      <c r="AC12" s="8">
        <f t="shared" si="88"/>
        <v>1</v>
      </c>
      <c r="AD12" s="9">
        <f t="shared" si="118"/>
        <v>0.96584562048657119</v>
      </c>
      <c r="AE12" s="5">
        <f t="shared" si="89"/>
        <v>8.8362234726935083E-3</v>
      </c>
      <c r="AF12" s="10">
        <f t="shared" si="90"/>
        <v>-0.258967485491231</v>
      </c>
      <c r="AG12" s="622">
        <f t="shared" si="91"/>
        <v>1.954229780359455</v>
      </c>
      <c r="AH12" s="623">
        <f t="shared" si="92"/>
        <v>15.017745215482767</v>
      </c>
      <c r="AI12" s="624">
        <f t="shared" si="93"/>
        <v>-74.991194786701655</v>
      </c>
      <c r="AJ12" s="625">
        <f t="shared" si="94"/>
        <v>90.524166778696213</v>
      </c>
      <c r="AK12" s="4">
        <f t="shared" ref="AK12:AK105" si="213">IF(M12="","",(COS(RADIANS((90-$Q$8)-W12))*AD12)+(-SIN(RADIANS((90-$Q$8)-W12))*AE12))</f>
        <v>0.96584086145567016</v>
      </c>
      <c r="AL12" s="5">
        <f>IF(M12="","",(SIN(RADIANS((90-$Q$8)-W12))*AD12)+(COS(RADIANS((90-$Q$8)-W12))*AE12))</f>
        <v>9.3419377496234066E-3</v>
      </c>
      <c r="AM12" s="6">
        <f t="shared" si="96"/>
        <v>-0.258967485491231</v>
      </c>
      <c r="AN12" s="612">
        <f>IF(M12="","",DEGREES(ATAN2(-AM12,AL12)))</f>
        <v>2.065979855470244</v>
      </c>
      <c r="AO12" s="613">
        <f t="shared" si="98"/>
        <v>15.018797488387246</v>
      </c>
      <c r="AP12" s="624">
        <f t="shared" si="99"/>
        <v>0.55416677436475092</v>
      </c>
      <c r="AQ12" s="625">
        <f t="shared" si="9"/>
        <v>5.7090228821157147</v>
      </c>
      <c r="AS12" s="56">
        <f t="shared" si="119"/>
        <v>0</v>
      </c>
      <c r="AT12" s="77">
        <f>IF(M12="","",Y12+(((AS12-$AS$9)*$AS$6)*-1))</f>
        <v>-7.4386891375707642E-2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1.1100000000000001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0.02</v>
      </c>
      <c r="B13" s="770">
        <v>2.9223709508500634E-2</v>
      </c>
      <c r="C13" s="771">
        <v>2.8378580933905351</v>
      </c>
      <c r="D13" s="772">
        <v>-8.060024309033316E-2</v>
      </c>
      <c r="E13" s="773">
        <v>-0.96307745540324263</v>
      </c>
      <c r="F13" s="771">
        <v>0.11549026541758782</v>
      </c>
      <c r="G13" s="774">
        <v>0.24319501123129628</v>
      </c>
      <c r="H13" s="773">
        <v>0.26600000000000001</v>
      </c>
      <c r="I13" s="771">
        <v>0.52</v>
      </c>
      <c r="J13" s="601">
        <v>1.1160000000000001</v>
      </c>
      <c r="K13" s="426" t="str">
        <f t="shared" si="82"/>
        <v>1313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1"/>
        <v>1.1160000000000001</v>
      </c>
      <c r="N13" s="21">
        <f t="shared" si="2"/>
        <v>2.9223709508500634E-2</v>
      </c>
      <c r="O13" s="5">
        <f t="shared" si="3"/>
        <v>2.8378580933905351</v>
      </c>
      <c r="P13" s="10">
        <f t="shared" si="4"/>
        <v>-8.060024309033316E-2</v>
      </c>
      <c r="Q13" s="624">
        <f t="shared" si="116"/>
        <v>89.410000085185459</v>
      </c>
      <c r="R13" s="5">
        <f t="shared" si="83"/>
        <v>2.8380085594338156</v>
      </c>
      <c r="S13" s="6">
        <f t="shared" si="84"/>
        <v>-8.060024309033316E-2</v>
      </c>
      <c r="T13" s="4">
        <f>IF(M13="","",X13*COS(RADIANS(W13)))</f>
        <v>2.8378730058788104</v>
      </c>
      <c r="U13" s="5">
        <f t="shared" si="86"/>
        <v>-2.7737806761989222E-2</v>
      </c>
      <c r="V13" s="8">
        <f t="shared" si="117"/>
        <v>-8.060024309033316E-2</v>
      </c>
      <c r="W13" s="624">
        <f t="shared" si="5"/>
        <v>359.44000008085402</v>
      </c>
      <c r="X13" s="5">
        <f t="shared" si="87"/>
        <v>2.8380085594338156</v>
      </c>
      <c r="Y13" s="7">
        <f>IF(M13="","",S13)</f>
        <v>-8.060024309033316E-2</v>
      </c>
      <c r="Z13" s="21">
        <f t="shared" si="6"/>
        <v>0.96307745540324263</v>
      </c>
      <c r="AA13" s="5">
        <f t="shared" si="7"/>
        <v>-0.11549026541758782</v>
      </c>
      <c r="AB13" s="5">
        <f t="shared" si="8"/>
        <v>-0.24319501123129628</v>
      </c>
      <c r="AC13" s="8">
        <f t="shared" si="88"/>
        <v>1</v>
      </c>
      <c r="AD13" s="9">
        <f>IF(M13="","",Z13*(1/SQRT(Z13^2+AA13^2+AB13^2)))</f>
        <v>0.96307745540324263</v>
      </c>
      <c r="AE13" s="5">
        <f t="shared" si="89"/>
        <v>-0.11549026541758782</v>
      </c>
      <c r="AF13" s="10">
        <f t="shared" si="90"/>
        <v>-0.24319501123129628</v>
      </c>
      <c r="AG13" s="622">
        <f>IF(M13="","",DEGREES(ATAN2(-AF13,AE13)))</f>
        <v>-25.402457652401573</v>
      </c>
      <c r="AH13" s="623">
        <f t="shared" si="92"/>
        <v>15.618123480036122</v>
      </c>
      <c r="AI13" s="624">
        <f t="shared" si="93"/>
        <v>-75.924810439842901</v>
      </c>
      <c r="AJ13" s="625">
        <f t="shared" si="94"/>
        <v>83.161861527674063</v>
      </c>
      <c r="AK13" s="4">
        <f t="shared" si="213"/>
        <v>0.96421562797950167</v>
      </c>
      <c r="AL13" s="5">
        <f t="shared" si="95"/>
        <v>-0.10556708422754212</v>
      </c>
      <c r="AM13" s="6">
        <f t="shared" si="96"/>
        <v>-0.24319501123129628</v>
      </c>
      <c r="AN13" s="612">
        <f t="shared" si="97"/>
        <v>-23.464897551347971</v>
      </c>
      <c r="AO13" s="613">
        <f t="shared" si="98"/>
        <v>15.37403944722319</v>
      </c>
      <c r="AP13" s="624">
        <f t="shared" si="99"/>
        <v>-6.2481385575114512</v>
      </c>
      <c r="AQ13" s="625">
        <f t="shared" si="9"/>
        <v>4.3614209541086613</v>
      </c>
      <c r="AS13" s="56">
        <f t="shared" si="119"/>
        <v>-0.55999991914598013</v>
      </c>
      <c r="AT13" s="77">
        <f t="shared" si="10"/>
        <v>-7.8371354523256109E-2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1.1160000000000001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0.02</v>
      </c>
      <c r="B14" s="770">
        <v>9.8703276329655254E-2</v>
      </c>
      <c r="C14" s="771">
        <v>3.533632414500977</v>
      </c>
      <c r="D14" s="772">
        <v>-0.46740140968265165</v>
      </c>
      <c r="E14" s="773">
        <v>-0.94449302702146609</v>
      </c>
      <c r="F14" s="771">
        <v>0.26389416185295367</v>
      </c>
      <c r="G14" s="774">
        <v>0.19568544464971172</v>
      </c>
      <c r="H14" s="773">
        <v>0.314</v>
      </c>
      <c r="I14" s="771">
        <v>0.52</v>
      </c>
      <c r="J14" s="601">
        <v>1.1220000000000001</v>
      </c>
      <c r="K14" s="426" t="str">
        <f t="shared" si="82"/>
        <v>1613</v>
      </c>
      <c r="L14" s="327"/>
      <c r="M14" s="173">
        <f t="shared" si="1"/>
        <v>1.1220000000000001</v>
      </c>
      <c r="N14" s="21">
        <f t="shared" si="2"/>
        <v>9.8703276329655254E-2</v>
      </c>
      <c r="O14" s="5">
        <f t="shared" si="3"/>
        <v>3.533632414500977</v>
      </c>
      <c r="P14" s="10">
        <f t="shared" si="4"/>
        <v>-0.46740140968265165</v>
      </c>
      <c r="Q14" s="624">
        <f t="shared" si="116"/>
        <v>88.400000231011376</v>
      </c>
      <c r="R14" s="5">
        <f t="shared" si="83"/>
        <v>3.5350106615921559</v>
      </c>
      <c r="S14" s="6">
        <f t="shared" si="84"/>
        <v>-0.46740140968265165</v>
      </c>
      <c r="T14" s="4">
        <f t="shared" si="85"/>
        <v>3.5336836110232435</v>
      </c>
      <c r="U14" s="5">
        <f t="shared" si="86"/>
        <v>-9.6853057545659219E-2</v>
      </c>
      <c r="V14" s="8">
        <f t="shared" si="117"/>
        <v>-0.46740140968265165</v>
      </c>
      <c r="W14" s="624">
        <f t="shared" si="5"/>
        <v>358.43000022667991</v>
      </c>
      <c r="X14" s="5">
        <f t="shared" si="87"/>
        <v>3.5350106615921559</v>
      </c>
      <c r="Y14" s="7">
        <f t="shared" ref="Y14:Y75" si="225">IF(M14="","",S14)</f>
        <v>-0.46740140968265165</v>
      </c>
      <c r="Z14" s="21">
        <f t="shared" si="6"/>
        <v>0.94449302702146609</v>
      </c>
      <c r="AA14" s="5">
        <f t="shared" si="7"/>
        <v>-0.26389416185295367</v>
      </c>
      <c r="AB14" s="5">
        <f t="shared" si="8"/>
        <v>-0.19568544464971172</v>
      </c>
      <c r="AC14" s="8">
        <f t="shared" si="88"/>
        <v>1</v>
      </c>
      <c r="AD14" s="9">
        <f>IF(M14="","",Z14*(1/SQRT(Z14^2+AA14^2+AB14^2)))</f>
        <v>0.94449302702146609</v>
      </c>
      <c r="AE14" s="5">
        <f t="shared" si="89"/>
        <v>-0.26389416185295367</v>
      </c>
      <c r="AF14" s="10">
        <f t="shared" si="90"/>
        <v>-0.19568544464971172</v>
      </c>
      <c r="AG14" s="622">
        <f t="shared" si="91"/>
        <v>-53.441955167237204</v>
      </c>
      <c r="AH14" s="623">
        <f t="shared" si="92"/>
        <v>19.179665468430873</v>
      </c>
      <c r="AI14" s="624">
        <f t="shared" si="93"/>
        <v>-78.715231864737788</v>
      </c>
      <c r="AJ14" s="625">
        <f t="shared" si="94"/>
        <v>74.389478596859391</v>
      </c>
      <c r="AK14" s="4">
        <f>IF(M14="","",(COS(RADIANS((90-$Q$8)-W14))*AD14)+(-SIN(RADIANS((90-$Q$8)-W14))*AE14))</f>
        <v>0.95149313988700346</v>
      </c>
      <c r="AL14" s="5">
        <f t="shared" si="95"/>
        <v>-0.2374194842472199</v>
      </c>
      <c r="AM14" s="6">
        <f t="shared" si="96"/>
        <v>-0.19568544464971172</v>
      </c>
      <c r="AN14" s="612">
        <f t="shared" si="97"/>
        <v>-50.504034243219152</v>
      </c>
      <c r="AO14" s="613">
        <f t="shared" si="98"/>
        <v>17.918867475107838</v>
      </c>
      <c r="AP14" s="624">
        <f>IF(M14="","",DEGREES(ATAN2(AK14,AL14)))</f>
        <v>-14.010521634152013</v>
      </c>
      <c r="AQ14" s="625">
        <f t="shared" si="9"/>
        <v>3.5038787918691692</v>
      </c>
      <c r="AS14" s="56">
        <f t="shared" si="119"/>
        <v>-1.5699997733200917</v>
      </c>
      <c r="AT14" s="77">
        <f t="shared" si="10"/>
        <v>-0.46135696611091687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1.1220000000000001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7"/>
        <v/>
      </c>
      <c r="IK14" s="839" t="str">
        <f t="shared" si="68"/>
        <v/>
      </c>
      <c r="IL14" s="791" t="str">
        <f t="shared" si="69"/>
        <v/>
      </c>
      <c r="IM14" s="830"/>
      <c r="IN14" s="5" t="str">
        <f t="shared" si="70"/>
        <v/>
      </c>
      <c r="IO14" s="852"/>
      <c r="IP14" s="9" t="str">
        <f t="shared" si="71"/>
        <v/>
      </c>
      <c r="IQ14" s="5" t="str">
        <f t="shared" si="72"/>
        <v/>
      </c>
      <c r="IR14" s="5" t="str">
        <f t="shared" si="73"/>
        <v/>
      </c>
      <c r="IS14" s="5" t="str">
        <f t="shared" si="74"/>
        <v/>
      </c>
      <c r="IT14" s="791" t="str">
        <f t="shared" si="75"/>
        <v/>
      </c>
      <c r="IU14" s="9" t="str">
        <f t="shared" si="76"/>
        <v/>
      </c>
      <c r="IV14" s="5" t="str">
        <f t="shared" si="77"/>
        <v/>
      </c>
      <c r="IW14" s="5" t="str">
        <f t="shared" si="78"/>
        <v/>
      </c>
      <c r="IX14" s="5" t="str">
        <f t="shared" si="79"/>
        <v/>
      </c>
      <c r="IY14" s="833" t="str">
        <f t="shared" si="80"/>
        <v/>
      </c>
    </row>
    <row r="15" spans="1:259" ht="15" customHeight="1" x14ac:dyDescent="0.25">
      <c r="A15" s="84">
        <f t="shared" si="81"/>
        <v>0.02</v>
      </c>
      <c r="B15" s="770">
        <v>0.18945024422608911</v>
      </c>
      <c r="C15" s="771">
        <v>4.1243636015617291</v>
      </c>
      <c r="D15" s="772">
        <v>-1.879305667985895</v>
      </c>
      <c r="E15" s="773">
        <v>-0.84217022615222226</v>
      </c>
      <c r="F15" s="771">
        <v>0.53921174892865809</v>
      </c>
      <c r="G15" s="774">
        <v>1.133974335509097E-7</v>
      </c>
      <c r="H15" s="773">
        <v>0.314</v>
      </c>
      <c r="I15" s="771">
        <v>0.52</v>
      </c>
      <c r="J15" s="601">
        <v>1.1339999999999999</v>
      </c>
      <c r="K15" s="426" t="str">
        <f t="shared" si="82"/>
        <v>1613</v>
      </c>
      <c r="L15" s="327"/>
      <c r="M15" s="173">
        <f t="shared" si="1"/>
        <v>1.1339999999999999</v>
      </c>
      <c r="N15" s="21">
        <f t="shared" si="2"/>
        <v>0.18945024422608911</v>
      </c>
      <c r="O15" s="5">
        <f t="shared" si="3"/>
        <v>4.1243636015617291</v>
      </c>
      <c r="P15" s="10">
        <f t="shared" si="4"/>
        <v>-1.879305667985895</v>
      </c>
      <c r="Q15" s="624">
        <f t="shared" si="116"/>
        <v>87.370000379724956</v>
      </c>
      <c r="R15" s="5">
        <f t="shared" si="83"/>
        <v>4.1287124521967575</v>
      </c>
      <c r="S15" s="6">
        <f t="shared" si="84"/>
        <v>-1.879305667985895</v>
      </c>
      <c r="T15" s="4">
        <f t="shared" si="85"/>
        <v>4.1244622321001145</v>
      </c>
      <c r="U15" s="5">
        <f t="shared" si="86"/>
        <v>-0.18729070693524005</v>
      </c>
      <c r="V15" s="8">
        <f t="shared" si="117"/>
        <v>-1.879305667985895</v>
      </c>
      <c r="W15" s="624">
        <f t="shared" ref="W15:W78" si="226">IF(M15="","",IF(Q15-$Q$8&lt;0,360+Q15-$Q$8,Q15-$Q$8))</f>
        <v>357.40000037539346</v>
      </c>
      <c r="X15" s="5">
        <f>IF(M15="","",R15)</f>
        <v>4.1287124521967575</v>
      </c>
      <c r="Y15" s="7">
        <f>IF(M15="","",S15)</f>
        <v>-1.879305667985895</v>
      </c>
      <c r="Z15" s="21">
        <f t="shared" si="6"/>
        <v>0.84217022615222226</v>
      </c>
      <c r="AA15" s="5">
        <f t="shared" si="7"/>
        <v>-0.53921174892865809</v>
      </c>
      <c r="AB15" s="5">
        <f t="shared" si="8"/>
        <v>-1.133974335509097E-7</v>
      </c>
      <c r="AC15" s="8">
        <f t="shared" si="88"/>
        <v>1</v>
      </c>
      <c r="AD15" s="9">
        <f t="shared" si="118"/>
        <v>0.84217022615222226</v>
      </c>
      <c r="AE15" s="5">
        <f t="shared" si="89"/>
        <v>-0.53921174892865809</v>
      </c>
      <c r="AF15" s="10">
        <f t="shared" si="90"/>
        <v>-1.133974335509097E-7</v>
      </c>
      <c r="AG15" s="622">
        <f t="shared" si="91"/>
        <v>-89.999987950569775</v>
      </c>
      <c r="AH15" s="623">
        <f t="shared" si="92"/>
        <v>32.629995288811486</v>
      </c>
      <c r="AI15" s="624">
        <f t="shared" si="93"/>
        <v>-89.999993502805651</v>
      </c>
      <c r="AJ15" s="625">
        <f t="shared" si="94"/>
        <v>57.370004711189068</v>
      </c>
      <c r="AK15" s="4">
        <f t="shared" si="213"/>
        <v>0.86602544158358596</v>
      </c>
      <c r="AL15" s="5">
        <f t="shared" si="95"/>
        <v>-0.49999993452993813</v>
      </c>
      <c r="AM15" s="6">
        <f t="shared" si="96"/>
        <v>-1.133974335509097E-7</v>
      </c>
      <c r="AN15" s="612">
        <f>IF(M15="","",DEGREES(ATAN2(-AM15,AL15)))</f>
        <v>-89.999987005609611</v>
      </c>
      <c r="AO15" s="613">
        <f t="shared" si="98"/>
        <v>29.999995668536499</v>
      </c>
      <c r="AP15" s="624">
        <f t="shared" si="99"/>
        <v>-29.999995668535874</v>
      </c>
      <c r="AQ15" s="625">
        <f t="shared" si="9"/>
        <v>3.001025105673544</v>
      </c>
      <c r="AS15" s="56">
        <f t="shared" si="119"/>
        <v>-2.5999996246065393</v>
      </c>
      <c r="AT15" s="77">
        <f t="shared" si="10"/>
        <v>-1.869370113864856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1.1339999999999999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0.02</v>
      </c>
      <c r="B16" s="770">
        <v>0.18945024422608911</v>
      </c>
      <c r="C16" s="771">
        <v>4.1243636015617291</v>
      </c>
      <c r="D16" s="772">
        <v>-2.6525079999641288</v>
      </c>
      <c r="E16" s="773">
        <v>-0.84217022615222226</v>
      </c>
      <c r="F16" s="771">
        <v>0.53921174892865809</v>
      </c>
      <c r="G16" s="774">
        <v>1.1339743351532766E-7</v>
      </c>
      <c r="H16" s="773">
        <v>0.314</v>
      </c>
      <c r="I16" s="771">
        <v>0.52</v>
      </c>
      <c r="J16" s="601">
        <v>1.1399999999999999</v>
      </c>
      <c r="K16" s="426" t="str">
        <f t="shared" si="82"/>
        <v>1613</v>
      </c>
      <c r="L16" s="327"/>
      <c r="M16" s="173">
        <f t="shared" si="1"/>
        <v>1.1399999999999999</v>
      </c>
      <c r="N16" s="21">
        <f t="shared" si="2"/>
        <v>0.18945024422608911</v>
      </c>
      <c r="O16" s="5">
        <f t="shared" si="3"/>
        <v>4.1243636015617291</v>
      </c>
      <c r="P16" s="10">
        <f t="shared" si="4"/>
        <v>-2.6525079999641288</v>
      </c>
      <c r="Q16" s="624">
        <f>IF(M16="","",IF(DEGREES(ATAN2(N16,O16))&lt;0,DEGREES(ATAN2(N16,O16))+360,IF(DEGREES(ATAN2(N16,O16))&gt;360,DEGREES(ATAN2(N16,O16))-360,DEGREES(ATAN2(N16,O16)))))</f>
        <v>87.370000379724956</v>
      </c>
      <c r="R16" s="5">
        <f t="shared" si="83"/>
        <v>4.1287124521967575</v>
      </c>
      <c r="S16" s="6">
        <f t="shared" si="84"/>
        <v>-2.6525079999641288</v>
      </c>
      <c r="T16" s="4">
        <f t="shared" si="85"/>
        <v>4.1244622321001145</v>
      </c>
      <c r="U16" s="5">
        <f t="shared" si="86"/>
        <v>-0.18729070693524005</v>
      </c>
      <c r="V16" s="8">
        <f t="shared" si="117"/>
        <v>-2.6525079999641288</v>
      </c>
      <c r="W16" s="624">
        <f>IF(M16="","",IF(Q16-$Q$8&lt;0,360+Q16-$Q$8,Q16-$Q$8))</f>
        <v>357.40000037539346</v>
      </c>
      <c r="X16" s="5">
        <f t="shared" si="87"/>
        <v>4.1287124521967575</v>
      </c>
      <c r="Y16" s="7">
        <f t="shared" si="225"/>
        <v>-2.6525079999641288</v>
      </c>
      <c r="Z16" s="21">
        <f t="shared" si="6"/>
        <v>0.84217022615222226</v>
      </c>
      <c r="AA16" s="5">
        <f t="shared" si="7"/>
        <v>-0.53921174892865809</v>
      </c>
      <c r="AB16" s="5">
        <f t="shared" si="8"/>
        <v>-1.1339743351532766E-7</v>
      </c>
      <c r="AC16" s="8">
        <f t="shared" si="88"/>
        <v>1</v>
      </c>
      <c r="AD16" s="9">
        <f t="shared" si="118"/>
        <v>0.84217022615222226</v>
      </c>
      <c r="AE16" s="5">
        <f t="shared" si="89"/>
        <v>-0.53921174892865809</v>
      </c>
      <c r="AF16" s="10">
        <f t="shared" si="90"/>
        <v>-1.1339743351532766E-7</v>
      </c>
      <c r="AG16" s="622">
        <f t="shared" si="91"/>
        <v>-89.999987950569775</v>
      </c>
      <c r="AH16" s="623">
        <f t="shared" si="92"/>
        <v>32.629995288811486</v>
      </c>
      <c r="AI16" s="624">
        <f t="shared" si="93"/>
        <v>-89.999993502805651</v>
      </c>
      <c r="AJ16" s="625">
        <f t="shared" si="94"/>
        <v>57.370004711189068</v>
      </c>
      <c r="AK16" s="4">
        <f t="shared" si="213"/>
        <v>0.86602544158358596</v>
      </c>
      <c r="AL16" s="5">
        <f t="shared" si="95"/>
        <v>-0.49999993452993813</v>
      </c>
      <c r="AM16" s="6">
        <f t="shared" si="96"/>
        <v>-1.1339743351532766E-7</v>
      </c>
      <c r="AN16" s="612">
        <f t="shared" si="97"/>
        <v>-89.999987005609611</v>
      </c>
      <c r="AO16" s="613">
        <f t="shared" si="98"/>
        <v>29.999995668536499</v>
      </c>
      <c r="AP16" s="624">
        <f t="shared" si="99"/>
        <v>-29.999995668535874</v>
      </c>
      <c r="AQ16" s="625">
        <f t="shared" si="9"/>
        <v>3.001025105673544</v>
      </c>
      <c r="AS16" s="56">
        <f t="shared" si="119"/>
        <v>-2.5999996246065393</v>
      </c>
      <c r="AT16" s="77">
        <f t="shared" si="10"/>
        <v>-2.6425724458430895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1.1399999999999999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7"/>
        <v/>
      </c>
      <c r="IK16" s="839" t="str">
        <f t="shared" si="68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3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8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1"/>
        <v>0</v>
      </c>
      <c r="B17" s="770">
        <v>0.92245171816160687</v>
      </c>
      <c r="C17" s="771">
        <v>0.96360584870259436</v>
      </c>
      <c r="D17" s="772">
        <v>-0.18141988185206898</v>
      </c>
      <c r="E17" s="773">
        <v>-6.0269482204187798E-2</v>
      </c>
      <c r="F17" s="771">
        <v>-6.2958008393439818E-2</v>
      </c>
      <c r="G17" s="774">
        <v>0.99619469918985748</v>
      </c>
      <c r="H17" s="773">
        <v>0.25700000000000001</v>
      </c>
      <c r="I17" s="771">
        <v>0.41499999999999992</v>
      </c>
      <c r="J17" s="601">
        <v>1.206</v>
      </c>
      <c r="K17" s="426" t="str">
        <f t="shared" si="82"/>
        <v/>
      </c>
      <c r="L17" s="861" t="s">
        <v>332</v>
      </c>
      <c r="M17" s="173">
        <f t="shared" si="1"/>
        <v>1.206</v>
      </c>
      <c r="N17" s="21">
        <f t="shared" si="2"/>
        <v>0.92245171816160687</v>
      </c>
      <c r="O17" s="5">
        <f t="shared" si="3"/>
        <v>0.96360584870259436</v>
      </c>
      <c r="P17" s="10">
        <f t="shared" si="4"/>
        <v>-0.18141988185206898</v>
      </c>
      <c r="Q17" s="624">
        <f>IF(M17="","",IF(DEGREES(ATAN2(N17,O17))&lt;0,DEGREES(ATAN2(N17,O17))+360,IF(DEGREES(ATAN2(N17,O17))&gt;360,DEGREES(ATAN2(N17,O17))-360,DEGREES(ATAN2(N17,O17)))))</f>
        <v>46.250006316717538</v>
      </c>
      <c r="R17" s="5">
        <f>IF(M17="","",SQRT(N17^2+O17^2))</f>
        <v>1.3339615451703051</v>
      </c>
      <c r="S17" s="6">
        <f>IF(M17="","",P17)</f>
        <v>-0.18141988185206898</v>
      </c>
      <c r="T17" s="4">
        <f>IF(M17="","",X17*COS(RADIANS(W17)))</f>
        <v>0.96408871111200023</v>
      </c>
      <c r="U17" s="5">
        <f>IF(M17="","",X17*SIN(RADIANS(W17)))</f>
        <v>-0.92194704896732005</v>
      </c>
      <c r="V17" s="8">
        <f>IF(M17="","",Y17)</f>
        <v>-0.18141988185206898</v>
      </c>
      <c r="W17" s="624">
        <f t="shared" si="226"/>
        <v>316.28000631238604</v>
      </c>
      <c r="X17" s="5">
        <f>IF(M17="","",R17)</f>
        <v>1.3339615451703051</v>
      </c>
      <c r="Y17" s="7">
        <f t="shared" si="225"/>
        <v>-0.18141988185206898</v>
      </c>
      <c r="Z17" s="21">
        <f t="shared" si="6"/>
        <v>6.0269482204187798E-2</v>
      </c>
      <c r="AA17" s="5">
        <f t="shared" si="7"/>
        <v>6.2958008393439818E-2</v>
      </c>
      <c r="AB17" s="5">
        <f t="shared" si="8"/>
        <v>-0.99619469918985748</v>
      </c>
      <c r="AC17" s="8">
        <f>IF(M17="","",SQRT(Z17^2+AA17^2+AB17^2))</f>
        <v>1</v>
      </c>
      <c r="AD17" s="9">
        <f>IF(M17="","",Z17*(1/SQRT(Z17^2+AA17^2+AB17^2)))</f>
        <v>6.0269482204187798E-2</v>
      </c>
      <c r="AE17" s="5">
        <f>IF(M17="","",AA17*(1/SQRT(Z17^2+AA17^2+AB17^2)))</f>
        <v>6.2958008393439818E-2</v>
      </c>
      <c r="AF17" s="10">
        <f>IF(M17="","",AB17*(1/SQRT(Z17^2+AA17^2+AB17^2)))</f>
        <v>-0.99619469918985748</v>
      </c>
      <c r="AG17" s="622">
        <f>IF(M17="","",DEGREES(ATAN2(-AF17,AE17)))</f>
        <v>3.616197880950009</v>
      </c>
      <c r="AH17" s="623">
        <f>IF(M17="","",DEGREES(ACOS(AD17)))</f>
        <v>86.544719046225723</v>
      </c>
      <c r="AI17" s="624">
        <f>IF(M17="","",DEGREES(-ACOS(-AF17)))</f>
        <v>-4.9999992781062668</v>
      </c>
      <c r="AJ17" s="625">
        <f>IF(M17="","",DEGREES(ATAN2(-AE17,AD17)))</f>
        <v>136.24985722278686</v>
      </c>
      <c r="AK17" s="4">
        <f>IF(M17="","",(COS(RADIANS((90-$Q$8)-W17))*AD17)+(-SIN(RADIANS((90-$Q$8)-W17))*AE17))</f>
        <v>2.2679489670301978E-7</v>
      </c>
      <c r="AL17" s="5">
        <f>IF(M17="","",(SIN(RADIANS((90-$Q$8)-W17))*AD17)+(COS(RADIANS((90-$Q$8)-W17))*AE17))</f>
        <v>8.7155730195885073E-2</v>
      </c>
      <c r="AM17" s="6">
        <f>IF(M17="","",AF17)</f>
        <v>-0.99619469918985748</v>
      </c>
      <c r="AN17" s="612">
        <f>IF(M17="","",DEGREES(ATAN2(-AM17,AL17)))</f>
        <v>4.9999992780894171</v>
      </c>
      <c r="AO17" s="613">
        <f t="shared" si="98"/>
        <v>0</v>
      </c>
      <c r="AP17" s="624">
        <f>IF(M17="","",DEGREES(ATAN2(AK17,AL17)))</f>
        <v>89.999850906069327</v>
      </c>
      <c r="AQ17" s="625">
        <f t="shared" si="9"/>
        <v>9.2165773352081821</v>
      </c>
      <c r="AS17" s="56">
        <f t="shared" si="119"/>
        <v>-43.719993687613965</v>
      </c>
      <c r="AT17" s="77">
        <f t="shared" si="10"/>
        <v>-1.614212793744621E-2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>
        <f>IFERROR(IF($IU17="","",IF($IU17&lt;(((Settings!$C$19/2)*-1)*$IE$8),"",1)),"")</f>
        <v>1</v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1.206</v>
      </c>
      <c r="IH17" s="797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3.1059999999999999</v>
      </c>
      <c r="II17" s="800" cm="1">
        <f t="array" ref="II17">IFERROR(IF($IH17&lt;1,$IH17+LARGE((IF($M$9:$M$150="",0,$M$9:$M$150)-MOD(IF($M$9:$M$150="",0,$M$9:$M$150),1)),1),$IH17),"")</f>
        <v>3.1059999999999999</v>
      </c>
      <c r="IJ17" s="555" t="str">
        <f t="shared" si="67"/>
        <v>1313</v>
      </c>
      <c r="IK17" s="839" t="str">
        <f t="shared" si="68"/>
        <v/>
      </c>
      <c r="IL17" s="791">
        <f t="shared" ref="IL17:IL80" si="227">IF(ISNUMBER($II17),IFERROR(IF(INDEX($W$9:$W$150,MATCH($II17,$M$9:$M$150,0))&lt;$W17,((INDEX($W$9:$W$150,MATCH($II17,$M$9:$M$150,0))+360)-$W17),INDEX($W$9:$W$150,MATCH($II17,$M$9:$M$150,0))-$W17),""),"")</f>
        <v>283.7499590315748</v>
      </c>
      <c r="IM17" s="830">
        <v>2.2477100218717499E-2</v>
      </c>
      <c r="IN17" s="5">
        <f t="shared" ref="IN17:IN80" si="228">IF(ISNUMBER($II17),(($IO17*12)/60)/$AS$3,"")</f>
        <v>0.06</v>
      </c>
      <c r="IO17" s="852">
        <v>30</v>
      </c>
      <c r="IP17" s="9">
        <f t="shared" ref="IP17:IP80" si="229">IF(ISNUMBER($II17),(INDEX($X$9:$X$150,MATCH($II17,$M$9:$M$150,0))*-1),"")</f>
        <v>-1.3340040233561343</v>
      </c>
      <c r="IQ17" s="5">
        <f t="shared" ref="IQ17:IQ80" si="230">IF(ISNUMBER($II17),INDEX($Y$9:$Y$150,MATCH($II17,$M$9:$M$150,0)),"")</f>
        <v>-0.14720044395653897</v>
      </c>
      <c r="IR17" s="5">
        <f t="shared" si="73"/>
        <v>0.26600000000000001</v>
      </c>
      <c r="IS17" s="5">
        <f t="shared" ref="IS17:IS80" si="231">IF(ISNUMBER($II17),$IR17*COS(RADIANS(INDEX($AO$9:$AO$150,MATCH($II17,$M$9:$M$150,0)))),"")</f>
        <v>0.25693627239520722</v>
      </c>
      <c r="IT17" s="791">
        <f t="shared" ref="IT17:IT80" si="232">IF(ISNUMBER($II17),(-1*INDEX($AN$9:$AN$150,MATCH($II17,$M$9:$M$150,0))),"")</f>
        <v>-4.9999992780894429</v>
      </c>
      <c r="IU17" s="9">
        <f t="shared" ref="IU17:IU80" si="233">IF(ISNUMBER($II17),-$X17,"")</f>
        <v>-1.3339615451703051</v>
      </c>
      <c r="IV17" s="5">
        <f t="shared" ref="IV17:IV80" si="234">IF(ISNUMBER($II17),$Y17,"")</f>
        <v>-0.18141988185206898</v>
      </c>
      <c r="IW17" s="5">
        <f t="shared" si="78"/>
        <v>0.25700000000000001</v>
      </c>
      <c r="IX17" s="5">
        <f t="shared" ref="IX17:IX80" si="235">IF(ISNUMBER($II17),$IW17*COS(RADIANS($AO17)),"")</f>
        <v>0.25700000000000001</v>
      </c>
      <c r="IY17" s="833">
        <f t="shared" ref="IY17:IY80" si="236">IF(ISNUMBER($II17),(-1*$AN17),"")</f>
        <v>-4.9999992780894171</v>
      </c>
    </row>
    <row r="18" spans="1:259" ht="15" customHeight="1" x14ac:dyDescent="0.25">
      <c r="A18" s="84">
        <f t="shared" si="81"/>
        <v>0</v>
      </c>
      <c r="B18" s="770">
        <v>0.92249683064222088</v>
      </c>
      <c r="C18" s="771">
        <v>1.726232809469429</v>
      </c>
      <c r="D18" s="772">
        <v>-0.12583429753927999</v>
      </c>
      <c r="E18" s="773">
        <v>-4.1078413538944453E-2</v>
      </c>
      <c r="F18" s="771">
        <v>-7.6867972831035677E-2</v>
      </c>
      <c r="G18" s="774">
        <v>0.99619469918985748</v>
      </c>
      <c r="H18" s="773">
        <v>0.25700000000000001</v>
      </c>
      <c r="I18" s="771">
        <v>0.41499999999999992</v>
      </c>
      <c r="J18" s="601">
        <v>1.2090000000000001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/>
      </c>
      <c r="L18" s="857" t="s">
        <v>376</v>
      </c>
      <c r="M18" s="173">
        <f t="shared" si="1"/>
        <v>1.2090000000000001</v>
      </c>
      <c r="N18" s="21">
        <f t="shared" si="2"/>
        <v>0.92249683064222088</v>
      </c>
      <c r="O18" s="5">
        <f t="shared" si="3"/>
        <v>1.726232809469429</v>
      </c>
      <c r="P18" s="10">
        <f t="shared" si="4"/>
        <v>-0.12583429753927999</v>
      </c>
      <c r="Q18" s="624">
        <f t="shared" si="116"/>
        <v>61.880004060025094</v>
      </c>
      <c r="R18" s="5">
        <f>IF(M18="","",SQRT(N18^2+O18^2))</f>
        <v>1.9572634250487746</v>
      </c>
      <c r="S18" s="6">
        <f>IF(M18="","",P18)</f>
        <v>-0.12583429753927999</v>
      </c>
      <c r="T18" s="4">
        <f>IF(M18="","",X18*COS(RADIANS(W18)))</f>
        <v>1.7267155909604486</v>
      </c>
      <c r="U18" s="5">
        <f>IF(M18="","",X18*SIN(RADIANS(W18)))</f>
        <v>-0.92159285097475074</v>
      </c>
      <c r="V18" s="8">
        <f>IF(M18="","",Y18)</f>
        <v>-0.12583429753927999</v>
      </c>
      <c r="W18" s="624">
        <f t="shared" si="226"/>
        <v>331.91000405569366</v>
      </c>
      <c r="X18" s="5">
        <f>IF(M18="","",R18)</f>
        <v>1.9572634250487746</v>
      </c>
      <c r="Y18" s="7">
        <f t="shared" si="225"/>
        <v>-0.12583429753927999</v>
      </c>
      <c r="Z18" s="21">
        <f t="shared" si="6"/>
        <v>4.1078413538944453E-2</v>
      </c>
      <c r="AA18" s="5">
        <f t="shared" si="7"/>
        <v>7.6867972831035677E-2</v>
      </c>
      <c r="AB18" s="5">
        <f t="shared" si="8"/>
        <v>-0.99619469918985748</v>
      </c>
      <c r="AC18" s="8">
        <f>IF(M18="","",SQRT(Z18^2+AA18^2+AB18^2))</f>
        <v>1</v>
      </c>
      <c r="AD18" s="9">
        <f>IF(M18="","",Z18*(1/SQRT(Z18^2+AA18^2+AB18^2)))</f>
        <v>4.1078413538944453E-2</v>
      </c>
      <c r="AE18" s="5">
        <f>IF(M18="","",AA18*(1/SQRT(Z18^2+AA18^2+AB18^2)))</f>
        <v>7.6867972831035677E-2</v>
      </c>
      <c r="AF18" s="10">
        <f>IF(M18="","",AB18*(1/SQRT(Z18^2+AA18^2+AB18^2)))</f>
        <v>-0.99619469918985748</v>
      </c>
      <c r="AG18" s="622">
        <f>IF(M18="","",DEGREES(ATAN2(-AF18,AE18)))</f>
        <v>4.412290849477853</v>
      </c>
      <c r="AH18" s="623">
        <f>IF(M18="","",DEGREES(ACOS(AD18)))</f>
        <v>87.645717841520138</v>
      </c>
      <c r="AI18" s="624">
        <f>IF(M18="","",DEGREES(-ACOS(-AF18)))</f>
        <v>-4.9999992781062668</v>
      </c>
      <c r="AJ18" s="625">
        <f>IF(M18="","",DEGREES(ATAN2(-AE18,AD18)))</f>
        <v>151.87985496609437</v>
      </c>
      <c r="AK18" s="4">
        <f>IF(M18="","",(COS(RADIANS((90-$Q$8)-W18))*AD18)+(-SIN(RADIANS((90-$Q$8)-W18))*AE18))</f>
        <v>2.2679489680710319E-7</v>
      </c>
      <c r="AL18" s="5">
        <f>IF(M18="","",(SIN(RADIANS((90-$Q$8)-W18))*AD18)+(COS(RADIANS((90-$Q$8)-W18))*AE18))</f>
        <v>8.7155730195885225E-2</v>
      </c>
      <c r="AM18" s="6">
        <f>IF(M18="","",AF18)</f>
        <v>-0.99619469918985748</v>
      </c>
      <c r="AN18" s="612">
        <f>IF(M18="","",DEGREES(ATAN2(-AM18,AL18)))</f>
        <v>4.999999278089426</v>
      </c>
      <c r="AO18" s="613">
        <f t="shared" si="98"/>
        <v>0</v>
      </c>
      <c r="AP18" s="624">
        <f>IF(M18="","",DEGREES(ATAN2(AK18,AL18)))</f>
        <v>89.999850906069256</v>
      </c>
      <c r="AQ18" s="625">
        <f t="shared" si="9"/>
        <v>6.3106088061121977</v>
      </c>
      <c r="AS18" s="56">
        <f t="shared" si="119"/>
        <v>-28.089995944306338</v>
      </c>
      <c r="AT18" s="77">
        <f t="shared" si="10"/>
        <v>-1.9603201766041592E-2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>
        <f>IFERROR(IF($IU18="","",IF($IU18&lt;(((Settings!$C$19/2)*-1)*$IE$8),"",1)),"")</f>
        <v>1</v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1.2090000000000001</v>
      </c>
      <c r="IH18" s="797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3.109</v>
      </c>
      <c r="II18" s="800" cm="1">
        <f t="array" ref="II18">IFERROR(IF($IH18&lt;1,$IH18+LARGE((IF($M$9:$M$150="",0,$M$9:$M$150)-MOD(IF($M$9:$M$150="",0,$M$9:$M$150),1)),1),$IH18),"")</f>
        <v>3.109</v>
      </c>
      <c r="IJ18" s="839" t="str">
        <f t="shared" si="67"/>
        <v>1313</v>
      </c>
      <c r="IK18" s="839" t="str">
        <f t="shared" si="68"/>
        <v/>
      </c>
      <c r="IL18" s="791">
        <f t="shared" si="227"/>
        <v>268.11996128826718</v>
      </c>
      <c r="IM18" s="830">
        <v>2.19324931549887E-2</v>
      </c>
      <c r="IN18" s="5">
        <f t="shared" si="228"/>
        <v>0.06</v>
      </c>
      <c r="IO18" s="852">
        <v>30</v>
      </c>
      <c r="IP18" s="9">
        <f t="shared" si="229"/>
        <v>-1.9573059032346045</v>
      </c>
      <c r="IQ18" s="5">
        <f t="shared" si="230"/>
        <v>-9.2700279584043241E-2</v>
      </c>
      <c r="IR18" s="5">
        <f t="shared" si="73"/>
        <v>0.26600000000000001</v>
      </c>
      <c r="IS18" s="5">
        <f t="shared" si="231"/>
        <v>0.25693627239520717</v>
      </c>
      <c r="IT18" s="791">
        <f t="shared" si="232"/>
        <v>-4.9999992780894198</v>
      </c>
      <c r="IU18" s="9">
        <f t="shared" si="233"/>
        <v>-1.9572634250487746</v>
      </c>
      <c r="IV18" s="5">
        <f t="shared" si="234"/>
        <v>-0.12583429753927999</v>
      </c>
      <c r="IW18" s="5">
        <f t="shared" si="78"/>
        <v>0.25700000000000001</v>
      </c>
      <c r="IX18" s="5">
        <f t="shared" si="235"/>
        <v>0.25700000000000001</v>
      </c>
      <c r="IY18" s="833">
        <f t="shared" si="236"/>
        <v>-4.999999278089426</v>
      </c>
    </row>
    <row r="19" spans="1:259" ht="15" customHeight="1" x14ac:dyDescent="0.25">
      <c r="A19" s="84">
        <f t="shared" si="81"/>
        <v>0.02</v>
      </c>
      <c r="B19" s="770">
        <v>0.1648936012580019</v>
      </c>
      <c r="C19" s="771">
        <v>3.9841011860193216</v>
      </c>
      <c r="D19" s="772">
        <v>-1.1078033411348769</v>
      </c>
      <c r="E19" s="773">
        <v>-0.92365688193061923</v>
      </c>
      <c r="F19" s="771">
        <v>0.37046552789895126</v>
      </c>
      <c r="G19" s="774">
        <v>9.804721873035338E-2</v>
      </c>
      <c r="H19" s="773">
        <v>0.314</v>
      </c>
      <c r="I19" s="771">
        <v>0.52</v>
      </c>
      <c r="J19" s="601">
        <v>1.228</v>
      </c>
      <c r="K19" s="426" t="str">
        <f t="shared" si="82"/>
        <v>1613</v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1"/>
        <v>1.228</v>
      </c>
      <c r="N19" s="21">
        <f t="shared" si="2"/>
        <v>0.1648936012580019</v>
      </c>
      <c r="O19" s="5">
        <f t="shared" si="3"/>
        <v>3.9841011860193216</v>
      </c>
      <c r="P19" s="10">
        <f t="shared" si="4"/>
        <v>-1.1078033411348769</v>
      </c>
      <c r="Q19" s="624">
        <f t="shared" si="116"/>
        <v>87.630000342185625</v>
      </c>
      <c r="R19" s="5">
        <f>IF(M19="","",SQRT(N19^2+O19^2))</f>
        <v>3.9875120263362716</v>
      </c>
      <c r="S19" s="6">
        <f>IF(M19="","",P19)</f>
        <v>-1.1078033411348769</v>
      </c>
      <c r="T19" s="4">
        <f>IF(M19="","",X19*COS(RADIANS(W19)))</f>
        <v>3.9841869779588235</v>
      </c>
      <c r="U19" s="5">
        <f>IF(M19="","",X19*SIN(RADIANS(W19)))</f>
        <v>-0.16280750854839871</v>
      </c>
      <c r="V19" s="8">
        <f>IF(M19="","",Y19)</f>
        <v>-1.1078033411348769</v>
      </c>
      <c r="W19" s="624">
        <f t="shared" si="226"/>
        <v>357.66000033785417</v>
      </c>
      <c r="X19" s="5">
        <f>IF(M19="","",R19)</f>
        <v>3.9875120263362716</v>
      </c>
      <c r="Y19" s="7">
        <f t="shared" si="225"/>
        <v>-1.1078033411348769</v>
      </c>
      <c r="Z19" s="21">
        <f t="shared" si="6"/>
        <v>0.92365688193061923</v>
      </c>
      <c r="AA19" s="5">
        <f t="shared" si="7"/>
        <v>-0.37046552789895126</v>
      </c>
      <c r="AB19" s="5">
        <f t="shared" si="8"/>
        <v>-9.804721873035338E-2</v>
      </c>
      <c r="AC19" s="8">
        <f>IF(M19="","",SQRT(Z19^2+AA19^2+AB19^2))</f>
        <v>1</v>
      </c>
      <c r="AD19" s="9">
        <f>IF(M19="","",Z19*(1/SQRT(Z19^2+AA19^2+AB19^2)))</f>
        <v>0.92365688193061923</v>
      </c>
      <c r="AE19" s="5">
        <f>IF(M19="","",AA19*(1/SQRT(Z19^2+AA19^2+AB19^2)))</f>
        <v>-0.37046552789895126</v>
      </c>
      <c r="AF19" s="10">
        <f>IF(M19="","",AB19*(1/SQRT(Z19^2+AA19^2+AB19^2)))</f>
        <v>-9.804721873035338E-2</v>
      </c>
      <c r="AG19" s="622">
        <f>IF(M19="","",DEGREES(ATAN2(-AF19,AE19)))</f>
        <v>-75.176003937693011</v>
      </c>
      <c r="AH19" s="623">
        <f>IF(M19="","",DEGREES(ACOS(AD19)))</f>
        <v>22.533312109785257</v>
      </c>
      <c r="AI19" s="624">
        <f>IF(M19="","",DEGREES(-ACOS(-AF19)))</f>
        <v>-84.373268293374025</v>
      </c>
      <c r="AJ19" s="625">
        <f>IF(M19="","",DEGREES(ATAN2(-AE19,AD19)))</f>
        <v>68.144986804142306</v>
      </c>
      <c r="AK19" s="4">
        <f>IF(M19="","",(COS(RADIANS((90-$Q$8)-W19))*AD19)+(-SIN(RADIANS((90-$Q$8)-W19))*AE19))</f>
        <v>0.93818648046791031</v>
      </c>
      <c r="AL19" s="5">
        <f>IF(M19="","",(SIN(RADIANS((90-$Q$8)-W19))*AD19)+(COS(RADIANS((90-$Q$8)-W19))*AE19))</f>
        <v>-0.33195311531371097</v>
      </c>
      <c r="AM19" s="6">
        <f>IF(M19="","",AF19)</f>
        <v>-9.804721873035338E-2</v>
      </c>
      <c r="AN19" s="612">
        <f>IF(M19="","",DEGREES(ATAN2(-AM19,AL19)))</f>
        <v>-73.544721937551671</v>
      </c>
      <c r="AO19" s="613">
        <f t="shared" si="98"/>
        <v>20.250803750522898</v>
      </c>
      <c r="AP19" s="624">
        <f>IF(M19="","",DEGREES(ATAN2(AK19,AL19)))</f>
        <v>-19.485013538043386</v>
      </c>
      <c r="AQ19" s="625">
        <f t="shared" si="9"/>
        <v>3.1070887116394266</v>
      </c>
      <c r="AS19" s="56">
        <f t="shared" si="119"/>
        <v>-2.3399996621458286</v>
      </c>
      <c r="AT19" s="77">
        <f t="shared" si="10"/>
        <v>-1.0988500090942448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6"/>
        <v>1.228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7"/>
        <v/>
      </c>
      <c r="IK19" s="839" t="str">
        <f t="shared" si="68"/>
        <v/>
      </c>
      <c r="IL19" s="791" t="str">
        <f t="shared" si="227"/>
        <v/>
      </c>
      <c r="IM19" s="830"/>
      <c r="IN19" s="5" t="str">
        <f t="shared" si="228"/>
        <v/>
      </c>
      <c r="IO19" s="852"/>
      <c r="IP19" s="9" t="str">
        <f t="shared" si="229"/>
        <v/>
      </c>
      <c r="IQ19" s="5" t="str">
        <f t="shared" si="230"/>
        <v/>
      </c>
      <c r="IR19" s="5" t="str">
        <f t="shared" si="73"/>
        <v/>
      </c>
      <c r="IS19" s="5" t="str">
        <f t="shared" si="231"/>
        <v/>
      </c>
      <c r="IT19" s="791" t="str">
        <f t="shared" si="232"/>
        <v/>
      </c>
      <c r="IU19" s="9" t="str">
        <f t="shared" si="233"/>
        <v/>
      </c>
      <c r="IV19" s="5" t="str">
        <f t="shared" si="234"/>
        <v/>
      </c>
      <c r="IW19" s="5" t="str">
        <f t="shared" si="78"/>
        <v/>
      </c>
      <c r="IX19" s="5" t="str">
        <f t="shared" si="235"/>
        <v/>
      </c>
      <c r="IY19" s="833" t="str">
        <f t="shared" si="236"/>
        <v/>
      </c>
    </row>
    <row r="20" spans="1:259" ht="15" customHeight="1" x14ac:dyDescent="0.25">
      <c r="A20" s="84">
        <f t="shared" si="81"/>
        <v>0.02</v>
      </c>
      <c r="B20" s="770">
        <v>2.4803187384417398</v>
      </c>
      <c r="C20" s="771">
        <v>1.1324360290639524</v>
      </c>
      <c r="D20" s="772">
        <v>-6.2500188500568515E-2</v>
      </c>
      <c r="E20" s="773">
        <v>-0.32455791245177645</v>
      </c>
      <c r="F20" s="771">
        <v>0.91219194006957782</v>
      </c>
      <c r="G20" s="774">
        <v>0.25013601487399795</v>
      </c>
      <c r="H20" s="773">
        <v>0.26600000000000001</v>
      </c>
      <c r="I20" s="771">
        <v>0.52</v>
      </c>
      <c r="J20" s="601">
        <v>2.1150000000000002</v>
      </c>
      <c r="K20" s="426" t="str">
        <f t="shared" si="82"/>
        <v>1313</v>
      </c>
      <c r="L20" s="858" t="s">
        <v>377</v>
      </c>
      <c r="M20" s="173">
        <f t="shared" si="1"/>
        <v>2.1150000000000002</v>
      </c>
      <c r="N20" s="21">
        <f t="shared" si="2"/>
        <v>2.4803187384417398</v>
      </c>
      <c r="O20" s="5">
        <f t="shared" si="3"/>
        <v>1.1324360290639524</v>
      </c>
      <c r="P20" s="10">
        <f t="shared" si="4"/>
        <v>-6.2500188500568515E-2</v>
      </c>
      <c r="Q20" s="624">
        <f t="shared" si="116"/>
        <v>24.539957473691722</v>
      </c>
      <c r="R20" s="5">
        <f>IF(M20="","",SQRT(N20^2+O20^2))</f>
        <v>2.7266082234504019</v>
      </c>
      <c r="S20" s="6">
        <f>IF(M20="","",P20)</f>
        <v>-6.2500188500568515E-2</v>
      </c>
      <c r="T20" s="4">
        <f>IF(M20="","",X20*COS(RADIANS(W20)))</f>
        <v>1.1337345654398101</v>
      </c>
      <c r="U20" s="5">
        <f>IF(M20="","",X20*SIN(RADIANS(W20)))</f>
        <v>-2.4797254564395552</v>
      </c>
      <c r="V20" s="8">
        <f>IF(M20="","",Y20)</f>
        <v>-6.2500188500568515E-2</v>
      </c>
      <c r="W20" s="624">
        <f t="shared" si="226"/>
        <v>294.56995746936025</v>
      </c>
      <c r="X20" s="5">
        <f>IF(M20="","",R20)</f>
        <v>2.7266082234504019</v>
      </c>
      <c r="Y20" s="7">
        <f t="shared" si="225"/>
        <v>-6.2500188500568515E-2</v>
      </c>
      <c r="Z20" s="21">
        <f t="shared" si="6"/>
        <v>0.32455791245177645</v>
      </c>
      <c r="AA20" s="5">
        <f t="shared" si="7"/>
        <v>-0.91219194006957782</v>
      </c>
      <c r="AB20" s="5">
        <f t="shared" si="8"/>
        <v>-0.25013601487399795</v>
      </c>
      <c r="AC20" s="8">
        <f>IF(M20="","",SQRT(Z20^2+AA20^2+AB20^2))</f>
        <v>1</v>
      </c>
      <c r="AD20" s="9">
        <f>IF(M20="","",Z20*(1/SQRT(Z20^2+AA20^2+AB20^2)))</f>
        <v>0.32455791245177645</v>
      </c>
      <c r="AE20" s="5">
        <f>IF(M20="","",AA20*(1/SQRT(Z20^2+AA20^2+AB20^2)))</f>
        <v>-0.91219194006957782</v>
      </c>
      <c r="AF20" s="10">
        <f>IF(M20="","",AB20*(1/SQRT(Z20^2+AA20^2+AB20^2)))</f>
        <v>-0.25013601487399795</v>
      </c>
      <c r="AG20" s="622">
        <f>IF(M20="","",DEGREES(ATAN2(-AF20,AE20)))</f>
        <v>-74.665612844632818</v>
      </c>
      <c r="AH20" s="623">
        <f>IF(M20="","",DEGREES(ACOS(AD20)))</f>
        <v>71.061206593044574</v>
      </c>
      <c r="AI20" s="624">
        <f>IF(M20="","",DEGREES(-ACOS(-AF20)))</f>
        <v>-75.514439011485464</v>
      </c>
      <c r="AJ20" s="625">
        <f>IF(M20="","",DEGREES(ATAN2(-AE20,AD20)))</f>
        <v>19.585559757615542</v>
      </c>
      <c r="AK20" s="4">
        <f>IF(M20="","",(COS(RADIANS((90-$Q$8)-W20))*AD20)+(-SIN(RADIANS((90-$Q$8)-W20))*AE20))</f>
        <v>0.96459323087496585</v>
      </c>
      <c r="AL20" s="5">
        <f>IF(M20="","",(SIN(RADIANS((90-$Q$8)-W20))*AD20)+(COS(RADIANS((90-$Q$8)-W20))*AE20))</f>
        <v>-8.3617420512415608E-2</v>
      </c>
      <c r="AM20" s="6">
        <f>IF(M20="","",AF20)</f>
        <v>-0.25013601487399795</v>
      </c>
      <c r="AN20" s="612">
        <f>IF(M20="","",DEGREES(ATAN2(-AM20,AL20)))</f>
        <v>-18.48415343659563</v>
      </c>
      <c r="AO20" s="613">
        <f t="shared" si="98"/>
        <v>15.292221981010064</v>
      </c>
      <c r="AP20" s="624">
        <f>IF(M20="","",DEGREES(ATAN2(AK20,AL20)))</f>
        <v>-4.9543977160762198</v>
      </c>
      <c r="AQ20" s="625">
        <f t="shared" si="9"/>
        <v>4.5388843611056862</v>
      </c>
      <c r="AS20" s="56">
        <f t="shared" si="119"/>
        <v>-65.430042530639753</v>
      </c>
      <c r="AT20" s="77">
        <f t="shared" si="10"/>
        <v>0.18479330548770723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2.1150000000000002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7"/>
        <v/>
      </c>
      <c r="IK20" s="839" t="str">
        <f t="shared" si="68"/>
        <v/>
      </c>
      <c r="IL20" s="791" t="str">
        <f t="shared" si="227"/>
        <v/>
      </c>
      <c r="IM20" s="830"/>
      <c r="IN20" s="5" t="str">
        <f t="shared" si="228"/>
        <v/>
      </c>
      <c r="IO20" s="852"/>
      <c r="IP20" s="9" t="str">
        <f t="shared" si="229"/>
        <v/>
      </c>
      <c r="IQ20" s="5" t="str">
        <f t="shared" si="230"/>
        <v/>
      </c>
      <c r="IR20" s="5" t="str">
        <f t="shared" si="73"/>
        <v/>
      </c>
      <c r="IS20" s="5" t="str">
        <f t="shared" si="231"/>
        <v/>
      </c>
      <c r="IT20" s="791" t="str">
        <f t="shared" si="232"/>
        <v/>
      </c>
      <c r="IU20" s="9" t="str">
        <f t="shared" si="233"/>
        <v/>
      </c>
      <c r="IV20" s="5" t="str">
        <f t="shared" si="234"/>
        <v/>
      </c>
      <c r="IW20" s="5" t="str">
        <f t="shared" si="78"/>
        <v/>
      </c>
      <c r="IX20" s="5" t="str">
        <f t="shared" si="235"/>
        <v/>
      </c>
      <c r="IY20" s="833" t="str">
        <f t="shared" si="236"/>
        <v/>
      </c>
    </row>
    <row r="21" spans="1:259" ht="15" customHeight="1" x14ac:dyDescent="0.25">
      <c r="A21" s="84">
        <f t="shared" si="81"/>
        <v>0.02</v>
      </c>
      <c r="B21" s="770">
        <v>3.1444948350827744</v>
      </c>
      <c r="C21" s="771">
        <v>1.3718329771894098</v>
      </c>
      <c r="D21" s="772">
        <v>-0.38640116538591485</v>
      </c>
      <c r="E21" s="773">
        <v>-0.18828527253284369</v>
      </c>
      <c r="F21" s="771">
        <v>0.96194291460987869</v>
      </c>
      <c r="G21" s="774">
        <v>0.19802647595481895</v>
      </c>
      <c r="H21" s="773">
        <v>0.314</v>
      </c>
      <c r="I21" s="771">
        <v>0.52</v>
      </c>
      <c r="J21" s="601">
        <v>2.121</v>
      </c>
      <c r="K21" s="426" t="str">
        <f t="shared" si="82"/>
        <v>1613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1"/>
        <v>2.121</v>
      </c>
      <c r="N21" s="21">
        <f t="shared" si="2"/>
        <v>3.1444948350827744</v>
      </c>
      <c r="O21" s="5">
        <f t="shared" si="3"/>
        <v>1.3718329771894098</v>
      </c>
      <c r="P21" s="10">
        <f t="shared" si="4"/>
        <v>-0.38640116538591485</v>
      </c>
      <c r="Q21" s="624">
        <f t="shared" si="116"/>
        <v>23.569957613742371</v>
      </c>
      <c r="R21" s="5">
        <f>IF(M21="","",SQRT(N21^2+O21^2))</f>
        <v>3.4307103470224067</v>
      </c>
      <c r="S21" s="6">
        <f>IF(M21="","",P21)</f>
        <v>-0.38640116538591485</v>
      </c>
      <c r="T21" s="4">
        <f>IF(M21="","",X21*COS(RADIANS(W21)))</f>
        <v>1.3734792424741447</v>
      </c>
      <c r="U21" s="5">
        <f>IF(M21="","",X21*SIN(RADIANS(W21)))</f>
        <v>-3.1437761141116987</v>
      </c>
      <c r="V21" s="8">
        <f>IF(M21="","",Y21)</f>
        <v>-0.38640116538591485</v>
      </c>
      <c r="W21" s="624">
        <f t="shared" si="226"/>
        <v>293.59995760941092</v>
      </c>
      <c r="X21" s="5">
        <f>IF(M21="","",R21)</f>
        <v>3.4307103470224067</v>
      </c>
      <c r="Y21" s="7">
        <f t="shared" si="225"/>
        <v>-0.38640116538591485</v>
      </c>
      <c r="Z21" s="21">
        <f t="shared" si="6"/>
        <v>0.18828527253284369</v>
      </c>
      <c r="AA21" s="5">
        <f t="shared" si="7"/>
        <v>-0.96194291460987869</v>
      </c>
      <c r="AB21" s="5">
        <f t="shared" si="8"/>
        <v>-0.19802647595481895</v>
      </c>
      <c r="AC21" s="8">
        <f>IF(M21="","",SQRT(Z21^2+AA21^2+AB21^2))</f>
        <v>1</v>
      </c>
      <c r="AD21" s="9">
        <f>IF(M21="","",Z21*(1/SQRT(Z21^2+AA21^2+AB21^2)))</f>
        <v>0.18828527253284369</v>
      </c>
      <c r="AE21" s="5">
        <f>IF(M21="","",AA21*(1/SQRT(Z21^2+AA21^2+AB21^2)))</f>
        <v>-0.96194291460987869</v>
      </c>
      <c r="AF21" s="10">
        <f>IF(M21="","",AB21*(1/SQRT(Z21^2+AA21^2+AB21^2)))</f>
        <v>-0.19802647595481895</v>
      </c>
      <c r="AG21" s="622">
        <f>IF(M21="","",DEGREES(ATAN2(-AF21,AE21)))</f>
        <v>-78.367542797725278</v>
      </c>
      <c r="AH21" s="623">
        <f>IF(M21="","",DEGREES(ACOS(AD21)))</f>
        <v>79.147268449841192</v>
      </c>
      <c r="AI21" s="624">
        <f>IF(M21="","",DEGREES(-ACOS(-AF21)))</f>
        <v>-78.578423609091871</v>
      </c>
      <c r="AJ21" s="625">
        <f>IF(M21="","",DEGREES(ATAN2(-AE21,AD21)))</f>
        <v>11.074737341902297</v>
      </c>
      <c r="AK21" s="4">
        <f>IF(M21="","",(COS(RADIANS((90-$Q$8)-W21))*AD21)+(-SIN(RADIANS((90-$Q$8)-W21))*AE21))</f>
        <v>0.95697979150713786</v>
      </c>
      <c r="AL21" s="5">
        <f>IF(M21="","",(SIN(RADIANS((90-$Q$8)-W21))*AD21)+(COS(RADIANS((90-$Q$8)-W21))*AE21))</f>
        <v>-0.21207355673886041</v>
      </c>
      <c r="AM21" s="6">
        <f>IF(M21="","",AF21)</f>
        <v>-0.19802647595481895</v>
      </c>
      <c r="AN21" s="612">
        <f>IF(M21="","",DEGREES(ATAN2(-AM21,AL21)))</f>
        <v>-46.9617747874061</v>
      </c>
      <c r="AO21" s="613">
        <f>IF(ROUND(IF(M21="",0,DEGREES(ACOS(AK21))),4)=90,0,IF(M21="","",DEGREES(ACOS(AK21))))</f>
        <v>16.867210556539124</v>
      </c>
      <c r="AP21" s="624">
        <f>IF(M21="","",DEGREES(ATAN2(AK21,AL21)))</f>
        <v>-12.495220271840131</v>
      </c>
      <c r="AQ21" s="625">
        <f t="shared" si="9"/>
        <v>3.6101259918472444</v>
      </c>
      <c r="AS21" s="56">
        <f t="shared" si="119"/>
        <v>-66.400042390589078</v>
      </c>
      <c r="AT21" s="77">
        <f t="shared" si="10"/>
        <v>-0.135443227482275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6"/>
        <v>2.121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7"/>
        <v/>
      </c>
      <c r="IK21" s="839" t="str">
        <f t="shared" si="68"/>
        <v/>
      </c>
      <c r="IL21" s="791" t="str">
        <f t="shared" si="227"/>
        <v/>
      </c>
      <c r="IM21" s="830"/>
      <c r="IN21" s="5" t="str">
        <f t="shared" si="228"/>
        <v/>
      </c>
      <c r="IO21" s="852"/>
      <c r="IP21" s="9" t="str">
        <f t="shared" si="229"/>
        <v/>
      </c>
      <c r="IQ21" s="5" t="str">
        <f t="shared" si="230"/>
        <v/>
      </c>
      <c r="IR21" s="5" t="str">
        <f t="shared" si="73"/>
        <v/>
      </c>
      <c r="IS21" s="5" t="str">
        <f t="shared" si="231"/>
        <v/>
      </c>
      <c r="IT21" s="791" t="str">
        <f t="shared" si="232"/>
        <v/>
      </c>
      <c r="IU21" s="9" t="str">
        <f t="shared" si="233"/>
        <v/>
      </c>
      <c r="IV21" s="5" t="str">
        <f t="shared" si="234"/>
        <v/>
      </c>
      <c r="IW21" s="5" t="str">
        <f t="shared" si="78"/>
        <v/>
      </c>
      <c r="IX21" s="5" t="str">
        <f t="shared" si="235"/>
        <v/>
      </c>
      <c r="IY21" s="833" t="str">
        <f t="shared" si="236"/>
        <v/>
      </c>
    </row>
    <row r="22" spans="1:259" ht="15" customHeight="1" x14ac:dyDescent="0.25">
      <c r="A22" s="84">
        <f t="shared" si="81"/>
        <v>0.02</v>
      </c>
      <c r="B22" s="770">
        <v>3.6301303616497429</v>
      </c>
      <c r="C22" s="771">
        <v>1.5200023790882669</v>
      </c>
      <c r="D22" s="772">
        <v>-0.98640297499137275</v>
      </c>
      <c r="E22" s="773">
        <v>-7.7427095101043508E-2</v>
      </c>
      <c r="F22" s="771">
        <v>0.99097969874337732</v>
      </c>
      <c r="G22" s="774">
        <v>0.10938135866178975</v>
      </c>
      <c r="H22" s="773">
        <v>0.314</v>
      </c>
      <c r="I22" s="771">
        <v>0.52</v>
      </c>
      <c r="J22" s="601">
        <v>2.1269999999999998</v>
      </c>
      <c r="K22" s="426" t="str">
        <f t="shared" si="82"/>
        <v>1613</v>
      </c>
      <c r="L22" s="327"/>
      <c r="M22" s="173">
        <f t="shared" si="1"/>
        <v>2.1269999999999998</v>
      </c>
      <c r="N22" s="21">
        <f t="shared" si="2"/>
        <v>3.6301303616497429</v>
      </c>
      <c r="O22" s="5">
        <f t="shared" si="3"/>
        <v>1.5200023790882669</v>
      </c>
      <c r="P22" s="10">
        <f t="shared" si="4"/>
        <v>-0.98640297499137275</v>
      </c>
      <c r="Q22" s="624">
        <f t="shared" si="116"/>
        <v>22.719957736467173</v>
      </c>
      <c r="R22" s="5">
        <f t="shared" si="83"/>
        <v>3.9355118695037987</v>
      </c>
      <c r="S22" s="6">
        <f t="shared" si="84"/>
        <v>-0.98640297499137275</v>
      </c>
      <c r="T22" s="4">
        <f t="shared" si="85"/>
        <v>1.5219029021810313</v>
      </c>
      <c r="U22" s="5">
        <f t="shared" si="86"/>
        <v>-3.6293339928061514</v>
      </c>
      <c r="V22" s="8">
        <f t="shared" si="117"/>
        <v>-0.98640297499137275</v>
      </c>
      <c r="W22" s="624">
        <f t="shared" si="226"/>
        <v>292.74995773213573</v>
      </c>
      <c r="X22" s="5">
        <f t="shared" si="87"/>
        <v>3.9355118695037987</v>
      </c>
      <c r="Y22" s="7">
        <f t="shared" si="225"/>
        <v>-0.98640297499137275</v>
      </c>
      <c r="Z22" s="21">
        <f t="shared" si="6"/>
        <v>7.7427095101043508E-2</v>
      </c>
      <c r="AA22" s="5">
        <f t="shared" si="7"/>
        <v>-0.99097969874337732</v>
      </c>
      <c r="AB22" s="5">
        <f t="shared" si="8"/>
        <v>-0.10938135866178975</v>
      </c>
      <c r="AC22" s="8">
        <f t="shared" si="88"/>
        <v>1</v>
      </c>
      <c r="AD22" s="9">
        <f t="shared" si="118"/>
        <v>7.7427095101043508E-2</v>
      </c>
      <c r="AE22" s="5">
        <f t="shared" si="89"/>
        <v>-0.99097969874337732</v>
      </c>
      <c r="AF22" s="10">
        <f t="shared" si="90"/>
        <v>-0.10938135866178975</v>
      </c>
      <c r="AG22" s="622">
        <f t="shared" si="91"/>
        <v>-83.701360549457121</v>
      </c>
      <c r="AH22" s="623">
        <f t="shared" si="92"/>
        <v>85.559309714510348</v>
      </c>
      <c r="AI22" s="624">
        <f t="shared" si="93"/>
        <v>-83.720345153900837</v>
      </c>
      <c r="AJ22" s="625">
        <f t="shared" si="94"/>
        <v>4.4675501864515432</v>
      </c>
      <c r="AK22" s="4">
        <f t="shared" si="213"/>
        <v>0.94398771599048337</v>
      </c>
      <c r="AL22" s="5">
        <f t="shared" si="95"/>
        <v>-0.3113244456132081</v>
      </c>
      <c r="AM22" s="6">
        <f t="shared" si="96"/>
        <v>-0.10938135866178975</v>
      </c>
      <c r="AN22" s="612">
        <f t="shared" si="97"/>
        <v>-70.641481877364512</v>
      </c>
      <c r="AO22" s="613">
        <f t="shared" si="98"/>
        <v>19.267597598050688</v>
      </c>
      <c r="AP22" s="624">
        <f t="shared" si="99"/>
        <v>-18.252407550015675</v>
      </c>
      <c r="AQ22" s="625">
        <f t="shared" si="9"/>
        <v>3.1480608255515974</v>
      </c>
      <c r="AS22" s="56">
        <f t="shared" si="119"/>
        <v>-67.250042267864274</v>
      </c>
      <c r="AT22" s="77">
        <f t="shared" si="10"/>
        <v>-0.73223392644024887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6"/>
        <v>2.1269999999999998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7"/>
        <v/>
      </c>
      <c r="IK22" s="839" t="str">
        <f t="shared" si="68"/>
        <v/>
      </c>
      <c r="IL22" s="791" t="str">
        <f t="shared" si="227"/>
        <v/>
      </c>
      <c r="IM22" s="830"/>
      <c r="IN22" s="5" t="str">
        <f t="shared" si="228"/>
        <v/>
      </c>
      <c r="IO22" s="852"/>
      <c r="IP22" s="9" t="str">
        <f t="shared" si="229"/>
        <v/>
      </c>
      <c r="IQ22" s="5" t="str">
        <f t="shared" si="230"/>
        <v/>
      </c>
      <c r="IR22" s="5" t="str">
        <f t="shared" si="73"/>
        <v/>
      </c>
      <c r="IS22" s="5" t="str">
        <f t="shared" si="231"/>
        <v/>
      </c>
      <c r="IT22" s="791" t="str">
        <f t="shared" si="232"/>
        <v/>
      </c>
      <c r="IU22" s="9" t="str">
        <f t="shared" si="233"/>
        <v/>
      </c>
      <c r="IV22" s="5" t="str">
        <f t="shared" si="234"/>
        <v/>
      </c>
      <c r="IW22" s="5" t="str">
        <f t="shared" si="78"/>
        <v/>
      </c>
      <c r="IX22" s="5" t="str">
        <f t="shared" si="235"/>
        <v/>
      </c>
      <c r="IY22" s="833" t="str">
        <f t="shared" si="236"/>
        <v/>
      </c>
    </row>
    <row r="23" spans="1:259" ht="15" customHeight="1" x14ac:dyDescent="0.25">
      <c r="A23" s="84">
        <f t="shared" si="81"/>
        <v>0.02</v>
      </c>
      <c r="B23" s="770">
        <v>3.779577389136322</v>
      </c>
      <c r="C23" s="771">
        <v>1.5609139196046111</v>
      </c>
      <c r="D23" s="772">
        <v>-1.7561052964135742</v>
      </c>
      <c r="E23" s="773">
        <v>-2.0127948877718106E-2</v>
      </c>
      <c r="F23" s="771">
        <v>0.99978029119841494</v>
      </c>
      <c r="G23" s="774">
        <v>-5.8510687219252436E-3</v>
      </c>
      <c r="H23" s="773">
        <v>0.314</v>
      </c>
      <c r="I23" s="771">
        <v>0.52</v>
      </c>
      <c r="J23" s="601">
        <v>2.133</v>
      </c>
      <c r="K23" s="426" t="str">
        <f t="shared" si="82"/>
        <v>1613</v>
      </c>
      <c r="L23" s="327"/>
      <c r="M23" s="173">
        <f t="shared" si="1"/>
        <v>2.133</v>
      </c>
      <c r="N23" s="21">
        <f t="shared" si="2"/>
        <v>3.779577389136322</v>
      </c>
      <c r="O23" s="5">
        <f t="shared" si="3"/>
        <v>1.5609139196046111</v>
      </c>
      <c r="P23" s="10">
        <f t="shared" si="4"/>
        <v>-1.7561052964135742</v>
      </c>
      <c r="Q23" s="624">
        <f t="shared" si="116"/>
        <v>22.439957776894165</v>
      </c>
      <c r="R23" s="5">
        <f t="shared" si="83"/>
        <v>4.0892123330643972</v>
      </c>
      <c r="S23" s="6">
        <f t="shared" si="84"/>
        <v>-1.7561052964135742</v>
      </c>
      <c r="T23" s="4">
        <f t="shared" si="85"/>
        <v>1.5628926873550448</v>
      </c>
      <c r="U23" s="5">
        <f t="shared" si="86"/>
        <v>-3.7787595785784118</v>
      </c>
      <c r="V23" s="8">
        <f t="shared" si="117"/>
        <v>-1.7561052964135742</v>
      </c>
      <c r="W23" s="624">
        <f t="shared" si="226"/>
        <v>292.46995777256268</v>
      </c>
      <c r="X23" s="5">
        <f t="shared" si="87"/>
        <v>4.0892123330643972</v>
      </c>
      <c r="Y23" s="7">
        <f t="shared" si="225"/>
        <v>-1.7561052964135742</v>
      </c>
      <c r="Z23" s="21">
        <f t="shared" si="6"/>
        <v>2.0127948877718106E-2</v>
      </c>
      <c r="AA23" s="5">
        <f t="shared" si="7"/>
        <v>-0.99978029119841494</v>
      </c>
      <c r="AB23" s="5">
        <f t="shared" si="8"/>
        <v>5.8510687219252436E-3</v>
      </c>
      <c r="AC23" s="8">
        <f t="shared" si="88"/>
        <v>1</v>
      </c>
      <c r="AD23" s="9">
        <f t="shared" si="118"/>
        <v>2.0127948877718106E-2</v>
      </c>
      <c r="AE23" s="5">
        <f t="shared" si="89"/>
        <v>-0.99978029119841494</v>
      </c>
      <c r="AF23" s="10">
        <f t="shared" si="90"/>
        <v>5.8510687219252436E-3</v>
      </c>
      <c r="AG23" s="622">
        <f t="shared" si="91"/>
        <v>-90.335311387002022</v>
      </c>
      <c r="AH23" s="623">
        <f t="shared" si="92"/>
        <v>88.846675594893071</v>
      </c>
      <c r="AI23" s="624">
        <f t="shared" si="93"/>
        <v>-90.335243456269453</v>
      </c>
      <c r="AJ23" s="625">
        <f t="shared" si="94"/>
        <v>1.1533441503143282</v>
      </c>
      <c r="AK23" s="4">
        <f t="shared" si="213"/>
        <v>0.93176012101056505</v>
      </c>
      <c r="AL23" s="5">
        <f t="shared" si="95"/>
        <v>-0.36302732939709753</v>
      </c>
      <c r="AM23" s="6">
        <f t="shared" si="96"/>
        <v>5.8510687219252436E-3</v>
      </c>
      <c r="AN23" s="612">
        <f t="shared" si="97"/>
        <v>-90.923380946932653</v>
      </c>
      <c r="AO23" s="613">
        <f t="shared" si="98"/>
        <v>21.289130764808817</v>
      </c>
      <c r="AP23" s="624">
        <f t="shared" si="99"/>
        <v>-21.28661362657984</v>
      </c>
      <c r="AQ23" s="625">
        <f t="shared" si="9"/>
        <v>3.0299600227183268</v>
      </c>
      <c r="AS23" s="56">
        <f t="shared" si="119"/>
        <v>-67.53004222743732</v>
      </c>
      <c r="AT23" s="77">
        <f t="shared" si="10"/>
        <v>-1.5008784702373965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6"/>
        <v>2.133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7"/>
        <v/>
      </c>
      <c r="IK23" s="839" t="str">
        <f t="shared" si="68"/>
        <v/>
      </c>
      <c r="IL23" s="791" t="str">
        <f t="shared" si="227"/>
        <v/>
      </c>
      <c r="IM23" s="830"/>
      <c r="IN23" s="5" t="str">
        <f t="shared" si="228"/>
        <v/>
      </c>
      <c r="IO23" s="852"/>
      <c r="IP23" s="9" t="str">
        <f t="shared" si="229"/>
        <v/>
      </c>
      <c r="IQ23" s="5" t="str">
        <f t="shared" si="230"/>
        <v/>
      </c>
      <c r="IR23" s="5" t="str">
        <f t="shared" si="73"/>
        <v/>
      </c>
      <c r="IS23" s="5" t="str">
        <f t="shared" si="231"/>
        <v/>
      </c>
      <c r="IT23" s="791" t="str">
        <f t="shared" si="232"/>
        <v/>
      </c>
      <c r="IU23" s="9" t="str">
        <f t="shared" si="233"/>
        <v/>
      </c>
      <c r="IV23" s="5" t="str">
        <f t="shared" si="234"/>
        <v/>
      </c>
      <c r="IW23" s="5" t="str">
        <f t="shared" si="78"/>
        <v/>
      </c>
      <c r="IX23" s="5" t="str">
        <f t="shared" si="235"/>
        <v/>
      </c>
      <c r="IY23" s="833" t="str">
        <f t="shared" si="236"/>
        <v/>
      </c>
    </row>
    <row r="24" spans="1:259" ht="15" customHeight="1" x14ac:dyDescent="0.25">
      <c r="A24" s="84">
        <f t="shared" si="81"/>
        <v>0.02</v>
      </c>
      <c r="B24" s="770">
        <v>3.818009149667331</v>
      </c>
      <c r="C24" s="771">
        <v>1.5713283062368284</v>
      </c>
      <c r="D24" s="772">
        <v>-2.5237076115021559</v>
      </c>
      <c r="E24" s="773">
        <v>0.13277602665091337</v>
      </c>
      <c r="F24" s="771">
        <v>0.99114606731136412</v>
      </c>
      <c r="G24" s="774">
        <v>1.133974334784796E-7</v>
      </c>
      <c r="H24" s="773">
        <v>0.314</v>
      </c>
      <c r="I24" s="771">
        <v>0.52</v>
      </c>
      <c r="J24" s="601">
        <v>2.1389999999999998</v>
      </c>
      <c r="K24" s="426" t="str">
        <f t="shared" si="82"/>
        <v>1613</v>
      </c>
      <c r="L24" s="327"/>
      <c r="M24" s="173">
        <f t="shared" si="1"/>
        <v>2.1389999999999998</v>
      </c>
      <c r="N24" s="21">
        <f t="shared" si="2"/>
        <v>3.818009149667331</v>
      </c>
      <c r="O24" s="5">
        <f t="shared" si="3"/>
        <v>1.5713283062368284</v>
      </c>
      <c r="P24" s="10">
        <f t="shared" si="4"/>
        <v>-2.5237076115021559</v>
      </c>
      <c r="Q24" s="624">
        <f t="shared" si="116"/>
        <v>22.369957787000907</v>
      </c>
      <c r="R24" s="5">
        <f t="shared" si="83"/>
        <v>4.1287124521967566</v>
      </c>
      <c r="S24" s="6">
        <f t="shared" si="84"/>
        <v>-2.5237076115021559</v>
      </c>
      <c r="T24" s="4">
        <f t="shared" si="85"/>
        <v>1.5733271953786137</v>
      </c>
      <c r="U24" s="5">
        <f t="shared" si="86"/>
        <v>-3.817185880882227</v>
      </c>
      <c r="V24" s="8">
        <f t="shared" si="117"/>
        <v>-2.5237076115021559</v>
      </c>
      <c r="W24" s="624">
        <f t="shared" si="226"/>
        <v>292.39995778266939</v>
      </c>
      <c r="X24" s="5">
        <f t="shared" si="87"/>
        <v>4.1287124521967566</v>
      </c>
      <c r="Y24" s="7">
        <f t="shared" si="225"/>
        <v>-2.5237076115021559</v>
      </c>
      <c r="Z24" s="21">
        <f t="shared" si="6"/>
        <v>-0.13277602665091337</v>
      </c>
      <c r="AA24" s="5">
        <f t="shared" si="7"/>
        <v>-0.99114606731136412</v>
      </c>
      <c r="AB24" s="5">
        <f t="shared" si="8"/>
        <v>-1.133974334784796E-7</v>
      </c>
      <c r="AC24" s="8">
        <f t="shared" si="88"/>
        <v>1</v>
      </c>
      <c r="AD24" s="9">
        <f t="shared" si="118"/>
        <v>-0.13277602665091337</v>
      </c>
      <c r="AE24" s="5">
        <f t="shared" si="89"/>
        <v>-0.99114606731136412</v>
      </c>
      <c r="AF24" s="10">
        <f t="shared" si="90"/>
        <v>-1.133974334784796E-7</v>
      </c>
      <c r="AG24" s="622">
        <f t="shared" si="91"/>
        <v>-89.999993444766048</v>
      </c>
      <c r="AH24" s="623">
        <f t="shared" si="92"/>
        <v>97.630037881534946</v>
      </c>
      <c r="AI24" s="624">
        <f t="shared" si="93"/>
        <v>-89.999993502805651</v>
      </c>
      <c r="AJ24" s="625">
        <f t="shared" si="94"/>
        <v>-7.6300378815349914</v>
      </c>
      <c r="AK24" s="4">
        <f>IF(M24="","",(COS(RADIANS((90-$Q$8)-W24))*AD24)+(-SIN(RADIANS((90-$Q$8)-W24))*AE24))</f>
        <v>0.86602544158358608</v>
      </c>
      <c r="AL24" s="5">
        <f t="shared" si="95"/>
        <v>-0.49999993452993763</v>
      </c>
      <c r="AM24" s="6">
        <f t="shared" si="96"/>
        <v>-1.133974334784796E-7</v>
      </c>
      <c r="AN24" s="612">
        <f t="shared" si="97"/>
        <v>-89.999987005609611</v>
      </c>
      <c r="AO24" s="613">
        <f t="shared" si="98"/>
        <v>29.999995668536485</v>
      </c>
      <c r="AP24" s="624">
        <f t="shared" si="99"/>
        <v>-29.999995668535849</v>
      </c>
      <c r="AQ24" s="625">
        <f t="shared" si="9"/>
        <v>3.0010251056735449</v>
      </c>
      <c r="AS24" s="56">
        <f t="shared" si="119"/>
        <v>-67.600042217330611</v>
      </c>
      <c r="AT24" s="77">
        <f t="shared" si="10"/>
        <v>-2.2682163409197149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2.1389999999999998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7"/>
        <v/>
      </c>
      <c r="IK24" s="839" t="str">
        <f t="shared" si="68"/>
        <v/>
      </c>
      <c r="IL24" s="791" t="str">
        <f t="shared" si="227"/>
        <v/>
      </c>
      <c r="IM24" s="830"/>
      <c r="IN24" s="5" t="str">
        <f t="shared" si="228"/>
        <v/>
      </c>
      <c r="IO24" s="852"/>
      <c r="IP24" s="9" t="str">
        <f t="shared" si="229"/>
        <v/>
      </c>
      <c r="IQ24" s="5" t="str">
        <f t="shared" si="230"/>
        <v/>
      </c>
      <c r="IR24" s="5" t="str">
        <f t="shared" si="73"/>
        <v/>
      </c>
      <c r="IS24" s="5" t="str">
        <f t="shared" si="231"/>
        <v/>
      </c>
      <c r="IT24" s="791" t="str">
        <f t="shared" si="232"/>
        <v/>
      </c>
      <c r="IU24" s="9" t="str">
        <f t="shared" si="233"/>
        <v/>
      </c>
      <c r="IV24" s="5" t="str">
        <f t="shared" si="234"/>
        <v/>
      </c>
      <c r="IW24" s="5" t="str">
        <f t="shared" si="78"/>
        <v/>
      </c>
      <c r="IX24" s="5" t="str">
        <f t="shared" si="235"/>
        <v/>
      </c>
      <c r="IY24" s="833" t="str">
        <f t="shared" si="236"/>
        <v/>
      </c>
    </row>
    <row r="25" spans="1:259" ht="15" customHeight="1" x14ac:dyDescent="0.25">
      <c r="A25" s="84">
        <f t="shared" si="81"/>
        <v>0.02</v>
      </c>
      <c r="B25" s="770">
        <v>0.61539929309277275</v>
      </c>
      <c r="C25" s="771">
        <v>-0.3553014437732146</v>
      </c>
      <c r="D25" s="772">
        <v>-0.20180060863063565</v>
      </c>
      <c r="E25" s="773">
        <v>0.46342801103865056</v>
      </c>
      <c r="F25" s="771">
        <v>0.84779481177663285</v>
      </c>
      <c r="G25" s="774">
        <v>0.25783412440827963</v>
      </c>
      <c r="H25" s="773">
        <v>0.26600000000000001</v>
      </c>
      <c r="I25" s="771">
        <v>0.52</v>
      </c>
      <c r="J25" s="601">
        <v>3.1030000000000002</v>
      </c>
      <c r="K25" s="426" t="str">
        <f t="shared" si="82"/>
        <v>1313</v>
      </c>
      <c r="L25" s="327"/>
      <c r="M25" s="173">
        <f t="shared" si="1"/>
        <v>3.1030000000000002</v>
      </c>
      <c r="N25" s="21">
        <f t="shared" si="2"/>
        <v>0.61539929309277275</v>
      </c>
      <c r="O25" s="5">
        <f t="shared" si="3"/>
        <v>-0.3553014437732146</v>
      </c>
      <c r="P25" s="10">
        <f t="shared" si="4"/>
        <v>-0.20180060863063565</v>
      </c>
      <c r="Q25" s="624">
        <f t="shared" si="116"/>
        <v>329.99996534829228</v>
      </c>
      <c r="R25" s="5">
        <f>IF(M25="","",SQRT(N25^2+O25^2))</f>
        <v>0.71060214317606385</v>
      </c>
      <c r="S25" s="6">
        <f>IF(M25="","",P25)</f>
        <v>-0.20180060863063565</v>
      </c>
      <c r="T25" s="4">
        <f>IF(M25="","",X25*COS(RADIANS(W25)))</f>
        <v>-0.35497917281415448</v>
      </c>
      <c r="U25" s="5">
        <f>IF(M25="","",X25*SIN(RADIANS(W25)))</f>
        <v>-0.61558524410076121</v>
      </c>
      <c r="V25" s="8">
        <f>IF(M25="","",Y25)</f>
        <v>-0.20180060863063565</v>
      </c>
      <c r="W25" s="624">
        <f t="shared" si="226"/>
        <v>240.02996534396081</v>
      </c>
      <c r="X25" s="5">
        <f>IF(M25="","",R25)</f>
        <v>0.71060214317606385</v>
      </c>
      <c r="Y25" s="7">
        <f t="shared" si="225"/>
        <v>-0.20180060863063565</v>
      </c>
      <c r="Z25" s="21">
        <f t="shared" si="6"/>
        <v>-0.46342801103865056</v>
      </c>
      <c r="AA25" s="5">
        <f t="shared" si="7"/>
        <v>-0.84779481177663285</v>
      </c>
      <c r="AB25" s="5">
        <f t="shared" si="8"/>
        <v>-0.25783412440827963</v>
      </c>
      <c r="AC25" s="8">
        <f>IF(M25="","",SQRT(Z25^2+AA25^2+AB25^2))</f>
        <v>1</v>
      </c>
      <c r="AD25" s="9">
        <f>IF(M25="","",Z25*(1/SQRT(Z25^2+AA25^2+AB25^2)))</f>
        <v>-0.46342801103865056</v>
      </c>
      <c r="AE25" s="5">
        <f>IF(M25="","",AA25*(1/SQRT(Z25^2+AA25^2+AB25^2)))</f>
        <v>-0.84779481177663285</v>
      </c>
      <c r="AF25" s="10">
        <f>IF(M25="","",AB25*(1/SQRT(Z25^2+AA25^2+AB25^2)))</f>
        <v>-0.25783412440827963</v>
      </c>
      <c r="AG25" s="622">
        <f>IF(M25="","",DEGREES(ATAN2(-AF25,AE25)))</f>
        <v>-73.084263435752646</v>
      </c>
      <c r="AH25" s="623">
        <f>IF(M25="","",DEGREES(ACOS(AD25)))</f>
        <v>117.60853298015098</v>
      </c>
      <c r="AI25" s="624">
        <f>IF(M25="","",DEGREES(-ACOS(-AF25)))</f>
        <v>-75.058414528502141</v>
      </c>
      <c r="AJ25" s="625">
        <f>IF(M25="","",DEGREES(ATAN2(-AE25,AD25)))</f>
        <v>-28.662232062157937</v>
      </c>
      <c r="AK25" s="4">
        <f>IF(M25="","",(COS(RADIANS((90-$Q$8)-W25))*AD25)+(-SIN(RADIANS((90-$Q$8)-W25))*AE25))</f>
        <v>0.9659258360722075</v>
      </c>
      <c r="AL25" s="5">
        <f>IF(M25="","",(SIN(RADIANS((90-$Q$8)-W25))*AD25)+(COS(RADIANS((90-$Q$8)-W25))*AE25))</f>
        <v>2.2557559682354511E-2</v>
      </c>
      <c r="AM25" s="6">
        <f>IF(M25="","",AF25)</f>
        <v>-0.25783412440827963</v>
      </c>
      <c r="AN25" s="612">
        <f>IF(M25="","",DEGREES(ATAN2(-AM25,AL25)))</f>
        <v>4.9999992780894447</v>
      </c>
      <c r="AO25" s="613">
        <f>IF(ROUND(IF(M25="",0,DEGREES(ACOS(AK25))),4)=90,0,IF(M25="","",DEGREES(ACOS(AK25))))</f>
        <v>14.99999783426823</v>
      </c>
      <c r="AP25" s="624">
        <f>IF(M25="","",DEGREES(ATAN2(AK25,AL25)))</f>
        <v>1.337802589549786</v>
      </c>
      <c r="AQ25" s="625">
        <f t="shared" si="9"/>
        <v>16.94083240504472</v>
      </c>
      <c r="AS25" s="56">
        <f t="shared" si="119"/>
        <v>-119.97003465603919</v>
      </c>
      <c r="AT25" s="77">
        <f t="shared" si="10"/>
        <v>0.25153285560914912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3.1030000000000002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7"/>
        <v/>
      </c>
      <c r="IK25" s="839" t="str">
        <f t="shared" si="68"/>
        <v/>
      </c>
      <c r="IL25" s="791" t="str">
        <f t="shared" si="227"/>
        <v/>
      </c>
      <c r="IM25" s="830"/>
      <c r="IN25" s="5" t="str">
        <f t="shared" si="228"/>
        <v/>
      </c>
      <c r="IO25" s="852"/>
      <c r="IP25" s="9" t="str">
        <f t="shared" si="229"/>
        <v/>
      </c>
      <c r="IQ25" s="5" t="str">
        <f t="shared" si="230"/>
        <v/>
      </c>
      <c r="IR25" s="5" t="str">
        <f t="shared" si="73"/>
        <v/>
      </c>
      <c r="IS25" s="5" t="str">
        <f t="shared" si="231"/>
        <v/>
      </c>
      <c r="IT25" s="791" t="str">
        <f t="shared" si="232"/>
        <v/>
      </c>
      <c r="IU25" s="9" t="str">
        <f t="shared" si="233"/>
        <v/>
      </c>
      <c r="IV25" s="5" t="str">
        <f t="shared" si="234"/>
        <v/>
      </c>
      <c r="IW25" s="5" t="str">
        <f t="shared" si="78"/>
        <v/>
      </c>
      <c r="IX25" s="5" t="str">
        <f t="shared" si="235"/>
        <v/>
      </c>
      <c r="IY25" s="833" t="str">
        <f t="shared" si="236"/>
        <v/>
      </c>
    </row>
    <row r="26" spans="1:259" ht="15" customHeight="1" x14ac:dyDescent="0.25">
      <c r="A26" s="84">
        <f t="shared" si="81"/>
        <v>0.02</v>
      </c>
      <c r="B26" s="770">
        <v>1.1552809695831112</v>
      </c>
      <c r="C26" s="771">
        <v>-0.66700271037639769</v>
      </c>
      <c r="D26" s="772">
        <v>-0.14720044395653897</v>
      </c>
      <c r="E26" s="773">
        <v>0.46342801103865056</v>
      </c>
      <c r="F26" s="771">
        <v>0.84779481177663285</v>
      </c>
      <c r="G26" s="774">
        <v>0.25783412440827974</v>
      </c>
      <c r="H26" s="773">
        <v>0.26600000000000001</v>
      </c>
      <c r="I26" s="771">
        <v>0.52</v>
      </c>
      <c r="J26" s="601">
        <v>3.1059999999999999</v>
      </c>
      <c r="K26" s="426" t="str">
        <f t="shared" si="82"/>
        <v>1313</v>
      </c>
      <c r="L26" s="327"/>
      <c r="M26" s="173">
        <f t="shared" si="1"/>
        <v>3.1059999999999999</v>
      </c>
      <c r="N26" s="21">
        <f t="shared" si="2"/>
        <v>1.1552809695831112</v>
      </c>
      <c r="O26" s="5">
        <f t="shared" si="3"/>
        <v>-0.66700271037639769</v>
      </c>
      <c r="P26" s="10">
        <f t="shared" si="4"/>
        <v>-0.14720044395653897</v>
      </c>
      <c r="Q26" s="624">
        <f t="shared" si="116"/>
        <v>329.99996534829228</v>
      </c>
      <c r="R26" s="5">
        <f>IF(M26="","",SQRT(N26^2+O26^2))</f>
        <v>1.3340040233561343</v>
      </c>
      <c r="S26" s="6">
        <f>IF(M26="","",P26)</f>
        <v>-0.14720044395653897</v>
      </c>
      <c r="T26" s="4">
        <f>IF(M26="","",X26*COS(RADIANS(W26)))</f>
        <v>-0.66639771535896708</v>
      </c>
      <c r="U26" s="5">
        <f>IF(M26="","",X26*SIN(RADIANS(W26)))</f>
        <v>-1.1556300529558337</v>
      </c>
      <c r="V26" s="8">
        <f>IF(M26="","",Y26)</f>
        <v>-0.14720044395653897</v>
      </c>
      <c r="W26" s="624">
        <f t="shared" si="226"/>
        <v>240.02996534396081</v>
      </c>
      <c r="X26" s="5">
        <f>IF(M26="","",R26)</f>
        <v>1.3340040233561343</v>
      </c>
      <c r="Y26" s="7">
        <f t="shared" si="225"/>
        <v>-0.14720044395653897</v>
      </c>
      <c r="Z26" s="21">
        <f t="shared" si="6"/>
        <v>-0.46342801103865056</v>
      </c>
      <c r="AA26" s="5">
        <f t="shared" si="7"/>
        <v>-0.84779481177663285</v>
      </c>
      <c r="AB26" s="5">
        <f t="shared" si="8"/>
        <v>-0.25783412440827974</v>
      </c>
      <c r="AC26" s="8">
        <f>IF(M26="","",SQRT(Z26^2+AA26^2+AB26^2))</f>
        <v>1</v>
      </c>
      <c r="AD26" s="9">
        <f>IF(M26="","",Z26*(1/SQRT(Z26^2+AA26^2+AB26^2)))</f>
        <v>-0.46342801103865056</v>
      </c>
      <c r="AE26" s="5">
        <f>IF(M26="","",AA26*(1/SQRT(Z26^2+AA26^2+AB26^2)))</f>
        <v>-0.84779481177663285</v>
      </c>
      <c r="AF26" s="10">
        <f>IF(M26="","",AB26*(1/SQRT(Z26^2+AA26^2+AB26^2)))</f>
        <v>-0.25783412440827974</v>
      </c>
      <c r="AG26" s="622">
        <f>IF(M26="","",DEGREES(ATAN2(-AF26,AE26)))</f>
        <v>-73.084263435752632</v>
      </c>
      <c r="AH26" s="623">
        <f>IF(M26="","",DEGREES(ACOS(AD26)))</f>
        <v>117.60853298015098</v>
      </c>
      <c r="AI26" s="624">
        <f>IF(M26="","",DEGREES(-ACOS(-AF26)))</f>
        <v>-75.058414528502141</v>
      </c>
      <c r="AJ26" s="625">
        <f>IF(M26="","",DEGREES(ATAN2(-AE26,AD26)))</f>
        <v>-28.662232062157937</v>
      </c>
      <c r="AK26" s="4">
        <f>IF(M26="","",(COS(RADIANS((90-$Q$8)-W26))*AD26)+(-SIN(RADIANS((90-$Q$8)-W26))*AE26))</f>
        <v>0.9659258360722075</v>
      </c>
      <c r="AL26" s="5">
        <f>IF(M26="","",(SIN(RADIANS((90-$Q$8)-W26))*AD26)+(COS(RADIANS((90-$Q$8)-W26))*AE26))</f>
        <v>2.2557559682354511E-2</v>
      </c>
      <c r="AM26" s="6">
        <f>IF(M26="","",AF26)</f>
        <v>-0.25783412440827974</v>
      </c>
      <c r="AN26" s="612">
        <f>IF(M26="","",DEGREES(ATAN2(-AM26,AL26)))</f>
        <v>4.9999992780894429</v>
      </c>
      <c r="AO26" s="613">
        <f t="shared" si="98"/>
        <v>14.99999783426823</v>
      </c>
      <c r="AP26" s="624">
        <f>IF(M26="","",DEGREES(ATAN2(AK26,AL26)))</f>
        <v>1.337802589549786</v>
      </c>
      <c r="AQ26" s="625">
        <f t="shared" si="9"/>
        <v>9.216288891538527</v>
      </c>
      <c r="AS26" s="56">
        <f t="shared" si="119"/>
        <v>-119.97003465603919</v>
      </c>
      <c r="AT26" s="77">
        <f t="shared" si="10"/>
        <v>0.30613302028324579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6"/>
        <v>3.1059999999999999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7"/>
        <v/>
      </c>
      <c r="IK26" s="839" t="str">
        <f t="shared" si="68"/>
        <v/>
      </c>
      <c r="IL26" s="791" t="str">
        <f t="shared" si="227"/>
        <v/>
      </c>
      <c r="IM26" s="830"/>
      <c r="IN26" s="5" t="str">
        <f t="shared" si="228"/>
        <v/>
      </c>
      <c r="IO26" s="852"/>
      <c r="IP26" s="9" t="str">
        <f t="shared" si="229"/>
        <v/>
      </c>
      <c r="IQ26" s="5" t="str">
        <f t="shared" si="230"/>
        <v/>
      </c>
      <c r="IR26" s="5" t="str">
        <f t="shared" si="73"/>
        <v/>
      </c>
      <c r="IS26" s="5" t="str">
        <f t="shared" si="231"/>
        <v/>
      </c>
      <c r="IT26" s="791" t="str">
        <f t="shared" si="232"/>
        <v/>
      </c>
      <c r="IU26" s="9" t="str">
        <f t="shared" si="233"/>
        <v/>
      </c>
      <c r="IV26" s="5" t="str">
        <f t="shared" si="234"/>
        <v/>
      </c>
      <c r="IW26" s="5" t="str">
        <f t="shared" si="78"/>
        <v/>
      </c>
      <c r="IX26" s="5" t="str">
        <f t="shared" si="235"/>
        <v/>
      </c>
      <c r="IY26" s="833" t="str">
        <f t="shared" si="236"/>
        <v/>
      </c>
    </row>
    <row r="27" spans="1:259" ht="15" customHeight="1" x14ac:dyDescent="0.25">
      <c r="A27" s="84">
        <f t="shared" si="81"/>
        <v>0.02</v>
      </c>
      <c r="B27" s="770">
        <v>1.6950760433021168</v>
      </c>
      <c r="C27" s="771">
        <v>-0.97865397677640431</v>
      </c>
      <c r="D27" s="772">
        <v>-9.2700279584043241E-2</v>
      </c>
      <c r="E27" s="773">
        <v>0.46342801103865061</v>
      </c>
      <c r="F27" s="771">
        <v>0.84779481177663274</v>
      </c>
      <c r="G27" s="774">
        <v>0.25783412440827963</v>
      </c>
      <c r="H27" s="773">
        <v>0.26600000000000001</v>
      </c>
      <c r="I27" s="771">
        <v>0.52</v>
      </c>
      <c r="J27" s="601">
        <v>3.109</v>
      </c>
      <c r="K27" s="426" t="str">
        <f t="shared" si="82"/>
        <v>1313</v>
      </c>
      <c r="L27" s="327"/>
      <c r="M27" s="173">
        <f t="shared" si="1"/>
        <v>3.109</v>
      </c>
      <c r="N27" s="21">
        <f t="shared" si="2"/>
        <v>1.6950760433021168</v>
      </c>
      <c r="O27" s="5">
        <f t="shared" si="3"/>
        <v>-0.97865397677640431</v>
      </c>
      <c r="P27" s="10">
        <f t="shared" si="4"/>
        <v>-9.2700279584043241E-2</v>
      </c>
      <c r="Q27" s="624">
        <f t="shared" si="116"/>
        <v>329.99996534829228</v>
      </c>
      <c r="R27" s="5">
        <f t="shared" si="83"/>
        <v>1.9573059032346045</v>
      </c>
      <c r="S27" s="6">
        <f t="shared" si="84"/>
        <v>-9.2700279584043241E-2</v>
      </c>
      <c r="T27" s="4">
        <f t="shared" si="85"/>
        <v>-0.97776630305255374</v>
      </c>
      <c r="U27" s="5">
        <f t="shared" si="86"/>
        <v>-1.6955882328714047</v>
      </c>
      <c r="V27" s="8">
        <f t="shared" si="117"/>
        <v>-9.2700279584043241E-2</v>
      </c>
      <c r="W27" s="624">
        <f t="shared" si="226"/>
        <v>240.02996534396081</v>
      </c>
      <c r="X27" s="5">
        <f t="shared" si="87"/>
        <v>1.9573059032346045</v>
      </c>
      <c r="Y27" s="7">
        <f t="shared" si="225"/>
        <v>-9.2700279584043241E-2</v>
      </c>
      <c r="Z27" s="21">
        <f t="shared" si="6"/>
        <v>-0.46342801103865061</v>
      </c>
      <c r="AA27" s="5">
        <f t="shared" si="7"/>
        <v>-0.84779481177663274</v>
      </c>
      <c r="AB27" s="5">
        <f t="shared" si="8"/>
        <v>-0.25783412440827963</v>
      </c>
      <c r="AC27" s="8">
        <f t="shared" si="88"/>
        <v>1</v>
      </c>
      <c r="AD27" s="9">
        <f t="shared" si="118"/>
        <v>-0.46342801103865061</v>
      </c>
      <c r="AE27" s="5">
        <f t="shared" si="89"/>
        <v>-0.84779481177663274</v>
      </c>
      <c r="AF27" s="10">
        <f t="shared" si="90"/>
        <v>-0.25783412440827963</v>
      </c>
      <c r="AG27" s="622">
        <f t="shared" si="91"/>
        <v>-73.084263435752632</v>
      </c>
      <c r="AH27" s="623">
        <f t="shared" si="92"/>
        <v>117.60853298015098</v>
      </c>
      <c r="AI27" s="624">
        <f t="shared" si="93"/>
        <v>-75.058414528502141</v>
      </c>
      <c r="AJ27" s="625">
        <f t="shared" si="94"/>
        <v>-28.662232062157944</v>
      </c>
      <c r="AK27" s="4">
        <f t="shared" si="213"/>
        <v>0.96592583607220739</v>
      </c>
      <c r="AL27" s="5">
        <f t="shared" si="95"/>
        <v>2.25575596823544E-2</v>
      </c>
      <c r="AM27" s="6">
        <f t="shared" si="96"/>
        <v>-0.25783412440827963</v>
      </c>
      <c r="AN27" s="612">
        <f t="shared" si="97"/>
        <v>4.9999992780894198</v>
      </c>
      <c r="AO27" s="613">
        <f t="shared" si="98"/>
        <v>14.999997834268255</v>
      </c>
      <c r="AP27" s="624">
        <f t="shared" si="99"/>
        <v>1.3378025895497796</v>
      </c>
      <c r="AQ27" s="625">
        <f t="shared" si="9"/>
        <v>6.3104729558004102</v>
      </c>
      <c r="AS27" s="56">
        <f t="shared" si="119"/>
        <v>-119.97003465603919</v>
      </c>
      <c r="AT27" s="77">
        <f t="shared" si="10"/>
        <v>0.36063318465574151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6"/>
        <v>3.109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7"/>
        <v/>
      </c>
      <c r="IK27" s="839" t="str">
        <f t="shared" si="68"/>
        <v/>
      </c>
      <c r="IL27" s="791" t="str">
        <f t="shared" si="227"/>
        <v/>
      </c>
      <c r="IM27" s="830"/>
      <c r="IN27" s="5" t="str">
        <f t="shared" si="228"/>
        <v/>
      </c>
      <c r="IO27" s="852"/>
      <c r="IP27" s="9" t="str">
        <f t="shared" si="229"/>
        <v/>
      </c>
      <c r="IQ27" s="5" t="str">
        <f t="shared" si="230"/>
        <v/>
      </c>
      <c r="IR27" s="5" t="str">
        <f t="shared" si="73"/>
        <v/>
      </c>
      <c r="IS27" s="5" t="str">
        <f t="shared" si="231"/>
        <v/>
      </c>
      <c r="IT27" s="791" t="str">
        <f t="shared" si="232"/>
        <v/>
      </c>
      <c r="IU27" s="9" t="str">
        <f t="shared" si="233"/>
        <v/>
      </c>
      <c r="IV27" s="5" t="str">
        <f t="shared" si="234"/>
        <v/>
      </c>
      <c r="IW27" s="5" t="str">
        <f t="shared" si="78"/>
        <v/>
      </c>
      <c r="IX27" s="5" t="str">
        <f t="shared" si="235"/>
        <v/>
      </c>
      <c r="IY27" s="833" t="str">
        <f t="shared" si="236"/>
        <v/>
      </c>
    </row>
    <row r="28" spans="1:259" ht="15" customHeight="1" x14ac:dyDescent="0.25">
      <c r="A28" s="84">
        <f t="shared" si="81"/>
        <v>0.02</v>
      </c>
      <c r="B28" s="770">
        <v>2.2561733144418783</v>
      </c>
      <c r="C28" s="771">
        <v>-1.3205168830143819</v>
      </c>
      <c r="D28" s="772">
        <v>-5.220015743567484E-2</v>
      </c>
      <c r="E28" s="773">
        <v>0.53997002698976448</v>
      </c>
      <c r="F28" s="771">
        <v>0.80202699698372171</v>
      </c>
      <c r="G28" s="774">
        <v>0.25531366211377399</v>
      </c>
      <c r="H28" s="773">
        <v>0.26600000000000001</v>
      </c>
      <c r="I28" s="771">
        <v>0.52</v>
      </c>
      <c r="J28" s="601">
        <v>3.1139999999999999</v>
      </c>
      <c r="K28" s="426" t="str">
        <f t="shared" si="82"/>
        <v>1313</v>
      </c>
      <c r="L28" s="327"/>
      <c r="M28" s="173">
        <f t="shared" si="1"/>
        <v>3.1139999999999999</v>
      </c>
      <c r="N28" s="21">
        <f t="shared" si="2"/>
        <v>2.2561733144418783</v>
      </c>
      <c r="O28" s="5">
        <f t="shared" si="3"/>
        <v>-1.3205168830143819</v>
      </c>
      <c r="P28" s="10">
        <f t="shared" si="4"/>
        <v>-5.220015743567484E-2</v>
      </c>
      <c r="Q28" s="624">
        <f t="shared" si="116"/>
        <v>329.65996539738217</v>
      </c>
      <c r="R28" s="5">
        <f t="shared" si="83"/>
        <v>2.61420788445098</v>
      </c>
      <c r="S28" s="6">
        <f t="shared" si="84"/>
        <v>-5.220015743567484E-2</v>
      </c>
      <c r="T28" s="4">
        <f t="shared" si="85"/>
        <v>-1.3193353726404005</v>
      </c>
      <c r="U28" s="5">
        <f t="shared" si="86"/>
        <v>-2.2568644260622928</v>
      </c>
      <c r="V28" s="8">
        <f t="shared" si="117"/>
        <v>-5.220015743567484E-2</v>
      </c>
      <c r="W28" s="624">
        <f t="shared" si="226"/>
        <v>239.6899653930507</v>
      </c>
      <c r="X28" s="5">
        <f t="shared" si="87"/>
        <v>2.61420788445098</v>
      </c>
      <c r="Y28" s="7">
        <f t="shared" si="225"/>
        <v>-5.220015743567484E-2</v>
      </c>
      <c r="Z28" s="21">
        <f t="shared" si="6"/>
        <v>-0.53997002698976448</v>
      </c>
      <c r="AA28" s="5">
        <f t="shared" si="7"/>
        <v>-0.80202699698372171</v>
      </c>
      <c r="AB28" s="5">
        <f t="shared" si="8"/>
        <v>-0.25531366211377399</v>
      </c>
      <c r="AC28" s="8">
        <f t="shared" si="88"/>
        <v>1</v>
      </c>
      <c r="AD28" s="9">
        <f t="shared" si="118"/>
        <v>-0.53997002698976448</v>
      </c>
      <c r="AE28" s="5">
        <f t="shared" si="89"/>
        <v>-0.80202699698372171</v>
      </c>
      <c r="AF28" s="10">
        <f t="shared" si="90"/>
        <v>-0.25531366211377399</v>
      </c>
      <c r="AG28" s="622">
        <f t="shared" si="91"/>
        <v>-72.341880503840841</v>
      </c>
      <c r="AH28" s="623">
        <f t="shared" si="92"/>
        <v>122.68159847706792</v>
      </c>
      <c r="AI28" s="624">
        <f t="shared" si="93"/>
        <v>-75.207828106563042</v>
      </c>
      <c r="AJ28" s="625">
        <f t="shared" si="94"/>
        <v>-33.950674271620812</v>
      </c>
      <c r="AK28" s="4">
        <f t="shared" si="213"/>
        <v>0.96493911598316373</v>
      </c>
      <c r="AL28" s="5">
        <f t="shared" si="95"/>
        <v>-6.0888721317534145E-2</v>
      </c>
      <c r="AM28" s="6">
        <f t="shared" si="96"/>
        <v>-0.25531366211377399</v>
      </c>
      <c r="AN28" s="612">
        <f t="shared" si="97"/>
        <v>-13.413681070512039</v>
      </c>
      <c r="AO28" s="613">
        <f t="shared" si="98"/>
        <v>15.216900223163455</v>
      </c>
      <c r="AP28" s="624">
        <f t="shared" si="99"/>
        <v>-3.6106396690029592</v>
      </c>
      <c r="AQ28" s="625">
        <f t="shared" si="9"/>
        <v>4.7331694841228327</v>
      </c>
      <c r="AS28" s="56">
        <f t="shared" si="119"/>
        <v>-120.3100346069493</v>
      </c>
      <c r="AT28" s="77">
        <f t="shared" si="10"/>
        <v>0.40241775106310362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6"/>
        <v>3.1139999999999999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7"/>
        <v/>
      </c>
      <c r="IK28" s="839" t="str">
        <f t="shared" si="68"/>
        <v/>
      </c>
      <c r="IL28" s="791" t="str">
        <f t="shared" si="227"/>
        <v/>
      </c>
      <c r="IM28" s="830"/>
      <c r="IN28" s="5" t="str">
        <f t="shared" si="228"/>
        <v/>
      </c>
      <c r="IO28" s="852"/>
      <c r="IP28" s="9" t="str">
        <f t="shared" si="229"/>
        <v/>
      </c>
      <c r="IQ28" s="5" t="str">
        <f t="shared" si="230"/>
        <v/>
      </c>
      <c r="IR28" s="5" t="str">
        <f t="shared" si="73"/>
        <v/>
      </c>
      <c r="IS28" s="5" t="str">
        <f t="shared" si="231"/>
        <v/>
      </c>
      <c r="IT28" s="791" t="str">
        <f t="shared" si="232"/>
        <v/>
      </c>
      <c r="IU28" s="9" t="str">
        <f t="shared" si="233"/>
        <v/>
      </c>
      <c r="IV28" s="5" t="str">
        <f t="shared" si="234"/>
        <v/>
      </c>
      <c r="IW28" s="5" t="str">
        <f t="shared" si="78"/>
        <v/>
      </c>
      <c r="IX28" s="5" t="str">
        <f t="shared" si="235"/>
        <v/>
      </c>
      <c r="IY28" s="833" t="str">
        <f t="shared" si="236"/>
        <v/>
      </c>
    </row>
    <row r="29" spans="1:259" ht="15" customHeight="1" x14ac:dyDescent="0.25">
      <c r="A29" s="84">
        <f t="shared" si="81"/>
        <v>0.02</v>
      </c>
      <c r="B29" s="770">
        <v>2.8380142875795822</v>
      </c>
      <c r="C29" s="771">
        <v>-1.7228294723830759</v>
      </c>
      <c r="D29" s="772">
        <v>-0.31440094823325987</v>
      </c>
      <c r="E29" s="773">
        <v>0.66281214330391236</v>
      </c>
      <c r="F29" s="771">
        <v>0.71777261849973073</v>
      </c>
      <c r="G29" s="774">
        <v>0.21326633775848003</v>
      </c>
      <c r="H29" s="773">
        <v>0.314</v>
      </c>
      <c r="I29" s="771">
        <v>0.52</v>
      </c>
      <c r="J29" s="601">
        <v>3.12</v>
      </c>
      <c r="K29" s="426" t="str">
        <f t="shared" si="82"/>
        <v>1613</v>
      </c>
      <c r="L29" s="327"/>
      <c r="M29" s="173">
        <f t="shared" si="1"/>
        <v>3.12</v>
      </c>
      <c r="N29" s="21">
        <f t="shared" si="2"/>
        <v>2.8380142875795822</v>
      </c>
      <c r="O29" s="5">
        <f t="shared" si="3"/>
        <v>-1.7228294723830759</v>
      </c>
      <c r="P29" s="10">
        <f t="shared" si="4"/>
        <v>-0.31440094823325987</v>
      </c>
      <c r="Q29" s="624">
        <f t="shared" si="116"/>
        <v>328.73996553021374</v>
      </c>
      <c r="R29" s="5">
        <f>IF(M29="","",SQRT(N29^2+O29^2))</f>
        <v>3.3200100131501999</v>
      </c>
      <c r="S29" s="6">
        <f>IF(M29="","",P29)</f>
        <v>-0.31440094823325987</v>
      </c>
      <c r="T29" s="4">
        <f>IF(M29="","",X29*COS(RADIANS(W29)))</f>
        <v>-1.7213432556977497</v>
      </c>
      <c r="U29" s="5">
        <f>IF(M29="","",X29*SIN(RADIANS(W29)))</f>
        <v>-2.8389159697816808</v>
      </c>
      <c r="V29" s="8">
        <f>IF(M29="","",Y29)</f>
        <v>-0.31440094823325987</v>
      </c>
      <c r="W29" s="624">
        <f t="shared" si="226"/>
        <v>238.76996552588227</v>
      </c>
      <c r="X29" s="5">
        <f>IF(M29="","",R29)</f>
        <v>3.3200100131501999</v>
      </c>
      <c r="Y29" s="7">
        <f t="shared" si="225"/>
        <v>-0.31440094823325987</v>
      </c>
      <c r="Z29" s="21">
        <f t="shared" si="6"/>
        <v>-0.66281214330391236</v>
      </c>
      <c r="AA29" s="5">
        <f t="shared" si="7"/>
        <v>-0.71777261849973073</v>
      </c>
      <c r="AB29" s="5">
        <f t="shared" si="8"/>
        <v>-0.21326633775848003</v>
      </c>
      <c r="AC29" s="8">
        <f>IF(M29="","",SQRT(Z29^2+AA29^2+AB29^2))</f>
        <v>1</v>
      </c>
      <c r="AD29" s="9">
        <f>IF(M29="","",Z29*(1/SQRT(Z29^2+AA29^2+AB29^2)))</f>
        <v>-0.66281214330391236</v>
      </c>
      <c r="AE29" s="5">
        <f>IF(M29="","",AA29*(1/SQRT(Z29^2+AA29^2+AB29^2)))</f>
        <v>-0.71777261849973073</v>
      </c>
      <c r="AF29" s="10">
        <f>IF(M29="","",AB29*(1/SQRT(Z29^2+AA29^2+AB29^2)))</f>
        <v>-0.21326633775848003</v>
      </c>
      <c r="AG29" s="622">
        <f>IF(M29="","",DEGREES(ATAN2(-AF29,AE29)))</f>
        <v>-73.452135087327221</v>
      </c>
      <c r="AH29" s="623">
        <f>IF(M29="","",DEGREES(ACOS(AD29)))</f>
        <v>131.51469711315616</v>
      </c>
      <c r="AI29" s="624">
        <f>IF(M29="","",DEGREES(-ACOS(-AF29)))</f>
        <v>-77.686162999355901</v>
      </c>
      <c r="AJ29" s="625">
        <f>IF(M29="","",DEGREES(ATAN2(-AE29,AD29)))</f>
        <v>-42.720283881825253</v>
      </c>
      <c r="AK29" s="4">
        <f>IF(M29="","",(COS(RADIANS((90-$Q$8)-W29))*AD29)+(-SIN(RADIANS((90-$Q$8)-W29))*AE29))</f>
        <v>0.95751555841142</v>
      </c>
      <c r="AL29" s="5">
        <f>IF(M29="","",(SIN(RADIANS((90-$Q$8)-W29))*AD29)+(COS(RADIANS((90-$Q$8)-W29))*AE29))</f>
        <v>-0.1941170383535471</v>
      </c>
      <c r="AM29" s="6">
        <f>IF(M29="","",AF29)</f>
        <v>-0.21326633775848003</v>
      </c>
      <c r="AN29" s="612">
        <f>IF(M29="","",DEGREES(ATAN2(-AM29,AL29)))</f>
        <v>-42.308758549991488</v>
      </c>
      <c r="AO29" s="613">
        <f t="shared" si="98"/>
        <v>16.761090406747435</v>
      </c>
      <c r="AP29" s="624">
        <f>IF(M29="","",DEGREES(ATAN2(AK29,AL29)))</f>
        <v>-11.460249412038978</v>
      </c>
      <c r="AQ29" s="625">
        <f t="shared" si="9"/>
        <v>3.7301653832330652</v>
      </c>
      <c r="AS29" s="56">
        <f t="shared" si="119"/>
        <v>-121.23003447411773</v>
      </c>
      <c r="AT29" s="77">
        <f t="shared" si="10"/>
        <v>0.14369251531926602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6"/>
        <v>3.12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7"/>
        <v/>
      </c>
      <c r="IK29" s="839" t="str">
        <f t="shared" si="68"/>
        <v/>
      </c>
      <c r="IL29" s="791" t="str">
        <f t="shared" si="227"/>
        <v/>
      </c>
      <c r="IM29" s="830"/>
      <c r="IN29" s="5" t="str">
        <f t="shared" si="228"/>
        <v/>
      </c>
      <c r="IO29" s="852"/>
      <c r="IP29" s="9" t="str">
        <f t="shared" si="229"/>
        <v/>
      </c>
      <c r="IQ29" s="5" t="str">
        <f t="shared" si="230"/>
        <v/>
      </c>
      <c r="IR29" s="5" t="str">
        <f t="shared" si="73"/>
        <v/>
      </c>
      <c r="IS29" s="5" t="str">
        <f t="shared" si="231"/>
        <v/>
      </c>
      <c r="IT29" s="791" t="str">
        <f t="shared" si="232"/>
        <v/>
      </c>
      <c r="IU29" s="9" t="str">
        <f t="shared" si="233"/>
        <v/>
      </c>
      <c r="IV29" s="5" t="str">
        <f t="shared" si="234"/>
        <v/>
      </c>
      <c r="IW29" s="5" t="str">
        <f t="shared" si="78"/>
        <v/>
      </c>
      <c r="IX29" s="5" t="str">
        <f t="shared" si="235"/>
        <v/>
      </c>
      <c r="IY29" s="833" t="str">
        <f t="shared" si="236"/>
        <v/>
      </c>
    </row>
    <row r="30" spans="1:259" ht="15" customHeight="1" x14ac:dyDescent="0.25">
      <c r="A30" s="84">
        <f t="shared" si="81"/>
        <v>0.02</v>
      </c>
      <c r="B30" s="770">
        <v>3.2788181908072582</v>
      </c>
      <c r="C30" s="771">
        <v>-2.0623879426971135</v>
      </c>
      <c r="D30" s="772">
        <v>-0.86980262332471192</v>
      </c>
      <c r="E30" s="773">
        <v>0.75831689404369462</v>
      </c>
      <c r="F30" s="771">
        <v>0.6386662150037572</v>
      </c>
      <c r="G30" s="774">
        <v>0.13061758695022216</v>
      </c>
      <c r="H30" s="773">
        <v>0.314</v>
      </c>
      <c r="I30" s="771">
        <v>0.52</v>
      </c>
      <c r="J30" s="601">
        <v>3.1259999999999999</v>
      </c>
      <c r="K30" s="426" t="str">
        <f t="shared" si="82"/>
        <v>1613</v>
      </c>
      <c r="L30" s="327"/>
      <c r="M30" s="173">
        <f t="shared" si="1"/>
        <v>3.1259999999999999</v>
      </c>
      <c r="N30" s="21">
        <f t="shared" si="2"/>
        <v>3.2788181908072582</v>
      </c>
      <c r="O30" s="5">
        <f t="shared" si="3"/>
        <v>-2.0623879426971135</v>
      </c>
      <c r="P30" s="10">
        <f t="shared" si="4"/>
        <v>-0.86980262332471192</v>
      </c>
      <c r="Q30" s="624">
        <f t="shared" si="116"/>
        <v>327.82996566160148</v>
      </c>
      <c r="R30" s="5">
        <f>IF(M30="","",SQRT(N30^2+O30^2))</f>
        <v>3.8735116825112343</v>
      </c>
      <c r="S30" s="6">
        <f>IF(M30="","",P30)</f>
        <v>-0.86980262332471192</v>
      </c>
      <c r="T30" s="4">
        <f>IF(M30="","",X30*COS(RADIANS(W30)))</f>
        <v>-2.0606708751257194</v>
      </c>
      <c r="U30" s="5">
        <f>IF(M30="","",X30*SIN(RADIANS(W30)))</f>
        <v>-3.2798976049504374</v>
      </c>
      <c r="V30" s="8">
        <f>IF(M30="","",Y30)</f>
        <v>-0.86980262332471192</v>
      </c>
      <c r="W30" s="624">
        <f t="shared" si="226"/>
        <v>237.85996565727001</v>
      </c>
      <c r="X30" s="5">
        <f>IF(M30="","",R30)</f>
        <v>3.8735116825112343</v>
      </c>
      <c r="Y30" s="7">
        <f t="shared" si="225"/>
        <v>-0.86980262332471192</v>
      </c>
      <c r="Z30" s="21">
        <f t="shared" si="6"/>
        <v>-0.75831689404369462</v>
      </c>
      <c r="AA30" s="5">
        <f t="shared" si="7"/>
        <v>-0.6386662150037572</v>
      </c>
      <c r="AB30" s="5">
        <f t="shared" si="8"/>
        <v>-0.13061758695022216</v>
      </c>
      <c r="AC30" s="8">
        <f>IF(M30="","",SQRT(Z30^2+AA30^2+AB30^2))</f>
        <v>1</v>
      </c>
      <c r="AD30" s="9">
        <f>IF(M30="","",Z30*(1/SQRT(Z30^2+AA30^2+AB30^2)))</f>
        <v>-0.75831689404369462</v>
      </c>
      <c r="AE30" s="5">
        <f>IF(M30="","",AA30*(1/SQRT(Z30^2+AA30^2+AB30^2)))</f>
        <v>-0.6386662150037572</v>
      </c>
      <c r="AF30" s="10">
        <f>IF(M30="","",AB30*(1/SQRT(Z30^2+AA30^2+AB30^2)))</f>
        <v>-0.13061758695022216</v>
      </c>
      <c r="AG30" s="622">
        <f>IF(M30="","",DEGREES(ATAN2(-AF30,AE30)))</f>
        <v>-78.441478099971405</v>
      </c>
      <c r="AH30" s="623">
        <f>IF(M30="","",DEGREES(ACOS(AD30)))</f>
        <v>139.31604281951363</v>
      </c>
      <c r="AI30" s="624">
        <f>IF(M30="","",DEGREES(-ACOS(-AF30)))</f>
        <v>-82.494718249802844</v>
      </c>
      <c r="AJ30" s="625">
        <f>IF(M30="","",DEGREES(ATAN2(-AE30,AD30)))</f>
        <v>-49.895398366220057</v>
      </c>
      <c r="AK30" s="4">
        <f>IF(M30="","",(COS(RADIANS((90-$Q$8)-W30))*AD30)+(-SIN(RADIANS((90-$Q$8)-W30))*AE30))</f>
        <v>0.94436633278876636</v>
      </c>
      <c r="AL30" s="5">
        <f>IF(M30="","",(SIN(RADIANS((90-$Q$8)-W30))*AD30)+(COS(RADIANS((90-$Q$8)-W30))*AE30))</f>
        <v>-0.30184644353445428</v>
      </c>
      <c r="AM30" s="6">
        <f>IF(M30="","",AF30)</f>
        <v>-0.13061758695022216</v>
      </c>
      <c r="AN30" s="612">
        <f>IF(M30="","",DEGREES(ATAN2(-AM30,AL30)))</f>
        <v>-66.600484943607796</v>
      </c>
      <c r="AO30" s="613">
        <f>IF(ROUND(IF(M30="",0,DEGREES(ACOS(AK30))),4)=90,0,IF(M30="","",DEGREES(ACOS(AK30))))</f>
        <v>19.201748666986646</v>
      </c>
      <c r="AP30" s="624">
        <f>IF(M30="","",DEGREES(ATAN2(AK30,AL30)))</f>
        <v>-17.725364027821534</v>
      </c>
      <c r="AQ30" s="625">
        <f t="shared" si="9"/>
        <v>3.1983455149140436</v>
      </c>
      <c r="AS30" s="56">
        <f t="shared" si="119"/>
        <v>-122.14003434272999</v>
      </c>
      <c r="AT30" s="77">
        <f t="shared" si="10"/>
        <v>-0.40827138249076195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6"/>
        <v>3.1259999999999999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7"/>
        <v/>
      </c>
      <c r="IK30" s="839" t="str">
        <f t="shared" si="68"/>
        <v/>
      </c>
      <c r="IL30" s="791" t="str">
        <f t="shared" si="227"/>
        <v/>
      </c>
      <c r="IM30" s="830"/>
      <c r="IN30" s="5" t="str">
        <f t="shared" si="228"/>
        <v/>
      </c>
      <c r="IO30" s="852"/>
      <c r="IP30" s="9" t="str">
        <f t="shared" si="229"/>
        <v/>
      </c>
      <c r="IQ30" s="5" t="str">
        <f t="shared" si="230"/>
        <v/>
      </c>
      <c r="IR30" s="5" t="str">
        <f t="shared" si="73"/>
        <v/>
      </c>
      <c r="IS30" s="5" t="str">
        <f t="shared" si="231"/>
        <v/>
      </c>
      <c r="IT30" s="791" t="str">
        <f t="shared" si="232"/>
        <v/>
      </c>
      <c r="IU30" s="9" t="str">
        <f t="shared" si="233"/>
        <v/>
      </c>
      <c r="IV30" s="5" t="str">
        <f t="shared" si="234"/>
        <v/>
      </c>
      <c r="IW30" s="5" t="str">
        <f t="shared" si="78"/>
        <v/>
      </c>
      <c r="IX30" s="5" t="str">
        <f t="shared" si="235"/>
        <v/>
      </c>
      <c r="IY30" s="833" t="str">
        <f t="shared" si="236"/>
        <v/>
      </c>
    </row>
    <row r="31" spans="1:259" ht="15" customHeight="1" x14ac:dyDescent="0.25">
      <c r="A31" s="84">
        <f t="shared" si="81"/>
        <v>0.02</v>
      </c>
      <c r="B31" s="770">
        <v>3.4460812477211342</v>
      </c>
      <c r="C31" s="771">
        <v>-2.2004755314081677</v>
      </c>
      <c r="D31" s="772">
        <v>-1.6239048976971715</v>
      </c>
      <c r="E31" s="773">
        <v>0.80715743305405152</v>
      </c>
      <c r="F31" s="771">
        <v>0.59011055434154058</v>
      </c>
      <c r="G31" s="774">
        <v>1.6322129772613242E-2</v>
      </c>
      <c r="H31" s="773">
        <v>0.314</v>
      </c>
      <c r="I31" s="771">
        <v>0.52</v>
      </c>
      <c r="J31" s="601">
        <v>3.1320000000000001</v>
      </c>
      <c r="K31" s="426" t="str">
        <f t="shared" si="82"/>
        <v>1613</v>
      </c>
      <c r="L31" s="327"/>
      <c r="M31" s="173">
        <f t="shared" si="1"/>
        <v>3.1320000000000001</v>
      </c>
      <c r="N31" s="21">
        <f t="shared" si="2"/>
        <v>3.4460812477211342</v>
      </c>
      <c r="O31" s="5">
        <f t="shared" si="3"/>
        <v>-2.2004755314081677</v>
      </c>
      <c r="P31" s="10">
        <f t="shared" si="4"/>
        <v>-1.6239048976971715</v>
      </c>
      <c r="Q31" s="624">
        <f t="shared" si="116"/>
        <v>327.43996571791047</v>
      </c>
      <c r="R31" s="5">
        <f>IF(M31="","",SQRT(N31^2+O31^2))</f>
        <v>4.0887123315563922</v>
      </c>
      <c r="S31" s="6">
        <f>IF(M31="","",P31)</f>
        <v>-1.6239048976971715</v>
      </c>
      <c r="T31" s="4">
        <f>IF(M31="","",X31*COS(RADIANS(W31)))</f>
        <v>-2.1986708661928787</v>
      </c>
      <c r="U31" s="5">
        <f>IF(M31="","",X31*SIN(RADIANS(W31)))</f>
        <v>-3.4472329414148919</v>
      </c>
      <c r="V31" s="8">
        <f>IF(M31="","",Y31)</f>
        <v>-1.6239048976971715</v>
      </c>
      <c r="W31" s="624">
        <f t="shared" si="226"/>
        <v>237.469965713579</v>
      </c>
      <c r="X31" s="5">
        <f>IF(M31="","",R31)</f>
        <v>4.0887123315563922</v>
      </c>
      <c r="Y31" s="7">
        <f t="shared" si="225"/>
        <v>-1.6239048976971715</v>
      </c>
      <c r="Z31" s="21">
        <f t="shared" si="6"/>
        <v>-0.80715743305405152</v>
      </c>
      <c r="AA31" s="5">
        <f t="shared" si="7"/>
        <v>-0.59011055434154058</v>
      </c>
      <c r="AB31" s="5">
        <f t="shared" si="8"/>
        <v>-1.6322129772613242E-2</v>
      </c>
      <c r="AC31" s="8">
        <f>IF(M31="","",SQRT(Z31^2+AA31^2+AB31^2))</f>
        <v>1</v>
      </c>
      <c r="AD31" s="9">
        <f>IF(M31="","",Z31*(1/SQRT(Z31^2+AA31^2+AB31^2)))</f>
        <v>-0.80715743305405152</v>
      </c>
      <c r="AE31" s="5">
        <f>IF(M31="","",AA31*(1/SQRT(Z31^2+AA31^2+AB31^2)))</f>
        <v>-0.59011055434154058</v>
      </c>
      <c r="AF31" s="10">
        <f>IF(M31="","",AB31*(1/SQRT(Z31^2+AA31^2+AB31^2)))</f>
        <v>-1.6322129772613242E-2</v>
      </c>
      <c r="AG31" s="622">
        <f>IF(M31="","",DEGREES(ATAN2(-AF31,AE31)))</f>
        <v>-88.415634555322981</v>
      </c>
      <c r="AH31" s="623">
        <f>IF(M31="","",DEGREES(ACOS(AD31)))</f>
        <v>143.81912743720423</v>
      </c>
      <c r="AI31" s="624">
        <f>IF(M31="","",DEGREES(-ACOS(-AF31)))</f>
        <v>-89.064769322129337</v>
      </c>
      <c r="AJ31" s="625">
        <f>IF(M31="","",DEGREES(ATAN2(-AE31,AD31)))</f>
        <v>-53.829566126685414</v>
      </c>
      <c r="AK31" s="4">
        <f>IF(M31="","",(COS(RADIANS((90-$Q$8)-W31))*AD31)+(-SIN(RADIANS((90-$Q$8)-W31))*AE31))</f>
        <v>0.93176012101056516</v>
      </c>
      <c r="AL31" s="5">
        <f>IF(M31="","",(SIN(RADIANS((90-$Q$8)-W31))*AD31)+(COS(RADIANS((90-$Q$8)-W31))*AE31))</f>
        <v>-0.36270740959354941</v>
      </c>
      <c r="AM31" s="6">
        <f>IF(M31="","",AF31)</f>
        <v>-1.6322129772613242E-2</v>
      </c>
      <c r="AN31" s="612">
        <f>IF(M31="","",DEGREES(ATAN2(-AM31,AL31)))</f>
        <v>-87.423381452270092</v>
      </c>
      <c r="AO31" s="613">
        <f t="shared" si="98"/>
        <v>21.289130764808807</v>
      </c>
      <c r="AP31" s="624">
        <f>IF(M31="","",DEGREES(ATAN2(AK31,AL31)))</f>
        <v>-21.26953184459585</v>
      </c>
      <c r="AQ31" s="625">
        <f t="shared" si="9"/>
        <v>3.0303298607003679</v>
      </c>
      <c r="AS31" s="56">
        <f t="shared" si="119"/>
        <v>-122.530034286421</v>
      </c>
      <c r="AT31" s="77">
        <f t="shared" si="10"/>
        <v>-1.160900323742611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6"/>
        <v>3.1320000000000001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7"/>
        <v/>
      </c>
      <c r="IK31" s="839" t="str">
        <f t="shared" si="68"/>
        <v/>
      </c>
      <c r="IL31" s="791" t="str">
        <f t="shared" si="227"/>
        <v/>
      </c>
      <c r="IM31" s="830"/>
      <c r="IN31" s="5" t="str">
        <f t="shared" si="228"/>
        <v/>
      </c>
      <c r="IO31" s="852"/>
      <c r="IP31" s="9" t="str">
        <f t="shared" si="229"/>
        <v/>
      </c>
      <c r="IQ31" s="5" t="str">
        <f t="shared" si="230"/>
        <v/>
      </c>
      <c r="IR31" s="5" t="str">
        <f t="shared" si="73"/>
        <v/>
      </c>
      <c r="IS31" s="5" t="str">
        <f t="shared" si="231"/>
        <v/>
      </c>
      <c r="IT31" s="791" t="str">
        <f t="shared" si="232"/>
        <v/>
      </c>
      <c r="IU31" s="9" t="str">
        <f t="shared" si="233"/>
        <v/>
      </c>
      <c r="IV31" s="5" t="str">
        <f t="shared" si="234"/>
        <v/>
      </c>
      <c r="IW31" s="5" t="str">
        <f t="shared" si="78"/>
        <v/>
      </c>
      <c r="IX31" s="5" t="str">
        <f t="shared" si="235"/>
        <v/>
      </c>
      <c r="IY31" s="833" t="str">
        <f t="shared" si="236"/>
        <v/>
      </c>
    </row>
    <row r="32" spans="1:259" ht="15" customHeight="1" x14ac:dyDescent="0.25">
      <c r="A32" s="84">
        <f t="shared" si="81"/>
        <v>0.02</v>
      </c>
      <c r="B32" s="770">
        <v>3.4770771848766362</v>
      </c>
      <c r="C32" s="771">
        <v>-2.2262526279231927</v>
      </c>
      <c r="D32" s="772">
        <v>-2.3948072227385842</v>
      </c>
      <c r="E32" s="773">
        <v>0.88805646370863567</v>
      </c>
      <c r="F32" s="771">
        <v>0.45973439861000159</v>
      </c>
      <c r="G32" s="774">
        <v>1.1339743392783211E-7</v>
      </c>
      <c r="H32" s="773">
        <v>0.314</v>
      </c>
      <c r="I32" s="771">
        <v>0.52</v>
      </c>
      <c r="J32" s="601">
        <v>3.1379999999999999</v>
      </c>
      <c r="K32" s="426" t="str">
        <f t="shared" si="82"/>
        <v>1613</v>
      </c>
      <c r="L32" s="327"/>
      <c r="M32" s="173">
        <f t="shared" si="1"/>
        <v>3.1379999999999999</v>
      </c>
      <c r="N32" s="21">
        <f t="shared" si="2"/>
        <v>3.4770771848766362</v>
      </c>
      <c r="O32" s="5">
        <f t="shared" si="3"/>
        <v>-2.2262526279231927</v>
      </c>
      <c r="P32" s="10">
        <f t="shared" si="4"/>
        <v>-2.3948072227385842</v>
      </c>
      <c r="Q32" s="624">
        <f t="shared" si="116"/>
        <v>327.36996572801723</v>
      </c>
      <c r="R32" s="5">
        <f t="shared" si="83"/>
        <v>4.1287124521967566</v>
      </c>
      <c r="S32" s="6">
        <f t="shared" si="84"/>
        <v>-2.3948072227385842</v>
      </c>
      <c r="T32" s="4">
        <f t="shared" si="85"/>
        <v>-2.2244317297427751</v>
      </c>
      <c r="U32" s="5">
        <f t="shared" si="86"/>
        <v>-3.4782423711751487</v>
      </c>
      <c r="V32" s="8">
        <f t="shared" si="117"/>
        <v>-2.3948072227385842</v>
      </c>
      <c r="W32" s="624">
        <f t="shared" si="226"/>
        <v>237.39996572368577</v>
      </c>
      <c r="X32" s="5">
        <f t="shared" si="87"/>
        <v>4.1287124521967566</v>
      </c>
      <c r="Y32" s="7">
        <f t="shared" si="225"/>
        <v>-2.3948072227385842</v>
      </c>
      <c r="Z32" s="21">
        <f t="shared" si="6"/>
        <v>-0.88805646370863567</v>
      </c>
      <c r="AA32" s="5">
        <f t="shared" si="7"/>
        <v>-0.45973439861000159</v>
      </c>
      <c r="AB32" s="5">
        <f t="shared" si="8"/>
        <v>-1.1339743392783211E-7</v>
      </c>
      <c r="AC32" s="8">
        <f t="shared" si="88"/>
        <v>1</v>
      </c>
      <c r="AD32" s="9">
        <f t="shared" si="118"/>
        <v>-0.88805646370863567</v>
      </c>
      <c r="AE32" s="5">
        <f t="shared" si="89"/>
        <v>-0.45973439861000159</v>
      </c>
      <c r="AF32" s="10">
        <f t="shared" si="90"/>
        <v>-1.1339743392783211E-7</v>
      </c>
      <c r="AG32" s="622">
        <f t="shared" si="91"/>
        <v>-89.999985867504378</v>
      </c>
      <c r="AH32" s="623">
        <f t="shared" si="92"/>
        <v>152.63002994051791</v>
      </c>
      <c r="AI32" s="624">
        <f t="shared" si="93"/>
        <v>-89.999993502805637</v>
      </c>
      <c r="AJ32" s="625">
        <f t="shared" si="94"/>
        <v>-62.630029940518639</v>
      </c>
      <c r="AK32" s="4">
        <f t="shared" si="213"/>
        <v>0.86602544158358574</v>
      </c>
      <c r="AL32" s="5">
        <f t="shared" si="95"/>
        <v>-0.49999993452993802</v>
      </c>
      <c r="AM32" s="6">
        <f t="shared" si="96"/>
        <v>-1.1339743392783211E-7</v>
      </c>
      <c r="AN32" s="612">
        <f t="shared" si="97"/>
        <v>-89.999987005609555</v>
      </c>
      <c r="AO32" s="613">
        <f t="shared" si="98"/>
        <v>29.99999566853651</v>
      </c>
      <c r="AP32" s="624">
        <f t="shared" si="99"/>
        <v>-29.999995668535874</v>
      </c>
      <c r="AQ32" s="625">
        <f t="shared" si="9"/>
        <v>3.0010251056735449</v>
      </c>
      <c r="AS32" s="56">
        <f t="shared" si="119"/>
        <v>-122.60003427631423</v>
      </c>
      <c r="AT32" s="77">
        <f t="shared" si="10"/>
        <v>-1.9315382043777602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3.1379999999999999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7"/>
        <v/>
      </c>
      <c r="IK32" s="839" t="str">
        <f t="shared" si="68"/>
        <v/>
      </c>
      <c r="IL32" s="791" t="str">
        <f t="shared" si="227"/>
        <v/>
      </c>
      <c r="IM32" s="830"/>
      <c r="IN32" s="5" t="str">
        <f t="shared" si="228"/>
        <v/>
      </c>
      <c r="IO32" s="852"/>
      <c r="IP32" s="9" t="str">
        <f t="shared" si="229"/>
        <v/>
      </c>
      <c r="IQ32" s="5" t="str">
        <f t="shared" si="230"/>
        <v/>
      </c>
      <c r="IR32" s="5" t="str">
        <f t="shared" si="73"/>
        <v/>
      </c>
      <c r="IS32" s="5" t="str">
        <f t="shared" si="231"/>
        <v/>
      </c>
      <c r="IT32" s="791" t="str">
        <f t="shared" si="232"/>
        <v/>
      </c>
      <c r="IU32" s="9" t="str">
        <f t="shared" si="233"/>
        <v/>
      </c>
      <c r="IV32" s="5" t="str">
        <f t="shared" si="234"/>
        <v/>
      </c>
      <c r="IW32" s="5" t="str">
        <f t="shared" si="78"/>
        <v/>
      </c>
      <c r="IX32" s="5" t="str">
        <f t="shared" si="235"/>
        <v/>
      </c>
      <c r="IY32" s="833" t="str">
        <f t="shared" si="236"/>
        <v/>
      </c>
    </row>
    <row r="33" spans="1:259" ht="15" customHeight="1" x14ac:dyDescent="0.25">
      <c r="A33" s="84">
        <f t="shared" si="81"/>
        <v>0</v>
      </c>
      <c r="B33" s="770">
        <v>9.8150868293721161E-2</v>
      </c>
      <c r="C33" s="771">
        <v>-1.121875581908687</v>
      </c>
      <c r="D33" s="772">
        <v>-0.20040118909969162</v>
      </c>
      <c r="E33" s="773">
        <v>-7.5958559915795896E-3</v>
      </c>
      <c r="F33" s="771">
        <v>8.6824099637050942E-2</v>
      </c>
      <c r="G33" s="774">
        <v>0.99619469918985748</v>
      </c>
      <c r="H33" s="773">
        <v>0.25700000000000001</v>
      </c>
      <c r="I33" s="771">
        <v>0.41499999999999992</v>
      </c>
      <c r="J33" s="601">
        <v>3.2050000000000001</v>
      </c>
      <c r="K33" s="426" t="str">
        <f t="shared" si="82"/>
        <v/>
      </c>
      <c r="L33" s="327"/>
      <c r="M33" s="173">
        <f t="shared" si="1"/>
        <v>3.2050000000000001</v>
      </c>
      <c r="N33" s="21">
        <f t="shared" si="2"/>
        <v>9.8150868293721161E-2</v>
      </c>
      <c r="O33" s="5">
        <f t="shared" si="3"/>
        <v>-1.121875581908687</v>
      </c>
      <c r="P33" s="10">
        <f t="shared" si="4"/>
        <v>-0.20040118909969162</v>
      </c>
      <c r="Q33" s="624">
        <f t="shared" si="116"/>
        <v>274.99997328930863</v>
      </c>
      <c r="R33" s="5">
        <f t="shared" si="83"/>
        <v>1.126160918443615</v>
      </c>
      <c r="S33" s="6">
        <f t="shared" si="84"/>
        <v>-0.20040118909969162</v>
      </c>
      <c r="T33" s="4">
        <f t="shared" si="85"/>
        <v>-1.1218240364597605</v>
      </c>
      <c r="U33" s="5">
        <f t="shared" si="86"/>
        <v>-9.8738267408824729E-2</v>
      </c>
      <c r="V33" s="8">
        <f t="shared" si="117"/>
        <v>-0.20040118909969162</v>
      </c>
      <c r="W33" s="624">
        <f t="shared" si="226"/>
        <v>185.02997328497716</v>
      </c>
      <c r="X33" s="5">
        <f t="shared" si="87"/>
        <v>1.126160918443615</v>
      </c>
      <c r="Y33" s="7">
        <f t="shared" si="225"/>
        <v>-0.20040118909969162</v>
      </c>
      <c r="Z33" s="21">
        <f t="shared" si="6"/>
        <v>7.5958559915795896E-3</v>
      </c>
      <c r="AA33" s="5">
        <f t="shared" si="7"/>
        <v>-8.6824099637050942E-2</v>
      </c>
      <c r="AB33" s="5">
        <f t="shared" si="8"/>
        <v>-0.99619469918985748</v>
      </c>
      <c r="AC33" s="8">
        <f t="shared" si="88"/>
        <v>1</v>
      </c>
      <c r="AD33" s="9">
        <f t="shared" si="118"/>
        <v>7.5958559915795896E-3</v>
      </c>
      <c r="AE33" s="5">
        <f t="shared" si="89"/>
        <v>-8.6824099637050942E-2</v>
      </c>
      <c r="AF33" s="10">
        <f t="shared" si="90"/>
        <v>-0.99619469918985748</v>
      </c>
      <c r="AG33" s="622">
        <f t="shared" si="91"/>
        <v>-4.9810700049171297</v>
      </c>
      <c r="AH33" s="623">
        <f t="shared" si="92"/>
        <v>89.564785324726017</v>
      </c>
      <c r="AI33" s="624">
        <f t="shared" si="93"/>
        <v>-4.9999992781062668</v>
      </c>
      <c r="AJ33" s="625">
        <f t="shared" si="94"/>
        <v>4.9998241953779505</v>
      </c>
      <c r="AK33" s="4">
        <f t="shared" si="213"/>
        <v>2.2679489670388714E-7</v>
      </c>
      <c r="AL33" s="5">
        <f t="shared" si="95"/>
        <v>8.715573019588517E-2</v>
      </c>
      <c r="AM33" s="6">
        <f t="shared" si="96"/>
        <v>-0.99619469918985748</v>
      </c>
      <c r="AN33" s="612">
        <f t="shared" si="97"/>
        <v>4.9999992780894225</v>
      </c>
      <c r="AO33" s="613">
        <f t="shared" si="98"/>
        <v>0</v>
      </c>
      <c r="AP33" s="624">
        <f t="shared" si="99"/>
        <v>89.999850906069327</v>
      </c>
      <c r="AQ33" s="625">
        <f t="shared" si="9"/>
        <v>10.879703952576206</v>
      </c>
      <c r="AS33" s="56">
        <f t="shared" si="119"/>
        <v>-174.97002671502284</v>
      </c>
      <c r="AT33" s="77">
        <f t="shared" si="10"/>
        <v>0.46071002291847585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>
        <f>IFERROR(IF($IU33="","",IF($IU33&lt;(((Settings!$C$19/2)*-1)*$IE$8),"",1)),"")</f>
        <v>1</v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6"/>
        <v>3.2050000000000001</v>
      </c>
      <c r="IH33" s="797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5.1050000000000004</v>
      </c>
      <c r="II33" s="800" cm="1">
        <f t="array" ref="II33">IFERROR(IF($IH33&lt;1,$IH33+LARGE((IF($M$9:$M$150="",0,$M$9:$M$150)-MOD(IF($M$9:$M$150="",0,$M$9:$M$150),1)),1),$IH33),"")</f>
        <v>5.1050000000000004</v>
      </c>
      <c r="IJ33" s="839" t="str">
        <f t="shared" si="67"/>
        <v>1313</v>
      </c>
      <c r="IK33" s="839" t="str">
        <f t="shared" si="68"/>
        <v/>
      </c>
      <c r="IL33" s="791">
        <f t="shared" si="227"/>
        <v>295.00000938483754</v>
      </c>
      <c r="IM33" s="830">
        <v>2.28929370350326E-2</v>
      </c>
      <c r="IN33" s="5">
        <f t="shared" si="228"/>
        <v>0.06</v>
      </c>
      <c r="IO33" s="852">
        <v>30</v>
      </c>
      <c r="IP33" s="9">
        <f t="shared" si="229"/>
        <v>-1.1262033966294445</v>
      </c>
      <c r="IQ33" s="5">
        <f t="shared" si="230"/>
        <v>-0.16540049884790453</v>
      </c>
      <c r="IR33" s="5">
        <f t="shared" si="73"/>
        <v>0.26600000000000001</v>
      </c>
      <c r="IS33" s="5">
        <f t="shared" si="231"/>
        <v>0.25693627239520717</v>
      </c>
      <c r="IT33" s="791">
        <f t="shared" si="232"/>
        <v>-4.9999992780894198</v>
      </c>
      <c r="IU33" s="9">
        <f t="shared" si="233"/>
        <v>-1.126160918443615</v>
      </c>
      <c r="IV33" s="5">
        <f t="shared" si="234"/>
        <v>-0.20040118909969162</v>
      </c>
      <c r="IW33" s="5">
        <f t="shared" si="78"/>
        <v>0.25700000000000001</v>
      </c>
      <c r="IX33" s="5">
        <f t="shared" si="235"/>
        <v>0.25700000000000001</v>
      </c>
      <c r="IY33" s="833">
        <f t="shared" si="236"/>
        <v>-4.9999992780894225</v>
      </c>
    </row>
    <row r="34" spans="1:259" ht="15" customHeight="1" x14ac:dyDescent="0.25">
      <c r="A34" s="84">
        <f t="shared" si="81"/>
        <v>0</v>
      </c>
      <c r="B34" s="770">
        <v>0.82621815613970728</v>
      </c>
      <c r="C34" s="771">
        <v>-1.5421846662423555</v>
      </c>
      <c r="D34" s="772">
        <v>-0.14429129765003679</v>
      </c>
      <c r="E34" s="773">
        <v>-4.1158452269612136E-2</v>
      </c>
      <c r="F34" s="771">
        <v>7.6825146357162422E-2</v>
      </c>
      <c r="G34" s="774">
        <v>0.99619469918985748</v>
      </c>
      <c r="H34" s="773">
        <v>0.25700000000000001</v>
      </c>
      <c r="I34" s="771">
        <v>0.41499999999999992</v>
      </c>
      <c r="J34" s="601">
        <v>3.2080000000000002</v>
      </c>
      <c r="K34" s="426" t="str">
        <f t="shared" si="82"/>
        <v/>
      </c>
      <c r="L34" s="327"/>
      <c r="M34" s="173">
        <f t="shared" si="1"/>
        <v>3.2080000000000002</v>
      </c>
      <c r="N34" s="21">
        <f t="shared" si="2"/>
        <v>0.82621815613970728</v>
      </c>
      <c r="O34" s="5">
        <f t="shared" si="3"/>
        <v>-1.5421846662423555</v>
      </c>
      <c r="P34" s="10">
        <f t="shared" si="4"/>
        <v>-0.14429129765003679</v>
      </c>
      <c r="Q34" s="624">
        <f t="shared" si="116"/>
        <v>298.17996994253122</v>
      </c>
      <c r="R34" s="5">
        <f>IF(M34="","",SQRT(N34^2+O34^2))</f>
        <v>1.7495627986236855</v>
      </c>
      <c r="S34" s="6">
        <f>IF(M34="","",P34)</f>
        <v>-0.14429129765003679</v>
      </c>
      <c r="T34" s="4">
        <f>IF(M34="","",X34*COS(RADIANS(W34)))</f>
        <v>-1.5417518481103756</v>
      </c>
      <c r="U34" s="5">
        <f>IF(M34="","",X34*SIN(RADIANS(W34)))</f>
        <v>-0.8270255287330518</v>
      </c>
      <c r="V34" s="8">
        <f>IF(M34="","",Y34)</f>
        <v>-0.14429129765003679</v>
      </c>
      <c r="W34" s="624">
        <f t="shared" si="226"/>
        <v>208.20996993819975</v>
      </c>
      <c r="X34" s="5">
        <f>IF(M34="","",R34)</f>
        <v>1.7495627986236855</v>
      </c>
      <c r="Y34" s="7">
        <f t="shared" si="225"/>
        <v>-0.14429129765003679</v>
      </c>
      <c r="Z34" s="21">
        <f t="shared" si="6"/>
        <v>4.1158452269612136E-2</v>
      </c>
      <c r="AA34" s="5">
        <f t="shared" si="7"/>
        <v>-7.6825146357162422E-2</v>
      </c>
      <c r="AB34" s="5">
        <f t="shared" si="8"/>
        <v>-0.99619469918985748</v>
      </c>
      <c r="AC34" s="8">
        <f>IF(M34="","",SQRT(Z34^2+AA34^2+AB34^2))</f>
        <v>1</v>
      </c>
      <c r="AD34" s="9">
        <f>IF(M34="","",Z34*(1/SQRT(Z34^2+AA34^2+AB34^2)))</f>
        <v>4.1158452269612136E-2</v>
      </c>
      <c r="AE34" s="5">
        <f>IF(M34="","",AA34*(1/SQRT(Z34^2+AA34^2+AB34^2)))</f>
        <v>-7.6825146357162422E-2</v>
      </c>
      <c r="AF34" s="10">
        <f>IF(M34="","",AB34*(1/SQRT(Z34^2+AA34^2+AB34^2)))</f>
        <v>-0.99619469918985748</v>
      </c>
      <c r="AG34" s="622">
        <f>IF(M34="","",DEGREES(ATAN2(-AF34,AE34)))</f>
        <v>-4.4098422707508362</v>
      </c>
      <c r="AH34" s="623">
        <f>IF(M34="","",DEGREES(ACOS(AD34)))</f>
        <v>87.641128078397841</v>
      </c>
      <c r="AI34" s="624">
        <f>IF(M34="","",DEGREES(-ACOS(-AF34)))</f>
        <v>-4.9999992781062668</v>
      </c>
      <c r="AJ34" s="625">
        <f>IF(M34="","",DEGREES(ATAN2(-AE34,AD34)))</f>
        <v>28.179820848600517</v>
      </c>
      <c r="AK34" s="4">
        <f>IF(M34="","",(COS(RADIANS((90-$Q$8)-W34))*AD34)+(-SIN(RADIANS((90-$Q$8)-W34))*AE34))</f>
        <v>2.2679489673771425E-7</v>
      </c>
      <c r="AL34" s="5">
        <f>IF(M34="","",(SIN(RADIANS((90-$Q$8)-W34))*AD34)+(COS(RADIANS((90-$Q$8)-W34))*AE34))</f>
        <v>8.715573019588517E-2</v>
      </c>
      <c r="AM34" s="6">
        <f>IF(M34="","",AF34)</f>
        <v>-0.99619469918985748</v>
      </c>
      <c r="AN34" s="612">
        <f>IF(M34="","",DEGREES(ATAN2(-AM34,AL34)))</f>
        <v>4.9999992780894225</v>
      </c>
      <c r="AO34" s="613">
        <f t="shared" si="98"/>
        <v>0</v>
      </c>
      <c r="AP34" s="624">
        <f>IF(M34="","",DEGREES(ATAN2(AK34,AL34)))</f>
        <v>89.999850906069298</v>
      </c>
      <c r="AQ34" s="625">
        <f t="shared" si="9"/>
        <v>7.0526273966453221</v>
      </c>
      <c r="AS34" s="56">
        <f t="shared" si="119"/>
        <v>-151.79003006180025</v>
      </c>
      <c r="AT34" s="77">
        <f t="shared" si="10"/>
        <v>0.42925103812262311</v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>
        <f>IFERROR(IF($IU34="","",IF($IU34&lt;(((Settings!$C$19/2)*-1)*$IE$8),"",1)),"")</f>
        <v>1</v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6"/>
        <v>3.2080000000000002</v>
      </c>
      <c r="IH34" s="797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5.1079999999999997</v>
      </c>
      <c r="II34" s="800" cm="1">
        <f t="array" ref="II34">IFERROR(IF($IH34&lt;1,$IH34+LARGE((IF($M$9:$M$150="",0,$M$9:$M$150)-MOD(IF($M$9:$M$150="",0,$M$9:$M$150),1)),1),$IH34),"")</f>
        <v>5.1079999999999997</v>
      </c>
      <c r="IJ34" s="839" t="str">
        <f t="shared" si="67"/>
        <v>1313</v>
      </c>
      <c r="IK34" s="839" t="str">
        <f t="shared" si="68"/>
        <v/>
      </c>
      <c r="IL34" s="791">
        <f t="shared" si="227"/>
        <v>271.82001273161495</v>
      </c>
      <c r="IM34" s="830">
        <v>2.20578045949507E-2</v>
      </c>
      <c r="IN34" s="5">
        <f t="shared" si="228"/>
        <v>0.06</v>
      </c>
      <c r="IO34" s="852">
        <v>30</v>
      </c>
      <c r="IP34" s="9">
        <f t="shared" si="229"/>
        <v>-1.7496052768095149</v>
      </c>
      <c r="IQ34" s="5">
        <f t="shared" si="230"/>
        <v>-0.11090033447540877</v>
      </c>
      <c r="IR34" s="5">
        <f t="shared" si="73"/>
        <v>0.26600000000000001</v>
      </c>
      <c r="IS34" s="5">
        <f t="shared" si="231"/>
        <v>0.25693627239520722</v>
      </c>
      <c r="IT34" s="791">
        <f t="shared" si="232"/>
        <v>-4.9999992780894065</v>
      </c>
      <c r="IU34" s="9">
        <f t="shared" si="233"/>
        <v>-1.7495627986236855</v>
      </c>
      <c r="IV34" s="5">
        <f t="shared" si="234"/>
        <v>-0.14429129765003679</v>
      </c>
      <c r="IW34" s="5">
        <f t="shared" si="78"/>
        <v>0.25700000000000001</v>
      </c>
      <c r="IX34" s="5">
        <f t="shared" si="235"/>
        <v>0.25700000000000001</v>
      </c>
      <c r="IY34" s="833">
        <f t="shared" si="236"/>
        <v>-4.9999992780894225</v>
      </c>
    </row>
    <row r="35" spans="1:259" ht="15" customHeight="1" x14ac:dyDescent="0.25">
      <c r="A35" s="84">
        <f t="shared" si="81"/>
        <v>0.02</v>
      </c>
      <c r="B35" s="770">
        <v>-9.7492165604759484E-2</v>
      </c>
      <c r="C35" s="771">
        <v>-2.4924015118153529</v>
      </c>
      <c r="D35" s="772">
        <v>-4.9800150197253021E-2</v>
      </c>
      <c r="E35" s="773">
        <v>0.96304193547815453</v>
      </c>
      <c r="F35" s="771">
        <v>-7.5214569056230043E-2</v>
      </c>
      <c r="G35" s="774">
        <v>0.25863680927543103</v>
      </c>
      <c r="H35" s="773">
        <v>0.26600000000000001</v>
      </c>
      <c r="I35" s="771">
        <v>0.52</v>
      </c>
      <c r="J35" s="601">
        <v>4.1130000000000004</v>
      </c>
      <c r="K35" s="426" t="str">
        <f t="shared" si="82"/>
        <v>1313</v>
      </c>
      <c r="L35" s="327"/>
      <c r="M35" s="173">
        <f t="shared" si="1"/>
        <v>4.1130000000000004</v>
      </c>
      <c r="N35" s="21">
        <f t="shared" si="2"/>
        <v>-9.7492165604759484E-2</v>
      </c>
      <c r="O35" s="5">
        <f t="shared" si="3"/>
        <v>-2.4924015118153529</v>
      </c>
      <c r="P35" s="10">
        <f t="shared" si="4"/>
        <v>-4.9800150197253021E-2</v>
      </c>
      <c r="Q35" s="624">
        <f t="shared" si="116"/>
        <v>267.75997433463516</v>
      </c>
      <c r="R35" s="5">
        <f>IF(M35="","",SQRT(N35^2+O35^2))</f>
        <v>2.4943075228314897</v>
      </c>
      <c r="S35" s="6">
        <f>IF(M35="","",P35)</f>
        <v>-4.9800150197253021E-2</v>
      </c>
      <c r="T35" s="4">
        <f>IF(M35="","",X35*COS(RADIANS(W35)))</f>
        <v>-2.4924522169312846</v>
      </c>
      <c r="U35" s="5">
        <f>IF(M35="","",X35*SIN(RADIANS(W35)))</f>
        <v>9.6187134108913538E-2</v>
      </c>
      <c r="V35" s="8">
        <f>IF(M35="","",Y35)</f>
        <v>-4.9800150197253021E-2</v>
      </c>
      <c r="W35" s="624">
        <f t="shared" si="226"/>
        <v>177.78997433030369</v>
      </c>
      <c r="X35" s="5">
        <f>IF(M35="","",R35)</f>
        <v>2.4943075228314897</v>
      </c>
      <c r="Y35" s="7">
        <f t="shared" si="225"/>
        <v>-4.9800150197253021E-2</v>
      </c>
      <c r="Z35" s="21">
        <f t="shared" si="6"/>
        <v>-0.96304193547815453</v>
      </c>
      <c r="AA35" s="5">
        <f t="shared" si="7"/>
        <v>7.5214569056230043E-2</v>
      </c>
      <c r="AB35" s="5">
        <f t="shared" si="8"/>
        <v>-0.25863680927543103</v>
      </c>
      <c r="AC35" s="8">
        <f>IF(M35="","",SQRT(Z35^2+AA35^2+AB35^2))</f>
        <v>1</v>
      </c>
      <c r="AD35" s="9">
        <f>IF(M35="","",Z35*(1/SQRT(Z35^2+AA35^2+AB35^2)))</f>
        <v>-0.96304193547815453</v>
      </c>
      <c r="AE35" s="5">
        <f>IF(M35="","",AA35*(1/SQRT(Z35^2+AA35^2+AB35^2)))</f>
        <v>7.5214569056230043E-2</v>
      </c>
      <c r="AF35" s="10">
        <f>IF(M35="","",AB35*(1/SQRT(Z35^2+AA35^2+AB35^2)))</f>
        <v>-0.25863680927543103</v>
      </c>
      <c r="AG35" s="622">
        <f>IF(M35="","",DEGREES(ATAN2(-AF35,AE35)))</f>
        <v>16.215040458110384</v>
      </c>
      <c r="AH35" s="623">
        <f>IF(M35="","",DEGREES(ACOS(AD35)))</f>
        <v>164.37431902795032</v>
      </c>
      <c r="AI35" s="624">
        <f>IF(M35="","",DEGREES(-ACOS(-AF35)))</f>
        <v>-75.010809401344844</v>
      </c>
      <c r="AJ35" s="625">
        <f>IF(M35="","",DEGREES(ATAN2(-AE35,AD35)))</f>
        <v>-94.465794126639182</v>
      </c>
      <c r="AK35" s="4">
        <f>IF(M35="","",(COS(RADIANS((90-$Q$8)-W35))*AD35)+(-SIN(RADIANS((90-$Q$8)-W35))*AE35))</f>
        <v>0.96524585886529857</v>
      </c>
      <c r="AL35" s="5">
        <f>IF(M35="","",(SIN(RADIANS((90-$Q$8)-W35))*AD35)+(COS(RADIANS((90-$Q$8)-W35))*AE35))</f>
        <v>-3.7515767767920989E-2</v>
      </c>
      <c r="AM35" s="6">
        <f>IF(M35="","",AF35)</f>
        <v>-0.25863680927543103</v>
      </c>
      <c r="AN35" s="612">
        <f>IF(M35="","",DEGREES(ATAN2(-AM35,AL35)))</f>
        <v>-8.2533011810170525</v>
      </c>
      <c r="AO35" s="613">
        <f t="shared" si="98"/>
        <v>15.149796407940622</v>
      </c>
      <c r="AP35" s="624">
        <f>IF(M35="","",DEGREES(ATAN2(AK35,AL35)))</f>
        <v>-2.2257684612743462</v>
      </c>
      <c r="AQ35" s="625">
        <f t="shared" si="9"/>
        <v>4.9595820520223413</v>
      </c>
      <c r="AS35" s="56">
        <f t="shared" si="119"/>
        <v>-182.21002566969631</v>
      </c>
      <c r="AT35" s="77">
        <f t="shared" si="10"/>
        <v>0.6386621689830142</v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6"/>
        <v>4.1130000000000004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7"/>
        <v/>
      </c>
      <c r="IK35" s="839" t="str">
        <f t="shared" si="68"/>
        <v/>
      </c>
      <c r="IL35" s="791" t="str">
        <f t="shared" si="227"/>
        <v/>
      </c>
      <c r="IM35" s="830"/>
      <c r="IN35" s="5" t="str">
        <f t="shared" si="228"/>
        <v/>
      </c>
      <c r="IO35" s="852"/>
      <c r="IP35" s="9" t="str">
        <f t="shared" si="229"/>
        <v/>
      </c>
      <c r="IQ35" s="5" t="str">
        <f t="shared" si="230"/>
        <v/>
      </c>
      <c r="IR35" s="5" t="str">
        <f t="shared" si="73"/>
        <v/>
      </c>
      <c r="IS35" s="5" t="str">
        <f t="shared" si="231"/>
        <v/>
      </c>
      <c r="IT35" s="791" t="str">
        <f t="shared" si="232"/>
        <v/>
      </c>
      <c r="IU35" s="9" t="str">
        <f t="shared" si="233"/>
        <v/>
      </c>
      <c r="IV35" s="5" t="str">
        <f t="shared" si="234"/>
        <v/>
      </c>
      <c r="IW35" s="5" t="str">
        <f t="shared" si="78"/>
        <v/>
      </c>
      <c r="IX35" s="5" t="str">
        <f t="shared" si="235"/>
        <v/>
      </c>
      <c r="IY35" s="833" t="str">
        <f t="shared" si="236"/>
        <v/>
      </c>
    </row>
    <row r="36" spans="1:259" ht="15" customHeight="1" x14ac:dyDescent="0.25">
      <c r="A36" s="84">
        <f t="shared" si="81"/>
        <v>0.02</v>
      </c>
      <c r="B36" s="770">
        <v>-0.17213756221084806</v>
      </c>
      <c r="C36" s="771">
        <v>-3.1990817839743531</v>
      </c>
      <c r="D36" s="772">
        <v>-0.25200076003429228</v>
      </c>
      <c r="E36" s="773">
        <v>0.94731260625632485</v>
      </c>
      <c r="F36" s="771">
        <v>-0.22568640542976165</v>
      </c>
      <c r="G36" s="774">
        <v>0.22729820155919109</v>
      </c>
      <c r="H36" s="773">
        <v>0.314</v>
      </c>
      <c r="I36" s="771">
        <v>0.52</v>
      </c>
      <c r="J36" s="601">
        <v>4.1189999999999998</v>
      </c>
      <c r="K36" s="426" t="str">
        <f t="shared" si="82"/>
        <v>1613</v>
      </c>
      <c r="L36" s="327"/>
      <c r="M36" s="173">
        <f t="shared" si="1"/>
        <v>4.1189999999999998</v>
      </c>
      <c r="N36" s="21">
        <f t="shared" si="2"/>
        <v>-0.17213756221084806</v>
      </c>
      <c r="O36" s="5">
        <f t="shared" si="3"/>
        <v>-3.1990817839743531</v>
      </c>
      <c r="P36" s="10">
        <f t="shared" si="4"/>
        <v>-0.25200076003429228</v>
      </c>
      <c r="Q36" s="624">
        <f t="shared" si="116"/>
        <v>266.91997445591613</v>
      </c>
      <c r="R36" s="5">
        <f>IF(M36="","",SQRT(N36^2+O36^2))</f>
        <v>3.2037096623883419</v>
      </c>
      <c r="S36" s="6">
        <f>IF(M36="","",P36)</f>
        <v>-0.25200076003429228</v>
      </c>
      <c r="T36" s="4">
        <f>IF(M36="","",X36*COS(RADIANS(W36)))</f>
        <v>-3.1991714764509487</v>
      </c>
      <c r="U36" s="5">
        <f>IF(M36="","",X36*SIN(RADIANS(W36)))</f>
        <v>0.17046250362786397</v>
      </c>
      <c r="V36" s="8">
        <f>IF(M36="","",Y36)</f>
        <v>-0.25200076003429228</v>
      </c>
      <c r="W36" s="624">
        <f t="shared" si="226"/>
        <v>176.94997445158467</v>
      </c>
      <c r="X36" s="5">
        <f>IF(M36="","",R36)</f>
        <v>3.2037096623883419</v>
      </c>
      <c r="Y36" s="7">
        <f t="shared" si="225"/>
        <v>-0.25200076003429228</v>
      </c>
      <c r="Z36" s="21">
        <f t="shared" si="6"/>
        <v>-0.94731260625632485</v>
      </c>
      <c r="AA36" s="5">
        <f t="shared" si="7"/>
        <v>0.22568640542976165</v>
      </c>
      <c r="AB36" s="5">
        <f t="shared" si="8"/>
        <v>-0.22729820155919109</v>
      </c>
      <c r="AC36" s="8">
        <f>IF(M36="","",SQRT(Z36^2+AA36^2+AB36^2))</f>
        <v>1</v>
      </c>
      <c r="AD36" s="9">
        <f>IF(M36="","",Z36*(1/SQRT(Z36^2+AA36^2+AB36^2)))</f>
        <v>-0.94731260625632485</v>
      </c>
      <c r="AE36" s="5">
        <f>IF(M36="","",AA36*(1/SQRT(Z36^2+AA36^2+AB36^2)))</f>
        <v>0.22568640542976165</v>
      </c>
      <c r="AF36" s="10">
        <f>IF(M36="","",AB36*(1/SQRT(Z36^2+AA36^2+AB36^2)))</f>
        <v>-0.22729820155919109</v>
      </c>
      <c r="AG36" s="622">
        <f>IF(M36="","",DEGREES(ATAN2(-AF36,AE36)))</f>
        <v>44.796132750431042</v>
      </c>
      <c r="AH36" s="623">
        <f>IF(M36="","",DEGREES(ACOS(AD36)))</f>
        <v>161.3182954491848</v>
      </c>
      <c r="AI36" s="624">
        <f>IF(M36="","",DEGREES(-ACOS(-AF36)))</f>
        <v>-76.861942417748622</v>
      </c>
      <c r="AJ36" s="625">
        <f>IF(M36="","",DEGREES(ATAN2(-AE36,AD36)))</f>
        <v>-103.40026951432286</v>
      </c>
      <c r="AK36" s="4">
        <f>IF(M36="","",(COS(RADIANS((90-$Q$8)-W36))*AD36)+(-SIN(RADIANS((90-$Q$8)-W36))*AE36))</f>
        <v>0.95807046627642478</v>
      </c>
      <c r="AL36" s="5">
        <f>IF(M36="","",(SIN(RADIANS((90-$Q$8)-W36))*AD36)+(COS(RADIANS((90-$Q$8)-W36))*AE36))</f>
        <v>-0.17446062368578086</v>
      </c>
      <c r="AM36" s="6">
        <f>IF(M36="","",AF36)</f>
        <v>-0.22729820155919109</v>
      </c>
      <c r="AN36" s="612">
        <f>IF(M36="","",DEGREES(ATAN2(-AM36,AL36)))</f>
        <v>-37.507706664596256</v>
      </c>
      <c r="AO36" s="613">
        <f t="shared" si="98"/>
        <v>16.650486552729664</v>
      </c>
      <c r="AP36" s="624">
        <f>IF(M36="","",DEGREES(ATAN2(AK36,AL36)))</f>
        <v>-10.320243970238986</v>
      </c>
      <c r="AQ36" s="625">
        <f t="shared" si="9"/>
        <v>3.865173715322431</v>
      </c>
      <c r="AS36" s="56">
        <f t="shared" si="119"/>
        <v>-183.05002554841533</v>
      </c>
      <c r="AT36" s="77">
        <f t="shared" si="10"/>
        <v>0.4396348920211357</v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6"/>
        <v>4.1189999999999998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7"/>
        <v/>
      </c>
      <c r="IK36" s="839" t="str">
        <f t="shared" si="68"/>
        <v/>
      </c>
      <c r="IL36" s="791" t="str">
        <f t="shared" si="227"/>
        <v/>
      </c>
      <c r="IM36" s="830"/>
      <c r="IN36" s="5" t="str">
        <f t="shared" si="228"/>
        <v/>
      </c>
      <c r="IO36" s="852"/>
      <c r="IP36" s="9" t="str">
        <f t="shared" si="229"/>
        <v/>
      </c>
      <c r="IQ36" s="5" t="str">
        <f t="shared" si="230"/>
        <v/>
      </c>
      <c r="IR36" s="5" t="str">
        <f t="shared" si="73"/>
        <v/>
      </c>
      <c r="IS36" s="5" t="str">
        <f t="shared" si="231"/>
        <v/>
      </c>
      <c r="IT36" s="791" t="str">
        <f t="shared" si="232"/>
        <v/>
      </c>
      <c r="IU36" s="9" t="str">
        <f t="shared" si="233"/>
        <v/>
      </c>
      <c r="IV36" s="5" t="str">
        <f t="shared" si="234"/>
        <v/>
      </c>
      <c r="IW36" s="5" t="str">
        <f t="shared" si="78"/>
        <v/>
      </c>
      <c r="IX36" s="5" t="str">
        <f t="shared" si="235"/>
        <v/>
      </c>
      <c r="IY36" s="833" t="str">
        <f t="shared" si="236"/>
        <v/>
      </c>
    </row>
    <row r="37" spans="1:259" ht="15" customHeight="1" x14ac:dyDescent="0.25">
      <c r="A37" s="84">
        <f t="shared" si="81"/>
        <v>0.02</v>
      </c>
      <c r="B37" s="770">
        <v>-0.26851922915784826</v>
      </c>
      <c r="C37" s="771">
        <v>-3.7924172005688912</v>
      </c>
      <c r="D37" s="772">
        <v>-0.75890228884930355</v>
      </c>
      <c r="E37" s="773">
        <v>0.92191032793940697</v>
      </c>
      <c r="F37" s="771">
        <v>-0.35657047611554521</v>
      </c>
      <c r="G37" s="774">
        <v>0.15145574535615486</v>
      </c>
      <c r="H37" s="773">
        <v>0.314</v>
      </c>
      <c r="I37" s="771">
        <v>0.52</v>
      </c>
      <c r="J37" s="601">
        <v>4.125</v>
      </c>
      <c r="K37" s="426" t="str">
        <f t="shared" si="82"/>
        <v>1613</v>
      </c>
      <c r="L37" s="327"/>
      <c r="M37" s="173">
        <f t="shared" si="1"/>
        <v>4.125</v>
      </c>
      <c r="N37" s="21">
        <f t="shared" si="2"/>
        <v>-0.26851922915784826</v>
      </c>
      <c r="O37" s="5">
        <f t="shared" si="3"/>
        <v>-3.7924172005688912</v>
      </c>
      <c r="P37" s="10">
        <f t="shared" si="4"/>
        <v>-0.75890228884930355</v>
      </c>
      <c r="Q37" s="624">
        <f t="shared" si="116"/>
        <v>265.94997459596675</v>
      </c>
      <c r="R37" s="5">
        <f t="shared" si="83"/>
        <v>3.8019114665649845</v>
      </c>
      <c r="S37" s="6">
        <f t="shared" si="84"/>
        <v>-0.75890228884930355</v>
      </c>
      <c r="T37" s="4">
        <f t="shared" si="85"/>
        <v>-3.7925572770255869</v>
      </c>
      <c r="U37" s="5">
        <f t="shared" si="86"/>
        <v>0.26653348772448354</v>
      </c>
      <c r="V37" s="8">
        <f t="shared" si="117"/>
        <v>-0.75890228884930355</v>
      </c>
      <c r="W37" s="624">
        <f t="shared" si="226"/>
        <v>175.97997459163528</v>
      </c>
      <c r="X37" s="5">
        <f t="shared" si="87"/>
        <v>3.8019114665649845</v>
      </c>
      <c r="Y37" s="7">
        <f t="shared" si="225"/>
        <v>-0.75890228884930355</v>
      </c>
      <c r="Z37" s="21">
        <f t="shared" si="6"/>
        <v>-0.92191032793940697</v>
      </c>
      <c r="AA37" s="5">
        <f t="shared" si="7"/>
        <v>0.35657047611554521</v>
      </c>
      <c r="AB37" s="5">
        <f t="shared" si="8"/>
        <v>-0.15145574535615486</v>
      </c>
      <c r="AC37" s="8">
        <f t="shared" si="88"/>
        <v>1</v>
      </c>
      <c r="AD37" s="9">
        <f t="shared" si="118"/>
        <v>-0.92191032793940697</v>
      </c>
      <c r="AE37" s="5">
        <f t="shared" si="89"/>
        <v>0.35657047611554521</v>
      </c>
      <c r="AF37" s="10">
        <f t="shared" si="90"/>
        <v>-0.15145574535615486</v>
      </c>
      <c r="AG37" s="622">
        <f t="shared" si="91"/>
        <v>66.986310040459315</v>
      </c>
      <c r="AH37" s="623">
        <f t="shared" si="92"/>
        <v>157.20697622862696</v>
      </c>
      <c r="AI37" s="624">
        <f t="shared" si="93"/>
        <v>-81.288701442879628</v>
      </c>
      <c r="AJ37" s="625">
        <f t="shared" si="94"/>
        <v>-111.14514913760378</v>
      </c>
      <c r="AK37" s="4">
        <f t="shared" si="213"/>
        <v>0.94479175699792994</v>
      </c>
      <c r="AL37" s="5">
        <f t="shared" si="95"/>
        <v>-0.2905678803780215</v>
      </c>
      <c r="AM37" s="6">
        <f t="shared" si="96"/>
        <v>-0.15145574535615486</v>
      </c>
      <c r="AN37" s="612">
        <f t="shared" si="97"/>
        <v>-62.469649806807098</v>
      </c>
      <c r="AO37" s="613">
        <f t="shared" si="98"/>
        <v>19.127498777074774</v>
      </c>
      <c r="AP37" s="624">
        <f t="shared" si="99"/>
        <v>-17.095123733570546</v>
      </c>
      <c r="AQ37" s="625">
        <f t="shared" si="9"/>
        <v>3.2584503661811577</v>
      </c>
      <c r="AS37" s="56">
        <f t="shared" si="119"/>
        <v>-184.02002540836472</v>
      </c>
      <c r="AT37" s="77">
        <f t="shared" si="10"/>
        <v>-6.360219287851121E-2</v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6"/>
        <v>4.125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7"/>
        <v/>
      </c>
      <c r="IK37" s="839" t="str">
        <f t="shared" si="68"/>
        <v/>
      </c>
      <c r="IL37" s="791" t="str">
        <f t="shared" si="227"/>
        <v/>
      </c>
      <c r="IM37" s="830"/>
      <c r="IN37" s="5" t="str">
        <f t="shared" si="228"/>
        <v/>
      </c>
      <c r="IO37" s="852"/>
      <c r="IP37" s="9" t="str">
        <f t="shared" si="229"/>
        <v/>
      </c>
      <c r="IQ37" s="5" t="str">
        <f t="shared" si="230"/>
        <v/>
      </c>
      <c r="IR37" s="5" t="str">
        <f t="shared" si="73"/>
        <v/>
      </c>
      <c r="IS37" s="5" t="str">
        <f t="shared" si="231"/>
        <v/>
      </c>
      <c r="IT37" s="791" t="str">
        <f t="shared" si="232"/>
        <v/>
      </c>
      <c r="IU37" s="9" t="str">
        <f t="shared" si="233"/>
        <v/>
      </c>
      <c r="IV37" s="5" t="str">
        <f t="shared" si="234"/>
        <v/>
      </c>
      <c r="IW37" s="5" t="str">
        <f t="shared" si="78"/>
        <v/>
      </c>
      <c r="IX37" s="5" t="str">
        <f t="shared" si="235"/>
        <v/>
      </c>
      <c r="IY37" s="833" t="str">
        <f t="shared" si="236"/>
        <v/>
      </c>
    </row>
    <row r="38" spans="1:259" ht="15" customHeight="1" x14ac:dyDescent="0.25">
      <c r="A38" s="84">
        <f t="shared" si="81"/>
        <v>0.02</v>
      </c>
      <c r="B38" s="770">
        <v>-0.32293957026682779</v>
      </c>
      <c r="C38" s="771">
        <v>-4.0670110001880877</v>
      </c>
      <c r="D38" s="772">
        <v>-1.4921045001871727</v>
      </c>
      <c r="E38" s="773">
        <v>0.90033915057313763</v>
      </c>
      <c r="F38" s="771">
        <v>-0.43344620784590354</v>
      </c>
      <c r="G38" s="774">
        <v>3.8907568020205216E-2</v>
      </c>
      <c r="H38" s="773">
        <v>0.314</v>
      </c>
      <c r="I38" s="771">
        <v>0.52</v>
      </c>
      <c r="J38" s="601">
        <v>4.1310000000000002</v>
      </c>
      <c r="K38" s="426" t="str">
        <f t="shared" si="82"/>
        <v>1613</v>
      </c>
      <c r="L38" s="327"/>
      <c r="M38" s="173">
        <f t="shared" si="1"/>
        <v>4.1310000000000002</v>
      </c>
      <c r="N38" s="21">
        <f t="shared" si="2"/>
        <v>-0.32293957026682779</v>
      </c>
      <c r="O38" s="5">
        <f t="shared" si="3"/>
        <v>-4.0670110001880877</v>
      </c>
      <c r="P38" s="10">
        <f t="shared" si="4"/>
        <v>-1.4921045001871727</v>
      </c>
      <c r="Q38" s="624">
        <f t="shared" si="116"/>
        <v>265.459974666714</v>
      </c>
      <c r="R38" s="5">
        <f t="shared" si="83"/>
        <v>4.0798123047139114</v>
      </c>
      <c r="S38" s="6">
        <f t="shared" si="84"/>
        <v>-1.4921045001871727</v>
      </c>
      <c r="T38" s="4">
        <f t="shared" si="85"/>
        <v>-4.0671795334226273</v>
      </c>
      <c r="U38" s="5">
        <f t="shared" si="86"/>
        <v>0.32081004442370165</v>
      </c>
      <c r="V38" s="8">
        <f t="shared" si="117"/>
        <v>-1.4921045001871727</v>
      </c>
      <c r="W38" s="624">
        <f t="shared" si="226"/>
        <v>175.48997466238254</v>
      </c>
      <c r="X38" s="5">
        <f t="shared" si="87"/>
        <v>4.0798123047139114</v>
      </c>
      <c r="Y38" s="7">
        <f t="shared" si="225"/>
        <v>-1.4921045001871727</v>
      </c>
      <c r="Z38" s="21">
        <f t="shared" si="6"/>
        <v>-0.90033915057313763</v>
      </c>
      <c r="AA38" s="5">
        <f t="shared" si="7"/>
        <v>0.43344620784590354</v>
      </c>
      <c r="AB38" s="5">
        <f t="shared" si="8"/>
        <v>-3.8907568020205216E-2</v>
      </c>
      <c r="AC38" s="8">
        <f t="shared" si="88"/>
        <v>1</v>
      </c>
      <c r="AD38" s="9">
        <f t="shared" si="118"/>
        <v>-0.90033915057313763</v>
      </c>
      <c r="AE38" s="5">
        <f t="shared" si="89"/>
        <v>0.43344620784590354</v>
      </c>
      <c r="AF38" s="10">
        <f t="shared" si="90"/>
        <v>-3.8907568020205216E-2</v>
      </c>
      <c r="AG38" s="622">
        <f t="shared" si="91"/>
        <v>84.870687877432005</v>
      </c>
      <c r="AH38" s="623">
        <f t="shared" si="92"/>
        <v>154.20268293566636</v>
      </c>
      <c r="AI38" s="624">
        <f t="shared" si="93"/>
        <v>-87.770197741158455</v>
      </c>
      <c r="AJ38" s="625">
        <f t="shared" si="94"/>
        <v>-115.70734893616971</v>
      </c>
      <c r="AK38" s="4">
        <f t="shared" si="213"/>
        <v>0.93182378929147258</v>
      </c>
      <c r="AL38" s="5">
        <f t="shared" si="95"/>
        <v>-0.36081938260192514</v>
      </c>
      <c r="AM38" s="6">
        <f t="shared" si="96"/>
        <v>-3.8907568020205216E-2</v>
      </c>
      <c r="AN38" s="612">
        <f t="shared" si="97"/>
        <v>-83.845510729548579</v>
      </c>
      <c r="AO38" s="613">
        <f t="shared" si="98"/>
        <v>21.279081187609933</v>
      </c>
      <c r="AP38" s="624">
        <f t="shared" si="99"/>
        <v>-21.167323602883702</v>
      </c>
      <c r="AQ38" s="625">
        <f t="shared" si="9"/>
        <v>3.0369281019973546</v>
      </c>
      <c r="AS38" s="56">
        <f t="shared" si="119"/>
        <v>-184.51002533761746</v>
      </c>
      <c r="AT38" s="77">
        <f t="shared" si="10"/>
        <v>-0.79495329337253662</v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6"/>
        <v>4.1310000000000002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7"/>
        <v/>
      </c>
      <c r="IK38" s="839" t="str">
        <f t="shared" si="68"/>
        <v/>
      </c>
      <c r="IL38" s="791" t="str">
        <f t="shared" si="227"/>
        <v/>
      </c>
      <c r="IM38" s="830"/>
      <c r="IN38" s="5" t="str">
        <f t="shared" si="228"/>
        <v/>
      </c>
      <c r="IO38" s="852"/>
      <c r="IP38" s="9" t="str">
        <f t="shared" si="229"/>
        <v/>
      </c>
      <c r="IQ38" s="5" t="str">
        <f t="shared" si="230"/>
        <v/>
      </c>
      <c r="IR38" s="5" t="str">
        <f t="shared" si="73"/>
        <v/>
      </c>
      <c r="IS38" s="5" t="str">
        <f t="shared" si="231"/>
        <v/>
      </c>
      <c r="IT38" s="791" t="str">
        <f t="shared" si="232"/>
        <v/>
      </c>
      <c r="IU38" s="9" t="str">
        <f t="shared" si="233"/>
        <v/>
      </c>
      <c r="IV38" s="5" t="str">
        <f t="shared" si="234"/>
        <v/>
      </c>
      <c r="IW38" s="5" t="str">
        <f t="shared" si="78"/>
        <v/>
      </c>
      <c r="IX38" s="5" t="str">
        <f t="shared" si="235"/>
        <v/>
      </c>
      <c r="IY38" s="833" t="str">
        <f t="shared" si="236"/>
        <v/>
      </c>
    </row>
    <row r="39" spans="1:259" ht="15" customHeight="1" x14ac:dyDescent="0.25">
      <c r="A39" s="84">
        <f t="shared" si="81"/>
        <v>0.02</v>
      </c>
      <c r="B39" s="770">
        <v>-0.3332748960589289</v>
      </c>
      <c r="C39" s="771">
        <v>-4.1152392830285658</v>
      </c>
      <c r="D39" s="772">
        <v>-2.2659068339750115</v>
      </c>
      <c r="E39" s="773">
        <v>0.82283872525184432</v>
      </c>
      <c r="F39" s="771">
        <v>-0.56827496181505932</v>
      </c>
      <c r="G39" s="774">
        <v>1.1339743344435707E-7</v>
      </c>
      <c r="H39" s="773">
        <v>0.314</v>
      </c>
      <c r="I39" s="771">
        <v>0.52</v>
      </c>
      <c r="J39" s="601">
        <v>4.1369999999999996</v>
      </c>
      <c r="K39" s="426" t="str">
        <f t="shared" si="82"/>
        <v>1613</v>
      </c>
      <c r="L39" s="327"/>
      <c r="M39" s="173">
        <f t="shared" si="1"/>
        <v>4.1369999999999996</v>
      </c>
      <c r="N39" s="21">
        <f t="shared" si="2"/>
        <v>-0.3332748960589289</v>
      </c>
      <c r="O39" s="5">
        <f t="shared" si="3"/>
        <v>-4.1152392830285658</v>
      </c>
      <c r="P39" s="10">
        <f t="shared" si="4"/>
        <v>-2.2659068339750115</v>
      </c>
      <c r="Q39" s="624">
        <f t="shared" si="116"/>
        <v>265.36997467970843</v>
      </c>
      <c r="R39" s="5">
        <f t="shared" si="83"/>
        <v>4.1287124521967566</v>
      </c>
      <c r="S39" s="6">
        <f t="shared" si="84"/>
        <v>-2.2659068339750115</v>
      </c>
      <c r="T39" s="4">
        <f t="shared" si="85"/>
        <v>-4.1154132212149799</v>
      </c>
      <c r="U39" s="5">
        <f t="shared" si="86"/>
        <v>0.33112011653401163</v>
      </c>
      <c r="V39" s="8">
        <f t="shared" si="117"/>
        <v>-2.2659068339750115</v>
      </c>
      <c r="W39" s="624">
        <f t="shared" si="226"/>
        <v>175.39997467537697</v>
      </c>
      <c r="X39" s="5">
        <f t="shared" si="87"/>
        <v>4.1287124521967566</v>
      </c>
      <c r="Y39" s="7">
        <f t="shared" si="225"/>
        <v>-2.2659068339750115</v>
      </c>
      <c r="Z39" s="21">
        <f t="shared" si="6"/>
        <v>-0.82283872525184432</v>
      </c>
      <c r="AA39" s="5">
        <f t="shared" si="7"/>
        <v>0.56827496181505932</v>
      </c>
      <c r="AB39" s="5">
        <f t="shared" si="8"/>
        <v>-1.1339743344435707E-7</v>
      </c>
      <c r="AC39" s="8">
        <f t="shared" si="88"/>
        <v>1</v>
      </c>
      <c r="AD39" s="9">
        <f t="shared" si="118"/>
        <v>-0.82283872525184432</v>
      </c>
      <c r="AE39" s="5">
        <f t="shared" si="89"/>
        <v>0.56827496181505932</v>
      </c>
      <c r="AF39" s="10">
        <f t="shared" si="90"/>
        <v>-1.1339743344435707E-7</v>
      </c>
      <c r="AG39" s="622">
        <f t="shared" si="91"/>
        <v>89.999988566812235</v>
      </c>
      <c r="AH39" s="623">
        <f t="shared" si="92"/>
        <v>145.36997901117198</v>
      </c>
      <c r="AI39" s="624">
        <f t="shared" si="93"/>
        <v>-89.999993502805651</v>
      </c>
      <c r="AJ39" s="625">
        <f t="shared" si="94"/>
        <v>-124.6300209888275</v>
      </c>
      <c r="AK39" s="4">
        <f t="shared" si="213"/>
        <v>0.86602544158358541</v>
      </c>
      <c r="AL39" s="5">
        <f t="shared" si="95"/>
        <v>-0.49999993452993879</v>
      </c>
      <c r="AM39" s="6">
        <f t="shared" si="96"/>
        <v>-1.1339743344435707E-7</v>
      </c>
      <c r="AN39" s="612">
        <f t="shared" si="97"/>
        <v>-89.999987005609626</v>
      </c>
      <c r="AO39" s="613">
        <f t="shared" si="98"/>
        <v>29.99999566853656</v>
      </c>
      <c r="AP39" s="624">
        <f t="shared" si="99"/>
        <v>-29.999995668535924</v>
      </c>
      <c r="AQ39" s="625">
        <f t="shared" si="9"/>
        <v>3.0010251056735449</v>
      </c>
      <c r="AS39" s="56">
        <f t="shared" si="119"/>
        <v>-184.60002532462303</v>
      </c>
      <c r="AT39" s="77">
        <f t="shared" si="10"/>
        <v>-1.5684156272094656</v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6"/>
        <v>4.1369999999999996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7"/>
        <v/>
      </c>
      <c r="IK39" s="839" t="str">
        <f t="shared" si="68"/>
        <v/>
      </c>
      <c r="IL39" s="791" t="str">
        <f t="shared" si="227"/>
        <v/>
      </c>
      <c r="IM39" s="830"/>
      <c r="IN39" s="5" t="str">
        <f t="shared" si="228"/>
        <v/>
      </c>
      <c r="IO39" s="852"/>
      <c r="IP39" s="9" t="str">
        <f t="shared" si="229"/>
        <v/>
      </c>
      <c r="IQ39" s="5" t="str">
        <f t="shared" si="230"/>
        <v/>
      </c>
      <c r="IR39" s="5" t="str">
        <f t="shared" si="73"/>
        <v/>
      </c>
      <c r="IS39" s="5" t="str">
        <f t="shared" si="231"/>
        <v/>
      </c>
      <c r="IT39" s="791" t="str">
        <f t="shared" si="232"/>
        <v/>
      </c>
      <c r="IU39" s="9" t="str">
        <f t="shared" si="233"/>
        <v/>
      </c>
      <c r="IV39" s="5" t="str">
        <f t="shared" si="234"/>
        <v/>
      </c>
      <c r="IW39" s="5" t="str">
        <f t="shared" si="78"/>
        <v/>
      </c>
      <c r="IX39" s="5" t="str">
        <f t="shared" si="235"/>
        <v/>
      </c>
      <c r="IY39" s="833" t="str">
        <f t="shared" si="236"/>
        <v/>
      </c>
    </row>
    <row r="40" spans="1:259" ht="15" customHeight="1" x14ac:dyDescent="0.25">
      <c r="A40" s="84">
        <f t="shared" si="81"/>
        <v>0.02</v>
      </c>
      <c r="B40" s="770">
        <v>-0.43543896232835566</v>
      </c>
      <c r="C40" s="771">
        <v>-0.25140062655091905</v>
      </c>
      <c r="D40" s="772">
        <v>-0.21990066322040031</v>
      </c>
      <c r="E40" s="773">
        <v>0.50249808822216879</v>
      </c>
      <c r="F40" s="771">
        <v>-0.8252376843211181</v>
      </c>
      <c r="G40" s="774">
        <v>0.25783412440827963</v>
      </c>
      <c r="H40" s="773">
        <v>0.26600000000000001</v>
      </c>
      <c r="I40" s="771">
        <v>0.52</v>
      </c>
      <c r="J40" s="601">
        <v>5.1020000000000003</v>
      </c>
      <c r="K40" s="426" t="str">
        <f t="shared" si="82"/>
        <v>1313</v>
      </c>
      <c r="L40" s="327"/>
      <c r="M40" s="173">
        <f t="shared" si="1"/>
        <v>5.1020000000000003</v>
      </c>
      <c r="N40" s="21">
        <f t="shared" si="2"/>
        <v>-0.43543896232835566</v>
      </c>
      <c r="O40" s="5">
        <f t="shared" si="3"/>
        <v>-0.25140062655091905</v>
      </c>
      <c r="P40" s="10">
        <f t="shared" si="4"/>
        <v>-0.21990066322040031</v>
      </c>
      <c r="Q40" s="624">
        <f t="shared" si="116"/>
        <v>209.99998267414614</v>
      </c>
      <c r="R40" s="5">
        <f t="shared" si="83"/>
        <v>0.50280151644937365</v>
      </c>
      <c r="S40" s="6">
        <f t="shared" si="84"/>
        <v>-0.21990066322040031</v>
      </c>
      <c r="T40" s="4">
        <f t="shared" si="85"/>
        <v>-0.25162858735366195</v>
      </c>
      <c r="U40" s="5">
        <f t="shared" si="86"/>
        <v>0.4353072696041157</v>
      </c>
      <c r="V40" s="8">
        <f t="shared" si="117"/>
        <v>-0.21990066322040031</v>
      </c>
      <c r="W40" s="624">
        <f t="shared" si="226"/>
        <v>120.02998266981467</v>
      </c>
      <c r="X40" s="5">
        <f t="shared" si="87"/>
        <v>0.50280151644937365</v>
      </c>
      <c r="Y40" s="7">
        <f t="shared" si="225"/>
        <v>-0.21990066322040031</v>
      </c>
      <c r="Z40" s="21">
        <f t="shared" si="6"/>
        <v>-0.50249808822216879</v>
      </c>
      <c r="AA40" s="5">
        <f t="shared" si="7"/>
        <v>0.8252376843211181</v>
      </c>
      <c r="AB40" s="5">
        <f t="shared" si="8"/>
        <v>-0.25783412440827963</v>
      </c>
      <c r="AC40" s="8">
        <f t="shared" si="88"/>
        <v>1</v>
      </c>
      <c r="AD40" s="9">
        <f t="shared" si="118"/>
        <v>-0.50249808822216879</v>
      </c>
      <c r="AE40" s="5">
        <f t="shared" si="89"/>
        <v>0.8252376843211181</v>
      </c>
      <c r="AF40" s="10">
        <f t="shared" si="90"/>
        <v>-0.25783412440827963</v>
      </c>
      <c r="AG40" s="622">
        <f t="shared" si="91"/>
        <v>72.649305787597442</v>
      </c>
      <c r="AH40" s="623">
        <f t="shared" si="92"/>
        <v>120.16541026765245</v>
      </c>
      <c r="AI40" s="624">
        <f t="shared" si="93"/>
        <v>-75.058414528502141</v>
      </c>
      <c r="AJ40" s="625">
        <f t="shared" si="94"/>
        <v>-148.66221473630407</v>
      </c>
      <c r="AK40" s="4">
        <f t="shared" si="213"/>
        <v>0.96592583607220739</v>
      </c>
      <c r="AL40" s="5">
        <f t="shared" si="95"/>
        <v>2.2557559682354511E-2</v>
      </c>
      <c r="AM40" s="6">
        <f t="shared" si="96"/>
        <v>-0.25783412440827963</v>
      </c>
      <c r="AN40" s="612">
        <f t="shared" si="97"/>
        <v>4.9999992780894447</v>
      </c>
      <c r="AO40" s="613">
        <f t="shared" si="98"/>
        <v>14.999997834268255</v>
      </c>
      <c r="AP40" s="624">
        <f t="shared" si="99"/>
        <v>1.3378025895497863</v>
      </c>
      <c r="AQ40" s="625">
        <f t="shared" si="9"/>
        <v>23.291365467727037</v>
      </c>
      <c r="AS40" s="56">
        <f t="shared" si="119"/>
        <v>-239.97001733018533</v>
      </c>
      <c r="AT40" s="77">
        <f t="shared" si="10"/>
        <v>0.6867660688994921</v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6"/>
        <v>5.1020000000000003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7"/>
        <v/>
      </c>
      <c r="IK40" s="839" t="str">
        <f t="shared" si="68"/>
        <v/>
      </c>
      <c r="IL40" s="791" t="str">
        <f t="shared" si="227"/>
        <v/>
      </c>
      <c r="IM40" s="830"/>
      <c r="IN40" s="5" t="str">
        <f t="shared" si="228"/>
        <v/>
      </c>
      <c r="IO40" s="852"/>
      <c r="IP40" s="9" t="str">
        <f t="shared" si="229"/>
        <v/>
      </c>
      <c r="IQ40" s="5" t="str">
        <f t="shared" si="230"/>
        <v/>
      </c>
      <c r="IR40" s="5" t="str">
        <f t="shared" si="73"/>
        <v/>
      </c>
      <c r="IS40" s="5" t="str">
        <f t="shared" si="231"/>
        <v/>
      </c>
      <c r="IT40" s="791" t="str">
        <f t="shared" si="232"/>
        <v/>
      </c>
      <c r="IU40" s="9" t="str">
        <f t="shared" si="233"/>
        <v/>
      </c>
      <c r="IV40" s="5" t="str">
        <f t="shared" si="234"/>
        <v/>
      </c>
      <c r="IW40" s="5" t="str">
        <f t="shared" si="78"/>
        <v/>
      </c>
      <c r="IX40" s="5" t="str">
        <f t="shared" si="235"/>
        <v/>
      </c>
      <c r="IY40" s="833" t="str">
        <f t="shared" si="236"/>
        <v/>
      </c>
    </row>
    <row r="41" spans="1:259" ht="15" customHeight="1" x14ac:dyDescent="0.25">
      <c r="A41" s="84">
        <f t="shared" si="81"/>
        <v>0.02</v>
      </c>
      <c r="B41" s="770">
        <v>-0.97532092158749828</v>
      </c>
      <c r="C41" s="771">
        <v>-0.56310140338433778</v>
      </c>
      <c r="D41" s="772">
        <v>-0.16540049884790453</v>
      </c>
      <c r="E41" s="773">
        <v>0.50249808822216868</v>
      </c>
      <c r="F41" s="771">
        <v>-0.8252376843211181</v>
      </c>
      <c r="G41" s="774">
        <v>0.25783412440827963</v>
      </c>
      <c r="H41" s="773">
        <v>0.26600000000000001</v>
      </c>
      <c r="I41" s="771">
        <v>0.52</v>
      </c>
      <c r="J41" s="601">
        <v>5.1050000000000004</v>
      </c>
      <c r="K41" s="426" t="str">
        <f t="shared" si="82"/>
        <v>1313</v>
      </c>
      <c r="L41" s="327"/>
      <c r="M41" s="173">
        <f t="shared" ref="M41:M72" si="241">IF(J41="","",VALUE(J41))</f>
        <v>5.1050000000000004</v>
      </c>
      <c r="N41" s="21">
        <f t="shared" ref="N41:N72" si="242">IF(M41="","",B41)</f>
        <v>-0.97532092158749828</v>
      </c>
      <c r="O41" s="5">
        <f t="shared" ref="O41:O72" si="243">IF(M41="","",C41)</f>
        <v>-0.56310140338433778</v>
      </c>
      <c r="P41" s="10">
        <f t="shared" ref="P41:P72" si="244">IF(M41="","",D41)</f>
        <v>-0.16540049884790453</v>
      </c>
      <c r="Q41" s="624">
        <f t="shared" si="116"/>
        <v>209.99998267414614</v>
      </c>
      <c r="R41" s="5">
        <f t="shared" si="83"/>
        <v>1.1262033966294445</v>
      </c>
      <c r="S41" s="6">
        <f t="shared" si="84"/>
        <v>-0.16540049884790453</v>
      </c>
      <c r="T41" s="4">
        <f t="shared" si="85"/>
        <v>-0.56361200293893021</v>
      </c>
      <c r="U41" s="5">
        <f t="shared" si="86"/>
        <v>0.97502594874334758</v>
      </c>
      <c r="V41" s="8">
        <f t="shared" si="117"/>
        <v>-0.16540049884790453</v>
      </c>
      <c r="W41" s="624">
        <f t="shared" si="226"/>
        <v>120.02998266981467</v>
      </c>
      <c r="X41" s="5">
        <f t="shared" si="87"/>
        <v>1.1262033966294445</v>
      </c>
      <c r="Y41" s="7">
        <f t="shared" si="225"/>
        <v>-0.16540049884790453</v>
      </c>
      <c r="Z41" s="21">
        <f t="shared" ref="Z41:Z72" si="245">IF(M41="","",-E41)</f>
        <v>-0.50249808822216868</v>
      </c>
      <c r="AA41" s="5">
        <f t="shared" ref="AA41:AA72" si="246">IF(M41="","",-F41)</f>
        <v>0.8252376843211181</v>
      </c>
      <c r="AB41" s="5">
        <f t="shared" ref="AB41:AB72" si="247">IF(M41="","",-G41)</f>
        <v>-0.25783412440827963</v>
      </c>
      <c r="AC41" s="8">
        <f t="shared" si="88"/>
        <v>1</v>
      </c>
      <c r="AD41" s="9">
        <f t="shared" si="118"/>
        <v>-0.50249808822216868</v>
      </c>
      <c r="AE41" s="5">
        <f t="shared" si="89"/>
        <v>0.8252376843211181</v>
      </c>
      <c r="AF41" s="10">
        <f t="shared" si="90"/>
        <v>-0.25783412440827963</v>
      </c>
      <c r="AG41" s="622">
        <f t="shared" si="91"/>
        <v>72.649305787597442</v>
      </c>
      <c r="AH41" s="623">
        <f t="shared" si="92"/>
        <v>120.16541026765245</v>
      </c>
      <c r="AI41" s="624">
        <f t="shared" si="93"/>
        <v>-75.058414528502141</v>
      </c>
      <c r="AJ41" s="625">
        <f t="shared" si="94"/>
        <v>-148.66221473630407</v>
      </c>
      <c r="AK41" s="4">
        <f t="shared" si="213"/>
        <v>0.96592583607220739</v>
      </c>
      <c r="AL41" s="5">
        <f t="shared" si="95"/>
        <v>2.25575596823544E-2</v>
      </c>
      <c r="AM41" s="6">
        <f t="shared" si="96"/>
        <v>-0.25783412440827963</v>
      </c>
      <c r="AN41" s="612">
        <f t="shared" si="97"/>
        <v>4.9999992780894198</v>
      </c>
      <c r="AO41" s="613">
        <f t="shared" si="98"/>
        <v>14.999997834268255</v>
      </c>
      <c r="AP41" s="624">
        <f t="shared" si="99"/>
        <v>1.3378025895497796</v>
      </c>
      <c r="AQ41" s="625">
        <f t="shared" ref="AQ41:AQ72" si="248">IF(M41="","",DEGREES(ATAN(($AS$5*SIN(RADIANS(90)))/(($X41*2*PI())-($AS$5*COS(RADIANS(90)))))))</f>
        <v>10.879303384272372</v>
      </c>
      <c r="AS41" s="56">
        <f t="shared" si="119"/>
        <v>-239.97001733018533</v>
      </c>
      <c r="AT41" s="77">
        <f t="shared" ref="AT41:AT72" si="249">IF(M41="","",Y41+(((AS41-$AS$9)*$AS$6)*-1))</f>
        <v>0.74126623327198782</v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4">M41</f>
        <v>5.1050000000000004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5">IF(ISNUMBER($II41),INDEX($K$9:$K$150,MATCH($II41,$M$9:$M$150,0)),"")</f>
        <v/>
      </c>
      <c r="IK41" s="839" t="str">
        <f t="shared" ref="IK41:IK72" si="386">IF(ISNUMBER($II41),INDEX($K$9:$K$150,MATCH($IG41,$M$9:$M$150,0)),"")</f>
        <v/>
      </c>
      <c r="IL41" s="791" t="str">
        <f t="shared" si="227"/>
        <v/>
      </c>
      <c r="IM41" s="830"/>
      <c r="IN41" s="5" t="str">
        <f t="shared" si="228"/>
        <v/>
      </c>
      <c r="IO41" s="852"/>
      <c r="IP41" s="9" t="str">
        <f t="shared" si="229"/>
        <v/>
      </c>
      <c r="IQ41" s="5" t="str">
        <f t="shared" si="230"/>
        <v/>
      </c>
      <c r="IR41" s="5" t="str">
        <f t="shared" ref="IR41:IR72" si="387">IF(ISNUMBER($II41),INDEX($H$9:$H$150,MATCH($II41,$M$9:$M$150,0)),"")</f>
        <v/>
      </c>
      <c r="IS41" s="5" t="str">
        <f t="shared" si="231"/>
        <v/>
      </c>
      <c r="IT41" s="791" t="str">
        <f t="shared" si="232"/>
        <v/>
      </c>
      <c r="IU41" s="9" t="str">
        <f t="shared" si="233"/>
        <v/>
      </c>
      <c r="IV41" s="5" t="str">
        <f t="shared" si="234"/>
        <v/>
      </c>
      <c r="IW41" s="5" t="str">
        <f t="shared" ref="IW41:IW72" si="388">IF(ISNUMBER($II41),$H41,"")</f>
        <v/>
      </c>
      <c r="IX41" s="5" t="str">
        <f t="shared" si="235"/>
        <v/>
      </c>
      <c r="IY41" s="833" t="str">
        <f t="shared" si="236"/>
        <v/>
      </c>
    </row>
    <row r="42" spans="1:259" ht="15" customHeight="1" x14ac:dyDescent="0.25">
      <c r="A42" s="84">
        <f t="shared" si="81"/>
        <v>0.02</v>
      </c>
      <c r="B42" s="770">
        <v>-1.5152028808466409</v>
      </c>
      <c r="C42" s="771">
        <v>-0.87480218021775635</v>
      </c>
      <c r="D42" s="772">
        <v>-0.11090033447540877</v>
      </c>
      <c r="E42" s="773">
        <v>0.50249808822216868</v>
      </c>
      <c r="F42" s="771">
        <v>-0.82523768432111821</v>
      </c>
      <c r="G42" s="774">
        <v>0.25783412440827969</v>
      </c>
      <c r="H42" s="773">
        <v>0.26600000000000001</v>
      </c>
      <c r="I42" s="771">
        <v>0.52</v>
      </c>
      <c r="J42" s="601">
        <v>5.1079999999999997</v>
      </c>
      <c r="K42" s="426" t="str">
        <f t="shared" si="82"/>
        <v>1313</v>
      </c>
      <c r="L42" s="327"/>
      <c r="M42" s="173">
        <f t="shared" si="241"/>
        <v>5.1079999999999997</v>
      </c>
      <c r="N42" s="21">
        <f t="shared" si="242"/>
        <v>-1.5152028808466409</v>
      </c>
      <c r="O42" s="5">
        <f t="shared" si="243"/>
        <v>-0.87480218021775635</v>
      </c>
      <c r="P42" s="10">
        <f t="shared" si="244"/>
        <v>-0.11090033447540877</v>
      </c>
      <c r="Q42" s="624">
        <f t="shared" si="116"/>
        <v>209.99998267414614</v>
      </c>
      <c r="R42" s="5">
        <f t="shared" ref="R42:R47" si="389">IF(M42="","",SQRT(N42^2+O42^2))</f>
        <v>1.7496052768095149</v>
      </c>
      <c r="S42" s="6">
        <f t="shared" ref="S42:S47" si="390">IF(M42="","",P42)</f>
        <v>-0.11090033447540877</v>
      </c>
      <c r="T42" s="4">
        <f t="shared" ref="T42:T47" si="391">IF(M42="","",X42*COS(RADIANS(W42)))</f>
        <v>-0.87559541852419842</v>
      </c>
      <c r="U42" s="5">
        <f t="shared" ref="U42:U47" si="392">IF(M42="","",X42*SIN(RADIANS(W42)))</f>
        <v>1.5147446278825791</v>
      </c>
      <c r="V42" s="8">
        <f t="shared" ref="V42:V47" si="393">IF(M42="","",Y42)</f>
        <v>-0.11090033447540877</v>
      </c>
      <c r="W42" s="624">
        <f t="shared" si="226"/>
        <v>120.02998266981467</v>
      </c>
      <c r="X42" s="5">
        <f t="shared" ref="X42:X47" si="394">IF(M42="","",R42)</f>
        <v>1.7496052768095149</v>
      </c>
      <c r="Y42" s="7">
        <f t="shared" si="225"/>
        <v>-0.11090033447540877</v>
      </c>
      <c r="Z42" s="21">
        <f t="shared" si="245"/>
        <v>-0.50249808822216868</v>
      </c>
      <c r="AA42" s="5">
        <f t="shared" si="246"/>
        <v>0.82523768432111821</v>
      </c>
      <c r="AB42" s="5">
        <f t="shared" si="247"/>
        <v>-0.25783412440827969</v>
      </c>
      <c r="AC42" s="8">
        <f t="shared" ref="AC42:AC47" si="395">IF(M42="","",SQRT(Z42^2+AA42^2+AB42^2))</f>
        <v>1</v>
      </c>
      <c r="AD42" s="9">
        <f t="shared" ref="AD42:AD47" si="396">IF(M42="","",Z42*(1/SQRT(Z42^2+AA42^2+AB42^2)))</f>
        <v>-0.50249808822216868</v>
      </c>
      <c r="AE42" s="5">
        <f t="shared" ref="AE42:AE47" si="397">IF(M42="","",AA42*(1/SQRT(Z42^2+AA42^2+AB42^2)))</f>
        <v>0.82523768432111821</v>
      </c>
      <c r="AF42" s="10">
        <f t="shared" ref="AF42:AF47" si="398">IF(M42="","",AB42*(1/SQRT(Z42^2+AA42^2+AB42^2)))</f>
        <v>-0.25783412440827969</v>
      </c>
      <c r="AG42" s="622">
        <f t="shared" ref="AG42:AG47" si="399">IF(M42="","",DEGREES(ATAN2(-AF42,AE42)))</f>
        <v>72.649305787597442</v>
      </c>
      <c r="AH42" s="623">
        <f t="shared" ref="AH42:AH47" si="400">IF(M42="","",DEGREES(ACOS(AD42)))</f>
        <v>120.16541026765245</v>
      </c>
      <c r="AI42" s="624">
        <f t="shared" ref="AI42:AI47" si="401">IF(M42="","",DEGREES(-ACOS(-AF42)))</f>
        <v>-75.058414528502141</v>
      </c>
      <c r="AJ42" s="625">
        <f t="shared" ref="AJ42:AJ47" si="402">IF(M42="","",DEGREES(ATAN2(-AE42,AD42)))</f>
        <v>-148.66221473630407</v>
      </c>
      <c r="AK42" s="4">
        <f t="shared" ref="AK42:AK47" si="403">IF(M42="","",(COS(RADIANS((90-$Q$8)-W42))*AD42)+(-SIN(RADIANS((90-$Q$8)-W42))*AE42))</f>
        <v>0.9659258360722075</v>
      </c>
      <c r="AL42" s="5">
        <f t="shared" ref="AL42:AL47" si="404">IF(M42="","",(SIN(RADIANS((90-$Q$8)-W42))*AD42)+(COS(RADIANS((90-$Q$8)-W42))*AE42))</f>
        <v>2.2557559682354344E-2</v>
      </c>
      <c r="AM42" s="6">
        <f t="shared" ref="AM42:AM47" si="405">IF(M42="","",AF42)</f>
        <v>-0.25783412440827969</v>
      </c>
      <c r="AN42" s="612">
        <f t="shared" ref="AN42:AN47" si="406">IF(M42="","",DEGREES(ATAN2(-AM42,AL42)))</f>
        <v>4.9999992780894065</v>
      </c>
      <c r="AO42" s="613">
        <f t="shared" si="98"/>
        <v>14.99999783426823</v>
      </c>
      <c r="AP42" s="624">
        <f t="shared" ref="AP42:AP47" si="407">IF(M42="","",DEGREES(ATAN2(AK42,AL42)))</f>
        <v>1.337802589549776</v>
      </c>
      <c r="AQ42" s="625">
        <f t="shared" si="248"/>
        <v>7.0524578921327965</v>
      </c>
      <c r="AS42" s="56">
        <f t="shared" si="119"/>
        <v>-239.97001733018533</v>
      </c>
      <c r="AT42" s="77">
        <f t="shared" si="249"/>
        <v>0.79576639764448354</v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4"/>
        <v>5.1079999999999997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5"/>
        <v/>
      </c>
      <c r="IK42" s="839" t="str">
        <f t="shared" si="386"/>
        <v/>
      </c>
      <c r="IL42" s="791" t="str">
        <f t="shared" si="227"/>
        <v/>
      </c>
      <c r="IM42" s="830"/>
      <c r="IN42" s="5" t="str">
        <f t="shared" si="228"/>
        <v/>
      </c>
      <c r="IO42" s="852"/>
      <c r="IP42" s="9" t="str">
        <f t="shared" si="229"/>
        <v/>
      </c>
      <c r="IQ42" s="5" t="str">
        <f t="shared" si="230"/>
        <v/>
      </c>
      <c r="IR42" s="5" t="str">
        <f t="shared" si="387"/>
        <v/>
      </c>
      <c r="IS42" s="5" t="str">
        <f t="shared" si="231"/>
        <v/>
      </c>
      <c r="IT42" s="791" t="str">
        <f t="shared" si="232"/>
        <v/>
      </c>
      <c r="IU42" s="9" t="str">
        <f t="shared" si="233"/>
        <v/>
      </c>
      <c r="IV42" s="5" t="str">
        <f t="shared" si="234"/>
        <v/>
      </c>
      <c r="IW42" s="5" t="str">
        <f t="shared" si="388"/>
        <v/>
      </c>
      <c r="IX42" s="5" t="str">
        <f t="shared" si="235"/>
        <v/>
      </c>
      <c r="IY42" s="833" t="str">
        <f t="shared" si="236"/>
        <v/>
      </c>
    </row>
    <row r="43" spans="1:259" ht="15" customHeight="1" x14ac:dyDescent="0.25">
      <c r="A43" s="84">
        <f t="shared" si="81"/>
        <v>0.02</v>
      </c>
      <c r="B43" s="770">
        <v>-2.056969783051438</v>
      </c>
      <c r="C43" s="771">
        <v>-1.1804218731748994</v>
      </c>
      <c r="D43" s="772">
        <v>-5.6400170102913018E-2</v>
      </c>
      <c r="E43" s="773">
        <v>0.46464088621187755</v>
      </c>
      <c r="F43" s="771">
        <v>-0.8465443198547512</v>
      </c>
      <c r="G43" s="774">
        <v>0.25975288522343298</v>
      </c>
      <c r="H43" s="773">
        <v>0.26600000000000001</v>
      </c>
      <c r="I43" s="771">
        <v>0.52</v>
      </c>
      <c r="J43" s="601">
        <v>5.1120000000000001</v>
      </c>
      <c r="K43" s="426" t="str">
        <f t="shared" si="82"/>
        <v>1313</v>
      </c>
      <c r="L43" s="327"/>
      <c r="M43" s="173">
        <f t="shared" si="241"/>
        <v>5.1120000000000001</v>
      </c>
      <c r="N43" s="21">
        <f t="shared" si="242"/>
        <v>-2.056969783051438</v>
      </c>
      <c r="O43" s="5">
        <f t="shared" si="243"/>
        <v>-1.1804218731748994</v>
      </c>
      <c r="P43" s="10">
        <f t="shared" si="244"/>
        <v>-5.6400170102913018E-2</v>
      </c>
      <c r="Q43" s="624">
        <f t="shared" si="116"/>
        <v>209.84998269580345</v>
      </c>
      <c r="R43" s="5">
        <f t="shared" si="389"/>
        <v>2.3716071527671732</v>
      </c>
      <c r="S43" s="6">
        <f t="shared" si="390"/>
        <v>-5.6400170102913018E-2</v>
      </c>
      <c r="T43" s="4">
        <f t="shared" si="391"/>
        <v>-1.1814987380204027</v>
      </c>
      <c r="U43" s="5">
        <f t="shared" si="392"/>
        <v>2.0563514337565487</v>
      </c>
      <c r="V43" s="8">
        <f t="shared" si="393"/>
        <v>-5.6400170102913018E-2</v>
      </c>
      <c r="W43" s="624">
        <f t="shared" si="226"/>
        <v>119.87998269147198</v>
      </c>
      <c r="X43" s="5">
        <f t="shared" si="394"/>
        <v>2.3716071527671732</v>
      </c>
      <c r="Y43" s="7">
        <f t="shared" si="225"/>
        <v>-5.6400170102913018E-2</v>
      </c>
      <c r="Z43" s="21">
        <f t="shared" si="245"/>
        <v>-0.46464088621187755</v>
      </c>
      <c r="AA43" s="5">
        <f t="shared" si="246"/>
        <v>0.8465443198547512</v>
      </c>
      <c r="AB43" s="5">
        <f t="shared" si="247"/>
        <v>-0.25975288522343298</v>
      </c>
      <c r="AC43" s="8">
        <f t="shared" si="395"/>
        <v>1</v>
      </c>
      <c r="AD43" s="9">
        <f t="shared" si="396"/>
        <v>-0.46464088621187755</v>
      </c>
      <c r="AE43" s="5">
        <f t="shared" si="397"/>
        <v>0.8465443198547512</v>
      </c>
      <c r="AF43" s="10">
        <f t="shared" si="398"/>
        <v>-0.25975288522343298</v>
      </c>
      <c r="AG43" s="622">
        <f t="shared" si="399"/>
        <v>72.94193976658066</v>
      </c>
      <c r="AH43" s="623">
        <f t="shared" si="400"/>
        <v>117.68698329924698</v>
      </c>
      <c r="AI43" s="624">
        <f t="shared" si="401"/>
        <v>-74.944600261679469</v>
      </c>
      <c r="AJ43" s="625">
        <f t="shared" si="402"/>
        <v>-151.23903618193037</v>
      </c>
      <c r="AK43" s="4">
        <f t="shared" si="403"/>
        <v>0.96550069371279179</v>
      </c>
      <c r="AL43" s="5">
        <f t="shared" si="404"/>
        <v>-1.8353448128900662E-2</v>
      </c>
      <c r="AM43" s="6">
        <f t="shared" si="405"/>
        <v>-0.25975288522343298</v>
      </c>
      <c r="AN43" s="612">
        <f t="shared" si="406"/>
        <v>-4.0416504233824391</v>
      </c>
      <c r="AO43" s="613">
        <f t="shared" si="98"/>
        <v>15.093826582753662</v>
      </c>
      <c r="AP43" s="624">
        <f t="shared" si="407"/>
        <v>-1.089018877733799</v>
      </c>
      <c r="AQ43" s="625">
        <f t="shared" si="248"/>
        <v>5.2147968548608716</v>
      </c>
      <c r="AS43" s="56">
        <f t="shared" ref="AS43:AS74" si="410">IF(G43="","",IF(AND(W43&lt;(AS42+180),W43&gt;(AS42-180)),W43,IF(W43&gt;(AS42+180),W43-360,IF(W43&lt;(AS42-180),W43+360,"Error"))))</f>
        <v>-240.12001730852802</v>
      </c>
      <c r="AT43" s="77">
        <f t="shared" si="249"/>
        <v>0.85083322860182953</v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4"/>
        <v>5.1120000000000001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5"/>
        <v/>
      </c>
      <c r="IK43" s="839" t="str">
        <f t="shared" si="386"/>
        <v/>
      </c>
      <c r="IL43" s="791" t="str">
        <f t="shared" si="227"/>
        <v/>
      </c>
      <c r="IM43" s="830"/>
      <c r="IN43" s="5" t="str">
        <f t="shared" si="228"/>
        <v/>
      </c>
      <c r="IO43" s="852"/>
      <c r="IP43" s="9" t="str">
        <f t="shared" si="229"/>
        <v/>
      </c>
      <c r="IQ43" s="5" t="str">
        <f t="shared" si="230"/>
        <v/>
      </c>
      <c r="IR43" s="5" t="str">
        <f t="shared" si="387"/>
        <v/>
      </c>
      <c r="IS43" s="5" t="str">
        <f t="shared" si="231"/>
        <v/>
      </c>
      <c r="IT43" s="791" t="str">
        <f t="shared" si="232"/>
        <v/>
      </c>
      <c r="IU43" s="9" t="str">
        <f t="shared" si="233"/>
        <v/>
      </c>
      <c r="IV43" s="5" t="str">
        <f t="shared" si="234"/>
        <v/>
      </c>
      <c r="IW43" s="5" t="str">
        <f t="shared" si="388"/>
        <v/>
      </c>
      <c r="IX43" s="5" t="str">
        <f t="shared" si="235"/>
        <v/>
      </c>
      <c r="IY43" s="833" t="str">
        <f t="shared" si="236"/>
        <v/>
      </c>
    </row>
    <row r="44" spans="1:259" ht="15" customHeight="1" x14ac:dyDescent="0.25">
      <c r="A44" s="84">
        <f t="shared" si="81"/>
        <v>0.02</v>
      </c>
      <c r="B44" s="770">
        <v>-2.6936730576844758</v>
      </c>
      <c r="C44" s="771">
        <v>-1.4986624114387337</v>
      </c>
      <c r="D44" s="772">
        <v>-0.19960060199541563</v>
      </c>
      <c r="E44" s="773">
        <v>0.33191937666155552</v>
      </c>
      <c r="F44" s="771">
        <v>-0.91231439849491569</v>
      </c>
      <c r="G44" s="774">
        <v>0.23981652506752915</v>
      </c>
      <c r="H44" s="773">
        <v>0.314</v>
      </c>
      <c r="I44" s="771">
        <v>0.52</v>
      </c>
      <c r="J44" s="601">
        <v>5.1180000000000003</v>
      </c>
      <c r="K44" s="426" t="str">
        <f t="shared" si="82"/>
        <v>1613</v>
      </c>
      <c r="L44" s="327"/>
      <c r="M44" s="173">
        <f t="shared" si="241"/>
        <v>5.1180000000000003</v>
      </c>
      <c r="N44" s="21">
        <f t="shared" si="242"/>
        <v>-2.6936730576844758</v>
      </c>
      <c r="O44" s="5">
        <f t="shared" si="243"/>
        <v>-1.4986624114387337</v>
      </c>
      <c r="P44" s="10">
        <f t="shared" si="244"/>
        <v>-0.19960060199541563</v>
      </c>
      <c r="Q44" s="624">
        <f t="shared" si="116"/>
        <v>209.08998280553388</v>
      </c>
      <c r="R44" s="5">
        <f t="shared" si="389"/>
        <v>3.0825092968480394</v>
      </c>
      <c r="S44" s="6">
        <f t="shared" si="390"/>
        <v>-0.19960060199541563</v>
      </c>
      <c r="T44" s="4">
        <f t="shared" si="391"/>
        <v>-1.5000726096521768</v>
      </c>
      <c r="U44" s="5">
        <f t="shared" si="392"/>
        <v>2.6928879907871961</v>
      </c>
      <c r="V44" s="8">
        <f t="shared" si="393"/>
        <v>-0.19960060199541563</v>
      </c>
      <c r="W44" s="624">
        <f t="shared" si="226"/>
        <v>119.11998280120241</v>
      </c>
      <c r="X44" s="5">
        <f t="shared" si="394"/>
        <v>3.0825092968480394</v>
      </c>
      <c r="Y44" s="7">
        <f t="shared" si="225"/>
        <v>-0.19960060199541563</v>
      </c>
      <c r="Z44" s="21">
        <f t="shared" si="245"/>
        <v>-0.33191937666155552</v>
      </c>
      <c r="AA44" s="5">
        <f t="shared" si="246"/>
        <v>0.91231439849491569</v>
      </c>
      <c r="AB44" s="5">
        <f t="shared" si="247"/>
        <v>-0.23981652506752915</v>
      </c>
      <c r="AC44" s="8">
        <f t="shared" si="395"/>
        <v>1</v>
      </c>
      <c r="AD44" s="9">
        <f t="shared" si="396"/>
        <v>-0.33191937666155552</v>
      </c>
      <c r="AE44" s="5">
        <f t="shared" si="397"/>
        <v>0.91231439849491569</v>
      </c>
      <c r="AF44" s="10">
        <f t="shared" si="398"/>
        <v>-0.23981652506752915</v>
      </c>
      <c r="AG44" s="622">
        <f t="shared" si="399"/>
        <v>75.272074248433739</v>
      </c>
      <c r="AH44" s="623">
        <f t="shared" si="400"/>
        <v>109.3853153135437</v>
      </c>
      <c r="AI44" s="624">
        <f t="shared" si="401"/>
        <v>-76.124288219302997</v>
      </c>
      <c r="AJ44" s="625">
        <f t="shared" si="402"/>
        <v>-160.00753733350177</v>
      </c>
      <c r="AK44" s="4">
        <f t="shared" si="403"/>
        <v>0.95860596813631982</v>
      </c>
      <c r="AL44" s="5">
        <f t="shared" si="404"/>
        <v>-0.1535012448091691</v>
      </c>
      <c r="AM44" s="6">
        <f t="shared" si="405"/>
        <v>-0.23981652506752915</v>
      </c>
      <c r="AN44" s="612">
        <f t="shared" si="406"/>
        <v>-32.622407154405309</v>
      </c>
      <c r="AO44" s="613">
        <f t="shared" si="98"/>
        <v>16.543069544416831</v>
      </c>
      <c r="AP44" s="624">
        <f t="shared" si="407"/>
        <v>-9.0975201390356393</v>
      </c>
      <c r="AQ44" s="625">
        <f t="shared" si="248"/>
        <v>4.0166593837929438</v>
      </c>
      <c r="AS44" s="56">
        <f t="shared" si="410"/>
        <v>-240.88001719879759</v>
      </c>
      <c r="AT44" s="77">
        <f t="shared" si="249"/>
        <v>0.71050390740590086</v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4"/>
        <v>5.1180000000000003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5"/>
        <v/>
      </c>
      <c r="IK44" s="839" t="str">
        <f t="shared" si="386"/>
        <v/>
      </c>
      <c r="IL44" s="791" t="str">
        <f t="shared" si="227"/>
        <v/>
      </c>
      <c r="IM44" s="830"/>
      <c r="IN44" s="5" t="str">
        <f t="shared" si="228"/>
        <v/>
      </c>
      <c r="IO44" s="852"/>
      <c r="IP44" s="9" t="str">
        <f t="shared" si="229"/>
        <v/>
      </c>
      <c r="IQ44" s="5" t="str">
        <f t="shared" si="230"/>
        <v/>
      </c>
      <c r="IR44" s="5" t="str">
        <f t="shared" si="387"/>
        <v/>
      </c>
      <c r="IS44" s="5" t="str">
        <f t="shared" si="231"/>
        <v/>
      </c>
      <c r="IT44" s="791" t="str">
        <f t="shared" si="232"/>
        <v/>
      </c>
      <c r="IU44" s="9" t="str">
        <f t="shared" si="233"/>
        <v/>
      </c>
      <c r="IV44" s="5" t="str">
        <f t="shared" si="234"/>
        <v/>
      </c>
      <c r="IW44" s="5" t="str">
        <f t="shared" si="388"/>
        <v/>
      </c>
      <c r="IX44" s="5" t="str">
        <f t="shared" si="235"/>
        <v/>
      </c>
      <c r="IY44" s="833" t="str">
        <f t="shared" si="236"/>
        <v/>
      </c>
    </row>
    <row r="45" spans="1:259" ht="15" customHeight="1" x14ac:dyDescent="0.25">
      <c r="A45" s="84">
        <f t="shared" si="81"/>
        <v>0.02</v>
      </c>
      <c r="B45" s="770">
        <v>-3.2828867754116864</v>
      </c>
      <c r="C45" s="771">
        <v>-1.75216077666866</v>
      </c>
      <c r="D45" s="772">
        <v>-0.65430197337475171</v>
      </c>
      <c r="E45" s="773">
        <v>0.21182757019180365</v>
      </c>
      <c r="F45" s="771">
        <v>-0.96432217510085061</v>
      </c>
      <c r="G45" s="774">
        <v>0.15878231361017819</v>
      </c>
      <c r="H45" s="773">
        <v>0.314</v>
      </c>
      <c r="I45" s="771">
        <v>0.52</v>
      </c>
      <c r="J45" s="601">
        <v>5.1239999999999997</v>
      </c>
      <c r="K45" s="426" t="str">
        <f t="shared" si="82"/>
        <v>1613</v>
      </c>
      <c r="L45" s="327"/>
      <c r="M45" s="173">
        <f t="shared" si="241"/>
        <v>5.1239999999999997</v>
      </c>
      <c r="N45" s="21">
        <f t="shared" si="242"/>
        <v>-3.2828867754116864</v>
      </c>
      <c r="O45" s="5">
        <f t="shared" si="243"/>
        <v>-1.75216077666866</v>
      </c>
      <c r="P45" s="10">
        <f t="shared" si="244"/>
        <v>-0.65430197337475171</v>
      </c>
      <c r="Q45" s="624">
        <f t="shared" si="116"/>
        <v>208.08998294991596</v>
      </c>
      <c r="R45" s="5">
        <f t="shared" si="389"/>
        <v>3.7212112231730492</v>
      </c>
      <c r="S45" s="6">
        <f t="shared" si="390"/>
        <v>-0.65430197337475171</v>
      </c>
      <c r="T45" s="4">
        <f t="shared" si="391"/>
        <v>-1.7538794516556313</v>
      </c>
      <c r="U45" s="5">
        <f t="shared" si="392"/>
        <v>3.2819688963378679</v>
      </c>
      <c r="V45" s="8">
        <f t="shared" si="393"/>
        <v>-0.65430197337475171</v>
      </c>
      <c r="W45" s="624">
        <f t="shared" si="226"/>
        <v>118.1199829455845</v>
      </c>
      <c r="X45" s="5">
        <f t="shared" si="394"/>
        <v>3.7212112231730492</v>
      </c>
      <c r="Y45" s="7">
        <f t="shared" si="225"/>
        <v>-0.65430197337475171</v>
      </c>
      <c r="Z45" s="21">
        <f t="shared" si="245"/>
        <v>-0.21182757019180365</v>
      </c>
      <c r="AA45" s="5">
        <f t="shared" si="246"/>
        <v>0.96432217510085061</v>
      </c>
      <c r="AB45" s="5">
        <f t="shared" si="247"/>
        <v>-0.15878231361017819</v>
      </c>
      <c r="AC45" s="8">
        <f t="shared" si="395"/>
        <v>1</v>
      </c>
      <c r="AD45" s="9">
        <f t="shared" si="396"/>
        <v>-0.21182757019180365</v>
      </c>
      <c r="AE45" s="5">
        <f t="shared" si="397"/>
        <v>0.96432217510085061</v>
      </c>
      <c r="AF45" s="10">
        <f t="shared" si="398"/>
        <v>-0.15878231361017819</v>
      </c>
      <c r="AG45" s="622">
        <f t="shared" si="399"/>
        <v>80.649752339951817</v>
      </c>
      <c r="AH45" s="623">
        <f t="shared" si="400"/>
        <v>102.22947406180113</v>
      </c>
      <c r="AI45" s="624">
        <f t="shared" si="401"/>
        <v>-80.863775577379187</v>
      </c>
      <c r="AJ45" s="625">
        <f t="shared" si="402"/>
        <v>-167.61090549871113</v>
      </c>
      <c r="AK45" s="4">
        <f t="shared" si="403"/>
        <v>0.9504745266155622</v>
      </c>
      <c r="AL45" s="5">
        <f t="shared" si="404"/>
        <v>-0.26718224330879875</v>
      </c>
      <c r="AM45" s="6">
        <f t="shared" si="405"/>
        <v>-0.15878231361017819</v>
      </c>
      <c r="AN45" s="612">
        <f t="shared" si="406"/>
        <v>-59.277632897630419</v>
      </c>
      <c r="AO45" s="613">
        <f t="shared" si="98"/>
        <v>18.107597597600698</v>
      </c>
      <c r="AP45" s="624">
        <f t="shared" si="407"/>
        <v>-15.700888448627094</v>
      </c>
      <c r="AQ45" s="625">
        <f t="shared" si="248"/>
        <v>3.3289576789695405</v>
      </c>
      <c r="AS45" s="56">
        <f t="shared" si="410"/>
        <v>-241.8800170544155</v>
      </c>
      <c r="AT45" s="77">
        <f t="shared" si="249"/>
        <v>0.25958031325889908</v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4"/>
        <v>5.1239999999999997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5"/>
        <v/>
      </c>
      <c r="IK45" s="839" t="str">
        <f t="shared" si="386"/>
        <v/>
      </c>
      <c r="IL45" s="791" t="str">
        <f t="shared" si="227"/>
        <v/>
      </c>
      <c r="IM45" s="830"/>
      <c r="IN45" s="5" t="str">
        <f t="shared" si="228"/>
        <v/>
      </c>
      <c r="IO45" s="852"/>
      <c r="IP45" s="9" t="str">
        <f t="shared" si="229"/>
        <v/>
      </c>
      <c r="IQ45" s="5" t="str">
        <f t="shared" si="230"/>
        <v/>
      </c>
      <c r="IR45" s="5" t="str">
        <f t="shared" si="387"/>
        <v/>
      </c>
      <c r="IS45" s="5" t="str">
        <f t="shared" si="231"/>
        <v/>
      </c>
      <c r="IT45" s="791" t="str">
        <f t="shared" si="232"/>
        <v/>
      </c>
      <c r="IU45" s="9" t="str">
        <f t="shared" si="233"/>
        <v/>
      </c>
      <c r="IV45" s="5" t="str">
        <f t="shared" si="234"/>
        <v/>
      </c>
      <c r="IW45" s="5" t="str">
        <f t="shared" si="388"/>
        <v/>
      </c>
      <c r="IX45" s="5" t="str">
        <f t="shared" si="235"/>
        <v/>
      </c>
      <c r="IY45" s="833" t="str">
        <f t="shared" si="236"/>
        <v/>
      </c>
    </row>
    <row r="46" spans="1:259" ht="15" customHeight="1" x14ac:dyDescent="0.25">
      <c r="A46" s="84">
        <f t="shared" si="81"/>
        <v>0.02</v>
      </c>
      <c r="B46" s="770">
        <v>-3.6011866978715061</v>
      </c>
      <c r="C46" s="771">
        <v>-1.8746577825566966</v>
      </c>
      <c r="D46" s="772">
        <v>-1.3616041065979854</v>
      </c>
      <c r="E46" s="773">
        <v>0.12855013340019114</v>
      </c>
      <c r="F46" s="771">
        <v>-0.99025889124607358</v>
      </c>
      <c r="G46" s="774">
        <v>5.3499453370012641E-2</v>
      </c>
      <c r="H46" s="773">
        <v>0.314</v>
      </c>
      <c r="I46" s="771">
        <v>0.52</v>
      </c>
      <c r="J46" s="601">
        <v>5.13</v>
      </c>
      <c r="K46" s="426" t="str">
        <f t="shared" si="82"/>
        <v>1613</v>
      </c>
      <c r="L46" s="327"/>
      <c r="M46" s="173">
        <f t="shared" si="241"/>
        <v>5.13</v>
      </c>
      <c r="N46" s="21">
        <f t="shared" si="242"/>
        <v>-3.6011866978715061</v>
      </c>
      <c r="O46" s="5">
        <f t="shared" si="243"/>
        <v>-1.8746577825566966</v>
      </c>
      <c r="P46" s="10">
        <f t="shared" si="244"/>
        <v>-1.3616041065979854</v>
      </c>
      <c r="Q46" s="624">
        <f t="shared" si="116"/>
        <v>207.49998303510142</v>
      </c>
      <c r="R46" s="5">
        <f t="shared" si="389"/>
        <v>4.0599122446953304</v>
      </c>
      <c r="S46" s="6">
        <f t="shared" si="390"/>
        <v>-1.3616041065979854</v>
      </c>
      <c r="T46" s="4">
        <f t="shared" si="391"/>
        <v>-1.8765431021700447</v>
      </c>
      <c r="U46" s="5">
        <f t="shared" si="392"/>
        <v>3.6002046358957291</v>
      </c>
      <c r="V46" s="8">
        <f t="shared" si="393"/>
        <v>-1.3616041065979854</v>
      </c>
      <c r="W46" s="624">
        <f t="shared" si="226"/>
        <v>117.52998303076996</v>
      </c>
      <c r="X46" s="5">
        <f t="shared" si="394"/>
        <v>4.0599122446953304</v>
      </c>
      <c r="Y46" s="7">
        <f t="shared" si="225"/>
        <v>-1.3616041065979854</v>
      </c>
      <c r="Z46" s="21">
        <f t="shared" si="245"/>
        <v>-0.12855013340019114</v>
      </c>
      <c r="AA46" s="5">
        <f t="shared" si="246"/>
        <v>0.99025889124607358</v>
      </c>
      <c r="AB46" s="5">
        <f t="shared" si="247"/>
        <v>-5.3499453370012641E-2</v>
      </c>
      <c r="AC46" s="8">
        <f t="shared" si="395"/>
        <v>1</v>
      </c>
      <c r="AD46" s="9">
        <f t="shared" si="396"/>
        <v>-0.12855013340019114</v>
      </c>
      <c r="AE46" s="5">
        <f t="shared" si="397"/>
        <v>0.99025889124607358</v>
      </c>
      <c r="AF46" s="10">
        <f t="shared" si="398"/>
        <v>-5.3499453370012641E-2</v>
      </c>
      <c r="AG46" s="622">
        <f t="shared" si="399"/>
        <v>86.90756041740228</v>
      </c>
      <c r="AH46" s="623">
        <f t="shared" si="400"/>
        <v>97.385818103107326</v>
      </c>
      <c r="AI46" s="624">
        <f t="shared" si="401"/>
        <v>-86.933242986532903</v>
      </c>
      <c r="AJ46" s="625">
        <f t="shared" si="402"/>
        <v>-172.60353014696867</v>
      </c>
      <c r="AK46" s="4">
        <f t="shared" si="403"/>
        <v>0.93772831164172477</v>
      </c>
      <c r="AL46" s="5">
        <f t="shared" si="404"/>
        <v>-0.34322503118897119</v>
      </c>
      <c r="AM46" s="6">
        <f t="shared" si="405"/>
        <v>-5.3499453370012641E-2</v>
      </c>
      <c r="AN46" s="612">
        <f t="shared" si="406"/>
        <v>-81.140437872622456</v>
      </c>
      <c r="AO46" s="613">
        <f t="shared" si="98"/>
        <v>20.326510007189057</v>
      </c>
      <c r="AP46" s="624">
        <f t="shared" si="407"/>
        <v>-20.103513182070092</v>
      </c>
      <c r="AQ46" s="625">
        <f t="shared" si="248"/>
        <v>3.0517858345610516</v>
      </c>
      <c r="AS46" s="56">
        <f t="shared" si="410"/>
        <v>-242.47001696923004</v>
      </c>
      <c r="AT46" s="77">
        <f t="shared" si="249"/>
        <v>-0.44549293139725732</v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4"/>
        <v>5.13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5"/>
        <v/>
      </c>
      <c r="IK46" s="839" t="str">
        <f t="shared" si="386"/>
        <v/>
      </c>
      <c r="IL46" s="791" t="str">
        <f t="shared" si="227"/>
        <v/>
      </c>
      <c r="IM46" s="830"/>
      <c r="IN46" s="5" t="str">
        <f t="shared" si="228"/>
        <v/>
      </c>
      <c r="IO46" s="852"/>
      <c r="IP46" s="9" t="str">
        <f t="shared" si="229"/>
        <v/>
      </c>
      <c r="IQ46" s="5" t="str">
        <f t="shared" si="230"/>
        <v/>
      </c>
      <c r="IR46" s="5" t="str">
        <f t="shared" si="387"/>
        <v/>
      </c>
      <c r="IS46" s="5" t="str">
        <f t="shared" si="231"/>
        <v/>
      </c>
      <c r="IT46" s="791" t="str">
        <f t="shared" si="232"/>
        <v/>
      </c>
      <c r="IU46" s="9" t="str">
        <f t="shared" si="233"/>
        <v/>
      </c>
      <c r="IV46" s="5" t="str">
        <f t="shared" si="234"/>
        <v/>
      </c>
      <c r="IW46" s="5" t="str">
        <f t="shared" si="388"/>
        <v/>
      </c>
      <c r="IX46" s="5" t="str">
        <f t="shared" si="235"/>
        <v/>
      </c>
      <c r="IY46" s="833" t="str">
        <f t="shared" si="236"/>
        <v/>
      </c>
    </row>
    <row r="47" spans="1:259" ht="15" customHeight="1" x14ac:dyDescent="0.25">
      <c r="A47" s="84">
        <f t="shared" si="81"/>
        <v>0.02</v>
      </c>
      <c r="B47" s="770">
        <v>-3.6665293494856925</v>
      </c>
      <c r="C47" s="771">
        <v>-1.8981119677944651</v>
      </c>
      <c r="D47" s="772">
        <v>-2.1370064452114388</v>
      </c>
      <c r="E47" s="773">
        <v>-4.5886261589821564E-2</v>
      </c>
      <c r="F47" s="771">
        <v>-0.99894667074739174</v>
      </c>
      <c r="G47" s="774">
        <v>1.1339743338447125E-7</v>
      </c>
      <c r="H47" s="773">
        <v>0.314</v>
      </c>
      <c r="I47" s="771">
        <v>0.52</v>
      </c>
      <c r="J47" s="601">
        <v>5.1360000000000001</v>
      </c>
      <c r="K47" s="426" t="str">
        <f t="shared" si="82"/>
        <v>1613</v>
      </c>
      <c r="L47" s="327"/>
      <c r="M47" s="173">
        <f t="shared" si="241"/>
        <v>5.1360000000000001</v>
      </c>
      <c r="N47" s="21">
        <f t="shared" si="242"/>
        <v>-3.6665293494856925</v>
      </c>
      <c r="O47" s="5">
        <f t="shared" si="243"/>
        <v>-1.8981119677944651</v>
      </c>
      <c r="P47" s="10">
        <f t="shared" si="244"/>
        <v>-2.1370064452114388</v>
      </c>
      <c r="Q47" s="624">
        <f t="shared" si="116"/>
        <v>207.3699830538711</v>
      </c>
      <c r="R47" s="5">
        <f t="shared" si="389"/>
        <v>4.1287124521967566</v>
      </c>
      <c r="S47" s="6">
        <f t="shared" si="390"/>
        <v>-2.1370064452114388</v>
      </c>
      <c r="T47" s="4">
        <f t="shared" si="391"/>
        <v>-1.9000314975186421</v>
      </c>
      <c r="U47" s="5">
        <f t="shared" si="392"/>
        <v>3.66553499797255</v>
      </c>
      <c r="V47" s="8">
        <f t="shared" si="393"/>
        <v>-2.1370064452114388</v>
      </c>
      <c r="W47" s="624">
        <f t="shared" si="226"/>
        <v>117.39998304953963</v>
      </c>
      <c r="X47" s="5">
        <f t="shared" si="394"/>
        <v>4.1287124521967566</v>
      </c>
      <c r="Y47" s="7">
        <f t="shared" si="225"/>
        <v>-2.1370064452114388</v>
      </c>
      <c r="Z47" s="21">
        <f t="shared" si="245"/>
        <v>4.5886261589821564E-2</v>
      </c>
      <c r="AA47" s="5">
        <f t="shared" si="246"/>
        <v>0.99894667074739174</v>
      </c>
      <c r="AB47" s="5">
        <f t="shared" si="247"/>
        <v>-1.1339743338447125E-7</v>
      </c>
      <c r="AC47" s="8">
        <f t="shared" si="395"/>
        <v>1</v>
      </c>
      <c r="AD47" s="9">
        <f t="shared" si="396"/>
        <v>4.5886261589821564E-2</v>
      </c>
      <c r="AE47" s="5">
        <f t="shared" si="397"/>
        <v>0.99894667074739174</v>
      </c>
      <c r="AF47" s="10">
        <f t="shared" si="398"/>
        <v>-1.1339743338447125E-7</v>
      </c>
      <c r="AG47" s="622">
        <f t="shared" si="399"/>
        <v>89.999993495954769</v>
      </c>
      <c r="AH47" s="623">
        <f t="shared" si="400"/>
        <v>87.369987385335207</v>
      </c>
      <c r="AI47" s="624">
        <f t="shared" si="401"/>
        <v>-89.999993502805651</v>
      </c>
      <c r="AJ47" s="625">
        <f t="shared" si="402"/>
        <v>177.36998738533521</v>
      </c>
      <c r="AK47" s="4">
        <f t="shared" si="403"/>
        <v>0.86602544158358574</v>
      </c>
      <c r="AL47" s="5">
        <f t="shared" si="404"/>
        <v>-0.49999993452993852</v>
      </c>
      <c r="AM47" s="6">
        <f t="shared" si="405"/>
        <v>-1.1339743338447125E-7</v>
      </c>
      <c r="AN47" s="612">
        <f t="shared" si="406"/>
        <v>-89.999987005609626</v>
      </c>
      <c r="AO47" s="613">
        <f t="shared" si="98"/>
        <v>29.99999566853651</v>
      </c>
      <c r="AP47" s="624">
        <f t="shared" si="407"/>
        <v>-29.999995668535906</v>
      </c>
      <c r="AQ47" s="625">
        <f t="shared" si="248"/>
        <v>3.0010251056735449</v>
      </c>
      <c r="AS47" s="56">
        <f t="shared" si="410"/>
        <v>-242.60001695046037</v>
      </c>
      <c r="AT47" s="77">
        <f t="shared" si="249"/>
        <v>-1.2204041589705072</v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4"/>
        <v>5.1360000000000001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5"/>
        <v/>
      </c>
      <c r="IK47" s="839" t="str">
        <f t="shared" si="386"/>
        <v/>
      </c>
      <c r="IL47" s="791" t="str">
        <f t="shared" si="227"/>
        <v/>
      </c>
      <c r="IM47" s="830"/>
      <c r="IN47" s="5" t="str">
        <f t="shared" si="228"/>
        <v/>
      </c>
      <c r="IO47" s="852"/>
      <c r="IP47" s="9" t="str">
        <f t="shared" si="229"/>
        <v/>
      </c>
      <c r="IQ47" s="5" t="str">
        <f t="shared" si="230"/>
        <v/>
      </c>
      <c r="IR47" s="5" t="str">
        <f t="shared" si="387"/>
        <v/>
      </c>
      <c r="IS47" s="5" t="str">
        <f t="shared" si="231"/>
        <v/>
      </c>
      <c r="IT47" s="791" t="str">
        <f t="shared" si="232"/>
        <v/>
      </c>
      <c r="IU47" s="9" t="str">
        <f t="shared" si="233"/>
        <v/>
      </c>
      <c r="IV47" s="5" t="str">
        <f t="shared" si="234"/>
        <v/>
      </c>
      <c r="IW47" s="5" t="str">
        <f t="shared" si="388"/>
        <v/>
      </c>
      <c r="IX47" s="5" t="str">
        <f t="shared" si="235"/>
        <v/>
      </c>
      <c r="IY47" s="833" t="str">
        <f t="shared" si="236"/>
        <v/>
      </c>
    </row>
    <row r="48" spans="1:259" ht="15" customHeight="1" x14ac:dyDescent="0.25">
      <c r="A48" s="84">
        <f t="shared" si="81"/>
        <v>0.02</v>
      </c>
      <c r="B48" s="770">
        <v>-3.6665293494856925</v>
      </c>
      <c r="C48" s="771">
        <v>-1.8981119677944651</v>
      </c>
      <c r="D48" s="772">
        <v>-2.9103087774912728</v>
      </c>
      <c r="E48" s="773">
        <v>-4.5886261589821564E-2</v>
      </c>
      <c r="F48" s="771">
        <v>-0.99894667074739174</v>
      </c>
      <c r="G48" s="774">
        <v>1.1339743338447125E-7</v>
      </c>
      <c r="H48" s="773">
        <v>0.314</v>
      </c>
      <c r="I48" s="771">
        <v>0.52</v>
      </c>
      <c r="J48" s="601">
        <v>5.1420000000000003</v>
      </c>
      <c r="K48" s="426" t="str">
        <f t="shared" si="82"/>
        <v>1613</v>
      </c>
      <c r="L48" s="327"/>
      <c r="M48" s="173">
        <f t="shared" si="241"/>
        <v>5.1420000000000003</v>
      </c>
      <c r="N48" s="21">
        <f t="shared" si="242"/>
        <v>-3.6665293494856925</v>
      </c>
      <c r="O48" s="5">
        <f t="shared" si="243"/>
        <v>-1.8981119677944651</v>
      </c>
      <c r="P48" s="10">
        <f t="shared" si="244"/>
        <v>-2.9103087774912728</v>
      </c>
      <c r="Q48" s="624">
        <f t="shared" si="116"/>
        <v>207.3699830538711</v>
      </c>
      <c r="R48" s="5">
        <f t="shared" si="83"/>
        <v>4.1287124521967566</v>
      </c>
      <c r="S48" s="6">
        <f t="shared" si="84"/>
        <v>-2.9103087774912728</v>
      </c>
      <c r="T48" s="4">
        <f t="shared" si="85"/>
        <v>-1.9000314975186421</v>
      </c>
      <c r="U48" s="5">
        <f t="shared" si="86"/>
        <v>3.66553499797255</v>
      </c>
      <c r="V48" s="8">
        <f t="shared" si="117"/>
        <v>-2.9103087774912728</v>
      </c>
      <c r="W48" s="624">
        <f t="shared" si="226"/>
        <v>117.39998304953963</v>
      </c>
      <c r="X48" s="5">
        <f t="shared" si="87"/>
        <v>4.1287124521967566</v>
      </c>
      <c r="Y48" s="7">
        <f t="shared" si="225"/>
        <v>-2.9103087774912728</v>
      </c>
      <c r="Z48" s="21">
        <f t="shared" si="245"/>
        <v>4.5886261589821564E-2</v>
      </c>
      <c r="AA48" s="5">
        <f t="shared" si="246"/>
        <v>0.99894667074739174</v>
      </c>
      <c r="AB48" s="5">
        <f t="shared" si="247"/>
        <v>-1.1339743338447125E-7</v>
      </c>
      <c r="AC48" s="8">
        <f t="shared" si="88"/>
        <v>1</v>
      </c>
      <c r="AD48" s="9">
        <f t="shared" si="118"/>
        <v>4.5886261589821564E-2</v>
      </c>
      <c r="AE48" s="5">
        <f t="shared" si="89"/>
        <v>0.99894667074739174</v>
      </c>
      <c r="AF48" s="10">
        <f t="shared" si="90"/>
        <v>-1.1339743338447125E-7</v>
      </c>
      <c r="AG48" s="622">
        <f t="shared" si="91"/>
        <v>89.999993495954769</v>
      </c>
      <c r="AH48" s="623">
        <f t="shared" si="92"/>
        <v>87.369987385335207</v>
      </c>
      <c r="AI48" s="624">
        <f t="shared" si="93"/>
        <v>-89.999993502805651</v>
      </c>
      <c r="AJ48" s="625">
        <f t="shared" si="94"/>
        <v>177.36998738533521</v>
      </c>
      <c r="AK48" s="4">
        <f t="shared" si="213"/>
        <v>0.86602544158358574</v>
      </c>
      <c r="AL48" s="5">
        <f t="shared" si="95"/>
        <v>-0.49999993452993852</v>
      </c>
      <c r="AM48" s="6">
        <f t="shared" si="96"/>
        <v>-1.1339743338447125E-7</v>
      </c>
      <c r="AN48" s="612">
        <f t="shared" si="97"/>
        <v>-89.999987005609626</v>
      </c>
      <c r="AO48" s="613">
        <f t="shared" si="98"/>
        <v>29.99999566853651</v>
      </c>
      <c r="AP48" s="624">
        <f t="shared" si="99"/>
        <v>-29.999995668535906</v>
      </c>
      <c r="AQ48" s="625">
        <f t="shared" si="248"/>
        <v>3.0010251056735449</v>
      </c>
      <c r="AS48" s="56">
        <f t="shared" si="410"/>
        <v>-242.60001695046037</v>
      </c>
      <c r="AT48" s="77">
        <f t="shared" si="249"/>
        <v>-1.9937064912503413</v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4"/>
        <v>5.1420000000000003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5"/>
        <v/>
      </c>
      <c r="IK48" s="839" t="str">
        <f t="shared" si="386"/>
        <v/>
      </c>
      <c r="IL48" s="791" t="str">
        <f t="shared" si="227"/>
        <v/>
      </c>
      <c r="IM48" s="830"/>
      <c r="IN48" s="5" t="str">
        <f t="shared" si="228"/>
        <v/>
      </c>
      <c r="IO48" s="852"/>
      <c r="IP48" s="9" t="str">
        <f t="shared" si="229"/>
        <v/>
      </c>
      <c r="IQ48" s="5" t="str">
        <f t="shared" si="230"/>
        <v/>
      </c>
      <c r="IR48" s="5" t="str">
        <f t="shared" si="387"/>
        <v/>
      </c>
      <c r="IS48" s="5" t="str">
        <f t="shared" si="231"/>
        <v/>
      </c>
      <c r="IT48" s="791" t="str">
        <f t="shared" si="232"/>
        <v/>
      </c>
      <c r="IU48" s="9" t="str">
        <f t="shared" si="233"/>
        <v/>
      </c>
      <c r="IV48" s="5" t="str">
        <f t="shared" si="234"/>
        <v/>
      </c>
      <c r="IW48" s="5" t="str">
        <f t="shared" si="388"/>
        <v/>
      </c>
      <c r="IX48" s="5" t="str">
        <f t="shared" si="235"/>
        <v/>
      </c>
      <c r="IY48" s="833" t="str">
        <f t="shared" si="236"/>
        <v/>
      </c>
    </row>
    <row r="49" spans="1:259" ht="15" customHeight="1" x14ac:dyDescent="0.25">
      <c r="A49" s="84">
        <f t="shared" si="81"/>
        <v>0</v>
      </c>
      <c r="B49" s="770">
        <v>-1.5310753430210122</v>
      </c>
      <c r="C49" s="771">
        <v>0.18121503438078881</v>
      </c>
      <c r="D49" s="772">
        <v>-0.16273371438347681</v>
      </c>
      <c r="E49" s="773">
        <v>8.6551577694423995E-2</v>
      </c>
      <c r="F49" s="771">
        <v>-1.0244301080867078E-2</v>
      </c>
      <c r="G49" s="774">
        <v>0.99619469918985759</v>
      </c>
      <c r="H49" s="773">
        <v>0.25700000000000001</v>
      </c>
      <c r="I49" s="771">
        <v>0.41499999999999992</v>
      </c>
      <c r="J49" s="601">
        <v>5.2069999999999999</v>
      </c>
      <c r="K49" s="426" t="str">
        <f t="shared" si="82"/>
        <v/>
      </c>
      <c r="L49" s="327"/>
      <c r="M49" s="173">
        <f t="shared" si="241"/>
        <v>5.2069999999999999</v>
      </c>
      <c r="N49" s="21">
        <f t="shared" si="242"/>
        <v>-1.5310753430210122</v>
      </c>
      <c r="O49" s="5">
        <f t="shared" si="243"/>
        <v>0.18121503438078881</v>
      </c>
      <c r="P49" s="10">
        <f t="shared" si="244"/>
        <v>-0.16273371438347681</v>
      </c>
      <c r="Q49" s="624">
        <f t="shared" si="116"/>
        <v>173.24998798018888</v>
      </c>
      <c r="R49" s="5">
        <f t="shared" si="83"/>
        <v>1.5417621718969954</v>
      </c>
      <c r="S49" s="6">
        <f t="shared" si="84"/>
        <v>-0.16273371438347681</v>
      </c>
      <c r="T49" s="4">
        <f t="shared" si="85"/>
        <v>0.18041334051765398</v>
      </c>
      <c r="U49" s="5">
        <f t="shared" si="86"/>
        <v>1.5311700170966651</v>
      </c>
      <c r="V49" s="8">
        <f t="shared" si="117"/>
        <v>-0.16273371438347681</v>
      </c>
      <c r="W49" s="624">
        <f t="shared" si="226"/>
        <v>83.279987975857409</v>
      </c>
      <c r="X49" s="5">
        <f t="shared" si="87"/>
        <v>1.5417621718969954</v>
      </c>
      <c r="Y49" s="7">
        <f t="shared" si="225"/>
        <v>-0.16273371438347681</v>
      </c>
      <c r="Z49" s="21">
        <f t="shared" si="245"/>
        <v>-8.6551577694423995E-2</v>
      </c>
      <c r="AA49" s="5">
        <f t="shared" si="246"/>
        <v>1.0244301080867078E-2</v>
      </c>
      <c r="AB49" s="5">
        <f t="shared" si="247"/>
        <v>-0.99619469918985759</v>
      </c>
      <c r="AC49" s="8">
        <f t="shared" si="88"/>
        <v>1</v>
      </c>
      <c r="AD49" s="9">
        <f t="shared" si="118"/>
        <v>-8.6551577694423995E-2</v>
      </c>
      <c r="AE49" s="5">
        <f t="shared" si="89"/>
        <v>1.0244301080867078E-2</v>
      </c>
      <c r="AF49" s="10">
        <f t="shared" si="90"/>
        <v>-0.99619469918985759</v>
      </c>
      <c r="AG49" s="622">
        <f t="shared" si="91"/>
        <v>0.58917652122808106</v>
      </c>
      <c r="AH49" s="623">
        <f t="shared" si="92"/>
        <v>94.96525258409855</v>
      </c>
      <c r="AI49" s="624">
        <f t="shared" si="93"/>
        <v>-4.9999992781061904</v>
      </c>
      <c r="AJ49" s="625">
        <f t="shared" si="94"/>
        <v>-96.750161113741797</v>
      </c>
      <c r="AK49" s="4">
        <f t="shared" si="213"/>
        <v>2.2679489669261144E-7</v>
      </c>
      <c r="AL49" s="5">
        <f t="shared" si="95"/>
        <v>8.7155730195885184E-2</v>
      </c>
      <c r="AM49" s="6">
        <f t="shared" si="96"/>
        <v>-0.99619469918985759</v>
      </c>
      <c r="AN49" s="612">
        <f t="shared" si="97"/>
        <v>4.9999992780894233</v>
      </c>
      <c r="AO49" s="613">
        <f t="shared" si="98"/>
        <v>0</v>
      </c>
      <c r="AP49" s="624">
        <f t="shared" si="99"/>
        <v>89.999850906069341</v>
      </c>
      <c r="AQ49" s="625">
        <f t="shared" si="248"/>
        <v>7.9916245637997001</v>
      </c>
      <c r="AS49" s="56">
        <f t="shared" si="410"/>
        <v>-276.72001202414259</v>
      </c>
      <c r="AT49" s="77">
        <f t="shared" si="249"/>
        <v>0.8827663310246987</v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>
        <f>IFERROR(IF($IU49="","",IF($IU49&lt;(((Settings!$C$19/2)*-1)*$IE$8),"",1)),"")</f>
        <v>1</v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4"/>
        <v>5.2069999999999999</v>
      </c>
      <c r="IH49" s="797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1.107</v>
      </c>
      <c r="II49" s="800" cm="1">
        <f t="array" ref="II49">IFERROR(IF($IH49&lt;1,$IH49+LARGE((IF($M$9:$M$150="",0,$M$9:$M$150)-MOD(IF($M$9:$M$150="",0,$M$9:$M$150),1)),1),$IH49),"")</f>
        <v>1.107</v>
      </c>
      <c r="IJ49" s="839" t="str">
        <f t="shared" si="385"/>
        <v>1313</v>
      </c>
      <c r="IK49" s="839" t="str">
        <f t="shared" si="386"/>
        <v/>
      </c>
      <c r="IL49" s="791">
        <f t="shared" si="227"/>
        <v>276.75001201981109</v>
      </c>
      <c r="IM49" s="830">
        <v>2.2228291452656999E-2</v>
      </c>
      <c r="IN49" s="5">
        <f t="shared" si="228"/>
        <v>0.06</v>
      </c>
      <c r="IO49" s="852">
        <v>30</v>
      </c>
      <c r="IP49" s="9">
        <f t="shared" si="229"/>
        <v>-1.5418046500828246</v>
      </c>
      <c r="IQ49" s="5">
        <f t="shared" si="230"/>
        <v>-0.12900038906517344</v>
      </c>
      <c r="IR49" s="5">
        <f t="shared" si="387"/>
        <v>0.26600000000000001</v>
      </c>
      <c r="IS49" s="5">
        <f t="shared" si="231"/>
        <v>0.25693627239520717</v>
      </c>
      <c r="IT49" s="791">
        <f t="shared" si="232"/>
        <v>-4.9999992780894216</v>
      </c>
      <c r="IU49" s="9">
        <f t="shared" si="233"/>
        <v>-1.5417621718969954</v>
      </c>
      <c r="IV49" s="5">
        <f t="shared" si="234"/>
        <v>-0.16273371438347681</v>
      </c>
      <c r="IW49" s="5">
        <f t="shared" si="388"/>
        <v>0.25700000000000001</v>
      </c>
      <c r="IX49" s="5">
        <f t="shared" si="235"/>
        <v>0.25700000000000001</v>
      </c>
      <c r="IY49" s="833">
        <f t="shared" si="236"/>
        <v>-4.9999992780894233</v>
      </c>
    </row>
    <row r="50" spans="1:259" ht="15" customHeight="1" x14ac:dyDescent="0.25">
      <c r="A50" s="84">
        <f t="shared" si="81"/>
        <v>0</v>
      </c>
      <c r="B50" s="770">
        <v>-2.1575340185841427</v>
      </c>
      <c r="C50" s="771">
        <v>-0.18041426479785969</v>
      </c>
      <c r="D50" s="772">
        <v>-0.10743076981201817</v>
      </c>
      <c r="E50" s="773">
        <v>8.6852623863480721E-2</v>
      </c>
      <c r="F50" s="771">
        <v>7.2624399521169607E-3</v>
      </c>
      <c r="G50" s="774">
        <v>0.99619469918985759</v>
      </c>
      <c r="H50" s="773">
        <v>0.25700000000000001</v>
      </c>
      <c r="I50" s="771">
        <v>0.41499999999999992</v>
      </c>
      <c r="J50" s="601">
        <v>5.21</v>
      </c>
      <c r="K50" s="426" t="str">
        <f t="shared" si="82"/>
        <v/>
      </c>
      <c r="L50" s="327"/>
      <c r="M50" s="173">
        <f t="shared" si="241"/>
        <v>5.21</v>
      </c>
      <c r="N50" s="21">
        <f t="shared" si="242"/>
        <v>-2.1575340185841427</v>
      </c>
      <c r="O50" s="5">
        <f t="shared" si="243"/>
        <v>-0.18041426479785969</v>
      </c>
      <c r="P50" s="10">
        <f t="shared" si="244"/>
        <v>-0.10743076981201817</v>
      </c>
      <c r="Q50" s="624">
        <f t="shared" si="116"/>
        <v>184.77998631546311</v>
      </c>
      <c r="R50" s="5">
        <f t="shared" si="83"/>
        <v>2.1650640517754649</v>
      </c>
      <c r="S50" s="6">
        <f t="shared" si="84"/>
        <v>-0.10743076981201817</v>
      </c>
      <c r="T50" s="4">
        <f t="shared" si="85"/>
        <v>-0.18154392202278866</v>
      </c>
      <c r="U50" s="5">
        <f t="shared" si="86"/>
        <v>2.157439258163941</v>
      </c>
      <c r="V50" s="8">
        <f t="shared" si="117"/>
        <v>-0.10743076981201817</v>
      </c>
      <c r="W50" s="624">
        <f t="shared" si="226"/>
        <v>94.809986311131638</v>
      </c>
      <c r="X50" s="5">
        <f t="shared" si="87"/>
        <v>2.1650640517754649</v>
      </c>
      <c r="Y50" s="7">
        <f t="shared" si="225"/>
        <v>-0.10743076981201817</v>
      </c>
      <c r="Z50" s="21">
        <f t="shared" si="245"/>
        <v>-8.6852623863480721E-2</v>
      </c>
      <c r="AA50" s="5">
        <f t="shared" si="246"/>
        <v>-7.2624399521169607E-3</v>
      </c>
      <c r="AB50" s="5">
        <f t="shared" si="247"/>
        <v>-0.99619469918985759</v>
      </c>
      <c r="AC50" s="8">
        <f t="shared" si="88"/>
        <v>1</v>
      </c>
      <c r="AD50" s="9">
        <f t="shared" si="118"/>
        <v>-8.6852623863480721E-2</v>
      </c>
      <c r="AE50" s="5">
        <f t="shared" si="89"/>
        <v>-7.2624399521169607E-3</v>
      </c>
      <c r="AF50" s="10">
        <f t="shared" si="90"/>
        <v>-0.99619469918985759</v>
      </c>
      <c r="AG50" s="622">
        <f t="shared" si="91"/>
        <v>-0.41768922000573616</v>
      </c>
      <c r="AH50" s="623">
        <f t="shared" si="92"/>
        <v>94.982566458249281</v>
      </c>
      <c r="AI50" s="624">
        <f t="shared" si="93"/>
        <v>-4.9999992781061904</v>
      </c>
      <c r="AJ50" s="625">
        <f t="shared" si="94"/>
        <v>-85.220162778467596</v>
      </c>
      <c r="AK50" s="4">
        <f t="shared" si="213"/>
        <v>2.2679489671776493E-7</v>
      </c>
      <c r="AL50" s="5">
        <f t="shared" si="95"/>
        <v>8.715573019588517E-2</v>
      </c>
      <c r="AM50" s="6">
        <f t="shared" si="96"/>
        <v>-0.99619469918985759</v>
      </c>
      <c r="AN50" s="612">
        <f t="shared" si="97"/>
        <v>4.9999992780894225</v>
      </c>
      <c r="AO50" s="613">
        <f t="shared" si="98"/>
        <v>0</v>
      </c>
      <c r="AP50" s="624">
        <f t="shared" si="99"/>
        <v>89.999850906069312</v>
      </c>
      <c r="AQ50" s="625">
        <f t="shared" si="248"/>
        <v>5.7091341522304697</v>
      </c>
      <c r="AS50" s="56">
        <f t="shared" si="410"/>
        <v>-265.19001368886836</v>
      </c>
      <c r="AT50" s="77">
        <f t="shared" si="249"/>
        <v>0.89451150410734337</v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>
        <f>IFERROR(IF($IU50="","",IF($IU50&lt;(((Settings!$C$19/2)*-1)*$IE$8),"",1)),"")</f>
        <v>1</v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4"/>
        <v>5.21</v>
      </c>
      <c r="IH50" s="797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1.1100000000000001</v>
      </c>
      <c r="II50" s="800" cm="1">
        <f t="array" ref="II50">IFERROR(IF($IH50&lt;1,$IH50+LARGE((IF($M$9:$M$150="",0,$M$9:$M$150)-MOD(IF($M$9:$M$150="",0,$M$9:$M$150),1)),1),$IH50),"")</f>
        <v>1.1100000000000001</v>
      </c>
      <c r="IJ50" s="839" t="str">
        <f t="shared" si="385"/>
        <v>1313</v>
      </c>
      <c r="IK50" s="839" t="str">
        <f t="shared" si="386"/>
        <v/>
      </c>
      <c r="IL50" s="791">
        <f t="shared" si="227"/>
        <v>265.19001368886836</v>
      </c>
      <c r="IM50" s="830">
        <v>2.3254463887353801E-2</v>
      </c>
      <c r="IN50" s="5">
        <f t="shared" si="228"/>
        <v>0.06</v>
      </c>
      <c r="IO50" s="852">
        <v>30</v>
      </c>
      <c r="IP50" s="9">
        <f t="shared" si="229"/>
        <v>-2.1651065299612942</v>
      </c>
      <c r="IQ50" s="5">
        <f t="shared" si="230"/>
        <v>-7.4500224692677655E-2</v>
      </c>
      <c r="IR50" s="5">
        <f t="shared" si="387"/>
        <v>0.26600000000000001</v>
      </c>
      <c r="IS50" s="5">
        <f t="shared" si="231"/>
        <v>0.25691366914720826</v>
      </c>
      <c r="IT50" s="791">
        <f t="shared" si="232"/>
        <v>-2.065979855470244</v>
      </c>
      <c r="IU50" s="9">
        <f t="shared" si="233"/>
        <v>-2.1650640517754649</v>
      </c>
      <c r="IV50" s="5">
        <f t="shared" si="234"/>
        <v>-0.10743076981201817</v>
      </c>
      <c r="IW50" s="5">
        <f t="shared" si="388"/>
        <v>0.25700000000000001</v>
      </c>
      <c r="IX50" s="5">
        <f t="shared" si="235"/>
        <v>0.25700000000000001</v>
      </c>
      <c r="IY50" s="833">
        <f t="shared" si="236"/>
        <v>-4.9999992780894225</v>
      </c>
    </row>
    <row r="51" spans="1:259" ht="15" customHeight="1" x14ac:dyDescent="0.25">
      <c r="A51" s="84">
        <f t="shared" si="81"/>
        <v>0.02</v>
      </c>
      <c r="B51" s="770">
        <v>-1.9443076453518569</v>
      </c>
      <c r="C51" s="771">
        <v>1.1261695446404401</v>
      </c>
      <c r="D51" s="772">
        <v>-6.7400203279013096E-2</v>
      </c>
      <c r="E51" s="773">
        <v>-0.48315685830626665</v>
      </c>
      <c r="F51" s="771">
        <v>-0.83614366209215074</v>
      </c>
      <c r="G51" s="774">
        <v>0.25965982865038173</v>
      </c>
      <c r="H51" s="773">
        <v>0.26600000000000001</v>
      </c>
      <c r="I51" s="771">
        <v>0.52</v>
      </c>
      <c r="J51" s="601">
        <v>6.1109999999999998</v>
      </c>
      <c r="K51" s="426" t="str">
        <f t="shared" si="82"/>
        <v>1313</v>
      </c>
      <c r="L51" s="327"/>
      <c r="M51" s="173">
        <f t="shared" si="241"/>
        <v>6.1109999999999998</v>
      </c>
      <c r="N51" s="21">
        <f t="shared" si="242"/>
        <v>-1.9443076453518569</v>
      </c>
      <c r="O51" s="5">
        <f t="shared" si="243"/>
        <v>1.1261695446404401</v>
      </c>
      <c r="P51" s="10">
        <f t="shared" si="244"/>
        <v>-6.7400203279013096E-2</v>
      </c>
      <c r="Q51" s="624">
        <f t="shared" si="116"/>
        <v>149.91999134862363</v>
      </c>
      <c r="R51" s="5">
        <f t="shared" si="83"/>
        <v>2.2469067766708388</v>
      </c>
      <c r="S51" s="6">
        <f t="shared" si="84"/>
        <v>-6.7400203279013096E-2</v>
      </c>
      <c r="T51" s="4">
        <f t="shared" si="85"/>
        <v>1.1251513533586122</v>
      </c>
      <c r="U51" s="5">
        <f t="shared" si="86"/>
        <v>1.9448970397130596</v>
      </c>
      <c r="V51" s="8">
        <f t="shared" si="117"/>
        <v>-6.7400203279013096E-2</v>
      </c>
      <c r="W51" s="624">
        <f t="shared" si="226"/>
        <v>59.949991344292158</v>
      </c>
      <c r="X51" s="5">
        <f t="shared" si="87"/>
        <v>2.2469067766708388</v>
      </c>
      <c r="Y51" s="7">
        <f t="shared" si="225"/>
        <v>-6.7400203279013096E-2</v>
      </c>
      <c r="Z51" s="21">
        <f t="shared" si="245"/>
        <v>0.48315685830626665</v>
      </c>
      <c r="AA51" s="5">
        <f t="shared" si="246"/>
        <v>0.83614366209215074</v>
      </c>
      <c r="AB51" s="5">
        <f t="shared" si="247"/>
        <v>-0.25965982865038173</v>
      </c>
      <c r="AC51" s="8">
        <f t="shared" si="88"/>
        <v>1</v>
      </c>
      <c r="AD51" s="9">
        <f t="shared" si="118"/>
        <v>0.48315685830626665</v>
      </c>
      <c r="AE51" s="5">
        <f t="shared" si="89"/>
        <v>0.83614366209215074</v>
      </c>
      <c r="AF51" s="10">
        <f t="shared" si="90"/>
        <v>-0.25965982865038173</v>
      </c>
      <c r="AG51" s="622">
        <f t="shared" si="91"/>
        <v>72.748105047316258</v>
      </c>
      <c r="AH51" s="623">
        <f t="shared" si="92"/>
        <v>61.108214799097155</v>
      </c>
      <c r="AI51" s="624">
        <f t="shared" si="93"/>
        <v>-74.950121455802375</v>
      </c>
      <c r="AJ51" s="625">
        <f t="shared" si="94"/>
        <v>149.97898014329937</v>
      </c>
      <c r="AK51" s="4">
        <f t="shared" si="213"/>
        <v>0.9656996349185043</v>
      </c>
      <c r="AL51" s="5">
        <f t="shared" si="95"/>
        <v>9.9423514426350001E-4</v>
      </c>
      <c r="AM51" s="6">
        <f t="shared" si="96"/>
        <v>-0.25965982865038173</v>
      </c>
      <c r="AN51" s="612">
        <f t="shared" si="97"/>
        <v>0.21938395135996788</v>
      </c>
      <c r="AO51" s="613">
        <f t="shared" si="98"/>
        <v>15.049991477575279</v>
      </c>
      <c r="AP51" s="624">
        <f t="shared" si="99"/>
        <v>5.8988794675730635E-2</v>
      </c>
      <c r="AQ51" s="625">
        <f t="shared" si="248"/>
        <v>5.502481265412384</v>
      </c>
      <c r="AS51" s="56">
        <f t="shared" si="410"/>
        <v>-300.05000865570787</v>
      </c>
      <c r="AT51" s="77">
        <f t="shared" si="249"/>
        <v>1.0662353849595199</v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4"/>
        <v>6.1109999999999998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5"/>
        <v/>
      </c>
      <c r="IK51" s="839" t="str">
        <f t="shared" si="386"/>
        <v/>
      </c>
      <c r="IL51" s="791" t="str">
        <f t="shared" si="227"/>
        <v/>
      </c>
      <c r="IM51" s="830"/>
      <c r="IN51" s="5" t="str">
        <f t="shared" si="228"/>
        <v/>
      </c>
      <c r="IO51" s="852"/>
      <c r="IP51" s="9" t="str">
        <f t="shared" si="229"/>
        <v/>
      </c>
      <c r="IQ51" s="5" t="str">
        <f t="shared" si="230"/>
        <v/>
      </c>
      <c r="IR51" s="5" t="str">
        <f t="shared" si="387"/>
        <v/>
      </c>
      <c r="IS51" s="5" t="str">
        <f t="shared" si="231"/>
        <v/>
      </c>
      <c r="IT51" s="791" t="str">
        <f t="shared" si="232"/>
        <v/>
      </c>
      <c r="IU51" s="9" t="str">
        <f t="shared" si="233"/>
        <v/>
      </c>
      <c r="IV51" s="5" t="str">
        <f t="shared" si="234"/>
        <v/>
      </c>
      <c r="IW51" s="5" t="str">
        <f t="shared" si="388"/>
        <v/>
      </c>
      <c r="IX51" s="5" t="str">
        <f t="shared" si="235"/>
        <v/>
      </c>
      <c r="IY51" s="833" t="str">
        <f t="shared" si="236"/>
        <v/>
      </c>
    </row>
    <row r="52" spans="1:259" ht="15" customHeight="1" x14ac:dyDescent="0.25">
      <c r="A52" s="84">
        <f t="shared" si="81"/>
        <v>0.02</v>
      </c>
      <c r="B52" s="770">
        <v>-2.541793881516857</v>
      </c>
      <c r="C52" s="771">
        <v>1.5116083843779815</v>
      </c>
      <c r="D52" s="772">
        <v>-0.1576004753230334</v>
      </c>
      <c r="E52" s="773">
        <v>-0.60202579766170283</v>
      </c>
      <c r="F52" s="771">
        <v>-0.76329325970530759</v>
      </c>
      <c r="G52" s="774">
        <v>0.23441061972154001</v>
      </c>
      <c r="H52" s="773">
        <v>0.314</v>
      </c>
      <c r="I52" s="771">
        <v>0.52</v>
      </c>
      <c r="J52" s="601">
        <v>6.117</v>
      </c>
      <c r="K52" s="426" t="str">
        <f t="shared" si="82"/>
        <v>1613</v>
      </c>
      <c r="L52" s="327"/>
      <c r="M52" s="173">
        <f t="shared" si="241"/>
        <v>6.117</v>
      </c>
      <c r="N52" s="21">
        <f t="shared" si="242"/>
        <v>-2.541793881516857</v>
      </c>
      <c r="O52" s="5">
        <f t="shared" si="243"/>
        <v>1.5116083843779815</v>
      </c>
      <c r="P52" s="10">
        <f t="shared" si="244"/>
        <v>-0.1576004753230334</v>
      </c>
      <c r="Q52" s="624">
        <f t="shared" si="116"/>
        <v>149.25999133707307</v>
      </c>
      <c r="R52" s="5">
        <f t="shared" si="83"/>
        <v>2.9573089192437001</v>
      </c>
      <c r="S52" s="6">
        <f t="shared" si="84"/>
        <v>-0.1576004753230334</v>
      </c>
      <c r="T52" s="4">
        <f t="shared" si="85"/>
        <v>1.5102772972588168</v>
      </c>
      <c r="U52" s="5">
        <f t="shared" si="86"/>
        <v>2.542585009242158</v>
      </c>
      <c r="V52" s="8">
        <f t="shared" si="117"/>
        <v>-0.1576004753230334</v>
      </c>
      <c r="W52" s="624">
        <f t="shared" si="226"/>
        <v>59.289991332741607</v>
      </c>
      <c r="X52" s="5">
        <f t="shared" si="87"/>
        <v>2.9573089192437001</v>
      </c>
      <c r="Y52" s="7">
        <f t="shared" si="225"/>
        <v>-0.1576004753230334</v>
      </c>
      <c r="Z52" s="21">
        <f t="shared" si="245"/>
        <v>0.60202579766170283</v>
      </c>
      <c r="AA52" s="5">
        <f t="shared" si="246"/>
        <v>0.76329325970530759</v>
      </c>
      <c r="AB52" s="5">
        <f t="shared" si="247"/>
        <v>-0.23441061972154001</v>
      </c>
      <c r="AC52" s="8">
        <f t="shared" si="88"/>
        <v>1</v>
      </c>
      <c r="AD52" s="9">
        <f t="shared" si="118"/>
        <v>0.60202579766170283</v>
      </c>
      <c r="AE52" s="5">
        <f t="shared" si="89"/>
        <v>0.76329325970530759</v>
      </c>
      <c r="AF52" s="10">
        <f t="shared" si="90"/>
        <v>-0.23441061972154001</v>
      </c>
      <c r="AG52" s="622">
        <f t="shared" si="91"/>
        <v>72.928054256853741</v>
      </c>
      <c r="AH52" s="623">
        <f t="shared" si="92"/>
        <v>52.984877092333747</v>
      </c>
      <c r="AI52" s="624">
        <f t="shared" si="93"/>
        <v>-76.443116619542081</v>
      </c>
      <c r="AJ52" s="625">
        <f t="shared" si="94"/>
        <v>141.73639635431149</v>
      </c>
      <c r="AK52" s="4">
        <f t="shared" si="213"/>
        <v>0.96376856747457351</v>
      </c>
      <c r="AL52" s="5">
        <f t="shared" si="95"/>
        <v>-0.12728632962644487</v>
      </c>
      <c r="AM52" s="6">
        <f t="shared" si="96"/>
        <v>-0.23441061972154001</v>
      </c>
      <c r="AN52" s="612">
        <f t="shared" si="97"/>
        <v>-28.502217594414866</v>
      </c>
      <c r="AO52" s="613">
        <f t="shared" si="98"/>
        <v>15.470360722796613</v>
      </c>
      <c r="AP52" s="624">
        <f t="shared" si="99"/>
        <v>-7.5235949827615931</v>
      </c>
      <c r="AQ52" s="625">
        <f t="shared" si="248"/>
        <v>4.1861160414596768</v>
      </c>
      <c r="AS52" s="56">
        <f t="shared" si="410"/>
        <v>-300.71000866725842</v>
      </c>
      <c r="AT52" s="77">
        <f t="shared" si="249"/>
        <v>0.97852844629246838</v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4"/>
        <v>6.117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5"/>
        <v/>
      </c>
      <c r="IK52" s="839" t="str">
        <f t="shared" si="386"/>
        <v/>
      </c>
      <c r="IL52" s="791" t="str">
        <f t="shared" si="227"/>
        <v/>
      </c>
      <c r="IM52" s="830"/>
      <c r="IN52" s="5" t="str">
        <f t="shared" si="228"/>
        <v/>
      </c>
      <c r="IO52" s="852"/>
      <c r="IP52" s="9" t="str">
        <f t="shared" si="229"/>
        <v/>
      </c>
      <c r="IQ52" s="5" t="str">
        <f t="shared" si="230"/>
        <v/>
      </c>
      <c r="IR52" s="5" t="str">
        <f t="shared" si="387"/>
        <v/>
      </c>
      <c r="IS52" s="5" t="str">
        <f t="shared" si="231"/>
        <v/>
      </c>
      <c r="IT52" s="791" t="str">
        <f t="shared" si="232"/>
        <v/>
      </c>
      <c r="IU52" s="9" t="str">
        <f t="shared" si="233"/>
        <v/>
      </c>
      <c r="IV52" s="5" t="str">
        <f t="shared" si="234"/>
        <v/>
      </c>
      <c r="IW52" s="5" t="str">
        <f t="shared" si="388"/>
        <v/>
      </c>
      <c r="IX52" s="5" t="str">
        <f t="shared" si="235"/>
        <v/>
      </c>
      <c r="IY52" s="833" t="str">
        <f t="shared" si="236"/>
        <v/>
      </c>
    </row>
    <row r="53" spans="1:259" ht="15" customHeight="1" x14ac:dyDescent="0.25">
      <c r="A53" s="84">
        <f t="shared" si="81"/>
        <v>0.02</v>
      </c>
      <c r="B53" s="770">
        <v>-3.0882397163632627</v>
      </c>
      <c r="C53" s="771">
        <v>1.9118068520872666</v>
      </c>
      <c r="D53" s="772">
        <v>-0.55700167991706673</v>
      </c>
      <c r="E53" s="773">
        <v>-0.71575941613133187</v>
      </c>
      <c r="F53" s="771">
        <v>-0.67535736757006404</v>
      </c>
      <c r="G53" s="774">
        <v>0.17771011307229678</v>
      </c>
      <c r="H53" s="773">
        <v>0.314</v>
      </c>
      <c r="I53" s="771">
        <v>0.52</v>
      </c>
      <c r="J53" s="601">
        <v>6.1230000000000002</v>
      </c>
      <c r="K53" s="426" t="str">
        <f t="shared" si="82"/>
        <v>1613</v>
      </c>
      <c r="L53" s="327"/>
      <c r="M53" s="173">
        <f t="shared" si="241"/>
        <v>6.1230000000000002</v>
      </c>
      <c r="N53" s="21">
        <f t="shared" si="242"/>
        <v>-3.0882397163632627</v>
      </c>
      <c r="O53" s="5">
        <f t="shared" si="243"/>
        <v>1.9118068520872666</v>
      </c>
      <c r="P53" s="10">
        <f t="shared" si="244"/>
        <v>-0.55700167991706673</v>
      </c>
      <c r="Q53" s="624">
        <f t="shared" si="116"/>
        <v>148.23999133707309</v>
      </c>
      <c r="R53" s="5">
        <f t="shared" ref="R53:R58" si="414">IF(M53="","",SQRT(N53^2+O53^2))</f>
        <v>3.6321109544466381</v>
      </c>
      <c r="S53" s="6">
        <f t="shared" ref="S53:S58" si="415">IF(M53="","",P53)</f>
        <v>-0.55700167991706673</v>
      </c>
      <c r="T53" s="4">
        <f t="shared" ref="T53:T58" si="416">IF(M53="","",X53*COS(RADIANS(W53)))</f>
        <v>1.9101895917941041</v>
      </c>
      <c r="U53" s="5">
        <f t="shared" ref="U53:U58" si="417">IF(M53="","",X53*SIN(RADIANS(W53)))</f>
        <v>3.0892403125708339</v>
      </c>
      <c r="V53" s="8">
        <f t="shared" ref="V53:V58" si="418">IF(M53="","",Y53)</f>
        <v>-0.55700167991706673</v>
      </c>
      <c r="W53" s="624">
        <f t="shared" si="226"/>
        <v>58.269991332741625</v>
      </c>
      <c r="X53" s="5">
        <f t="shared" ref="X53:X58" si="419">IF(M53="","",R53)</f>
        <v>3.6321109544466381</v>
      </c>
      <c r="Y53" s="7">
        <f t="shared" si="225"/>
        <v>-0.55700167991706673</v>
      </c>
      <c r="Z53" s="21">
        <f t="shared" si="245"/>
        <v>0.71575941613133187</v>
      </c>
      <c r="AA53" s="5">
        <f t="shared" si="246"/>
        <v>0.67535736757006404</v>
      </c>
      <c r="AB53" s="5">
        <f t="shared" si="247"/>
        <v>-0.17771011307229678</v>
      </c>
      <c r="AC53" s="8">
        <f t="shared" ref="AC53:AC58" si="420">IF(M53="","",SQRT(Z53^2+AA53^2+AB53^2))</f>
        <v>1</v>
      </c>
      <c r="AD53" s="9">
        <f t="shared" ref="AD53:AD58" si="421">IF(M53="","",Z53*(1/SQRT(Z53^2+AA53^2+AB53^2)))</f>
        <v>0.71575941613133187</v>
      </c>
      <c r="AE53" s="5">
        <f t="shared" ref="AE53:AE58" si="422">IF(M53="","",AA53*(1/SQRT(Z53^2+AA53^2+AB53^2)))</f>
        <v>0.67535736757006404</v>
      </c>
      <c r="AF53" s="10">
        <f t="shared" ref="AF53:AF58" si="423">IF(M53="","",AB53*(1/SQRT(Z53^2+AA53^2+AB53^2)))</f>
        <v>-0.17771011307229678</v>
      </c>
      <c r="AG53" s="622">
        <f t="shared" ref="AG53:AG58" si="424">IF(M53="","",DEGREES(ATAN2(-AF53,AE53)))</f>
        <v>75.257667778995227</v>
      </c>
      <c r="AH53" s="623">
        <f t="shared" ref="AH53:AH58" si="425">IF(M53="","",DEGREES(ACOS(AD53)))</f>
        <v>44.294529317048166</v>
      </c>
      <c r="AI53" s="624">
        <f t="shared" ref="AI53:AI58" si="426">IF(M53="","",DEGREES(-ACOS(-AF53)))</f>
        <v>-79.763591312553586</v>
      </c>
      <c r="AJ53" s="625">
        <f t="shared" ref="AJ53:AJ58" si="427">IF(M53="","",DEGREES(ATAN2(-AE53,AD53)))</f>
        <v>133.33643273707355</v>
      </c>
      <c r="AK53" s="4">
        <f t="shared" ref="AK53:AK58" si="428">IF(M53="","",(COS(RADIANS((90-$Q$8)-W53))*AD53)+(-SIN(RADIANS((90-$Q$8)-W53))*AE53))</f>
        <v>0.95097843782707636</v>
      </c>
      <c r="AL53" s="5">
        <f t="shared" ref="AL53:AL58" si="429">IF(M53="","",(SIN(RADIANS((90-$Q$8)-W53))*AD53)+(COS(RADIANS((90-$Q$8)-W53))*AE53))</f>
        <v>-0.25309904484174772</v>
      </c>
      <c r="AM53" s="6">
        <f t="shared" ref="AM53:AM58" si="430">IF(M53="","",AF53)</f>
        <v>-0.17771011307229678</v>
      </c>
      <c r="AN53" s="612">
        <f t="shared" ref="AN53:AN58" si="431">IF(M53="","",DEGREES(ATAN2(-AM53,AL53)))</f>
        <v>-54.925900847742454</v>
      </c>
      <c r="AO53" s="613">
        <f t="shared" si="98"/>
        <v>18.014471141660639</v>
      </c>
      <c r="AP53" s="624">
        <f t="shared" ref="AP53:AP58" si="432">IF(M53="","",DEGREES(ATAN2(AK53,AL53)))</f>
        <v>-14.90355859999956</v>
      </c>
      <c r="AQ53" s="625">
        <f t="shared" si="248"/>
        <v>3.4104307605773094</v>
      </c>
      <c r="AS53" s="56">
        <f t="shared" si="410"/>
        <v>-301.7300086672584</v>
      </c>
      <c r="AT53" s="77">
        <f t="shared" si="249"/>
        <v>0.58298057503176826</v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4"/>
        <v>6.1230000000000002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5"/>
        <v/>
      </c>
      <c r="IK53" s="839" t="str">
        <f t="shared" si="386"/>
        <v/>
      </c>
      <c r="IL53" s="791" t="str">
        <f t="shared" si="227"/>
        <v/>
      </c>
      <c r="IM53" s="830"/>
      <c r="IN53" s="5" t="str">
        <f t="shared" si="228"/>
        <v/>
      </c>
      <c r="IO53" s="852"/>
      <c r="IP53" s="9" t="str">
        <f t="shared" si="229"/>
        <v/>
      </c>
      <c r="IQ53" s="5" t="str">
        <f t="shared" si="230"/>
        <v/>
      </c>
      <c r="IR53" s="5" t="str">
        <f t="shared" si="387"/>
        <v/>
      </c>
      <c r="IS53" s="5" t="str">
        <f t="shared" si="231"/>
        <v/>
      </c>
      <c r="IT53" s="791" t="str">
        <f t="shared" si="232"/>
        <v/>
      </c>
      <c r="IU53" s="9" t="str">
        <f t="shared" si="233"/>
        <v/>
      </c>
      <c r="IV53" s="5" t="str">
        <f t="shared" si="234"/>
        <v/>
      </c>
      <c r="IW53" s="5" t="str">
        <f t="shared" si="388"/>
        <v/>
      </c>
      <c r="IX53" s="5" t="str">
        <f t="shared" si="235"/>
        <v/>
      </c>
      <c r="IY53" s="833" t="str">
        <f t="shared" si="236"/>
        <v/>
      </c>
    </row>
    <row r="54" spans="1:259" ht="15" customHeight="1" x14ac:dyDescent="0.25">
      <c r="A54" s="84">
        <f t="shared" si="81"/>
        <v>0.02</v>
      </c>
      <c r="B54" s="770">
        <v>-3.399921895409781</v>
      </c>
      <c r="C54" s="771">
        <v>2.1618209967647766</v>
      </c>
      <c r="D54" s="772">
        <v>-1.2332037193424175</v>
      </c>
      <c r="E54" s="773">
        <v>-0.78890016478966729</v>
      </c>
      <c r="F54" s="771">
        <v>-0.60984334006465524</v>
      </c>
      <c r="G54" s="774">
        <v>7.5681111075494328E-2</v>
      </c>
      <c r="H54" s="773">
        <v>0.314</v>
      </c>
      <c r="I54" s="771">
        <v>0.52</v>
      </c>
      <c r="J54" s="601">
        <v>6.1289999999999996</v>
      </c>
      <c r="K54" s="426" t="str">
        <f t="shared" si="82"/>
        <v>1613</v>
      </c>
      <c r="L54" s="327"/>
      <c r="M54" s="173">
        <f t="shared" si="241"/>
        <v>6.1289999999999996</v>
      </c>
      <c r="N54" s="21">
        <f t="shared" si="242"/>
        <v>-3.399921895409781</v>
      </c>
      <c r="O54" s="5">
        <f t="shared" si="243"/>
        <v>2.1618209967647766</v>
      </c>
      <c r="P54" s="10">
        <f t="shared" si="244"/>
        <v>-1.2332037193424175</v>
      </c>
      <c r="Q54" s="624">
        <f t="shared" si="116"/>
        <v>147.54999133707307</v>
      </c>
      <c r="R54" s="5">
        <f t="shared" si="414"/>
        <v>4.0290121515006492</v>
      </c>
      <c r="S54" s="6">
        <f t="shared" si="415"/>
        <v>-1.2332037193424175</v>
      </c>
      <c r="T54" s="4">
        <f t="shared" si="416"/>
        <v>2.1600405058239223</v>
      </c>
      <c r="U54" s="5">
        <f t="shared" si="417"/>
        <v>3.4010533559677985</v>
      </c>
      <c r="V54" s="8">
        <f t="shared" si="418"/>
        <v>-1.2332037193424175</v>
      </c>
      <c r="W54" s="624">
        <f t="shared" si="226"/>
        <v>57.579991332741599</v>
      </c>
      <c r="X54" s="5">
        <f t="shared" si="419"/>
        <v>4.0290121515006492</v>
      </c>
      <c r="Y54" s="7">
        <f t="shared" si="225"/>
        <v>-1.2332037193424175</v>
      </c>
      <c r="Z54" s="21">
        <f t="shared" si="245"/>
        <v>0.78890016478966729</v>
      </c>
      <c r="AA54" s="5">
        <f t="shared" si="246"/>
        <v>0.60984334006465524</v>
      </c>
      <c r="AB54" s="5">
        <f t="shared" si="247"/>
        <v>-7.5681111075494328E-2</v>
      </c>
      <c r="AC54" s="8">
        <f t="shared" si="420"/>
        <v>1</v>
      </c>
      <c r="AD54" s="9">
        <f t="shared" si="421"/>
        <v>0.78890016478966729</v>
      </c>
      <c r="AE54" s="5">
        <f t="shared" si="422"/>
        <v>0.60984334006465524</v>
      </c>
      <c r="AF54" s="10">
        <f t="shared" si="423"/>
        <v>-7.5681111075494328E-2</v>
      </c>
      <c r="AG54" s="622">
        <f t="shared" si="424"/>
        <v>82.92580353676486</v>
      </c>
      <c r="AH54" s="623">
        <f t="shared" si="425"/>
        <v>37.91715134410105</v>
      </c>
      <c r="AI54" s="624">
        <f t="shared" si="426"/>
        <v>-85.659641674560021</v>
      </c>
      <c r="AJ54" s="625">
        <f t="shared" si="427"/>
        <v>127.70509211608585</v>
      </c>
      <c r="AK54" s="4">
        <f t="shared" si="428"/>
        <v>0.93791741577191923</v>
      </c>
      <c r="AL54" s="5">
        <f t="shared" si="429"/>
        <v>-0.33850153709858355</v>
      </c>
      <c r="AM54" s="6">
        <f t="shared" si="430"/>
        <v>-7.5681111075494328E-2</v>
      </c>
      <c r="AN54" s="612">
        <f t="shared" si="431"/>
        <v>-77.397250938185479</v>
      </c>
      <c r="AO54" s="613">
        <f t="shared" si="98"/>
        <v>20.295295867185249</v>
      </c>
      <c r="AP54" s="624">
        <f t="shared" si="432"/>
        <v>-19.844899220987212</v>
      </c>
      <c r="AQ54" s="625">
        <f t="shared" si="248"/>
        <v>3.0751464396189854</v>
      </c>
      <c r="AS54" s="56">
        <f t="shared" si="410"/>
        <v>-302.4200086672584</v>
      </c>
      <c r="AT54" s="77">
        <f t="shared" si="249"/>
        <v>-9.0614797726915608E-2</v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4"/>
        <v>6.1289999999999996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5"/>
        <v/>
      </c>
      <c r="IK54" s="839" t="str">
        <f t="shared" si="386"/>
        <v/>
      </c>
      <c r="IL54" s="791" t="str">
        <f t="shared" si="227"/>
        <v/>
      </c>
      <c r="IM54" s="830"/>
      <c r="IN54" s="5" t="str">
        <f t="shared" si="228"/>
        <v/>
      </c>
      <c r="IO54" s="852"/>
      <c r="IP54" s="9" t="str">
        <f t="shared" si="229"/>
        <v/>
      </c>
      <c r="IQ54" s="5" t="str">
        <f t="shared" si="230"/>
        <v/>
      </c>
      <c r="IR54" s="5" t="str">
        <f t="shared" si="387"/>
        <v/>
      </c>
      <c r="IS54" s="5" t="str">
        <f t="shared" si="231"/>
        <v/>
      </c>
      <c r="IT54" s="791" t="str">
        <f t="shared" si="232"/>
        <v/>
      </c>
      <c r="IU54" s="9" t="str">
        <f t="shared" si="233"/>
        <v/>
      </c>
      <c r="IV54" s="5" t="str">
        <f t="shared" si="234"/>
        <v/>
      </c>
      <c r="IW54" s="5" t="str">
        <f t="shared" si="388"/>
        <v/>
      </c>
      <c r="IX54" s="5" t="str">
        <f t="shared" si="235"/>
        <v/>
      </c>
      <c r="IY54" s="833" t="str">
        <f t="shared" si="236"/>
        <v/>
      </c>
    </row>
    <row r="55" spans="1:259" ht="15" customHeight="1" x14ac:dyDescent="0.25">
      <c r="A55" s="84">
        <f t="shared" si="81"/>
        <v>0.02</v>
      </c>
      <c r="B55" s="770">
        <v>-3.4770781799273789</v>
      </c>
      <c r="C55" s="771">
        <v>2.2262510738004062</v>
      </c>
      <c r="D55" s="772">
        <v>-2.0081060564478661</v>
      </c>
      <c r="E55" s="773">
        <v>-0.88805625822458334</v>
      </c>
      <c r="F55" s="771">
        <v>-0.45973479553775287</v>
      </c>
      <c r="G55" s="774">
        <v>1.1339743320583981E-7</v>
      </c>
      <c r="H55" s="773">
        <v>0.314</v>
      </c>
      <c r="I55" s="771">
        <v>0.52</v>
      </c>
      <c r="J55" s="601">
        <v>6.1349999999999998</v>
      </c>
      <c r="K55" s="426" t="str">
        <f t="shared" si="82"/>
        <v>1613</v>
      </c>
      <c r="L55" s="327"/>
      <c r="M55" s="173">
        <f t="shared" si="241"/>
        <v>6.1349999999999998</v>
      </c>
      <c r="N55" s="21">
        <f t="shared" si="242"/>
        <v>-3.4770781799273789</v>
      </c>
      <c r="O55" s="5">
        <f t="shared" si="243"/>
        <v>2.2262510738004062</v>
      </c>
      <c r="P55" s="10">
        <f t="shared" si="244"/>
        <v>-2.0081060564478661</v>
      </c>
      <c r="Q55" s="624">
        <f t="shared" si="116"/>
        <v>147.36999133707309</v>
      </c>
      <c r="R55" s="5">
        <f t="shared" si="414"/>
        <v>4.1287124521967566</v>
      </c>
      <c r="S55" s="6">
        <f t="shared" si="415"/>
        <v>-2.0081060564478661</v>
      </c>
      <c r="T55" s="4">
        <f t="shared" si="416"/>
        <v>2.2244301750991942</v>
      </c>
      <c r="U55" s="5">
        <f t="shared" si="417"/>
        <v>3.4782433654120184</v>
      </c>
      <c r="V55" s="8">
        <f t="shared" si="418"/>
        <v>-2.0081060564478661</v>
      </c>
      <c r="W55" s="624">
        <f t="shared" si="226"/>
        <v>57.399991332741621</v>
      </c>
      <c r="X55" s="5">
        <f t="shared" si="419"/>
        <v>4.1287124521967566</v>
      </c>
      <c r="Y55" s="7">
        <f t="shared" si="225"/>
        <v>-2.0081060564478661</v>
      </c>
      <c r="Z55" s="21">
        <f t="shared" si="245"/>
        <v>0.88805625822458334</v>
      </c>
      <c r="AA55" s="5">
        <f t="shared" si="246"/>
        <v>0.45973479553775287</v>
      </c>
      <c r="AB55" s="5">
        <f t="shared" si="247"/>
        <v>-1.1339743320583981E-7</v>
      </c>
      <c r="AC55" s="8">
        <f t="shared" si="420"/>
        <v>1</v>
      </c>
      <c r="AD55" s="9">
        <f t="shared" si="421"/>
        <v>0.88805625822458334</v>
      </c>
      <c r="AE55" s="5">
        <f t="shared" si="422"/>
        <v>0.45973479553775287</v>
      </c>
      <c r="AF55" s="10">
        <f t="shared" si="423"/>
        <v>-1.1339743320583981E-7</v>
      </c>
      <c r="AG55" s="622">
        <f t="shared" si="424"/>
        <v>89.999985867516685</v>
      </c>
      <c r="AH55" s="623">
        <f t="shared" si="425"/>
        <v>27.369995668537882</v>
      </c>
      <c r="AI55" s="624">
        <f t="shared" si="426"/>
        <v>-89.999993502805665</v>
      </c>
      <c r="AJ55" s="625">
        <f t="shared" si="427"/>
        <v>117.36999566853716</v>
      </c>
      <c r="AK55" s="4">
        <f t="shared" si="428"/>
        <v>0.86602544158358552</v>
      </c>
      <c r="AL55" s="5">
        <f t="shared" si="429"/>
        <v>-0.49999993452993874</v>
      </c>
      <c r="AM55" s="6">
        <f t="shared" si="430"/>
        <v>-1.1339743320583981E-7</v>
      </c>
      <c r="AN55" s="612">
        <f t="shared" si="431"/>
        <v>-89.99998700560964</v>
      </c>
      <c r="AO55" s="613">
        <f>IF(ROUND(IF(M55="",0,DEGREES(ACOS(AK55))),4)=90,0,IF(M55="","",DEGREES(ACOS(AK55))))</f>
        <v>29.999995668536549</v>
      </c>
      <c r="AP55" s="624">
        <f t="shared" si="432"/>
        <v>-29.99999566853592</v>
      </c>
      <c r="AQ55" s="625">
        <f t="shared" si="248"/>
        <v>3.0010251056735449</v>
      </c>
      <c r="AS55" s="56">
        <f t="shared" si="410"/>
        <v>-302.60000866725841</v>
      </c>
      <c r="AT55" s="77">
        <f t="shared" si="249"/>
        <v>-0.86483713483236446</v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4"/>
        <v>6.1349999999999998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5"/>
        <v/>
      </c>
      <c r="IK55" s="839" t="str">
        <f t="shared" si="386"/>
        <v/>
      </c>
      <c r="IL55" s="791" t="str">
        <f t="shared" si="227"/>
        <v/>
      </c>
      <c r="IM55" s="830"/>
      <c r="IN55" s="5" t="str">
        <f t="shared" si="228"/>
        <v/>
      </c>
      <c r="IO55" s="852"/>
      <c r="IP55" s="9" t="str">
        <f t="shared" si="229"/>
        <v/>
      </c>
      <c r="IQ55" s="5" t="str">
        <f t="shared" si="230"/>
        <v/>
      </c>
      <c r="IR55" s="5" t="str">
        <f t="shared" si="387"/>
        <v/>
      </c>
      <c r="IS55" s="5" t="str">
        <f t="shared" si="231"/>
        <v/>
      </c>
      <c r="IT55" s="791" t="str">
        <f t="shared" si="232"/>
        <v/>
      </c>
      <c r="IU55" s="9" t="str">
        <f t="shared" si="233"/>
        <v/>
      </c>
      <c r="IV55" s="5" t="str">
        <f t="shared" si="234"/>
        <v/>
      </c>
      <c r="IW55" s="5" t="str">
        <f t="shared" si="388"/>
        <v/>
      </c>
      <c r="IX55" s="5" t="str">
        <f t="shared" si="235"/>
        <v/>
      </c>
      <c r="IY55" s="833" t="str">
        <f t="shared" si="236"/>
        <v/>
      </c>
    </row>
    <row r="56" spans="1:259" ht="15" customHeight="1" x14ac:dyDescent="0.25">
      <c r="A56" s="84">
        <f t="shared" si="81"/>
        <v>0.02</v>
      </c>
      <c r="B56" s="770">
        <v>-3.4770781799273789</v>
      </c>
      <c r="C56" s="771">
        <v>2.2262510738004062</v>
      </c>
      <c r="D56" s="772">
        <v>-2.7814083887277001</v>
      </c>
      <c r="E56" s="773">
        <v>-0.88805625822458334</v>
      </c>
      <c r="F56" s="771">
        <v>-0.45973479553775287</v>
      </c>
      <c r="G56" s="774">
        <v>1.1339743320583981E-7</v>
      </c>
      <c r="H56" s="773">
        <v>0.314</v>
      </c>
      <c r="I56" s="771">
        <v>0.52</v>
      </c>
      <c r="J56" s="601">
        <v>6.141</v>
      </c>
      <c r="K56" s="426" t="str">
        <f t="shared" si="82"/>
        <v>1613</v>
      </c>
      <c r="L56" s="327"/>
      <c r="M56" s="173">
        <f t="shared" si="241"/>
        <v>6.141</v>
      </c>
      <c r="N56" s="21">
        <f t="shared" si="242"/>
        <v>-3.4770781799273789</v>
      </c>
      <c r="O56" s="5">
        <f t="shared" si="243"/>
        <v>2.2262510738004062</v>
      </c>
      <c r="P56" s="10">
        <f t="shared" si="244"/>
        <v>-2.7814083887277001</v>
      </c>
      <c r="Q56" s="624">
        <f t="shared" si="116"/>
        <v>147.36999133707309</v>
      </c>
      <c r="R56" s="5">
        <f t="shared" si="414"/>
        <v>4.1287124521967566</v>
      </c>
      <c r="S56" s="6">
        <f t="shared" si="415"/>
        <v>-2.7814083887277001</v>
      </c>
      <c r="T56" s="4">
        <f t="shared" si="416"/>
        <v>2.2244301750991942</v>
      </c>
      <c r="U56" s="5">
        <f t="shared" si="417"/>
        <v>3.4782433654120184</v>
      </c>
      <c r="V56" s="8">
        <f t="shared" si="418"/>
        <v>-2.7814083887277001</v>
      </c>
      <c r="W56" s="624">
        <f t="shared" si="226"/>
        <v>57.399991332741621</v>
      </c>
      <c r="X56" s="5">
        <f t="shared" si="419"/>
        <v>4.1287124521967566</v>
      </c>
      <c r="Y56" s="7">
        <f t="shared" si="225"/>
        <v>-2.7814083887277001</v>
      </c>
      <c r="Z56" s="21">
        <f t="shared" si="245"/>
        <v>0.88805625822458334</v>
      </c>
      <c r="AA56" s="5">
        <f t="shared" si="246"/>
        <v>0.45973479553775287</v>
      </c>
      <c r="AB56" s="5">
        <f t="shared" si="247"/>
        <v>-1.1339743320583981E-7</v>
      </c>
      <c r="AC56" s="8">
        <f t="shared" si="420"/>
        <v>1</v>
      </c>
      <c r="AD56" s="9">
        <f t="shared" si="421"/>
        <v>0.88805625822458334</v>
      </c>
      <c r="AE56" s="5">
        <f t="shared" si="422"/>
        <v>0.45973479553775287</v>
      </c>
      <c r="AF56" s="10">
        <f t="shared" si="423"/>
        <v>-1.1339743320583981E-7</v>
      </c>
      <c r="AG56" s="622">
        <f t="shared" si="424"/>
        <v>89.999985867516685</v>
      </c>
      <c r="AH56" s="623">
        <f t="shared" si="425"/>
        <v>27.369995668537882</v>
      </c>
      <c r="AI56" s="624">
        <f t="shared" si="426"/>
        <v>-89.999993502805665</v>
      </c>
      <c r="AJ56" s="625">
        <f t="shared" si="427"/>
        <v>117.36999566853716</v>
      </c>
      <c r="AK56" s="4">
        <f t="shared" si="428"/>
        <v>0.86602544158358552</v>
      </c>
      <c r="AL56" s="5">
        <f t="shared" si="429"/>
        <v>-0.49999993452993874</v>
      </c>
      <c r="AM56" s="6">
        <f t="shared" si="430"/>
        <v>-1.1339743320583981E-7</v>
      </c>
      <c r="AN56" s="612">
        <f t="shared" si="431"/>
        <v>-89.99998700560964</v>
      </c>
      <c r="AO56" s="613">
        <f t="shared" ref="AO56:AO119" si="465">IF(ROUND(IF(M56="",0,DEGREES(ACOS(AK56))),4)=90,0,IF(M56="","",DEGREES(ACOS(AK56))))</f>
        <v>29.999995668536549</v>
      </c>
      <c r="AP56" s="624">
        <f t="shared" si="432"/>
        <v>-29.99999566853592</v>
      </c>
      <c r="AQ56" s="625">
        <f t="shared" si="248"/>
        <v>3.0010251056735449</v>
      </c>
      <c r="AS56" s="56">
        <f t="shared" si="410"/>
        <v>-302.60000866725841</v>
      </c>
      <c r="AT56" s="77">
        <f t="shared" si="249"/>
        <v>-1.6381394671121985</v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4"/>
        <v>6.141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5"/>
        <v/>
      </c>
      <c r="IK56" s="839" t="str">
        <f t="shared" si="386"/>
        <v/>
      </c>
      <c r="IL56" s="791" t="str">
        <f t="shared" si="227"/>
        <v/>
      </c>
      <c r="IM56" s="830"/>
      <c r="IN56" s="5" t="str">
        <f t="shared" si="228"/>
        <v/>
      </c>
      <c r="IO56" s="852"/>
      <c r="IP56" s="9" t="str">
        <f t="shared" si="229"/>
        <v/>
      </c>
      <c r="IQ56" s="5" t="str">
        <f t="shared" si="230"/>
        <v/>
      </c>
      <c r="IR56" s="5" t="str">
        <f t="shared" si="387"/>
        <v/>
      </c>
      <c r="IS56" s="5" t="str">
        <f t="shared" si="231"/>
        <v/>
      </c>
      <c r="IT56" s="791" t="str">
        <f t="shared" si="232"/>
        <v/>
      </c>
      <c r="IU56" s="9" t="str">
        <f t="shared" si="233"/>
        <v/>
      </c>
      <c r="IV56" s="5" t="str">
        <f t="shared" si="234"/>
        <v/>
      </c>
      <c r="IW56" s="5" t="str">
        <f t="shared" si="388"/>
        <v/>
      </c>
      <c r="IX56" s="5" t="str">
        <f t="shared" si="235"/>
        <v/>
      </c>
      <c r="IY56" s="833" t="str">
        <f t="shared" si="236"/>
        <v/>
      </c>
    </row>
    <row r="57" spans="1:259" ht="15" customHeight="1" x14ac:dyDescent="0.25">
      <c r="A57" s="84">
        <f t="shared" si="81"/>
        <v>0</v>
      </c>
      <c r="B57" s="770"/>
      <c r="C57" s="771"/>
      <c r="D57" s="772"/>
      <c r="E57" s="773"/>
      <c r="F57" s="771"/>
      <c r="G57" s="774"/>
      <c r="H57" s="773"/>
      <c r="I57" s="771"/>
      <c r="J57" s="601"/>
      <c r="K57" s="426" t="str">
        <f t="shared" si="82"/>
        <v/>
      </c>
      <c r="L57" s="327"/>
      <c r="M57" s="173" t="str">
        <f t="shared" si="241"/>
        <v/>
      </c>
      <c r="N57" s="21" t="str">
        <f t="shared" si="242"/>
        <v/>
      </c>
      <c r="O57" s="5" t="str">
        <f t="shared" si="243"/>
        <v/>
      </c>
      <c r="P57" s="10" t="str">
        <f t="shared" si="244"/>
        <v/>
      </c>
      <c r="Q57" s="624" t="str">
        <f t="shared" si="116"/>
        <v/>
      </c>
      <c r="R57" s="5" t="str">
        <f t="shared" si="414"/>
        <v/>
      </c>
      <c r="S57" s="6" t="str">
        <f t="shared" si="415"/>
        <v/>
      </c>
      <c r="T57" s="4" t="str">
        <f t="shared" si="416"/>
        <v/>
      </c>
      <c r="U57" s="5" t="str">
        <f t="shared" si="417"/>
        <v/>
      </c>
      <c r="V57" s="8" t="str">
        <f t="shared" si="418"/>
        <v/>
      </c>
      <c r="W57" s="624" t="str">
        <f t="shared" si="226"/>
        <v/>
      </c>
      <c r="X57" s="5" t="str">
        <f t="shared" si="419"/>
        <v/>
      </c>
      <c r="Y57" s="7" t="str">
        <f t="shared" si="225"/>
        <v/>
      </c>
      <c r="Z57" s="21" t="str">
        <f t="shared" si="245"/>
        <v/>
      </c>
      <c r="AA57" s="5" t="str">
        <f t="shared" si="246"/>
        <v/>
      </c>
      <c r="AB57" s="5" t="str">
        <f t="shared" si="247"/>
        <v/>
      </c>
      <c r="AC57" s="8" t="str">
        <f t="shared" si="420"/>
        <v/>
      </c>
      <c r="AD57" s="9" t="str">
        <f t="shared" si="421"/>
        <v/>
      </c>
      <c r="AE57" s="5" t="str">
        <f t="shared" si="422"/>
        <v/>
      </c>
      <c r="AF57" s="10" t="str">
        <f t="shared" si="423"/>
        <v/>
      </c>
      <c r="AG57" s="622" t="str">
        <f t="shared" si="424"/>
        <v/>
      </c>
      <c r="AH57" s="623" t="str">
        <f t="shared" si="425"/>
        <v/>
      </c>
      <c r="AI57" s="624" t="str">
        <f t="shared" si="426"/>
        <v/>
      </c>
      <c r="AJ57" s="625" t="str">
        <f t="shared" si="427"/>
        <v/>
      </c>
      <c r="AK57" s="4" t="str">
        <f t="shared" si="428"/>
        <v/>
      </c>
      <c r="AL57" s="5" t="str">
        <f t="shared" si="429"/>
        <v/>
      </c>
      <c r="AM57" s="6" t="str">
        <f t="shared" si="430"/>
        <v/>
      </c>
      <c r="AN57" s="612" t="str">
        <f t="shared" si="431"/>
        <v/>
      </c>
      <c r="AO57" s="613" t="str">
        <f t="shared" si="465"/>
        <v/>
      </c>
      <c r="AP57" s="624" t="str">
        <f t="shared" si="432"/>
        <v/>
      </c>
      <c r="AQ57" s="625" t="str">
        <f t="shared" si="248"/>
        <v/>
      </c>
      <c r="AS57" s="56" t="str">
        <f t="shared" si="410"/>
        <v/>
      </c>
      <c r="AT57" s="77" t="str">
        <f t="shared" si="249"/>
        <v/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 t="str">
        <f t="shared" si="384"/>
        <v/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5"/>
        <v/>
      </c>
      <c r="IK57" s="839" t="str">
        <f t="shared" si="386"/>
        <v/>
      </c>
      <c r="IL57" s="791" t="str">
        <f t="shared" si="227"/>
        <v/>
      </c>
      <c r="IM57" s="830"/>
      <c r="IN57" s="5" t="str">
        <f t="shared" si="228"/>
        <v/>
      </c>
      <c r="IO57" s="852"/>
      <c r="IP57" s="9" t="str">
        <f t="shared" si="229"/>
        <v/>
      </c>
      <c r="IQ57" s="5" t="str">
        <f t="shared" si="230"/>
        <v/>
      </c>
      <c r="IR57" s="5" t="str">
        <f t="shared" si="387"/>
        <v/>
      </c>
      <c r="IS57" s="5" t="str">
        <f t="shared" si="231"/>
        <v/>
      </c>
      <c r="IT57" s="791" t="str">
        <f t="shared" si="232"/>
        <v/>
      </c>
      <c r="IU57" s="9" t="str">
        <f t="shared" si="233"/>
        <v/>
      </c>
      <c r="IV57" s="5" t="str">
        <f t="shared" si="234"/>
        <v/>
      </c>
      <c r="IW57" s="5" t="str">
        <f t="shared" si="388"/>
        <v/>
      </c>
      <c r="IX57" s="5" t="str">
        <f t="shared" si="235"/>
        <v/>
      </c>
      <c r="IY57" s="833" t="str">
        <f t="shared" si="236"/>
        <v/>
      </c>
    </row>
    <row r="58" spans="1:259" ht="15" customHeight="1" x14ac:dyDescent="0.25">
      <c r="A58" s="84">
        <f t="shared" si="81"/>
        <v>0</v>
      </c>
      <c r="B58" s="770"/>
      <c r="C58" s="771"/>
      <c r="D58" s="772"/>
      <c r="E58" s="773"/>
      <c r="F58" s="771"/>
      <c r="G58" s="774"/>
      <c r="H58" s="773"/>
      <c r="I58" s="771"/>
      <c r="J58" s="601"/>
      <c r="K58" s="426" t="str">
        <f t="shared" si="82"/>
        <v/>
      </c>
      <c r="L58" s="327"/>
      <c r="M58" s="173" t="str">
        <f t="shared" si="241"/>
        <v/>
      </c>
      <c r="N58" s="21" t="str">
        <f t="shared" si="242"/>
        <v/>
      </c>
      <c r="O58" s="5" t="str">
        <f t="shared" si="243"/>
        <v/>
      </c>
      <c r="P58" s="10" t="str">
        <f t="shared" si="244"/>
        <v/>
      </c>
      <c r="Q58" s="624" t="str">
        <f t="shared" si="116"/>
        <v/>
      </c>
      <c r="R58" s="5" t="str">
        <f t="shared" si="414"/>
        <v/>
      </c>
      <c r="S58" s="6" t="str">
        <f t="shared" si="415"/>
        <v/>
      </c>
      <c r="T58" s="4" t="str">
        <f t="shared" si="416"/>
        <v/>
      </c>
      <c r="U58" s="5" t="str">
        <f t="shared" si="417"/>
        <v/>
      </c>
      <c r="V58" s="8" t="str">
        <f t="shared" si="418"/>
        <v/>
      </c>
      <c r="W58" s="624" t="str">
        <f t="shared" si="226"/>
        <v/>
      </c>
      <c r="X58" s="5" t="str">
        <f t="shared" si="419"/>
        <v/>
      </c>
      <c r="Y58" s="7" t="str">
        <f t="shared" si="225"/>
        <v/>
      </c>
      <c r="Z58" s="21" t="str">
        <f t="shared" si="245"/>
        <v/>
      </c>
      <c r="AA58" s="5" t="str">
        <f t="shared" si="246"/>
        <v/>
      </c>
      <c r="AB58" s="5" t="str">
        <f t="shared" si="247"/>
        <v/>
      </c>
      <c r="AC58" s="8" t="str">
        <f t="shared" si="420"/>
        <v/>
      </c>
      <c r="AD58" s="9" t="str">
        <f t="shared" si="421"/>
        <v/>
      </c>
      <c r="AE58" s="5" t="str">
        <f t="shared" si="422"/>
        <v/>
      </c>
      <c r="AF58" s="10" t="str">
        <f t="shared" si="423"/>
        <v/>
      </c>
      <c r="AG58" s="622" t="str">
        <f t="shared" si="424"/>
        <v/>
      </c>
      <c r="AH58" s="623" t="str">
        <f t="shared" si="425"/>
        <v/>
      </c>
      <c r="AI58" s="624" t="str">
        <f t="shared" si="426"/>
        <v/>
      </c>
      <c r="AJ58" s="625" t="str">
        <f t="shared" si="427"/>
        <v/>
      </c>
      <c r="AK58" s="4" t="str">
        <f t="shared" si="428"/>
        <v/>
      </c>
      <c r="AL58" s="5" t="str">
        <f t="shared" si="429"/>
        <v/>
      </c>
      <c r="AM58" s="6" t="str">
        <f t="shared" si="430"/>
        <v/>
      </c>
      <c r="AN58" s="612" t="str">
        <f t="shared" si="431"/>
        <v/>
      </c>
      <c r="AO58" s="613" t="str">
        <f t="shared" si="465"/>
        <v/>
      </c>
      <c r="AP58" s="624" t="str">
        <f t="shared" si="432"/>
        <v/>
      </c>
      <c r="AQ58" s="625" t="str">
        <f t="shared" si="248"/>
        <v/>
      </c>
      <c r="AS58" s="56" t="str">
        <f t="shared" si="410"/>
        <v/>
      </c>
      <c r="AT58" s="77" t="str">
        <f t="shared" si="249"/>
        <v/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 t="str">
        <f t="shared" si="384"/>
        <v/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5"/>
        <v/>
      </c>
      <c r="IK58" s="839" t="str">
        <f t="shared" si="386"/>
        <v/>
      </c>
      <c r="IL58" s="791" t="str">
        <f t="shared" si="227"/>
        <v/>
      </c>
      <c r="IM58" s="830"/>
      <c r="IN58" s="5" t="str">
        <f t="shared" si="228"/>
        <v/>
      </c>
      <c r="IO58" s="852"/>
      <c r="IP58" s="9" t="str">
        <f t="shared" si="229"/>
        <v/>
      </c>
      <c r="IQ58" s="5" t="str">
        <f t="shared" si="230"/>
        <v/>
      </c>
      <c r="IR58" s="5" t="str">
        <f t="shared" si="387"/>
        <v/>
      </c>
      <c r="IS58" s="5" t="str">
        <f t="shared" si="231"/>
        <v/>
      </c>
      <c r="IT58" s="791" t="str">
        <f t="shared" si="232"/>
        <v/>
      </c>
      <c r="IU58" s="9" t="str">
        <f t="shared" si="233"/>
        <v/>
      </c>
      <c r="IV58" s="5" t="str">
        <f t="shared" si="234"/>
        <v/>
      </c>
      <c r="IW58" s="5" t="str">
        <f t="shared" si="388"/>
        <v/>
      </c>
      <c r="IX58" s="5" t="str">
        <f t="shared" si="235"/>
        <v/>
      </c>
      <c r="IY58" s="833" t="str">
        <f t="shared" si="236"/>
        <v/>
      </c>
    </row>
    <row r="59" spans="1:259" ht="15" customHeight="1" x14ac:dyDescent="0.25">
      <c r="A59" s="84">
        <f t="shared" si="81"/>
        <v>0</v>
      </c>
      <c r="B59" s="770"/>
      <c r="C59" s="771"/>
      <c r="D59" s="772"/>
      <c r="E59" s="773"/>
      <c r="F59" s="771"/>
      <c r="G59" s="774"/>
      <c r="H59" s="773"/>
      <c r="I59" s="771"/>
      <c r="J59" s="601"/>
      <c r="K59" s="426" t="str">
        <f t="shared" si="82"/>
        <v/>
      </c>
      <c r="L59" s="327"/>
      <c r="M59" s="173" t="str">
        <f t="shared" si="241"/>
        <v/>
      </c>
      <c r="N59" s="21" t="str">
        <f t="shared" si="242"/>
        <v/>
      </c>
      <c r="O59" s="5" t="str">
        <f t="shared" si="243"/>
        <v/>
      </c>
      <c r="P59" s="10" t="str">
        <f t="shared" si="244"/>
        <v/>
      </c>
      <c r="Q59" s="624" t="str">
        <f t="shared" si="116"/>
        <v/>
      </c>
      <c r="R59" s="5" t="str">
        <f t="shared" si="83"/>
        <v/>
      </c>
      <c r="S59" s="6" t="str">
        <f t="shared" si="84"/>
        <v/>
      </c>
      <c r="T59" s="4" t="str">
        <f t="shared" si="85"/>
        <v/>
      </c>
      <c r="U59" s="5" t="str">
        <f t="shared" si="86"/>
        <v/>
      </c>
      <c r="V59" s="8" t="str">
        <f t="shared" si="117"/>
        <v/>
      </c>
      <c r="W59" s="624" t="str">
        <f t="shared" si="226"/>
        <v/>
      </c>
      <c r="X59" s="5" t="str">
        <f t="shared" si="87"/>
        <v/>
      </c>
      <c r="Y59" s="7" t="str">
        <f t="shared" si="225"/>
        <v/>
      </c>
      <c r="Z59" s="21" t="str">
        <f t="shared" si="245"/>
        <v/>
      </c>
      <c r="AA59" s="5" t="str">
        <f t="shared" si="246"/>
        <v/>
      </c>
      <c r="AB59" s="5" t="str">
        <f t="shared" si="247"/>
        <v/>
      </c>
      <c r="AC59" s="8" t="str">
        <f t="shared" si="88"/>
        <v/>
      </c>
      <c r="AD59" s="9" t="str">
        <f t="shared" si="118"/>
        <v/>
      </c>
      <c r="AE59" s="5" t="str">
        <f t="shared" si="89"/>
        <v/>
      </c>
      <c r="AF59" s="10" t="str">
        <f t="shared" si="90"/>
        <v/>
      </c>
      <c r="AG59" s="622" t="str">
        <f t="shared" si="91"/>
        <v/>
      </c>
      <c r="AH59" s="623" t="str">
        <f t="shared" si="92"/>
        <v/>
      </c>
      <c r="AI59" s="624" t="str">
        <f t="shared" si="93"/>
        <v/>
      </c>
      <c r="AJ59" s="625" t="str">
        <f t="shared" si="94"/>
        <v/>
      </c>
      <c r="AK59" s="4" t="str">
        <f t="shared" si="213"/>
        <v/>
      </c>
      <c r="AL59" s="5" t="str">
        <f t="shared" si="95"/>
        <v/>
      </c>
      <c r="AM59" s="6" t="str">
        <f t="shared" si="96"/>
        <v/>
      </c>
      <c r="AN59" s="612" t="str">
        <f t="shared" si="97"/>
        <v/>
      </c>
      <c r="AO59" s="613" t="str">
        <f t="shared" si="465"/>
        <v/>
      </c>
      <c r="AP59" s="624" t="str">
        <f t="shared" si="99"/>
        <v/>
      </c>
      <c r="AQ59" s="625" t="str">
        <f t="shared" si="248"/>
        <v/>
      </c>
      <c r="AS59" s="56" t="str">
        <f t="shared" si="410"/>
        <v/>
      </c>
      <c r="AT59" s="77" t="str">
        <f t="shared" si="249"/>
        <v/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 t="str">
        <f t="shared" si="384"/>
        <v/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5"/>
        <v/>
      </c>
      <c r="IK59" s="839" t="str">
        <f t="shared" si="386"/>
        <v/>
      </c>
      <c r="IL59" s="791" t="str">
        <f t="shared" si="227"/>
        <v/>
      </c>
      <c r="IM59" s="830"/>
      <c r="IN59" s="5" t="str">
        <f t="shared" si="228"/>
        <v/>
      </c>
      <c r="IO59" s="852"/>
      <c r="IP59" s="9" t="str">
        <f t="shared" si="229"/>
        <v/>
      </c>
      <c r="IQ59" s="5" t="str">
        <f t="shared" si="230"/>
        <v/>
      </c>
      <c r="IR59" s="5" t="str">
        <f t="shared" si="387"/>
        <v/>
      </c>
      <c r="IS59" s="5" t="str">
        <f t="shared" si="231"/>
        <v/>
      </c>
      <c r="IT59" s="791" t="str">
        <f t="shared" si="232"/>
        <v/>
      </c>
      <c r="IU59" s="9" t="str">
        <f t="shared" si="233"/>
        <v/>
      </c>
      <c r="IV59" s="5" t="str">
        <f t="shared" si="234"/>
        <v/>
      </c>
      <c r="IW59" s="5" t="str">
        <f t="shared" si="388"/>
        <v/>
      </c>
      <c r="IX59" s="5" t="str">
        <f t="shared" si="235"/>
        <v/>
      </c>
      <c r="IY59" s="833" t="str">
        <f t="shared" si="236"/>
        <v/>
      </c>
    </row>
    <row r="60" spans="1:259" ht="15" customHeight="1" x14ac:dyDescent="0.25">
      <c r="A60" s="84">
        <f t="shared" si="81"/>
        <v>0</v>
      </c>
      <c r="B60" s="770"/>
      <c r="C60" s="771"/>
      <c r="D60" s="772"/>
      <c r="E60" s="773"/>
      <c r="F60" s="771"/>
      <c r="G60" s="774"/>
      <c r="H60" s="773"/>
      <c r="I60" s="771"/>
      <c r="J60" s="601"/>
      <c r="K60" s="426" t="str">
        <f t="shared" si="82"/>
        <v/>
      </c>
      <c r="L60" s="327"/>
      <c r="M60" s="173" t="str">
        <f t="shared" si="241"/>
        <v/>
      </c>
      <c r="N60" s="21" t="str">
        <f t="shared" si="242"/>
        <v/>
      </c>
      <c r="O60" s="5" t="str">
        <f t="shared" si="243"/>
        <v/>
      </c>
      <c r="P60" s="10" t="str">
        <f t="shared" si="244"/>
        <v/>
      </c>
      <c r="Q60" s="624" t="str">
        <f t="shared" si="116"/>
        <v/>
      </c>
      <c r="R60" s="5" t="str">
        <f t="shared" si="83"/>
        <v/>
      </c>
      <c r="S60" s="6" t="str">
        <f t="shared" si="84"/>
        <v/>
      </c>
      <c r="T60" s="4" t="str">
        <f t="shared" si="85"/>
        <v/>
      </c>
      <c r="U60" s="5" t="str">
        <f t="shared" si="86"/>
        <v/>
      </c>
      <c r="V60" s="8" t="str">
        <f t="shared" si="117"/>
        <v/>
      </c>
      <c r="W60" s="624" t="str">
        <f t="shared" si="226"/>
        <v/>
      </c>
      <c r="X60" s="5" t="str">
        <f t="shared" si="87"/>
        <v/>
      </c>
      <c r="Y60" s="7" t="str">
        <f t="shared" si="225"/>
        <v/>
      </c>
      <c r="Z60" s="21" t="str">
        <f t="shared" si="245"/>
        <v/>
      </c>
      <c r="AA60" s="5" t="str">
        <f t="shared" si="246"/>
        <v/>
      </c>
      <c r="AB60" s="5" t="str">
        <f t="shared" si="247"/>
        <v/>
      </c>
      <c r="AC60" s="8" t="str">
        <f t="shared" si="88"/>
        <v/>
      </c>
      <c r="AD60" s="9" t="str">
        <f t="shared" si="118"/>
        <v/>
      </c>
      <c r="AE60" s="5" t="str">
        <f t="shared" si="89"/>
        <v/>
      </c>
      <c r="AF60" s="10" t="str">
        <f t="shared" si="90"/>
        <v/>
      </c>
      <c r="AG60" s="622" t="str">
        <f t="shared" si="91"/>
        <v/>
      </c>
      <c r="AH60" s="623" t="str">
        <f t="shared" si="92"/>
        <v/>
      </c>
      <c r="AI60" s="624" t="str">
        <f t="shared" si="93"/>
        <v/>
      </c>
      <c r="AJ60" s="625" t="str">
        <f t="shared" si="94"/>
        <v/>
      </c>
      <c r="AK60" s="4" t="str">
        <f t="shared" si="213"/>
        <v/>
      </c>
      <c r="AL60" s="5" t="str">
        <f t="shared" si="95"/>
        <v/>
      </c>
      <c r="AM60" s="6" t="str">
        <f t="shared" si="96"/>
        <v/>
      </c>
      <c r="AN60" s="612" t="str">
        <f t="shared" si="97"/>
        <v/>
      </c>
      <c r="AO60" s="613" t="str">
        <f t="shared" si="465"/>
        <v/>
      </c>
      <c r="AP60" s="624" t="str">
        <f t="shared" si="99"/>
        <v/>
      </c>
      <c r="AQ60" s="625" t="str">
        <f t="shared" si="248"/>
        <v/>
      </c>
      <c r="AS60" s="56" t="str">
        <f t="shared" si="410"/>
        <v/>
      </c>
      <c r="AT60" s="77" t="str">
        <f t="shared" si="249"/>
        <v/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 t="str">
        <f t="shared" si="384"/>
        <v/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5"/>
        <v/>
      </c>
      <c r="IK60" s="839" t="str">
        <f t="shared" si="386"/>
        <v/>
      </c>
      <c r="IL60" s="791" t="str">
        <f t="shared" si="227"/>
        <v/>
      </c>
      <c r="IM60" s="830"/>
      <c r="IN60" s="5" t="str">
        <f t="shared" si="228"/>
        <v/>
      </c>
      <c r="IO60" s="852"/>
      <c r="IP60" s="9" t="str">
        <f t="shared" si="229"/>
        <v/>
      </c>
      <c r="IQ60" s="5" t="str">
        <f t="shared" si="230"/>
        <v/>
      </c>
      <c r="IR60" s="5" t="str">
        <f t="shared" si="387"/>
        <v/>
      </c>
      <c r="IS60" s="5" t="str">
        <f t="shared" si="231"/>
        <v/>
      </c>
      <c r="IT60" s="791" t="str">
        <f t="shared" si="232"/>
        <v/>
      </c>
      <c r="IU60" s="9" t="str">
        <f t="shared" si="233"/>
        <v/>
      </c>
      <c r="IV60" s="5" t="str">
        <f t="shared" si="234"/>
        <v/>
      </c>
      <c r="IW60" s="5" t="str">
        <f t="shared" si="388"/>
        <v/>
      </c>
      <c r="IX60" s="5" t="str">
        <f t="shared" si="235"/>
        <v/>
      </c>
      <c r="IY60" s="833" t="str">
        <f t="shared" si="236"/>
        <v/>
      </c>
    </row>
    <row r="61" spans="1:259" ht="15" customHeight="1" x14ac:dyDescent="0.25">
      <c r="A61" s="84">
        <f t="shared" si="81"/>
        <v>0</v>
      </c>
      <c r="B61" s="770"/>
      <c r="C61" s="771"/>
      <c r="D61" s="772"/>
      <c r="E61" s="773"/>
      <c r="F61" s="771"/>
      <c r="G61" s="774"/>
      <c r="H61" s="773"/>
      <c r="I61" s="771"/>
      <c r="J61" s="601"/>
      <c r="K61" s="426" t="str">
        <f t="shared" si="82"/>
        <v/>
      </c>
      <c r="L61" s="327"/>
      <c r="M61" s="173" t="str">
        <f t="shared" si="241"/>
        <v/>
      </c>
      <c r="N61" s="21" t="str">
        <f t="shared" si="242"/>
        <v/>
      </c>
      <c r="O61" s="5" t="str">
        <f t="shared" si="243"/>
        <v/>
      </c>
      <c r="P61" s="10" t="str">
        <f t="shared" si="244"/>
        <v/>
      </c>
      <c r="Q61" s="624" t="str">
        <f t="shared" si="116"/>
        <v/>
      </c>
      <c r="R61" s="5" t="str">
        <f t="shared" si="83"/>
        <v/>
      </c>
      <c r="S61" s="6" t="str">
        <f t="shared" si="84"/>
        <v/>
      </c>
      <c r="T61" s="4" t="str">
        <f t="shared" si="85"/>
        <v/>
      </c>
      <c r="U61" s="5" t="str">
        <f t="shared" si="86"/>
        <v/>
      </c>
      <c r="V61" s="8" t="str">
        <f t="shared" si="117"/>
        <v/>
      </c>
      <c r="W61" s="624" t="str">
        <f t="shared" si="226"/>
        <v/>
      </c>
      <c r="X61" s="5" t="str">
        <f t="shared" si="87"/>
        <v/>
      </c>
      <c r="Y61" s="7" t="str">
        <f t="shared" si="225"/>
        <v/>
      </c>
      <c r="Z61" s="21" t="str">
        <f t="shared" si="245"/>
        <v/>
      </c>
      <c r="AA61" s="5" t="str">
        <f t="shared" si="246"/>
        <v/>
      </c>
      <c r="AB61" s="5" t="str">
        <f t="shared" si="247"/>
        <v/>
      </c>
      <c r="AC61" s="8" t="str">
        <f t="shared" si="88"/>
        <v/>
      </c>
      <c r="AD61" s="9" t="str">
        <f t="shared" si="118"/>
        <v/>
      </c>
      <c r="AE61" s="5" t="str">
        <f t="shared" si="89"/>
        <v/>
      </c>
      <c r="AF61" s="10" t="str">
        <f t="shared" si="90"/>
        <v/>
      </c>
      <c r="AG61" s="622" t="str">
        <f t="shared" si="91"/>
        <v/>
      </c>
      <c r="AH61" s="623" t="str">
        <f t="shared" si="92"/>
        <v/>
      </c>
      <c r="AI61" s="624" t="str">
        <f t="shared" si="93"/>
        <v/>
      </c>
      <c r="AJ61" s="625" t="str">
        <f t="shared" si="94"/>
        <v/>
      </c>
      <c r="AK61" s="4" t="str">
        <f t="shared" si="213"/>
        <v/>
      </c>
      <c r="AL61" s="5" t="str">
        <f t="shared" si="95"/>
        <v/>
      </c>
      <c r="AM61" s="6" t="str">
        <f t="shared" si="96"/>
        <v/>
      </c>
      <c r="AN61" s="612" t="str">
        <f t="shared" si="97"/>
        <v/>
      </c>
      <c r="AO61" s="613" t="str">
        <f t="shared" si="465"/>
        <v/>
      </c>
      <c r="AP61" s="624" t="str">
        <f t="shared" si="99"/>
        <v/>
      </c>
      <c r="AQ61" s="625" t="str">
        <f t="shared" si="248"/>
        <v/>
      </c>
      <c r="AS61" s="56" t="str">
        <f t="shared" si="410"/>
        <v/>
      </c>
      <c r="AT61" s="77" t="str">
        <f t="shared" si="249"/>
        <v/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 t="str">
        <f t="shared" si="384"/>
        <v/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5"/>
        <v/>
      </c>
      <c r="IK61" s="839" t="str">
        <f t="shared" si="386"/>
        <v/>
      </c>
      <c r="IL61" s="791" t="str">
        <f t="shared" si="227"/>
        <v/>
      </c>
      <c r="IM61" s="830"/>
      <c r="IN61" s="5" t="str">
        <f t="shared" si="228"/>
        <v/>
      </c>
      <c r="IO61" s="852"/>
      <c r="IP61" s="9" t="str">
        <f t="shared" si="229"/>
        <v/>
      </c>
      <c r="IQ61" s="5" t="str">
        <f t="shared" si="230"/>
        <v/>
      </c>
      <c r="IR61" s="5" t="str">
        <f t="shared" si="387"/>
        <v/>
      </c>
      <c r="IS61" s="5" t="str">
        <f t="shared" si="231"/>
        <v/>
      </c>
      <c r="IT61" s="791" t="str">
        <f t="shared" si="232"/>
        <v/>
      </c>
      <c r="IU61" s="9" t="str">
        <f t="shared" si="233"/>
        <v/>
      </c>
      <c r="IV61" s="5" t="str">
        <f t="shared" si="234"/>
        <v/>
      </c>
      <c r="IW61" s="5" t="str">
        <f t="shared" si="388"/>
        <v/>
      </c>
      <c r="IX61" s="5" t="str">
        <f t="shared" si="235"/>
        <v/>
      </c>
      <c r="IY61" s="833" t="str">
        <f t="shared" si="236"/>
        <v/>
      </c>
    </row>
    <row r="62" spans="1:259" ht="15" customHeight="1" x14ac:dyDescent="0.25">
      <c r="A62" s="84">
        <f t="shared" si="81"/>
        <v>0</v>
      </c>
      <c r="B62" s="770"/>
      <c r="C62" s="771"/>
      <c r="D62" s="772"/>
      <c r="E62" s="773"/>
      <c r="F62" s="771"/>
      <c r="G62" s="774"/>
      <c r="H62" s="773"/>
      <c r="I62" s="771"/>
      <c r="J62" s="601"/>
      <c r="K62" s="426" t="str">
        <f t="shared" si="82"/>
        <v/>
      </c>
      <c r="L62" s="327"/>
      <c r="M62" s="173" t="str">
        <f t="shared" si="241"/>
        <v/>
      </c>
      <c r="N62" s="21" t="str">
        <f t="shared" si="242"/>
        <v/>
      </c>
      <c r="O62" s="5" t="str">
        <f t="shared" si="243"/>
        <v/>
      </c>
      <c r="P62" s="10" t="str">
        <f t="shared" si="244"/>
        <v/>
      </c>
      <c r="Q62" s="624" t="str">
        <f t="shared" si="116"/>
        <v/>
      </c>
      <c r="R62" s="5" t="str">
        <f t="shared" si="83"/>
        <v/>
      </c>
      <c r="S62" s="6" t="str">
        <f t="shared" si="84"/>
        <v/>
      </c>
      <c r="T62" s="4" t="str">
        <f t="shared" si="85"/>
        <v/>
      </c>
      <c r="U62" s="5" t="str">
        <f t="shared" si="86"/>
        <v/>
      </c>
      <c r="V62" s="8" t="str">
        <f t="shared" si="117"/>
        <v/>
      </c>
      <c r="W62" s="624" t="str">
        <f t="shared" si="226"/>
        <v/>
      </c>
      <c r="X62" s="5" t="str">
        <f t="shared" si="87"/>
        <v/>
      </c>
      <c r="Y62" s="7" t="str">
        <f t="shared" si="225"/>
        <v/>
      </c>
      <c r="Z62" s="21" t="str">
        <f t="shared" si="245"/>
        <v/>
      </c>
      <c r="AA62" s="5" t="str">
        <f t="shared" si="246"/>
        <v/>
      </c>
      <c r="AB62" s="5" t="str">
        <f t="shared" si="247"/>
        <v/>
      </c>
      <c r="AC62" s="8" t="str">
        <f t="shared" si="88"/>
        <v/>
      </c>
      <c r="AD62" s="9" t="str">
        <f t="shared" si="118"/>
        <v/>
      </c>
      <c r="AE62" s="5" t="str">
        <f t="shared" si="89"/>
        <v/>
      </c>
      <c r="AF62" s="10" t="str">
        <f t="shared" si="90"/>
        <v/>
      </c>
      <c r="AG62" s="622" t="str">
        <f t="shared" si="91"/>
        <v/>
      </c>
      <c r="AH62" s="623" t="str">
        <f t="shared" si="92"/>
        <v/>
      </c>
      <c r="AI62" s="624" t="str">
        <f t="shared" si="93"/>
        <v/>
      </c>
      <c r="AJ62" s="625" t="str">
        <f t="shared" si="94"/>
        <v/>
      </c>
      <c r="AK62" s="4" t="str">
        <f t="shared" si="213"/>
        <v/>
      </c>
      <c r="AL62" s="5" t="str">
        <f t="shared" si="95"/>
        <v/>
      </c>
      <c r="AM62" s="6" t="str">
        <f t="shared" si="96"/>
        <v/>
      </c>
      <c r="AN62" s="612" t="str">
        <f t="shared" si="97"/>
        <v/>
      </c>
      <c r="AO62" s="613" t="str">
        <f t="shared" si="465"/>
        <v/>
      </c>
      <c r="AP62" s="624" t="str">
        <f t="shared" si="99"/>
        <v/>
      </c>
      <c r="AQ62" s="625" t="str">
        <f t="shared" si="248"/>
        <v/>
      </c>
      <c r="AS62" s="56" t="str">
        <f t="shared" si="410"/>
        <v/>
      </c>
      <c r="AT62" s="77" t="str">
        <f t="shared" si="249"/>
        <v/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 t="str">
        <f t="shared" si="384"/>
        <v/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5"/>
        <v/>
      </c>
      <c r="IK62" s="839" t="str">
        <f t="shared" si="386"/>
        <v/>
      </c>
      <c r="IL62" s="791" t="str">
        <f t="shared" si="227"/>
        <v/>
      </c>
      <c r="IM62" s="830"/>
      <c r="IN62" s="5" t="str">
        <f t="shared" si="228"/>
        <v/>
      </c>
      <c r="IO62" s="852"/>
      <c r="IP62" s="9" t="str">
        <f t="shared" si="229"/>
        <v/>
      </c>
      <c r="IQ62" s="5" t="str">
        <f t="shared" si="230"/>
        <v/>
      </c>
      <c r="IR62" s="5" t="str">
        <f t="shared" si="387"/>
        <v/>
      </c>
      <c r="IS62" s="5" t="str">
        <f t="shared" si="231"/>
        <v/>
      </c>
      <c r="IT62" s="791" t="str">
        <f t="shared" si="232"/>
        <v/>
      </c>
      <c r="IU62" s="9" t="str">
        <f t="shared" si="233"/>
        <v/>
      </c>
      <c r="IV62" s="5" t="str">
        <f t="shared" si="234"/>
        <v/>
      </c>
      <c r="IW62" s="5" t="str">
        <f t="shared" si="388"/>
        <v/>
      </c>
      <c r="IX62" s="5" t="str">
        <f t="shared" si="235"/>
        <v/>
      </c>
      <c r="IY62" s="833" t="str">
        <f t="shared" si="236"/>
        <v/>
      </c>
    </row>
    <row r="63" spans="1:259" ht="15" customHeight="1" x14ac:dyDescent="0.25">
      <c r="A63" s="84">
        <f t="shared" si="81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82"/>
        <v/>
      </c>
      <c r="L63" s="327"/>
      <c r="M63" s="173" t="str">
        <f t="shared" si="241"/>
        <v/>
      </c>
      <c r="N63" s="21" t="str">
        <f t="shared" si="242"/>
        <v/>
      </c>
      <c r="O63" s="5" t="str">
        <f t="shared" si="243"/>
        <v/>
      </c>
      <c r="P63" s="10" t="str">
        <f t="shared" si="244"/>
        <v/>
      </c>
      <c r="Q63" s="624" t="str">
        <f t="shared" si="116"/>
        <v/>
      </c>
      <c r="R63" s="5" t="str">
        <f t="shared" si="83"/>
        <v/>
      </c>
      <c r="S63" s="6" t="str">
        <f t="shared" si="84"/>
        <v/>
      </c>
      <c r="T63" s="4" t="str">
        <f t="shared" si="85"/>
        <v/>
      </c>
      <c r="U63" s="5" t="str">
        <f t="shared" si="86"/>
        <v/>
      </c>
      <c r="V63" s="8" t="str">
        <f t="shared" si="117"/>
        <v/>
      </c>
      <c r="W63" s="624" t="str">
        <f t="shared" si="226"/>
        <v/>
      </c>
      <c r="X63" s="5" t="str">
        <f t="shared" si="87"/>
        <v/>
      </c>
      <c r="Y63" s="7" t="str">
        <f t="shared" si="225"/>
        <v/>
      </c>
      <c r="Z63" s="21" t="str">
        <f t="shared" si="245"/>
        <v/>
      </c>
      <c r="AA63" s="5" t="str">
        <f t="shared" si="246"/>
        <v/>
      </c>
      <c r="AB63" s="5" t="str">
        <f t="shared" si="247"/>
        <v/>
      </c>
      <c r="AC63" s="8" t="str">
        <f t="shared" si="88"/>
        <v/>
      </c>
      <c r="AD63" s="9" t="str">
        <f t="shared" si="118"/>
        <v/>
      </c>
      <c r="AE63" s="5" t="str">
        <f t="shared" si="89"/>
        <v/>
      </c>
      <c r="AF63" s="10" t="str">
        <f t="shared" si="90"/>
        <v/>
      </c>
      <c r="AG63" s="622" t="str">
        <f t="shared" si="91"/>
        <v/>
      </c>
      <c r="AH63" s="623" t="str">
        <f t="shared" si="92"/>
        <v/>
      </c>
      <c r="AI63" s="624" t="str">
        <f t="shared" si="93"/>
        <v/>
      </c>
      <c r="AJ63" s="625" t="str">
        <f t="shared" si="94"/>
        <v/>
      </c>
      <c r="AK63" s="4" t="str">
        <f t="shared" si="213"/>
        <v/>
      </c>
      <c r="AL63" s="5" t="str">
        <f t="shared" si="95"/>
        <v/>
      </c>
      <c r="AM63" s="6" t="str">
        <f t="shared" si="96"/>
        <v/>
      </c>
      <c r="AN63" s="612" t="str">
        <f t="shared" si="97"/>
        <v/>
      </c>
      <c r="AO63" s="613" t="str">
        <f t="shared" si="465"/>
        <v/>
      </c>
      <c r="AP63" s="624" t="str">
        <f t="shared" si="99"/>
        <v/>
      </c>
      <c r="AQ63" s="625" t="str">
        <f t="shared" si="248"/>
        <v/>
      </c>
      <c r="AS63" s="56" t="str">
        <f t="shared" si="410"/>
        <v/>
      </c>
      <c r="AT63" s="77" t="str">
        <f t="shared" si="249"/>
        <v/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 t="str">
        <f t="shared" si="384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5"/>
        <v/>
      </c>
      <c r="IK63" s="839" t="str">
        <f t="shared" si="386"/>
        <v/>
      </c>
      <c r="IL63" s="791" t="str">
        <f t="shared" si="227"/>
        <v/>
      </c>
      <c r="IM63" s="830"/>
      <c r="IN63" s="5" t="str">
        <f t="shared" si="228"/>
        <v/>
      </c>
      <c r="IO63" s="852"/>
      <c r="IP63" s="9" t="str">
        <f t="shared" si="229"/>
        <v/>
      </c>
      <c r="IQ63" s="5" t="str">
        <f t="shared" si="230"/>
        <v/>
      </c>
      <c r="IR63" s="5" t="str">
        <f t="shared" si="387"/>
        <v/>
      </c>
      <c r="IS63" s="5" t="str">
        <f t="shared" si="231"/>
        <v/>
      </c>
      <c r="IT63" s="791" t="str">
        <f t="shared" si="232"/>
        <v/>
      </c>
      <c r="IU63" s="9" t="str">
        <f t="shared" si="233"/>
        <v/>
      </c>
      <c r="IV63" s="5" t="str">
        <f t="shared" si="234"/>
        <v/>
      </c>
      <c r="IW63" s="5" t="str">
        <f t="shared" si="388"/>
        <v/>
      </c>
      <c r="IX63" s="5" t="str">
        <f t="shared" si="235"/>
        <v/>
      </c>
      <c r="IY63" s="833" t="str">
        <f t="shared" si="236"/>
        <v/>
      </c>
    </row>
    <row r="64" spans="1:259" ht="15" customHeight="1" x14ac:dyDescent="0.25">
      <c r="A64" s="84">
        <f t="shared" si="81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82"/>
        <v/>
      </c>
      <c r="L64" s="327"/>
      <c r="M64" s="173" t="str">
        <f t="shared" si="241"/>
        <v/>
      </c>
      <c r="N64" s="21" t="str">
        <f t="shared" si="242"/>
        <v/>
      </c>
      <c r="O64" s="5" t="str">
        <f t="shared" si="243"/>
        <v/>
      </c>
      <c r="P64" s="10" t="str">
        <f t="shared" si="244"/>
        <v/>
      </c>
      <c r="Q64" s="624" t="str">
        <f t="shared" si="116"/>
        <v/>
      </c>
      <c r="R64" s="5" t="str">
        <f t="shared" si="83"/>
        <v/>
      </c>
      <c r="S64" s="6" t="str">
        <f t="shared" si="84"/>
        <v/>
      </c>
      <c r="T64" s="4" t="str">
        <f t="shared" si="85"/>
        <v/>
      </c>
      <c r="U64" s="5" t="str">
        <f t="shared" si="86"/>
        <v/>
      </c>
      <c r="V64" s="8" t="str">
        <f t="shared" si="117"/>
        <v/>
      </c>
      <c r="W64" s="624" t="str">
        <f t="shared" si="226"/>
        <v/>
      </c>
      <c r="X64" s="5" t="str">
        <f t="shared" si="87"/>
        <v/>
      </c>
      <c r="Y64" s="7" t="str">
        <f t="shared" si="225"/>
        <v/>
      </c>
      <c r="Z64" s="21" t="str">
        <f t="shared" si="245"/>
        <v/>
      </c>
      <c r="AA64" s="5" t="str">
        <f t="shared" si="246"/>
        <v/>
      </c>
      <c r="AB64" s="5" t="str">
        <f t="shared" si="247"/>
        <v/>
      </c>
      <c r="AC64" s="8" t="str">
        <f t="shared" si="88"/>
        <v/>
      </c>
      <c r="AD64" s="9" t="str">
        <f t="shared" si="118"/>
        <v/>
      </c>
      <c r="AE64" s="5" t="str">
        <f t="shared" si="89"/>
        <v/>
      </c>
      <c r="AF64" s="10" t="str">
        <f t="shared" si="90"/>
        <v/>
      </c>
      <c r="AG64" s="622" t="str">
        <f t="shared" si="91"/>
        <v/>
      </c>
      <c r="AH64" s="623" t="str">
        <f t="shared" si="92"/>
        <v/>
      </c>
      <c r="AI64" s="624" t="str">
        <f t="shared" si="93"/>
        <v/>
      </c>
      <c r="AJ64" s="625" t="str">
        <f t="shared" si="94"/>
        <v/>
      </c>
      <c r="AK64" s="4" t="str">
        <f t="shared" si="213"/>
        <v/>
      </c>
      <c r="AL64" s="5" t="str">
        <f t="shared" si="95"/>
        <v/>
      </c>
      <c r="AM64" s="6" t="str">
        <f t="shared" si="96"/>
        <v/>
      </c>
      <c r="AN64" s="612" t="str">
        <f t="shared" si="97"/>
        <v/>
      </c>
      <c r="AO64" s="613" t="str">
        <f t="shared" si="465"/>
        <v/>
      </c>
      <c r="AP64" s="624" t="str">
        <f t="shared" si="99"/>
        <v/>
      </c>
      <c r="AQ64" s="625" t="str">
        <f t="shared" si="248"/>
        <v/>
      </c>
      <c r="AS64" s="56" t="str">
        <f t="shared" si="410"/>
        <v/>
      </c>
      <c r="AT64" s="77" t="str">
        <f t="shared" si="249"/>
        <v/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 t="str">
        <f t="shared" si="384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5"/>
        <v/>
      </c>
      <c r="IK64" s="839" t="str">
        <f t="shared" si="386"/>
        <v/>
      </c>
      <c r="IL64" s="791" t="str">
        <f t="shared" si="227"/>
        <v/>
      </c>
      <c r="IM64" s="830"/>
      <c r="IN64" s="5" t="str">
        <f t="shared" si="228"/>
        <v/>
      </c>
      <c r="IO64" s="852"/>
      <c r="IP64" s="9" t="str">
        <f t="shared" si="229"/>
        <v/>
      </c>
      <c r="IQ64" s="5" t="str">
        <f t="shared" si="230"/>
        <v/>
      </c>
      <c r="IR64" s="5" t="str">
        <f t="shared" si="387"/>
        <v/>
      </c>
      <c r="IS64" s="5" t="str">
        <f t="shared" si="231"/>
        <v/>
      </c>
      <c r="IT64" s="791" t="str">
        <f t="shared" si="232"/>
        <v/>
      </c>
      <c r="IU64" s="9" t="str">
        <f t="shared" si="233"/>
        <v/>
      </c>
      <c r="IV64" s="5" t="str">
        <f t="shared" si="234"/>
        <v/>
      </c>
      <c r="IW64" s="5" t="str">
        <f t="shared" si="388"/>
        <v/>
      </c>
      <c r="IX64" s="5" t="str">
        <f t="shared" si="235"/>
        <v/>
      </c>
      <c r="IY64" s="833" t="str">
        <f t="shared" si="236"/>
        <v/>
      </c>
    </row>
    <row r="65" spans="1:259" ht="15" customHeight="1" x14ac:dyDescent="0.25">
      <c r="A65" s="84">
        <f t="shared" si="81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82"/>
        <v/>
      </c>
      <c r="L65" s="327"/>
      <c r="M65" s="173" t="str">
        <f t="shared" si="241"/>
        <v/>
      </c>
      <c r="N65" s="21" t="str">
        <f t="shared" si="242"/>
        <v/>
      </c>
      <c r="O65" s="5" t="str">
        <f t="shared" si="243"/>
        <v/>
      </c>
      <c r="P65" s="10" t="str">
        <f t="shared" si="244"/>
        <v/>
      </c>
      <c r="Q65" s="624" t="str">
        <f t="shared" si="116"/>
        <v/>
      </c>
      <c r="R65" s="5" t="str">
        <f t="shared" si="83"/>
        <v/>
      </c>
      <c r="S65" s="6" t="str">
        <f t="shared" si="84"/>
        <v/>
      </c>
      <c r="T65" s="4" t="str">
        <f t="shared" si="85"/>
        <v/>
      </c>
      <c r="U65" s="5" t="str">
        <f t="shared" si="86"/>
        <v/>
      </c>
      <c r="V65" s="8" t="str">
        <f t="shared" si="117"/>
        <v/>
      </c>
      <c r="W65" s="624" t="str">
        <f t="shared" si="226"/>
        <v/>
      </c>
      <c r="X65" s="5" t="str">
        <f t="shared" si="87"/>
        <v/>
      </c>
      <c r="Y65" s="7" t="str">
        <f t="shared" si="225"/>
        <v/>
      </c>
      <c r="Z65" s="21" t="str">
        <f t="shared" si="245"/>
        <v/>
      </c>
      <c r="AA65" s="5" t="str">
        <f t="shared" si="246"/>
        <v/>
      </c>
      <c r="AB65" s="5" t="str">
        <f t="shared" si="247"/>
        <v/>
      </c>
      <c r="AC65" s="8" t="str">
        <f t="shared" si="88"/>
        <v/>
      </c>
      <c r="AD65" s="9" t="str">
        <f t="shared" si="118"/>
        <v/>
      </c>
      <c r="AE65" s="5" t="str">
        <f t="shared" si="89"/>
        <v/>
      </c>
      <c r="AF65" s="10" t="str">
        <f t="shared" si="90"/>
        <v/>
      </c>
      <c r="AG65" s="622" t="str">
        <f t="shared" si="91"/>
        <v/>
      </c>
      <c r="AH65" s="623" t="str">
        <f t="shared" si="92"/>
        <v/>
      </c>
      <c r="AI65" s="624" t="str">
        <f t="shared" si="93"/>
        <v/>
      </c>
      <c r="AJ65" s="625" t="str">
        <f t="shared" si="94"/>
        <v/>
      </c>
      <c r="AK65" s="4" t="str">
        <f t="shared" si="213"/>
        <v/>
      </c>
      <c r="AL65" s="5" t="str">
        <f t="shared" si="95"/>
        <v/>
      </c>
      <c r="AM65" s="6" t="str">
        <f t="shared" si="96"/>
        <v/>
      </c>
      <c r="AN65" s="612" t="str">
        <f t="shared" si="97"/>
        <v/>
      </c>
      <c r="AO65" s="613" t="str">
        <f t="shared" si="465"/>
        <v/>
      </c>
      <c r="AP65" s="624" t="str">
        <f t="shared" si="99"/>
        <v/>
      </c>
      <c r="AQ65" s="625" t="str">
        <f t="shared" si="248"/>
        <v/>
      </c>
      <c r="AS65" s="56" t="str">
        <f t="shared" si="410"/>
        <v/>
      </c>
      <c r="AT65" s="77" t="str">
        <f t="shared" si="249"/>
        <v/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 t="str">
        <f t="shared" si="384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5"/>
        <v/>
      </c>
      <c r="IK65" s="839" t="str">
        <f t="shared" si="386"/>
        <v/>
      </c>
      <c r="IL65" s="791" t="str">
        <f t="shared" si="227"/>
        <v/>
      </c>
      <c r="IM65" s="830"/>
      <c r="IN65" s="5" t="str">
        <f t="shared" si="228"/>
        <v/>
      </c>
      <c r="IO65" s="852"/>
      <c r="IP65" s="9" t="str">
        <f t="shared" si="229"/>
        <v/>
      </c>
      <c r="IQ65" s="5" t="str">
        <f t="shared" si="230"/>
        <v/>
      </c>
      <c r="IR65" s="5" t="str">
        <f t="shared" si="387"/>
        <v/>
      </c>
      <c r="IS65" s="5" t="str">
        <f t="shared" si="231"/>
        <v/>
      </c>
      <c r="IT65" s="791" t="str">
        <f t="shared" si="232"/>
        <v/>
      </c>
      <c r="IU65" s="9" t="str">
        <f t="shared" si="233"/>
        <v/>
      </c>
      <c r="IV65" s="5" t="str">
        <f t="shared" si="234"/>
        <v/>
      </c>
      <c r="IW65" s="5" t="str">
        <f t="shared" si="388"/>
        <v/>
      </c>
      <c r="IX65" s="5" t="str">
        <f t="shared" si="235"/>
        <v/>
      </c>
      <c r="IY65" s="833" t="str">
        <f t="shared" si="236"/>
        <v/>
      </c>
    </row>
    <row r="66" spans="1:259" ht="15" customHeight="1" x14ac:dyDescent="0.25">
      <c r="A66" s="84">
        <f t="shared" si="81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82"/>
        <v/>
      </c>
      <c r="L66" s="327"/>
      <c r="M66" s="173" t="str">
        <f t="shared" si="241"/>
        <v/>
      </c>
      <c r="N66" s="21" t="str">
        <f t="shared" si="242"/>
        <v/>
      </c>
      <c r="O66" s="5" t="str">
        <f t="shared" si="243"/>
        <v/>
      </c>
      <c r="P66" s="10" t="str">
        <f t="shared" si="244"/>
        <v/>
      </c>
      <c r="Q66" s="624" t="str">
        <f t="shared" si="116"/>
        <v/>
      </c>
      <c r="R66" s="5" t="str">
        <f t="shared" si="83"/>
        <v/>
      </c>
      <c r="S66" s="6" t="str">
        <f t="shared" si="84"/>
        <v/>
      </c>
      <c r="T66" s="4" t="str">
        <f t="shared" si="85"/>
        <v/>
      </c>
      <c r="U66" s="5" t="str">
        <f t="shared" si="86"/>
        <v/>
      </c>
      <c r="V66" s="8" t="str">
        <f t="shared" si="117"/>
        <v/>
      </c>
      <c r="W66" s="624" t="str">
        <f t="shared" si="226"/>
        <v/>
      </c>
      <c r="X66" s="5" t="str">
        <f t="shared" si="87"/>
        <v/>
      </c>
      <c r="Y66" s="7" t="str">
        <f t="shared" si="225"/>
        <v/>
      </c>
      <c r="Z66" s="21" t="str">
        <f t="shared" si="245"/>
        <v/>
      </c>
      <c r="AA66" s="5" t="str">
        <f t="shared" si="246"/>
        <v/>
      </c>
      <c r="AB66" s="5" t="str">
        <f t="shared" si="247"/>
        <v/>
      </c>
      <c r="AC66" s="8" t="str">
        <f t="shared" si="88"/>
        <v/>
      </c>
      <c r="AD66" s="9" t="str">
        <f t="shared" si="118"/>
        <v/>
      </c>
      <c r="AE66" s="5" t="str">
        <f t="shared" si="89"/>
        <v/>
      </c>
      <c r="AF66" s="10" t="str">
        <f t="shared" si="90"/>
        <v/>
      </c>
      <c r="AG66" s="622" t="str">
        <f t="shared" si="91"/>
        <v/>
      </c>
      <c r="AH66" s="623" t="str">
        <f t="shared" si="92"/>
        <v/>
      </c>
      <c r="AI66" s="624" t="str">
        <f t="shared" si="93"/>
        <v/>
      </c>
      <c r="AJ66" s="625" t="str">
        <f t="shared" si="94"/>
        <v/>
      </c>
      <c r="AK66" s="4" t="str">
        <f t="shared" si="213"/>
        <v/>
      </c>
      <c r="AL66" s="5" t="str">
        <f t="shared" si="95"/>
        <v/>
      </c>
      <c r="AM66" s="6" t="str">
        <f t="shared" si="96"/>
        <v/>
      </c>
      <c r="AN66" s="612" t="str">
        <f t="shared" si="97"/>
        <v/>
      </c>
      <c r="AO66" s="613" t="str">
        <f t="shared" si="465"/>
        <v/>
      </c>
      <c r="AP66" s="624" t="str">
        <f t="shared" si="99"/>
        <v/>
      </c>
      <c r="AQ66" s="625" t="str">
        <f t="shared" si="248"/>
        <v/>
      </c>
      <c r="AS66" s="56" t="str">
        <f t="shared" si="410"/>
        <v/>
      </c>
      <c r="AT66" s="77" t="str">
        <f t="shared" si="249"/>
        <v/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 t="str">
        <f t="shared" si="384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5"/>
        <v/>
      </c>
      <c r="IK66" s="839" t="str">
        <f t="shared" si="386"/>
        <v/>
      </c>
      <c r="IL66" s="791" t="str">
        <f t="shared" si="227"/>
        <v/>
      </c>
      <c r="IM66" s="830"/>
      <c r="IN66" s="5" t="str">
        <f t="shared" si="228"/>
        <v/>
      </c>
      <c r="IO66" s="852"/>
      <c r="IP66" s="9" t="str">
        <f t="shared" si="229"/>
        <v/>
      </c>
      <c r="IQ66" s="5" t="str">
        <f t="shared" si="230"/>
        <v/>
      </c>
      <c r="IR66" s="5" t="str">
        <f t="shared" si="387"/>
        <v/>
      </c>
      <c r="IS66" s="5" t="str">
        <f t="shared" si="231"/>
        <v/>
      </c>
      <c r="IT66" s="791" t="str">
        <f t="shared" si="232"/>
        <v/>
      </c>
      <c r="IU66" s="9" t="str">
        <f t="shared" si="233"/>
        <v/>
      </c>
      <c r="IV66" s="5" t="str">
        <f t="shared" si="234"/>
        <v/>
      </c>
      <c r="IW66" s="5" t="str">
        <f t="shared" si="388"/>
        <v/>
      </c>
      <c r="IX66" s="5" t="str">
        <f t="shared" si="235"/>
        <v/>
      </c>
      <c r="IY66" s="833" t="str">
        <f t="shared" si="236"/>
        <v/>
      </c>
    </row>
    <row r="67" spans="1:259" ht="15" customHeight="1" x14ac:dyDescent="0.25">
      <c r="A67" s="84">
        <f t="shared" si="81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82"/>
        <v/>
      </c>
      <c r="L67" s="327"/>
      <c r="M67" s="173" t="str">
        <f t="shared" si="241"/>
        <v/>
      </c>
      <c r="N67" s="21" t="str">
        <f t="shared" si="242"/>
        <v/>
      </c>
      <c r="O67" s="5" t="str">
        <f t="shared" si="243"/>
        <v/>
      </c>
      <c r="P67" s="10" t="str">
        <f t="shared" si="244"/>
        <v/>
      </c>
      <c r="Q67" s="624" t="str">
        <f t="shared" si="116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6"/>
        <v/>
      </c>
      <c r="X67" s="5" t="str">
        <f>IF(M67="","",R67)</f>
        <v/>
      </c>
      <c r="Y67" s="7" t="str">
        <f t="shared" si="225"/>
        <v/>
      </c>
      <c r="Z67" s="21" t="str">
        <f t="shared" si="245"/>
        <v/>
      </c>
      <c r="AA67" s="5" t="str">
        <f t="shared" si="246"/>
        <v/>
      </c>
      <c r="AB67" s="5" t="str">
        <f t="shared" si="247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5"/>
        <v/>
      </c>
      <c r="AP67" s="624" t="str">
        <f>IF(M67="","",DEGREES(ATAN2(AK67,AL67)))</f>
        <v/>
      </c>
      <c r="AQ67" s="625" t="str">
        <f t="shared" si="248"/>
        <v/>
      </c>
      <c r="AS67" s="56" t="str">
        <f t="shared" si="410"/>
        <v/>
      </c>
      <c r="AT67" s="77" t="str">
        <f t="shared" si="249"/>
        <v/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 t="str">
        <f t="shared" si="384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5"/>
        <v/>
      </c>
      <c r="IK67" s="839" t="str">
        <f t="shared" si="386"/>
        <v/>
      </c>
      <c r="IL67" s="791" t="str">
        <f t="shared" si="227"/>
        <v/>
      </c>
      <c r="IM67" s="830"/>
      <c r="IN67" s="5" t="str">
        <f t="shared" si="228"/>
        <v/>
      </c>
      <c r="IO67" s="852"/>
      <c r="IP67" s="9" t="str">
        <f t="shared" si="229"/>
        <v/>
      </c>
      <c r="IQ67" s="5" t="str">
        <f t="shared" si="230"/>
        <v/>
      </c>
      <c r="IR67" s="5" t="str">
        <f t="shared" si="387"/>
        <v/>
      </c>
      <c r="IS67" s="5" t="str">
        <f t="shared" si="231"/>
        <v/>
      </c>
      <c r="IT67" s="791" t="str">
        <f t="shared" si="232"/>
        <v/>
      </c>
      <c r="IU67" s="9" t="str">
        <f t="shared" si="233"/>
        <v/>
      </c>
      <c r="IV67" s="5" t="str">
        <f t="shared" si="234"/>
        <v/>
      </c>
      <c r="IW67" s="5" t="str">
        <f t="shared" si="388"/>
        <v/>
      </c>
      <c r="IX67" s="5" t="str">
        <f t="shared" si="235"/>
        <v/>
      </c>
      <c r="IY67" s="833" t="str">
        <f t="shared" si="236"/>
        <v/>
      </c>
    </row>
    <row r="68" spans="1:259" ht="15" customHeight="1" x14ac:dyDescent="0.25">
      <c r="A68" s="84">
        <f t="shared" si="81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82"/>
        <v/>
      </c>
      <c r="L68" s="327"/>
      <c r="M68" s="173" t="str">
        <f t="shared" si="241"/>
        <v/>
      </c>
      <c r="N68" s="21" t="str">
        <f t="shared" si="242"/>
        <v/>
      </c>
      <c r="O68" s="5" t="str">
        <f t="shared" si="243"/>
        <v/>
      </c>
      <c r="P68" s="10" t="str">
        <f t="shared" si="244"/>
        <v/>
      </c>
      <c r="Q68" s="624" t="str">
        <f t="shared" si="116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6"/>
        <v/>
      </c>
      <c r="X68" s="5" t="str">
        <f>IF(M68="","",R68)</f>
        <v/>
      </c>
      <c r="Y68" s="7" t="str">
        <f t="shared" si="225"/>
        <v/>
      </c>
      <c r="Z68" s="21" t="str">
        <f t="shared" si="245"/>
        <v/>
      </c>
      <c r="AA68" s="5" t="str">
        <f t="shared" si="246"/>
        <v/>
      </c>
      <c r="AB68" s="5" t="str">
        <f t="shared" si="247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5"/>
        <v/>
      </c>
      <c r="AP68" s="624" t="str">
        <f>IF(M68="","",DEGREES(ATAN2(AK68,AL68)))</f>
        <v/>
      </c>
      <c r="AQ68" s="625" t="str">
        <f t="shared" si="248"/>
        <v/>
      </c>
      <c r="AS68" s="56" t="str">
        <f t="shared" si="410"/>
        <v/>
      </c>
      <c r="AT68" s="77" t="str">
        <f t="shared" si="249"/>
        <v/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 t="str">
        <f t="shared" si="384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5"/>
        <v/>
      </c>
      <c r="IK68" s="839" t="str">
        <f t="shared" si="386"/>
        <v/>
      </c>
      <c r="IL68" s="791" t="str">
        <f t="shared" si="227"/>
        <v/>
      </c>
      <c r="IM68" s="830"/>
      <c r="IN68" s="5" t="str">
        <f t="shared" si="228"/>
        <v/>
      </c>
      <c r="IO68" s="852"/>
      <c r="IP68" s="9" t="str">
        <f t="shared" si="229"/>
        <v/>
      </c>
      <c r="IQ68" s="5" t="str">
        <f t="shared" si="230"/>
        <v/>
      </c>
      <c r="IR68" s="5" t="str">
        <f t="shared" si="387"/>
        <v/>
      </c>
      <c r="IS68" s="5" t="str">
        <f t="shared" si="231"/>
        <v/>
      </c>
      <c r="IT68" s="791" t="str">
        <f t="shared" si="232"/>
        <v/>
      </c>
      <c r="IU68" s="9" t="str">
        <f t="shared" si="233"/>
        <v/>
      </c>
      <c r="IV68" s="5" t="str">
        <f t="shared" si="234"/>
        <v/>
      </c>
      <c r="IW68" s="5" t="str">
        <f t="shared" si="388"/>
        <v/>
      </c>
      <c r="IX68" s="5" t="str">
        <f t="shared" si="235"/>
        <v/>
      </c>
      <c r="IY68" s="833" t="str">
        <f t="shared" si="236"/>
        <v/>
      </c>
    </row>
    <row r="69" spans="1:259" ht="15" customHeight="1" x14ac:dyDescent="0.25">
      <c r="A69" s="84">
        <f t="shared" si="81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82"/>
        <v/>
      </c>
      <c r="L69" s="327"/>
      <c r="M69" s="173" t="str">
        <f t="shared" si="241"/>
        <v/>
      </c>
      <c r="N69" s="21" t="str">
        <f t="shared" si="242"/>
        <v/>
      </c>
      <c r="O69" s="5" t="str">
        <f t="shared" si="243"/>
        <v/>
      </c>
      <c r="P69" s="10" t="str">
        <f t="shared" si="244"/>
        <v/>
      </c>
      <c r="Q69" s="624" t="str">
        <f t="shared" si="116"/>
        <v/>
      </c>
      <c r="R69" s="5" t="str">
        <f t="shared" si="83"/>
        <v/>
      </c>
      <c r="S69" s="6" t="str">
        <f t="shared" si="84"/>
        <v/>
      </c>
      <c r="T69" s="4" t="str">
        <f t="shared" si="85"/>
        <v/>
      </c>
      <c r="U69" s="5" t="str">
        <f t="shared" si="86"/>
        <v/>
      </c>
      <c r="V69" s="8" t="str">
        <f t="shared" si="117"/>
        <v/>
      </c>
      <c r="W69" s="624" t="str">
        <f t="shared" si="226"/>
        <v/>
      </c>
      <c r="X69" s="5" t="str">
        <f t="shared" si="87"/>
        <v/>
      </c>
      <c r="Y69" s="7" t="str">
        <f t="shared" si="225"/>
        <v/>
      </c>
      <c r="Z69" s="21" t="str">
        <f t="shared" si="245"/>
        <v/>
      </c>
      <c r="AA69" s="5" t="str">
        <f t="shared" si="246"/>
        <v/>
      </c>
      <c r="AB69" s="5" t="str">
        <f t="shared" si="247"/>
        <v/>
      </c>
      <c r="AC69" s="8" t="str">
        <f t="shared" si="88"/>
        <v/>
      </c>
      <c r="AD69" s="9" t="str">
        <f t="shared" si="118"/>
        <v/>
      </c>
      <c r="AE69" s="5" t="str">
        <f t="shared" si="89"/>
        <v/>
      </c>
      <c r="AF69" s="10" t="str">
        <f t="shared" si="90"/>
        <v/>
      </c>
      <c r="AG69" s="622" t="str">
        <f t="shared" si="91"/>
        <v/>
      </c>
      <c r="AH69" s="623" t="str">
        <f t="shared" si="92"/>
        <v/>
      </c>
      <c r="AI69" s="624" t="str">
        <f t="shared" si="93"/>
        <v/>
      </c>
      <c r="AJ69" s="625" t="str">
        <f t="shared" si="94"/>
        <v/>
      </c>
      <c r="AK69" s="4" t="str">
        <f t="shared" si="213"/>
        <v/>
      </c>
      <c r="AL69" s="5" t="str">
        <f t="shared" si="95"/>
        <v/>
      </c>
      <c r="AM69" s="6" t="str">
        <f t="shared" si="96"/>
        <v/>
      </c>
      <c r="AN69" s="612" t="str">
        <f t="shared" si="97"/>
        <v/>
      </c>
      <c r="AO69" s="613" t="str">
        <f t="shared" si="465"/>
        <v/>
      </c>
      <c r="AP69" s="624" t="str">
        <f t="shared" si="99"/>
        <v/>
      </c>
      <c r="AQ69" s="625" t="str">
        <f t="shared" si="248"/>
        <v/>
      </c>
      <c r="AS69" s="56" t="str">
        <f t="shared" si="410"/>
        <v/>
      </c>
      <c r="AT69" s="77" t="str">
        <f t="shared" si="249"/>
        <v/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 t="str">
        <f t="shared" si="384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5"/>
        <v/>
      </c>
      <c r="IK69" s="839" t="str">
        <f t="shared" si="386"/>
        <v/>
      </c>
      <c r="IL69" s="791" t="str">
        <f t="shared" si="227"/>
        <v/>
      </c>
      <c r="IM69" s="830"/>
      <c r="IN69" s="5" t="str">
        <f t="shared" si="228"/>
        <v/>
      </c>
      <c r="IO69" s="852"/>
      <c r="IP69" s="9" t="str">
        <f t="shared" si="229"/>
        <v/>
      </c>
      <c r="IQ69" s="5" t="str">
        <f t="shared" si="230"/>
        <v/>
      </c>
      <c r="IR69" s="5" t="str">
        <f t="shared" si="387"/>
        <v/>
      </c>
      <c r="IS69" s="5" t="str">
        <f t="shared" si="231"/>
        <v/>
      </c>
      <c r="IT69" s="791" t="str">
        <f t="shared" si="232"/>
        <v/>
      </c>
      <c r="IU69" s="9" t="str">
        <f t="shared" si="233"/>
        <v/>
      </c>
      <c r="IV69" s="5" t="str">
        <f t="shared" si="234"/>
        <v/>
      </c>
      <c r="IW69" s="5" t="str">
        <f t="shared" si="388"/>
        <v/>
      </c>
      <c r="IX69" s="5" t="str">
        <f t="shared" si="235"/>
        <v/>
      </c>
      <c r="IY69" s="833" t="str">
        <f t="shared" si="236"/>
        <v/>
      </c>
    </row>
    <row r="70" spans="1:259" ht="15" customHeight="1" x14ac:dyDescent="0.25">
      <c r="A70" s="84">
        <f t="shared" si="81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82"/>
        <v/>
      </c>
      <c r="L70" s="327"/>
      <c r="M70" s="173" t="str">
        <f t="shared" si="241"/>
        <v/>
      </c>
      <c r="N70" s="21" t="str">
        <f t="shared" si="242"/>
        <v/>
      </c>
      <c r="O70" s="5" t="str">
        <f t="shared" si="243"/>
        <v/>
      </c>
      <c r="P70" s="10" t="str">
        <f t="shared" si="244"/>
        <v/>
      </c>
      <c r="Q70" s="624" t="str">
        <f t="shared" si="116"/>
        <v/>
      </c>
      <c r="R70" s="5" t="str">
        <f t="shared" si="83"/>
        <v/>
      </c>
      <c r="S70" s="6" t="str">
        <f t="shared" si="84"/>
        <v/>
      </c>
      <c r="T70" s="4" t="str">
        <f t="shared" si="85"/>
        <v/>
      </c>
      <c r="U70" s="5" t="str">
        <f t="shared" si="86"/>
        <v/>
      </c>
      <c r="V70" s="8" t="str">
        <f t="shared" si="117"/>
        <v/>
      </c>
      <c r="W70" s="624" t="str">
        <f t="shared" si="226"/>
        <v/>
      </c>
      <c r="X70" s="5" t="str">
        <f t="shared" si="87"/>
        <v/>
      </c>
      <c r="Y70" s="7" t="str">
        <f t="shared" si="225"/>
        <v/>
      </c>
      <c r="Z70" s="21" t="str">
        <f t="shared" si="245"/>
        <v/>
      </c>
      <c r="AA70" s="5" t="str">
        <f t="shared" si="246"/>
        <v/>
      </c>
      <c r="AB70" s="5" t="str">
        <f t="shared" si="247"/>
        <v/>
      </c>
      <c r="AC70" s="8" t="str">
        <f t="shared" si="88"/>
        <v/>
      </c>
      <c r="AD70" s="9" t="str">
        <f t="shared" si="118"/>
        <v/>
      </c>
      <c r="AE70" s="5" t="str">
        <f t="shared" si="89"/>
        <v/>
      </c>
      <c r="AF70" s="10" t="str">
        <f t="shared" si="90"/>
        <v/>
      </c>
      <c r="AG70" s="622" t="str">
        <f t="shared" si="91"/>
        <v/>
      </c>
      <c r="AH70" s="623" t="str">
        <f t="shared" si="92"/>
        <v/>
      </c>
      <c r="AI70" s="624" t="str">
        <f t="shared" si="93"/>
        <v/>
      </c>
      <c r="AJ70" s="625" t="str">
        <f t="shared" si="94"/>
        <v/>
      </c>
      <c r="AK70" s="4" t="str">
        <f t="shared" si="213"/>
        <v/>
      </c>
      <c r="AL70" s="5" t="str">
        <f t="shared" si="95"/>
        <v/>
      </c>
      <c r="AM70" s="6" t="str">
        <f t="shared" si="96"/>
        <v/>
      </c>
      <c r="AN70" s="612" t="str">
        <f t="shared" si="97"/>
        <v/>
      </c>
      <c r="AO70" s="613" t="str">
        <f t="shared" si="465"/>
        <v/>
      </c>
      <c r="AP70" s="624" t="str">
        <f t="shared" si="99"/>
        <v/>
      </c>
      <c r="AQ70" s="625" t="str">
        <f t="shared" si="248"/>
        <v/>
      </c>
      <c r="AS70" s="56" t="str">
        <f t="shared" si="410"/>
        <v/>
      </c>
      <c r="AT70" s="77" t="str">
        <f t="shared" si="249"/>
        <v/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 t="str">
        <f t="shared" si="384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5"/>
        <v/>
      </c>
      <c r="IK70" s="839" t="str">
        <f t="shared" si="386"/>
        <v/>
      </c>
      <c r="IL70" s="791" t="str">
        <f t="shared" si="227"/>
        <v/>
      </c>
      <c r="IM70" s="830"/>
      <c r="IN70" s="5" t="str">
        <f t="shared" si="228"/>
        <v/>
      </c>
      <c r="IO70" s="852"/>
      <c r="IP70" s="9" t="str">
        <f t="shared" si="229"/>
        <v/>
      </c>
      <c r="IQ70" s="5" t="str">
        <f t="shared" si="230"/>
        <v/>
      </c>
      <c r="IR70" s="5" t="str">
        <f t="shared" si="387"/>
        <v/>
      </c>
      <c r="IS70" s="5" t="str">
        <f t="shared" si="231"/>
        <v/>
      </c>
      <c r="IT70" s="791" t="str">
        <f t="shared" si="232"/>
        <v/>
      </c>
      <c r="IU70" s="9" t="str">
        <f t="shared" si="233"/>
        <v/>
      </c>
      <c r="IV70" s="5" t="str">
        <f t="shared" si="234"/>
        <v/>
      </c>
      <c r="IW70" s="5" t="str">
        <f t="shared" si="388"/>
        <v/>
      </c>
      <c r="IX70" s="5" t="str">
        <f t="shared" si="235"/>
        <v/>
      </c>
      <c r="IY70" s="833" t="str">
        <f t="shared" si="236"/>
        <v/>
      </c>
    </row>
    <row r="71" spans="1:259" ht="15" customHeight="1" x14ac:dyDescent="0.25">
      <c r="A71" s="84">
        <f t="shared" si="81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82"/>
        <v/>
      </c>
      <c r="L71" s="327"/>
      <c r="M71" s="173" t="str">
        <f t="shared" si="241"/>
        <v/>
      </c>
      <c r="N71" s="21" t="str">
        <f t="shared" si="242"/>
        <v/>
      </c>
      <c r="O71" s="5" t="str">
        <f t="shared" si="243"/>
        <v/>
      </c>
      <c r="P71" s="10" t="str">
        <f t="shared" si="244"/>
        <v/>
      </c>
      <c r="Q71" s="624" t="str">
        <f t="shared" si="116"/>
        <v/>
      </c>
      <c r="R71" s="5" t="str">
        <f t="shared" si="83"/>
        <v/>
      </c>
      <c r="S71" s="6" t="str">
        <f t="shared" si="84"/>
        <v/>
      </c>
      <c r="T71" s="4" t="str">
        <f t="shared" si="85"/>
        <v/>
      </c>
      <c r="U71" s="5" t="str">
        <f t="shared" si="86"/>
        <v/>
      </c>
      <c r="V71" s="8" t="str">
        <f t="shared" si="117"/>
        <v/>
      </c>
      <c r="W71" s="624" t="str">
        <f t="shared" si="226"/>
        <v/>
      </c>
      <c r="X71" s="5" t="str">
        <f t="shared" si="87"/>
        <v/>
      </c>
      <c r="Y71" s="7" t="str">
        <f t="shared" si="225"/>
        <v/>
      </c>
      <c r="Z71" s="21" t="str">
        <f t="shared" si="245"/>
        <v/>
      </c>
      <c r="AA71" s="5" t="str">
        <f t="shared" si="246"/>
        <v/>
      </c>
      <c r="AB71" s="5" t="str">
        <f t="shared" si="247"/>
        <v/>
      </c>
      <c r="AC71" s="8" t="str">
        <f t="shared" si="88"/>
        <v/>
      </c>
      <c r="AD71" s="9" t="str">
        <f t="shared" si="118"/>
        <v/>
      </c>
      <c r="AE71" s="5" t="str">
        <f t="shared" si="89"/>
        <v/>
      </c>
      <c r="AF71" s="10" t="str">
        <f t="shared" si="90"/>
        <v/>
      </c>
      <c r="AG71" s="622" t="str">
        <f t="shared" si="91"/>
        <v/>
      </c>
      <c r="AH71" s="623" t="str">
        <f t="shared" si="92"/>
        <v/>
      </c>
      <c r="AI71" s="624" t="str">
        <f t="shared" si="93"/>
        <v/>
      </c>
      <c r="AJ71" s="625" t="str">
        <f t="shared" si="94"/>
        <v/>
      </c>
      <c r="AK71" s="4" t="str">
        <f t="shared" si="213"/>
        <v/>
      </c>
      <c r="AL71" s="5" t="str">
        <f t="shared" si="95"/>
        <v/>
      </c>
      <c r="AM71" s="6" t="str">
        <f t="shared" si="96"/>
        <v/>
      </c>
      <c r="AN71" s="612" t="str">
        <f t="shared" si="97"/>
        <v/>
      </c>
      <c r="AO71" s="613" t="str">
        <f t="shared" si="465"/>
        <v/>
      </c>
      <c r="AP71" s="624" t="str">
        <f t="shared" si="99"/>
        <v/>
      </c>
      <c r="AQ71" s="625" t="str">
        <f t="shared" si="248"/>
        <v/>
      </c>
      <c r="AS71" s="56" t="str">
        <f t="shared" si="410"/>
        <v/>
      </c>
      <c r="AT71" s="77" t="str">
        <f t="shared" si="249"/>
        <v/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 t="str">
        <f t="shared" si="384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5"/>
        <v/>
      </c>
      <c r="IK71" s="839" t="str">
        <f t="shared" si="386"/>
        <v/>
      </c>
      <c r="IL71" s="791" t="str">
        <f t="shared" si="227"/>
        <v/>
      </c>
      <c r="IM71" s="830"/>
      <c r="IN71" s="5" t="str">
        <f t="shared" si="228"/>
        <v/>
      </c>
      <c r="IO71" s="852"/>
      <c r="IP71" s="9" t="str">
        <f t="shared" si="229"/>
        <v/>
      </c>
      <c r="IQ71" s="5" t="str">
        <f t="shared" si="230"/>
        <v/>
      </c>
      <c r="IR71" s="5" t="str">
        <f t="shared" si="387"/>
        <v/>
      </c>
      <c r="IS71" s="5" t="str">
        <f t="shared" si="231"/>
        <v/>
      </c>
      <c r="IT71" s="791" t="str">
        <f t="shared" si="232"/>
        <v/>
      </c>
      <c r="IU71" s="9" t="str">
        <f t="shared" si="233"/>
        <v/>
      </c>
      <c r="IV71" s="5" t="str">
        <f t="shared" si="234"/>
        <v/>
      </c>
      <c r="IW71" s="5" t="str">
        <f t="shared" si="388"/>
        <v/>
      </c>
      <c r="IX71" s="5" t="str">
        <f t="shared" si="235"/>
        <v/>
      </c>
      <c r="IY71" s="833" t="str">
        <f t="shared" si="236"/>
        <v/>
      </c>
    </row>
    <row r="72" spans="1:259" ht="15" customHeight="1" x14ac:dyDescent="0.25">
      <c r="A72" s="84">
        <f t="shared" si="81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82"/>
        <v/>
      </c>
      <c r="L72" s="327"/>
      <c r="M72" s="173" t="str">
        <f t="shared" si="241"/>
        <v/>
      </c>
      <c r="N72" s="21" t="str">
        <f t="shared" si="242"/>
        <v/>
      </c>
      <c r="O72" s="5" t="str">
        <f t="shared" si="243"/>
        <v/>
      </c>
      <c r="P72" s="10" t="str">
        <f t="shared" si="244"/>
        <v/>
      </c>
      <c r="Q72" s="624" t="str">
        <f t="shared" si="116"/>
        <v/>
      </c>
      <c r="R72" s="5" t="str">
        <f t="shared" si="83"/>
        <v/>
      </c>
      <c r="S72" s="6" t="str">
        <f t="shared" si="84"/>
        <v/>
      </c>
      <c r="T72" s="4" t="str">
        <f t="shared" si="85"/>
        <v/>
      </c>
      <c r="U72" s="5" t="str">
        <f t="shared" si="86"/>
        <v/>
      </c>
      <c r="V72" s="8" t="str">
        <f t="shared" si="117"/>
        <v/>
      </c>
      <c r="W72" s="624" t="str">
        <f t="shared" si="226"/>
        <v/>
      </c>
      <c r="X72" s="5" t="str">
        <f t="shared" si="87"/>
        <v/>
      </c>
      <c r="Y72" s="7" t="str">
        <f t="shared" si="225"/>
        <v/>
      </c>
      <c r="Z72" s="21" t="str">
        <f t="shared" si="245"/>
        <v/>
      </c>
      <c r="AA72" s="5" t="str">
        <f t="shared" si="246"/>
        <v/>
      </c>
      <c r="AB72" s="5" t="str">
        <f t="shared" si="247"/>
        <v/>
      </c>
      <c r="AC72" s="8" t="str">
        <f t="shared" si="88"/>
        <v/>
      </c>
      <c r="AD72" s="9" t="str">
        <f t="shared" si="118"/>
        <v/>
      </c>
      <c r="AE72" s="5" t="str">
        <f t="shared" si="89"/>
        <v/>
      </c>
      <c r="AF72" s="10" t="str">
        <f t="shared" si="90"/>
        <v/>
      </c>
      <c r="AG72" s="622" t="str">
        <f t="shared" si="91"/>
        <v/>
      </c>
      <c r="AH72" s="623" t="str">
        <f t="shared" si="92"/>
        <v/>
      </c>
      <c r="AI72" s="624" t="str">
        <f t="shared" si="93"/>
        <v/>
      </c>
      <c r="AJ72" s="625" t="str">
        <f t="shared" si="94"/>
        <v/>
      </c>
      <c r="AK72" s="4" t="str">
        <f t="shared" si="213"/>
        <v/>
      </c>
      <c r="AL72" s="5" t="str">
        <f t="shared" si="95"/>
        <v/>
      </c>
      <c r="AM72" s="6" t="str">
        <f t="shared" si="96"/>
        <v/>
      </c>
      <c r="AN72" s="612" t="str">
        <f t="shared" si="97"/>
        <v/>
      </c>
      <c r="AO72" s="613" t="str">
        <f t="shared" si="465"/>
        <v/>
      </c>
      <c r="AP72" s="624" t="str">
        <f t="shared" si="99"/>
        <v/>
      </c>
      <c r="AQ72" s="625" t="str">
        <f t="shared" si="248"/>
        <v/>
      </c>
      <c r="AS72" s="56" t="str">
        <f t="shared" si="410"/>
        <v/>
      </c>
      <c r="AT72" s="77" t="str">
        <f t="shared" si="249"/>
        <v/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 t="str">
        <f t="shared" si="384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5"/>
        <v/>
      </c>
      <c r="IK72" s="839" t="str">
        <f t="shared" si="386"/>
        <v/>
      </c>
      <c r="IL72" s="791" t="str">
        <f t="shared" si="227"/>
        <v/>
      </c>
      <c r="IM72" s="830"/>
      <c r="IN72" s="5" t="str">
        <f t="shared" si="228"/>
        <v/>
      </c>
      <c r="IO72" s="852"/>
      <c r="IP72" s="9" t="str">
        <f t="shared" si="229"/>
        <v/>
      </c>
      <c r="IQ72" s="5" t="str">
        <f t="shared" si="230"/>
        <v/>
      </c>
      <c r="IR72" s="5" t="str">
        <f t="shared" si="387"/>
        <v/>
      </c>
      <c r="IS72" s="5" t="str">
        <f t="shared" si="231"/>
        <v/>
      </c>
      <c r="IT72" s="791" t="str">
        <f t="shared" si="232"/>
        <v/>
      </c>
      <c r="IU72" s="9" t="str">
        <f t="shared" si="233"/>
        <v/>
      </c>
      <c r="IV72" s="5" t="str">
        <f t="shared" si="234"/>
        <v/>
      </c>
      <c r="IW72" s="5" t="str">
        <f t="shared" si="388"/>
        <v/>
      </c>
      <c r="IX72" s="5" t="str">
        <f t="shared" si="235"/>
        <v/>
      </c>
      <c r="IY72" s="833" t="str">
        <f t="shared" si="236"/>
        <v/>
      </c>
    </row>
    <row r="73" spans="1:259" ht="15" customHeight="1" x14ac:dyDescent="0.25">
      <c r="A73" s="84">
        <f t="shared" si="81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82"/>
        <v/>
      </c>
      <c r="L73" s="327"/>
      <c r="M73" s="173" t="str">
        <f t="shared" ref="M73:M104" si="468">IF(J73="","",VALUE(J73))</f>
        <v/>
      </c>
      <c r="N73" s="21" t="str">
        <f t="shared" ref="N73:N104" si="469">IF(M73="","",B73)</f>
        <v/>
      </c>
      <c r="O73" s="5" t="str">
        <f t="shared" ref="O73:O104" si="470">IF(M73="","",C73)</f>
        <v/>
      </c>
      <c r="P73" s="10" t="str">
        <f t="shared" ref="P73:P104" si="471">IF(M73="","",D73)</f>
        <v/>
      </c>
      <c r="Q73" s="624" t="str">
        <f t="shared" si="116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6"/>
        <v/>
      </c>
      <c r="X73" s="5" t="str">
        <f>IF(M73="","",R73)</f>
        <v/>
      </c>
      <c r="Y73" s="7" t="str">
        <f t="shared" si="225"/>
        <v/>
      </c>
      <c r="Z73" s="21" t="str">
        <f t="shared" ref="Z73:Z104" si="472">IF(M73="","",-E73)</f>
        <v/>
      </c>
      <c r="AA73" s="5" t="str">
        <f t="shared" ref="AA73:AA104" si="473">IF(M73="","",-F73)</f>
        <v/>
      </c>
      <c r="AB73" s="5" t="str">
        <f t="shared" ref="AB73:AB104" si="474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5"/>
        <v/>
      </c>
      <c r="AP73" s="624" t="str">
        <f>IF(M73="","",DEGREES(ATAN2(AK73,AL73)))</f>
        <v/>
      </c>
      <c r="AQ73" s="625" t="str">
        <f t="shared" ref="AQ73:AQ104" si="475">IF(M73="","",DEGREES(ATAN(($AS$5*SIN(RADIANS(90)))/(($X73*2*PI())-($AS$5*COS(RADIANS(90)))))))</f>
        <v/>
      </c>
      <c r="AS73" s="56" t="str">
        <f t="shared" si="410"/>
        <v/>
      </c>
      <c r="AT73" s="77" t="str">
        <f t="shared" ref="AT73:AT104" si="476">IF(M73="","",Y73+(((AS73-$AS$9)*$AS$6)*-1))</f>
        <v/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 t="str">
        <f t="shared" ref="IG73:IG104" si="521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2">IF(ISNUMBER($II73),INDEX($K$9:$K$150,MATCH($II73,$M$9:$M$150,0)),"")</f>
        <v/>
      </c>
      <c r="IK73" s="839" t="str">
        <f t="shared" ref="IK73:IK104" si="523">IF(ISNUMBER($II73),INDEX($K$9:$K$150,MATCH($IG73,$M$9:$M$150,0)),"")</f>
        <v/>
      </c>
      <c r="IL73" s="791" t="str">
        <f t="shared" si="227"/>
        <v/>
      </c>
      <c r="IM73" s="830"/>
      <c r="IN73" s="5" t="str">
        <f t="shared" si="228"/>
        <v/>
      </c>
      <c r="IO73" s="852"/>
      <c r="IP73" s="9" t="str">
        <f t="shared" si="229"/>
        <v/>
      </c>
      <c r="IQ73" s="5" t="str">
        <f t="shared" si="230"/>
        <v/>
      </c>
      <c r="IR73" s="5" t="str">
        <f t="shared" ref="IR73:IR104" si="524">IF(ISNUMBER($II73),INDEX($H$9:$H$150,MATCH($II73,$M$9:$M$150,0)),"")</f>
        <v/>
      </c>
      <c r="IS73" s="5" t="str">
        <f t="shared" si="231"/>
        <v/>
      </c>
      <c r="IT73" s="791" t="str">
        <f t="shared" si="232"/>
        <v/>
      </c>
      <c r="IU73" s="9" t="str">
        <f t="shared" si="233"/>
        <v/>
      </c>
      <c r="IV73" s="5" t="str">
        <f t="shared" si="234"/>
        <v/>
      </c>
      <c r="IW73" s="5" t="str">
        <f t="shared" ref="IW73:IW104" si="525">IF(ISNUMBER($II73),$H73,"")</f>
        <v/>
      </c>
      <c r="IX73" s="5" t="str">
        <f t="shared" si="235"/>
        <v/>
      </c>
      <c r="IY73" s="833" t="str">
        <f t="shared" si="236"/>
        <v/>
      </c>
    </row>
    <row r="74" spans="1:259" ht="15" customHeight="1" x14ac:dyDescent="0.25">
      <c r="A74" s="84">
        <f t="shared" ref="A74:A137" si="526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/>
      </c>
      <c r="L74" s="327"/>
      <c r="M74" s="173" t="str">
        <f t="shared" si="468"/>
        <v/>
      </c>
      <c r="N74" s="21" t="str">
        <f t="shared" si="469"/>
        <v/>
      </c>
      <c r="O74" s="5" t="str">
        <f t="shared" si="470"/>
        <v/>
      </c>
      <c r="P74" s="10" t="str">
        <f t="shared" si="471"/>
        <v/>
      </c>
      <c r="Q74" s="624" t="str">
        <f t="shared" ref="Q74:Q129" si="528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6"/>
        <v/>
      </c>
      <c r="X74" s="5" t="str">
        <f>IF(M74="","",R74)</f>
        <v/>
      </c>
      <c r="Y74" s="7" t="str">
        <f t="shared" si="225"/>
        <v/>
      </c>
      <c r="Z74" s="21" t="str">
        <f t="shared" si="472"/>
        <v/>
      </c>
      <c r="AA74" s="5" t="str">
        <f t="shared" si="473"/>
        <v/>
      </c>
      <c r="AB74" s="5" t="str">
        <f t="shared" si="474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5"/>
        <v/>
      </c>
      <c r="AP74" s="624" t="str">
        <f>IF(M74="","",DEGREES(ATAN2(AK74,AL74)))</f>
        <v/>
      </c>
      <c r="AQ74" s="625" t="str">
        <f t="shared" si="475"/>
        <v/>
      </c>
      <c r="AS74" s="56" t="str">
        <f t="shared" si="410"/>
        <v/>
      </c>
      <c r="AT74" s="77" t="str">
        <f t="shared" si="476"/>
        <v/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 t="str">
        <f t="shared" si="521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2"/>
        <v/>
      </c>
      <c r="IK74" s="839" t="str">
        <f t="shared" si="523"/>
        <v/>
      </c>
      <c r="IL74" s="791" t="str">
        <f t="shared" si="227"/>
        <v/>
      </c>
      <c r="IM74" s="830"/>
      <c r="IN74" s="5" t="str">
        <f t="shared" si="228"/>
        <v/>
      </c>
      <c r="IO74" s="852"/>
      <c r="IP74" s="9" t="str">
        <f t="shared" si="229"/>
        <v/>
      </c>
      <c r="IQ74" s="5" t="str">
        <f t="shared" si="230"/>
        <v/>
      </c>
      <c r="IR74" s="5" t="str">
        <f t="shared" si="524"/>
        <v/>
      </c>
      <c r="IS74" s="5" t="str">
        <f t="shared" si="231"/>
        <v/>
      </c>
      <c r="IT74" s="791" t="str">
        <f t="shared" si="232"/>
        <v/>
      </c>
      <c r="IU74" s="9" t="str">
        <f t="shared" si="233"/>
        <v/>
      </c>
      <c r="IV74" s="5" t="str">
        <f t="shared" si="234"/>
        <v/>
      </c>
      <c r="IW74" s="5" t="str">
        <f t="shared" si="525"/>
        <v/>
      </c>
      <c r="IX74" s="5" t="str">
        <f t="shared" si="235"/>
        <v/>
      </c>
      <c r="IY74" s="833" t="str">
        <f t="shared" si="236"/>
        <v/>
      </c>
    </row>
    <row r="75" spans="1:259" ht="15" customHeight="1" x14ac:dyDescent="0.25">
      <c r="A75" s="84">
        <f t="shared" si="526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527"/>
        <v/>
      </c>
      <c r="L75" s="327"/>
      <c r="M75" s="173" t="str">
        <f t="shared" si="468"/>
        <v/>
      </c>
      <c r="N75" s="21" t="str">
        <f t="shared" si="469"/>
        <v/>
      </c>
      <c r="O75" s="5" t="str">
        <f t="shared" si="470"/>
        <v/>
      </c>
      <c r="P75" s="10" t="str">
        <f t="shared" si="471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6"/>
        <v/>
      </c>
      <c r="X75" s="5" t="str">
        <f>IF(M75="","",R75)</f>
        <v/>
      </c>
      <c r="Y75" s="7" t="str">
        <f t="shared" si="225"/>
        <v/>
      </c>
      <c r="Z75" s="21" t="str">
        <f t="shared" si="472"/>
        <v/>
      </c>
      <c r="AA75" s="5" t="str">
        <f t="shared" si="473"/>
        <v/>
      </c>
      <c r="AB75" s="5" t="str">
        <f t="shared" si="474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5"/>
        <v/>
      </c>
      <c r="AP75" s="624" t="str">
        <f>IF(M75="","",DEGREES(ATAN2(AK75,AL75)))</f>
        <v/>
      </c>
      <c r="AQ75" s="625" t="str">
        <f t="shared" si="475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6"/>
        <v/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1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2"/>
        <v/>
      </c>
      <c r="IK75" s="839" t="str">
        <f t="shared" si="523"/>
        <v/>
      </c>
      <c r="IL75" s="791" t="str">
        <f t="shared" si="227"/>
        <v/>
      </c>
      <c r="IM75" s="830"/>
      <c r="IN75" s="5" t="str">
        <f t="shared" si="228"/>
        <v/>
      </c>
      <c r="IO75" s="852"/>
      <c r="IP75" s="9" t="str">
        <f t="shared" si="229"/>
        <v/>
      </c>
      <c r="IQ75" s="5" t="str">
        <f t="shared" si="230"/>
        <v/>
      </c>
      <c r="IR75" s="5" t="str">
        <f t="shared" si="524"/>
        <v/>
      </c>
      <c r="IS75" s="5" t="str">
        <f t="shared" si="231"/>
        <v/>
      </c>
      <c r="IT75" s="791" t="str">
        <f t="shared" si="232"/>
        <v/>
      </c>
      <c r="IU75" s="9" t="str">
        <f t="shared" si="233"/>
        <v/>
      </c>
      <c r="IV75" s="5" t="str">
        <f t="shared" si="234"/>
        <v/>
      </c>
      <c r="IW75" s="5" t="str">
        <f t="shared" si="525"/>
        <v/>
      </c>
      <c r="IX75" s="5" t="str">
        <f t="shared" si="235"/>
        <v/>
      </c>
      <c r="IY75" s="833" t="str">
        <f t="shared" si="236"/>
        <v/>
      </c>
    </row>
    <row r="76" spans="1:259" ht="15" customHeight="1" x14ac:dyDescent="0.25">
      <c r="A76" s="84">
        <f t="shared" si="526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527"/>
        <v/>
      </c>
      <c r="L76" s="327"/>
      <c r="M76" s="173" t="str">
        <f t="shared" si="468"/>
        <v/>
      </c>
      <c r="N76" s="21" t="str">
        <f t="shared" si="469"/>
        <v/>
      </c>
      <c r="O76" s="5" t="str">
        <f t="shared" si="470"/>
        <v/>
      </c>
      <c r="P76" s="10" t="str">
        <f t="shared" si="471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6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2"/>
        <v/>
      </c>
      <c r="AA76" s="5" t="str">
        <f t="shared" si="473"/>
        <v/>
      </c>
      <c r="AB76" s="5" t="str">
        <f t="shared" si="474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5"/>
        <v/>
      </c>
      <c r="AP76" s="624" t="str">
        <f t="shared" si="99"/>
        <v/>
      </c>
      <c r="AQ76" s="625" t="str">
        <f t="shared" si="475"/>
        <v/>
      </c>
      <c r="AS76" s="56" t="str">
        <f t="shared" si="550"/>
        <v/>
      </c>
      <c r="AT76" s="77" t="str">
        <f t="shared" si="476"/>
        <v/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1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2"/>
        <v/>
      </c>
      <c r="IK76" s="839" t="str">
        <f t="shared" si="523"/>
        <v/>
      </c>
      <c r="IL76" s="791" t="str">
        <f t="shared" si="227"/>
        <v/>
      </c>
      <c r="IM76" s="830"/>
      <c r="IN76" s="5" t="str">
        <f t="shared" si="228"/>
        <v/>
      </c>
      <c r="IO76" s="852"/>
      <c r="IP76" s="9" t="str">
        <f t="shared" si="229"/>
        <v/>
      </c>
      <c r="IQ76" s="5" t="str">
        <f t="shared" si="230"/>
        <v/>
      </c>
      <c r="IR76" s="5" t="str">
        <f t="shared" si="524"/>
        <v/>
      </c>
      <c r="IS76" s="5" t="str">
        <f t="shared" si="231"/>
        <v/>
      </c>
      <c r="IT76" s="791" t="str">
        <f t="shared" si="232"/>
        <v/>
      </c>
      <c r="IU76" s="9" t="str">
        <f t="shared" si="233"/>
        <v/>
      </c>
      <c r="IV76" s="5" t="str">
        <f t="shared" si="234"/>
        <v/>
      </c>
      <c r="IW76" s="5" t="str">
        <f t="shared" si="525"/>
        <v/>
      </c>
      <c r="IX76" s="5" t="str">
        <f t="shared" si="235"/>
        <v/>
      </c>
      <c r="IY76" s="833" t="str">
        <f t="shared" si="236"/>
        <v/>
      </c>
    </row>
    <row r="77" spans="1:259" ht="15" customHeight="1" x14ac:dyDescent="0.25">
      <c r="A77" s="84">
        <f t="shared" si="526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si="527"/>
        <v/>
      </c>
      <c r="L77" s="327"/>
      <c r="M77" s="173" t="str">
        <f t="shared" si="468"/>
        <v/>
      </c>
      <c r="N77" s="21" t="str">
        <f t="shared" si="469"/>
        <v/>
      </c>
      <c r="O77" s="5" t="str">
        <f t="shared" si="470"/>
        <v/>
      </c>
      <c r="P77" s="10" t="str">
        <f t="shared" si="471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6"/>
        <v/>
      </c>
      <c r="X77" s="5" t="str">
        <f t="shared" si="87"/>
        <v/>
      </c>
      <c r="Y77" s="7" t="str">
        <f t="shared" si="650"/>
        <v/>
      </c>
      <c r="Z77" s="21" t="str">
        <f t="shared" si="472"/>
        <v/>
      </c>
      <c r="AA77" s="5" t="str">
        <f t="shared" si="473"/>
        <v/>
      </c>
      <c r="AB77" s="5" t="str">
        <f t="shared" si="474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5"/>
        <v/>
      </c>
      <c r="AP77" s="624" t="str">
        <f t="shared" si="99"/>
        <v/>
      </c>
      <c r="AQ77" s="625" t="str">
        <f t="shared" si="475"/>
        <v/>
      </c>
      <c r="AS77" s="56" t="str">
        <f t="shared" si="550"/>
        <v/>
      </c>
      <c r="AT77" s="77" t="str">
        <f t="shared" si="476"/>
        <v/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1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2"/>
        <v/>
      </c>
      <c r="IK77" s="839" t="str">
        <f t="shared" si="523"/>
        <v/>
      </c>
      <c r="IL77" s="791" t="str">
        <f t="shared" si="227"/>
        <v/>
      </c>
      <c r="IM77" s="830"/>
      <c r="IN77" s="5" t="str">
        <f t="shared" si="228"/>
        <v/>
      </c>
      <c r="IO77" s="852"/>
      <c r="IP77" s="9" t="str">
        <f t="shared" si="229"/>
        <v/>
      </c>
      <c r="IQ77" s="5" t="str">
        <f t="shared" si="230"/>
        <v/>
      </c>
      <c r="IR77" s="5" t="str">
        <f t="shared" si="524"/>
        <v/>
      </c>
      <c r="IS77" s="5" t="str">
        <f t="shared" si="231"/>
        <v/>
      </c>
      <c r="IT77" s="791" t="str">
        <f t="shared" si="232"/>
        <v/>
      </c>
      <c r="IU77" s="9" t="str">
        <f t="shared" si="233"/>
        <v/>
      </c>
      <c r="IV77" s="5" t="str">
        <f t="shared" si="234"/>
        <v/>
      </c>
      <c r="IW77" s="5" t="str">
        <f t="shared" si="525"/>
        <v/>
      </c>
      <c r="IX77" s="5" t="str">
        <f t="shared" si="235"/>
        <v/>
      </c>
      <c r="IY77" s="833" t="str">
        <f t="shared" si="236"/>
        <v/>
      </c>
    </row>
    <row r="78" spans="1:259" ht="15" customHeight="1" x14ac:dyDescent="0.25">
      <c r="A78" s="84">
        <f t="shared" si="526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527"/>
        <v/>
      </c>
      <c r="L78" s="327"/>
      <c r="M78" s="173" t="str">
        <f t="shared" si="468"/>
        <v/>
      </c>
      <c r="N78" s="21" t="str">
        <f t="shared" si="469"/>
        <v/>
      </c>
      <c r="O78" s="5" t="str">
        <f t="shared" si="470"/>
        <v/>
      </c>
      <c r="P78" s="10" t="str">
        <f t="shared" si="471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6"/>
        <v/>
      </c>
      <c r="X78" s="5" t="str">
        <f>IF(M78="","",R78)</f>
        <v/>
      </c>
      <c r="Y78" s="7" t="str">
        <f t="shared" si="650"/>
        <v/>
      </c>
      <c r="Z78" s="21" t="str">
        <f t="shared" si="472"/>
        <v/>
      </c>
      <c r="AA78" s="5" t="str">
        <f t="shared" si="473"/>
        <v/>
      </c>
      <c r="AB78" s="5" t="str">
        <f t="shared" si="474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5"/>
        <v/>
      </c>
      <c r="AP78" s="624" t="str">
        <f>IF(M78="","",DEGREES(ATAN2(AK78,AL78)))</f>
        <v/>
      </c>
      <c r="AQ78" s="625" t="str">
        <f t="shared" si="475"/>
        <v/>
      </c>
      <c r="AS78" s="56" t="str">
        <f t="shared" si="550"/>
        <v/>
      </c>
      <c r="AT78" s="77" t="str">
        <f t="shared" si="476"/>
        <v/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1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2"/>
        <v/>
      </c>
      <c r="IK78" s="839" t="str">
        <f t="shared" si="523"/>
        <v/>
      </c>
      <c r="IL78" s="791" t="str">
        <f t="shared" si="227"/>
        <v/>
      </c>
      <c r="IM78" s="830"/>
      <c r="IN78" s="5" t="str">
        <f t="shared" si="228"/>
        <v/>
      </c>
      <c r="IO78" s="852"/>
      <c r="IP78" s="9" t="str">
        <f t="shared" si="229"/>
        <v/>
      </c>
      <c r="IQ78" s="5" t="str">
        <f t="shared" si="230"/>
        <v/>
      </c>
      <c r="IR78" s="5" t="str">
        <f t="shared" si="524"/>
        <v/>
      </c>
      <c r="IS78" s="5" t="str">
        <f t="shared" si="231"/>
        <v/>
      </c>
      <c r="IT78" s="791" t="str">
        <f t="shared" si="232"/>
        <v/>
      </c>
      <c r="IU78" s="9" t="str">
        <f t="shared" si="233"/>
        <v/>
      </c>
      <c r="IV78" s="5" t="str">
        <f t="shared" si="234"/>
        <v/>
      </c>
      <c r="IW78" s="5" t="str">
        <f t="shared" si="525"/>
        <v/>
      </c>
      <c r="IX78" s="5" t="str">
        <f t="shared" si="235"/>
        <v/>
      </c>
      <c r="IY78" s="833" t="str">
        <f t="shared" si="236"/>
        <v/>
      </c>
    </row>
    <row r="79" spans="1:259" ht="15" customHeight="1" x14ac:dyDescent="0.25">
      <c r="A79" s="84">
        <f t="shared" si="526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527"/>
        <v/>
      </c>
      <c r="L79" s="327"/>
      <c r="M79" s="173" t="str">
        <f t="shared" si="468"/>
        <v/>
      </c>
      <c r="N79" s="21" t="str">
        <f t="shared" si="469"/>
        <v/>
      </c>
      <c r="O79" s="5" t="str">
        <f t="shared" si="470"/>
        <v/>
      </c>
      <c r="P79" s="10" t="str">
        <f t="shared" si="471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1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2"/>
        <v/>
      </c>
      <c r="AA79" s="5" t="str">
        <f t="shared" si="473"/>
        <v/>
      </c>
      <c r="AB79" s="5" t="str">
        <f t="shared" si="474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5"/>
        <v/>
      </c>
      <c r="AP79" s="624" t="str">
        <f>IF(M79="","",DEGREES(ATAN2(AK79,AL79)))</f>
        <v/>
      </c>
      <c r="AQ79" s="625" t="str">
        <f t="shared" si="475"/>
        <v/>
      </c>
      <c r="AS79" s="56" t="str">
        <f t="shared" si="550"/>
        <v/>
      </c>
      <c r="AT79" s="77" t="str">
        <f t="shared" si="476"/>
        <v/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1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2"/>
        <v/>
      </c>
      <c r="IK79" s="839" t="str">
        <f t="shared" si="523"/>
        <v/>
      </c>
      <c r="IL79" s="791" t="str">
        <f t="shared" si="227"/>
        <v/>
      </c>
      <c r="IM79" s="830"/>
      <c r="IN79" s="5" t="str">
        <f t="shared" si="228"/>
        <v/>
      </c>
      <c r="IO79" s="852"/>
      <c r="IP79" s="9" t="str">
        <f t="shared" si="229"/>
        <v/>
      </c>
      <c r="IQ79" s="5" t="str">
        <f t="shared" si="230"/>
        <v/>
      </c>
      <c r="IR79" s="5" t="str">
        <f t="shared" si="524"/>
        <v/>
      </c>
      <c r="IS79" s="5" t="str">
        <f t="shared" si="231"/>
        <v/>
      </c>
      <c r="IT79" s="791" t="str">
        <f t="shared" si="232"/>
        <v/>
      </c>
      <c r="IU79" s="9" t="str">
        <f t="shared" si="233"/>
        <v/>
      </c>
      <c r="IV79" s="5" t="str">
        <f t="shared" si="234"/>
        <v/>
      </c>
      <c r="IW79" s="5" t="str">
        <f t="shared" si="525"/>
        <v/>
      </c>
      <c r="IX79" s="5" t="str">
        <f t="shared" si="235"/>
        <v/>
      </c>
      <c r="IY79" s="833" t="str">
        <f t="shared" si="236"/>
        <v/>
      </c>
    </row>
    <row r="80" spans="1:259" ht="15" customHeight="1" x14ac:dyDescent="0.25">
      <c r="A80" s="84">
        <f t="shared" si="526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527"/>
        <v/>
      </c>
      <c r="L80" s="327"/>
      <c r="M80" s="173" t="str">
        <f t="shared" si="468"/>
        <v/>
      </c>
      <c r="N80" s="21" t="str">
        <f t="shared" si="469"/>
        <v/>
      </c>
      <c r="O80" s="5" t="str">
        <f t="shared" si="470"/>
        <v/>
      </c>
      <c r="P80" s="10" t="str">
        <f t="shared" si="471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1"/>
        <v/>
      </c>
      <c r="X80" s="5" t="str">
        <f t="shared" si="87"/>
        <v/>
      </c>
      <c r="Y80" s="7" t="str">
        <f t="shared" si="650"/>
        <v/>
      </c>
      <c r="Z80" s="21" t="str">
        <f t="shared" si="472"/>
        <v/>
      </c>
      <c r="AA80" s="5" t="str">
        <f t="shared" si="473"/>
        <v/>
      </c>
      <c r="AB80" s="5" t="str">
        <f t="shared" si="474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5"/>
        <v/>
      </c>
      <c r="AP80" s="624" t="str">
        <f t="shared" si="99"/>
        <v/>
      </c>
      <c r="AQ80" s="625" t="str">
        <f t="shared" si="475"/>
        <v/>
      </c>
      <c r="AS80" s="56" t="str">
        <f t="shared" si="550"/>
        <v/>
      </c>
      <c r="AT80" s="77" t="str">
        <f t="shared" si="476"/>
        <v/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1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2"/>
        <v/>
      </c>
      <c r="IK80" s="839" t="str">
        <f t="shared" si="523"/>
        <v/>
      </c>
      <c r="IL80" s="791" t="str">
        <f t="shared" si="227"/>
        <v/>
      </c>
      <c r="IM80" s="830"/>
      <c r="IN80" s="5" t="str">
        <f t="shared" si="228"/>
        <v/>
      </c>
      <c r="IO80" s="852"/>
      <c r="IP80" s="9" t="str">
        <f t="shared" si="229"/>
        <v/>
      </c>
      <c r="IQ80" s="5" t="str">
        <f t="shared" si="230"/>
        <v/>
      </c>
      <c r="IR80" s="5" t="str">
        <f t="shared" si="524"/>
        <v/>
      </c>
      <c r="IS80" s="5" t="str">
        <f t="shared" si="231"/>
        <v/>
      </c>
      <c r="IT80" s="791" t="str">
        <f t="shared" si="232"/>
        <v/>
      </c>
      <c r="IU80" s="9" t="str">
        <f t="shared" si="233"/>
        <v/>
      </c>
      <c r="IV80" s="5" t="str">
        <f t="shared" si="234"/>
        <v/>
      </c>
      <c r="IW80" s="5" t="str">
        <f t="shared" si="525"/>
        <v/>
      </c>
      <c r="IX80" s="5" t="str">
        <f t="shared" si="235"/>
        <v/>
      </c>
      <c r="IY80" s="833" t="str">
        <f t="shared" si="236"/>
        <v/>
      </c>
    </row>
    <row r="81" spans="1:259" ht="15" customHeight="1" x14ac:dyDescent="0.25">
      <c r="A81" s="84">
        <f t="shared" si="526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527"/>
        <v/>
      </c>
      <c r="L81" s="327"/>
      <c r="M81" s="173" t="str">
        <f t="shared" si="468"/>
        <v/>
      </c>
      <c r="N81" s="21" t="str">
        <f t="shared" si="469"/>
        <v/>
      </c>
      <c r="O81" s="5" t="str">
        <f t="shared" si="470"/>
        <v/>
      </c>
      <c r="P81" s="10" t="str">
        <f t="shared" si="471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1"/>
        <v/>
      </c>
      <c r="X81" s="5" t="str">
        <f t="shared" si="87"/>
        <v/>
      </c>
      <c r="Y81" s="7" t="str">
        <f t="shared" si="650"/>
        <v/>
      </c>
      <c r="Z81" s="21" t="str">
        <f t="shared" si="472"/>
        <v/>
      </c>
      <c r="AA81" s="5" t="str">
        <f t="shared" si="473"/>
        <v/>
      </c>
      <c r="AB81" s="5" t="str">
        <f t="shared" si="474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5"/>
        <v/>
      </c>
      <c r="AP81" s="624" t="str">
        <f t="shared" si="99"/>
        <v/>
      </c>
      <c r="AQ81" s="625" t="str">
        <f t="shared" si="475"/>
        <v/>
      </c>
      <c r="AS81" s="56" t="str">
        <f t="shared" si="550"/>
        <v/>
      </c>
      <c r="AT81" s="77" t="str">
        <f t="shared" si="476"/>
        <v/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1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527"/>
        <v/>
      </c>
      <c r="L82" s="327"/>
      <c r="M82" s="173" t="str">
        <f t="shared" si="468"/>
        <v/>
      </c>
      <c r="N82" s="21" t="str">
        <f t="shared" si="469"/>
        <v/>
      </c>
      <c r="O82" s="5" t="str">
        <f t="shared" si="470"/>
        <v/>
      </c>
      <c r="P82" s="10" t="str">
        <f t="shared" si="471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1"/>
        <v/>
      </c>
      <c r="X82" s="5" t="str">
        <f t="shared" si="87"/>
        <v/>
      </c>
      <c r="Y82" s="7" t="str">
        <f t="shared" si="650"/>
        <v/>
      </c>
      <c r="Z82" s="21" t="str">
        <f t="shared" si="472"/>
        <v/>
      </c>
      <c r="AA82" s="5" t="str">
        <f t="shared" si="473"/>
        <v/>
      </c>
      <c r="AB82" s="5" t="str">
        <f t="shared" si="474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5"/>
        <v/>
      </c>
      <c r="AP82" s="624" t="str">
        <f t="shared" si="99"/>
        <v/>
      </c>
      <c r="AQ82" s="625" t="str">
        <f t="shared" si="475"/>
        <v/>
      </c>
      <c r="AS82" s="56" t="str">
        <f t="shared" si="550"/>
        <v/>
      </c>
      <c r="AT82" s="77" t="str">
        <f t="shared" si="476"/>
        <v/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1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2"/>
        <v/>
      </c>
      <c r="IK82" s="839" t="str">
        <f t="shared" si="523"/>
        <v/>
      </c>
      <c r="IL82" s="791" t="str">
        <f t="shared" si="653"/>
        <v/>
      </c>
      <c r="IM82" s="830"/>
      <c r="IN82" s="5" t="str">
        <f t="shared" si="654"/>
        <v/>
      </c>
      <c r="IO82" s="852"/>
      <c r="IP82" s="9" t="str">
        <f t="shared" si="655"/>
        <v/>
      </c>
      <c r="IQ82" s="5" t="str">
        <f t="shared" si="656"/>
        <v/>
      </c>
      <c r="IR82" s="5" t="str">
        <f t="shared" si="524"/>
        <v/>
      </c>
      <c r="IS82" s="5" t="str">
        <f t="shared" si="657"/>
        <v/>
      </c>
      <c r="IT82" s="791" t="str">
        <f t="shared" si="658"/>
        <v/>
      </c>
      <c r="IU82" s="9" t="str">
        <f t="shared" si="659"/>
        <v/>
      </c>
      <c r="IV82" s="5" t="str">
        <f t="shared" si="660"/>
        <v/>
      </c>
      <c r="IW82" s="5" t="str">
        <f t="shared" si="525"/>
        <v/>
      </c>
      <c r="IX82" s="5" t="str">
        <f t="shared" si="661"/>
        <v/>
      </c>
      <c r="IY82" s="833" t="str">
        <f t="shared" si="662"/>
        <v/>
      </c>
    </row>
    <row r="83" spans="1:259" ht="15" customHeight="1" x14ac:dyDescent="0.25">
      <c r="A83" s="84">
        <f t="shared" si="526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527"/>
        <v/>
      </c>
      <c r="L83" s="327"/>
      <c r="M83" s="173" t="str">
        <f t="shared" si="468"/>
        <v/>
      </c>
      <c r="N83" s="21" t="str">
        <f t="shared" si="469"/>
        <v/>
      </c>
      <c r="O83" s="5" t="str">
        <f t="shared" si="470"/>
        <v/>
      </c>
      <c r="P83" s="10" t="str">
        <f t="shared" si="471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1"/>
        <v/>
      </c>
      <c r="X83" s="5" t="str">
        <f t="shared" si="87"/>
        <v/>
      </c>
      <c r="Y83" s="7" t="str">
        <f t="shared" si="650"/>
        <v/>
      </c>
      <c r="Z83" s="21" t="str">
        <f t="shared" si="472"/>
        <v/>
      </c>
      <c r="AA83" s="5" t="str">
        <f t="shared" si="473"/>
        <v/>
      </c>
      <c r="AB83" s="5" t="str">
        <f t="shared" si="474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5"/>
        <v/>
      </c>
      <c r="AP83" s="624" t="str">
        <f t="shared" si="99"/>
        <v/>
      </c>
      <c r="AQ83" s="625" t="str">
        <f t="shared" si="475"/>
        <v/>
      </c>
      <c r="AS83" s="56" t="str">
        <f t="shared" si="550"/>
        <v/>
      </c>
      <c r="AT83" s="77" t="str">
        <f t="shared" si="476"/>
        <v/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1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2"/>
        <v/>
      </c>
      <c r="IK83" s="839" t="str">
        <f t="shared" si="523"/>
        <v/>
      </c>
      <c r="IL83" s="791" t="str">
        <f t="shared" si="653"/>
        <v/>
      </c>
      <c r="IM83" s="830"/>
      <c r="IN83" s="5" t="str">
        <f t="shared" si="654"/>
        <v/>
      </c>
      <c r="IO83" s="852"/>
      <c r="IP83" s="9" t="str">
        <f t="shared" si="655"/>
        <v/>
      </c>
      <c r="IQ83" s="5" t="str">
        <f t="shared" si="656"/>
        <v/>
      </c>
      <c r="IR83" s="5" t="str">
        <f t="shared" si="524"/>
        <v/>
      </c>
      <c r="IS83" s="5" t="str">
        <f t="shared" si="657"/>
        <v/>
      </c>
      <c r="IT83" s="791" t="str">
        <f t="shared" si="658"/>
        <v/>
      </c>
      <c r="IU83" s="9" t="str">
        <f t="shared" si="659"/>
        <v/>
      </c>
      <c r="IV83" s="5" t="str">
        <f t="shared" si="660"/>
        <v/>
      </c>
      <c r="IW83" s="5" t="str">
        <f t="shared" si="525"/>
        <v/>
      </c>
      <c r="IX83" s="5" t="str">
        <f t="shared" si="661"/>
        <v/>
      </c>
      <c r="IY83" s="833" t="str">
        <f t="shared" si="662"/>
        <v/>
      </c>
    </row>
    <row r="84" spans="1:259" ht="15" customHeight="1" x14ac:dyDescent="0.25">
      <c r="A84" s="84">
        <f t="shared" si="526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527"/>
        <v/>
      </c>
      <c r="L84" s="327"/>
      <c r="M84" s="173" t="str">
        <f t="shared" si="468"/>
        <v/>
      </c>
      <c r="N84" s="21" t="str">
        <f t="shared" si="469"/>
        <v/>
      </c>
      <c r="O84" s="5" t="str">
        <f t="shared" si="470"/>
        <v/>
      </c>
      <c r="P84" s="10" t="str">
        <f t="shared" si="471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1"/>
        <v/>
      </c>
      <c r="X84" s="5" t="str">
        <f t="shared" si="87"/>
        <v/>
      </c>
      <c r="Y84" s="7" t="str">
        <f t="shared" si="650"/>
        <v/>
      </c>
      <c r="Z84" s="21" t="str">
        <f t="shared" si="472"/>
        <v/>
      </c>
      <c r="AA84" s="5" t="str">
        <f t="shared" si="473"/>
        <v/>
      </c>
      <c r="AB84" s="5" t="str">
        <f t="shared" si="474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5"/>
        <v/>
      </c>
      <c r="AP84" s="624" t="str">
        <f t="shared" si="99"/>
        <v/>
      </c>
      <c r="AQ84" s="625" t="str">
        <f t="shared" si="475"/>
        <v/>
      </c>
      <c r="AS84" s="56" t="str">
        <f t="shared" si="550"/>
        <v/>
      </c>
      <c r="AT84" s="77" t="str">
        <f t="shared" si="476"/>
        <v/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1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2"/>
        <v/>
      </c>
      <c r="IK84" s="839" t="str">
        <f t="shared" si="523"/>
        <v/>
      </c>
      <c r="IL84" s="791" t="str">
        <f t="shared" si="653"/>
        <v/>
      </c>
      <c r="IM84" s="830"/>
      <c r="IN84" s="5" t="str">
        <f t="shared" si="654"/>
        <v/>
      </c>
      <c r="IO84" s="852"/>
      <c r="IP84" s="9" t="str">
        <f t="shared" si="655"/>
        <v/>
      </c>
      <c r="IQ84" s="5" t="str">
        <f t="shared" si="656"/>
        <v/>
      </c>
      <c r="IR84" s="5" t="str">
        <f t="shared" si="524"/>
        <v/>
      </c>
      <c r="IS84" s="5" t="str">
        <f t="shared" si="657"/>
        <v/>
      </c>
      <c r="IT84" s="791" t="str">
        <f t="shared" si="658"/>
        <v/>
      </c>
      <c r="IU84" s="9" t="str">
        <f t="shared" si="659"/>
        <v/>
      </c>
      <c r="IV84" s="5" t="str">
        <f t="shared" si="660"/>
        <v/>
      </c>
      <c r="IW84" s="5" t="str">
        <f t="shared" si="525"/>
        <v/>
      </c>
      <c r="IX84" s="5" t="str">
        <f t="shared" si="661"/>
        <v/>
      </c>
      <c r="IY84" s="833" t="str">
        <f t="shared" si="662"/>
        <v/>
      </c>
    </row>
    <row r="85" spans="1:259" ht="15" customHeight="1" x14ac:dyDescent="0.25">
      <c r="A85" s="84">
        <f t="shared" si="526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527"/>
        <v/>
      </c>
      <c r="L85" s="327"/>
      <c r="M85" s="173" t="str">
        <f t="shared" si="468"/>
        <v/>
      </c>
      <c r="N85" s="21" t="str">
        <f t="shared" si="469"/>
        <v/>
      </c>
      <c r="O85" s="5" t="str">
        <f t="shared" si="470"/>
        <v/>
      </c>
      <c r="P85" s="10" t="str">
        <f t="shared" si="471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1"/>
        <v/>
      </c>
      <c r="X85" s="5" t="str">
        <f t="shared" si="87"/>
        <v/>
      </c>
      <c r="Y85" s="7" t="str">
        <f t="shared" si="650"/>
        <v/>
      </c>
      <c r="Z85" s="21" t="str">
        <f t="shared" si="472"/>
        <v/>
      </c>
      <c r="AA85" s="5" t="str">
        <f t="shared" si="473"/>
        <v/>
      </c>
      <c r="AB85" s="5" t="str">
        <f t="shared" si="474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5"/>
        <v/>
      </c>
      <c r="AP85" s="624" t="str">
        <f t="shared" si="99"/>
        <v/>
      </c>
      <c r="AQ85" s="625" t="str">
        <f t="shared" si="475"/>
        <v/>
      </c>
      <c r="AS85" s="56" t="str">
        <f t="shared" si="550"/>
        <v/>
      </c>
      <c r="AT85" s="77" t="str">
        <f t="shared" si="476"/>
        <v/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1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2"/>
        <v/>
      </c>
      <c r="IK85" s="839" t="str">
        <f t="shared" si="523"/>
        <v/>
      </c>
      <c r="IL85" s="791" t="str">
        <f t="shared" si="653"/>
        <v/>
      </c>
      <c r="IM85" s="830"/>
      <c r="IN85" s="5" t="str">
        <f t="shared" si="654"/>
        <v/>
      </c>
      <c r="IO85" s="852"/>
      <c r="IP85" s="9" t="str">
        <f t="shared" si="655"/>
        <v/>
      </c>
      <c r="IQ85" s="5" t="str">
        <f t="shared" si="656"/>
        <v/>
      </c>
      <c r="IR85" s="5" t="str">
        <f t="shared" si="524"/>
        <v/>
      </c>
      <c r="IS85" s="5" t="str">
        <f t="shared" si="657"/>
        <v/>
      </c>
      <c r="IT85" s="791" t="str">
        <f t="shared" si="658"/>
        <v/>
      </c>
      <c r="IU85" s="9" t="str">
        <f t="shared" si="659"/>
        <v/>
      </c>
      <c r="IV85" s="5" t="str">
        <f t="shared" si="660"/>
        <v/>
      </c>
      <c r="IW85" s="5" t="str">
        <f t="shared" si="525"/>
        <v/>
      </c>
      <c r="IX85" s="5" t="str">
        <f t="shared" si="661"/>
        <v/>
      </c>
      <c r="IY85" s="833" t="str">
        <f t="shared" si="662"/>
        <v/>
      </c>
    </row>
    <row r="86" spans="1:259" ht="15" customHeight="1" x14ac:dyDescent="0.25">
      <c r="A86" s="84">
        <f t="shared" si="526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527"/>
        <v/>
      </c>
      <c r="L86" s="327"/>
      <c r="M86" s="173" t="str">
        <f t="shared" si="468"/>
        <v/>
      </c>
      <c r="N86" s="21" t="str">
        <f t="shared" si="469"/>
        <v/>
      </c>
      <c r="O86" s="5" t="str">
        <f t="shared" si="470"/>
        <v/>
      </c>
      <c r="P86" s="10" t="str">
        <f t="shared" si="471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1"/>
        <v/>
      </c>
      <c r="X86" s="5" t="str">
        <f t="shared" si="87"/>
        <v/>
      </c>
      <c r="Y86" s="7" t="str">
        <f t="shared" si="650"/>
        <v/>
      </c>
      <c r="Z86" s="21" t="str">
        <f t="shared" si="472"/>
        <v/>
      </c>
      <c r="AA86" s="5" t="str">
        <f t="shared" si="473"/>
        <v/>
      </c>
      <c r="AB86" s="5" t="str">
        <f t="shared" si="474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5"/>
        <v/>
      </c>
      <c r="AP86" s="624" t="str">
        <f t="shared" si="99"/>
        <v/>
      </c>
      <c r="AQ86" s="625" t="str">
        <f t="shared" si="475"/>
        <v/>
      </c>
      <c r="AS86" s="56" t="str">
        <f t="shared" si="550"/>
        <v/>
      </c>
      <c r="AT86" s="77" t="str">
        <f t="shared" si="476"/>
        <v/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1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2"/>
        <v/>
      </c>
      <c r="IK86" s="839" t="str">
        <f t="shared" si="523"/>
        <v/>
      </c>
      <c r="IL86" s="791" t="str">
        <f t="shared" si="653"/>
        <v/>
      </c>
      <c r="IM86" s="830"/>
      <c r="IN86" s="5" t="str">
        <f t="shared" si="654"/>
        <v/>
      </c>
      <c r="IO86" s="852"/>
      <c r="IP86" s="9" t="str">
        <f t="shared" si="655"/>
        <v/>
      </c>
      <c r="IQ86" s="5" t="str">
        <f t="shared" si="656"/>
        <v/>
      </c>
      <c r="IR86" s="5" t="str">
        <f t="shared" si="524"/>
        <v/>
      </c>
      <c r="IS86" s="5" t="str">
        <f t="shared" si="657"/>
        <v/>
      </c>
      <c r="IT86" s="791" t="str">
        <f t="shared" si="658"/>
        <v/>
      </c>
      <c r="IU86" s="9" t="str">
        <f t="shared" si="659"/>
        <v/>
      </c>
      <c r="IV86" s="5" t="str">
        <f t="shared" si="660"/>
        <v/>
      </c>
      <c r="IW86" s="5" t="str">
        <f t="shared" si="525"/>
        <v/>
      </c>
      <c r="IX86" s="5" t="str">
        <f t="shared" si="661"/>
        <v/>
      </c>
      <c r="IY86" s="833" t="str">
        <f t="shared" si="662"/>
        <v/>
      </c>
    </row>
    <row r="87" spans="1:259" ht="15" customHeight="1" x14ac:dyDescent="0.25">
      <c r="A87" s="84">
        <f t="shared" si="526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527"/>
        <v/>
      </c>
      <c r="L87" s="327"/>
      <c r="M87" s="173" t="str">
        <f t="shared" si="468"/>
        <v/>
      </c>
      <c r="N87" s="21" t="str">
        <f t="shared" si="469"/>
        <v/>
      </c>
      <c r="O87" s="5" t="str">
        <f t="shared" si="470"/>
        <v/>
      </c>
      <c r="P87" s="10" t="str">
        <f t="shared" si="471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1"/>
        <v/>
      </c>
      <c r="X87" s="5" t="str">
        <f t="shared" si="87"/>
        <v/>
      </c>
      <c r="Y87" s="7" t="str">
        <f t="shared" si="650"/>
        <v/>
      </c>
      <c r="Z87" s="21" t="str">
        <f t="shared" si="472"/>
        <v/>
      </c>
      <c r="AA87" s="5" t="str">
        <f t="shared" si="473"/>
        <v/>
      </c>
      <c r="AB87" s="5" t="str">
        <f t="shared" si="474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5"/>
        <v/>
      </c>
      <c r="AP87" s="624" t="str">
        <f t="shared" si="99"/>
        <v/>
      </c>
      <c r="AQ87" s="625" t="str">
        <f t="shared" si="475"/>
        <v/>
      </c>
      <c r="AS87" s="56" t="str">
        <f t="shared" si="550"/>
        <v/>
      </c>
      <c r="AT87" s="77" t="str">
        <f t="shared" si="476"/>
        <v/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1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2"/>
        <v/>
      </c>
      <c r="IK87" s="839" t="str">
        <f t="shared" si="523"/>
        <v/>
      </c>
      <c r="IL87" s="791" t="str">
        <f t="shared" si="653"/>
        <v/>
      </c>
      <c r="IM87" s="830"/>
      <c r="IN87" s="5" t="str">
        <f t="shared" si="654"/>
        <v/>
      </c>
      <c r="IO87" s="852"/>
      <c r="IP87" s="9" t="str">
        <f t="shared" si="655"/>
        <v/>
      </c>
      <c r="IQ87" s="5" t="str">
        <f t="shared" si="656"/>
        <v/>
      </c>
      <c r="IR87" s="5" t="str">
        <f t="shared" si="524"/>
        <v/>
      </c>
      <c r="IS87" s="5" t="str">
        <f t="shared" si="657"/>
        <v/>
      </c>
      <c r="IT87" s="791" t="str">
        <f t="shared" si="658"/>
        <v/>
      </c>
      <c r="IU87" s="9" t="str">
        <f t="shared" si="659"/>
        <v/>
      </c>
      <c r="IV87" s="5" t="str">
        <f t="shared" si="660"/>
        <v/>
      </c>
      <c r="IW87" s="5" t="str">
        <f t="shared" si="525"/>
        <v/>
      </c>
      <c r="IX87" s="5" t="str">
        <f t="shared" si="661"/>
        <v/>
      </c>
      <c r="IY87" s="833" t="str">
        <f t="shared" si="662"/>
        <v/>
      </c>
    </row>
    <row r="88" spans="1:259" ht="15" customHeight="1" x14ac:dyDescent="0.25">
      <c r="A88" s="84">
        <f t="shared" si="526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527"/>
        <v/>
      </c>
      <c r="L88" s="327"/>
      <c r="M88" s="173" t="str">
        <f t="shared" si="468"/>
        <v/>
      </c>
      <c r="N88" s="21" t="str">
        <f t="shared" si="469"/>
        <v/>
      </c>
      <c r="O88" s="5" t="str">
        <f t="shared" si="470"/>
        <v/>
      </c>
      <c r="P88" s="10" t="str">
        <f t="shared" si="471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1"/>
        <v/>
      </c>
      <c r="X88" s="5" t="str">
        <f t="shared" si="87"/>
        <v/>
      </c>
      <c r="Y88" s="7" t="str">
        <f t="shared" si="650"/>
        <v/>
      </c>
      <c r="Z88" s="21" t="str">
        <f t="shared" si="472"/>
        <v/>
      </c>
      <c r="AA88" s="5" t="str">
        <f t="shared" si="473"/>
        <v/>
      </c>
      <c r="AB88" s="5" t="str">
        <f t="shared" si="474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5"/>
        <v/>
      </c>
      <c r="AP88" s="624" t="str">
        <f t="shared" si="99"/>
        <v/>
      </c>
      <c r="AQ88" s="625" t="str">
        <f t="shared" si="475"/>
        <v/>
      </c>
      <c r="AS88" s="56" t="str">
        <f t="shared" si="550"/>
        <v/>
      </c>
      <c r="AT88" s="77" t="str">
        <f t="shared" si="476"/>
        <v/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1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2"/>
        <v/>
      </c>
      <c r="IK88" s="839" t="str">
        <f t="shared" si="523"/>
        <v/>
      </c>
      <c r="IL88" s="791" t="str">
        <f t="shared" si="653"/>
        <v/>
      </c>
      <c r="IM88" s="830"/>
      <c r="IN88" s="5" t="str">
        <f t="shared" si="654"/>
        <v/>
      </c>
      <c r="IO88" s="852"/>
      <c r="IP88" s="9" t="str">
        <f t="shared" si="655"/>
        <v/>
      </c>
      <c r="IQ88" s="5" t="str">
        <f t="shared" si="656"/>
        <v/>
      </c>
      <c r="IR88" s="5" t="str">
        <f t="shared" si="524"/>
        <v/>
      </c>
      <c r="IS88" s="5" t="str">
        <f t="shared" si="657"/>
        <v/>
      </c>
      <c r="IT88" s="791" t="str">
        <f t="shared" si="658"/>
        <v/>
      </c>
      <c r="IU88" s="9" t="str">
        <f t="shared" si="659"/>
        <v/>
      </c>
      <c r="IV88" s="5" t="str">
        <f t="shared" si="660"/>
        <v/>
      </c>
      <c r="IW88" s="5" t="str">
        <f t="shared" si="525"/>
        <v/>
      </c>
      <c r="IX88" s="5" t="str">
        <f t="shared" si="661"/>
        <v/>
      </c>
      <c r="IY88" s="833" t="str">
        <f t="shared" si="662"/>
        <v/>
      </c>
    </row>
    <row r="89" spans="1:259" ht="15" customHeight="1" x14ac:dyDescent="0.25">
      <c r="A89" s="84">
        <f t="shared" si="526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527"/>
        <v/>
      </c>
      <c r="L89" s="327"/>
      <c r="M89" s="173" t="str">
        <f t="shared" si="468"/>
        <v/>
      </c>
      <c r="N89" s="21" t="str">
        <f t="shared" si="469"/>
        <v/>
      </c>
      <c r="O89" s="5" t="str">
        <f t="shared" si="470"/>
        <v/>
      </c>
      <c r="P89" s="10" t="str">
        <f t="shared" si="471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1"/>
        <v/>
      </c>
      <c r="X89" s="5" t="str">
        <f t="shared" si="87"/>
        <v/>
      </c>
      <c r="Y89" s="7" t="str">
        <f t="shared" si="650"/>
        <v/>
      </c>
      <c r="Z89" s="21" t="str">
        <f t="shared" si="472"/>
        <v/>
      </c>
      <c r="AA89" s="5" t="str">
        <f t="shared" si="473"/>
        <v/>
      </c>
      <c r="AB89" s="5" t="str">
        <f t="shared" si="474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5"/>
        <v/>
      </c>
      <c r="AP89" s="624" t="str">
        <f t="shared" si="99"/>
        <v/>
      </c>
      <c r="AQ89" s="625" t="str">
        <f t="shared" si="475"/>
        <v/>
      </c>
      <c r="AS89" s="56" t="str">
        <f t="shared" si="550"/>
        <v/>
      </c>
      <c r="AT89" s="77" t="str">
        <f t="shared" si="476"/>
        <v/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1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2"/>
        <v/>
      </c>
      <c r="IK89" s="839" t="str">
        <f t="shared" si="523"/>
        <v/>
      </c>
      <c r="IL89" s="791" t="str">
        <f t="shared" si="653"/>
        <v/>
      </c>
      <c r="IM89" s="830"/>
      <c r="IN89" s="5" t="str">
        <f t="shared" si="654"/>
        <v/>
      </c>
      <c r="IO89" s="852"/>
      <c r="IP89" s="9" t="str">
        <f t="shared" si="655"/>
        <v/>
      </c>
      <c r="IQ89" s="5" t="str">
        <f t="shared" si="656"/>
        <v/>
      </c>
      <c r="IR89" s="5" t="str">
        <f t="shared" si="524"/>
        <v/>
      </c>
      <c r="IS89" s="5" t="str">
        <f t="shared" si="657"/>
        <v/>
      </c>
      <c r="IT89" s="791" t="str">
        <f t="shared" si="658"/>
        <v/>
      </c>
      <c r="IU89" s="9" t="str">
        <f t="shared" si="659"/>
        <v/>
      </c>
      <c r="IV89" s="5" t="str">
        <f t="shared" si="660"/>
        <v/>
      </c>
      <c r="IW89" s="5" t="str">
        <f t="shared" si="525"/>
        <v/>
      </c>
      <c r="IX89" s="5" t="str">
        <f t="shared" si="661"/>
        <v/>
      </c>
      <c r="IY89" s="833" t="str">
        <f t="shared" si="662"/>
        <v/>
      </c>
    </row>
    <row r="90" spans="1:259" ht="15" customHeight="1" x14ac:dyDescent="0.25">
      <c r="A90" s="84">
        <f t="shared" si="526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527"/>
        <v/>
      </c>
      <c r="L90" s="327"/>
      <c r="M90" s="173" t="str">
        <f t="shared" si="468"/>
        <v/>
      </c>
      <c r="N90" s="21" t="str">
        <f t="shared" si="469"/>
        <v/>
      </c>
      <c r="O90" s="5" t="str">
        <f t="shared" si="470"/>
        <v/>
      </c>
      <c r="P90" s="10" t="str">
        <f t="shared" si="471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1"/>
        <v/>
      </c>
      <c r="X90" s="5" t="str">
        <f t="shared" si="87"/>
        <v/>
      </c>
      <c r="Y90" s="7" t="str">
        <f t="shared" si="650"/>
        <v/>
      </c>
      <c r="Z90" s="21" t="str">
        <f t="shared" si="472"/>
        <v/>
      </c>
      <c r="AA90" s="5" t="str">
        <f t="shared" si="473"/>
        <v/>
      </c>
      <c r="AB90" s="5" t="str">
        <f t="shared" si="474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5"/>
        <v/>
      </c>
      <c r="AP90" s="624" t="str">
        <f t="shared" si="99"/>
        <v/>
      </c>
      <c r="AQ90" s="625" t="str">
        <f t="shared" si="475"/>
        <v/>
      </c>
      <c r="AS90" s="56" t="str">
        <f t="shared" si="550"/>
        <v/>
      </c>
      <c r="AT90" s="77" t="str">
        <f t="shared" si="476"/>
        <v/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1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2"/>
        <v/>
      </c>
      <c r="IK90" s="839" t="str">
        <f t="shared" si="523"/>
        <v/>
      </c>
      <c r="IL90" s="791" t="str">
        <f t="shared" si="653"/>
        <v/>
      </c>
      <c r="IM90" s="830"/>
      <c r="IN90" s="5" t="str">
        <f t="shared" si="654"/>
        <v/>
      </c>
      <c r="IO90" s="852"/>
      <c r="IP90" s="9" t="str">
        <f t="shared" si="655"/>
        <v/>
      </c>
      <c r="IQ90" s="5" t="str">
        <f t="shared" si="656"/>
        <v/>
      </c>
      <c r="IR90" s="5" t="str">
        <f t="shared" si="524"/>
        <v/>
      </c>
      <c r="IS90" s="5" t="str">
        <f t="shared" si="657"/>
        <v/>
      </c>
      <c r="IT90" s="791" t="str">
        <f t="shared" si="658"/>
        <v/>
      </c>
      <c r="IU90" s="9" t="str">
        <f t="shared" si="659"/>
        <v/>
      </c>
      <c r="IV90" s="5" t="str">
        <f t="shared" si="660"/>
        <v/>
      </c>
      <c r="IW90" s="5" t="str">
        <f t="shared" si="525"/>
        <v/>
      </c>
      <c r="IX90" s="5" t="str">
        <f t="shared" si="661"/>
        <v/>
      </c>
      <c r="IY90" s="833" t="str">
        <f t="shared" si="662"/>
        <v/>
      </c>
    </row>
    <row r="91" spans="1:259" ht="15" customHeight="1" x14ac:dyDescent="0.25">
      <c r="A91" s="84">
        <f t="shared" si="526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527"/>
        <v/>
      </c>
      <c r="L91" s="327"/>
      <c r="M91" s="173" t="str">
        <f t="shared" si="468"/>
        <v/>
      </c>
      <c r="N91" s="21" t="str">
        <f t="shared" si="469"/>
        <v/>
      </c>
      <c r="O91" s="5" t="str">
        <f t="shared" si="470"/>
        <v/>
      </c>
      <c r="P91" s="10" t="str">
        <f t="shared" si="471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1"/>
        <v/>
      </c>
      <c r="X91" s="5" t="str">
        <f t="shared" si="87"/>
        <v/>
      </c>
      <c r="Y91" s="7" t="str">
        <f t="shared" si="650"/>
        <v/>
      </c>
      <c r="Z91" s="21" t="str">
        <f t="shared" si="472"/>
        <v/>
      </c>
      <c r="AA91" s="5" t="str">
        <f t="shared" si="473"/>
        <v/>
      </c>
      <c r="AB91" s="5" t="str">
        <f t="shared" si="474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5"/>
        <v/>
      </c>
      <c r="AP91" s="624" t="str">
        <f t="shared" si="99"/>
        <v/>
      </c>
      <c r="AQ91" s="625" t="str">
        <f t="shared" si="475"/>
        <v/>
      </c>
      <c r="AS91" s="56" t="str">
        <f t="shared" si="550"/>
        <v/>
      </c>
      <c r="AT91" s="77" t="str">
        <f t="shared" si="476"/>
        <v/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1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2"/>
        <v/>
      </c>
      <c r="IK91" s="839" t="str">
        <f t="shared" si="523"/>
        <v/>
      </c>
      <c r="IL91" s="791" t="str">
        <f t="shared" si="653"/>
        <v/>
      </c>
      <c r="IM91" s="830"/>
      <c r="IN91" s="5" t="str">
        <f t="shared" si="654"/>
        <v/>
      </c>
      <c r="IO91" s="852"/>
      <c r="IP91" s="9" t="str">
        <f t="shared" si="655"/>
        <v/>
      </c>
      <c r="IQ91" s="5" t="str">
        <f t="shared" si="656"/>
        <v/>
      </c>
      <c r="IR91" s="5" t="str">
        <f t="shared" si="524"/>
        <v/>
      </c>
      <c r="IS91" s="5" t="str">
        <f t="shared" si="657"/>
        <v/>
      </c>
      <c r="IT91" s="791" t="str">
        <f t="shared" si="658"/>
        <v/>
      </c>
      <c r="IU91" s="9" t="str">
        <f t="shared" si="659"/>
        <v/>
      </c>
      <c r="IV91" s="5" t="str">
        <f t="shared" si="660"/>
        <v/>
      </c>
      <c r="IW91" s="5" t="str">
        <f t="shared" si="525"/>
        <v/>
      </c>
      <c r="IX91" s="5" t="str">
        <f t="shared" si="661"/>
        <v/>
      </c>
      <c r="IY91" s="833" t="str">
        <f t="shared" si="662"/>
        <v/>
      </c>
    </row>
    <row r="92" spans="1:259" ht="15" customHeight="1" x14ac:dyDescent="0.25">
      <c r="A92" s="84">
        <f t="shared" si="526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527"/>
        <v/>
      </c>
      <c r="L92" s="327"/>
      <c r="M92" s="173" t="str">
        <f t="shared" si="468"/>
        <v/>
      </c>
      <c r="N92" s="21" t="str">
        <f t="shared" si="469"/>
        <v/>
      </c>
      <c r="O92" s="5" t="str">
        <f t="shared" si="470"/>
        <v/>
      </c>
      <c r="P92" s="10" t="str">
        <f t="shared" si="471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1"/>
        <v/>
      </c>
      <c r="X92" s="5" t="str">
        <f t="shared" si="87"/>
        <v/>
      </c>
      <c r="Y92" s="7" t="str">
        <f t="shared" si="650"/>
        <v/>
      </c>
      <c r="Z92" s="21" t="str">
        <f t="shared" si="472"/>
        <v/>
      </c>
      <c r="AA92" s="5" t="str">
        <f t="shared" si="473"/>
        <v/>
      </c>
      <c r="AB92" s="5" t="str">
        <f t="shared" si="474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5"/>
        <v/>
      </c>
      <c r="AP92" s="624" t="str">
        <f t="shared" si="99"/>
        <v/>
      </c>
      <c r="AQ92" s="625" t="str">
        <f t="shared" si="475"/>
        <v/>
      </c>
      <c r="AS92" s="56" t="str">
        <f t="shared" si="550"/>
        <v/>
      </c>
      <c r="AT92" s="78" t="str">
        <f t="shared" si="476"/>
        <v/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1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2"/>
        <v/>
      </c>
      <c r="IK92" s="839" t="str">
        <f t="shared" si="523"/>
        <v/>
      </c>
      <c r="IL92" s="791" t="str">
        <f t="shared" si="653"/>
        <v/>
      </c>
      <c r="IM92" s="830"/>
      <c r="IN92" s="5" t="str">
        <f t="shared" si="654"/>
        <v/>
      </c>
      <c r="IO92" s="852"/>
      <c r="IP92" s="9" t="str">
        <f t="shared" si="655"/>
        <v/>
      </c>
      <c r="IQ92" s="5" t="str">
        <f t="shared" si="656"/>
        <v/>
      </c>
      <c r="IR92" s="5" t="str">
        <f t="shared" si="524"/>
        <v/>
      </c>
      <c r="IS92" s="5" t="str">
        <f t="shared" si="657"/>
        <v/>
      </c>
      <c r="IT92" s="791" t="str">
        <f t="shared" si="658"/>
        <v/>
      </c>
      <c r="IU92" s="9" t="str">
        <f t="shared" si="659"/>
        <v/>
      </c>
      <c r="IV92" s="5" t="str">
        <f t="shared" si="660"/>
        <v/>
      </c>
      <c r="IW92" s="5" t="str">
        <f t="shared" si="525"/>
        <v/>
      </c>
      <c r="IX92" s="5" t="str">
        <f t="shared" si="661"/>
        <v/>
      </c>
      <c r="IY92" s="833" t="str">
        <f t="shared" si="662"/>
        <v/>
      </c>
    </row>
    <row r="93" spans="1:259" ht="15" customHeight="1" x14ac:dyDescent="0.25">
      <c r="A93" s="84">
        <f t="shared" si="526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527"/>
        <v/>
      </c>
      <c r="L93" s="327"/>
      <c r="M93" s="173" t="str">
        <f t="shared" si="468"/>
        <v/>
      </c>
      <c r="N93" s="21" t="str">
        <f t="shared" si="469"/>
        <v/>
      </c>
      <c r="O93" s="5" t="str">
        <f t="shared" si="470"/>
        <v/>
      </c>
      <c r="P93" s="10" t="str">
        <f t="shared" si="471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1"/>
        <v/>
      </c>
      <c r="X93" s="5" t="str">
        <f t="shared" si="87"/>
        <v/>
      </c>
      <c r="Y93" s="7" t="str">
        <f t="shared" si="650"/>
        <v/>
      </c>
      <c r="Z93" s="21" t="str">
        <f t="shared" si="472"/>
        <v/>
      </c>
      <c r="AA93" s="5" t="str">
        <f t="shared" si="473"/>
        <v/>
      </c>
      <c r="AB93" s="5" t="str">
        <f t="shared" si="474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5"/>
        <v/>
      </c>
      <c r="AP93" s="624" t="str">
        <f t="shared" si="99"/>
        <v/>
      </c>
      <c r="AQ93" s="625" t="str">
        <f t="shared" si="475"/>
        <v/>
      </c>
      <c r="AS93" s="56" t="str">
        <f t="shared" si="550"/>
        <v/>
      </c>
      <c r="AT93" s="78" t="str">
        <f t="shared" si="476"/>
        <v/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1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2"/>
        <v/>
      </c>
      <c r="IK93" s="839" t="str">
        <f t="shared" si="523"/>
        <v/>
      </c>
      <c r="IL93" s="791" t="str">
        <f t="shared" si="653"/>
        <v/>
      </c>
      <c r="IM93" s="830"/>
      <c r="IN93" s="5" t="str">
        <f t="shared" si="654"/>
        <v/>
      </c>
      <c r="IO93" s="852"/>
      <c r="IP93" s="9" t="str">
        <f t="shared" si="655"/>
        <v/>
      </c>
      <c r="IQ93" s="5" t="str">
        <f t="shared" si="656"/>
        <v/>
      </c>
      <c r="IR93" s="5" t="str">
        <f t="shared" si="524"/>
        <v/>
      </c>
      <c r="IS93" s="5" t="str">
        <f t="shared" si="657"/>
        <v/>
      </c>
      <c r="IT93" s="791" t="str">
        <f t="shared" si="658"/>
        <v/>
      </c>
      <c r="IU93" s="9" t="str">
        <f t="shared" si="659"/>
        <v/>
      </c>
      <c r="IV93" s="5" t="str">
        <f t="shared" si="660"/>
        <v/>
      </c>
      <c r="IW93" s="5" t="str">
        <f t="shared" si="525"/>
        <v/>
      </c>
      <c r="IX93" s="5" t="str">
        <f t="shared" si="661"/>
        <v/>
      </c>
      <c r="IY93" s="833" t="str">
        <f t="shared" si="662"/>
        <v/>
      </c>
    </row>
    <row r="94" spans="1:259" ht="15" customHeight="1" x14ac:dyDescent="0.25">
      <c r="A94" s="84">
        <f t="shared" si="526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527"/>
        <v/>
      </c>
      <c r="L94" s="327"/>
      <c r="M94" s="173" t="str">
        <f t="shared" si="468"/>
        <v/>
      </c>
      <c r="N94" s="21" t="str">
        <f t="shared" si="469"/>
        <v/>
      </c>
      <c r="O94" s="5" t="str">
        <f t="shared" si="470"/>
        <v/>
      </c>
      <c r="P94" s="10" t="str">
        <f t="shared" si="471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1"/>
        <v/>
      </c>
      <c r="X94" s="5" t="str">
        <f t="shared" si="87"/>
        <v/>
      </c>
      <c r="Y94" s="7" t="str">
        <f t="shared" si="650"/>
        <v/>
      </c>
      <c r="Z94" s="21" t="str">
        <f t="shared" si="472"/>
        <v/>
      </c>
      <c r="AA94" s="5" t="str">
        <f t="shared" si="473"/>
        <v/>
      </c>
      <c r="AB94" s="5" t="str">
        <f t="shared" si="474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5"/>
        <v/>
      </c>
      <c r="AP94" s="624" t="str">
        <f t="shared" si="99"/>
        <v/>
      </c>
      <c r="AQ94" s="625" t="str">
        <f t="shared" si="475"/>
        <v/>
      </c>
      <c r="AS94" s="56" t="str">
        <f t="shared" si="550"/>
        <v/>
      </c>
      <c r="AT94" s="78" t="str">
        <f t="shared" si="476"/>
        <v/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1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2"/>
        <v/>
      </c>
      <c r="IK94" s="839" t="str">
        <f t="shared" si="523"/>
        <v/>
      </c>
      <c r="IL94" s="791" t="str">
        <f t="shared" si="653"/>
        <v/>
      </c>
      <c r="IM94" s="830"/>
      <c r="IN94" s="5" t="str">
        <f t="shared" si="654"/>
        <v/>
      </c>
      <c r="IO94" s="852"/>
      <c r="IP94" s="9" t="str">
        <f t="shared" si="655"/>
        <v/>
      </c>
      <c r="IQ94" s="5" t="str">
        <f t="shared" si="656"/>
        <v/>
      </c>
      <c r="IR94" s="5" t="str">
        <f t="shared" si="524"/>
        <v/>
      </c>
      <c r="IS94" s="5" t="str">
        <f t="shared" si="657"/>
        <v/>
      </c>
      <c r="IT94" s="791" t="str">
        <f t="shared" si="658"/>
        <v/>
      </c>
      <c r="IU94" s="9" t="str">
        <f t="shared" si="659"/>
        <v/>
      </c>
      <c r="IV94" s="5" t="str">
        <f t="shared" si="660"/>
        <v/>
      </c>
      <c r="IW94" s="5" t="str">
        <f t="shared" si="525"/>
        <v/>
      </c>
      <c r="IX94" s="5" t="str">
        <f t="shared" si="661"/>
        <v/>
      </c>
      <c r="IY94" s="833" t="str">
        <f t="shared" si="662"/>
        <v/>
      </c>
    </row>
    <row r="95" spans="1:259" ht="15" customHeight="1" x14ac:dyDescent="0.25">
      <c r="A95" s="84">
        <f t="shared" si="526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527"/>
        <v/>
      </c>
      <c r="L95" s="327"/>
      <c r="M95" s="173" t="str">
        <f t="shared" si="468"/>
        <v/>
      </c>
      <c r="N95" s="21" t="str">
        <f t="shared" si="469"/>
        <v/>
      </c>
      <c r="O95" s="5" t="str">
        <f t="shared" si="470"/>
        <v/>
      </c>
      <c r="P95" s="10" t="str">
        <f t="shared" si="471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1"/>
        <v/>
      </c>
      <c r="X95" s="5" t="str">
        <f t="shared" si="87"/>
        <v/>
      </c>
      <c r="Y95" s="7" t="str">
        <f t="shared" si="650"/>
        <v/>
      </c>
      <c r="Z95" s="21" t="str">
        <f t="shared" si="472"/>
        <v/>
      </c>
      <c r="AA95" s="5" t="str">
        <f t="shared" si="473"/>
        <v/>
      </c>
      <c r="AB95" s="5" t="str">
        <f t="shared" si="474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5"/>
        <v/>
      </c>
      <c r="AP95" s="624" t="str">
        <f t="shared" si="99"/>
        <v/>
      </c>
      <c r="AQ95" s="625" t="str">
        <f t="shared" si="475"/>
        <v/>
      </c>
      <c r="AS95" s="56" t="str">
        <f t="shared" si="550"/>
        <v/>
      </c>
      <c r="AT95" s="78" t="str">
        <f t="shared" si="476"/>
        <v/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1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2"/>
        <v/>
      </c>
      <c r="IK95" s="839" t="str">
        <f t="shared" si="523"/>
        <v/>
      </c>
      <c r="IL95" s="791" t="str">
        <f t="shared" si="653"/>
        <v/>
      </c>
      <c r="IM95" s="830"/>
      <c r="IN95" s="5" t="str">
        <f t="shared" si="654"/>
        <v/>
      </c>
      <c r="IO95" s="852"/>
      <c r="IP95" s="9" t="str">
        <f t="shared" si="655"/>
        <v/>
      </c>
      <c r="IQ95" s="5" t="str">
        <f t="shared" si="656"/>
        <v/>
      </c>
      <c r="IR95" s="5" t="str">
        <f t="shared" si="524"/>
        <v/>
      </c>
      <c r="IS95" s="5" t="str">
        <f t="shared" si="657"/>
        <v/>
      </c>
      <c r="IT95" s="791" t="str">
        <f t="shared" si="658"/>
        <v/>
      </c>
      <c r="IU95" s="9" t="str">
        <f t="shared" si="659"/>
        <v/>
      </c>
      <c r="IV95" s="5" t="str">
        <f t="shared" si="660"/>
        <v/>
      </c>
      <c r="IW95" s="5" t="str">
        <f t="shared" si="525"/>
        <v/>
      </c>
      <c r="IX95" s="5" t="str">
        <f t="shared" si="661"/>
        <v/>
      </c>
      <c r="IY95" s="833" t="str">
        <f t="shared" si="662"/>
        <v/>
      </c>
    </row>
    <row r="96" spans="1:259" ht="15" customHeight="1" x14ac:dyDescent="0.25">
      <c r="A96" s="84">
        <f t="shared" si="526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527"/>
        <v/>
      </c>
      <c r="L96" s="327"/>
      <c r="M96" s="173" t="str">
        <f t="shared" si="468"/>
        <v/>
      </c>
      <c r="N96" s="21" t="str">
        <f t="shared" si="469"/>
        <v/>
      </c>
      <c r="O96" s="5" t="str">
        <f t="shared" si="470"/>
        <v/>
      </c>
      <c r="P96" s="10" t="str">
        <f t="shared" si="471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1"/>
        <v/>
      </c>
      <c r="X96" s="5" t="str">
        <f t="shared" si="87"/>
        <v/>
      </c>
      <c r="Y96" s="7" t="str">
        <f t="shared" si="650"/>
        <v/>
      </c>
      <c r="Z96" s="21" t="str">
        <f t="shared" si="472"/>
        <v/>
      </c>
      <c r="AA96" s="5" t="str">
        <f t="shared" si="473"/>
        <v/>
      </c>
      <c r="AB96" s="5" t="str">
        <f t="shared" si="474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5"/>
        <v/>
      </c>
      <c r="AP96" s="624" t="str">
        <f t="shared" si="99"/>
        <v/>
      </c>
      <c r="AQ96" s="625" t="str">
        <f t="shared" si="475"/>
        <v/>
      </c>
      <c r="AS96" s="56" t="str">
        <f t="shared" si="550"/>
        <v/>
      </c>
      <c r="AT96" s="78" t="str">
        <f t="shared" si="476"/>
        <v/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1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2"/>
        <v/>
      </c>
      <c r="IK96" s="839" t="str">
        <f t="shared" si="523"/>
        <v/>
      </c>
      <c r="IL96" s="791" t="str">
        <f t="shared" si="653"/>
        <v/>
      </c>
      <c r="IM96" s="830"/>
      <c r="IN96" s="5" t="str">
        <f t="shared" si="654"/>
        <v/>
      </c>
      <c r="IO96" s="852"/>
      <c r="IP96" s="9" t="str">
        <f t="shared" si="655"/>
        <v/>
      </c>
      <c r="IQ96" s="5" t="str">
        <f t="shared" si="656"/>
        <v/>
      </c>
      <c r="IR96" s="5" t="str">
        <f t="shared" si="524"/>
        <v/>
      </c>
      <c r="IS96" s="5" t="str">
        <f t="shared" si="657"/>
        <v/>
      </c>
      <c r="IT96" s="791" t="str">
        <f t="shared" si="658"/>
        <v/>
      </c>
      <c r="IU96" s="9" t="str">
        <f t="shared" si="659"/>
        <v/>
      </c>
      <c r="IV96" s="5" t="str">
        <f t="shared" si="660"/>
        <v/>
      </c>
      <c r="IW96" s="5" t="str">
        <f t="shared" si="525"/>
        <v/>
      </c>
      <c r="IX96" s="5" t="str">
        <f t="shared" si="661"/>
        <v/>
      </c>
      <c r="IY96" s="833" t="str">
        <f t="shared" si="662"/>
        <v/>
      </c>
    </row>
    <row r="97" spans="1:259" ht="15" customHeight="1" x14ac:dyDescent="0.25">
      <c r="A97" s="84">
        <f t="shared" si="526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527"/>
        <v/>
      </c>
      <c r="L97" s="327"/>
      <c r="M97" s="173" t="str">
        <f t="shared" si="468"/>
        <v/>
      </c>
      <c r="N97" s="21" t="str">
        <f t="shared" si="469"/>
        <v/>
      </c>
      <c r="O97" s="5" t="str">
        <f t="shared" si="470"/>
        <v/>
      </c>
      <c r="P97" s="10" t="str">
        <f t="shared" si="471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1"/>
        <v/>
      </c>
      <c r="X97" s="5" t="str">
        <f t="shared" si="87"/>
        <v/>
      </c>
      <c r="Y97" s="7" t="str">
        <f t="shared" si="650"/>
        <v/>
      </c>
      <c r="Z97" s="21" t="str">
        <f t="shared" si="472"/>
        <v/>
      </c>
      <c r="AA97" s="5" t="str">
        <f t="shared" si="473"/>
        <v/>
      </c>
      <c r="AB97" s="5" t="str">
        <f t="shared" si="474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5"/>
        <v/>
      </c>
      <c r="AP97" s="624" t="str">
        <f t="shared" si="99"/>
        <v/>
      </c>
      <c r="AQ97" s="625" t="str">
        <f t="shared" si="475"/>
        <v/>
      </c>
      <c r="AS97" s="56" t="str">
        <f t="shared" si="550"/>
        <v/>
      </c>
      <c r="AT97" s="78" t="str">
        <f t="shared" si="476"/>
        <v/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1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2"/>
        <v/>
      </c>
      <c r="IK97" s="839" t="str">
        <f t="shared" si="523"/>
        <v/>
      </c>
      <c r="IL97" s="791" t="str">
        <f t="shared" si="653"/>
        <v/>
      </c>
      <c r="IM97" s="830"/>
      <c r="IN97" s="5" t="str">
        <f t="shared" si="654"/>
        <v/>
      </c>
      <c r="IO97" s="852"/>
      <c r="IP97" s="9" t="str">
        <f t="shared" si="655"/>
        <v/>
      </c>
      <c r="IQ97" s="5" t="str">
        <f t="shared" si="656"/>
        <v/>
      </c>
      <c r="IR97" s="5" t="str">
        <f t="shared" si="524"/>
        <v/>
      </c>
      <c r="IS97" s="5" t="str">
        <f t="shared" si="657"/>
        <v/>
      </c>
      <c r="IT97" s="791" t="str">
        <f t="shared" si="658"/>
        <v/>
      </c>
      <c r="IU97" s="9" t="str">
        <f t="shared" si="659"/>
        <v/>
      </c>
      <c r="IV97" s="5" t="str">
        <f t="shared" si="660"/>
        <v/>
      </c>
      <c r="IW97" s="5" t="str">
        <f t="shared" si="525"/>
        <v/>
      </c>
      <c r="IX97" s="5" t="str">
        <f t="shared" si="661"/>
        <v/>
      </c>
      <c r="IY97" s="833" t="str">
        <f t="shared" si="662"/>
        <v/>
      </c>
    </row>
    <row r="98" spans="1:259" ht="15" customHeight="1" x14ac:dyDescent="0.25">
      <c r="A98" s="84">
        <f t="shared" si="526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527"/>
        <v/>
      </c>
      <c r="L98" s="327"/>
      <c r="M98" s="173" t="str">
        <f t="shared" si="468"/>
        <v/>
      </c>
      <c r="N98" s="21" t="str">
        <f t="shared" si="469"/>
        <v/>
      </c>
      <c r="O98" s="5" t="str">
        <f t="shared" si="470"/>
        <v/>
      </c>
      <c r="P98" s="10" t="str">
        <f t="shared" si="471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1"/>
        <v/>
      </c>
      <c r="X98" s="5" t="str">
        <f t="shared" si="87"/>
        <v/>
      </c>
      <c r="Y98" s="7" t="str">
        <f t="shared" si="650"/>
        <v/>
      </c>
      <c r="Z98" s="21" t="str">
        <f t="shared" si="472"/>
        <v/>
      </c>
      <c r="AA98" s="5" t="str">
        <f t="shared" si="473"/>
        <v/>
      </c>
      <c r="AB98" s="5" t="str">
        <f t="shared" si="474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5"/>
        <v/>
      </c>
      <c r="AP98" s="624" t="str">
        <f t="shared" si="99"/>
        <v/>
      </c>
      <c r="AQ98" s="625" t="str">
        <f t="shared" si="475"/>
        <v/>
      </c>
      <c r="AS98" s="56" t="str">
        <f t="shared" si="550"/>
        <v/>
      </c>
      <c r="AT98" s="78" t="str">
        <f t="shared" si="476"/>
        <v/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1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2"/>
        <v/>
      </c>
      <c r="IK98" s="839" t="str">
        <f t="shared" si="523"/>
        <v/>
      </c>
      <c r="IL98" s="791" t="str">
        <f t="shared" si="653"/>
        <v/>
      </c>
      <c r="IM98" s="830"/>
      <c r="IN98" s="5" t="str">
        <f t="shared" si="654"/>
        <v/>
      </c>
      <c r="IO98" s="852"/>
      <c r="IP98" s="9" t="str">
        <f t="shared" si="655"/>
        <v/>
      </c>
      <c r="IQ98" s="5" t="str">
        <f t="shared" si="656"/>
        <v/>
      </c>
      <c r="IR98" s="5" t="str">
        <f t="shared" si="524"/>
        <v/>
      </c>
      <c r="IS98" s="5" t="str">
        <f t="shared" si="657"/>
        <v/>
      </c>
      <c r="IT98" s="791" t="str">
        <f t="shared" si="658"/>
        <v/>
      </c>
      <c r="IU98" s="9" t="str">
        <f t="shared" si="659"/>
        <v/>
      </c>
      <c r="IV98" s="5" t="str">
        <f t="shared" si="660"/>
        <v/>
      </c>
      <c r="IW98" s="5" t="str">
        <f t="shared" si="525"/>
        <v/>
      </c>
      <c r="IX98" s="5" t="str">
        <f t="shared" si="661"/>
        <v/>
      </c>
      <c r="IY98" s="833" t="str">
        <f t="shared" si="662"/>
        <v/>
      </c>
    </row>
    <row r="99" spans="1:259" ht="15" customHeight="1" x14ac:dyDescent="0.25">
      <c r="A99" s="84">
        <f t="shared" si="526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527"/>
        <v/>
      </c>
      <c r="L99" s="327"/>
      <c r="M99" s="173" t="str">
        <f t="shared" si="468"/>
        <v/>
      </c>
      <c r="N99" s="21" t="str">
        <f t="shared" si="469"/>
        <v/>
      </c>
      <c r="O99" s="5" t="str">
        <f t="shared" si="470"/>
        <v/>
      </c>
      <c r="P99" s="10" t="str">
        <f t="shared" si="471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1"/>
        <v/>
      </c>
      <c r="X99" s="5" t="str">
        <f t="shared" si="87"/>
        <v/>
      </c>
      <c r="Y99" s="7" t="str">
        <f t="shared" si="650"/>
        <v/>
      </c>
      <c r="Z99" s="21" t="str">
        <f t="shared" si="472"/>
        <v/>
      </c>
      <c r="AA99" s="5" t="str">
        <f t="shared" si="473"/>
        <v/>
      </c>
      <c r="AB99" s="5" t="str">
        <f t="shared" si="474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5"/>
        <v/>
      </c>
      <c r="AP99" s="624" t="str">
        <f t="shared" si="99"/>
        <v/>
      </c>
      <c r="AQ99" s="625" t="str">
        <f t="shared" si="475"/>
        <v/>
      </c>
      <c r="AS99" s="56" t="str">
        <f t="shared" si="550"/>
        <v/>
      </c>
      <c r="AT99" s="78" t="str">
        <f t="shared" si="476"/>
        <v/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1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2"/>
        <v/>
      </c>
      <c r="IK99" s="839" t="str">
        <f t="shared" si="523"/>
        <v/>
      </c>
      <c r="IL99" s="791" t="str">
        <f t="shared" si="653"/>
        <v/>
      </c>
      <c r="IM99" s="830"/>
      <c r="IN99" s="5" t="str">
        <f t="shared" si="654"/>
        <v/>
      </c>
      <c r="IO99" s="852"/>
      <c r="IP99" s="9" t="str">
        <f t="shared" si="655"/>
        <v/>
      </c>
      <c r="IQ99" s="5" t="str">
        <f t="shared" si="656"/>
        <v/>
      </c>
      <c r="IR99" s="5" t="str">
        <f t="shared" si="524"/>
        <v/>
      </c>
      <c r="IS99" s="5" t="str">
        <f t="shared" si="657"/>
        <v/>
      </c>
      <c r="IT99" s="791" t="str">
        <f t="shared" si="658"/>
        <v/>
      </c>
      <c r="IU99" s="9" t="str">
        <f t="shared" si="659"/>
        <v/>
      </c>
      <c r="IV99" s="5" t="str">
        <f t="shared" si="660"/>
        <v/>
      </c>
      <c r="IW99" s="5" t="str">
        <f t="shared" si="525"/>
        <v/>
      </c>
      <c r="IX99" s="5" t="str">
        <f t="shared" si="661"/>
        <v/>
      </c>
      <c r="IY99" s="833" t="str">
        <f t="shared" si="662"/>
        <v/>
      </c>
    </row>
    <row r="100" spans="1:259" ht="15" customHeight="1" x14ac:dyDescent="0.25">
      <c r="A100" s="84">
        <f t="shared" si="526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527"/>
        <v/>
      </c>
      <c r="L100" s="327"/>
      <c r="M100" s="173" t="str">
        <f t="shared" si="468"/>
        <v/>
      </c>
      <c r="N100" s="21" t="str">
        <f t="shared" si="469"/>
        <v/>
      </c>
      <c r="O100" s="5" t="str">
        <f t="shared" si="470"/>
        <v/>
      </c>
      <c r="P100" s="10" t="str">
        <f t="shared" si="471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1"/>
        <v/>
      </c>
      <c r="X100" s="5" t="str">
        <f t="shared" si="87"/>
        <v/>
      </c>
      <c r="Y100" s="7" t="str">
        <f t="shared" si="650"/>
        <v/>
      </c>
      <c r="Z100" s="21" t="str">
        <f t="shared" si="472"/>
        <v/>
      </c>
      <c r="AA100" s="5" t="str">
        <f t="shared" si="473"/>
        <v/>
      </c>
      <c r="AB100" s="5" t="str">
        <f t="shared" si="474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5"/>
        <v/>
      </c>
      <c r="AP100" s="624" t="str">
        <f t="shared" si="99"/>
        <v/>
      </c>
      <c r="AQ100" s="625" t="str">
        <f t="shared" si="475"/>
        <v/>
      </c>
      <c r="AS100" s="56" t="str">
        <f t="shared" si="550"/>
        <v/>
      </c>
      <c r="AT100" s="78" t="str">
        <f t="shared" si="476"/>
        <v/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1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2"/>
        <v/>
      </c>
      <c r="IK100" s="839" t="str">
        <f t="shared" si="523"/>
        <v/>
      </c>
      <c r="IL100" s="791" t="str">
        <f t="shared" si="653"/>
        <v/>
      </c>
      <c r="IM100" s="830"/>
      <c r="IN100" s="5" t="str">
        <f t="shared" si="654"/>
        <v/>
      </c>
      <c r="IO100" s="852"/>
      <c r="IP100" s="9" t="str">
        <f t="shared" si="655"/>
        <v/>
      </c>
      <c r="IQ100" s="5" t="str">
        <f t="shared" si="656"/>
        <v/>
      </c>
      <c r="IR100" s="5" t="str">
        <f t="shared" si="524"/>
        <v/>
      </c>
      <c r="IS100" s="5" t="str">
        <f t="shared" si="657"/>
        <v/>
      </c>
      <c r="IT100" s="791" t="str">
        <f t="shared" si="658"/>
        <v/>
      </c>
      <c r="IU100" s="9" t="str">
        <f t="shared" si="659"/>
        <v/>
      </c>
      <c r="IV100" s="5" t="str">
        <f t="shared" si="660"/>
        <v/>
      </c>
      <c r="IW100" s="5" t="str">
        <f t="shared" si="525"/>
        <v/>
      </c>
      <c r="IX100" s="5" t="str">
        <f t="shared" si="661"/>
        <v/>
      </c>
      <c r="IY100" s="833" t="str">
        <f t="shared" si="662"/>
        <v/>
      </c>
    </row>
    <row r="101" spans="1:259" ht="15" customHeight="1" x14ac:dyDescent="0.25">
      <c r="A101" s="84">
        <f t="shared" si="526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527"/>
        <v/>
      </c>
      <c r="L101" s="327"/>
      <c r="M101" s="173" t="str">
        <f t="shared" si="468"/>
        <v/>
      </c>
      <c r="N101" s="21" t="str">
        <f t="shared" si="469"/>
        <v/>
      </c>
      <c r="O101" s="5" t="str">
        <f t="shared" si="470"/>
        <v/>
      </c>
      <c r="P101" s="10" t="str">
        <f t="shared" si="471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1"/>
        <v/>
      </c>
      <c r="X101" s="5" t="str">
        <f t="shared" si="87"/>
        <v/>
      </c>
      <c r="Y101" s="7" t="str">
        <f t="shared" si="650"/>
        <v/>
      </c>
      <c r="Z101" s="21" t="str">
        <f t="shared" si="472"/>
        <v/>
      </c>
      <c r="AA101" s="5" t="str">
        <f t="shared" si="473"/>
        <v/>
      </c>
      <c r="AB101" s="5" t="str">
        <f t="shared" si="474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5"/>
        <v/>
      </c>
      <c r="AP101" s="624" t="str">
        <f t="shared" si="99"/>
        <v/>
      </c>
      <c r="AQ101" s="625" t="str">
        <f t="shared" si="475"/>
        <v/>
      </c>
      <c r="AS101" s="56" t="str">
        <f t="shared" si="550"/>
        <v/>
      </c>
      <c r="AT101" s="78" t="str">
        <f t="shared" si="476"/>
        <v/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1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2"/>
        <v/>
      </c>
      <c r="IK101" s="839" t="str">
        <f t="shared" si="523"/>
        <v/>
      </c>
      <c r="IL101" s="791" t="str">
        <f t="shared" si="653"/>
        <v/>
      </c>
      <c r="IM101" s="830"/>
      <c r="IN101" s="5" t="str">
        <f t="shared" si="654"/>
        <v/>
      </c>
      <c r="IO101" s="852"/>
      <c r="IP101" s="9" t="str">
        <f t="shared" si="655"/>
        <v/>
      </c>
      <c r="IQ101" s="5" t="str">
        <f t="shared" si="656"/>
        <v/>
      </c>
      <c r="IR101" s="5" t="str">
        <f t="shared" si="524"/>
        <v/>
      </c>
      <c r="IS101" s="5" t="str">
        <f t="shared" si="657"/>
        <v/>
      </c>
      <c r="IT101" s="791" t="str">
        <f t="shared" si="658"/>
        <v/>
      </c>
      <c r="IU101" s="9" t="str">
        <f t="shared" si="659"/>
        <v/>
      </c>
      <c r="IV101" s="5" t="str">
        <f t="shared" si="660"/>
        <v/>
      </c>
      <c r="IW101" s="5" t="str">
        <f t="shared" si="525"/>
        <v/>
      </c>
      <c r="IX101" s="5" t="str">
        <f t="shared" si="661"/>
        <v/>
      </c>
      <c r="IY101" s="833" t="str">
        <f t="shared" si="662"/>
        <v/>
      </c>
    </row>
    <row r="102" spans="1:259" ht="15" customHeight="1" x14ac:dyDescent="0.25">
      <c r="A102" s="84">
        <f t="shared" si="526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527"/>
        <v/>
      </c>
      <c r="L102" s="327"/>
      <c r="M102" s="173" t="str">
        <f t="shared" si="468"/>
        <v/>
      </c>
      <c r="N102" s="21" t="str">
        <f t="shared" si="469"/>
        <v/>
      </c>
      <c r="O102" s="5" t="str">
        <f t="shared" si="470"/>
        <v/>
      </c>
      <c r="P102" s="10" t="str">
        <f t="shared" si="471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1"/>
        <v/>
      </c>
      <c r="X102" s="5" t="str">
        <f t="shared" si="87"/>
        <v/>
      </c>
      <c r="Y102" s="7" t="str">
        <f t="shared" si="650"/>
        <v/>
      </c>
      <c r="Z102" s="21" t="str">
        <f t="shared" si="472"/>
        <v/>
      </c>
      <c r="AA102" s="5" t="str">
        <f t="shared" si="473"/>
        <v/>
      </c>
      <c r="AB102" s="5" t="str">
        <f t="shared" si="474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5"/>
        <v/>
      </c>
      <c r="AP102" s="624" t="str">
        <f t="shared" si="99"/>
        <v/>
      </c>
      <c r="AQ102" s="625" t="str">
        <f t="shared" si="475"/>
        <v/>
      </c>
      <c r="AS102" s="56" t="str">
        <f t="shared" si="550"/>
        <v/>
      </c>
      <c r="AT102" s="78" t="str">
        <f t="shared" si="476"/>
        <v/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1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2"/>
        <v/>
      </c>
      <c r="IK102" s="839" t="str">
        <f t="shared" si="523"/>
        <v/>
      </c>
      <c r="IL102" s="791" t="str">
        <f t="shared" si="653"/>
        <v/>
      </c>
      <c r="IM102" s="830"/>
      <c r="IN102" s="5" t="str">
        <f t="shared" si="654"/>
        <v/>
      </c>
      <c r="IO102" s="852"/>
      <c r="IP102" s="9" t="str">
        <f t="shared" si="655"/>
        <v/>
      </c>
      <c r="IQ102" s="5" t="str">
        <f t="shared" si="656"/>
        <v/>
      </c>
      <c r="IR102" s="5" t="str">
        <f t="shared" si="524"/>
        <v/>
      </c>
      <c r="IS102" s="5" t="str">
        <f t="shared" si="657"/>
        <v/>
      </c>
      <c r="IT102" s="791" t="str">
        <f t="shared" si="658"/>
        <v/>
      </c>
      <c r="IU102" s="9" t="str">
        <f t="shared" si="659"/>
        <v/>
      </c>
      <c r="IV102" s="5" t="str">
        <f t="shared" si="660"/>
        <v/>
      </c>
      <c r="IW102" s="5" t="str">
        <f t="shared" si="525"/>
        <v/>
      </c>
      <c r="IX102" s="5" t="str">
        <f t="shared" si="661"/>
        <v/>
      </c>
      <c r="IY102" s="833" t="str">
        <f t="shared" si="662"/>
        <v/>
      </c>
    </row>
    <row r="103" spans="1:259" ht="15" customHeight="1" x14ac:dyDescent="0.25">
      <c r="A103" s="84">
        <f t="shared" si="526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527"/>
        <v/>
      </c>
      <c r="L103" s="327"/>
      <c r="M103" s="173" t="str">
        <f t="shared" si="468"/>
        <v/>
      </c>
      <c r="N103" s="21" t="str">
        <f t="shared" si="469"/>
        <v/>
      </c>
      <c r="O103" s="5" t="str">
        <f t="shared" si="470"/>
        <v/>
      </c>
      <c r="P103" s="10" t="str">
        <f t="shared" si="471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1"/>
        <v/>
      </c>
      <c r="X103" s="5" t="str">
        <f t="shared" si="87"/>
        <v/>
      </c>
      <c r="Y103" s="7" t="str">
        <f t="shared" si="650"/>
        <v/>
      </c>
      <c r="Z103" s="21" t="str">
        <f t="shared" si="472"/>
        <v/>
      </c>
      <c r="AA103" s="5" t="str">
        <f t="shared" si="473"/>
        <v/>
      </c>
      <c r="AB103" s="5" t="str">
        <f t="shared" si="474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5"/>
        <v/>
      </c>
      <c r="AP103" s="624" t="str">
        <f t="shared" si="99"/>
        <v/>
      </c>
      <c r="AQ103" s="625" t="str">
        <f t="shared" si="475"/>
        <v/>
      </c>
      <c r="AS103" s="56" t="str">
        <f t="shared" si="550"/>
        <v/>
      </c>
      <c r="AT103" s="78" t="str">
        <f t="shared" si="476"/>
        <v/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1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2"/>
        <v/>
      </c>
      <c r="IK103" s="839" t="str">
        <f t="shared" si="523"/>
        <v/>
      </c>
      <c r="IL103" s="791" t="str">
        <f t="shared" si="653"/>
        <v/>
      </c>
      <c r="IM103" s="830"/>
      <c r="IN103" s="5" t="str">
        <f t="shared" si="654"/>
        <v/>
      </c>
      <c r="IO103" s="852"/>
      <c r="IP103" s="9" t="str">
        <f t="shared" si="655"/>
        <v/>
      </c>
      <c r="IQ103" s="5" t="str">
        <f t="shared" si="656"/>
        <v/>
      </c>
      <c r="IR103" s="5" t="str">
        <f t="shared" si="524"/>
        <v/>
      </c>
      <c r="IS103" s="5" t="str">
        <f t="shared" si="657"/>
        <v/>
      </c>
      <c r="IT103" s="791" t="str">
        <f t="shared" si="658"/>
        <v/>
      </c>
      <c r="IU103" s="9" t="str">
        <f t="shared" si="659"/>
        <v/>
      </c>
      <c r="IV103" s="5" t="str">
        <f t="shared" si="660"/>
        <v/>
      </c>
      <c r="IW103" s="5" t="str">
        <f t="shared" si="525"/>
        <v/>
      </c>
      <c r="IX103" s="5" t="str">
        <f t="shared" si="661"/>
        <v/>
      </c>
      <c r="IY103" s="833" t="str">
        <f t="shared" si="662"/>
        <v/>
      </c>
    </row>
    <row r="104" spans="1:259" ht="15" customHeight="1" x14ac:dyDescent="0.25">
      <c r="A104" s="84">
        <f t="shared" si="526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527"/>
        <v/>
      </c>
      <c r="L104" s="327"/>
      <c r="M104" s="173" t="str">
        <f t="shared" si="468"/>
        <v/>
      </c>
      <c r="N104" s="21" t="str">
        <f t="shared" si="469"/>
        <v/>
      </c>
      <c r="O104" s="5" t="str">
        <f t="shared" si="470"/>
        <v/>
      </c>
      <c r="P104" s="10" t="str">
        <f t="shared" si="471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1"/>
        <v/>
      </c>
      <c r="X104" s="5" t="str">
        <f t="shared" si="87"/>
        <v/>
      </c>
      <c r="Y104" s="7" t="str">
        <f t="shared" si="650"/>
        <v/>
      </c>
      <c r="Z104" s="21" t="str">
        <f t="shared" si="472"/>
        <v/>
      </c>
      <c r="AA104" s="5" t="str">
        <f t="shared" si="473"/>
        <v/>
      </c>
      <c r="AB104" s="5" t="str">
        <f t="shared" si="474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5"/>
        <v/>
      </c>
      <c r="AP104" s="624" t="str">
        <f t="shared" si="99"/>
        <v/>
      </c>
      <c r="AQ104" s="625" t="str">
        <f t="shared" si="475"/>
        <v/>
      </c>
      <c r="AS104" s="56" t="str">
        <f t="shared" si="550"/>
        <v/>
      </c>
      <c r="AT104" s="78" t="str">
        <f t="shared" si="476"/>
        <v/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1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2"/>
        <v/>
      </c>
      <c r="IK104" s="839" t="str">
        <f t="shared" si="523"/>
        <v/>
      </c>
      <c r="IL104" s="791" t="str">
        <f t="shared" si="653"/>
        <v/>
      </c>
      <c r="IM104" s="830"/>
      <c r="IN104" s="5" t="str">
        <f t="shared" si="654"/>
        <v/>
      </c>
      <c r="IO104" s="852"/>
      <c r="IP104" s="9" t="str">
        <f t="shared" si="655"/>
        <v/>
      </c>
      <c r="IQ104" s="5" t="str">
        <f t="shared" si="656"/>
        <v/>
      </c>
      <c r="IR104" s="5" t="str">
        <f t="shared" si="524"/>
        <v/>
      </c>
      <c r="IS104" s="5" t="str">
        <f t="shared" si="657"/>
        <v/>
      </c>
      <c r="IT104" s="791" t="str">
        <f t="shared" si="658"/>
        <v/>
      </c>
      <c r="IU104" s="9" t="str">
        <f t="shared" si="659"/>
        <v/>
      </c>
      <c r="IV104" s="5" t="str">
        <f t="shared" si="660"/>
        <v/>
      </c>
      <c r="IW104" s="5" t="str">
        <f t="shared" si="525"/>
        <v/>
      </c>
      <c r="IX104" s="5" t="str">
        <f t="shared" si="661"/>
        <v/>
      </c>
      <c r="IY104" s="833" t="str">
        <f t="shared" si="662"/>
        <v/>
      </c>
    </row>
    <row r="105" spans="1:259" ht="15" customHeight="1" x14ac:dyDescent="0.25">
      <c r="A105" s="84">
        <f t="shared" si="526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527"/>
        <v/>
      </c>
      <c r="L105" s="327"/>
      <c r="M105" s="173" t="str">
        <f t="shared" ref="M105:M136" si="666">IF(J105="","",VALUE(J105))</f>
        <v/>
      </c>
      <c r="N105" s="21" t="str">
        <f t="shared" ref="N105:N136" si="667">IF(M105="","",B105)</f>
        <v/>
      </c>
      <c r="O105" s="5" t="str">
        <f t="shared" ref="O105:O136" si="668">IF(M105="","",C105)</f>
        <v/>
      </c>
      <c r="P105" s="10" t="str">
        <f t="shared" ref="P105:P136" si="669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1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0">IF(M105="","",-E105)</f>
        <v/>
      </c>
      <c r="AA105" s="5" t="str">
        <f t="shared" ref="AA105:AA136" si="671">IF(M105="","",-F105)</f>
        <v/>
      </c>
      <c r="AB105" s="5" t="str">
        <f t="shared" ref="AB105:AB136" si="672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5"/>
        <v/>
      </c>
      <c r="AP105" s="624" t="str">
        <f t="shared" si="99"/>
        <v/>
      </c>
      <c r="AQ105" s="625" t="str">
        <f t="shared" ref="AQ105:AQ136" si="673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4">IF(M105="","",Y105+(((AS105-$AS$9)*$AS$6)*-1))</f>
        <v/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19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0">IF(ISNUMBER($II105),INDEX($K$9:$K$150,MATCH($II105,$M$9:$M$150,0)),"")</f>
        <v/>
      </c>
      <c r="IK105" s="839" t="str">
        <f t="shared" ref="IK105:IK136" si="721">IF(ISNUMBER($II105),INDEX($K$9:$K$150,MATCH($IG105,$M$9:$M$150,0)),"")</f>
        <v/>
      </c>
      <c r="IL105" s="791" t="str">
        <f t="shared" si="653"/>
        <v/>
      </c>
      <c r="IM105" s="830"/>
      <c r="IN105" s="5" t="str">
        <f t="shared" si="654"/>
        <v/>
      </c>
      <c r="IO105" s="852"/>
      <c r="IP105" s="9" t="str">
        <f t="shared" si="655"/>
        <v/>
      </c>
      <c r="IQ105" s="5" t="str">
        <f t="shared" si="656"/>
        <v/>
      </c>
      <c r="IR105" s="5" t="str">
        <f t="shared" ref="IR105:IR136" si="722">IF(ISNUMBER($II105),INDEX($H$9:$H$150,MATCH($II105,$M$9:$M$150,0)),"")</f>
        <v/>
      </c>
      <c r="IS105" s="5" t="str">
        <f t="shared" si="657"/>
        <v/>
      </c>
      <c r="IT105" s="791" t="str">
        <f t="shared" si="658"/>
        <v/>
      </c>
      <c r="IU105" s="9" t="str">
        <f t="shared" si="659"/>
        <v/>
      </c>
      <c r="IV105" s="5" t="str">
        <f t="shared" si="660"/>
        <v/>
      </c>
      <c r="IW105" s="5" t="str">
        <f t="shared" ref="IW105:IW136" si="723">IF(ISNUMBER($II105),$H105,"")</f>
        <v/>
      </c>
      <c r="IX105" s="5" t="str">
        <f t="shared" si="661"/>
        <v/>
      </c>
      <c r="IY105" s="833" t="str">
        <f t="shared" si="662"/>
        <v/>
      </c>
    </row>
    <row r="106" spans="1:259" ht="15" customHeight="1" x14ac:dyDescent="0.25">
      <c r="A106" s="84">
        <f t="shared" si="526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527"/>
        <v/>
      </c>
      <c r="L106" s="327"/>
      <c r="M106" s="173" t="str">
        <f t="shared" si="666"/>
        <v/>
      </c>
      <c r="N106" s="21" t="str">
        <f t="shared" si="667"/>
        <v/>
      </c>
      <c r="O106" s="5" t="str">
        <f t="shared" si="668"/>
        <v/>
      </c>
      <c r="P106" s="10" t="str">
        <f t="shared" si="669"/>
        <v/>
      </c>
      <c r="Q106" s="624" t="str">
        <f t="shared" si="528"/>
        <v/>
      </c>
      <c r="R106" s="5" t="str">
        <f t="shared" ref="R106:R129" si="724">IF(M106="","",SQRT(N106^2+O106^2))</f>
        <v/>
      </c>
      <c r="S106" s="6" t="str">
        <f t="shared" ref="S106:S129" si="725">IF(M106="","",P106)</f>
        <v/>
      </c>
      <c r="T106" s="4" t="str">
        <f t="shared" ref="T106:T129" si="726">IF(M106="","",X106*COS(RADIANS(W106)))</f>
        <v/>
      </c>
      <c r="U106" s="5" t="str">
        <f t="shared" ref="U106:U129" si="727">IF(M106="","",X106*SIN(RADIANS(W106)))</f>
        <v/>
      </c>
      <c r="V106" s="8" t="str">
        <f t="shared" ref="V106:V129" si="728">IF(M106="","",Y106)</f>
        <v/>
      </c>
      <c r="W106" s="624" t="str">
        <f t="shared" si="651"/>
        <v/>
      </c>
      <c r="X106" s="5" t="str">
        <f t="shared" ref="X106:X129" si="729">IF(M106="","",R106)</f>
        <v/>
      </c>
      <c r="Y106" s="7" t="str">
        <f t="shared" si="650"/>
        <v/>
      </c>
      <c r="Z106" s="21" t="str">
        <f t="shared" si="670"/>
        <v/>
      </c>
      <c r="AA106" s="5" t="str">
        <f t="shared" si="671"/>
        <v/>
      </c>
      <c r="AB106" s="5" t="str">
        <f t="shared" si="672"/>
        <v/>
      </c>
      <c r="AC106" s="8" t="str">
        <f t="shared" ref="AC106:AC129" si="730">IF(M106="","",SQRT(Z106^2+AA106^2+AB106^2))</f>
        <v/>
      </c>
      <c r="AD106" s="9" t="str">
        <f t="shared" ref="AD106:AD129" si="731">IF(M106="","",Z106*(1/SQRT(Z106^2+AA106^2+AB106^2)))</f>
        <v/>
      </c>
      <c r="AE106" s="5" t="str">
        <f t="shared" ref="AE106:AE129" si="732">IF(M106="","",AA106*(1/SQRT(Z106^2+AA106^2+AB106^2)))</f>
        <v/>
      </c>
      <c r="AF106" s="10" t="str">
        <f t="shared" ref="AF106:AF129" si="733">IF(M106="","",AB106*(1/SQRT(Z106^2+AA106^2+AB106^2)))</f>
        <v/>
      </c>
      <c r="AG106" s="622" t="str">
        <f t="shared" ref="AG106:AG129" si="734">IF(M106="","",DEGREES(ATAN2(-AF106,AE106)))</f>
        <v/>
      </c>
      <c r="AH106" s="623" t="str">
        <f t="shared" ref="AH106:AH129" si="735">IF(M106="","",DEGREES(ACOS(AD106)))</f>
        <v/>
      </c>
      <c r="AI106" s="624" t="str">
        <f t="shared" ref="AI106:AI129" si="736">IF(M106="","",DEGREES(-ACOS(-AF106)))</f>
        <v/>
      </c>
      <c r="AJ106" s="625" t="str">
        <f t="shared" ref="AJ106:AJ129" si="737">IF(M106="","",DEGREES(ATAN2(-AE106,AD106)))</f>
        <v/>
      </c>
      <c r="AK106" s="4" t="str">
        <f t="shared" ref="AK106:AK129" si="738">IF(M106="","",(COS(RADIANS((90-$Q$8)-W106))*AD106)+(-SIN(RADIANS((90-$Q$8)-W106))*AE106))</f>
        <v/>
      </c>
      <c r="AL106" s="5" t="str">
        <f t="shared" ref="AL106:AL129" si="739">IF(M106="","",(SIN(RADIANS((90-$Q$8)-W106))*AD106)+(COS(RADIANS((90-$Q$8)-W106))*AE106))</f>
        <v/>
      </c>
      <c r="AM106" s="6" t="str">
        <f t="shared" ref="AM106:AM129" si="740">IF(M106="","",AF106)</f>
        <v/>
      </c>
      <c r="AN106" s="612" t="str">
        <f t="shared" ref="AN106:AN129" si="741">IF(M106="","",DEGREES(ATAN2(-AM106,AL106)))</f>
        <v/>
      </c>
      <c r="AO106" s="613" t="str">
        <f t="shared" si="465"/>
        <v/>
      </c>
      <c r="AP106" s="624" t="str">
        <f t="shared" ref="AP106:AP129" si="742">IF(M106="","",DEGREES(ATAN2(AK106,AL106)))</f>
        <v/>
      </c>
      <c r="AQ106" s="625" t="str">
        <f t="shared" si="673"/>
        <v/>
      </c>
      <c r="AS106" s="56" t="str">
        <f t="shared" si="550"/>
        <v/>
      </c>
      <c r="AT106" s="78" t="str">
        <f t="shared" si="674"/>
        <v/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19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0"/>
        <v/>
      </c>
      <c r="IK106" s="839" t="str">
        <f t="shared" si="721"/>
        <v/>
      </c>
      <c r="IL106" s="791" t="str">
        <f t="shared" si="653"/>
        <v/>
      </c>
      <c r="IM106" s="830"/>
      <c r="IN106" s="5" t="str">
        <f t="shared" si="654"/>
        <v/>
      </c>
      <c r="IO106" s="852"/>
      <c r="IP106" s="9" t="str">
        <f t="shared" si="655"/>
        <v/>
      </c>
      <c r="IQ106" s="5" t="str">
        <f t="shared" si="656"/>
        <v/>
      </c>
      <c r="IR106" s="5" t="str">
        <f t="shared" si="722"/>
        <v/>
      </c>
      <c r="IS106" s="5" t="str">
        <f t="shared" si="657"/>
        <v/>
      </c>
      <c r="IT106" s="791" t="str">
        <f t="shared" si="658"/>
        <v/>
      </c>
      <c r="IU106" s="9" t="str">
        <f t="shared" si="659"/>
        <v/>
      </c>
      <c r="IV106" s="5" t="str">
        <f t="shared" si="660"/>
        <v/>
      </c>
      <c r="IW106" s="5" t="str">
        <f t="shared" si="723"/>
        <v/>
      </c>
      <c r="IX106" s="5" t="str">
        <f t="shared" si="661"/>
        <v/>
      </c>
      <c r="IY106" s="833" t="str">
        <f t="shared" si="662"/>
        <v/>
      </c>
    </row>
    <row r="107" spans="1:259" ht="15" customHeight="1" x14ac:dyDescent="0.25">
      <c r="A107" s="84">
        <f t="shared" si="526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527"/>
        <v/>
      </c>
      <c r="L107" s="327"/>
      <c r="M107" s="173" t="str">
        <f t="shared" si="666"/>
        <v/>
      </c>
      <c r="N107" s="21" t="str">
        <f t="shared" si="667"/>
        <v/>
      </c>
      <c r="O107" s="5" t="str">
        <f t="shared" si="668"/>
        <v/>
      </c>
      <c r="P107" s="10" t="str">
        <f t="shared" si="669"/>
        <v/>
      </c>
      <c r="Q107" s="624" t="str">
        <f t="shared" si="528"/>
        <v/>
      </c>
      <c r="R107" s="5" t="str">
        <f t="shared" si="724"/>
        <v/>
      </c>
      <c r="S107" s="6" t="str">
        <f t="shared" si="725"/>
        <v/>
      </c>
      <c r="T107" s="4" t="str">
        <f t="shared" si="726"/>
        <v/>
      </c>
      <c r="U107" s="5" t="str">
        <f t="shared" si="727"/>
        <v/>
      </c>
      <c r="V107" s="8" t="str">
        <f t="shared" si="728"/>
        <v/>
      </c>
      <c r="W107" s="624" t="str">
        <f t="shared" si="651"/>
        <v/>
      </c>
      <c r="X107" s="5" t="str">
        <f t="shared" si="729"/>
        <v/>
      </c>
      <c r="Y107" s="7" t="str">
        <f t="shared" si="650"/>
        <v/>
      </c>
      <c r="Z107" s="21" t="str">
        <f t="shared" si="670"/>
        <v/>
      </c>
      <c r="AA107" s="5" t="str">
        <f t="shared" si="671"/>
        <v/>
      </c>
      <c r="AB107" s="5" t="str">
        <f t="shared" si="672"/>
        <v/>
      </c>
      <c r="AC107" s="8" t="str">
        <f t="shared" si="730"/>
        <v/>
      </c>
      <c r="AD107" s="9" t="str">
        <f t="shared" si="731"/>
        <v/>
      </c>
      <c r="AE107" s="5" t="str">
        <f t="shared" si="732"/>
        <v/>
      </c>
      <c r="AF107" s="10" t="str">
        <f t="shared" si="733"/>
        <v/>
      </c>
      <c r="AG107" s="622" t="str">
        <f t="shared" si="734"/>
        <v/>
      </c>
      <c r="AH107" s="623" t="str">
        <f t="shared" si="735"/>
        <v/>
      </c>
      <c r="AI107" s="624" t="str">
        <f t="shared" si="736"/>
        <v/>
      </c>
      <c r="AJ107" s="625" t="str">
        <f t="shared" si="737"/>
        <v/>
      </c>
      <c r="AK107" s="4" t="str">
        <f t="shared" si="738"/>
        <v/>
      </c>
      <c r="AL107" s="5" t="str">
        <f t="shared" si="739"/>
        <v/>
      </c>
      <c r="AM107" s="6" t="str">
        <f t="shared" si="740"/>
        <v/>
      </c>
      <c r="AN107" s="612" t="str">
        <f t="shared" si="741"/>
        <v/>
      </c>
      <c r="AO107" s="613" t="str">
        <f t="shared" si="465"/>
        <v/>
      </c>
      <c r="AP107" s="624" t="str">
        <f t="shared" si="742"/>
        <v/>
      </c>
      <c r="AQ107" s="625" t="str">
        <f t="shared" si="673"/>
        <v/>
      </c>
      <c r="AS107" s="56" t="str">
        <f t="shared" ref="AS107:AS138" si="745">IF(G107="","",IF(AND(W107&lt;(AS106+180),W107&gt;(AS106-180)),W107,IF(W107&gt;(AS106+180),W107-360,IF(W107&lt;(AS106-180),W107+360,"Error"))))</f>
        <v/>
      </c>
      <c r="AT107" s="78" t="str">
        <f t="shared" si="674"/>
        <v/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19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0"/>
        <v/>
      </c>
      <c r="IK107" s="839" t="str">
        <f t="shared" si="721"/>
        <v/>
      </c>
      <c r="IL107" s="791" t="str">
        <f t="shared" si="653"/>
        <v/>
      </c>
      <c r="IM107" s="830"/>
      <c r="IN107" s="5" t="str">
        <f t="shared" si="654"/>
        <v/>
      </c>
      <c r="IO107" s="852"/>
      <c r="IP107" s="9" t="str">
        <f t="shared" si="655"/>
        <v/>
      </c>
      <c r="IQ107" s="5" t="str">
        <f t="shared" si="656"/>
        <v/>
      </c>
      <c r="IR107" s="5" t="str">
        <f t="shared" si="722"/>
        <v/>
      </c>
      <c r="IS107" s="5" t="str">
        <f t="shared" si="657"/>
        <v/>
      </c>
      <c r="IT107" s="791" t="str">
        <f t="shared" si="658"/>
        <v/>
      </c>
      <c r="IU107" s="9" t="str">
        <f t="shared" si="659"/>
        <v/>
      </c>
      <c r="IV107" s="5" t="str">
        <f t="shared" si="660"/>
        <v/>
      </c>
      <c r="IW107" s="5" t="str">
        <f t="shared" si="723"/>
        <v/>
      </c>
      <c r="IX107" s="5" t="str">
        <f t="shared" si="661"/>
        <v/>
      </c>
      <c r="IY107" s="833" t="str">
        <f t="shared" si="662"/>
        <v/>
      </c>
    </row>
    <row r="108" spans="1:259" ht="15" customHeight="1" x14ac:dyDescent="0.25">
      <c r="A108" s="84">
        <f t="shared" si="526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527"/>
        <v/>
      </c>
      <c r="L108" s="327"/>
      <c r="M108" s="173" t="str">
        <f t="shared" si="666"/>
        <v/>
      </c>
      <c r="N108" s="21" t="str">
        <f t="shared" si="667"/>
        <v/>
      </c>
      <c r="O108" s="5" t="str">
        <f t="shared" si="668"/>
        <v/>
      </c>
      <c r="P108" s="10" t="str">
        <f t="shared" si="669"/>
        <v/>
      </c>
      <c r="Q108" s="624" t="str">
        <f t="shared" si="528"/>
        <v/>
      </c>
      <c r="R108" s="5" t="str">
        <f t="shared" si="724"/>
        <v/>
      </c>
      <c r="S108" s="6" t="str">
        <f t="shared" si="725"/>
        <v/>
      </c>
      <c r="T108" s="4" t="str">
        <f t="shared" si="726"/>
        <v/>
      </c>
      <c r="U108" s="5" t="str">
        <f t="shared" si="727"/>
        <v/>
      </c>
      <c r="V108" s="8" t="str">
        <f t="shared" si="728"/>
        <v/>
      </c>
      <c r="W108" s="624" t="str">
        <f t="shared" si="651"/>
        <v/>
      </c>
      <c r="X108" s="5" t="str">
        <f t="shared" si="729"/>
        <v/>
      </c>
      <c r="Y108" s="7" t="str">
        <f t="shared" si="650"/>
        <v/>
      </c>
      <c r="Z108" s="21" t="str">
        <f t="shared" si="670"/>
        <v/>
      </c>
      <c r="AA108" s="5" t="str">
        <f t="shared" si="671"/>
        <v/>
      </c>
      <c r="AB108" s="5" t="str">
        <f t="shared" si="672"/>
        <v/>
      </c>
      <c r="AC108" s="8" t="str">
        <f t="shared" si="730"/>
        <v/>
      </c>
      <c r="AD108" s="9" t="str">
        <f t="shared" si="731"/>
        <v/>
      </c>
      <c r="AE108" s="5" t="str">
        <f t="shared" si="732"/>
        <v/>
      </c>
      <c r="AF108" s="10" t="str">
        <f t="shared" si="733"/>
        <v/>
      </c>
      <c r="AG108" s="622" t="str">
        <f t="shared" si="734"/>
        <v/>
      </c>
      <c r="AH108" s="623" t="str">
        <f t="shared" si="735"/>
        <v/>
      </c>
      <c r="AI108" s="624" t="str">
        <f t="shared" si="736"/>
        <v/>
      </c>
      <c r="AJ108" s="625" t="str">
        <f t="shared" si="737"/>
        <v/>
      </c>
      <c r="AK108" s="4" t="str">
        <f t="shared" si="738"/>
        <v/>
      </c>
      <c r="AL108" s="5" t="str">
        <f t="shared" si="739"/>
        <v/>
      </c>
      <c r="AM108" s="6" t="str">
        <f t="shared" si="740"/>
        <v/>
      </c>
      <c r="AN108" s="612" t="str">
        <f t="shared" si="741"/>
        <v/>
      </c>
      <c r="AO108" s="613" t="str">
        <f t="shared" si="465"/>
        <v/>
      </c>
      <c r="AP108" s="624" t="str">
        <f t="shared" si="742"/>
        <v/>
      </c>
      <c r="AQ108" s="625" t="str">
        <f t="shared" si="673"/>
        <v/>
      </c>
      <c r="AS108" s="56" t="str">
        <f t="shared" si="745"/>
        <v/>
      </c>
      <c r="AT108" s="78" t="str">
        <f t="shared" si="674"/>
        <v/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19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0"/>
        <v/>
      </c>
      <c r="IK108" s="839" t="str">
        <f t="shared" si="721"/>
        <v/>
      </c>
      <c r="IL108" s="791" t="str">
        <f t="shared" si="653"/>
        <v/>
      </c>
      <c r="IM108" s="830"/>
      <c r="IN108" s="5" t="str">
        <f t="shared" si="654"/>
        <v/>
      </c>
      <c r="IO108" s="852"/>
      <c r="IP108" s="9" t="str">
        <f t="shared" si="655"/>
        <v/>
      </c>
      <c r="IQ108" s="5" t="str">
        <f t="shared" si="656"/>
        <v/>
      </c>
      <c r="IR108" s="5" t="str">
        <f t="shared" si="722"/>
        <v/>
      </c>
      <c r="IS108" s="5" t="str">
        <f t="shared" si="657"/>
        <v/>
      </c>
      <c r="IT108" s="791" t="str">
        <f t="shared" si="658"/>
        <v/>
      </c>
      <c r="IU108" s="9" t="str">
        <f t="shared" si="659"/>
        <v/>
      </c>
      <c r="IV108" s="5" t="str">
        <f t="shared" si="660"/>
        <v/>
      </c>
      <c r="IW108" s="5" t="str">
        <f t="shared" si="723"/>
        <v/>
      </c>
      <c r="IX108" s="5" t="str">
        <f t="shared" si="661"/>
        <v/>
      </c>
      <c r="IY108" s="833" t="str">
        <f t="shared" si="662"/>
        <v/>
      </c>
    </row>
    <row r="109" spans="1:259" ht="15" customHeight="1" x14ac:dyDescent="0.25">
      <c r="A109" s="84">
        <f t="shared" si="526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527"/>
        <v/>
      </c>
      <c r="L109" s="327"/>
      <c r="M109" s="173" t="str">
        <f t="shared" si="666"/>
        <v/>
      </c>
      <c r="N109" s="21" t="str">
        <f t="shared" si="667"/>
        <v/>
      </c>
      <c r="O109" s="5" t="str">
        <f t="shared" si="668"/>
        <v/>
      </c>
      <c r="P109" s="10" t="str">
        <f t="shared" si="669"/>
        <v/>
      </c>
      <c r="Q109" s="624" t="str">
        <f t="shared" si="528"/>
        <v/>
      </c>
      <c r="R109" s="5" t="str">
        <f t="shared" si="724"/>
        <v/>
      </c>
      <c r="S109" s="6" t="str">
        <f t="shared" si="725"/>
        <v/>
      </c>
      <c r="T109" s="4" t="str">
        <f t="shared" si="726"/>
        <v/>
      </c>
      <c r="U109" s="5" t="str">
        <f t="shared" si="727"/>
        <v/>
      </c>
      <c r="V109" s="8" t="str">
        <f t="shared" si="728"/>
        <v/>
      </c>
      <c r="W109" s="624" t="str">
        <f t="shared" si="651"/>
        <v/>
      </c>
      <c r="X109" s="5" t="str">
        <f t="shared" si="729"/>
        <v/>
      </c>
      <c r="Y109" s="7" t="str">
        <f t="shared" si="650"/>
        <v/>
      </c>
      <c r="Z109" s="21" t="str">
        <f t="shared" si="670"/>
        <v/>
      </c>
      <c r="AA109" s="5" t="str">
        <f t="shared" si="671"/>
        <v/>
      </c>
      <c r="AB109" s="5" t="str">
        <f t="shared" si="672"/>
        <v/>
      </c>
      <c r="AC109" s="8" t="str">
        <f t="shared" si="730"/>
        <v/>
      </c>
      <c r="AD109" s="9" t="str">
        <f t="shared" si="731"/>
        <v/>
      </c>
      <c r="AE109" s="5" t="str">
        <f t="shared" si="732"/>
        <v/>
      </c>
      <c r="AF109" s="10" t="str">
        <f t="shared" si="733"/>
        <v/>
      </c>
      <c r="AG109" s="622" t="str">
        <f t="shared" si="734"/>
        <v/>
      </c>
      <c r="AH109" s="623" t="str">
        <f t="shared" si="735"/>
        <v/>
      </c>
      <c r="AI109" s="624" t="str">
        <f t="shared" si="736"/>
        <v/>
      </c>
      <c r="AJ109" s="625" t="str">
        <f t="shared" si="737"/>
        <v/>
      </c>
      <c r="AK109" s="4" t="str">
        <f t="shared" si="738"/>
        <v/>
      </c>
      <c r="AL109" s="5" t="str">
        <f t="shared" si="739"/>
        <v/>
      </c>
      <c r="AM109" s="6" t="str">
        <f t="shared" si="740"/>
        <v/>
      </c>
      <c r="AN109" s="612" t="str">
        <f t="shared" si="741"/>
        <v/>
      </c>
      <c r="AO109" s="613" t="str">
        <f t="shared" si="465"/>
        <v/>
      </c>
      <c r="AP109" s="624" t="str">
        <f t="shared" si="742"/>
        <v/>
      </c>
      <c r="AQ109" s="625" t="str">
        <f t="shared" si="673"/>
        <v/>
      </c>
      <c r="AS109" s="56" t="str">
        <f t="shared" si="745"/>
        <v/>
      </c>
      <c r="AT109" s="78" t="str">
        <f t="shared" si="674"/>
        <v/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19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0"/>
        <v/>
      </c>
      <c r="IK109" s="839" t="str">
        <f t="shared" si="721"/>
        <v/>
      </c>
      <c r="IL109" s="791" t="str">
        <f t="shared" si="653"/>
        <v/>
      </c>
      <c r="IM109" s="830"/>
      <c r="IN109" s="5" t="str">
        <f t="shared" si="654"/>
        <v/>
      </c>
      <c r="IO109" s="852"/>
      <c r="IP109" s="9" t="str">
        <f t="shared" si="655"/>
        <v/>
      </c>
      <c r="IQ109" s="5" t="str">
        <f t="shared" si="656"/>
        <v/>
      </c>
      <c r="IR109" s="5" t="str">
        <f t="shared" si="722"/>
        <v/>
      </c>
      <c r="IS109" s="5" t="str">
        <f t="shared" si="657"/>
        <v/>
      </c>
      <c r="IT109" s="791" t="str">
        <f t="shared" si="658"/>
        <v/>
      </c>
      <c r="IU109" s="9" t="str">
        <f t="shared" si="659"/>
        <v/>
      </c>
      <c r="IV109" s="5" t="str">
        <f t="shared" si="660"/>
        <v/>
      </c>
      <c r="IW109" s="5" t="str">
        <f t="shared" si="723"/>
        <v/>
      </c>
      <c r="IX109" s="5" t="str">
        <f t="shared" si="661"/>
        <v/>
      </c>
      <c r="IY109" s="833" t="str">
        <f t="shared" si="662"/>
        <v/>
      </c>
    </row>
    <row r="110" spans="1:259" ht="15" customHeight="1" x14ac:dyDescent="0.25">
      <c r="A110" s="84">
        <f t="shared" si="526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527"/>
        <v/>
      </c>
      <c r="L110" s="327"/>
      <c r="M110" s="173" t="str">
        <f t="shared" si="666"/>
        <v/>
      </c>
      <c r="N110" s="21" t="str">
        <f t="shared" si="667"/>
        <v/>
      </c>
      <c r="O110" s="5" t="str">
        <f t="shared" si="668"/>
        <v/>
      </c>
      <c r="P110" s="10" t="str">
        <f t="shared" si="669"/>
        <v/>
      </c>
      <c r="Q110" s="624" t="str">
        <f t="shared" si="528"/>
        <v/>
      </c>
      <c r="R110" s="5" t="str">
        <f t="shared" si="724"/>
        <v/>
      </c>
      <c r="S110" s="6" t="str">
        <f t="shared" si="725"/>
        <v/>
      </c>
      <c r="T110" s="4" t="str">
        <f t="shared" si="726"/>
        <v/>
      </c>
      <c r="U110" s="5" t="str">
        <f t="shared" si="727"/>
        <v/>
      </c>
      <c r="V110" s="8" t="str">
        <f t="shared" si="728"/>
        <v/>
      </c>
      <c r="W110" s="624" t="str">
        <f t="shared" si="651"/>
        <v/>
      </c>
      <c r="X110" s="5" t="str">
        <f t="shared" si="729"/>
        <v/>
      </c>
      <c r="Y110" s="7" t="str">
        <f t="shared" si="650"/>
        <v/>
      </c>
      <c r="Z110" s="21" t="str">
        <f t="shared" si="670"/>
        <v/>
      </c>
      <c r="AA110" s="5" t="str">
        <f t="shared" si="671"/>
        <v/>
      </c>
      <c r="AB110" s="5" t="str">
        <f t="shared" si="672"/>
        <v/>
      </c>
      <c r="AC110" s="8" t="str">
        <f t="shared" si="730"/>
        <v/>
      </c>
      <c r="AD110" s="9" t="str">
        <f t="shared" si="731"/>
        <v/>
      </c>
      <c r="AE110" s="5" t="str">
        <f t="shared" si="732"/>
        <v/>
      </c>
      <c r="AF110" s="10" t="str">
        <f t="shared" si="733"/>
        <v/>
      </c>
      <c r="AG110" s="622" t="str">
        <f t="shared" si="734"/>
        <v/>
      </c>
      <c r="AH110" s="623" t="str">
        <f t="shared" si="735"/>
        <v/>
      </c>
      <c r="AI110" s="624" t="str">
        <f t="shared" si="736"/>
        <v/>
      </c>
      <c r="AJ110" s="625" t="str">
        <f t="shared" si="737"/>
        <v/>
      </c>
      <c r="AK110" s="4" t="str">
        <f t="shared" si="738"/>
        <v/>
      </c>
      <c r="AL110" s="5" t="str">
        <f t="shared" si="739"/>
        <v/>
      </c>
      <c r="AM110" s="6" t="str">
        <f t="shared" si="740"/>
        <v/>
      </c>
      <c r="AN110" s="612" t="str">
        <f t="shared" si="741"/>
        <v/>
      </c>
      <c r="AO110" s="613" t="str">
        <f t="shared" si="465"/>
        <v/>
      </c>
      <c r="AP110" s="624" t="str">
        <f t="shared" si="742"/>
        <v/>
      </c>
      <c r="AQ110" s="625" t="str">
        <f t="shared" si="673"/>
        <v/>
      </c>
      <c r="AS110" s="56" t="str">
        <f t="shared" si="745"/>
        <v/>
      </c>
      <c r="AT110" s="78" t="str">
        <f t="shared" si="674"/>
        <v/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19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0"/>
        <v/>
      </c>
      <c r="IK110" s="839" t="str">
        <f t="shared" si="721"/>
        <v/>
      </c>
      <c r="IL110" s="791" t="str">
        <f t="shared" si="653"/>
        <v/>
      </c>
      <c r="IM110" s="830"/>
      <c r="IN110" s="5" t="str">
        <f t="shared" si="654"/>
        <v/>
      </c>
      <c r="IO110" s="852"/>
      <c r="IP110" s="9" t="str">
        <f t="shared" si="655"/>
        <v/>
      </c>
      <c r="IQ110" s="5" t="str">
        <f t="shared" si="656"/>
        <v/>
      </c>
      <c r="IR110" s="5" t="str">
        <f t="shared" si="722"/>
        <v/>
      </c>
      <c r="IS110" s="5" t="str">
        <f t="shared" si="657"/>
        <v/>
      </c>
      <c r="IT110" s="791" t="str">
        <f t="shared" si="658"/>
        <v/>
      </c>
      <c r="IU110" s="9" t="str">
        <f t="shared" si="659"/>
        <v/>
      </c>
      <c r="IV110" s="5" t="str">
        <f t="shared" si="660"/>
        <v/>
      </c>
      <c r="IW110" s="5" t="str">
        <f t="shared" si="723"/>
        <v/>
      </c>
      <c r="IX110" s="5" t="str">
        <f t="shared" si="661"/>
        <v/>
      </c>
      <c r="IY110" s="833" t="str">
        <f t="shared" si="662"/>
        <v/>
      </c>
    </row>
    <row r="111" spans="1:259" ht="15" customHeight="1" x14ac:dyDescent="0.25">
      <c r="A111" s="84">
        <f t="shared" si="526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527"/>
        <v/>
      </c>
      <c r="L111" s="327"/>
      <c r="M111" s="173" t="str">
        <f t="shared" si="666"/>
        <v/>
      </c>
      <c r="N111" s="21" t="str">
        <f t="shared" si="667"/>
        <v/>
      </c>
      <c r="O111" s="5" t="str">
        <f t="shared" si="668"/>
        <v/>
      </c>
      <c r="P111" s="10" t="str">
        <f t="shared" si="669"/>
        <v/>
      </c>
      <c r="Q111" s="624" t="str">
        <f t="shared" si="528"/>
        <v/>
      </c>
      <c r="R111" s="5" t="str">
        <f t="shared" si="724"/>
        <v/>
      </c>
      <c r="S111" s="6" t="str">
        <f t="shared" si="725"/>
        <v/>
      </c>
      <c r="T111" s="4" t="str">
        <f t="shared" si="726"/>
        <v/>
      </c>
      <c r="U111" s="5" t="str">
        <f t="shared" si="727"/>
        <v/>
      </c>
      <c r="V111" s="8" t="str">
        <f t="shared" si="728"/>
        <v/>
      </c>
      <c r="W111" s="624" t="str">
        <f t="shared" si="651"/>
        <v/>
      </c>
      <c r="X111" s="5" t="str">
        <f t="shared" si="729"/>
        <v/>
      </c>
      <c r="Y111" s="7" t="str">
        <f t="shared" si="650"/>
        <v/>
      </c>
      <c r="Z111" s="21" t="str">
        <f t="shared" si="670"/>
        <v/>
      </c>
      <c r="AA111" s="5" t="str">
        <f t="shared" si="671"/>
        <v/>
      </c>
      <c r="AB111" s="5" t="str">
        <f t="shared" si="672"/>
        <v/>
      </c>
      <c r="AC111" s="8" t="str">
        <f t="shared" si="730"/>
        <v/>
      </c>
      <c r="AD111" s="9" t="str">
        <f t="shared" si="731"/>
        <v/>
      </c>
      <c r="AE111" s="5" t="str">
        <f t="shared" si="732"/>
        <v/>
      </c>
      <c r="AF111" s="10" t="str">
        <f t="shared" si="733"/>
        <v/>
      </c>
      <c r="AG111" s="622" t="str">
        <f t="shared" si="734"/>
        <v/>
      </c>
      <c r="AH111" s="623" t="str">
        <f t="shared" si="735"/>
        <v/>
      </c>
      <c r="AI111" s="624" t="str">
        <f t="shared" si="736"/>
        <v/>
      </c>
      <c r="AJ111" s="625" t="str">
        <f t="shared" si="737"/>
        <v/>
      </c>
      <c r="AK111" s="4" t="str">
        <f t="shared" si="738"/>
        <v/>
      </c>
      <c r="AL111" s="5" t="str">
        <f t="shared" si="739"/>
        <v/>
      </c>
      <c r="AM111" s="6" t="str">
        <f t="shared" si="740"/>
        <v/>
      </c>
      <c r="AN111" s="612" t="str">
        <f t="shared" si="741"/>
        <v/>
      </c>
      <c r="AO111" s="613" t="str">
        <f t="shared" si="465"/>
        <v/>
      </c>
      <c r="AP111" s="624" t="str">
        <f t="shared" si="742"/>
        <v/>
      </c>
      <c r="AQ111" s="625" t="str">
        <f t="shared" si="673"/>
        <v/>
      </c>
      <c r="AS111" s="56" t="str">
        <f t="shared" si="745"/>
        <v/>
      </c>
      <c r="AT111" s="78" t="str">
        <f t="shared" si="674"/>
        <v/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19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0"/>
        <v/>
      </c>
      <c r="IK111" s="839" t="str">
        <f t="shared" si="721"/>
        <v/>
      </c>
      <c r="IL111" s="791" t="str">
        <f t="shared" si="653"/>
        <v/>
      </c>
      <c r="IM111" s="830"/>
      <c r="IN111" s="5" t="str">
        <f t="shared" si="654"/>
        <v/>
      </c>
      <c r="IO111" s="852"/>
      <c r="IP111" s="9" t="str">
        <f t="shared" si="655"/>
        <v/>
      </c>
      <c r="IQ111" s="5" t="str">
        <f t="shared" si="656"/>
        <v/>
      </c>
      <c r="IR111" s="5" t="str">
        <f t="shared" si="722"/>
        <v/>
      </c>
      <c r="IS111" s="5" t="str">
        <f t="shared" si="657"/>
        <v/>
      </c>
      <c r="IT111" s="791" t="str">
        <f t="shared" si="658"/>
        <v/>
      </c>
      <c r="IU111" s="9" t="str">
        <f t="shared" si="659"/>
        <v/>
      </c>
      <c r="IV111" s="5" t="str">
        <f t="shared" si="660"/>
        <v/>
      </c>
      <c r="IW111" s="5" t="str">
        <f t="shared" si="723"/>
        <v/>
      </c>
      <c r="IX111" s="5" t="str">
        <f t="shared" si="661"/>
        <v/>
      </c>
      <c r="IY111" s="833" t="str">
        <f t="shared" si="662"/>
        <v/>
      </c>
    </row>
    <row r="112" spans="1:259" ht="15" customHeight="1" x14ac:dyDescent="0.25">
      <c r="A112" s="84">
        <f t="shared" si="526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527"/>
        <v/>
      </c>
      <c r="L112" s="327"/>
      <c r="M112" s="173" t="str">
        <f t="shared" si="666"/>
        <v/>
      </c>
      <c r="N112" s="21" t="str">
        <f t="shared" si="667"/>
        <v/>
      </c>
      <c r="O112" s="5" t="str">
        <f t="shared" si="668"/>
        <v/>
      </c>
      <c r="P112" s="10" t="str">
        <f t="shared" si="669"/>
        <v/>
      </c>
      <c r="Q112" s="624" t="str">
        <f t="shared" si="528"/>
        <v/>
      </c>
      <c r="R112" s="5" t="str">
        <f t="shared" si="724"/>
        <v/>
      </c>
      <c r="S112" s="6" t="str">
        <f t="shared" si="725"/>
        <v/>
      </c>
      <c r="T112" s="4" t="str">
        <f t="shared" si="726"/>
        <v/>
      </c>
      <c r="U112" s="5" t="str">
        <f t="shared" si="727"/>
        <v/>
      </c>
      <c r="V112" s="8" t="str">
        <f t="shared" si="728"/>
        <v/>
      </c>
      <c r="W112" s="624" t="str">
        <f t="shared" si="651"/>
        <v/>
      </c>
      <c r="X112" s="5" t="str">
        <f t="shared" si="729"/>
        <v/>
      </c>
      <c r="Y112" s="7" t="str">
        <f t="shared" si="650"/>
        <v/>
      </c>
      <c r="Z112" s="21" t="str">
        <f t="shared" si="670"/>
        <v/>
      </c>
      <c r="AA112" s="5" t="str">
        <f t="shared" si="671"/>
        <v/>
      </c>
      <c r="AB112" s="5" t="str">
        <f t="shared" si="672"/>
        <v/>
      </c>
      <c r="AC112" s="8" t="str">
        <f t="shared" si="730"/>
        <v/>
      </c>
      <c r="AD112" s="9" t="str">
        <f t="shared" si="731"/>
        <v/>
      </c>
      <c r="AE112" s="5" t="str">
        <f t="shared" si="732"/>
        <v/>
      </c>
      <c r="AF112" s="10" t="str">
        <f t="shared" si="733"/>
        <v/>
      </c>
      <c r="AG112" s="622" t="str">
        <f t="shared" si="734"/>
        <v/>
      </c>
      <c r="AH112" s="623" t="str">
        <f t="shared" si="735"/>
        <v/>
      </c>
      <c r="AI112" s="624" t="str">
        <f t="shared" si="736"/>
        <v/>
      </c>
      <c r="AJ112" s="625" t="str">
        <f t="shared" si="737"/>
        <v/>
      </c>
      <c r="AK112" s="4" t="str">
        <f t="shared" si="738"/>
        <v/>
      </c>
      <c r="AL112" s="5" t="str">
        <f t="shared" si="739"/>
        <v/>
      </c>
      <c r="AM112" s="6" t="str">
        <f t="shared" si="740"/>
        <v/>
      </c>
      <c r="AN112" s="612" t="str">
        <f t="shared" si="741"/>
        <v/>
      </c>
      <c r="AO112" s="613" t="str">
        <f t="shared" si="465"/>
        <v/>
      </c>
      <c r="AP112" s="624" t="str">
        <f t="shared" si="742"/>
        <v/>
      </c>
      <c r="AQ112" s="625" t="str">
        <f t="shared" si="673"/>
        <v/>
      </c>
      <c r="AS112" s="56" t="str">
        <f t="shared" si="745"/>
        <v/>
      </c>
      <c r="AT112" s="78" t="str">
        <f t="shared" si="674"/>
        <v/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19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527"/>
        <v/>
      </c>
      <c r="L113" s="327"/>
      <c r="M113" s="173" t="str">
        <f t="shared" si="666"/>
        <v/>
      </c>
      <c r="N113" s="21" t="str">
        <f t="shared" si="667"/>
        <v/>
      </c>
      <c r="O113" s="5" t="str">
        <f t="shared" si="668"/>
        <v/>
      </c>
      <c r="P113" s="10" t="str">
        <f t="shared" si="669"/>
        <v/>
      </c>
      <c r="Q113" s="624" t="str">
        <f t="shared" si="528"/>
        <v/>
      </c>
      <c r="R113" s="5" t="str">
        <f t="shared" si="724"/>
        <v/>
      </c>
      <c r="S113" s="6" t="str">
        <f t="shared" si="725"/>
        <v/>
      </c>
      <c r="T113" s="4" t="str">
        <f t="shared" si="726"/>
        <v/>
      </c>
      <c r="U113" s="5" t="str">
        <f t="shared" si="727"/>
        <v/>
      </c>
      <c r="V113" s="8" t="str">
        <f t="shared" si="728"/>
        <v/>
      </c>
      <c r="W113" s="624" t="str">
        <f t="shared" si="651"/>
        <v/>
      </c>
      <c r="X113" s="5" t="str">
        <f t="shared" si="729"/>
        <v/>
      </c>
      <c r="Y113" s="7" t="str">
        <f t="shared" si="650"/>
        <v/>
      </c>
      <c r="Z113" s="21" t="str">
        <f t="shared" si="670"/>
        <v/>
      </c>
      <c r="AA113" s="5" t="str">
        <f t="shared" si="671"/>
        <v/>
      </c>
      <c r="AB113" s="5" t="str">
        <f t="shared" si="672"/>
        <v/>
      </c>
      <c r="AC113" s="8" t="str">
        <f t="shared" si="730"/>
        <v/>
      </c>
      <c r="AD113" s="9" t="str">
        <f t="shared" si="731"/>
        <v/>
      </c>
      <c r="AE113" s="5" t="str">
        <f t="shared" si="732"/>
        <v/>
      </c>
      <c r="AF113" s="10" t="str">
        <f t="shared" si="733"/>
        <v/>
      </c>
      <c r="AG113" s="622" t="str">
        <f t="shared" si="734"/>
        <v/>
      </c>
      <c r="AH113" s="623" t="str">
        <f t="shared" si="735"/>
        <v/>
      </c>
      <c r="AI113" s="624" t="str">
        <f t="shared" si="736"/>
        <v/>
      </c>
      <c r="AJ113" s="625" t="str">
        <f t="shared" si="737"/>
        <v/>
      </c>
      <c r="AK113" s="4" t="str">
        <f t="shared" si="738"/>
        <v/>
      </c>
      <c r="AL113" s="5" t="str">
        <f t="shared" si="739"/>
        <v/>
      </c>
      <c r="AM113" s="6" t="str">
        <f t="shared" si="740"/>
        <v/>
      </c>
      <c r="AN113" s="612" t="str">
        <f t="shared" si="741"/>
        <v/>
      </c>
      <c r="AO113" s="613" t="str">
        <f t="shared" si="465"/>
        <v/>
      </c>
      <c r="AP113" s="624" t="str">
        <f t="shared" si="742"/>
        <v/>
      </c>
      <c r="AQ113" s="625" t="str">
        <f t="shared" si="673"/>
        <v/>
      </c>
      <c r="AS113" s="56" t="str">
        <f t="shared" si="745"/>
        <v/>
      </c>
      <c r="AT113" s="78" t="str">
        <f t="shared" si="674"/>
        <v/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19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0"/>
        <v/>
      </c>
      <c r="IK113" s="839" t="str">
        <f t="shared" si="721"/>
        <v/>
      </c>
      <c r="IL113" s="791" t="str">
        <f t="shared" si="653"/>
        <v/>
      </c>
      <c r="IM113" s="830"/>
      <c r="IN113" s="5" t="str">
        <f t="shared" si="654"/>
        <v/>
      </c>
      <c r="IO113" s="852"/>
      <c r="IP113" s="9" t="str">
        <f t="shared" si="655"/>
        <v/>
      </c>
      <c r="IQ113" s="5" t="str">
        <f t="shared" si="656"/>
        <v/>
      </c>
      <c r="IR113" s="5" t="str">
        <f t="shared" si="722"/>
        <v/>
      </c>
      <c r="IS113" s="5" t="str">
        <f t="shared" si="657"/>
        <v/>
      </c>
      <c r="IT113" s="791" t="str">
        <f t="shared" si="658"/>
        <v/>
      </c>
      <c r="IU113" s="9" t="str">
        <f t="shared" si="659"/>
        <v/>
      </c>
      <c r="IV113" s="5" t="str">
        <f t="shared" si="660"/>
        <v/>
      </c>
      <c r="IW113" s="5" t="str">
        <f t="shared" si="723"/>
        <v/>
      </c>
      <c r="IX113" s="5" t="str">
        <f t="shared" si="661"/>
        <v/>
      </c>
      <c r="IY113" s="833" t="str">
        <f t="shared" si="662"/>
        <v/>
      </c>
    </row>
    <row r="114" spans="1:259" ht="15" customHeight="1" x14ac:dyDescent="0.25">
      <c r="A114" s="84">
        <f t="shared" si="526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527"/>
        <v/>
      </c>
      <c r="L114" s="327"/>
      <c r="M114" s="173" t="str">
        <f t="shared" si="666"/>
        <v/>
      </c>
      <c r="N114" s="21" t="str">
        <f t="shared" si="667"/>
        <v/>
      </c>
      <c r="O114" s="5" t="str">
        <f t="shared" si="668"/>
        <v/>
      </c>
      <c r="P114" s="10" t="str">
        <f t="shared" si="669"/>
        <v/>
      </c>
      <c r="Q114" s="624" t="str">
        <f t="shared" si="528"/>
        <v/>
      </c>
      <c r="R114" s="5" t="str">
        <f t="shared" si="724"/>
        <v/>
      </c>
      <c r="S114" s="6" t="str">
        <f t="shared" si="725"/>
        <v/>
      </c>
      <c r="T114" s="4" t="str">
        <f t="shared" si="726"/>
        <v/>
      </c>
      <c r="U114" s="5" t="str">
        <f t="shared" si="727"/>
        <v/>
      </c>
      <c r="V114" s="8" t="str">
        <f t="shared" si="728"/>
        <v/>
      </c>
      <c r="W114" s="624" t="str">
        <f t="shared" si="651"/>
        <v/>
      </c>
      <c r="X114" s="5" t="str">
        <f t="shared" si="729"/>
        <v/>
      </c>
      <c r="Y114" s="7" t="str">
        <f t="shared" si="650"/>
        <v/>
      </c>
      <c r="Z114" s="21" t="str">
        <f t="shared" si="670"/>
        <v/>
      </c>
      <c r="AA114" s="5" t="str">
        <f t="shared" si="671"/>
        <v/>
      </c>
      <c r="AB114" s="5" t="str">
        <f t="shared" si="672"/>
        <v/>
      </c>
      <c r="AC114" s="8" t="str">
        <f t="shared" si="730"/>
        <v/>
      </c>
      <c r="AD114" s="9" t="str">
        <f t="shared" si="731"/>
        <v/>
      </c>
      <c r="AE114" s="5" t="str">
        <f t="shared" si="732"/>
        <v/>
      </c>
      <c r="AF114" s="10" t="str">
        <f t="shared" si="733"/>
        <v/>
      </c>
      <c r="AG114" s="622" t="str">
        <f t="shared" si="734"/>
        <v/>
      </c>
      <c r="AH114" s="623" t="str">
        <f t="shared" si="735"/>
        <v/>
      </c>
      <c r="AI114" s="624" t="str">
        <f t="shared" si="736"/>
        <v/>
      </c>
      <c r="AJ114" s="625" t="str">
        <f t="shared" si="737"/>
        <v/>
      </c>
      <c r="AK114" s="4" t="str">
        <f t="shared" si="738"/>
        <v/>
      </c>
      <c r="AL114" s="5" t="str">
        <f t="shared" si="739"/>
        <v/>
      </c>
      <c r="AM114" s="6" t="str">
        <f t="shared" si="740"/>
        <v/>
      </c>
      <c r="AN114" s="612" t="str">
        <f t="shared" si="741"/>
        <v/>
      </c>
      <c r="AO114" s="613" t="str">
        <f t="shared" si="465"/>
        <v/>
      </c>
      <c r="AP114" s="624" t="str">
        <f t="shared" si="742"/>
        <v/>
      </c>
      <c r="AQ114" s="625" t="str">
        <f t="shared" si="673"/>
        <v/>
      </c>
      <c r="AS114" s="56" t="str">
        <f t="shared" si="745"/>
        <v/>
      </c>
      <c r="AT114" s="78" t="str">
        <f t="shared" si="674"/>
        <v/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19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0"/>
        <v/>
      </c>
      <c r="IK114" s="839" t="str">
        <f t="shared" si="721"/>
        <v/>
      </c>
      <c r="IL114" s="791" t="str">
        <f t="shared" si="653"/>
        <v/>
      </c>
      <c r="IM114" s="830"/>
      <c r="IN114" s="5" t="str">
        <f t="shared" si="654"/>
        <v/>
      </c>
      <c r="IO114" s="852"/>
      <c r="IP114" s="9" t="str">
        <f t="shared" si="655"/>
        <v/>
      </c>
      <c r="IQ114" s="5" t="str">
        <f t="shared" si="656"/>
        <v/>
      </c>
      <c r="IR114" s="5" t="str">
        <f t="shared" si="722"/>
        <v/>
      </c>
      <c r="IS114" s="5" t="str">
        <f t="shared" si="657"/>
        <v/>
      </c>
      <c r="IT114" s="791" t="str">
        <f t="shared" si="658"/>
        <v/>
      </c>
      <c r="IU114" s="9" t="str">
        <f t="shared" si="659"/>
        <v/>
      </c>
      <c r="IV114" s="5" t="str">
        <f t="shared" si="660"/>
        <v/>
      </c>
      <c r="IW114" s="5" t="str">
        <f t="shared" si="723"/>
        <v/>
      </c>
      <c r="IX114" s="5" t="str">
        <f t="shared" si="661"/>
        <v/>
      </c>
      <c r="IY114" s="833" t="str">
        <f t="shared" si="662"/>
        <v/>
      </c>
    </row>
    <row r="115" spans="1:259" ht="15" customHeight="1" x14ac:dyDescent="0.25">
      <c r="A115" s="84">
        <f t="shared" si="526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527"/>
        <v/>
      </c>
      <c r="L115" s="327"/>
      <c r="M115" s="173" t="str">
        <f t="shared" si="666"/>
        <v/>
      </c>
      <c r="N115" s="21" t="str">
        <f t="shared" si="667"/>
        <v/>
      </c>
      <c r="O115" s="5" t="str">
        <f t="shared" si="668"/>
        <v/>
      </c>
      <c r="P115" s="10" t="str">
        <f t="shared" si="669"/>
        <v/>
      </c>
      <c r="Q115" s="624" t="str">
        <f t="shared" si="528"/>
        <v/>
      </c>
      <c r="R115" s="5" t="str">
        <f t="shared" si="724"/>
        <v/>
      </c>
      <c r="S115" s="6" t="str">
        <f t="shared" si="725"/>
        <v/>
      </c>
      <c r="T115" s="4" t="str">
        <f t="shared" si="726"/>
        <v/>
      </c>
      <c r="U115" s="5" t="str">
        <f t="shared" si="727"/>
        <v/>
      </c>
      <c r="V115" s="8" t="str">
        <f t="shared" si="728"/>
        <v/>
      </c>
      <c r="W115" s="624" t="str">
        <f t="shared" si="651"/>
        <v/>
      </c>
      <c r="X115" s="5" t="str">
        <f t="shared" si="729"/>
        <v/>
      </c>
      <c r="Y115" s="7" t="str">
        <f t="shared" si="650"/>
        <v/>
      </c>
      <c r="Z115" s="21" t="str">
        <f t="shared" si="670"/>
        <v/>
      </c>
      <c r="AA115" s="5" t="str">
        <f t="shared" si="671"/>
        <v/>
      </c>
      <c r="AB115" s="5" t="str">
        <f t="shared" si="672"/>
        <v/>
      </c>
      <c r="AC115" s="8" t="str">
        <f t="shared" si="730"/>
        <v/>
      </c>
      <c r="AD115" s="9" t="str">
        <f t="shared" si="731"/>
        <v/>
      </c>
      <c r="AE115" s="5" t="str">
        <f t="shared" si="732"/>
        <v/>
      </c>
      <c r="AF115" s="10" t="str">
        <f t="shared" si="733"/>
        <v/>
      </c>
      <c r="AG115" s="622" t="str">
        <f t="shared" si="734"/>
        <v/>
      </c>
      <c r="AH115" s="623" t="str">
        <f t="shared" si="735"/>
        <v/>
      </c>
      <c r="AI115" s="624" t="str">
        <f t="shared" si="736"/>
        <v/>
      </c>
      <c r="AJ115" s="625" t="str">
        <f t="shared" si="737"/>
        <v/>
      </c>
      <c r="AK115" s="4" t="str">
        <f t="shared" si="738"/>
        <v/>
      </c>
      <c r="AL115" s="5" t="str">
        <f t="shared" si="739"/>
        <v/>
      </c>
      <c r="AM115" s="6" t="str">
        <f t="shared" si="740"/>
        <v/>
      </c>
      <c r="AN115" s="612" t="str">
        <f t="shared" si="741"/>
        <v/>
      </c>
      <c r="AO115" s="613" t="str">
        <f t="shared" si="465"/>
        <v/>
      </c>
      <c r="AP115" s="624" t="str">
        <f t="shared" si="742"/>
        <v/>
      </c>
      <c r="AQ115" s="625" t="str">
        <f t="shared" si="673"/>
        <v/>
      </c>
      <c r="AS115" s="56" t="str">
        <f t="shared" si="745"/>
        <v/>
      </c>
      <c r="AT115" s="78" t="str">
        <f t="shared" si="674"/>
        <v/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19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0"/>
        <v/>
      </c>
      <c r="IK115" s="839" t="str">
        <f t="shared" si="721"/>
        <v/>
      </c>
      <c r="IL115" s="791" t="str">
        <f t="shared" si="653"/>
        <v/>
      </c>
      <c r="IM115" s="830"/>
      <c r="IN115" s="5" t="str">
        <f t="shared" si="654"/>
        <v/>
      </c>
      <c r="IO115" s="852"/>
      <c r="IP115" s="9" t="str">
        <f t="shared" si="655"/>
        <v/>
      </c>
      <c r="IQ115" s="5" t="str">
        <f t="shared" si="656"/>
        <v/>
      </c>
      <c r="IR115" s="5" t="str">
        <f t="shared" si="722"/>
        <v/>
      </c>
      <c r="IS115" s="5" t="str">
        <f t="shared" si="657"/>
        <v/>
      </c>
      <c r="IT115" s="791" t="str">
        <f t="shared" si="658"/>
        <v/>
      </c>
      <c r="IU115" s="9" t="str">
        <f t="shared" si="659"/>
        <v/>
      </c>
      <c r="IV115" s="5" t="str">
        <f t="shared" si="660"/>
        <v/>
      </c>
      <c r="IW115" s="5" t="str">
        <f t="shared" si="723"/>
        <v/>
      </c>
      <c r="IX115" s="5" t="str">
        <f t="shared" si="661"/>
        <v/>
      </c>
      <c r="IY115" s="833" t="str">
        <f t="shared" si="662"/>
        <v/>
      </c>
    </row>
    <row r="116" spans="1:259" ht="15" customHeight="1" x14ac:dyDescent="0.25">
      <c r="A116" s="84">
        <f t="shared" si="526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527"/>
        <v/>
      </c>
      <c r="L116" s="327"/>
      <c r="M116" s="173" t="str">
        <f t="shared" si="666"/>
        <v/>
      </c>
      <c r="N116" s="21" t="str">
        <f t="shared" si="667"/>
        <v/>
      </c>
      <c r="O116" s="5" t="str">
        <f t="shared" si="668"/>
        <v/>
      </c>
      <c r="P116" s="10" t="str">
        <f t="shared" si="669"/>
        <v/>
      </c>
      <c r="Q116" s="624" t="str">
        <f t="shared" si="528"/>
        <v/>
      </c>
      <c r="R116" s="5" t="str">
        <f t="shared" si="724"/>
        <v/>
      </c>
      <c r="S116" s="6" t="str">
        <f t="shared" si="725"/>
        <v/>
      </c>
      <c r="T116" s="4" t="str">
        <f t="shared" si="726"/>
        <v/>
      </c>
      <c r="U116" s="5" t="str">
        <f t="shared" si="727"/>
        <v/>
      </c>
      <c r="V116" s="8" t="str">
        <f t="shared" si="728"/>
        <v/>
      </c>
      <c r="W116" s="624" t="str">
        <f t="shared" si="651"/>
        <v/>
      </c>
      <c r="X116" s="5" t="str">
        <f t="shared" si="729"/>
        <v/>
      </c>
      <c r="Y116" s="7" t="str">
        <f t="shared" si="650"/>
        <v/>
      </c>
      <c r="Z116" s="21" t="str">
        <f t="shared" si="670"/>
        <v/>
      </c>
      <c r="AA116" s="5" t="str">
        <f t="shared" si="671"/>
        <v/>
      </c>
      <c r="AB116" s="5" t="str">
        <f t="shared" si="672"/>
        <v/>
      </c>
      <c r="AC116" s="8" t="str">
        <f t="shared" si="730"/>
        <v/>
      </c>
      <c r="AD116" s="9" t="str">
        <f t="shared" si="731"/>
        <v/>
      </c>
      <c r="AE116" s="5" t="str">
        <f t="shared" si="732"/>
        <v/>
      </c>
      <c r="AF116" s="10" t="str">
        <f t="shared" si="733"/>
        <v/>
      </c>
      <c r="AG116" s="622" t="str">
        <f t="shared" si="734"/>
        <v/>
      </c>
      <c r="AH116" s="623" t="str">
        <f t="shared" si="735"/>
        <v/>
      </c>
      <c r="AI116" s="624" t="str">
        <f t="shared" si="736"/>
        <v/>
      </c>
      <c r="AJ116" s="625" t="str">
        <f t="shared" si="737"/>
        <v/>
      </c>
      <c r="AK116" s="4" t="str">
        <f t="shared" si="738"/>
        <v/>
      </c>
      <c r="AL116" s="5" t="str">
        <f t="shared" si="739"/>
        <v/>
      </c>
      <c r="AM116" s="6" t="str">
        <f t="shared" si="740"/>
        <v/>
      </c>
      <c r="AN116" s="612" t="str">
        <f t="shared" si="741"/>
        <v/>
      </c>
      <c r="AO116" s="613" t="str">
        <f t="shared" si="465"/>
        <v/>
      </c>
      <c r="AP116" s="624" t="str">
        <f t="shared" si="742"/>
        <v/>
      </c>
      <c r="AQ116" s="625" t="str">
        <f t="shared" si="673"/>
        <v/>
      </c>
      <c r="AS116" s="56" t="str">
        <f t="shared" si="745"/>
        <v/>
      </c>
      <c r="AT116" s="78" t="str">
        <f t="shared" si="674"/>
        <v/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19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0"/>
        <v/>
      </c>
      <c r="IK116" s="839" t="str">
        <f t="shared" si="721"/>
        <v/>
      </c>
      <c r="IL116" s="791" t="str">
        <f t="shared" si="653"/>
        <v/>
      </c>
      <c r="IM116" s="830"/>
      <c r="IN116" s="5" t="str">
        <f t="shared" si="654"/>
        <v/>
      </c>
      <c r="IO116" s="852"/>
      <c r="IP116" s="9" t="str">
        <f t="shared" si="655"/>
        <v/>
      </c>
      <c r="IQ116" s="5" t="str">
        <f t="shared" si="656"/>
        <v/>
      </c>
      <c r="IR116" s="5" t="str">
        <f t="shared" si="722"/>
        <v/>
      </c>
      <c r="IS116" s="5" t="str">
        <f t="shared" si="657"/>
        <v/>
      </c>
      <c r="IT116" s="791" t="str">
        <f t="shared" si="658"/>
        <v/>
      </c>
      <c r="IU116" s="9" t="str">
        <f t="shared" si="659"/>
        <v/>
      </c>
      <c r="IV116" s="5" t="str">
        <f t="shared" si="660"/>
        <v/>
      </c>
      <c r="IW116" s="5" t="str">
        <f t="shared" si="723"/>
        <v/>
      </c>
      <c r="IX116" s="5" t="str">
        <f t="shared" si="661"/>
        <v/>
      </c>
      <c r="IY116" s="833" t="str">
        <f t="shared" si="662"/>
        <v/>
      </c>
    </row>
    <row r="117" spans="1:259" ht="15" customHeight="1" x14ac:dyDescent="0.25">
      <c r="A117" s="84">
        <f t="shared" si="526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527"/>
        <v/>
      </c>
      <c r="L117" s="327"/>
      <c r="M117" s="173" t="str">
        <f t="shared" si="666"/>
        <v/>
      </c>
      <c r="N117" s="21" t="str">
        <f t="shared" si="667"/>
        <v/>
      </c>
      <c r="O117" s="5" t="str">
        <f t="shared" si="668"/>
        <v/>
      </c>
      <c r="P117" s="10" t="str">
        <f t="shared" si="669"/>
        <v/>
      </c>
      <c r="Q117" s="624" t="str">
        <f t="shared" si="528"/>
        <v/>
      </c>
      <c r="R117" s="5" t="str">
        <f t="shared" si="724"/>
        <v/>
      </c>
      <c r="S117" s="6" t="str">
        <f t="shared" si="725"/>
        <v/>
      </c>
      <c r="T117" s="4" t="str">
        <f t="shared" si="726"/>
        <v/>
      </c>
      <c r="U117" s="5" t="str">
        <f t="shared" si="727"/>
        <v/>
      </c>
      <c r="V117" s="8" t="str">
        <f t="shared" si="728"/>
        <v/>
      </c>
      <c r="W117" s="624" t="str">
        <f t="shared" si="651"/>
        <v/>
      </c>
      <c r="X117" s="5" t="str">
        <f t="shared" si="729"/>
        <v/>
      </c>
      <c r="Y117" s="7" t="str">
        <f t="shared" si="650"/>
        <v/>
      </c>
      <c r="Z117" s="21" t="str">
        <f t="shared" si="670"/>
        <v/>
      </c>
      <c r="AA117" s="5" t="str">
        <f t="shared" si="671"/>
        <v/>
      </c>
      <c r="AB117" s="5" t="str">
        <f t="shared" si="672"/>
        <v/>
      </c>
      <c r="AC117" s="8" t="str">
        <f t="shared" si="730"/>
        <v/>
      </c>
      <c r="AD117" s="9" t="str">
        <f t="shared" si="731"/>
        <v/>
      </c>
      <c r="AE117" s="5" t="str">
        <f t="shared" si="732"/>
        <v/>
      </c>
      <c r="AF117" s="10" t="str">
        <f t="shared" si="733"/>
        <v/>
      </c>
      <c r="AG117" s="622" t="str">
        <f t="shared" si="734"/>
        <v/>
      </c>
      <c r="AH117" s="623" t="str">
        <f t="shared" si="735"/>
        <v/>
      </c>
      <c r="AI117" s="624" t="str">
        <f t="shared" si="736"/>
        <v/>
      </c>
      <c r="AJ117" s="625" t="str">
        <f t="shared" si="737"/>
        <v/>
      </c>
      <c r="AK117" s="4" t="str">
        <f t="shared" si="738"/>
        <v/>
      </c>
      <c r="AL117" s="5" t="str">
        <f t="shared" si="739"/>
        <v/>
      </c>
      <c r="AM117" s="6" t="str">
        <f t="shared" si="740"/>
        <v/>
      </c>
      <c r="AN117" s="612" t="str">
        <f t="shared" si="741"/>
        <v/>
      </c>
      <c r="AO117" s="613" t="str">
        <f t="shared" si="465"/>
        <v/>
      </c>
      <c r="AP117" s="624" t="str">
        <f t="shared" si="742"/>
        <v/>
      </c>
      <c r="AQ117" s="625" t="str">
        <f t="shared" si="673"/>
        <v/>
      </c>
      <c r="AS117" s="56" t="str">
        <f t="shared" si="745"/>
        <v/>
      </c>
      <c r="AT117" s="78" t="str">
        <f t="shared" si="674"/>
        <v/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19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0"/>
        <v/>
      </c>
      <c r="IK117" s="839" t="str">
        <f t="shared" si="721"/>
        <v/>
      </c>
      <c r="IL117" s="791" t="str">
        <f t="shared" si="653"/>
        <v/>
      </c>
      <c r="IM117" s="830"/>
      <c r="IN117" s="5" t="str">
        <f t="shared" si="654"/>
        <v/>
      </c>
      <c r="IO117" s="852"/>
      <c r="IP117" s="9" t="str">
        <f t="shared" si="655"/>
        <v/>
      </c>
      <c r="IQ117" s="5" t="str">
        <f t="shared" si="656"/>
        <v/>
      </c>
      <c r="IR117" s="5" t="str">
        <f t="shared" si="722"/>
        <v/>
      </c>
      <c r="IS117" s="5" t="str">
        <f t="shared" si="657"/>
        <v/>
      </c>
      <c r="IT117" s="791" t="str">
        <f t="shared" si="658"/>
        <v/>
      </c>
      <c r="IU117" s="9" t="str">
        <f t="shared" si="659"/>
        <v/>
      </c>
      <c r="IV117" s="5" t="str">
        <f t="shared" si="660"/>
        <v/>
      </c>
      <c r="IW117" s="5" t="str">
        <f t="shared" si="723"/>
        <v/>
      </c>
      <c r="IX117" s="5" t="str">
        <f t="shared" si="661"/>
        <v/>
      </c>
      <c r="IY117" s="833" t="str">
        <f t="shared" si="662"/>
        <v/>
      </c>
    </row>
    <row r="118" spans="1:259" ht="15" customHeight="1" x14ac:dyDescent="0.25">
      <c r="A118" s="84">
        <f t="shared" si="526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527"/>
        <v/>
      </c>
      <c r="L118" s="327"/>
      <c r="M118" s="173" t="str">
        <f t="shared" si="666"/>
        <v/>
      </c>
      <c r="N118" s="21" t="str">
        <f t="shared" si="667"/>
        <v/>
      </c>
      <c r="O118" s="5" t="str">
        <f t="shared" si="668"/>
        <v/>
      </c>
      <c r="P118" s="10" t="str">
        <f t="shared" si="669"/>
        <v/>
      </c>
      <c r="Q118" s="624" t="str">
        <f t="shared" si="528"/>
        <v/>
      </c>
      <c r="R118" s="5" t="str">
        <f t="shared" si="724"/>
        <v/>
      </c>
      <c r="S118" s="6" t="str">
        <f t="shared" si="725"/>
        <v/>
      </c>
      <c r="T118" s="4" t="str">
        <f t="shared" si="726"/>
        <v/>
      </c>
      <c r="U118" s="5" t="str">
        <f t="shared" si="727"/>
        <v/>
      </c>
      <c r="V118" s="8" t="str">
        <f t="shared" si="728"/>
        <v/>
      </c>
      <c r="W118" s="624" t="str">
        <f t="shared" si="651"/>
        <v/>
      </c>
      <c r="X118" s="5" t="str">
        <f t="shared" si="729"/>
        <v/>
      </c>
      <c r="Y118" s="7" t="str">
        <f t="shared" si="650"/>
        <v/>
      </c>
      <c r="Z118" s="21" t="str">
        <f t="shared" si="670"/>
        <v/>
      </c>
      <c r="AA118" s="5" t="str">
        <f t="shared" si="671"/>
        <v/>
      </c>
      <c r="AB118" s="5" t="str">
        <f t="shared" si="672"/>
        <v/>
      </c>
      <c r="AC118" s="8" t="str">
        <f t="shared" si="730"/>
        <v/>
      </c>
      <c r="AD118" s="9" t="str">
        <f t="shared" si="731"/>
        <v/>
      </c>
      <c r="AE118" s="5" t="str">
        <f t="shared" si="732"/>
        <v/>
      </c>
      <c r="AF118" s="10" t="str">
        <f t="shared" si="733"/>
        <v/>
      </c>
      <c r="AG118" s="622" t="str">
        <f t="shared" si="734"/>
        <v/>
      </c>
      <c r="AH118" s="623" t="str">
        <f t="shared" si="735"/>
        <v/>
      </c>
      <c r="AI118" s="624" t="str">
        <f t="shared" si="736"/>
        <v/>
      </c>
      <c r="AJ118" s="625" t="str">
        <f t="shared" si="737"/>
        <v/>
      </c>
      <c r="AK118" s="4" t="str">
        <f t="shared" si="738"/>
        <v/>
      </c>
      <c r="AL118" s="5" t="str">
        <f t="shared" si="739"/>
        <v/>
      </c>
      <c r="AM118" s="6" t="str">
        <f t="shared" si="740"/>
        <v/>
      </c>
      <c r="AN118" s="612" t="str">
        <f t="shared" si="741"/>
        <v/>
      </c>
      <c r="AO118" s="613" t="str">
        <f t="shared" si="465"/>
        <v/>
      </c>
      <c r="AP118" s="624" t="str">
        <f t="shared" si="742"/>
        <v/>
      </c>
      <c r="AQ118" s="625" t="str">
        <f t="shared" si="673"/>
        <v/>
      </c>
      <c r="AS118" s="56" t="str">
        <f t="shared" si="745"/>
        <v/>
      </c>
      <c r="AT118" s="78" t="str">
        <f t="shared" si="674"/>
        <v/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19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0"/>
        <v/>
      </c>
      <c r="IK118" s="839" t="str">
        <f t="shared" si="721"/>
        <v/>
      </c>
      <c r="IL118" s="791" t="str">
        <f t="shared" si="653"/>
        <v/>
      </c>
      <c r="IM118" s="830"/>
      <c r="IN118" s="5" t="str">
        <f t="shared" si="654"/>
        <v/>
      </c>
      <c r="IO118" s="852"/>
      <c r="IP118" s="9" t="str">
        <f t="shared" si="655"/>
        <v/>
      </c>
      <c r="IQ118" s="5" t="str">
        <f t="shared" si="656"/>
        <v/>
      </c>
      <c r="IR118" s="5" t="str">
        <f t="shared" si="722"/>
        <v/>
      </c>
      <c r="IS118" s="5" t="str">
        <f t="shared" si="657"/>
        <v/>
      </c>
      <c r="IT118" s="791" t="str">
        <f t="shared" si="658"/>
        <v/>
      </c>
      <c r="IU118" s="9" t="str">
        <f t="shared" si="659"/>
        <v/>
      </c>
      <c r="IV118" s="5" t="str">
        <f t="shared" si="660"/>
        <v/>
      </c>
      <c r="IW118" s="5" t="str">
        <f t="shared" si="723"/>
        <v/>
      </c>
      <c r="IX118" s="5" t="str">
        <f t="shared" si="661"/>
        <v/>
      </c>
      <c r="IY118" s="833" t="str">
        <f t="shared" si="662"/>
        <v/>
      </c>
    </row>
    <row r="119" spans="1:259" ht="15" customHeight="1" x14ac:dyDescent="0.25">
      <c r="A119" s="84">
        <f t="shared" si="526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527"/>
        <v/>
      </c>
      <c r="L119" s="327"/>
      <c r="M119" s="173" t="str">
        <f t="shared" si="666"/>
        <v/>
      </c>
      <c r="N119" s="21" t="str">
        <f t="shared" si="667"/>
        <v/>
      </c>
      <c r="O119" s="5" t="str">
        <f t="shared" si="668"/>
        <v/>
      </c>
      <c r="P119" s="10" t="str">
        <f t="shared" si="669"/>
        <v/>
      </c>
      <c r="Q119" s="624" t="str">
        <f t="shared" si="528"/>
        <v/>
      </c>
      <c r="R119" s="5" t="str">
        <f t="shared" si="724"/>
        <v/>
      </c>
      <c r="S119" s="6" t="str">
        <f t="shared" si="725"/>
        <v/>
      </c>
      <c r="T119" s="4" t="str">
        <f t="shared" si="726"/>
        <v/>
      </c>
      <c r="U119" s="5" t="str">
        <f t="shared" si="727"/>
        <v/>
      </c>
      <c r="V119" s="8" t="str">
        <f t="shared" si="728"/>
        <v/>
      </c>
      <c r="W119" s="624" t="str">
        <f t="shared" si="651"/>
        <v/>
      </c>
      <c r="X119" s="5" t="str">
        <f t="shared" si="729"/>
        <v/>
      </c>
      <c r="Y119" s="7" t="str">
        <f t="shared" si="650"/>
        <v/>
      </c>
      <c r="Z119" s="21" t="str">
        <f t="shared" si="670"/>
        <v/>
      </c>
      <c r="AA119" s="5" t="str">
        <f t="shared" si="671"/>
        <v/>
      </c>
      <c r="AB119" s="5" t="str">
        <f t="shared" si="672"/>
        <v/>
      </c>
      <c r="AC119" s="8" t="str">
        <f t="shared" si="730"/>
        <v/>
      </c>
      <c r="AD119" s="9" t="str">
        <f t="shared" si="731"/>
        <v/>
      </c>
      <c r="AE119" s="5" t="str">
        <f t="shared" si="732"/>
        <v/>
      </c>
      <c r="AF119" s="10" t="str">
        <f t="shared" si="733"/>
        <v/>
      </c>
      <c r="AG119" s="622" t="str">
        <f t="shared" si="734"/>
        <v/>
      </c>
      <c r="AH119" s="623" t="str">
        <f t="shared" si="735"/>
        <v/>
      </c>
      <c r="AI119" s="624" t="str">
        <f t="shared" si="736"/>
        <v/>
      </c>
      <c r="AJ119" s="625" t="str">
        <f t="shared" si="737"/>
        <v/>
      </c>
      <c r="AK119" s="4" t="str">
        <f t="shared" si="738"/>
        <v/>
      </c>
      <c r="AL119" s="5" t="str">
        <f t="shared" si="739"/>
        <v/>
      </c>
      <c r="AM119" s="6" t="str">
        <f t="shared" si="740"/>
        <v/>
      </c>
      <c r="AN119" s="612" t="str">
        <f t="shared" si="741"/>
        <v/>
      </c>
      <c r="AO119" s="613" t="str">
        <f t="shared" si="465"/>
        <v/>
      </c>
      <c r="AP119" s="624" t="str">
        <f t="shared" si="742"/>
        <v/>
      </c>
      <c r="AQ119" s="625" t="str">
        <f t="shared" si="673"/>
        <v/>
      </c>
      <c r="AS119" s="56" t="str">
        <f t="shared" si="745"/>
        <v/>
      </c>
      <c r="AT119" s="78" t="str">
        <f t="shared" si="674"/>
        <v/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19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527"/>
        <v/>
      </c>
      <c r="L120" s="327"/>
      <c r="M120" s="173" t="str">
        <f t="shared" si="666"/>
        <v/>
      </c>
      <c r="N120" s="21" t="str">
        <f t="shared" si="667"/>
        <v/>
      </c>
      <c r="O120" s="5" t="str">
        <f t="shared" si="668"/>
        <v/>
      </c>
      <c r="P120" s="10" t="str">
        <f t="shared" si="669"/>
        <v/>
      </c>
      <c r="Q120" s="624" t="str">
        <f t="shared" si="528"/>
        <v/>
      </c>
      <c r="R120" s="5" t="str">
        <f t="shared" si="724"/>
        <v/>
      </c>
      <c r="S120" s="6" t="str">
        <f t="shared" si="725"/>
        <v/>
      </c>
      <c r="T120" s="4" t="str">
        <f t="shared" si="726"/>
        <v/>
      </c>
      <c r="U120" s="5" t="str">
        <f t="shared" si="727"/>
        <v/>
      </c>
      <c r="V120" s="8" t="str">
        <f t="shared" si="728"/>
        <v/>
      </c>
      <c r="W120" s="624" t="str">
        <f t="shared" si="651"/>
        <v/>
      </c>
      <c r="X120" s="5" t="str">
        <f t="shared" si="729"/>
        <v/>
      </c>
      <c r="Y120" s="7" t="str">
        <f t="shared" si="650"/>
        <v/>
      </c>
      <c r="Z120" s="21" t="str">
        <f t="shared" si="670"/>
        <v/>
      </c>
      <c r="AA120" s="5" t="str">
        <f t="shared" si="671"/>
        <v/>
      </c>
      <c r="AB120" s="5" t="str">
        <f t="shared" si="672"/>
        <v/>
      </c>
      <c r="AC120" s="8" t="str">
        <f t="shared" si="730"/>
        <v/>
      </c>
      <c r="AD120" s="9" t="str">
        <f t="shared" si="731"/>
        <v/>
      </c>
      <c r="AE120" s="5" t="str">
        <f t="shared" si="732"/>
        <v/>
      </c>
      <c r="AF120" s="10" t="str">
        <f t="shared" si="733"/>
        <v/>
      </c>
      <c r="AG120" s="622" t="str">
        <f t="shared" si="734"/>
        <v/>
      </c>
      <c r="AH120" s="623" t="str">
        <f t="shared" si="735"/>
        <v/>
      </c>
      <c r="AI120" s="624" t="str">
        <f t="shared" si="736"/>
        <v/>
      </c>
      <c r="AJ120" s="625" t="str">
        <f t="shared" si="737"/>
        <v/>
      </c>
      <c r="AK120" s="4" t="str">
        <f t="shared" si="738"/>
        <v/>
      </c>
      <c r="AL120" s="5" t="str">
        <f t="shared" si="739"/>
        <v/>
      </c>
      <c r="AM120" s="6" t="str">
        <f t="shared" si="740"/>
        <v/>
      </c>
      <c r="AN120" s="612" t="str">
        <f t="shared" si="741"/>
        <v/>
      </c>
      <c r="AO120" s="613" t="str">
        <f t="shared" ref="AO120:AO150" si="750">IF(ROUND(IF(M120="",0,DEGREES(ACOS(AK120))),4)=90,0,IF(M120="","",DEGREES(ACOS(AK120))))</f>
        <v/>
      </c>
      <c r="AP120" s="624" t="str">
        <f t="shared" si="742"/>
        <v/>
      </c>
      <c r="AQ120" s="625" t="str">
        <f t="shared" si="673"/>
        <v/>
      </c>
      <c r="AS120" s="56" t="str">
        <f t="shared" si="745"/>
        <v/>
      </c>
      <c r="AT120" s="78" t="str">
        <f t="shared" si="674"/>
        <v/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19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0"/>
        <v/>
      </c>
      <c r="IK120" s="839" t="str">
        <f t="shared" si="721"/>
        <v/>
      </c>
      <c r="IL120" s="791" t="str">
        <f t="shared" si="653"/>
        <v/>
      </c>
      <c r="IM120" s="830"/>
      <c r="IN120" s="5" t="str">
        <f t="shared" si="654"/>
        <v/>
      </c>
      <c r="IO120" s="852"/>
      <c r="IP120" s="9" t="str">
        <f t="shared" si="655"/>
        <v/>
      </c>
      <c r="IQ120" s="5" t="str">
        <f t="shared" si="656"/>
        <v/>
      </c>
      <c r="IR120" s="5" t="str">
        <f t="shared" si="722"/>
        <v/>
      </c>
      <c r="IS120" s="5" t="str">
        <f t="shared" si="657"/>
        <v/>
      </c>
      <c r="IT120" s="791" t="str">
        <f t="shared" si="658"/>
        <v/>
      </c>
      <c r="IU120" s="9" t="str">
        <f t="shared" si="659"/>
        <v/>
      </c>
      <c r="IV120" s="5" t="str">
        <f t="shared" si="660"/>
        <v/>
      </c>
      <c r="IW120" s="5" t="str">
        <f t="shared" si="723"/>
        <v/>
      </c>
      <c r="IX120" s="5" t="str">
        <f t="shared" si="661"/>
        <v/>
      </c>
      <c r="IY120" s="833" t="str">
        <f t="shared" si="662"/>
        <v/>
      </c>
    </row>
    <row r="121" spans="1:259" ht="15" customHeight="1" x14ac:dyDescent="0.25">
      <c r="A121" s="84">
        <f t="shared" si="526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527"/>
        <v/>
      </c>
      <c r="L121" s="327"/>
      <c r="M121" s="173" t="str">
        <f t="shared" si="666"/>
        <v/>
      </c>
      <c r="N121" s="21" t="str">
        <f t="shared" si="667"/>
        <v/>
      </c>
      <c r="O121" s="5" t="str">
        <f t="shared" si="668"/>
        <v/>
      </c>
      <c r="P121" s="10" t="str">
        <f t="shared" si="669"/>
        <v/>
      </c>
      <c r="Q121" s="624" t="str">
        <f t="shared" si="528"/>
        <v/>
      </c>
      <c r="R121" s="5" t="str">
        <f t="shared" si="724"/>
        <v/>
      </c>
      <c r="S121" s="6" t="str">
        <f t="shared" si="725"/>
        <v/>
      </c>
      <c r="T121" s="4" t="str">
        <f t="shared" si="726"/>
        <v/>
      </c>
      <c r="U121" s="5" t="str">
        <f t="shared" si="727"/>
        <v/>
      </c>
      <c r="V121" s="8" t="str">
        <f t="shared" si="728"/>
        <v/>
      </c>
      <c r="W121" s="624" t="str">
        <f t="shared" si="651"/>
        <v/>
      </c>
      <c r="X121" s="5" t="str">
        <f t="shared" si="729"/>
        <v/>
      </c>
      <c r="Y121" s="7" t="str">
        <f t="shared" si="650"/>
        <v/>
      </c>
      <c r="Z121" s="21" t="str">
        <f t="shared" si="670"/>
        <v/>
      </c>
      <c r="AA121" s="5" t="str">
        <f t="shared" si="671"/>
        <v/>
      </c>
      <c r="AB121" s="5" t="str">
        <f t="shared" si="672"/>
        <v/>
      </c>
      <c r="AC121" s="8" t="str">
        <f t="shared" si="730"/>
        <v/>
      </c>
      <c r="AD121" s="9" t="str">
        <f t="shared" si="731"/>
        <v/>
      </c>
      <c r="AE121" s="5" t="str">
        <f t="shared" si="732"/>
        <v/>
      </c>
      <c r="AF121" s="10" t="str">
        <f t="shared" si="733"/>
        <v/>
      </c>
      <c r="AG121" s="622" t="str">
        <f t="shared" si="734"/>
        <v/>
      </c>
      <c r="AH121" s="623" t="str">
        <f t="shared" si="735"/>
        <v/>
      </c>
      <c r="AI121" s="624" t="str">
        <f t="shared" si="736"/>
        <v/>
      </c>
      <c r="AJ121" s="625" t="str">
        <f t="shared" si="737"/>
        <v/>
      </c>
      <c r="AK121" s="4" t="str">
        <f t="shared" si="738"/>
        <v/>
      </c>
      <c r="AL121" s="5" t="str">
        <f t="shared" si="739"/>
        <v/>
      </c>
      <c r="AM121" s="6" t="str">
        <f t="shared" si="740"/>
        <v/>
      </c>
      <c r="AN121" s="612" t="str">
        <f t="shared" si="741"/>
        <v/>
      </c>
      <c r="AO121" s="613" t="str">
        <f t="shared" si="750"/>
        <v/>
      </c>
      <c r="AP121" s="624" t="str">
        <f t="shared" si="742"/>
        <v/>
      </c>
      <c r="AQ121" s="625" t="str">
        <f t="shared" si="673"/>
        <v/>
      </c>
      <c r="AS121" s="56" t="str">
        <f t="shared" si="745"/>
        <v/>
      </c>
      <c r="AT121" s="78" t="str">
        <f t="shared" si="674"/>
        <v/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19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0"/>
        <v/>
      </c>
      <c r="IK121" s="839" t="str">
        <f t="shared" si="721"/>
        <v/>
      </c>
      <c r="IL121" s="791" t="str">
        <f t="shared" si="653"/>
        <v/>
      </c>
      <c r="IM121" s="830"/>
      <c r="IN121" s="5" t="str">
        <f t="shared" si="654"/>
        <v/>
      </c>
      <c r="IO121" s="852"/>
      <c r="IP121" s="9" t="str">
        <f t="shared" si="655"/>
        <v/>
      </c>
      <c r="IQ121" s="5" t="str">
        <f t="shared" si="656"/>
        <v/>
      </c>
      <c r="IR121" s="5" t="str">
        <f t="shared" si="722"/>
        <v/>
      </c>
      <c r="IS121" s="5" t="str">
        <f t="shared" si="657"/>
        <v/>
      </c>
      <c r="IT121" s="791" t="str">
        <f t="shared" si="658"/>
        <v/>
      </c>
      <c r="IU121" s="9" t="str">
        <f t="shared" si="659"/>
        <v/>
      </c>
      <c r="IV121" s="5" t="str">
        <f t="shared" si="660"/>
        <v/>
      </c>
      <c r="IW121" s="5" t="str">
        <f t="shared" si="723"/>
        <v/>
      </c>
      <c r="IX121" s="5" t="str">
        <f t="shared" si="661"/>
        <v/>
      </c>
      <c r="IY121" s="833" t="str">
        <f t="shared" si="662"/>
        <v/>
      </c>
    </row>
    <row r="122" spans="1:259" ht="15" customHeight="1" x14ac:dyDescent="0.25">
      <c r="A122" s="84">
        <f t="shared" si="526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527"/>
        <v/>
      </c>
      <c r="L122" s="327"/>
      <c r="M122" s="173" t="str">
        <f t="shared" si="666"/>
        <v/>
      </c>
      <c r="N122" s="21" t="str">
        <f t="shared" si="667"/>
        <v/>
      </c>
      <c r="O122" s="5" t="str">
        <f t="shared" si="668"/>
        <v/>
      </c>
      <c r="P122" s="10" t="str">
        <f t="shared" si="669"/>
        <v/>
      </c>
      <c r="Q122" s="624" t="str">
        <f t="shared" si="528"/>
        <v/>
      </c>
      <c r="R122" s="5" t="str">
        <f t="shared" si="724"/>
        <v/>
      </c>
      <c r="S122" s="6" t="str">
        <f t="shared" si="725"/>
        <v/>
      </c>
      <c r="T122" s="4" t="str">
        <f t="shared" si="726"/>
        <v/>
      </c>
      <c r="U122" s="5" t="str">
        <f t="shared" si="727"/>
        <v/>
      </c>
      <c r="V122" s="8" t="str">
        <f t="shared" si="728"/>
        <v/>
      </c>
      <c r="W122" s="624" t="str">
        <f t="shared" si="651"/>
        <v/>
      </c>
      <c r="X122" s="5" t="str">
        <f t="shared" si="729"/>
        <v/>
      </c>
      <c r="Y122" s="7" t="str">
        <f t="shared" si="650"/>
        <v/>
      </c>
      <c r="Z122" s="21" t="str">
        <f t="shared" si="670"/>
        <v/>
      </c>
      <c r="AA122" s="5" t="str">
        <f t="shared" si="671"/>
        <v/>
      </c>
      <c r="AB122" s="5" t="str">
        <f t="shared" si="672"/>
        <v/>
      </c>
      <c r="AC122" s="8" t="str">
        <f t="shared" si="730"/>
        <v/>
      </c>
      <c r="AD122" s="9" t="str">
        <f t="shared" si="731"/>
        <v/>
      </c>
      <c r="AE122" s="5" t="str">
        <f t="shared" si="732"/>
        <v/>
      </c>
      <c r="AF122" s="10" t="str">
        <f t="shared" si="733"/>
        <v/>
      </c>
      <c r="AG122" s="622" t="str">
        <f t="shared" si="734"/>
        <v/>
      </c>
      <c r="AH122" s="623" t="str">
        <f t="shared" si="735"/>
        <v/>
      </c>
      <c r="AI122" s="624" t="str">
        <f t="shared" si="736"/>
        <v/>
      </c>
      <c r="AJ122" s="625" t="str">
        <f t="shared" si="737"/>
        <v/>
      </c>
      <c r="AK122" s="4" t="str">
        <f t="shared" si="738"/>
        <v/>
      </c>
      <c r="AL122" s="5" t="str">
        <f t="shared" si="739"/>
        <v/>
      </c>
      <c r="AM122" s="6" t="str">
        <f t="shared" si="740"/>
        <v/>
      </c>
      <c r="AN122" s="612" t="str">
        <f t="shared" si="741"/>
        <v/>
      </c>
      <c r="AO122" s="613" t="str">
        <f t="shared" si="750"/>
        <v/>
      </c>
      <c r="AP122" s="624" t="str">
        <f t="shared" si="742"/>
        <v/>
      </c>
      <c r="AQ122" s="625" t="str">
        <f t="shared" si="673"/>
        <v/>
      </c>
      <c r="AS122" s="56" t="str">
        <f t="shared" si="745"/>
        <v/>
      </c>
      <c r="AT122" s="78" t="str">
        <f t="shared" si="674"/>
        <v/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19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0"/>
        <v/>
      </c>
      <c r="IK122" s="839" t="str">
        <f t="shared" si="721"/>
        <v/>
      </c>
      <c r="IL122" s="791" t="str">
        <f t="shared" si="653"/>
        <v/>
      </c>
      <c r="IM122" s="830"/>
      <c r="IN122" s="5" t="str">
        <f t="shared" si="654"/>
        <v/>
      </c>
      <c r="IO122" s="852"/>
      <c r="IP122" s="9" t="str">
        <f t="shared" si="655"/>
        <v/>
      </c>
      <c r="IQ122" s="5" t="str">
        <f t="shared" si="656"/>
        <v/>
      </c>
      <c r="IR122" s="5" t="str">
        <f t="shared" si="722"/>
        <v/>
      </c>
      <c r="IS122" s="5" t="str">
        <f t="shared" si="657"/>
        <v/>
      </c>
      <c r="IT122" s="791" t="str">
        <f t="shared" si="658"/>
        <v/>
      </c>
      <c r="IU122" s="9" t="str">
        <f t="shared" si="659"/>
        <v/>
      </c>
      <c r="IV122" s="5" t="str">
        <f t="shared" si="660"/>
        <v/>
      </c>
      <c r="IW122" s="5" t="str">
        <f t="shared" si="723"/>
        <v/>
      </c>
      <c r="IX122" s="5" t="str">
        <f t="shared" si="661"/>
        <v/>
      </c>
      <c r="IY122" s="833" t="str">
        <f t="shared" si="662"/>
        <v/>
      </c>
    </row>
    <row r="123" spans="1:259" ht="15" customHeight="1" x14ac:dyDescent="0.25">
      <c r="A123" s="84">
        <f t="shared" si="526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527"/>
        <v/>
      </c>
      <c r="L123" s="327"/>
      <c r="M123" s="173" t="str">
        <f t="shared" si="666"/>
        <v/>
      </c>
      <c r="N123" s="21" t="str">
        <f t="shared" si="667"/>
        <v/>
      </c>
      <c r="O123" s="5" t="str">
        <f t="shared" si="668"/>
        <v/>
      </c>
      <c r="P123" s="10" t="str">
        <f t="shared" si="669"/>
        <v/>
      </c>
      <c r="Q123" s="624" t="str">
        <f t="shared" si="528"/>
        <v/>
      </c>
      <c r="R123" s="5" t="str">
        <f t="shared" si="724"/>
        <v/>
      </c>
      <c r="S123" s="6" t="str">
        <f t="shared" si="725"/>
        <v/>
      </c>
      <c r="T123" s="4" t="str">
        <f t="shared" si="726"/>
        <v/>
      </c>
      <c r="U123" s="5" t="str">
        <f t="shared" si="727"/>
        <v/>
      </c>
      <c r="V123" s="8" t="str">
        <f t="shared" si="728"/>
        <v/>
      </c>
      <c r="W123" s="624" t="str">
        <f t="shared" si="651"/>
        <v/>
      </c>
      <c r="X123" s="5" t="str">
        <f t="shared" si="729"/>
        <v/>
      </c>
      <c r="Y123" s="7" t="str">
        <f t="shared" si="650"/>
        <v/>
      </c>
      <c r="Z123" s="21" t="str">
        <f t="shared" si="670"/>
        <v/>
      </c>
      <c r="AA123" s="5" t="str">
        <f t="shared" si="671"/>
        <v/>
      </c>
      <c r="AB123" s="5" t="str">
        <f t="shared" si="672"/>
        <v/>
      </c>
      <c r="AC123" s="8" t="str">
        <f t="shared" si="730"/>
        <v/>
      </c>
      <c r="AD123" s="9" t="str">
        <f t="shared" si="731"/>
        <v/>
      </c>
      <c r="AE123" s="5" t="str">
        <f t="shared" si="732"/>
        <v/>
      </c>
      <c r="AF123" s="10" t="str">
        <f t="shared" si="733"/>
        <v/>
      </c>
      <c r="AG123" s="622" t="str">
        <f t="shared" si="734"/>
        <v/>
      </c>
      <c r="AH123" s="623" t="str">
        <f t="shared" si="735"/>
        <v/>
      </c>
      <c r="AI123" s="624" t="str">
        <f t="shared" si="736"/>
        <v/>
      </c>
      <c r="AJ123" s="625" t="str">
        <f t="shared" si="737"/>
        <v/>
      </c>
      <c r="AK123" s="4" t="str">
        <f t="shared" si="738"/>
        <v/>
      </c>
      <c r="AL123" s="5" t="str">
        <f t="shared" si="739"/>
        <v/>
      </c>
      <c r="AM123" s="6" t="str">
        <f t="shared" si="740"/>
        <v/>
      </c>
      <c r="AN123" s="612" t="str">
        <f t="shared" si="741"/>
        <v/>
      </c>
      <c r="AO123" s="613" t="str">
        <f t="shared" si="750"/>
        <v/>
      </c>
      <c r="AP123" s="624" t="str">
        <f t="shared" si="742"/>
        <v/>
      </c>
      <c r="AQ123" s="625" t="str">
        <f t="shared" si="673"/>
        <v/>
      </c>
      <c r="AS123" s="56" t="str">
        <f t="shared" si="745"/>
        <v/>
      </c>
      <c r="AT123" s="78" t="str">
        <f t="shared" si="674"/>
        <v/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19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0"/>
        <v/>
      </c>
      <c r="IK123" s="839" t="str">
        <f t="shared" si="721"/>
        <v/>
      </c>
      <c r="IL123" s="791" t="str">
        <f t="shared" si="653"/>
        <v/>
      </c>
      <c r="IM123" s="830"/>
      <c r="IN123" s="5" t="str">
        <f t="shared" si="654"/>
        <v/>
      </c>
      <c r="IO123" s="852"/>
      <c r="IP123" s="9" t="str">
        <f t="shared" si="655"/>
        <v/>
      </c>
      <c r="IQ123" s="5" t="str">
        <f t="shared" si="656"/>
        <v/>
      </c>
      <c r="IR123" s="5" t="str">
        <f t="shared" si="722"/>
        <v/>
      </c>
      <c r="IS123" s="5" t="str">
        <f t="shared" si="657"/>
        <v/>
      </c>
      <c r="IT123" s="791" t="str">
        <f t="shared" si="658"/>
        <v/>
      </c>
      <c r="IU123" s="9" t="str">
        <f t="shared" si="659"/>
        <v/>
      </c>
      <c r="IV123" s="5" t="str">
        <f t="shared" si="660"/>
        <v/>
      </c>
      <c r="IW123" s="5" t="str">
        <f t="shared" si="723"/>
        <v/>
      </c>
      <c r="IX123" s="5" t="str">
        <f t="shared" si="661"/>
        <v/>
      </c>
      <c r="IY123" s="833" t="str">
        <f t="shared" si="662"/>
        <v/>
      </c>
    </row>
    <row r="124" spans="1:259" ht="15" customHeight="1" x14ac:dyDescent="0.25">
      <c r="A124" s="84">
        <f t="shared" si="526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527"/>
        <v/>
      </c>
      <c r="L124" s="327"/>
      <c r="M124" s="173" t="str">
        <f t="shared" si="666"/>
        <v/>
      </c>
      <c r="N124" s="21" t="str">
        <f t="shared" si="667"/>
        <v/>
      </c>
      <c r="O124" s="5" t="str">
        <f t="shared" si="668"/>
        <v/>
      </c>
      <c r="P124" s="10" t="str">
        <f t="shared" si="669"/>
        <v/>
      </c>
      <c r="Q124" s="624" t="str">
        <f t="shared" si="528"/>
        <v/>
      </c>
      <c r="R124" s="5" t="str">
        <f t="shared" si="724"/>
        <v/>
      </c>
      <c r="S124" s="6" t="str">
        <f t="shared" si="725"/>
        <v/>
      </c>
      <c r="T124" s="4" t="str">
        <f t="shared" si="726"/>
        <v/>
      </c>
      <c r="U124" s="5" t="str">
        <f t="shared" si="727"/>
        <v/>
      </c>
      <c r="V124" s="8" t="str">
        <f t="shared" si="728"/>
        <v/>
      </c>
      <c r="W124" s="624" t="str">
        <f t="shared" si="651"/>
        <v/>
      </c>
      <c r="X124" s="5" t="str">
        <f t="shared" si="729"/>
        <v/>
      </c>
      <c r="Y124" s="7" t="str">
        <f t="shared" si="650"/>
        <v/>
      </c>
      <c r="Z124" s="21" t="str">
        <f t="shared" si="670"/>
        <v/>
      </c>
      <c r="AA124" s="5" t="str">
        <f t="shared" si="671"/>
        <v/>
      </c>
      <c r="AB124" s="5" t="str">
        <f t="shared" si="672"/>
        <v/>
      </c>
      <c r="AC124" s="8" t="str">
        <f t="shared" si="730"/>
        <v/>
      </c>
      <c r="AD124" s="9" t="str">
        <f t="shared" si="731"/>
        <v/>
      </c>
      <c r="AE124" s="5" t="str">
        <f t="shared" si="732"/>
        <v/>
      </c>
      <c r="AF124" s="10" t="str">
        <f t="shared" si="733"/>
        <v/>
      </c>
      <c r="AG124" s="622" t="str">
        <f t="shared" si="734"/>
        <v/>
      </c>
      <c r="AH124" s="623" t="str">
        <f t="shared" si="735"/>
        <v/>
      </c>
      <c r="AI124" s="624" t="str">
        <f t="shared" si="736"/>
        <v/>
      </c>
      <c r="AJ124" s="625" t="str">
        <f t="shared" si="737"/>
        <v/>
      </c>
      <c r="AK124" s="4" t="str">
        <f t="shared" si="738"/>
        <v/>
      </c>
      <c r="AL124" s="5" t="str">
        <f t="shared" si="739"/>
        <v/>
      </c>
      <c r="AM124" s="6" t="str">
        <f t="shared" si="740"/>
        <v/>
      </c>
      <c r="AN124" s="612" t="str">
        <f t="shared" si="741"/>
        <v/>
      </c>
      <c r="AO124" s="613" t="str">
        <f t="shared" si="750"/>
        <v/>
      </c>
      <c r="AP124" s="624" t="str">
        <f t="shared" si="742"/>
        <v/>
      </c>
      <c r="AQ124" s="625" t="str">
        <f t="shared" si="673"/>
        <v/>
      </c>
      <c r="AS124" s="56" t="str">
        <f t="shared" si="745"/>
        <v/>
      </c>
      <c r="AT124" s="78" t="str">
        <f t="shared" si="674"/>
        <v/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19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0"/>
        <v/>
      </c>
      <c r="IK124" s="839" t="str">
        <f t="shared" si="721"/>
        <v/>
      </c>
      <c r="IL124" s="791" t="str">
        <f t="shared" si="653"/>
        <v/>
      </c>
      <c r="IM124" s="830"/>
      <c r="IN124" s="5" t="str">
        <f t="shared" si="654"/>
        <v/>
      </c>
      <c r="IO124" s="852"/>
      <c r="IP124" s="9" t="str">
        <f t="shared" si="655"/>
        <v/>
      </c>
      <c r="IQ124" s="5" t="str">
        <f t="shared" si="656"/>
        <v/>
      </c>
      <c r="IR124" s="5" t="str">
        <f t="shared" si="722"/>
        <v/>
      </c>
      <c r="IS124" s="5" t="str">
        <f t="shared" si="657"/>
        <v/>
      </c>
      <c r="IT124" s="791" t="str">
        <f t="shared" si="658"/>
        <v/>
      </c>
      <c r="IU124" s="9" t="str">
        <f t="shared" si="659"/>
        <v/>
      </c>
      <c r="IV124" s="5" t="str">
        <f t="shared" si="660"/>
        <v/>
      </c>
      <c r="IW124" s="5" t="str">
        <f t="shared" si="723"/>
        <v/>
      </c>
      <c r="IX124" s="5" t="str">
        <f t="shared" si="661"/>
        <v/>
      </c>
      <c r="IY124" s="833" t="str">
        <f t="shared" si="662"/>
        <v/>
      </c>
    </row>
    <row r="125" spans="1:259" ht="15" customHeight="1" x14ac:dyDescent="0.25">
      <c r="A125" s="84">
        <f t="shared" si="526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527"/>
        <v/>
      </c>
      <c r="L125" s="327"/>
      <c r="M125" s="173" t="str">
        <f t="shared" si="666"/>
        <v/>
      </c>
      <c r="N125" s="21" t="str">
        <f t="shared" si="667"/>
        <v/>
      </c>
      <c r="O125" s="5" t="str">
        <f t="shared" si="668"/>
        <v/>
      </c>
      <c r="P125" s="10" t="str">
        <f t="shared" si="669"/>
        <v/>
      </c>
      <c r="Q125" s="624" t="str">
        <f t="shared" si="528"/>
        <v/>
      </c>
      <c r="R125" s="5" t="str">
        <f t="shared" si="724"/>
        <v/>
      </c>
      <c r="S125" s="6" t="str">
        <f t="shared" si="725"/>
        <v/>
      </c>
      <c r="T125" s="4" t="str">
        <f t="shared" si="726"/>
        <v/>
      </c>
      <c r="U125" s="5" t="str">
        <f t="shared" si="727"/>
        <v/>
      </c>
      <c r="V125" s="8" t="str">
        <f t="shared" si="728"/>
        <v/>
      </c>
      <c r="W125" s="624" t="str">
        <f t="shared" si="651"/>
        <v/>
      </c>
      <c r="X125" s="5" t="str">
        <f t="shared" si="729"/>
        <v/>
      </c>
      <c r="Y125" s="7" t="str">
        <f t="shared" si="650"/>
        <v/>
      </c>
      <c r="Z125" s="21" t="str">
        <f t="shared" si="670"/>
        <v/>
      </c>
      <c r="AA125" s="5" t="str">
        <f t="shared" si="671"/>
        <v/>
      </c>
      <c r="AB125" s="5" t="str">
        <f t="shared" si="672"/>
        <v/>
      </c>
      <c r="AC125" s="8" t="str">
        <f t="shared" si="730"/>
        <v/>
      </c>
      <c r="AD125" s="9" t="str">
        <f t="shared" si="731"/>
        <v/>
      </c>
      <c r="AE125" s="5" t="str">
        <f t="shared" si="732"/>
        <v/>
      </c>
      <c r="AF125" s="10" t="str">
        <f t="shared" si="733"/>
        <v/>
      </c>
      <c r="AG125" s="622" t="str">
        <f t="shared" si="734"/>
        <v/>
      </c>
      <c r="AH125" s="623" t="str">
        <f t="shared" si="735"/>
        <v/>
      </c>
      <c r="AI125" s="624" t="str">
        <f t="shared" si="736"/>
        <v/>
      </c>
      <c r="AJ125" s="625" t="str">
        <f t="shared" si="737"/>
        <v/>
      </c>
      <c r="AK125" s="4" t="str">
        <f t="shared" si="738"/>
        <v/>
      </c>
      <c r="AL125" s="5" t="str">
        <f t="shared" si="739"/>
        <v/>
      </c>
      <c r="AM125" s="6" t="str">
        <f t="shared" si="740"/>
        <v/>
      </c>
      <c r="AN125" s="612" t="str">
        <f t="shared" si="741"/>
        <v/>
      </c>
      <c r="AO125" s="613" t="str">
        <f t="shared" si="750"/>
        <v/>
      </c>
      <c r="AP125" s="624" t="str">
        <f t="shared" si="742"/>
        <v/>
      </c>
      <c r="AQ125" s="625" t="str">
        <f t="shared" si="673"/>
        <v/>
      </c>
      <c r="AS125" s="56" t="str">
        <f t="shared" si="745"/>
        <v/>
      </c>
      <c r="AT125" s="78" t="str">
        <f t="shared" si="674"/>
        <v/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19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0"/>
        <v/>
      </c>
      <c r="IK125" s="839" t="str">
        <f t="shared" si="721"/>
        <v/>
      </c>
      <c r="IL125" s="791" t="str">
        <f t="shared" si="653"/>
        <v/>
      </c>
      <c r="IM125" s="830"/>
      <c r="IN125" s="5" t="str">
        <f t="shared" si="654"/>
        <v/>
      </c>
      <c r="IO125" s="852"/>
      <c r="IP125" s="9" t="str">
        <f t="shared" si="655"/>
        <v/>
      </c>
      <c r="IQ125" s="5" t="str">
        <f t="shared" si="656"/>
        <v/>
      </c>
      <c r="IR125" s="5" t="str">
        <f t="shared" si="722"/>
        <v/>
      </c>
      <c r="IS125" s="5" t="str">
        <f t="shared" si="657"/>
        <v/>
      </c>
      <c r="IT125" s="791" t="str">
        <f t="shared" si="658"/>
        <v/>
      </c>
      <c r="IU125" s="9" t="str">
        <f t="shared" si="659"/>
        <v/>
      </c>
      <c r="IV125" s="5" t="str">
        <f t="shared" si="660"/>
        <v/>
      </c>
      <c r="IW125" s="5" t="str">
        <f t="shared" si="723"/>
        <v/>
      </c>
      <c r="IX125" s="5" t="str">
        <f t="shared" si="661"/>
        <v/>
      </c>
      <c r="IY125" s="833" t="str">
        <f t="shared" si="662"/>
        <v/>
      </c>
    </row>
    <row r="126" spans="1:259" ht="15" customHeight="1" x14ac:dyDescent="0.25">
      <c r="A126" s="84">
        <f t="shared" si="526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527"/>
        <v/>
      </c>
      <c r="L126" s="327"/>
      <c r="M126" s="173" t="str">
        <f t="shared" si="666"/>
        <v/>
      </c>
      <c r="N126" s="21" t="str">
        <f t="shared" si="667"/>
        <v/>
      </c>
      <c r="O126" s="5" t="str">
        <f t="shared" si="668"/>
        <v/>
      </c>
      <c r="P126" s="10" t="str">
        <f t="shared" si="669"/>
        <v/>
      </c>
      <c r="Q126" s="624" t="str">
        <f t="shared" si="528"/>
        <v/>
      </c>
      <c r="R126" s="5" t="str">
        <f t="shared" si="724"/>
        <v/>
      </c>
      <c r="S126" s="6" t="str">
        <f t="shared" si="725"/>
        <v/>
      </c>
      <c r="T126" s="4" t="str">
        <f t="shared" si="726"/>
        <v/>
      </c>
      <c r="U126" s="5" t="str">
        <f t="shared" si="727"/>
        <v/>
      </c>
      <c r="V126" s="8" t="str">
        <f t="shared" si="728"/>
        <v/>
      </c>
      <c r="W126" s="624" t="str">
        <f t="shared" si="651"/>
        <v/>
      </c>
      <c r="X126" s="5" t="str">
        <f t="shared" si="729"/>
        <v/>
      </c>
      <c r="Y126" s="7" t="str">
        <f t="shared" si="650"/>
        <v/>
      </c>
      <c r="Z126" s="21" t="str">
        <f t="shared" si="670"/>
        <v/>
      </c>
      <c r="AA126" s="5" t="str">
        <f t="shared" si="671"/>
        <v/>
      </c>
      <c r="AB126" s="5" t="str">
        <f t="shared" si="672"/>
        <v/>
      </c>
      <c r="AC126" s="8" t="str">
        <f t="shared" si="730"/>
        <v/>
      </c>
      <c r="AD126" s="9" t="str">
        <f t="shared" si="731"/>
        <v/>
      </c>
      <c r="AE126" s="5" t="str">
        <f t="shared" si="732"/>
        <v/>
      </c>
      <c r="AF126" s="10" t="str">
        <f t="shared" si="733"/>
        <v/>
      </c>
      <c r="AG126" s="622" t="str">
        <f t="shared" si="734"/>
        <v/>
      </c>
      <c r="AH126" s="623" t="str">
        <f t="shared" si="735"/>
        <v/>
      </c>
      <c r="AI126" s="624" t="str">
        <f t="shared" si="736"/>
        <v/>
      </c>
      <c r="AJ126" s="625" t="str">
        <f t="shared" si="737"/>
        <v/>
      </c>
      <c r="AK126" s="4" t="str">
        <f t="shared" si="738"/>
        <v/>
      </c>
      <c r="AL126" s="5" t="str">
        <f t="shared" si="739"/>
        <v/>
      </c>
      <c r="AM126" s="6" t="str">
        <f t="shared" si="740"/>
        <v/>
      </c>
      <c r="AN126" s="612" t="str">
        <f t="shared" si="741"/>
        <v/>
      </c>
      <c r="AO126" s="613" t="str">
        <f t="shared" si="750"/>
        <v/>
      </c>
      <c r="AP126" s="624" t="str">
        <f t="shared" si="742"/>
        <v/>
      </c>
      <c r="AQ126" s="625" t="str">
        <f t="shared" si="673"/>
        <v/>
      </c>
      <c r="AS126" s="56" t="str">
        <f t="shared" si="745"/>
        <v/>
      </c>
      <c r="AT126" s="78" t="str">
        <f t="shared" si="674"/>
        <v/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19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0"/>
        <v/>
      </c>
      <c r="IK126" s="839" t="str">
        <f t="shared" si="721"/>
        <v/>
      </c>
      <c r="IL126" s="791" t="str">
        <f t="shared" si="653"/>
        <v/>
      </c>
      <c r="IM126" s="830"/>
      <c r="IN126" s="5" t="str">
        <f t="shared" si="654"/>
        <v/>
      </c>
      <c r="IO126" s="852"/>
      <c r="IP126" s="9" t="str">
        <f t="shared" si="655"/>
        <v/>
      </c>
      <c r="IQ126" s="5" t="str">
        <f t="shared" si="656"/>
        <v/>
      </c>
      <c r="IR126" s="5" t="str">
        <f t="shared" si="722"/>
        <v/>
      </c>
      <c r="IS126" s="5" t="str">
        <f t="shared" si="657"/>
        <v/>
      </c>
      <c r="IT126" s="791" t="str">
        <f t="shared" si="658"/>
        <v/>
      </c>
      <c r="IU126" s="9" t="str">
        <f t="shared" si="659"/>
        <v/>
      </c>
      <c r="IV126" s="5" t="str">
        <f t="shared" si="660"/>
        <v/>
      </c>
      <c r="IW126" s="5" t="str">
        <f t="shared" si="723"/>
        <v/>
      </c>
      <c r="IX126" s="5" t="str">
        <f t="shared" si="661"/>
        <v/>
      </c>
      <c r="IY126" s="833" t="str">
        <f t="shared" si="662"/>
        <v/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0.96592583607220739</v>
      </c>
      <c r="F154" s="175">
        <f>F9*-1</f>
        <v>2.2557559682354424E-2</v>
      </c>
      <c r="G154" s="175">
        <f>G9*-1</f>
        <v>-0.25783412440827963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39">E10*-1</f>
        <v>0.96592583607220739</v>
      </c>
      <c r="F155" s="175">
        <f t="shared" si="939"/>
        <v>2.2557559682354424E-2</v>
      </c>
      <c r="G155" s="175">
        <f t="shared" si="939"/>
        <v>-0.25783412440827963</v>
      </c>
      <c r="H155" s="144"/>
      <c r="I155" s="91"/>
      <c r="J155" s="84">
        <f t="shared" ref="J155:J218" si="940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0.96592583607220739</v>
      </c>
      <c r="F156" s="175">
        <f t="shared" si="941"/>
        <v>2.2557559682354407E-2</v>
      </c>
      <c r="G156" s="175">
        <f t="shared" si="941"/>
        <v>-0.25783412440827963</v>
      </c>
      <c r="H156" s="144"/>
      <c r="I156" s="91"/>
      <c r="J156" s="84">
        <f t="shared" si="940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0.96584562048657119</v>
      </c>
      <c r="F157" s="175">
        <f t="shared" si="942"/>
        <v>8.8362234726935083E-3</v>
      </c>
      <c r="G157" s="175">
        <f t="shared" si="942"/>
        <v>-0.258967485491231</v>
      </c>
      <c r="H157" s="144"/>
      <c r="I157" s="91"/>
      <c r="J157" s="84">
        <f t="shared" si="940"/>
        <v>1.1100000000000001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0.96307745540324263</v>
      </c>
      <c r="F158" s="175">
        <f t="shared" si="945"/>
        <v>-0.11549026541758782</v>
      </c>
      <c r="G158" s="175">
        <f t="shared" si="945"/>
        <v>-0.24319501123129628</v>
      </c>
      <c r="H158" s="144"/>
      <c r="I158" s="91"/>
      <c r="J158" s="84">
        <f t="shared" si="940"/>
        <v>1.1160000000000001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0.94449302702146609</v>
      </c>
      <c r="F159" s="175">
        <f t="shared" si="946"/>
        <v>-0.26389416185295367</v>
      </c>
      <c r="G159" s="175">
        <f t="shared" si="946"/>
        <v>-0.19568544464971172</v>
      </c>
      <c r="H159" s="144"/>
      <c r="I159" s="91"/>
      <c r="J159" s="84">
        <f t="shared" si="940"/>
        <v>1.1220000000000001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0.84217022615222226</v>
      </c>
      <c r="F160" s="175">
        <f t="shared" si="947"/>
        <v>-0.53921174892865809</v>
      </c>
      <c r="G160" s="175">
        <f t="shared" si="947"/>
        <v>-1.133974335509097E-7</v>
      </c>
      <c r="H160" s="144"/>
      <c r="I160" s="91"/>
      <c r="J160" s="84">
        <f t="shared" si="940"/>
        <v>1.1339999999999999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0.84217022615222226</v>
      </c>
      <c r="F161" s="175">
        <f t="shared" si="948"/>
        <v>-0.53921174892865809</v>
      </c>
      <c r="G161" s="175">
        <f t="shared" si="948"/>
        <v>-1.1339743351532766E-7</v>
      </c>
      <c r="H161" s="144"/>
      <c r="I161" s="91"/>
      <c r="J161" s="84">
        <f t="shared" si="940"/>
        <v>1.1399999999999999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6.0269482204187798E-2</v>
      </c>
      <c r="F162" s="175">
        <f t="shared" si="949"/>
        <v>6.2958008393439818E-2</v>
      </c>
      <c r="G162" s="175">
        <f t="shared" si="949"/>
        <v>-0.99619469918985748</v>
      </c>
      <c r="H162" s="144"/>
      <c r="I162" s="91"/>
      <c r="J162" s="84">
        <f t="shared" si="940"/>
        <v>1.206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4.1078413538944453E-2</v>
      </c>
      <c r="F163" s="175">
        <f t="shared" si="950"/>
        <v>7.6867972831035677E-2</v>
      </c>
      <c r="G163" s="175">
        <f t="shared" si="950"/>
        <v>-0.99619469918985748</v>
      </c>
      <c r="H163" s="144"/>
      <c r="I163" s="91"/>
      <c r="J163" s="84">
        <f t="shared" si="940"/>
        <v>1.2090000000000001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0.92365688193061923</v>
      </c>
      <c r="F164" s="175">
        <f t="shared" si="951"/>
        <v>-0.37046552789895126</v>
      </c>
      <c r="G164" s="175">
        <f t="shared" si="951"/>
        <v>-9.804721873035338E-2</v>
      </c>
      <c r="H164" s="144"/>
      <c r="I164" s="91"/>
      <c r="J164" s="84">
        <f t="shared" si="940"/>
        <v>1.228</v>
      </c>
    </row>
    <row r="165" spans="5:16" x14ac:dyDescent="0.25">
      <c r="E165" s="175">
        <f t="shared" ref="E165:G165" si="952">E20*-1</f>
        <v>0.32455791245177645</v>
      </c>
      <c r="F165" s="175">
        <f t="shared" si="952"/>
        <v>-0.91219194006957782</v>
      </c>
      <c r="G165" s="175">
        <f t="shared" si="952"/>
        <v>-0.25013601487399795</v>
      </c>
      <c r="H165" s="144"/>
      <c r="I165" s="91"/>
      <c r="J165" s="84">
        <f t="shared" si="940"/>
        <v>2.1150000000000002</v>
      </c>
    </row>
    <row r="166" spans="5:16" x14ac:dyDescent="0.25">
      <c r="E166" s="175">
        <f t="shared" ref="E166:G166" si="953">E21*-1</f>
        <v>0.18828527253284369</v>
      </c>
      <c r="F166" s="175">
        <f t="shared" si="953"/>
        <v>-0.96194291460987869</v>
      </c>
      <c r="G166" s="175">
        <f t="shared" si="953"/>
        <v>-0.19802647595481895</v>
      </c>
      <c r="H166" s="144"/>
      <c r="I166" s="91"/>
      <c r="J166" s="84">
        <f t="shared" si="940"/>
        <v>2.121</v>
      </c>
    </row>
    <row r="167" spans="5:16" x14ac:dyDescent="0.25">
      <c r="E167" s="175">
        <f t="shared" ref="E167:G167" si="954">E22*-1</f>
        <v>7.7427095101043508E-2</v>
      </c>
      <c r="F167" s="175">
        <f t="shared" si="954"/>
        <v>-0.99097969874337732</v>
      </c>
      <c r="G167" s="175">
        <f t="shared" si="954"/>
        <v>-0.10938135866178975</v>
      </c>
      <c r="H167" s="144"/>
      <c r="I167" s="91"/>
      <c r="J167" s="84">
        <f t="shared" si="940"/>
        <v>2.1269999999999998</v>
      </c>
    </row>
    <row r="168" spans="5:16" x14ac:dyDescent="0.25">
      <c r="E168" s="175">
        <f t="shared" ref="E168:G168" si="955">E23*-1</f>
        <v>2.0127948877718106E-2</v>
      </c>
      <c r="F168" s="175">
        <f t="shared" si="955"/>
        <v>-0.99978029119841494</v>
      </c>
      <c r="G168" s="175">
        <f t="shared" si="955"/>
        <v>5.8510687219252436E-3</v>
      </c>
      <c r="H168" s="144"/>
      <c r="I168" s="91"/>
      <c r="J168" s="84">
        <f t="shared" si="940"/>
        <v>2.133</v>
      </c>
    </row>
    <row r="169" spans="5:16" x14ac:dyDescent="0.25">
      <c r="E169" s="175">
        <f t="shared" ref="E169:G169" si="956">E24*-1</f>
        <v>-0.13277602665091337</v>
      </c>
      <c r="F169" s="175">
        <f t="shared" si="956"/>
        <v>-0.99114606731136412</v>
      </c>
      <c r="G169" s="175">
        <f t="shared" si="956"/>
        <v>-1.133974334784796E-7</v>
      </c>
      <c r="H169" s="144"/>
      <c r="I169" s="91"/>
      <c r="J169" s="84">
        <f t="shared" si="940"/>
        <v>2.1389999999999998</v>
      </c>
    </row>
    <row r="170" spans="5:16" x14ac:dyDescent="0.25">
      <c r="E170" s="175">
        <f t="shared" ref="E170:G170" si="957">E25*-1</f>
        <v>-0.46342801103865056</v>
      </c>
      <c r="F170" s="175">
        <f t="shared" si="957"/>
        <v>-0.84779481177663285</v>
      </c>
      <c r="G170" s="175">
        <f t="shared" si="957"/>
        <v>-0.25783412440827963</v>
      </c>
      <c r="H170" s="144"/>
      <c r="I170" s="91"/>
      <c r="J170" s="84">
        <f t="shared" si="940"/>
        <v>3.1030000000000002</v>
      </c>
    </row>
    <row r="171" spans="5:16" x14ac:dyDescent="0.25">
      <c r="E171" s="175">
        <f t="shared" ref="E171:G171" si="958">E26*-1</f>
        <v>-0.46342801103865056</v>
      </c>
      <c r="F171" s="175">
        <f t="shared" si="958"/>
        <v>-0.84779481177663285</v>
      </c>
      <c r="G171" s="175">
        <f t="shared" si="958"/>
        <v>-0.25783412440827974</v>
      </c>
      <c r="H171" s="144"/>
      <c r="I171" s="91"/>
      <c r="J171" s="84">
        <f t="shared" si="940"/>
        <v>3.1059999999999999</v>
      </c>
    </row>
    <row r="172" spans="5:16" x14ac:dyDescent="0.25">
      <c r="E172" s="175">
        <f t="shared" ref="E172:G172" si="959">E27*-1</f>
        <v>-0.46342801103865061</v>
      </c>
      <c r="F172" s="175">
        <f t="shared" si="959"/>
        <v>-0.84779481177663274</v>
      </c>
      <c r="G172" s="175">
        <f t="shared" si="959"/>
        <v>-0.25783412440827963</v>
      </c>
      <c r="H172" s="144"/>
      <c r="I172" s="91"/>
      <c r="J172" s="84">
        <f t="shared" si="940"/>
        <v>3.109</v>
      </c>
    </row>
    <row r="173" spans="5:16" x14ac:dyDescent="0.25">
      <c r="E173" s="175">
        <f t="shared" ref="E173:G173" si="960">E28*-1</f>
        <v>-0.53997002698976448</v>
      </c>
      <c r="F173" s="175">
        <f t="shared" si="960"/>
        <v>-0.80202699698372171</v>
      </c>
      <c r="G173" s="175">
        <f t="shared" si="960"/>
        <v>-0.25531366211377399</v>
      </c>
      <c r="H173" s="144"/>
      <c r="I173" s="91"/>
      <c r="J173" s="84">
        <f t="shared" si="940"/>
        <v>3.1139999999999999</v>
      </c>
    </row>
    <row r="174" spans="5:16" x14ac:dyDescent="0.25">
      <c r="E174" s="175">
        <f t="shared" ref="E174:G174" si="961">E29*-1</f>
        <v>-0.66281214330391236</v>
      </c>
      <c r="F174" s="175">
        <f t="shared" si="961"/>
        <v>-0.71777261849973073</v>
      </c>
      <c r="G174" s="175">
        <f t="shared" si="961"/>
        <v>-0.21326633775848003</v>
      </c>
      <c r="H174" s="144"/>
      <c r="I174" s="91"/>
      <c r="J174" s="84">
        <f t="shared" si="940"/>
        <v>3.12</v>
      </c>
    </row>
    <row r="175" spans="5:16" x14ac:dyDescent="0.25">
      <c r="E175" s="175">
        <f t="shared" ref="E175:G175" si="962">E30*-1</f>
        <v>-0.75831689404369462</v>
      </c>
      <c r="F175" s="175">
        <f t="shared" si="962"/>
        <v>-0.6386662150037572</v>
      </c>
      <c r="G175" s="175">
        <f t="shared" si="962"/>
        <v>-0.13061758695022216</v>
      </c>
      <c r="H175" s="144"/>
      <c r="I175" s="91"/>
      <c r="J175" s="84">
        <f t="shared" si="940"/>
        <v>3.1259999999999999</v>
      </c>
    </row>
    <row r="176" spans="5:16" x14ac:dyDescent="0.25">
      <c r="E176" s="175">
        <f t="shared" ref="E176:G176" si="963">E31*-1</f>
        <v>-0.80715743305405152</v>
      </c>
      <c r="F176" s="175">
        <f t="shared" si="963"/>
        <v>-0.59011055434154058</v>
      </c>
      <c r="G176" s="175">
        <f t="shared" si="963"/>
        <v>-1.6322129772613242E-2</v>
      </c>
      <c r="H176" s="144"/>
      <c r="I176" s="91"/>
      <c r="J176" s="84">
        <f t="shared" si="940"/>
        <v>3.1320000000000001</v>
      </c>
    </row>
    <row r="177" spans="5:10" x14ac:dyDescent="0.25">
      <c r="E177" s="175">
        <f t="shared" ref="E177:G177" si="964">E32*-1</f>
        <v>-0.88805646370863567</v>
      </c>
      <c r="F177" s="175">
        <f t="shared" si="964"/>
        <v>-0.45973439861000159</v>
      </c>
      <c r="G177" s="175">
        <f t="shared" si="964"/>
        <v>-1.1339743392783211E-7</v>
      </c>
      <c r="H177" s="144"/>
      <c r="I177" s="91"/>
      <c r="J177" s="84">
        <f t="shared" si="940"/>
        <v>3.1379999999999999</v>
      </c>
    </row>
    <row r="178" spans="5:10" x14ac:dyDescent="0.25">
      <c r="E178" s="175">
        <f t="shared" ref="E178:G178" si="965">E33*-1</f>
        <v>7.5958559915795896E-3</v>
      </c>
      <c r="F178" s="175">
        <f t="shared" si="965"/>
        <v>-8.6824099637050942E-2</v>
      </c>
      <c r="G178" s="175">
        <f t="shared" si="965"/>
        <v>-0.99619469918985748</v>
      </c>
      <c r="H178" s="144"/>
      <c r="I178" s="91"/>
      <c r="J178" s="84">
        <f t="shared" si="940"/>
        <v>3.2050000000000001</v>
      </c>
    </row>
    <row r="179" spans="5:10" x14ac:dyDescent="0.25">
      <c r="E179" s="175">
        <f t="shared" ref="E179:G179" si="966">E34*-1</f>
        <v>4.1158452269612136E-2</v>
      </c>
      <c r="F179" s="175">
        <f t="shared" si="966"/>
        <v>-7.6825146357162422E-2</v>
      </c>
      <c r="G179" s="175">
        <f t="shared" si="966"/>
        <v>-0.99619469918985748</v>
      </c>
      <c r="H179" s="144"/>
      <c r="I179" s="91"/>
      <c r="J179" s="84">
        <f t="shared" si="940"/>
        <v>3.2080000000000002</v>
      </c>
    </row>
    <row r="180" spans="5:10" x14ac:dyDescent="0.25">
      <c r="E180" s="175">
        <f t="shared" ref="E180:G180" si="967">E35*-1</f>
        <v>-0.96304193547815453</v>
      </c>
      <c r="F180" s="175">
        <f t="shared" si="967"/>
        <v>7.5214569056230043E-2</v>
      </c>
      <c r="G180" s="175">
        <f t="shared" si="967"/>
        <v>-0.25863680927543103</v>
      </c>
      <c r="H180" s="144"/>
      <c r="I180" s="91"/>
      <c r="J180" s="84">
        <f t="shared" si="940"/>
        <v>4.1130000000000004</v>
      </c>
    </row>
    <row r="181" spans="5:10" x14ac:dyDescent="0.25">
      <c r="E181" s="175">
        <f t="shared" ref="E181:G181" si="968">E36*-1</f>
        <v>-0.94731260625632485</v>
      </c>
      <c r="F181" s="175">
        <f t="shared" si="968"/>
        <v>0.22568640542976165</v>
      </c>
      <c r="G181" s="175">
        <f t="shared" si="968"/>
        <v>-0.22729820155919109</v>
      </c>
      <c r="H181" s="144"/>
      <c r="I181" s="91"/>
      <c r="J181" s="84">
        <f t="shared" si="940"/>
        <v>4.1189999999999998</v>
      </c>
    </row>
    <row r="182" spans="5:10" x14ac:dyDescent="0.25">
      <c r="E182" s="175">
        <f t="shared" ref="E182:G182" si="969">E37*-1</f>
        <v>-0.92191032793940697</v>
      </c>
      <c r="F182" s="175">
        <f t="shared" si="969"/>
        <v>0.35657047611554521</v>
      </c>
      <c r="G182" s="175">
        <f t="shared" si="969"/>
        <v>-0.15145574535615486</v>
      </c>
      <c r="H182" s="144"/>
      <c r="I182" s="91"/>
      <c r="J182" s="84">
        <f t="shared" si="940"/>
        <v>4.125</v>
      </c>
    </row>
    <row r="183" spans="5:10" x14ac:dyDescent="0.25">
      <c r="E183" s="175">
        <f t="shared" ref="E183:G183" si="970">E38*-1</f>
        <v>-0.90033915057313763</v>
      </c>
      <c r="F183" s="175">
        <f t="shared" si="970"/>
        <v>0.43344620784590354</v>
      </c>
      <c r="G183" s="175">
        <f t="shared" si="970"/>
        <v>-3.8907568020205216E-2</v>
      </c>
      <c r="H183" s="144"/>
      <c r="I183" s="91"/>
      <c r="J183" s="84">
        <f t="shared" si="940"/>
        <v>4.1310000000000002</v>
      </c>
    </row>
    <row r="184" spans="5:10" x14ac:dyDescent="0.25">
      <c r="E184" s="175">
        <f t="shared" ref="E184:G184" si="971">E39*-1</f>
        <v>-0.82283872525184432</v>
      </c>
      <c r="F184" s="175">
        <f t="shared" si="971"/>
        <v>0.56827496181505932</v>
      </c>
      <c r="G184" s="175">
        <f t="shared" si="971"/>
        <v>-1.1339743344435707E-7</v>
      </c>
      <c r="H184" s="144"/>
      <c r="I184" s="91"/>
      <c r="J184" s="84">
        <f t="shared" si="940"/>
        <v>4.1369999999999996</v>
      </c>
    </row>
    <row r="185" spans="5:10" x14ac:dyDescent="0.25">
      <c r="E185" s="175">
        <f t="shared" ref="E185:G185" si="972">E40*-1</f>
        <v>-0.50249808822216879</v>
      </c>
      <c r="F185" s="175">
        <f t="shared" si="972"/>
        <v>0.8252376843211181</v>
      </c>
      <c r="G185" s="175">
        <f t="shared" si="972"/>
        <v>-0.25783412440827963</v>
      </c>
      <c r="H185" s="144"/>
      <c r="I185" s="91"/>
      <c r="J185" s="84">
        <f t="shared" si="940"/>
        <v>5.1020000000000003</v>
      </c>
    </row>
    <row r="186" spans="5:10" x14ac:dyDescent="0.25">
      <c r="E186" s="175">
        <f t="shared" ref="E186:G186" si="973">E41*-1</f>
        <v>-0.50249808822216868</v>
      </c>
      <c r="F186" s="175">
        <f t="shared" si="973"/>
        <v>0.8252376843211181</v>
      </c>
      <c r="G186" s="175">
        <f t="shared" si="973"/>
        <v>-0.25783412440827963</v>
      </c>
      <c r="H186" s="144"/>
      <c r="I186" s="91"/>
      <c r="J186" s="84">
        <f t="shared" si="940"/>
        <v>5.1050000000000004</v>
      </c>
    </row>
    <row r="187" spans="5:10" x14ac:dyDescent="0.25">
      <c r="E187" s="175">
        <f t="shared" ref="E187:G187" si="974">E42*-1</f>
        <v>-0.50249808822216868</v>
      </c>
      <c r="F187" s="175">
        <f t="shared" si="974"/>
        <v>0.82523768432111821</v>
      </c>
      <c r="G187" s="175">
        <f t="shared" si="974"/>
        <v>-0.25783412440827969</v>
      </c>
      <c r="H187" s="144"/>
      <c r="I187" s="91"/>
      <c r="J187" s="84">
        <f t="shared" si="940"/>
        <v>5.1079999999999997</v>
      </c>
    </row>
    <row r="188" spans="5:10" x14ac:dyDescent="0.25">
      <c r="E188" s="175">
        <f t="shared" ref="E188:G188" si="975">E43*-1</f>
        <v>-0.46464088621187755</v>
      </c>
      <c r="F188" s="175">
        <f t="shared" si="975"/>
        <v>0.8465443198547512</v>
      </c>
      <c r="G188" s="175">
        <f t="shared" si="975"/>
        <v>-0.25975288522343298</v>
      </c>
      <c r="H188" s="144"/>
      <c r="I188" s="91"/>
      <c r="J188" s="84">
        <f t="shared" si="940"/>
        <v>5.1120000000000001</v>
      </c>
    </row>
    <row r="189" spans="5:10" x14ac:dyDescent="0.25">
      <c r="E189" s="175">
        <f t="shared" ref="E189:G189" si="976">E44*-1</f>
        <v>-0.33191937666155552</v>
      </c>
      <c r="F189" s="175">
        <f t="shared" si="976"/>
        <v>0.91231439849491569</v>
      </c>
      <c r="G189" s="175">
        <f t="shared" si="976"/>
        <v>-0.23981652506752915</v>
      </c>
      <c r="H189" s="144"/>
      <c r="I189" s="91"/>
      <c r="J189" s="84">
        <f t="shared" si="940"/>
        <v>5.1180000000000003</v>
      </c>
    </row>
    <row r="190" spans="5:10" x14ac:dyDescent="0.25">
      <c r="E190" s="175">
        <f t="shared" ref="E190:G190" si="977">E45*-1</f>
        <v>-0.21182757019180365</v>
      </c>
      <c r="F190" s="175">
        <f t="shared" si="977"/>
        <v>0.96432217510085061</v>
      </c>
      <c r="G190" s="175">
        <f t="shared" si="977"/>
        <v>-0.15878231361017819</v>
      </c>
      <c r="H190" s="144"/>
      <c r="I190" s="91"/>
      <c r="J190" s="84">
        <f t="shared" si="940"/>
        <v>5.1239999999999997</v>
      </c>
    </row>
    <row r="191" spans="5:10" x14ac:dyDescent="0.25">
      <c r="E191" s="175">
        <f t="shared" ref="E191:G191" si="978">E46*-1</f>
        <v>-0.12855013340019114</v>
      </c>
      <c r="F191" s="175">
        <f t="shared" si="978"/>
        <v>0.99025889124607358</v>
      </c>
      <c r="G191" s="175">
        <f t="shared" si="978"/>
        <v>-5.3499453370012641E-2</v>
      </c>
      <c r="H191" s="144"/>
      <c r="I191" s="91"/>
      <c r="J191" s="84">
        <f t="shared" si="940"/>
        <v>5.13</v>
      </c>
    </row>
    <row r="192" spans="5:10" x14ac:dyDescent="0.25">
      <c r="E192" s="175">
        <f t="shared" ref="E192:G192" si="979">E47*-1</f>
        <v>4.5886261589821564E-2</v>
      </c>
      <c r="F192" s="175">
        <f t="shared" si="979"/>
        <v>0.99894667074739174</v>
      </c>
      <c r="G192" s="175">
        <f t="shared" si="979"/>
        <v>-1.1339743338447125E-7</v>
      </c>
      <c r="H192" s="144"/>
      <c r="I192" s="91"/>
      <c r="J192" s="84">
        <f t="shared" si="940"/>
        <v>5.1360000000000001</v>
      </c>
    </row>
    <row r="193" spans="5:10" x14ac:dyDescent="0.25">
      <c r="E193" s="175">
        <f t="shared" ref="E193:G193" si="980">E48*-1</f>
        <v>4.5886261589821564E-2</v>
      </c>
      <c r="F193" s="175">
        <f t="shared" si="980"/>
        <v>0.99894667074739174</v>
      </c>
      <c r="G193" s="175">
        <f t="shared" si="980"/>
        <v>-1.1339743338447125E-7</v>
      </c>
      <c r="H193" s="144"/>
      <c r="I193" s="91"/>
      <c r="J193" s="84">
        <f t="shared" si="940"/>
        <v>5.1420000000000003</v>
      </c>
    </row>
    <row r="194" spans="5:10" x14ac:dyDescent="0.25">
      <c r="E194" s="175">
        <f t="shared" ref="E194:G194" si="981">E49*-1</f>
        <v>-8.6551577694423995E-2</v>
      </c>
      <c r="F194" s="175">
        <f t="shared" si="981"/>
        <v>1.0244301080867078E-2</v>
      </c>
      <c r="G194" s="175">
        <f t="shared" si="981"/>
        <v>-0.99619469918985759</v>
      </c>
      <c r="H194" s="144"/>
      <c r="I194" s="91"/>
      <c r="J194" s="84">
        <f t="shared" si="940"/>
        <v>5.2069999999999999</v>
      </c>
    </row>
    <row r="195" spans="5:10" x14ac:dyDescent="0.25">
      <c r="E195" s="175">
        <f t="shared" ref="E195:G195" si="982">E50*-1</f>
        <v>-8.6852623863480721E-2</v>
      </c>
      <c r="F195" s="175">
        <f t="shared" si="982"/>
        <v>-7.2624399521169607E-3</v>
      </c>
      <c r="G195" s="175">
        <f t="shared" si="982"/>
        <v>-0.99619469918985759</v>
      </c>
      <c r="H195" s="144"/>
      <c r="I195" s="91"/>
      <c r="J195" s="84">
        <f t="shared" si="940"/>
        <v>5.21</v>
      </c>
    </row>
    <row r="196" spans="5:10" x14ac:dyDescent="0.25">
      <c r="E196" s="175">
        <f t="shared" ref="E196:G196" si="983">E51*-1</f>
        <v>0.48315685830626665</v>
      </c>
      <c r="F196" s="175">
        <f t="shared" si="983"/>
        <v>0.83614366209215074</v>
      </c>
      <c r="G196" s="175">
        <f t="shared" si="983"/>
        <v>-0.25965982865038173</v>
      </c>
      <c r="H196" s="144"/>
      <c r="I196" s="91"/>
      <c r="J196" s="84">
        <f t="shared" si="940"/>
        <v>6.1109999999999998</v>
      </c>
    </row>
    <row r="197" spans="5:10" x14ac:dyDescent="0.25">
      <c r="E197" s="175">
        <f t="shared" ref="E197:G197" si="984">E52*-1</f>
        <v>0.60202579766170283</v>
      </c>
      <c r="F197" s="175">
        <f t="shared" si="984"/>
        <v>0.76329325970530759</v>
      </c>
      <c r="G197" s="175">
        <f t="shared" si="984"/>
        <v>-0.23441061972154001</v>
      </c>
      <c r="H197" s="144"/>
      <c r="I197" s="91"/>
      <c r="J197" s="84">
        <f t="shared" si="940"/>
        <v>6.117</v>
      </c>
    </row>
    <row r="198" spans="5:10" x14ac:dyDescent="0.25">
      <c r="E198" s="175">
        <f t="shared" ref="E198:G198" si="985">E53*-1</f>
        <v>0.71575941613133187</v>
      </c>
      <c r="F198" s="175">
        <f t="shared" si="985"/>
        <v>0.67535736757006404</v>
      </c>
      <c r="G198" s="175">
        <f t="shared" si="985"/>
        <v>-0.17771011307229678</v>
      </c>
      <c r="H198" s="144"/>
      <c r="I198" s="91"/>
      <c r="J198" s="84">
        <f t="shared" si="940"/>
        <v>6.1230000000000002</v>
      </c>
    </row>
    <row r="199" spans="5:10" x14ac:dyDescent="0.25">
      <c r="E199" s="175">
        <f t="shared" ref="E199:G199" si="986">E54*-1</f>
        <v>0.78890016478966729</v>
      </c>
      <c r="F199" s="175">
        <f t="shared" si="986"/>
        <v>0.60984334006465524</v>
      </c>
      <c r="G199" s="175">
        <f t="shared" si="986"/>
        <v>-7.5681111075494328E-2</v>
      </c>
      <c r="H199" s="144"/>
      <c r="I199" s="91"/>
      <c r="J199" s="84">
        <f t="shared" si="940"/>
        <v>6.1289999999999996</v>
      </c>
    </row>
    <row r="200" spans="5:10" x14ac:dyDescent="0.25">
      <c r="E200" s="175">
        <f t="shared" ref="E200:G200" si="987">E55*-1</f>
        <v>0.88805625822458334</v>
      </c>
      <c r="F200" s="175">
        <f t="shared" si="987"/>
        <v>0.45973479553775287</v>
      </c>
      <c r="G200" s="175">
        <f t="shared" si="987"/>
        <v>-1.1339743320583981E-7</v>
      </c>
      <c r="H200" s="144"/>
      <c r="I200" s="91"/>
      <c r="J200" s="84">
        <f t="shared" si="940"/>
        <v>6.1349999999999998</v>
      </c>
    </row>
    <row r="201" spans="5:10" x14ac:dyDescent="0.25">
      <c r="E201" s="175">
        <f t="shared" ref="E201:G201" si="988">E56*-1</f>
        <v>0.88805625822458334</v>
      </c>
      <c r="F201" s="175">
        <f t="shared" si="988"/>
        <v>0.45973479553775287</v>
      </c>
      <c r="G201" s="175">
        <f t="shared" si="988"/>
        <v>-1.1339743320583981E-7</v>
      </c>
      <c r="H201" s="144"/>
      <c r="I201" s="91"/>
      <c r="J201" s="84">
        <f t="shared" si="940"/>
        <v>6.141</v>
      </c>
    </row>
    <row r="202" spans="5:10" x14ac:dyDescent="0.25">
      <c r="E202" s="175">
        <f t="shared" ref="E202:G202" si="989">E57*-1</f>
        <v>0</v>
      </c>
      <c r="F202" s="175">
        <f t="shared" si="989"/>
        <v>0</v>
      </c>
      <c r="G202" s="175">
        <f t="shared" si="989"/>
        <v>0</v>
      </c>
      <c r="H202" s="144"/>
      <c r="I202" s="91"/>
      <c r="J202" s="84">
        <f t="shared" si="940"/>
        <v>0</v>
      </c>
    </row>
    <row r="203" spans="5:10" x14ac:dyDescent="0.25">
      <c r="E203" s="175">
        <f t="shared" ref="E203:G203" si="990">E58*-1</f>
        <v>0</v>
      </c>
      <c r="F203" s="175">
        <f t="shared" si="990"/>
        <v>0</v>
      </c>
      <c r="G203" s="175">
        <f t="shared" si="990"/>
        <v>0</v>
      </c>
      <c r="H203" s="144"/>
      <c r="I203" s="91"/>
      <c r="J203" s="84">
        <f t="shared" si="940"/>
        <v>0</v>
      </c>
    </row>
    <row r="204" spans="5:10" x14ac:dyDescent="0.25">
      <c r="E204" s="175">
        <f t="shared" ref="E204:G204" si="991">E59*-1</f>
        <v>0</v>
      </c>
      <c r="F204" s="175">
        <f t="shared" si="991"/>
        <v>0</v>
      </c>
      <c r="G204" s="175">
        <f t="shared" si="991"/>
        <v>0</v>
      </c>
      <c r="H204" s="144"/>
      <c r="I204" s="91"/>
      <c r="J204" s="84">
        <f t="shared" si="940"/>
        <v>0</v>
      </c>
    </row>
    <row r="205" spans="5:10" x14ac:dyDescent="0.25">
      <c r="E205" s="175">
        <f t="shared" ref="E205:G205" si="992">E60*-1</f>
        <v>0</v>
      </c>
      <c r="F205" s="175">
        <f t="shared" si="992"/>
        <v>0</v>
      </c>
      <c r="G205" s="175">
        <f t="shared" si="992"/>
        <v>0</v>
      </c>
      <c r="H205" s="144"/>
      <c r="I205" s="91"/>
      <c r="J205" s="84">
        <f t="shared" si="940"/>
        <v>0</v>
      </c>
    </row>
    <row r="206" spans="5:10" x14ac:dyDescent="0.25">
      <c r="E206" s="175">
        <f t="shared" ref="E206:G206" si="993">E61*-1</f>
        <v>0</v>
      </c>
      <c r="F206" s="175">
        <f t="shared" si="993"/>
        <v>0</v>
      </c>
      <c r="G206" s="175">
        <f t="shared" si="993"/>
        <v>0</v>
      </c>
      <c r="H206" s="144"/>
      <c r="I206" s="91"/>
      <c r="J206" s="84">
        <f t="shared" si="940"/>
        <v>0</v>
      </c>
    </row>
    <row r="207" spans="5:10" x14ac:dyDescent="0.25">
      <c r="E207" s="175">
        <f t="shared" ref="E207:G207" si="994">E62*-1</f>
        <v>0</v>
      </c>
      <c r="F207" s="175">
        <f t="shared" si="994"/>
        <v>0</v>
      </c>
      <c r="G207" s="175">
        <f t="shared" si="994"/>
        <v>0</v>
      </c>
      <c r="H207" s="144"/>
      <c r="I207" s="91"/>
      <c r="J207" s="84">
        <f t="shared" si="940"/>
        <v>0</v>
      </c>
    </row>
    <row r="208" spans="5:10" x14ac:dyDescent="0.25">
      <c r="E208" s="175">
        <f t="shared" ref="E208:G208" si="995">E63*-1</f>
        <v>0</v>
      </c>
      <c r="F208" s="175">
        <f t="shared" si="995"/>
        <v>0</v>
      </c>
      <c r="G208" s="175">
        <f t="shared" si="995"/>
        <v>0</v>
      </c>
      <c r="H208" s="144"/>
      <c r="I208" s="91"/>
      <c r="J208" s="84">
        <f t="shared" si="940"/>
        <v>0</v>
      </c>
    </row>
    <row r="209" spans="5:10" x14ac:dyDescent="0.25">
      <c r="E209" s="175">
        <f t="shared" ref="E209:G209" si="996">E64*-1</f>
        <v>0</v>
      </c>
      <c r="F209" s="175">
        <f t="shared" si="996"/>
        <v>0</v>
      </c>
      <c r="G209" s="175">
        <f t="shared" si="996"/>
        <v>0</v>
      </c>
      <c r="H209" s="144"/>
      <c r="I209" s="91"/>
      <c r="J209" s="84">
        <f t="shared" si="940"/>
        <v>0</v>
      </c>
    </row>
    <row r="210" spans="5:10" x14ac:dyDescent="0.25">
      <c r="E210" s="175">
        <f t="shared" ref="E210:G210" si="997">E65*-1</f>
        <v>0</v>
      </c>
      <c r="F210" s="175">
        <f t="shared" si="997"/>
        <v>0</v>
      </c>
      <c r="G210" s="175">
        <f t="shared" si="997"/>
        <v>0</v>
      </c>
      <c r="H210" s="144"/>
      <c r="I210" s="91"/>
      <c r="J210" s="84">
        <f t="shared" si="940"/>
        <v>0</v>
      </c>
    </row>
    <row r="211" spans="5:10" x14ac:dyDescent="0.25">
      <c r="E211" s="175">
        <f t="shared" ref="E211:G211" si="998">E66*-1</f>
        <v>0</v>
      </c>
      <c r="F211" s="175">
        <f t="shared" si="998"/>
        <v>0</v>
      </c>
      <c r="G211" s="175">
        <f t="shared" si="998"/>
        <v>0</v>
      </c>
      <c r="H211" s="144"/>
      <c r="I211" s="91"/>
      <c r="J211" s="84">
        <f t="shared" si="940"/>
        <v>0</v>
      </c>
    </row>
    <row r="212" spans="5:10" x14ac:dyDescent="0.25">
      <c r="E212" s="175">
        <f t="shared" ref="E212:G212" si="999">E67*-1</f>
        <v>0</v>
      </c>
      <c r="F212" s="175">
        <f t="shared" si="999"/>
        <v>0</v>
      </c>
      <c r="G212" s="175">
        <f t="shared" si="999"/>
        <v>0</v>
      </c>
      <c r="H212" s="144"/>
      <c r="I212" s="91"/>
      <c r="J212" s="84">
        <f t="shared" si="940"/>
        <v>0</v>
      </c>
    </row>
    <row r="213" spans="5:10" x14ac:dyDescent="0.25">
      <c r="E213" s="175">
        <f t="shared" ref="E213:G213" si="1000">E68*-1</f>
        <v>0</v>
      </c>
      <c r="F213" s="175">
        <f t="shared" si="1000"/>
        <v>0</v>
      </c>
      <c r="G213" s="175">
        <f t="shared" si="1000"/>
        <v>0</v>
      </c>
      <c r="H213" s="144"/>
      <c r="I213" s="91"/>
      <c r="J213" s="84">
        <f t="shared" si="940"/>
        <v>0</v>
      </c>
    </row>
    <row r="214" spans="5:10" x14ac:dyDescent="0.25">
      <c r="E214" s="175">
        <f t="shared" ref="E214:G214" si="1001">E69*-1</f>
        <v>0</v>
      </c>
      <c r="F214" s="175">
        <f t="shared" si="1001"/>
        <v>0</v>
      </c>
      <c r="G214" s="175">
        <f t="shared" si="1001"/>
        <v>0</v>
      </c>
      <c r="H214" s="144"/>
      <c r="I214" s="91"/>
      <c r="J214" s="84">
        <f t="shared" si="940"/>
        <v>0</v>
      </c>
    </row>
    <row r="215" spans="5:10" x14ac:dyDescent="0.25">
      <c r="E215" s="175">
        <f t="shared" ref="E215:G215" si="1002">E70*-1</f>
        <v>0</v>
      </c>
      <c r="F215" s="175">
        <f t="shared" si="1002"/>
        <v>0</v>
      </c>
      <c r="G215" s="175">
        <f t="shared" si="1002"/>
        <v>0</v>
      </c>
      <c r="H215" s="144"/>
      <c r="I215" s="91"/>
      <c r="J215" s="84">
        <f t="shared" si="940"/>
        <v>0</v>
      </c>
    </row>
    <row r="216" spans="5:10" x14ac:dyDescent="0.25">
      <c r="E216" s="175">
        <f t="shared" ref="E216:G216" si="1003">E71*-1</f>
        <v>0</v>
      </c>
      <c r="F216" s="175">
        <f t="shared" si="1003"/>
        <v>0</v>
      </c>
      <c r="G216" s="175">
        <f t="shared" si="1003"/>
        <v>0</v>
      </c>
      <c r="H216" s="144"/>
      <c r="I216" s="91"/>
      <c r="J216" s="84">
        <f t="shared" si="940"/>
        <v>0</v>
      </c>
    </row>
    <row r="217" spans="5:10" x14ac:dyDescent="0.25">
      <c r="E217" s="175">
        <f t="shared" ref="E217:G217" si="1004">E72*-1</f>
        <v>0</v>
      </c>
      <c r="F217" s="175">
        <f t="shared" si="1004"/>
        <v>0</v>
      </c>
      <c r="G217" s="175">
        <f t="shared" si="1004"/>
        <v>0</v>
      </c>
      <c r="H217" s="144"/>
      <c r="I217" s="91"/>
      <c r="J217" s="84">
        <f t="shared" si="940"/>
        <v>0</v>
      </c>
    </row>
    <row r="218" spans="5:10" x14ac:dyDescent="0.25">
      <c r="E218" s="175">
        <f t="shared" ref="E218:G218" si="1005">E73*-1</f>
        <v>0</v>
      </c>
      <c r="F218" s="175">
        <f t="shared" si="1005"/>
        <v>0</v>
      </c>
      <c r="G218" s="175">
        <f t="shared" si="1005"/>
        <v>0</v>
      </c>
      <c r="H218" s="144"/>
      <c r="I218" s="91"/>
      <c r="J218" s="84">
        <f t="shared" si="940"/>
        <v>0</v>
      </c>
    </row>
    <row r="219" spans="5:10" x14ac:dyDescent="0.25">
      <c r="E219" s="175">
        <f t="shared" ref="E219:G219" si="1006">E74*-1</f>
        <v>0</v>
      </c>
      <c r="F219" s="175">
        <f t="shared" si="1006"/>
        <v>0</v>
      </c>
      <c r="G219" s="175">
        <f t="shared" si="1006"/>
        <v>0</v>
      </c>
      <c r="H219" s="144"/>
      <c r="I219" s="91"/>
      <c r="J219" s="84">
        <f t="shared" ref="J219:J282" si="1007">J74</f>
        <v>0</v>
      </c>
    </row>
    <row r="220" spans="5:10" x14ac:dyDescent="0.25">
      <c r="E220" s="175">
        <f t="shared" ref="E220:G220" si="1008">E75*-1</f>
        <v>0</v>
      </c>
      <c r="F220" s="175">
        <f t="shared" si="1008"/>
        <v>0</v>
      </c>
      <c r="G220" s="175">
        <f t="shared" si="1008"/>
        <v>0</v>
      </c>
      <c r="H220" s="144"/>
      <c r="I220" s="91"/>
      <c r="J220" s="84">
        <f t="shared" si="1007"/>
        <v>0</v>
      </c>
    </row>
    <row r="221" spans="5:10" x14ac:dyDescent="0.25">
      <c r="E221" s="175">
        <f t="shared" ref="E221:G221" si="1009">E76*-1</f>
        <v>0</v>
      </c>
      <c r="F221" s="175">
        <f t="shared" si="1009"/>
        <v>0</v>
      </c>
      <c r="G221" s="175">
        <f t="shared" si="1009"/>
        <v>0</v>
      </c>
      <c r="H221" s="144"/>
      <c r="I221" s="91"/>
      <c r="J221" s="84">
        <f t="shared" si="1007"/>
        <v>0</v>
      </c>
    </row>
    <row r="222" spans="5:10" x14ac:dyDescent="0.25">
      <c r="E222" s="175">
        <f t="shared" ref="E222:G222" si="1010">E77*-1</f>
        <v>0</v>
      </c>
      <c r="F222" s="175">
        <f t="shared" si="1010"/>
        <v>0</v>
      </c>
      <c r="G222" s="175">
        <f t="shared" si="1010"/>
        <v>0</v>
      </c>
      <c r="H222" s="144"/>
      <c r="I222" s="91"/>
      <c r="J222" s="84">
        <f t="shared" si="1007"/>
        <v>0</v>
      </c>
    </row>
    <row r="223" spans="5:10" x14ac:dyDescent="0.25">
      <c r="E223" s="175">
        <f t="shared" ref="E223:G223" si="1011">E78*-1</f>
        <v>0</v>
      </c>
      <c r="F223" s="175">
        <f t="shared" si="1011"/>
        <v>0</v>
      </c>
      <c r="G223" s="175">
        <f t="shared" si="1011"/>
        <v>0</v>
      </c>
      <c r="H223" s="144"/>
      <c r="I223" s="91"/>
      <c r="J223" s="84">
        <f t="shared" si="1007"/>
        <v>0</v>
      </c>
    </row>
    <row r="224" spans="5:10" x14ac:dyDescent="0.25">
      <c r="E224" s="175">
        <f t="shared" ref="E224:G224" si="1012">E79*-1</f>
        <v>0</v>
      </c>
      <c r="F224" s="175">
        <f t="shared" si="1012"/>
        <v>0</v>
      </c>
      <c r="G224" s="175">
        <f t="shared" si="1012"/>
        <v>0</v>
      </c>
      <c r="H224" s="144"/>
      <c r="I224" s="91"/>
      <c r="J224" s="84">
        <f t="shared" si="1007"/>
        <v>0</v>
      </c>
    </row>
    <row r="225" spans="5:10" x14ac:dyDescent="0.25">
      <c r="E225" s="175">
        <f t="shared" ref="E225:G225" si="1013">E80*-1</f>
        <v>0</v>
      </c>
      <c r="F225" s="175">
        <f t="shared" si="1013"/>
        <v>0</v>
      </c>
      <c r="G225" s="175">
        <f t="shared" si="1013"/>
        <v>0</v>
      </c>
      <c r="H225" s="144"/>
      <c r="I225" s="91"/>
      <c r="J225" s="84">
        <f t="shared" si="1007"/>
        <v>0</v>
      </c>
    </row>
    <row r="226" spans="5:10" x14ac:dyDescent="0.25">
      <c r="E226" s="175">
        <f t="shared" ref="E226:G226" si="1014">E81*-1</f>
        <v>0</v>
      </c>
      <c r="F226" s="175">
        <f t="shared" si="1014"/>
        <v>0</v>
      </c>
      <c r="G226" s="175">
        <f t="shared" si="1014"/>
        <v>0</v>
      </c>
      <c r="H226" s="144"/>
      <c r="I226" s="91"/>
      <c r="J226" s="84">
        <f t="shared" si="1007"/>
        <v>0</v>
      </c>
    </row>
    <row r="227" spans="5:10" x14ac:dyDescent="0.25">
      <c r="E227" s="175">
        <f t="shared" ref="E227:G227" si="1015">E82*-1</f>
        <v>0</v>
      </c>
      <c r="F227" s="175">
        <f t="shared" si="1015"/>
        <v>0</v>
      </c>
      <c r="G227" s="175">
        <f t="shared" si="1015"/>
        <v>0</v>
      </c>
      <c r="H227" s="144"/>
      <c r="I227" s="91"/>
      <c r="J227" s="84">
        <f t="shared" si="1007"/>
        <v>0</v>
      </c>
    </row>
    <row r="228" spans="5:10" x14ac:dyDescent="0.25">
      <c r="E228" s="175">
        <f t="shared" ref="E228:G228" si="1016">E83*-1</f>
        <v>0</v>
      </c>
      <c r="F228" s="175">
        <f t="shared" si="1016"/>
        <v>0</v>
      </c>
      <c r="G228" s="175">
        <f t="shared" si="1016"/>
        <v>0</v>
      </c>
      <c r="H228" s="144"/>
      <c r="I228" s="91"/>
      <c r="J228" s="84">
        <f t="shared" si="1007"/>
        <v>0</v>
      </c>
    </row>
    <row r="229" spans="5:10" x14ac:dyDescent="0.25">
      <c r="E229" s="175">
        <f t="shared" ref="E229:G229" si="1017">E84*-1</f>
        <v>0</v>
      </c>
      <c r="F229" s="175">
        <f t="shared" si="1017"/>
        <v>0</v>
      </c>
      <c r="G229" s="175">
        <f t="shared" si="1017"/>
        <v>0</v>
      </c>
      <c r="H229" s="144"/>
      <c r="I229" s="91"/>
      <c r="J229" s="84">
        <f t="shared" si="1007"/>
        <v>0</v>
      </c>
    </row>
    <row r="230" spans="5:10" x14ac:dyDescent="0.25">
      <c r="E230" s="175">
        <f t="shared" ref="E230:G230" si="1018">E85*-1</f>
        <v>0</v>
      </c>
      <c r="F230" s="175">
        <f t="shared" si="1018"/>
        <v>0</v>
      </c>
      <c r="G230" s="175">
        <f t="shared" si="1018"/>
        <v>0</v>
      </c>
      <c r="H230" s="144"/>
      <c r="I230" s="91"/>
      <c r="J230" s="84">
        <f t="shared" si="1007"/>
        <v>0</v>
      </c>
    </row>
    <row r="231" spans="5:10" x14ac:dyDescent="0.25">
      <c r="E231" s="175">
        <f t="shared" ref="E231:G231" si="1019">E86*-1</f>
        <v>0</v>
      </c>
      <c r="F231" s="175">
        <f t="shared" si="1019"/>
        <v>0</v>
      </c>
      <c r="G231" s="175">
        <f t="shared" si="1019"/>
        <v>0</v>
      </c>
      <c r="H231" s="144"/>
      <c r="I231" s="91"/>
      <c r="J231" s="84">
        <f t="shared" si="1007"/>
        <v>0</v>
      </c>
    </row>
    <row r="232" spans="5:10" x14ac:dyDescent="0.25">
      <c r="E232" s="175">
        <f t="shared" ref="E232:G232" si="1020">E87*-1</f>
        <v>0</v>
      </c>
      <c r="F232" s="175">
        <f t="shared" si="1020"/>
        <v>0</v>
      </c>
      <c r="G232" s="175">
        <f t="shared" si="1020"/>
        <v>0</v>
      </c>
      <c r="H232" s="144"/>
      <c r="I232" s="91"/>
      <c r="J232" s="84">
        <f t="shared" si="1007"/>
        <v>0</v>
      </c>
    </row>
    <row r="233" spans="5:10" x14ac:dyDescent="0.25">
      <c r="E233" s="175">
        <f t="shared" ref="E233:G233" si="1021">E88*-1</f>
        <v>0</v>
      </c>
      <c r="F233" s="175">
        <f t="shared" si="1021"/>
        <v>0</v>
      </c>
      <c r="G233" s="175">
        <f t="shared" si="1021"/>
        <v>0</v>
      </c>
      <c r="H233" s="144"/>
      <c r="I233" s="91"/>
      <c r="J233" s="84">
        <f t="shared" si="1007"/>
        <v>0</v>
      </c>
    </row>
    <row r="234" spans="5:10" x14ac:dyDescent="0.25">
      <c r="E234" s="175">
        <f t="shared" ref="E234:G234" si="1022">E89*-1</f>
        <v>0</v>
      </c>
      <c r="F234" s="175">
        <f t="shared" si="1022"/>
        <v>0</v>
      </c>
      <c r="G234" s="175">
        <f t="shared" si="1022"/>
        <v>0</v>
      </c>
      <c r="H234" s="144"/>
      <c r="I234" s="91"/>
      <c r="J234" s="84">
        <f t="shared" si="1007"/>
        <v>0</v>
      </c>
    </row>
    <row r="235" spans="5:10" x14ac:dyDescent="0.25">
      <c r="E235" s="175">
        <f t="shared" ref="E235:G235" si="1023">E90*-1</f>
        <v>0</v>
      </c>
      <c r="F235" s="175">
        <f t="shared" si="1023"/>
        <v>0</v>
      </c>
      <c r="G235" s="175">
        <f t="shared" si="1023"/>
        <v>0</v>
      </c>
      <c r="H235" s="144"/>
      <c r="I235" s="91"/>
      <c r="J235" s="84">
        <f t="shared" si="1007"/>
        <v>0</v>
      </c>
    </row>
    <row r="236" spans="5:10" x14ac:dyDescent="0.25">
      <c r="E236" s="175">
        <f t="shared" ref="E236:G236" si="1024">E91*-1</f>
        <v>0</v>
      </c>
      <c r="F236" s="175">
        <f t="shared" si="1024"/>
        <v>0</v>
      </c>
      <c r="G236" s="175">
        <f t="shared" si="1024"/>
        <v>0</v>
      </c>
      <c r="H236" s="144"/>
      <c r="I236" s="91"/>
      <c r="J236" s="84">
        <f t="shared" si="1007"/>
        <v>0</v>
      </c>
    </row>
    <row r="237" spans="5:10" x14ac:dyDescent="0.25">
      <c r="E237" s="175">
        <f t="shared" ref="E237:G237" si="1025">E92*-1</f>
        <v>0</v>
      </c>
      <c r="F237" s="175">
        <f t="shared" si="1025"/>
        <v>0</v>
      </c>
      <c r="G237" s="175">
        <f t="shared" si="1025"/>
        <v>0</v>
      </c>
      <c r="H237" s="144"/>
      <c r="I237" s="91"/>
      <c r="J237" s="84">
        <f t="shared" si="1007"/>
        <v>0</v>
      </c>
    </row>
    <row r="238" spans="5:10" x14ac:dyDescent="0.25">
      <c r="E238" s="175">
        <f t="shared" ref="E238:G238" si="1026">E93*-1</f>
        <v>0</v>
      </c>
      <c r="F238" s="175">
        <f t="shared" si="1026"/>
        <v>0</v>
      </c>
      <c r="G238" s="175">
        <f t="shared" si="1026"/>
        <v>0</v>
      </c>
      <c r="H238" s="144"/>
      <c r="I238" s="91"/>
      <c r="J238" s="84">
        <f t="shared" si="1007"/>
        <v>0</v>
      </c>
    </row>
    <row r="239" spans="5:10" x14ac:dyDescent="0.25">
      <c r="E239" s="175">
        <f t="shared" ref="E239:G239" si="1027">E94*-1</f>
        <v>0</v>
      </c>
      <c r="F239" s="175">
        <f t="shared" si="1027"/>
        <v>0</v>
      </c>
      <c r="G239" s="175">
        <f t="shared" si="1027"/>
        <v>0</v>
      </c>
      <c r="H239" s="144"/>
      <c r="I239" s="91"/>
      <c r="J239" s="84">
        <f t="shared" si="1007"/>
        <v>0</v>
      </c>
    </row>
    <row r="240" spans="5:10" x14ac:dyDescent="0.25">
      <c r="E240" s="175">
        <f t="shared" ref="E240:G240" si="1028">E95*-1</f>
        <v>0</v>
      </c>
      <c r="F240" s="175">
        <f t="shared" si="1028"/>
        <v>0</v>
      </c>
      <c r="G240" s="175">
        <f t="shared" si="1028"/>
        <v>0</v>
      </c>
      <c r="H240" s="144"/>
      <c r="I240" s="91"/>
      <c r="J240" s="84">
        <f t="shared" si="1007"/>
        <v>0</v>
      </c>
    </row>
    <row r="241" spans="5:10" x14ac:dyDescent="0.25">
      <c r="E241" s="175">
        <f t="shared" ref="E241:G241" si="1029">E96*-1</f>
        <v>0</v>
      </c>
      <c r="F241" s="175">
        <f t="shared" si="1029"/>
        <v>0</v>
      </c>
      <c r="G241" s="175">
        <f t="shared" si="1029"/>
        <v>0</v>
      </c>
      <c r="H241" s="144"/>
      <c r="I241" s="91"/>
      <c r="J241" s="84">
        <f t="shared" si="1007"/>
        <v>0</v>
      </c>
    </row>
    <row r="242" spans="5:10" x14ac:dyDescent="0.25">
      <c r="E242" s="175">
        <f t="shared" ref="E242:G242" si="1030">E97*-1</f>
        <v>0</v>
      </c>
      <c r="F242" s="175">
        <f t="shared" si="1030"/>
        <v>0</v>
      </c>
      <c r="G242" s="175">
        <f t="shared" si="1030"/>
        <v>0</v>
      </c>
      <c r="H242" s="144"/>
      <c r="I242" s="91"/>
      <c r="J242" s="84">
        <f t="shared" si="1007"/>
        <v>0</v>
      </c>
    </row>
    <row r="243" spans="5:10" x14ac:dyDescent="0.25">
      <c r="E243" s="175">
        <f t="shared" ref="E243:G243" si="1031">E98*-1</f>
        <v>0</v>
      </c>
      <c r="F243" s="175">
        <f t="shared" si="1031"/>
        <v>0</v>
      </c>
      <c r="G243" s="175">
        <f t="shared" si="1031"/>
        <v>0</v>
      </c>
      <c r="H243" s="144"/>
      <c r="I243" s="91"/>
      <c r="J243" s="84">
        <f t="shared" si="1007"/>
        <v>0</v>
      </c>
    </row>
    <row r="244" spans="5:10" x14ac:dyDescent="0.25">
      <c r="E244" s="175">
        <f t="shared" ref="E244:G244" si="1032">E99*-1</f>
        <v>0</v>
      </c>
      <c r="F244" s="175">
        <f t="shared" si="1032"/>
        <v>0</v>
      </c>
      <c r="G244" s="175">
        <f t="shared" si="1032"/>
        <v>0</v>
      </c>
      <c r="H244" s="144"/>
      <c r="I244" s="91"/>
      <c r="J244" s="84">
        <f t="shared" si="1007"/>
        <v>0</v>
      </c>
    </row>
    <row r="245" spans="5:10" x14ac:dyDescent="0.25">
      <c r="E245" s="175">
        <f t="shared" ref="E245:G245" si="1033">E100*-1</f>
        <v>0</v>
      </c>
      <c r="F245" s="175">
        <f t="shared" si="1033"/>
        <v>0</v>
      </c>
      <c r="G245" s="175">
        <f t="shared" si="1033"/>
        <v>0</v>
      </c>
      <c r="H245" s="144"/>
      <c r="I245" s="91"/>
      <c r="J245" s="84">
        <f t="shared" si="1007"/>
        <v>0</v>
      </c>
    </row>
    <row r="246" spans="5:10" x14ac:dyDescent="0.25">
      <c r="E246" s="175">
        <f t="shared" ref="E246:G246" si="1034">E101*-1</f>
        <v>0</v>
      </c>
      <c r="F246" s="175">
        <f t="shared" si="1034"/>
        <v>0</v>
      </c>
      <c r="G246" s="175">
        <f t="shared" si="1034"/>
        <v>0</v>
      </c>
      <c r="H246" s="144"/>
      <c r="I246" s="91"/>
      <c r="J246" s="84">
        <f t="shared" si="1007"/>
        <v>0</v>
      </c>
    </row>
    <row r="247" spans="5:10" x14ac:dyDescent="0.25">
      <c r="E247" s="175">
        <f t="shared" ref="E247:G247" si="1035">E102*-1</f>
        <v>0</v>
      </c>
      <c r="F247" s="175">
        <f t="shared" si="1035"/>
        <v>0</v>
      </c>
      <c r="G247" s="175">
        <f t="shared" si="1035"/>
        <v>0</v>
      </c>
      <c r="H247" s="144"/>
      <c r="I247" s="91"/>
      <c r="J247" s="84">
        <f t="shared" si="1007"/>
        <v>0</v>
      </c>
    </row>
    <row r="248" spans="5:10" x14ac:dyDescent="0.25">
      <c r="E248" s="175">
        <f t="shared" ref="E248:G248" si="1036">E103*-1</f>
        <v>0</v>
      </c>
      <c r="F248" s="175">
        <f t="shared" si="1036"/>
        <v>0</v>
      </c>
      <c r="G248" s="175">
        <f t="shared" si="1036"/>
        <v>0</v>
      </c>
      <c r="H248" s="144"/>
      <c r="I248" s="91"/>
      <c r="J248" s="84">
        <f t="shared" si="1007"/>
        <v>0</v>
      </c>
    </row>
    <row r="249" spans="5:10" x14ac:dyDescent="0.25">
      <c r="E249" s="175">
        <f t="shared" ref="E249:G249" si="1037">E104*-1</f>
        <v>0</v>
      </c>
      <c r="F249" s="175">
        <f t="shared" si="1037"/>
        <v>0</v>
      </c>
      <c r="G249" s="175">
        <f t="shared" si="1037"/>
        <v>0</v>
      </c>
      <c r="H249" s="144"/>
      <c r="I249" s="91"/>
      <c r="J249" s="84">
        <f t="shared" si="1007"/>
        <v>0</v>
      </c>
    </row>
    <row r="250" spans="5:10" x14ac:dyDescent="0.25">
      <c r="E250" s="175">
        <f t="shared" ref="E250:G250" si="1038">E105*-1</f>
        <v>0</v>
      </c>
      <c r="F250" s="175">
        <f t="shared" si="1038"/>
        <v>0</v>
      </c>
      <c r="G250" s="175">
        <f t="shared" si="1038"/>
        <v>0</v>
      </c>
      <c r="H250" s="144"/>
      <c r="I250" s="91"/>
      <c r="J250" s="84">
        <f t="shared" si="1007"/>
        <v>0</v>
      </c>
    </row>
    <row r="251" spans="5:10" x14ac:dyDescent="0.25">
      <c r="E251" s="175">
        <f t="shared" ref="E251:G251" si="1039">E106*-1</f>
        <v>0</v>
      </c>
      <c r="F251" s="175">
        <f t="shared" si="1039"/>
        <v>0</v>
      </c>
      <c r="G251" s="175">
        <f t="shared" si="1039"/>
        <v>0</v>
      </c>
      <c r="H251" s="144"/>
      <c r="I251" s="91"/>
      <c r="J251" s="84">
        <f t="shared" si="1007"/>
        <v>0</v>
      </c>
    </row>
    <row r="252" spans="5:10" x14ac:dyDescent="0.25">
      <c r="E252" s="175">
        <f t="shared" ref="E252:G252" si="1040">E107*-1</f>
        <v>0</v>
      </c>
      <c r="F252" s="175">
        <f t="shared" si="1040"/>
        <v>0</v>
      </c>
      <c r="G252" s="175">
        <f t="shared" si="1040"/>
        <v>0</v>
      </c>
      <c r="H252" s="144"/>
      <c r="I252" s="91"/>
      <c r="J252" s="84">
        <f t="shared" si="1007"/>
        <v>0</v>
      </c>
    </row>
    <row r="253" spans="5:10" x14ac:dyDescent="0.25">
      <c r="E253" s="175">
        <f t="shared" ref="E253:G253" si="1041">E108*-1</f>
        <v>0</v>
      </c>
      <c r="F253" s="175">
        <f t="shared" si="1041"/>
        <v>0</v>
      </c>
      <c r="G253" s="175">
        <f t="shared" si="1041"/>
        <v>0</v>
      </c>
      <c r="H253" s="144"/>
      <c r="I253" s="91"/>
      <c r="J253" s="84">
        <f t="shared" si="1007"/>
        <v>0</v>
      </c>
    </row>
    <row r="254" spans="5:10" x14ac:dyDescent="0.25">
      <c r="E254" s="175">
        <f t="shared" ref="E254:G254" si="1042">E109*-1</f>
        <v>0</v>
      </c>
      <c r="F254" s="175">
        <f t="shared" si="1042"/>
        <v>0</v>
      </c>
      <c r="G254" s="175">
        <f t="shared" si="1042"/>
        <v>0</v>
      </c>
      <c r="H254" s="144"/>
      <c r="I254" s="91"/>
      <c r="J254" s="84">
        <f t="shared" si="1007"/>
        <v>0</v>
      </c>
    </row>
    <row r="255" spans="5:10" x14ac:dyDescent="0.25">
      <c r="E255" s="175">
        <f t="shared" ref="E255:G255" si="1043">E110*-1</f>
        <v>0</v>
      </c>
      <c r="F255" s="175">
        <f t="shared" si="1043"/>
        <v>0</v>
      </c>
      <c r="G255" s="175">
        <f t="shared" si="1043"/>
        <v>0</v>
      </c>
      <c r="H255" s="144"/>
      <c r="I255" s="91"/>
      <c r="J255" s="84">
        <f t="shared" si="1007"/>
        <v>0</v>
      </c>
    </row>
    <row r="256" spans="5:10" x14ac:dyDescent="0.25">
      <c r="E256" s="175">
        <f t="shared" ref="E256:G256" si="1044">E111*-1</f>
        <v>0</v>
      </c>
      <c r="F256" s="175">
        <f t="shared" si="1044"/>
        <v>0</v>
      </c>
      <c r="G256" s="175">
        <f t="shared" si="1044"/>
        <v>0</v>
      </c>
      <c r="H256" s="144"/>
      <c r="I256" s="91"/>
      <c r="J256" s="84">
        <f t="shared" si="1007"/>
        <v>0</v>
      </c>
    </row>
    <row r="257" spans="5:10" x14ac:dyDescent="0.25">
      <c r="E257" s="175">
        <f t="shared" ref="E257:G257" si="1045">E112*-1</f>
        <v>0</v>
      </c>
      <c r="F257" s="175">
        <f t="shared" si="1045"/>
        <v>0</v>
      </c>
      <c r="G257" s="175">
        <f t="shared" si="1045"/>
        <v>0</v>
      </c>
      <c r="H257" s="144"/>
      <c r="I257" s="91"/>
      <c r="J257" s="84">
        <f t="shared" si="1007"/>
        <v>0</v>
      </c>
    </row>
    <row r="258" spans="5:10" x14ac:dyDescent="0.25">
      <c r="E258" s="175">
        <f t="shared" ref="E258:G258" si="1046">E113*-1</f>
        <v>0</v>
      </c>
      <c r="F258" s="175">
        <f t="shared" si="1046"/>
        <v>0</v>
      </c>
      <c r="G258" s="175">
        <f t="shared" si="1046"/>
        <v>0</v>
      </c>
      <c r="H258" s="144"/>
      <c r="I258" s="91"/>
      <c r="J258" s="84">
        <f t="shared" si="1007"/>
        <v>0</v>
      </c>
    </row>
    <row r="259" spans="5:10" x14ac:dyDescent="0.25">
      <c r="E259" s="175">
        <f t="shared" ref="E259:G259" si="1047">E114*-1</f>
        <v>0</v>
      </c>
      <c r="F259" s="175">
        <f t="shared" si="1047"/>
        <v>0</v>
      </c>
      <c r="G259" s="175">
        <f t="shared" si="1047"/>
        <v>0</v>
      </c>
      <c r="H259" s="144"/>
      <c r="I259" s="91"/>
      <c r="J259" s="84">
        <f t="shared" si="1007"/>
        <v>0</v>
      </c>
    </row>
    <row r="260" spans="5:10" x14ac:dyDescent="0.25">
      <c r="E260" s="175">
        <f t="shared" ref="E260:G260" si="1048">E115*-1</f>
        <v>0</v>
      </c>
      <c r="F260" s="175">
        <f t="shared" si="1048"/>
        <v>0</v>
      </c>
      <c r="G260" s="175">
        <f t="shared" si="1048"/>
        <v>0</v>
      </c>
      <c r="H260" s="144"/>
      <c r="I260" s="91"/>
      <c r="J260" s="84">
        <f t="shared" si="1007"/>
        <v>0</v>
      </c>
    </row>
    <row r="261" spans="5:10" x14ac:dyDescent="0.25">
      <c r="E261" s="175">
        <f t="shared" ref="E261:G261" si="1049">E116*-1</f>
        <v>0</v>
      </c>
      <c r="F261" s="175">
        <f t="shared" si="1049"/>
        <v>0</v>
      </c>
      <c r="G261" s="175">
        <f t="shared" si="1049"/>
        <v>0</v>
      </c>
      <c r="H261" s="144"/>
      <c r="I261" s="91"/>
      <c r="J261" s="84">
        <f t="shared" si="1007"/>
        <v>0</v>
      </c>
    </row>
    <row r="262" spans="5:10" x14ac:dyDescent="0.25">
      <c r="E262" s="175">
        <f t="shared" ref="E262:G262" si="1050">E117*-1</f>
        <v>0</v>
      </c>
      <c r="F262" s="175">
        <f t="shared" si="1050"/>
        <v>0</v>
      </c>
      <c r="G262" s="175">
        <f t="shared" si="1050"/>
        <v>0</v>
      </c>
      <c r="H262" s="144"/>
      <c r="I262" s="91"/>
      <c r="J262" s="84">
        <f t="shared" si="1007"/>
        <v>0</v>
      </c>
    </row>
    <row r="263" spans="5:10" x14ac:dyDescent="0.25">
      <c r="E263" s="175">
        <f t="shared" ref="E263:G263" si="1051">E118*-1</f>
        <v>0</v>
      </c>
      <c r="F263" s="175">
        <f t="shared" si="1051"/>
        <v>0</v>
      </c>
      <c r="G263" s="175">
        <f t="shared" si="1051"/>
        <v>0</v>
      </c>
      <c r="H263" s="144"/>
      <c r="I263" s="91"/>
      <c r="J263" s="84">
        <f t="shared" si="1007"/>
        <v>0</v>
      </c>
    </row>
    <row r="264" spans="5:10" x14ac:dyDescent="0.25">
      <c r="E264" s="175">
        <f t="shared" ref="E264:G264" si="1052">E119*-1</f>
        <v>0</v>
      </c>
      <c r="F264" s="175">
        <f t="shared" si="1052"/>
        <v>0</v>
      </c>
      <c r="G264" s="175">
        <f t="shared" si="1052"/>
        <v>0</v>
      </c>
      <c r="H264" s="144"/>
      <c r="I264" s="91"/>
      <c r="J264" s="84">
        <f t="shared" si="1007"/>
        <v>0</v>
      </c>
    </row>
    <row r="265" spans="5:10" x14ac:dyDescent="0.25">
      <c r="E265" s="175">
        <f t="shared" ref="E265:G265" si="1053">E120*-1</f>
        <v>0</v>
      </c>
      <c r="F265" s="175">
        <f t="shared" si="1053"/>
        <v>0</v>
      </c>
      <c r="G265" s="175">
        <f t="shared" si="1053"/>
        <v>0</v>
      </c>
      <c r="H265" s="144"/>
      <c r="I265" s="91"/>
      <c r="J265" s="84">
        <f t="shared" si="1007"/>
        <v>0</v>
      </c>
    </row>
    <row r="266" spans="5:10" x14ac:dyDescent="0.25">
      <c r="E266" s="175">
        <f t="shared" ref="E266:G266" si="1054">E121*-1</f>
        <v>0</v>
      </c>
      <c r="F266" s="175">
        <f t="shared" si="1054"/>
        <v>0</v>
      </c>
      <c r="G266" s="175">
        <f t="shared" si="1054"/>
        <v>0</v>
      </c>
      <c r="H266" s="144"/>
      <c r="I266" s="91"/>
      <c r="J266" s="84">
        <f t="shared" si="1007"/>
        <v>0</v>
      </c>
    </row>
    <row r="267" spans="5:10" x14ac:dyDescent="0.25">
      <c r="E267" s="175">
        <f t="shared" ref="E267:G267" si="1055">E122*-1</f>
        <v>0</v>
      </c>
      <c r="F267" s="175">
        <f t="shared" si="1055"/>
        <v>0</v>
      </c>
      <c r="G267" s="175">
        <f t="shared" si="1055"/>
        <v>0</v>
      </c>
      <c r="H267" s="144"/>
      <c r="I267" s="91"/>
      <c r="J267" s="84">
        <f t="shared" si="1007"/>
        <v>0</v>
      </c>
    </row>
    <row r="268" spans="5:10" x14ac:dyDescent="0.25">
      <c r="E268" s="175">
        <f t="shared" ref="E268:G268" si="1056">E123*-1</f>
        <v>0</v>
      </c>
      <c r="F268" s="175">
        <f t="shared" si="1056"/>
        <v>0</v>
      </c>
      <c r="G268" s="175">
        <f t="shared" si="1056"/>
        <v>0</v>
      </c>
      <c r="H268" s="144"/>
      <c r="I268" s="91"/>
      <c r="J268" s="84">
        <f t="shared" si="1007"/>
        <v>0</v>
      </c>
    </row>
    <row r="269" spans="5:10" x14ac:dyDescent="0.25">
      <c r="E269" s="175">
        <f t="shared" ref="E269:G269" si="1057">E124*-1</f>
        <v>0</v>
      </c>
      <c r="F269" s="175">
        <f t="shared" si="1057"/>
        <v>0</v>
      </c>
      <c r="G269" s="175">
        <f t="shared" si="1057"/>
        <v>0</v>
      </c>
      <c r="H269" s="144"/>
      <c r="I269" s="91"/>
      <c r="J269" s="84">
        <f t="shared" si="1007"/>
        <v>0</v>
      </c>
    </row>
    <row r="270" spans="5:10" x14ac:dyDescent="0.25">
      <c r="E270" s="175">
        <f t="shared" ref="E270:G270" si="1058">E125*-1</f>
        <v>0</v>
      </c>
      <c r="F270" s="175">
        <f t="shared" si="1058"/>
        <v>0</v>
      </c>
      <c r="G270" s="175">
        <f t="shared" si="1058"/>
        <v>0</v>
      </c>
      <c r="H270" s="144"/>
      <c r="I270" s="91"/>
      <c r="J270" s="84">
        <f t="shared" si="1007"/>
        <v>0</v>
      </c>
    </row>
    <row r="271" spans="5:10" x14ac:dyDescent="0.25">
      <c r="E271" s="175">
        <f t="shared" ref="E271:G271" si="1059">E126*-1</f>
        <v>0</v>
      </c>
      <c r="F271" s="175">
        <f t="shared" si="1059"/>
        <v>0</v>
      </c>
      <c r="G271" s="175">
        <f t="shared" si="1059"/>
        <v>0</v>
      </c>
      <c r="H271" s="144"/>
      <c r="I271" s="91"/>
      <c r="J271" s="84">
        <f t="shared" si="1007"/>
        <v>0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5" t="s">
        <v>1</v>
      </c>
      <c r="O2" s="1026"/>
      <c r="P2" s="1026"/>
      <c r="Q2" s="1026"/>
      <c r="R2" s="1026"/>
      <c r="S2" s="1026"/>
      <c r="T2" s="1026"/>
      <c r="U2" s="1026"/>
      <c r="V2" s="1026"/>
      <c r="W2" s="1026"/>
      <c r="X2" s="1026"/>
      <c r="Y2" s="1027"/>
      <c r="Z2" s="1025" t="s">
        <v>2</v>
      </c>
      <c r="AA2" s="1026"/>
      <c r="AB2" s="1026"/>
      <c r="AC2" s="1026"/>
      <c r="AD2" s="1026"/>
      <c r="AE2" s="1026"/>
      <c r="AF2" s="1026"/>
      <c r="AG2" s="1026"/>
      <c r="AH2" s="1026"/>
      <c r="AI2" s="1026"/>
      <c r="AJ2" s="1026"/>
      <c r="AK2" s="1026"/>
      <c r="AL2" s="1026"/>
      <c r="AM2" s="1026"/>
      <c r="AN2" s="1026"/>
      <c r="AO2" s="1026"/>
      <c r="AP2" s="1026"/>
      <c r="AQ2" s="1051"/>
      <c r="AS2" s="1033" t="s">
        <v>44</v>
      </c>
      <c r="AT2" s="1034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9"/>
      <c r="C3" s="970"/>
      <c r="D3" s="970"/>
      <c r="E3" s="970"/>
      <c r="F3" s="970"/>
      <c r="G3" s="970"/>
      <c r="H3" s="970"/>
      <c r="I3" s="970"/>
      <c r="J3" s="970"/>
      <c r="K3" s="971"/>
      <c r="L3" s="36"/>
      <c r="M3" s="1274"/>
      <c r="N3" s="1028"/>
      <c r="O3" s="1029"/>
      <c r="P3" s="1029"/>
      <c r="Q3" s="1029"/>
      <c r="R3" s="1029"/>
      <c r="S3" s="1029"/>
      <c r="T3" s="1029"/>
      <c r="U3" s="1029"/>
      <c r="V3" s="1029"/>
      <c r="W3" s="1029"/>
      <c r="X3" s="1029"/>
      <c r="Y3" s="1030"/>
      <c r="Z3" s="1070"/>
      <c r="AA3" s="1071"/>
      <c r="AB3" s="1071"/>
      <c r="AC3" s="1071"/>
      <c r="AD3" s="1071"/>
      <c r="AE3" s="1071"/>
      <c r="AF3" s="1071"/>
      <c r="AG3" s="1071"/>
      <c r="AH3" s="1071"/>
      <c r="AI3" s="1071"/>
      <c r="AJ3" s="1071"/>
      <c r="AK3" s="1071"/>
      <c r="AL3" s="1071"/>
      <c r="AM3" s="1071"/>
      <c r="AN3" s="1071"/>
      <c r="AO3" s="1071"/>
      <c r="AP3" s="1071"/>
      <c r="AQ3" s="1072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69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90" t="s">
        <v>3</v>
      </c>
      <c r="O4" s="985"/>
      <c r="P4" s="985"/>
      <c r="Q4" s="984" t="s">
        <v>4</v>
      </c>
      <c r="R4" s="985"/>
      <c r="S4" s="1007"/>
      <c r="T4" s="1000" t="str">
        <f>N4</f>
        <v>Cartesian Coordinates</v>
      </c>
      <c r="U4" s="967"/>
      <c r="V4" s="1001"/>
      <c r="W4" s="967" t="str">
        <f>Q4</f>
        <v>Polar XY; Cartesian Z</v>
      </c>
      <c r="X4" s="967"/>
      <c r="Y4" s="968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9" t="str">
        <f>CONCATENATE(B7," ; ",E7," ; ",H8)</f>
        <v>Absolute-Point ; Incremental-Vector Point ; Radius</v>
      </c>
      <c r="C5" s="970"/>
      <c r="D5" s="970"/>
      <c r="E5" s="970"/>
      <c r="F5" s="970"/>
      <c r="G5" s="970"/>
      <c r="H5" s="970"/>
      <c r="I5" s="970"/>
      <c r="J5" s="970"/>
      <c r="K5" s="971"/>
      <c r="L5" s="36"/>
      <c r="M5" s="1274"/>
      <c r="N5" s="1012" t="s">
        <v>5</v>
      </c>
      <c r="O5" s="1013"/>
      <c r="P5" s="1013"/>
      <c r="Q5" s="1046" t="s">
        <v>6</v>
      </c>
      <c r="R5" s="1013"/>
      <c r="S5" s="1047"/>
      <c r="T5" s="1018" t="str">
        <f>CONCATENATE("Relative to ",M8,"'s θ &amp; Z; Z Axis")</f>
        <v>Relative to 's θ &amp; Z; Z Axis</v>
      </c>
      <c r="U5" s="992"/>
      <c r="V5" s="1045"/>
      <c r="W5" s="992" t="str">
        <f>CONCATENATE("Relative to ",M8,"'s θ &amp; Z; Z Axis")</f>
        <v>Relative to 's θ &amp; Z; Z Axis</v>
      </c>
      <c r="X5" s="992"/>
      <c r="Y5" s="1002"/>
      <c r="Z5" s="991" t="str">
        <f>N5</f>
        <v>Relative to World_CS</v>
      </c>
      <c r="AA5" s="992"/>
      <c r="AB5" s="992"/>
      <c r="AC5" s="992"/>
      <c r="AD5" s="992"/>
      <c r="AE5" s="992"/>
      <c r="AF5" s="992"/>
      <c r="AG5" s="1018" t="str">
        <f>N5</f>
        <v>Relative to World_CS</v>
      </c>
      <c r="AH5" s="992"/>
      <c r="AI5" s="992"/>
      <c r="AJ5" s="1019"/>
      <c r="AK5" s="1056" t="s">
        <v>7</v>
      </c>
      <c r="AL5" s="1013"/>
      <c r="AM5" s="1013"/>
      <c r="AN5" s="1013"/>
      <c r="AO5" s="1013"/>
      <c r="AP5" s="1013"/>
      <c r="AQ5" s="1047"/>
      <c r="AS5" s="57">
        <f>((AS4*12)/60)/AS3</f>
        <v>0.25</v>
      </c>
      <c r="AT5" s="486" t="s">
        <v>47</v>
      </c>
      <c r="AV5" s="1265"/>
      <c r="AW5" s="1000" t="str">
        <f>W4</f>
        <v>Polar XY; Cartesian Z</v>
      </c>
      <c r="AX5" s="967"/>
      <c r="AY5" s="967"/>
      <c r="AZ5" s="1203" t="s">
        <v>104</v>
      </c>
      <c r="BA5" s="967" t="str">
        <f>AK4</f>
        <v>Polar Z Projection → XZ Plane</v>
      </c>
      <c r="BB5" s="967"/>
      <c r="BC5" s="1076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2"/>
      <c r="C6" s="973"/>
      <c r="D6" s="973"/>
      <c r="E6" s="973"/>
      <c r="F6" s="973"/>
      <c r="G6" s="973"/>
      <c r="H6" s="973"/>
      <c r="I6" s="973"/>
      <c r="J6" s="973"/>
      <c r="K6" s="974"/>
      <c r="L6" s="36"/>
      <c r="M6" s="1274"/>
      <c r="N6" s="1008" t="s">
        <v>8</v>
      </c>
      <c r="O6" s="1010" t="s">
        <v>9</v>
      </c>
      <c r="P6" s="1005" t="s">
        <v>10</v>
      </c>
      <c r="Q6" s="1014" t="s">
        <v>11</v>
      </c>
      <c r="R6" s="1015"/>
      <c r="S6" s="1003" t="s">
        <v>10</v>
      </c>
      <c r="T6" s="1041" t="str">
        <f>N6</f>
        <v>X</v>
      </c>
      <c r="U6" s="1043" t="str">
        <f>O6</f>
        <v>Y</v>
      </c>
      <c r="V6" s="998" t="str">
        <f>P6</f>
        <v>Z</v>
      </c>
      <c r="W6" s="988" t="str">
        <f>Q6</f>
        <v>Projected XY</v>
      </c>
      <c r="X6" s="989"/>
      <c r="Y6" s="1039" t="str">
        <f>S6</f>
        <v>Z</v>
      </c>
      <c r="Z6" s="1021" t="s">
        <v>12</v>
      </c>
      <c r="AA6" s="979"/>
      <c r="AB6" s="979"/>
      <c r="AC6" s="1022"/>
      <c r="AD6" s="984" t="s">
        <v>13</v>
      </c>
      <c r="AE6" s="985"/>
      <c r="AF6" s="985"/>
      <c r="AG6" s="1020" t="s">
        <v>7</v>
      </c>
      <c r="AH6" s="985"/>
      <c r="AI6" s="984" t="s">
        <v>14</v>
      </c>
      <c r="AJ6" s="1007"/>
      <c r="AK6" s="1000" t="str">
        <f>AD6</f>
        <v>Unit Vector</v>
      </c>
      <c r="AL6" s="967"/>
      <c r="AM6" s="1076"/>
      <c r="AN6" s="37" t="s">
        <v>15</v>
      </c>
      <c r="AO6" s="38" t="s">
        <v>16</v>
      </c>
      <c r="AP6" s="189" t="s">
        <v>17</v>
      </c>
      <c r="AQ6" s="1031" t="s">
        <v>108</v>
      </c>
      <c r="AS6" s="177">
        <f>AS5/360</f>
        <v>6.9444444444444447E-4</v>
      </c>
      <c r="AT6" s="487" t="s">
        <v>48</v>
      </c>
      <c r="AV6" s="1265"/>
      <c r="AW6" s="1018" t="str">
        <f>W5</f>
        <v>Relative to 's θ &amp; Z; Z Axis</v>
      </c>
      <c r="AX6" s="992"/>
      <c r="AY6" s="992"/>
      <c r="AZ6" s="1261"/>
      <c r="BA6" s="992" t="str">
        <f>AK5</f>
        <v>Vector Along X Axis</v>
      </c>
      <c r="BB6" s="992"/>
      <c r="BC6" s="1019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3" t="s">
        <v>40</v>
      </c>
      <c r="C7" s="994"/>
      <c r="D7" s="995"/>
      <c r="E7" s="996" t="s">
        <v>41</v>
      </c>
      <c r="F7" s="994"/>
      <c r="G7" s="997"/>
      <c r="H7" s="908" t="s">
        <v>314</v>
      </c>
      <c r="I7" s="911"/>
      <c r="J7" s="898"/>
      <c r="K7" s="564"/>
      <c r="L7" s="36"/>
      <c r="M7" s="1275"/>
      <c r="N7" s="1009"/>
      <c r="O7" s="1011"/>
      <c r="P7" s="1006"/>
      <c r="Q7" s="39" t="s">
        <v>18</v>
      </c>
      <c r="R7" s="2" t="s">
        <v>19</v>
      </c>
      <c r="S7" s="1004"/>
      <c r="T7" s="1042"/>
      <c r="U7" s="1044"/>
      <c r="V7" s="999"/>
      <c r="W7" s="40" t="str">
        <f>Q7</f>
        <v>&lt; θ°</v>
      </c>
      <c r="X7" s="30" t="str">
        <f>R7</f>
        <v>r</v>
      </c>
      <c r="Y7" s="104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32"/>
      <c r="AS7" s="1037" t="s">
        <v>54</v>
      </c>
      <c r="AT7" s="1035" t="s">
        <v>53</v>
      </c>
      <c r="AV7" s="1265"/>
      <c r="AW7" s="1260" t="str">
        <f>$W$6</f>
        <v>Projected XY</v>
      </c>
      <c r="AX7" s="989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8"/>
      <c r="AT8" s="1036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5" t="s">
        <v>42</v>
      </c>
      <c r="C157" s="976"/>
      <c r="D157" s="976"/>
      <c r="E157" s="976"/>
      <c r="F157" s="976"/>
      <c r="G157" s="976"/>
      <c r="H157" s="976"/>
      <c r="I157" s="976"/>
      <c r="J157" s="976"/>
      <c r="K157" s="977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8"/>
      <c r="C158" s="979"/>
      <c r="D158" s="979"/>
      <c r="E158" s="979"/>
      <c r="F158" s="979"/>
      <c r="G158" s="979"/>
      <c r="H158" s="979"/>
      <c r="I158" s="979"/>
      <c r="J158" s="979"/>
      <c r="K158" s="980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1"/>
      <c r="C159" s="982"/>
      <c r="D159" s="982"/>
      <c r="E159" s="982"/>
      <c r="F159" s="982"/>
      <c r="G159" s="982"/>
      <c r="H159" s="982"/>
      <c r="I159" s="982"/>
      <c r="J159" s="982"/>
      <c r="K159" s="983"/>
      <c r="AQ159" s="171"/>
    </row>
    <row r="160" spans="2:60" ht="15" customHeight="1" x14ac:dyDescent="0.25">
      <c r="B160" s="969" t="str">
        <f>CONCATENATE(B162," ; ",E162," ; ",H163)</f>
        <v>Absolute-Point ; Incremental-Vector Point ; Radius</v>
      </c>
      <c r="C160" s="970"/>
      <c r="D160" s="970"/>
      <c r="E160" s="970"/>
      <c r="F160" s="970"/>
      <c r="G160" s="970"/>
      <c r="H160" s="970"/>
      <c r="I160" s="970"/>
      <c r="J160" s="970"/>
      <c r="K160" s="971"/>
      <c r="AQ160" s="171"/>
    </row>
    <row r="161" spans="2:43" ht="15" customHeight="1" x14ac:dyDescent="0.25">
      <c r="B161" s="972"/>
      <c r="C161" s="973"/>
      <c r="D161" s="973"/>
      <c r="E161" s="973"/>
      <c r="F161" s="973"/>
      <c r="G161" s="973"/>
      <c r="H161" s="973"/>
      <c r="I161" s="973"/>
      <c r="J161" s="973"/>
      <c r="K161" s="974"/>
      <c r="AQ161" s="171"/>
    </row>
    <row r="162" spans="2:43" ht="15" customHeight="1" x14ac:dyDescent="0.25">
      <c r="B162" s="993" t="s">
        <v>40</v>
      </c>
      <c r="C162" s="994"/>
      <c r="D162" s="995"/>
      <c r="E162" s="996" t="s">
        <v>41</v>
      </c>
      <c r="F162" s="994"/>
      <c r="G162" s="997"/>
      <c r="H162" s="908" t="s">
        <v>314</v>
      </c>
      <c r="I162" s="911"/>
      <c r="J162" s="898"/>
      <c r="K162" s="564"/>
      <c r="M162" s="1197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1313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1313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1313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1.1100000000000001</v>
      </c>
      <c r="N167" s="594" t="str">
        <f>Assy.Model!K12</f>
        <v>1313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1.1160000000000001</v>
      </c>
      <c r="N168" s="594" t="str">
        <f>Assy.Model!K13</f>
        <v>1313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1.1220000000000001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1.1339999999999999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1.1399999999999999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1.206</v>
      </c>
      <c r="N172" s="594" t="str">
        <f>Assy.Model!K17</f>
        <v/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1.2090000000000001</v>
      </c>
      <c r="N173" s="594" t="str">
        <f>Assy.Model!K18</f>
        <v/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1.228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2.1150000000000002</v>
      </c>
      <c r="N175" s="594" t="str">
        <f>Assy.Model!K20</f>
        <v>1313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2.121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2.1269999999999998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2.133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2.1389999999999998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3.1030000000000002</v>
      </c>
      <c r="N180" s="594" t="str">
        <f>Assy.Model!K25</f>
        <v>1313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3.1059999999999999</v>
      </c>
      <c r="N181" s="594" t="str">
        <f>Assy.Model!K26</f>
        <v>1313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3.109</v>
      </c>
      <c r="N182" s="594" t="str">
        <f>Assy.Model!K27</f>
        <v>1313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3.1139999999999999</v>
      </c>
      <c r="N183" s="594" t="str">
        <f>Assy.Model!K28</f>
        <v>1313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3.12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3.1259999999999999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3.1320000000000001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3.1379999999999999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3.2050000000000001</v>
      </c>
      <c r="N188" s="594" t="str">
        <f>Assy.Model!K33</f>
        <v/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3.2080000000000002</v>
      </c>
      <c r="N189" s="594" t="str">
        <f>Assy.Model!K34</f>
        <v/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4.1130000000000004</v>
      </c>
      <c r="N190" s="594" t="str">
        <f>Assy.Model!K35</f>
        <v>1313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4.1189999999999998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4.125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4.1310000000000002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4.1369999999999996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5.1020000000000003</v>
      </c>
      <c r="N195" s="594" t="str">
        <f>Assy.Model!K40</f>
        <v>1313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5.1050000000000004</v>
      </c>
      <c r="N196" s="594" t="str">
        <f>Assy.Model!K41</f>
        <v>1313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5.1079999999999997</v>
      </c>
      <c r="N197" s="594" t="str">
        <f>Assy.Model!K42</f>
        <v>1313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5.1120000000000001</v>
      </c>
      <c r="N198" s="594" t="str">
        <f>Assy.Model!K43</f>
        <v>1313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5.1180000000000003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5.1239999999999997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5.13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5.1360000000000001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5.1420000000000003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5.2069999999999999</v>
      </c>
      <c r="N204" s="594" t="str">
        <f>Assy.Model!K49</f>
        <v/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5.21</v>
      </c>
      <c r="N205" s="594" t="str">
        <f>Assy.Model!K50</f>
        <v/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6.1109999999999998</v>
      </c>
      <c r="N206" s="594" t="str">
        <f>Assy.Model!K51</f>
        <v>1313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6.117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6.1230000000000002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6.1289999999999996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6.1349999999999998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6.141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 t="str">
        <f>Assy.Model!$M57</f>
        <v/>
      </c>
      <c r="N212" s="594" t="str">
        <f>Assy.Model!K57</f>
        <v/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 t="str">
        <f>Assy.Model!$M58</f>
        <v/>
      </c>
      <c r="N213" s="594" t="str">
        <f>Assy.Model!K58</f>
        <v/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 t="str">
        <f>Assy.Model!$M59</f>
        <v/>
      </c>
      <c r="N214" s="594" t="str">
        <f>Assy.Model!K59</f>
        <v/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 t="str">
        <f>Assy.Model!$M60</f>
        <v/>
      </c>
      <c r="N215" s="594" t="str">
        <f>Assy.Model!K60</f>
        <v/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 t="str">
        <f>Assy.Model!$M61</f>
        <v/>
      </c>
      <c r="N216" s="594" t="str">
        <f>Assy.Model!K61</f>
        <v/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 t="str">
        <f>Assy.Model!$M62</f>
        <v/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2023-03-21T12:36:40Z</dcterms:modified>
</cp:coreProperties>
</file>