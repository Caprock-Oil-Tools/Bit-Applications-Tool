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vi_\Documents\CapRock\12.25 616 xr(k)(br)\"/>
    </mc:Choice>
  </mc:AlternateContent>
  <bookViews>
    <workbookView xWindow="840" yWindow="1560" windowWidth="21075" windowHeight="8250"/>
  </bookViews>
  <sheets>
    <sheet name="12.25" sheetId="7" r:id="rId1"/>
    <sheet name="Data" sheetId="1" r:id="rId2"/>
  </sheets>
  <calcPr calcId="162913"/>
</workbook>
</file>

<file path=xl/calcChain.xml><?xml version="1.0" encoding="utf-8"?>
<calcChain xmlns="http://schemas.openxmlformats.org/spreadsheetml/2006/main">
  <c r="G55" i="1" l="1"/>
  <c r="I55" i="1" s="1"/>
  <c r="G56" i="1"/>
  <c r="I56" i="1" s="1"/>
  <c r="G57" i="1"/>
  <c r="I57" i="1" s="1"/>
  <c r="G58" i="1"/>
  <c r="I58" i="1" s="1"/>
  <c r="G59" i="1"/>
  <c r="I59" i="1" s="1"/>
  <c r="G54" i="1"/>
  <c r="I54" i="1" s="1"/>
  <c r="I52" i="1"/>
  <c r="I5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3" i="1"/>
  <c r="D65" i="1"/>
  <c r="D64" i="1"/>
  <c r="D63" i="1"/>
  <c r="D62" i="1"/>
  <c r="D61" i="1"/>
  <c r="D60" i="1"/>
  <c r="D59" i="1"/>
  <c r="D58" i="1"/>
  <c r="D57" i="1"/>
  <c r="D56" i="1"/>
  <c r="D55" i="1"/>
  <c r="D54" i="1"/>
  <c r="D53" i="1"/>
  <c r="D52" i="1"/>
  <c r="D51" i="1"/>
  <c r="D50" i="1"/>
  <c r="D49" i="1"/>
  <c r="D48" i="1"/>
  <c r="D47" i="1"/>
  <c r="D46" i="1"/>
  <c r="D45" i="1"/>
  <c r="D44" i="1"/>
  <c r="D43" i="1"/>
  <c r="D42" i="1"/>
  <c r="D41" i="1"/>
  <c r="D40" i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4" i="1"/>
  <c r="D3" i="1"/>
</calcChain>
</file>

<file path=xl/sharedStrings.xml><?xml version="1.0" encoding="utf-8"?>
<sst xmlns="http://schemas.openxmlformats.org/spreadsheetml/2006/main" count="7" uniqueCount="4">
  <si>
    <t>Radius</t>
  </si>
  <si>
    <t>Backrake</t>
  </si>
  <si>
    <t>%Rad</t>
  </si>
  <si>
    <t>2078 &amp; 2134 &amp; 2138 &amp; 2148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</si>
</sst>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0" fillId="0" borderId="0" xfId="0" applyAlignment="1">
      <alignment horizontal="right"/>
    </xf>
    <xf numFmtId="10" fontId="0" fillId="0" borderId="0" xfId="0" applyNumberFormat="1"/>
  </cellXfs>
  <cellStyles count="2">
    <cellStyle name="Normal" xfId="0" builtinId="0"/>
    <cellStyle name="Normal 3" xfId="1"/>
  </cellStyles>
  <dxfs count="0"/>
  <tableStyles count="0" defaultTableStyle="TableStyleMedium9" defaultPivotStyle="PivotStyleLight16"/>
  <colors>
    <mruColors>
      <color rgb="FF008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Cutter Backrake vs Radial</a:t>
            </a:r>
            <a:r>
              <a:rPr lang="en-US" baseline="0"/>
              <a:t> Position</a:t>
            </a:r>
          </a:p>
        </c:rich>
      </c:tx>
      <c:layout/>
      <c:overlay val="1"/>
    </c:title>
    <c:autoTitleDeleted val="0"/>
    <c:plotArea>
      <c:layout>
        <c:manualLayout>
          <c:layoutTarget val="inner"/>
          <c:xMode val="edge"/>
          <c:yMode val="edge"/>
          <c:x val="9.9352490852794045E-2"/>
          <c:y val="0.11314794485002024"/>
          <c:w val="0.86192924378449476"/>
          <c:h val="0.77385703825088914"/>
        </c:manualLayout>
      </c:layout>
      <c:scatterChart>
        <c:scatterStyle val="lineMarker"/>
        <c:varyColors val="0"/>
        <c:ser>
          <c:idx val="1"/>
          <c:order val="0"/>
          <c:tx>
            <c:strRef>
              <c:f>Data!$B$1</c:f>
              <c:strCache>
                <c:ptCount val="1"/>
                <c:pt idx="0">
                  <c:v>2078 &amp; 2134 &amp; 2138 &amp; 2148</c:v>
                </c:pt>
              </c:strCache>
            </c:strRef>
          </c:tx>
          <c:spPr>
            <a:ln w="12700"/>
          </c:spPr>
          <c:marker>
            <c:symbol val="diamond"/>
            <c:size val="4"/>
            <c:spPr>
              <a:ln>
                <a:solidFill>
                  <a:srgbClr val="C0504D">
                    <a:shade val="76000"/>
                    <a:shade val="95000"/>
                    <a:satMod val="105000"/>
                  </a:srgbClr>
                </a:solidFill>
              </a:ln>
            </c:spPr>
          </c:marker>
          <c:xVal>
            <c:numRef>
              <c:f>Data!$D$3:$D$65</c:f>
              <c:numCache>
                <c:formatCode>0.00%</c:formatCode>
                <c:ptCount val="63"/>
                <c:pt idx="0">
                  <c:v>3.777959183673469E-2</c:v>
                </c:pt>
                <c:pt idx="1">
                  <c:v>6.9975510204081631E-2</c:v>
                </c:pt>
                <c:pt idx="2">
                  <c:v>0.10759183673469389</c:v>
                </c:pt>
                <c:pt idx="3">
                  <c:v>0.14321632653061225</c:v>
                </c:pt>
                <c:pt idx="4">
                  <c:v>0.18099591836734694</c:v>
                </c:pt>
                <c:pt idx="5">
                  <c:v>0.21879183673469388</c:v>
                </c:pt>
                <c:pt idx="6">
                  <c:v>0.25657142857142856</c:v>
                </c:pt>
                <c:pt idx="7">
                  <c:v>0.29435102040816324</c:v>
                </c:pt>
                <c:pt idx="8">
                  <c:v>0.33213061224489798</c:v>
                </c:pt>
                <c:pt idx="9">
                  <c:v>0.37200000000000005</c:v>
                </c:pt>
                <c:pt idx="10">
                  <c:v>0.39299591836734693</c:v>
                </c:pt>
                <c:pt idx="11">
                  <c:v>0.41586938775510207</c:v>
                </c:pt>
                <c:pt idx="12">
                  <c:v>0.43902040816326532</c:v>
                </c:pt>
                <c:pt idx="13">
                  <c:v>0.46238367346938775</c:v>
                </c:pt>
                <c:pt idx="14">
                  <c:v>0.48586122448979596</c:v>
                </c:pt>
                <c:pt idx="15">
                  <c:v>0.51008979591836734</c:v>
                </c:pt>
                <c:pt idx="16">
                  <c:v>0.53428571428571425</c:v>
                </c:pt>
                <c:pt idx="17">
                  <c:v>0.55835102040816331</c:v>
                </c:pt>
                <c:pt idx="18">
                  <c:v>0.58217142857142856</c:v>
                </c:pt>
                <c:pt idx="19">
                  <c:v>0.60571428571428576</c:v>
                </c:pt>
                <c:pt idx="20">
                  <c:v>0.62884897959183672</c:v>
                </c:pt>
                <c:pt idx="21">
                  <c:v>0.65149387755102039</c:v>
                </c:pt>
                <c:pt idx="22">
                  <c:v>0.67359999999999998</c:v>
                </c:pt>
                <c:pt idx="23">
                  <c:v>0.69505306122448984</c:v>
                </c:pt>
                <c:pt idx="24">
                  <c:v>0.71369795918367351</c:v>
                </c:pt>
                <c:pt idx="25">
                  <c:v>0.73170612244897959</c:v>
                </c:pt>
                <c:pt idx="26">
                  <c:v>0.74904489795918372</c:v>
                </c:pt>
                <c:pt idx="27">
                  <c:v>0.76571428571428579</c:v>
                </c:pt>
                <c:pt idx="28">
                  <c:v>0.78171428571428581</c:v>
                </c:pt>
                <c:pt idx="29">
                  <c:v>0.79706122448979588</c:v>
                </c:pt>
                <c:pt idx="30">
                  <c:v>0.81173877551020401</c:v>
                </c:pt>
                <c:pt idx="31">
                  <c:v>0.82576326530612254</c:v>
                </c:pt>
                <c:pt idx="32">
                  <c:v>0.83916734693877548</c:v>
                </c:pt>
                <c:pt idx="33">
                  <c:v>0.85195102040816328</c:v>
                </c:pt>
                <c:pt idx="34">
                  <c:v>0.86413061224489796</c:v>
                </c:pt>
                <c:pt idx="35">
                  <c:v>0.87555918367346941</c:v>
                </c:pt>
                <c:pt idx="36">
                  <c:v>0.88656326530612251</c:v>
                </c:pt>
                <c:pt idx="37">
                  <c:v>0.89701224489795917</c:v>
                </c:pt>
                <c:pt idx="38">
                  <c:v>0.90690612244897961</c:v>
                </c:pt>
                <c:pt idx="39">
                  <c:v>0.91627755102040809</c:v>
                </c:pt>
                <c:pt idx="40">
                  <c:v>0.92517551020408162</c:v>
                </c:pt>
                <c:pt idx="41">
                  <c:v>0.93325714285714279</c:v>
                </c:pt>
                <c:pt idx="42">
                  <c:v>0.94109387755102036</c:v>
                </c:pt>
                <c:pt idx="43">
                  <c:v>0.94844081632653054</c:v>
                </c:pt>
                <c:pt idx="44">
                  <c:v>0.95529795918367355</c:v>
                </c:pt>
                <c:pt idx="45">
                  <c:v>0.96168163265306117</c:v>
                </c:pt>
                <c:pt idx="46">
                  <c:v>0.96739591836734695</c:v>
                </c:pt>
                <c:pt idx="47">
                  <c:v>0.97286530612244904</c:v>
                </c:pt>
                <c:pt idx="48">
                  <c:v>0.97787755102040808</c:v>
                </c:pt>
                <c:pt idx="49">
                  <c:v>0.98244897959183675</c:v>
                </c:pt>
                <c:pt idx="50">
                  <c:v>0.98635102040816336</c:v>
                </c:pt>
                <c:pt idx="51">
                  <c:v>0.99004081632653063</c:v>
                </c:pt>
                <c:pt idx="52">
                  <c:v>0.99332244897959188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</c:numCache>
            </c:numRef>
          </c:xVal>
          <c:yVal>
            <c:numRef>
              <c:f>Data!$C$3:$C$65</c:f>
              <c:numCache>
                <c:formatCode>General</c:formatCode>
                <c:ptCount val="63"/>
                <c:pt idx="0">
                  <c:v>20</c:v>
                </c:pt>
                <c:pt idx="1">
                  <c:v>17.5</c:v>
                </c:pt>
                <c:pt idx="2">
                  <c:v>15</c:v>
                </c:pt>
                <c:pt idx="3">
                  <c:v>15</c:v>
                </c:pt>
                <c:pt idx="4">
                  <c:v>15</c:v>
                </c:pt>
                <c:pt idx="5">
                  <c:v>15</c:v>
                </c:pt>
                <c:pt idx="6">
                  <c:v>15</c:v>
                </c:pt>
                <c:pt idx="7">
                  <c:v>15</c:v>
                </c:pt>
                <c:pt idx="8">
                  <c:v>15</c:v>
                </c:pt>
                <c:pt idx="9">
                  <c:v>15</c:v>
                </c:pt>
                <c:pt idx="10">
                  <c:v>15</c:v>
                </c:pt>
                <c:pt idx="11">
                  <c:v>15</c:v>
                </c:pt>
                <c:pt idx="12">
                  <c:v>15</c:v>
                </c:pt>
                <c:pt idx="13">
                  <c:v>15</c:v>
                </c:pt>
                <c:pt idx="14">
                  <c:v>15</c:v>
                </c:pt>
                <c:pt idx="15">
                  <c:v>15</c:v>
                </c:pt>
                <c:pt idx="16">
                  <c:v>15</c:v>
                </c:pt>
                <c:pt idx="17">
                  <c:v>15</c:v>
                </c:pt>
                <c:pt idx="18">
                  <c:v>15</c:v>
                </c:pt>
                <c:pt idx="19">
                  <c:v>15</c:v>
                </c:pt>
                <c:pt idx="20">
                  <c:v>15</c:v>
                </c:pt>
                <c:pt idx="21">
                  <c:v>15</c:v>
                </c:pt>
                <c:pt idx="22">
                  <c:v>15</c:v>
                </c:pt>
                <c:pt idx="23">
                  <c:v>15</c:v>
                </c:pt>
                <c:pt idx="24">
                  <c:v>15</c:v>
                </c:pt>
                <c:pt idx="25">
                  <c:v>15</c:v>
                </c:pt>
                <c:pt idx="26">
                  <c:v>15</c:v>
                </c:pt>
                <c:pt idx="27">
                  <c:v>15</c:v>
                </c:pt>
                <c:pt idx="28">
                  <c:v>15</c:v>
                </c:pt>
                <c:pt idx="29">
                  <c:v>15</c:v>
                </c:pt>
                <c:pt idx="30">
                  <c:v>15</c:v>
                </c:pt>
                <c:pt idx="31">
                  <c:v>15</c:v>
                </c:pt>
                <c:pt idx="32">
                  <c:v>15</c:v>
                </c:pt>
                <c:pt idx="33">
                  <c:v>15</c:v>
                </c:pt>
                <c:pt idx="34">
                  <c:v>15</c:v>
                </c:pt>
                <c:pt idx="35">
                  <c:v>16</c:v>
                </c:pt>
                <c:pt idx="36">
                  <c:v>16</c:v>
                </c:pt>
                <c:pt idx="37">
                  <c:v>16</c:v>
                </c:pt>
                <c:pt idx="38">
                  <c:v>16</c:v>
                </c:pt>
                <c:pt idx="39">
                  <c:v>16</c:v>
                </c:pt>
                <c:pt idx="40">
                  <c:v>16</c:v>
                </c:pt>
                <c:pt idx="41">
                  <c:v>17</c:v>
                </c:pt>
                <c:pt idx="42">
                  <c:v>17</c:v>
                </c:pt>
                <c:pt idx="43">
                  <c:v>17</c:v>
                </c:pt>
                <c:pt idx="44">
                  <c:v>17</c:v>
                </c:pt>
                <c:pt idx="45">
                  <c:v>17</c:v>
                </c:pt>
                <c:pt idx="46">
                  <c:v>18</c:v>
                </c:pt>
                <c:pt idx="47">
                  <c:v>18</c:v>
                </c:pt>
                <c:pt idx="48">
                  <c:v>18</c:v>
                </c:pt>
                <c:pt idx="49">
                  <c:v>18</c:v>
                </c:pt>
                <c:pt idx="50">
                  <c:v>19</c:v>
                </c:pt>
                <c:pt idx="51">
                  <c:v>19</c:v>
                </c:pt>
                <c:pt idx="52">
                  <c:v>19</c:v>
                </c:pt>
                <c:pt idx="53">
                  <c:v>20</c:v>
                </c:pt>
                <c:pt idx="54">
                  <c:v>20</c:v>
                </c:pt>
                <c:pt idx="55">
                  <c:v>25</c:v>
                </c:pt>
                <c:pt idx="56">
                  <c:v>30</c:v>
                </c:pt>
                <c:pt idx="57">
                  <c:v>40</c:v>
                </c:pt>
                <c:pt idx="58">
                  <c:v>40</c:v>
                </c:pt>
                <c:pt idx="59">
                  <c:v>40</c:v>
                </c:pt>
                <c:pt idx="60">
                  <c:v>40</c:v>
                </c:pt>
                <c:pt idx="61">
                  <c:v>40</c:v>
                </c:pt>
                <c:pt idx="62">
                  <c:v>40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4EC-40A6-871C-CEE6E790DB17}"/>
            </c:ext>
          </c:extLst>
        </c:ser>
        <c:ser>
          <c:idx val="0"/>
          <c:order val="1"/>
          <c:tx>
            <c:strRef>
              <c:f>Data!$G$1</c:f>
              <c:strCache>
                <c:ptCount val="1"/>
                <c:pt idx="0">
                  <c:v>2177</c:v>
                </c:pt>
              </c:strCache>
            </c:strRef>
          </c:tx>
          <c:xVal>
            <c:numRef>
              <c:f>Data!$I$3:$I$59</c:f>
              <c:numCache>
                <c:formatCode>0.00%</c:formatCode>
                <c:ptCount val="57"/>
                <c:pt idx="0">
                  <c:v>3.7551020408163265E-2</c:v>
                </c:pt>
                <c:pt idx="1">
                  <c:v>7.3959183673469389E-2</c:v>
                </c:pt>
                <c:pt idx="2">
                  <c:v>0.11118367346938776</c:v>
                </c:pt>
                <c:pt idx="3">
                  <c:v>0.14840816326530612</c:v>
                </c:pt>
                <c:pt idx="4">
                  <c:v>0.18798367346938774</c:v>
                </c:pt>
                <c:pt idx="5">
                  <c:v>0.22755918367346939</c:v>
                </c:pt>
                <c:pt idx="6">
                  <c:v>0.2671510204081633</c:v>
                </c:pt>
                <c:pt idx="7">
                  <c:v>0.30672653061224492</c:v>
                </c:pt>
                <c:pt idx="8">
                  <c:v>0.34631836734693877</c:v>
                </c:pt>
                <c:pt idx="9">
                  <c:v>0.38589387755102039</c:v>
                </c:pt>
                <c:pt idx="10">
                  <c:v>0.42796734693877553</c:v>
                </c:pt>
                <c:pt idx="11">
                  <c:v>0.45061224489795915</c:v>
                </c:pt>
                <c:pt idx="12">
                  <c:v>0.47348571428571429</c:v>
                </c:pt>
                <c:pt idx="13">
                  <c:v>0.49650612244897963</c:v>
                </c:pt>
                <c:pt idx="14">
                  <c:v>0.51962448979591835</c:v>
                </c:pt>
                <c:pt idx="15">
                  <c:v>0.5417632653061224</c:v>
                </c:pt>
                <c:pt idx="16">
                  <c:v>0.56388571428571432</c:v>
                </c:pt>
                <c:pt idx="17">
                  <c:v>0.58594285714285721</c:v>
                </c:pt>
                <c:pt idx="18">
                  <c:v>0.60786938775510202</c:v>
                </c:pt>
                <c:pt idx="19">
                  <c:v>0.62963265306122451</c:v>
                </c:pt>
                <c:pt idx="20">
                  <c:v>0.65115102040816331</c:v>
                </c:pt>
                <c:pt idx="21">
                  <c:v>0.67240816326530617</c:v>
                </c:pt>
                <c:pt idx="22">
                  <c:v>0.69332244897959183</c:v>
                </c:pt>
                <c:pt idx="23">
                  <c:v>0.71386122448979594</c:v>
                </c:pt>
                <c:pt idx="24">
                  <c:v>0.73395918367346935</c:v>
                </c:pt>
                <c:pt idx="25">
                  <c:v>0.75356734693877547</c:v>
                </c:pt>
                <c:pt idx="26">
                  <c:v>0.77257142857142858</c:v>
                </c:pt>
                <c:pt idx="27">
                  <c:v>0.79106938775510205</c:v>
                </c:pt>
                <c:pt idx="28">
                  <c:v>0.8089632653061225</c:v>
                </c:pt>
                <c:pt idx="29">
                  <c:v>0.82617142857142856</c:v>
                </c:pt>
                <c:pt idx="30">
                  <c:v>0.84269387755102043</c:v>
                </c:pt>
                <c:pt idx="31">
                  <c:v>0.85833469387755101</c:v>
                </c:pt>
                <c:pt idx="32">
                  <c:v>0.87330612244897965</c:v>
                </c:pt>
                <c:pt idx="33">
                  <c:v>0.88747755102040826</c:v>
                </c:pt>
                <c:pt idx="34">
                  <c:v>0.90076734693877547</c:v>
                </c:pt>
                <c:pt idx="35">
                  <c:v>0.91302857142857141</c:v>
                </c:pt>
                <c:pt idx="36">
                  <c:v>0.92452244897959179</c:v>
                </c:pt>
                <c:pt idx="37">
                  <c:v>0.9350857142857143</c:v>
                </c:pt>
                <c:pt idx="38">
                  <c:v>0.94447346938775512</c:v>
                </c:pt>
                <c:pt idx="39">
                  <c:v>0.95307755102040814</c:v>
                </c:pt>
                <c:pt idx="40">
                  <c:v>0.96042448979591832</c:v>
                </c:pt>
                <c:pt idx="41">
                  <c:v>0.96674285714285713</c:v>
                </c:pt>
                <c:pt idx="42">
                  <c:v>0.97214693877551017</c:v>
                </c:pt>
                <c:pt idx="43">
                  <c:v>0.97701224489795924</c:v>
                </c:pt>
                <c:pt idx="44">
                  <c:v>0.98138775510204079</c:v>
                </c:pt>
                <c:pt idx="45">
                  <c:v>0.98525714285714283</c:v>
                </c:pt>
                <c:pt idx="46">
                  <c:v>0.98863673469387747</c:v>
                </c:pt>
                <c:pt idx="47">
                  <c:v>0.99151020408163271</c:v>
                </c:pt>
                <c:pt idx="48">
                  <c:v>0.99389387755102043</c:v>
                </c:pt>
                <c:pt idx="49">
                  <c:v>0.99575510204081641</c:v>
                </c:pt>
                <c:pt idx="50">
                  <c:v>0.99712653061224488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</c:numCache>
            </c:numRef>
          </c:xVal>
          <c:yVal>
            <c:numRef>
              <c:f>Data!$H$3:$H$59</c:f>
              <c:numCache>
                <c:formatCode>General</c:formatCode>
                <c:ptCount val="57"/>
                <c:pt idx="0">
                  <c:v>20</c:v>
                </c:pt>
                <c:pt idx="1">
                  <c:v>17.5</c:v>
                </c:pt>
                <c:pt idx="2">
                  <c:v>15</c:v>
                </c:pt>
                <c:pt idx="3">
                  <c:v>15</c:v>
                </c:pt>
                <c:pt idx="4">
                  <c:v>15</c:v>
                </c:pt>
                <c:pt idx="5">
                  <c:v>15</c:v>
                </c:pt>
                <c:pt idx="6">
                  <c:v>15</c:v>
                </c:pt>
                <c:pt idx="7">
                  <c:v>15</c:v>
                </c:pt>
                <c:pt idx="8">
                  <c:v>15</c:v>
                </c:pt>
                <c:pt idx="9">
                  <c:v>15</c:v>
                </c:pt>
                <c:pt idx="10">
                  <c:v>15</c:v>
                </c:pt>
                <c:pt idx="11">
                  <c:v>15</c:v>
                </c:pt>
                <c:pt idx="12">
                  <c:v>15</c:v>
                </c:pt>
                <c:pt idx="13">
                  <c:v>15</c:v>
                </c:pt>
                <c:pt idx="14">
                  <c:v>15</c:v>
                </c:pt>
                <c:pt idx="15">
                  <c:v>15</c:v>
                </c:pt>
                <c:pt idx="16">
                  <c:v>15</c:v>
                </c:pt>
                <c:pt idx="17">
                  <c:v>15</c:v>
                </c:pt>
                <c:pt idx="18">
                  <c:v>15</c:v>
                </c:pt>
                <c:pt idx="19">
                  <c:v>15</c:v>
                </c:pt>
                <c:pt idx="20">
                  <c:v>15</c:v>
                </c:pt>
                <c:pt idx="21">
                  <c:v>15</c:v>
                </c:pt>
                <c:pt idx="22">
                  <c:v>15</c:v>
                </c:pt>
                <c:pt idx="23">
                  <c:v>15</c:v>
                </c:pt>
                <c:pt idx="24">
                  <c:v>15</c:v>
                </c:pt>
                <c:pt idx="25">
                  <c:v>15</c:v>
                </c:pt>
                <c:pt idx="26">
                  <c:v>16</c:v>
                </c:pt>
                <c:pt idx="27">
                  <c:v>16</c:v>
                </c:pt>
                <c:pt idx="28">
                  <c:v>16</c:v>
                </c:pt>
                <c:pt idx="29">
                  <c:v>16</c:v>
                </c:pt>
                <c:pt idx="30">
                  <c:v>16</c:v>
                </c:pt>
                <c:pt idx="31">
                  <c:v>17</c:v>
                </c:pt>
                <c:pt idx="32">
                  <c:v>17</c:v>
                </c:pt>
                <c:pt idx="33">
                  <c:v>17</c:v>
                </c:pt>
                <c:pt idx="34">
                  <c:v>17</c:v>
                </c:pt>
                <c:pt idx="35">
                  <c:v>18</c:v>
                </c:pt>
                <c:pt idx="36">
                  <c:v>18</c:v>
                </c:pt>
                <c:pt idx="37">
                  <c:v>18</c:v>
                </c:pt>
                <c:pt idx="38">
                  <c:v>19</c:v>
                </c:pt>
                <c:pt idx="39">
                  <c:v>19</c:v>
                </c:pt>
                <c:pt idx="40">
                  <c:v>20</c:v>
                </c:pt>
                <c:pt idx="41">
                  <c:v>21</c:v>
                </c:pt>
                <c:pt idx="42">
                  <c:v>22</c:v>
                </c:pt>
                <c:pt idx="43">
                  <c:v>23</c:v>
                </c:pt>
                <c:pt idx="44">
                  <c:v>24</c:v>
                </c:pt>
                <c:pt idx="45">
                  <c:v>25</c:v>
                </c:pt>
                <c:pt idx="46">
                  <c:v>26</c:v>
                </c:pt>
                <c:pt idx="47">
                  <c:v>27</c:v>
                </c:pt>
                <c:pt idx="48">
                  <c:v>28</c:v>
                </c:pt>
                <c:pt idx="49">
                  <c:v>29</c:v>
                </c:pt>
                <c:pt idx="50">
                  <c:v>30</c:v>
                </c:pt>
                <c:pt idx="51">
                  <c:v>35</c:v>
                </c:pt>
                <c:pt idx="52">
                  <c:v>35</c:v>
                </c:pt>
                <c:pt idx="53">
                  <c:v>35</c:v>
                </c:pt>
                <c:pt idx="54">
                  <c:v>35</c:v>
                </c:pt>
                <c:pt idx="55">
                  <c:v>35</c:v>
                </c:pt>
                <c:pt idx="56">
                  <c:v>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4EC-40A6-871C-CEE6E790DB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9574272"/>
        <c:axId val="49576192"/>
      </c:scatterChart>
      <c:valAx>
        <c:axId val="49574272"/>
        <c:scaling>
          <c:orientation val="minMax"/>
          <c:max val="1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 sz="1800"/>
                  <a:t>Percentage of Radius</a:t>
                </a:r>
              </a:p>
            </c:rich>
          </c:tx>
          <c:layout/>
          <c:overlay val="0"/>
        </c:title>
        <c:numFmt formatCode="0%" sourceLinked="0"/>
        <c:majorTickMark val="out"/>
        <c:minorTickMark val="none"/>
        <c:tickLblPos val="nextTo"/>
        <c:txPr>
          <a:bodyPr/>
          <a:lstStyle/>
          <a:p>
            <a:pPr>
              <a:defRPr b="1"/>
            </a:pPr>
            <a:endParaRPr lang="en-US"/>
          </a:p>
        </c:txPr>
        <c:crossAx val="49576192"/>
        <c:crosses val="autoZero"/>
        <c:crossBetween val="midCat"/>
        <c:majorUnit val="0.1"/>
      </c:valAx>
      <c:valAx>
        <c:axId val="4957619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 sz="1800"/>
                  <a:t>Backrake Angle</a:t>
                </a:r>
              </a:p>
            </c:rich>
          </c:tx>
          <c:layout>
            <c:manualLayout>
              <c:xMode val="edge"/>
              <c:yMode val="edge"/>
              <c:x val="1.6528059017786104E-2"/>
              <c:y val="0.37917397626806087"/>
            </c:manualLayout>
          </c:layout>
          <c:overlay val="0"/>
        </c:title>
        <c:numFmt formatCode="0\°" sourceLinked="0"/>
        <c:majorTickMark val="out"/>
        <c:minorTickMark val="none"/>
        <c:tickLblPos val="nextTo"/>
        <c:txPr>
          <a:bodyPr/>
          <a:lstStyle/>
          <a:p>
            <a:pPr>
              <a:defRPr sz="1100" b="1"/>
            </a:pPr>
            <a:endParaRPr lang="en-US"/>
          </a:p>
        </c:txPr>
        <c:crossAx val="49574272"/>
        <c:crosses val="autoZero"/>
        <c:crossBetween val="midCat"/>
      </c:valAx>
      <c:spPr>
        <a:ln>
          <a:solidFill>
            <a:schemeClr val="tx1"/>
          </a:solidFill>
        </a:ln>
      </c:spPr>
    </c:plotArea>
    <c:legend>
      <c:legendPos val="r"/>
      <c:layout>
        <c:manualLayout>
          <c:xMode val="edge"/>
          <c:yMode val="edge"/>
          <c:x val="0.38641948862759762"/>
          <c:y val="0.1408410846736497"/>
          <c:w val="0.21364852470364282"/>
          <c:h val="7.2970136491931445E-2"/>
        </c:manualLayout>
      </c:layout>
      <c:overlay val="0"/>
      <c:spPr>
        <a:solidFill>
          <a:schemeClr val="bg1"/>
        </a:solidFill>
        <a:ln>
          <a:solidFill>
            <a:sysClr val="windowText" lastClr="000000"/>
          </a:solidFill>
        </a:ln>
      </c:spPr>
      <c:txPr>
        <a:bodyPr/>
        <a:lstStyle/>
        <a:p>
          <a:pPr>
            <a:defRPr b="1"/>
          </a:pPr>
          <a:endParaRPr lang="en-US"/>
        </a:p>
      </c:txPr>
    </c:legend>
    <c:plotVisOnly val="1"/>
    <c:dispBlanksAs val="gap"/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tabSelected="1" zoomScale="90" workbookViewId="0"/>
  </sheetViews>
  <pageMargins left="0.7" right="0.7" top="0.75" bottom="0.75" header="0.3" footer="0.3"/>
  <pageSetup orientation="landscape" r:id="rId1"/>
  <drawing r:id="rId2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57167" cy="6286500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5"/>
  <sheetViews>
    <sheetView topLeftCell="A32" workbookViewId="0">
      <selection activeCell="L60" sqref="L60"/>
    </sheetView>
  </sheetViews>
  <sheetFormatPr defaultRowHeight="15" x14ac:dyDescent="0.25"/>
  <sheetData>
    <row r="1" spans="1:9" x14ac:dyDescent="0.25">
      <c r="A1">
        <v>12.25</v>
      </c>
      <c r="B1" t="s">
        <v>3</v>
      </c>
      <c r="F1">
        <v>12.25</v>
      </c>
      <c r="G1">
        <v>2177</v>
      </c>
    </row>
    <row r="2" spans="1:9" x14ac:dyDescent="0.25">
      <c r="B2" t="s">
        <v>0</v>
      </c>
      <c r="C2" t="s">
        <v>1</v>
      </c>
      <c r="D2" s="1" t="s">
        <v>2</v>
      </c>
      <c r="G2" t="s">
        <v>0</v>
      </c>
      <c r="H2" t="s">
        <v>1</v>
      </c>
      <c r="I2" s="1" t="s">
        <v>2</v>
      </c>
    </row>
    <row r="3" spans="1:9" x14ac:dyDescent="0.25">
      <c r="A3">
        <v>1</v>
      </c>
      <c r="B3">
        <v>0.23139999999999999</v>
      </c>
      <c r="C3">
        <v>20</v>
      </c>
      <c r="D3" s="2">
        <f>B3/$A$1*2</f>
        <v>3.777959183673469E-2</v>
      </c>
      <c r="F3">
        <v>1</v>
      </c>
      <c r="G3">
        <v>0.23</v>
      </c>
      <c r="H3">
        <v>20</v>
      </c>
      <c r="I3" s="2">
        <f>G3/$F$1*2</f>
        <v>3.7551020408163265E-2</v>
      </c>
    </row>
    <row r="4" spans="1:9" x14ac:dyDescent="0.25">
      <c r="A4">
        <v>2</v>
      </c>
      <c r="B4">
        <v>0.42859999999999998</v>
      </c>
      <c r="C4">
        <v>17.5</v>
      </c>
      <c r="D4" s="2">
        <f t="shared" ref="D4:D65" si="0">B4/$A$1*2</f>
        <v>6.9975510204081631E-2</v>
      </c>
      <c r="F4">
        <v>2</v>
      </c>
      <c r="G4">
        <v>0.45300000000000001</v>
      </c>
      <c r="H4">
        <v>17.5</v>
      </c>
      <c r="I4" s="2">
        <f t="shared" ref="I4:I51" si="1">G4/$F$1*2</f>
        <v>7.3959183673469389E-2</v>
      </c>
    </row>
    <row r="5" spans="1:9" x14ac:dyDescent="0.25">
      <c r="A5">
        <v>3</v>
      </c>
      <c r="B5">
        <v>0.65900000000000003</v>
      </c>
      <c r="C5">
        <v>15</v>
      </c>
      <c r="D5" s="2">
        <f t="shared" si="0"/>
        <v>0.10759183673469389</v>
      </c>
      <c r="F5">
        <v>3</v>
      </c>
      <c r="G5">
        <v>0.68100000000000005</v>
      </c>
      <c r="H5">
        <v>15</v>
      </c>
      <c r="I5" s="2">
        <f t="shared" si="1"/>
        <v>0.11118367346938776</v>
      </c>
    </row>
    <row r="6" spans="1:9" x14ac:dyDescent="0.25">
      <c r="A6">
        <v>4</v>
      </c>
      <c r="B6">
        <v>0.87719999999999998</v>
      </c>
      <c r="C6">
        <v>15</v>
      </c>
      <c r="D6" s="2">
        <f t="shared" si="0"/>
        <v>0.14321632653061225</v>
      </c>
      <c r="F6">
        <v>4</v>
      </c>
      <c r="G6">
        <v>0.90900000000000003</v>
      </c>
      <c r="H6">
        <v>15</v>
      </c>
      <c r="I6" s="2">
        <f t="shared" si="1"/>
        <v>0.14840816326530612</v>
      </c>
    </row>
    <row r="7" spans="1:9" x14ac:dyDescent="0.25">
      <c r="A7">
        <v>5</v>
      </c>
      <c r="B7">
        <v>1.1086</v>
      </c>
      <c r="C7">
        <v>15</v>
      </c>
      <c r="D7" s="2">
        <f t="shared" si="0"/>
        <v>0.18099591836734694</v>
      </c>
      <c r="F7">
        <v>5</v>
      </c>
      <c r="G7">
        <v>1.1514</v>
      </c>
      <c r="H7">
        <v>15</v>
      </c>
      <c r="I7" s="2">
        <f t="shared" si="1"/>
        <v>0.18798367346938774</v>
      </c>
    </row>
    <row r="8" spans="1:9" x14ac:dyDescent="0.25">
      <c r="A8">
        <v>6</v>
      </c>
      <c r="B8">
        <v>1.3401000000000001</v>
      </c>
      <c r="C8">
        <v>15</v>
      </c>
      <c r="D8" s="2">
        <f t="shared" si="0"/>
        <v>0.21879183673469388</v>
      </c>
      <c r="F8">
        <v>6</v>
      </c>
      <c r="G8">
        <v>1.3937999999999999</v>
      </c>
      <c r="H8">
        <v>15</v>
      </c>
      <c r="I8" s="2">
        <f t="shared" si="1"/>
        <v>0.22755918367346939</v>
      </c>
    </row>
    <row r="9" spans="1:9" x14ac:dyDescent="0.25">
      <c r="A9">
        <v>7</v>
      </c>
      <c r="B9">
        <v>1.5714999999999999</v>
      </c>
      <c r="C9">
        <v>15</v>
      </c>
      <c r="D9" s="2">
        <f t="shared" si="0"/>
        <v>0.25657142857142856</v>
      </c>
      <c r="F9">
        <v>7</v>
      </c>
      <c r="G9">
        <v>1.6363000000000001</v>
      </c>
      <c r="H9">
        <v>15</v>
      </c>
      <c r="I9" s="2">
        <f t="shared" si="1"/>
        <v>0.2671510204081633</v>
      </c>
    </row>
    <row r="10" spans="1:9" x14ac:dyDescent="0.25">
      <c r="A10">
        <v>8</v>
      </c>
      <c r="B10">
        <v>1.8028999999999999</v>
      </c>
      <c r="C10">
        <v>15</v>
      </c>
      <c r="D10" s="2">
        <f t="shared" si="0"/>
        <v>0.29435102040816324</v>
      </c>
      <c r="F10">
        <v>8</v>
      </c>
      <c r="G10">
        <v>1.8787</v>
      </c>
      <c r="H10">
        <v>15</v>
      </c>
      <c r="I10" s="2">
        <f t="shared" si="1"/>
        <v>0.30672653061224492</v>
      </c>
    </row>
    <row r="11" spans="1:9" x14ac:dyDescent="0.25">
      <c r="A11">
        <v>9</v>
      </c>
      <c r="B11">
        <v>2.0343</v>
      </c>
      <c r="C11">
        <v>15</v>
      </c>
      <c r="D11" s="2">
        <f t="shared" si="0"/>
        <v>0.33213061224489798</v>
      </c>
      <c r="F11">
        <v>9</v>
      </c>
      <c r="G11">
        <v>2.1212</v>
      </c>
      <c r="H11">
        <v>15</v>
      </c>
      <c r="I11" s="2">
        <f t="shared" si="1"/>
        <v>0.34631836734693877</v>
      </c>
    </row>
    <row r="12" spans="1:9" x14ac:dyDescent="0.25">
      <c r="A12">
        <v>10</v>
      </c>
      <c r="B12">
        <v>2.2785000000000002</v>
      </c>
      <c r="C12">
        <v>15</v>
      </c>
      <c r="D12" s="2">
        <f t="shared" si="0"/>
        <v>0.37200000000000005</v>
      </c>
      <c r="F12">
        <v>10</v>
      </c>
      <c r="G12">
        <v>2.3635999999999999</v>
      </c>
      <c r="H12">
        <v>15</v>
      </c>
      <c r="I12" s="2">
        <f t="shared" si="1"/>
        <v>0.38589387755102039</v>
      </c>
    </row>
    <row r="13" spans="1:9" x14ac:dyDescent="0.25">
      <c r="A13">
        <v>11</v>
      </c>
      <c r="B13">
        <v>2.4070999999999998</v>
      </c>
      <c r="C13">
        <v>15</v>
      </c>
      <c r="D13" s="2">
        <f t="shared" si="0"/>
        <v>0.39299591836734693</v>
      </c>
      <c r="F13">
        <v>11</v>
      </c>
      <c r="G13">
        <v>2.6213000000000002</v>
      </c>
      <c r="H13">
        <v>15</v>
      </c>
      <c r="I13" s="2">
        <f t="shared" si="1"/>
        <v>0.42796734693877553</v>
      </c>
    </row>
    <row r="14" spans="1:9" x14ac:dyDescent="0.25">
      <c r="A14">
        <v>12</v>
      </c>
      <c r="B14">
        <v>2.5472000000000001</v>
      </c>
      <c r="C14">
        <v>15</v>
      </c>
      <c r="D14" s="2">
        <f t="shared" si="0"/>
        <v>0.41586938775510207</v>
      </c>
      <c r="F14">
        <v>12</v>
      </c>
      <c r="G14">
        <v>2.76</v>
      </c>
      <c r="H14">
        <v>15</v>
      </c>
      <c r="I14" s="2">
        <f t="shared" si="1"/>
        <v>0.45061224489795915</v>
      </c>
    </row>
    <row r="15" spans="1:9" x14ac:dyDescent="0.25">
      <c r="A15">
        <v>13</v>
      </c>
      <c r="B15">
        <v>2.6890000000000001</v>
      </c>
      <c r="C15">
        <v>15</v>
      </c>
      <c r="D15" s="2">
        <f t="shared" si="0"/>
        <v>0.43902040816326532</v>
      </c>
      <c r="F15">
        <v>13</v>
      </c>
      <c r="G15">
        <v>2.9001000000000001</v>
      </c>
      <c r="H15">
        <v>15</v>
      </c>
      <c r="I15" s="2">
        <f t="shared" si="1"/>
        <v>0.47348571428571429</v>
      </c>
    </row>
    <row r="16" spans="1:9" x14ac:dyDescent="0.25">
      <c r="A16">
        <v>14</v>
      </c>
      <c r="B16">
        <v>2.8321000000000001</v>
      </c>
      <c r="C16">
        <v>15</v>
      </c>
      <c r="D16" s="2">
        <f t="shared" si="0"/>
        <v>0.46238367346938775</v>
      </c>
      <c r="F16">
        <v>14</v>
      </c>
      <c r="G16">
        <v>3.0411000000000001</v>
      </c>
      <c r="H16">
        <v>15</v>
      </c>
      <c r="I16" s="2">
        <f t="shared" si="1"/>
        <v>0.49650612244897963</v>
      </c>
    </row>
    <row r="17" spans="1:9" x14ac:dyDescent="0.25">
      <c r="A17">
        <v>15</v>
      </c>
      <c r="B17">
        <v>2.9759000000000002</v>
      </c>
      <c r="C17">
        <v>15</v>
      </c>
      <c r="D17" s="2">
        <f t="shared" si="0"/>
        <v>0.48586122448979596</v>
      </c>
      <c r="F17">
        <v>15</v>
      </c>
      <c r="G17">
        <v>3.1827000000000001</v>
      </c>
      <c r="H17">
        <v>15</v>
      </c>
      <c r="I17" s="2">
        <f t="shared" si="1"/>
        <v>0.51962448979591835</v>
      </c>
    </row>
    <row r="18" spans="1:9" x14ac:dyDescent="0.25">
      <c r="A18">
        <v>16</v>
      </c>
      <c r="B18">
        <v>3.1242999999999999</v>
      </c>
      <c r="C18">
        <v>15</v>
      </c>
      <c r="D18" s="2">
        <f t="shared" si="0"/>
        <v>0.51008979591836734</v>
      </c>
      <c r="F18">
        <v>16</v>
      </c>
      <c r="G18">
        <v>3.3182999999999998</v>
      </c>
      <c r="H18">
        <v>15</v>
      </c>
      <c r="I18" s="2">
        <f t="shared" si="1"/>
        <v>0.5417632653061224</v>
      </c>
    </row>
    <row r="19" spans="1:9" x14ac:dyDescent="0.25">
      <c r="A19">
        <v>17</v>
      </c>
      <c r="B19">
        <v>3.2725</v>
      </c>
      <c r="C19">
        <v>15</v>
      </c>
      <c r="D19" s="2">
        <f t="shared" si="0"/>
        <v>0.53428571428571425</v>
      </c>
      <c r="F19">
        <v>17</v>
      </c>
      <c r="G19">
        <v>3.4538000000000002</v>
      </c>
      <c r="H19">
        <v>15</v>
      </c>
      <c r="I19" s="2">
        <f t="shared" si="1"/>
        <v>0.56388571428571432</v>
      </c>
    </row>
    <row r="20" spans="1:9" x14ac:dyDescent="0.25">
      <c r="A20">
        <v>18</v>
      </c>
      <c r="B20">
        <v>3.4199000000000002</v>
      </c>
      <c r="C20">
        <v>15</v>
      </c>
      <c r="D20" s="2">
        <f t="shared" si="0"/>
        <v>0.55835102040816331</v>
      </c>
      <c r="F20">
        <v>18</v>
      </c>
      <c r="G20">
        <v>3.5889000000000002</v>
      </c>
      <c r="H20">
        <v>15</v>
      </c>
      <c r="I20" s="2">
        <f t="shared" si="1"/>
        <v>0.58594285714285721</v>
      </c>
    </row>
    <row r="21" spans="1:9" x14ac:dyDescent="0.25">
      <c r="A21">
        <v>19</v>
      </c>
      <c r="B21">
        <v>3.5657999999999999</v>
      </c>
      <c r="C21">
        <v>15</v>
      </c>
      <c r="D21" s="2">
        <f t="shared" si="0"/>
        <v>0.58217142857142856</v>
      </c>
      <c r="F21">
        <v>19</v>
      </c>
      <c r="G21">
        <v>3.7231999999999998</v>
      </c>
      <c r="H21">
        <v>15</v>
      </c>
      <c r="I21" s="2">
        <f t="shared" si="1"/>
        <v>0.60786938775510202</v>
      </c>
    </row>
    <row r="22" spans="1:9" x14ac:dyDescent="0.25">
      <c r="A22">
        <v>20</v>
      </c>
      <c r="B22">
        <v>3.71</v>
      </c>
      <c r="C22">
        <v>15</v>
      </c>
      <c r="D22" s="2">
        <f t="shared" si="0"/>
        <v>0.60571428571428576</v>
      </c>
      <c r="F22">
        <v>20</v>
      </c>
      <c r="G22">
        <v>3.8565</v>
      </c>
      <c r="H22">
        <v>15</v>
      </c>
      <c r="I22" s="2">
        <f t="shared" si="1"/>
        <v>0.62963265306122451</v>
      </c>
    </row>
    <row r="23" spans="1:9" x14ac:dyDescent="0.25">
      <c r="A23">
        <v>21</v>
      </c>
      <c r="B23">
        <v>3.8517000000000001</v>
      </c>
      <c r="C23">
        <v>15</v>
      </c>
      <c r="D23" s="2">
        <f t="shared" si="0"/>
        <v>0.62884897959183672</v>
      </c>
      <c r="F23">
        <v>21</v>
      </c>
      <c r="G23">
        <v>3.9883000000000002</v>
      </c>
      <c r="H23">
        <v>15</v>
      </c>
      <c r="I23" s="2">
        <f t="shared" si="1"/>
        <v>0.65115102040816331</v>
      </c>
    </row>
    <row r="24" spans="1:9" x14ac:dyDescent="0.25">
      <c r="A24">
        <v>22</v>
      </c>
      <c r="B24">
        <v>3.9904000000000002</v>
      </c>
      <c r="C24">
        <v>15</v>
      </c>
      <c r="D24" s="2">
        <f t="shared" si="0"/>
        <v>0.65149387755102039</v>
      </c>
      <c r="F24">
        <v>22</v>
      </c>
      <c r="G24">
        <v>4.1185</v>
      </c>
      <c r="H24">
        <v>15</v>
      </c>
      <c r="I24" s="2">
        <f t="shared" si="1"/>
        <v>0.67240816326530617</v>
      </c>
    </row>
    <row r="25" spans="1:9" x14ac:dyDescent="0.25">
      <c r="A25">
        <v>23</v>
      </c>
      <c r="B25">
        <v>4.1257999999999999</v>
      </c>
      <c r="C25">
        <v>15</v>
      </c>
      <c r="D25" s="2">
        <f t="shared" si="0"/>
        <v>0.67359999999999998</v>
      </c>
      <c r="F25">
        <v>23</v>
      </c>
      <c r="G25">
        <v>4.2465999999999999</v>
      </c>
      <c r="H25">
        <v>15</v>
      </c>
      <c r="I25" s="2">
        <f t="shared" si="1"/>
        <v>0.69332244897959183</v>
      </c>
    </row>
    <row r="26" spans="1:9" x14ac:dyDescent="0.25">
      <c r="A26">
        <v>24</v>
      </c>
      <c r="B26">
        <v>4.2572000000000001</v>
      </c>
      <c r="C26">
        <v>15</v>
      </c>
      <c r="D26" s="2">
        <f t="shared" si="0"/>
        <v>0.69505306122448984</v>
      </c>
      <c r="F26">
        <v>24</v>
      </c>
      <c r="G26">
        <v>4.3723999999999998</v>
      </c>
      <c r="H26">
        <v>15</v>
      </c>
      <c r="I26" s="2">
        <f t="shared" si="1"/>
        <v>0.71386122448979594</v>
      </c>
    </row>
    <row r="27" spans="1:9" x14ac:dyDescent="0.25">
      <c r="A27">
        <v>25</v>
      </c>
      <c r="B27">
        <v>4.3714000000000004</v>
      </c>
      <c r="C27">
        <v>15</v>
      </c>
      <c r="D27" s="2">
        <f t="shared" si="0"/>
        <v>0.71369795918367351</v>
      </c>
      <c r="F27">
        <v>25</v>
      </c>
      <c r="G27">
        <v>4.4954999999999998</v>
      </c>
      <c r="H27">
        <v>15</v>
      </c>
      <c r="I27" s="2">
        <f t="shared" si="1"/>
        <v>0.73395918367346935</v>
      </c>
    </row>
    <row r="28" spans="1:9" x14ac:dyDescent="0.25">
      <c r="A28">
        <v>26</v>
      </c>
      <c r="B28">
        <v>4.4817</v>
      </c>
      <c r="C28">
        <v>15</v>
      </c>
      <c r="D28" s="2">
        <f t="shared" si="0"/>
        <v>0.73170612244897959</v>
      </c>
      <c r="F28">
        <v>26</v>
      </c>
      <c r="G28">
        <v>4.6155999999999997</v>
      </c>
      <c r="H28">
        <v>15</v>
      </c>
      <c r="I28" s="2">
        <f t="shared" si="1"/>
        <v>0.75356734693877547</v>
      </c>
    </row>
    <row r="29" spans="1:9" x14ac:dyDescent="0.25">
      <c r="A29">
        <v>27</v>
      </c>
      <c r="B29">
        <v>4.5879000000000003</v>
      </c>
      <c r="C29">
        <v>15</v>
      </c>
      <c r="D29" s="2">
        <f t="shared" si="0"/>
        <v>0.74904489795918372</v>
      </c>
      <c r="F29">
        <v>27</v>
      </c>
      <c r="G29">
        <v>4.7320000000000002</v>
      </c>
      <c r="H29">
        <v>16</v>
      </c>
      <c r="I29" s="2">
        <f t="shared" si="1"/>
        <v>0.77257142857142858</v>
      </c>
    </row>
    <row r="30" spans="1:9" x14ac:dyDescent="0.25">
      <c r="A30">
        <v>28</v>
      </c>
      <c r="B30">
        <v>4.6900000000000004</v>
      </c>
      <c r="C30">
        <v>15</v>
      </c>
      <c r="D30" s="2">
        <f t="shared" si="0"/>
        <v>0.76571428571428579</v>
      </c>
      <c r="F30">
        <v>28</v>
      </c>
      <c r="G30">
        <v>4.8452999999999999</v>
      </c>
      <c r="H30">
        <v>16</v>
      </c>
      <c r="I30" s="2">
        <f t="shared" si="1"/>
        <v>0.79106938775510205</v>
      </c>
    </row>
    <row r="31" spans="1:9" x14ac:dyDescent="0.25">
      <c r="A31">
        <v>29</v>
      </c>
      <c r="B31">
        <v>4.7880000000000003</v>
      </c>
      <c r="C31">
        <v>15</v>
      </c>
      <c r="D31" s="2">
        <f t="shared" si="0"/>
        <v>0.78171428571428581</v>
      </c>
      <c r="F31">
        <v>29</v>
      </c>
      <c r="G31">
        <v>4.9549000000000003</v>
      </c>
      <c r="H31">
        <v>16</v>
      </c>
      <c r="I31" s="2">
        <f t="shared" si="1"/>
        <v>0.8089632653061225</v>
      </c>
    </row>
    <row r="32" spans="1:9" x14ac:dyDescent="0.25">
      <c r="A32">
        <v>30</v>
      </c>
      <c r="B32">
        <v>4.8819999999999997</v>
      </c>
      <c r="C32">
        <v>15</v>
      </c>
      <c r="D32" s="2">
        <f t="shared" si="0"/>
        <v>0.79706122448979588</v>
      </c>
      <c r="F32">
        <v>30</v>
      </c>
      <c r="G32">
        <v>5.0602999999999998</v>
      </c>
      <c r="H32">
        <v>16</v>
      </c>
      <c r="I32" s="2">
        <f t="shared" si="1"/>
        <v>0.82617142857142856</v>
      </c>
    </row>
    <row r="33" spans="1:9" x14ac:dyDescent="0.25">
      <c r="A33">
        <v>31</v>
      </c>
      <c r="B33">
        <v>4.9718999999999998</v>
      </c>
      <c r="C33">
        <v>15</v>
      </c>
      <c r="D33" s="2">
        <f t="shared" si="0"/>
        <v>0.81173877551020401</v>
      </c>
      <c r="F33">
        <v>31</v>
      </c>
      <c r="G33">
        <v>5.1615000000000002</v>
      </c>
      <c r="H33">
        <v>16</v>
      </c>
      <c r="I33" s="2">
        <f t="shared" si="1"/>
        <v>0.84269387755102043</v>
      </c>
    </row>
    <row r="34" spans="1:9" x14ac:dyDescent="0.25">
      <c r="A34">
        <v>32</v>
      </c>
      <c r="B34">
        <v>5.0578000000000003</v>
      </c>
      <c r="C34">
        <v>15</v>
      </c>
      <c r="D34" s="2">
        <f t="shared" si="0"/>
        <v>0.82576326530612254</v>
      </c>
      <c r="F34">
        <v>32</v>
      </c>
      <c r="G34">
        <v>5.2572999999999999</v>
      </c>
      <c r="H34">
        <v>17</v>
      </c>
      <c r="I34" s="2">
        <f t="shared" si="1"/>
        <v>0.85833469387755101</v>
      </c>
    </row>
    <row r="35" spans="1:9" x14ac:dyDescent="0.25">
      <c r="A35">
        <v>33</v>
      </c>
      <c r="B35">
        <v>5.1398999999999999</v>
      </c>
      <c r="C35">
        <v>15</v>
      </c>
      <c r="D35" s="2">
        <f t="shared" si="0"/>
        <v>0.83916734693877548</v>
      </c>
      <c r="F35">
        <v>33</v>
      </c>
      <c r="G35">
        <v>5.3490000000000002</v>
      </c>
      <c r="H35">
        <v>17</v>
      </c>
      <c r="I35" s="2">
        <f t="shared" si="1"/>
        <v>0.87330612244897965</v>
      </c>
    </row>
    <row r="36" spans="1:9" x14ac:dyDescent="0.25">
      <c r="A36">
        <v>34</v>
      </c>
      <c r="B36">
        <v>5.2182000000000004</v>
      </c>
      <c r="C36">
        <v>15</v>
      </c>
      <c r="D36" s="2">
        <f t="shared" si="0"/>
        <v>0.85195102040816328</v>
      </c>
      <c r="F36">
        <v>34</v>
      </c>
      <c r="G36">
        <v>5.4358000000000004</v>
      </c>
      <c r="H36">
        <v>17</v>
      </c>
      <c r="I36" s="2">
        <f t="shared" si="1"/>
        <v>0.88747755102040826</v>
      </c>
    </row>
    <row r="37" spans="1:9" x14ac:dyDescent="0.25">
      <c r="A37">
        <v>35</v>
      </c>
      <c r="B37">
        <v>5.2927999999999997</v>
      </c>
      <c r="C37">
        <v>15</v>
      </c>
      <c r="D37" s="2">
        <f t="shared" si="0"/>
        <v>0.86413061224489796</v>
      </c>
      <c r="F37">
        <v>35</v>
      </c>
      <c r="G37">
        <v>5.5171999999999999</v>
      </c>
      <c r="H37">
        <v>17</v>
      </c>
      <c r="I37" s="2">
        <f t="shared" si="1"/>
        <v>0.90076734693877547</v>
      </c>
    </row>
    <row r="38" spans="1:9" x14ac:dyDescent="0.25">
      <c r="A38">
        <v>36</v>
      </c>
      <c r="B38">
        <v>5.3628</v>
      </c>
      <c r="C38">
        <v>16</v>
      </c>
      <c r="D38" s="2">
        <f t="shared" si="0"/>
        <v>0.87555918367346941</v>
      </c>
      <c r="F38">
        <v>36</v>
      </c>
      <c r="G38">
        <v>5.5922999999999998</v>
      </c>
      <c r="H38">
        <v>18</v>
      </c>
      <c r="I38" s="2">
        <f t="shared" si="1"/>
        <v>0.91302857142857141</v>
      </c>
    </row>
    <row r="39" spans="1:9" x14ac:dyDescent="0.25">
      <c r="A39">
        <v>37</v>
      </c>
      <c r="B39">
        <v>5.4302000000000001</v>
      </c>
      <c r="C39">
        <v>16</v>
      </c>
      <c r="D39" s="2">
        <f t="shared" si="0"/>
        <v>0.88656326530612251</v>
      </c>
      <c r="F39">
        <v>37</v>
      </c>
      <c r="G39">
        <v>5.6627000000000001</v>
      </c>
      <c r="H39">
        <v>18</v>
      </c>
      <c r="I39" s="2">
        <f t="shared" si="1"/>
        <v>0.92452244897959179</v>
      </c>
    </row>
    <row r="40" spans="1:9" x14ac:dyDescent="0.25">
      <c r="A40">
        <v>38</v>
      </c>
      <c r="B40">
        <v>5.4942000000000002</v>
      </c>
      <c r="C40">
        <v>16</v>
      </c>
      <c r="D40" s="2">
        <f t="shared" si="0"/>
        <v>0.89701224489795917</v>
      </c>
      <c r="F40">
        <v>38</v>
      </c>
      <c r="G40">
        <v>5.7274000000000003</v>
      </c>
      <c r="H40">
        <v>18</v>
      </c>
      <c r="I40" s="2">
        <f t="shared" si="1"/>
        <v>0.9350857142857143</v>
      </c>
    </row>
    <row r="41" spans="1:9" x14ac:dyDescent="0.25">
      <c r="A41">
        <v>39</v>
      </c>
      <c r="B41">
        <v>5.5548000000000002</v>
      </c>
      <c r="C41">
        <v>16</v>
      </c>
      <c r="D41" s="2">
        <f t="shared" si="0"/>
        <v>0.90690612244897961</v>
      </c>
      <c r="F41">
        <v>39</v>
      </c>
      <c r="G41">
        <v>5.7849000000000004</v>
      </c>
      <c r="H41">
        <v>19</v>
      </c>
      <c r="I41" s="2">
        <f t="shared" si="1"/>
        <v>0.94447346938775512</v>
      </c>
    </row>
    <row r="42" spans="1:9" x14ac:dyDescent="0.25">
      <c r="A42">
        <v>40</v>
      </c>
      <c r="B42">
        <v>5.6121999999999996</v>
      </c>
      <c r="C42">
        <v>16</v>
      </c>
      <c r="D42" s="2">
        <f t="shared" si="0"/>
        <v>0.91627755102040809</v>
      </c>
      <c r="F42">
        <v>40</v>
      </c>
      <c r="G42">
        <v>5.8376000000000001</v>
      </c>
      <c r="H42">
        <v>19</v>
      </c>
      <c r="I42" s="2">
        <f t="shared" si="1"/>
        <v>0.95307755102040814</v>
      </c>
    </row>
    <row r="43" spans="1:9" x14ac:dyDescent="0.25">
      <c r="A43">
        <v>41</v>
      </c>
      <c r="B43">
        <v>5.6666999999999996</v>
      </c>
      <c r="C43">
        <v>16</v>
      </c>
      <c r="D43" s="2">
        <f t="shared" si="0"/>
        <v>0.92517551020408162</v>
      </c>
      <c r="F43">
        <v>41</v>
      </c>
      <c r="G43">
        <v>5.8826000000000001</v>
      </c>
      <c r="H43">
        <v>20</v>
      </c>
      <c r="I43" s="2">
        <f t="shared" si="1"/>
        <v>0.96042448979591832</v>
      </c>
    </row>
    <row r="44" spans="1:9" x14ac:dyDescent="0.25">
      <c r="A44">
        <v>42</v>
      </c>
      <c r="B44">
        <v>5.7161999999999997</v>
      </c>
      <c r="C44">
        <v>17</v>
      </c>
      <c r="D44" s="2">
        <f t="shared" si="0"/>
        <v>0.93325714285714279</v>
      </c>
      <c r="F44">
        <v>42</v>
      </c>
      <c r="G44">
        <v>5.9212999999999996</v>
      </c>
      <c r="H44">
        <v>21</v>
      </c>
      <c r="I44" s="2">
        <f t="shared" si="1"/>
        <v>0.96674285714285713</v>
      </c>
    </row>
    <row r="45" spans="1:9" x14ac:dyDescent="0.25">
      <c r="A45">
        <v>43</v>
      </c>
      <c r="B45">
        <v>5.7641999999999998</v>
      </c>
      <c r="C45">
        <v>17</v>
      </c>
      <c r="D45" s="2">
        <f t="shared" si="0"/>
        <v>0.94109387755102036</v>
      </c>
      <c r="F45">
        <v>43</v>
      </c>
      <c r="G45">
        <v>5.9543999999999997</v>
      </c>
      <c r="H45">
        <v>22</v>
      </c>
      <c r="I45" s="2">
        <f t="shared" si="1"/>
        <v>0.97214693877551017</v>
      </c>
    </row>
    <row r="46" spans="1:9" x14ac:dyDescent="0.25">
      <c r="A46">
        <v>44</v>
      </c>
      <c r="B46">
        <v>5.8091999999999997</v>
      </c>
      <c r="C46">
        <v>17</v>
      </c>
      <c r="D46" s="2">
        <f t="shared" si="0"/>
        <v>0.94844081632653054</v>
      </c>
      <c r="F46">
        <v>44</v>
      </c>
      <c r="G46">
        <v>5.9842000000000004</v>
      </c>
      <c r="H46">
        <v>23</v>
      </c>
      <c r="I46" s="2">
        <f t="shared" si="1"/>
        <v>0.97701224489795924</v>
      </c>
    </row>
    <row r="47" spans="1:9" x14ac:dyDescent="0.25">
      <c r="A47">
        <v>45</v>
      </c>
      <c r="B47">
        <v>5.8512000000000004</v>
      </c>
      <c r="C47">
        <v>17</v>
      </c>
      <c r="D47" s="2">
        <f t="shared" si="0"/>
        <v>0.95529795918367355</v>
      </c>
      <c r="F47">
        <v>45</v>
      </c>
      <c r="G47">
        <v>6.0110000000000001</v>
      </c>
      <c r="H47">
        <v>24</v>
      </c>
      <c r="I47" s="2">
        <f t="shared" si="1"/>
        <v>0.98138775510204079</v>
      </c>
    </row>
    <row r="48" spans="1:9" x14ac:dyDescent="0.25">
      <c r="A48">
        <v>46</v>
      </c>
      <c r="B48">
        <v>5.8902999999999999</v>
      </c>
      <c r="C48">
        <v>17</v>
      </c>
      <c r="D48" s="2">
        <f t="shared" si="0"/>
        <v>0.96168163265306117</v>
      </c>
      <c r="F48">
        <v>46</v>
      </c>
      <c r="G48">
        <v>6.0347</v>
      </c>
      <c r="H48">
        <v>25</v>
      </c>
      <c r="I48" s="2">
        <f t="shared" si="1"/>
        <v>0.98525714285714283</v>
      </c>
    </row>
    <row r="49" spans="1:9" x14ac:dyDescent="0.25">
      <c r="A49">
        <v>47</v>
      </c>
      <c r="B49">
        <v>5.9253</v>
      </c>
      <c r="C49">
        <v>18</v>
      </c>
      <c r="D49" s="2">
        <f t="shared" si="0"/>
        <v>0.96739591836734695</v>
      </c>
      <c r="F49">
        <v>47</v>
      </c>
      <c r="G49">
        <v>6.0553999999999997</v>
      </c>
      <c r="H49">
        <v>26</v>
      </c>
      <c r="I49" s="2">
        <f t="shared" si="1"/>
        <v>0.98863673469387747</v>
      </c>
    </row>
    <row r="50" spans="1:9" x14ac:dyDescent="0.25">
      <c r="A50">
        <v>48</v>
      </c>
      <c r="B50">
        <v>5.9588000000000001</v>
      </c>
      <c r="C50">
        <v>18</v>
      </c>
      <c r="D50" s="2">
        <f t="shared" si="0"/>
        <v>0.97286530612244904</v>
      </c>
      <c r="F50">
        <v>48</v>
      </c>
      <c r="G50">
        <v>6.0730000000000004</v>
      </c>
      <c r="H50">
        <v>27</v>
      </c>
      <c r="I50" s="2">
        <f t="shared" si="1"/>
        <v>0.99151020408163271</v>
      </c>
    </row>
    <row r="51" spans="1:9" x14ac:dyDescent="0.25">
      <c r="A51">
        <v>49</v>
      </c>
      <c r="B51">
        <v>5.9894999999999996</v>
      </c>
      <c r="C51">
        <v>18</v>
      </c>
      <c r="D51" s="2">
        <f t="shared" si="0"/>
        <v>0.97787755102040808</v>
      </c>
      <c r="F51">
        <v>49</v>
      </c>
      <c r="G51">
        <v>6.0876000000000001</v>
      </c>
      <c r="H51">
        <v>28</v>
      </c>
      <c r="I51" s="2">
        <f t="shared" si="1"/>
        <v>0.99389387755102043</v>
      </c>
    </row>
    <row r="52" spans="1:9" x14ac:dyDescent="0.25">
      <c r="A52">
        <v>50</v>
      </c>
      <c r="B52">
        <v>6.0175000000000001</v>
      </c>
      <c r="C52">
        <v>18</v>
      </c>
      <c r="D52" s="2">
        <f t="shared" si="0"/>
        <v>0.98244897959183675</v>
      </c>
      <c r="F52">
        <v>50</v>
      </c>
      <c r="G52">
        <v>6.0990000000000002</v>
      </c>
      <c r="H52">
        <v>29</v>
      </c>
      <c r="I52" s="2">
        <f t="shared" ref="I52:I57" si="2">G52/$F$1*2</f>
        <v>0.99575510204081641</v>
      </c>
    </row>
    <row r="53" spans="1:9" x14ac:dyDescent="0.25">
      <c r="A53">
        <v>51</v>
      </c>
      <c r="B53">
        <v>6.0414000000000003</v>
      </c>
      <c r="C53">
        <v>19</v>
      </c>
      <c r="D53" s="2">
        <f t="shared" si="0"/>
        <v>0.98635102040816336</v>
      </c>
      <c r="F53">
        <v>51</v>
      </c>
      <c r="G53">
        <v>6.1074000000000002</v>
      </c>
      <c r="H53">
        <v>30</v>
      </c>
      <c r="I53" s="2">
        <f t="shared" si="2"/>
        <v>0.99712653061224488</v>
      </c>
    </row>
    <row r="54" spans="1:9" x14ac:dyDescent="0.25">
      <c r="A54">
        <v>52</v>
      </c>
      <c r="B54">
        <v>6.0640000000000001</v>
      </c>
      <c r="C54">
        <v>19</v>
      </c>
      <c r="D54" s="2">
        <f t="shared" si="0"/>
        <v>0.99004081632653063</v>
      </c>
      <c r="F54">
        <v>52</v>
      </c>
      <c r="G54">
        <f>12.25/2</f>
        <v>6.125</v>
      </c>
      <c r="H54">
        <v>35</v>
      </c>
      <c r="I54" s="2">
        <f t="shared" si="2"/>
        <v>1</v>
      </c>
    </row>
    <row r="55" spans="1:9" x14ac:dyDescent="0.25">
      <c r="A55">
        <v>53</v>
      </c>
      <c r="B55">
        <v>6.0841000000000003</v>
      </c>
      <c r="C55">
        <v>19</v>
      </c>
      <c r="D55" s="2">
        <f t="shared" si="0"/>
        <v>0.99332244897959188</v>
      </c>
      <c r="F55">
        <v>53</v>
      </c>
      <c r="G55">
        <f t="shared" ref="G55:G59" si="3">12.25/2</f>
        <v>6.125</v>
      </c>
      <c r="H55">
        <v>35</v>
      </c>
      <c r="I55" s="2">
        <f t="shared" si="2"/>
        <v>1</v>
      </c>
    </row>
    <row r="56" spans="1:9" x14ac:dyDescent="0.25">
      <c r="A56">
        <v>54</v>
      </c>
      <c r="B56">
        <v>6.125</v>
      </c>
      <c r="C56">
        <v>20</v>
      </c>
      <c r="D56" s="2">
        <f t="shared" si="0"/>
        <v>1</v>
      </c>
      <c r="F56">
        <v>54</v>
      </c>
      <c r="G56">
        <f t="shared" si="3"/>
        <v>6.125</v>
      </c>
      <c r="H56">
        <v>35</v>
      </c>
      <c r="I56" s="2">
        <f t="shared" si="2"/>
        <v>1</v>
      </c>
    </row>
    <row r="57" spans="1:9" x14ac:dyDescent="0.25">
      <c r="A57">
        <v>55</v>
      </c>
      <c r="B57">
        <v>6.125</v>
      </c>
      <c r="C57">
        <v>20</v>
      </c>
      <c r="D57" s="2">
        <f t="shared" si="0"/>
        <v>1</v>
      </c>
      <c r="F57">
        <v>55</v>
      </c>
      <c r="G57">
        <f t="shared" si="3"/>
        <v>6.125</v>
      </c>
      <c r="H57">
        <v>35</v>
      </c>
      <c r="I57" s="2">
        <f t="shared" si="2"/>
        <v>1</v>
      </c>
    </row>
    <row r="58" spans="1:9" x14ac:dyDescent="0.25">
      <c r="A58">
        <v>56</v>
      </c>
      <c r="B58">
        <v>6.125</v>
      </c>
      <c r="C58">
        <v>25</v>
      </c>
      <c r="D58" s="2">
        <f t="shared" si="0"/>
        <v>1</v>
      </c>
      <c r="F58">
        <v>56</v>
      </c>
      <c r="G58">
        <f t="shared" si="3"/>
        <v>6.125</v>
      </c>
      <c r="H58">
        <v>35</v>
      </c>
      <c r="I58" s="2">
        <f t="shared" ref="I58:I59" si="4">G58/$F$1*2</f>
        <v>1</v>
      </c>
    </row>
    <row r="59" spans="1:9" x14ac:dyDescent="0.25">
      <c r="A59">
        <v>57</v>
      </c>
      <c r="B59">
        <v>6.125</v>
      </c>
      <c r="C59">
        <v>30</v>
      </c>
      <c r="D59" s="2">
        <f t="shared" si="0"/>
        <v>1</v>
      </c>
      <c r="F59">
        <v>57</v>
      </c>
      <c r="G59">
        <f t="shared" si="3"/>
        <v>6.125</v>
      </c>
      <c r="H59">
        <v>35</v>
      </c>
      <c r="I59" s="2">
        <f t="shared" si="4"/>
        <v>1</v>
      </c>
    </row>
    <row r="60" spans="1:9" x14ac:dyDescent="0.25">
      <c r="A60">
        <v>58</v>
      </c>
      <c r="B60">
        <v>6.125</v>
      </c>
      <c r="C60">
        <v>40</v>
      </c>
      <c r="D60" s="2">
        <f t="shared" si="0"/>
        <v>1</v>
      </c>
      <c r="I60" s="2"/>
    </row>
    <row r="61" spans="1:9" x14ac:dyDescent="0.25">
      <c r="A61">
        <v>59</v>
      </c>
      <c r="B61">
        <v>6.125</v>
      </c>
      <c r="C61">
        <v>40</v>
      </c>
      <c r="D61" s="2">
        <f t="shared" si="0"/>
        <v>1</v>
      </c>
      <c r="I61" s="2"/>
    </row>
    <row r="62" spans="1:9" x14ac:dyDescent="0.25">
      <c r="A62">
        <v>60</v>
      </c>
      <c r="B62">
        <v>6.125</v>
      </c>
      <c r="C62">
        <v>40</v>
      </c>
      <c r="D62" s="2">
        <f t="shared" si="0"/>
        <v>1</v>
      </c>
      <c r="I62" s="2"/>
    </row>
    <row r="63" spans="1:9" x14ac:dyDescent="0.25">
      <c r="A63">
        <v>61</v>
      </c>
      <c r="B63">
        <v>6.125</v>
      </c>
      <c r="C63">
        <v>40</v>
      </c>
      <c r="D63" s="2">
        <f t="shared" si="0"/>
        <v>1</v>
      </c>
      <c r="I63" s="2"/>
    </row>
    <row r="64" spans="1:9" x14ac:dyDescent="0.25">
      <c r="A64">
        <v>62</v>
      </c>
      <c r="B64">
        <v>6.125</v>
      </c>
      <c r="C64">
        <v>40</v>
      </c>
      <c r="D64" s="2">
        <f t="shared" si="0"/>
        <v>1</v>
      </c>
      <c r="I64" s="2"/>
    </row>
    <row r="65" spans="1:9" x14ac:dyDescent="0.25">
      <c r="A65">
        <v>63</v>
      </c>
      <c r="B65">
        <v>6.125</v>
      </c>
      <c r="C65">
        <v>40</v>
      </c>
      <c r="D65" s="2">
        <f t="shared" si="0"/>
        <v>1</v>
      </c>
      <c r="I65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Charts</vt:lpstr>
      </vt:variant>
      <vt:variant>
        <vt:i4>1</vt:i4>
      </vt:variant>
    </vt:vector>
  </HeadingPairs>
  <TitlesOfParts>
    <vt:vector size="2" baseType="lpstr">
      <vt:lpstr>Data</vt:lpstr>
      <vt:lpstr>12.25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victor.rodriguez</dc:creator>
  <cp:lastModifiedBy>lera</cp:lastModifiedBy>
  <cp:lastPrinted>2017-11-13T16:37:43Z</cp:lastPrinted>
  <dcterms:created xsi:type="dcterms:W3CDTF">2015-03-17T18:24:41Z</dcterms:created>
  <dcterms:modified xsi:type="dcterms:W3CDTF">2018-01-25T15:04:41Z</dcterms:modified>
</cp:coreProperties>
</file>