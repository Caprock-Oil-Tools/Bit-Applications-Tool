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5\"/>
    </mc:Choice>
  </mc:AlternateContent>
  <xr:revisionPtr revIDLastSave="0" documentId="13_ncr:1_{1A780CF0-6E8B-4D7B-BA4E-9C462CE0F5D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5" i="1" l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73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Q19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34" i="1" l="1"/>
  <c r="IQ20" i="1"/>
  <c r="IQ52" i="1"/>
  <c r="IQ72" i="1"/>
  <c r="IQ78" i="1"/>
  <c r="IV72" i="1"/>
  <c r="IQ76" i="1"/>
  <c r="IQ31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P31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7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2" i="1" l="1"/>
  <c r="IP72" i="1"/>
  <c r="IU34" i="1"/>
  <c r="IE34" i="1" s="1"/>
  <c r="IP20" i="1"/>
  <c r="AQ73" i="1"/>
  <c r="IU73" i="1"/>
  <c r="IE73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73" i="1" s="1"/>
  <c r="W50" i="1"/>
  <c r="W47" i="1"/>
  <c r="W48" i="1"/>
  <c r="IL72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2" i="1" l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73" i="1" s="1"/>
  <c r="AK50" i="1"/>
  <c r="AL50" i="1"/>
  <c r="AN50" i="1" s="1"/>
  <c r="U50" i="1"/>
  <c r="T50" i="1"/>
  <c r="T49" i="1"/>
  <c r="AK49" i="1"/>
  <c r="AO49" i="1" s="1"/>
  <c r="IS73" i="1" s="1"/>
  <c r="AK48" i="1"/>
  <c r="U48" i="1"/>
  <c r="AL48" i="1"/>
  <c r="AN48" i="1" s="1"/>
  <c r="IT7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78" i="1" l="1"/>
  <c r="IY72" i="1"/>
  <c r="IY78" i="1"/>
  <c r="IT82" i="1"/>
  <c r="IT75" i="1"/>
  <c r="IT76" i="1"/>
  <c r="IT74" i="1"/>
  <c r="IY61" i="1"/>
  <c r="IT68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IS64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78" i="1" l="1"/>
  <c r="IX72" i="1"/>
  <c r="IS51" i="1"/>
  <c r="IS52" i="1"/>
  <c r="IS72" i="1"/>
  <c r="IS20" i="1"/>
  <c r="IF72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<sst xmlns="http://schemas.openxmlformats.org/spreadsheetml/2006/main" count="734" uniqueCount="391">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</sst>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O1" sqref="O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8.75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47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89.970000004331467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-7.4500224692677655E-2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0.2950008897226834</v>
      </c>
      <c r="D9" s="704">
        <v>-0.23810071811176584</v>
      </c>
      <c r="E9" s="705">
        <v>-0.96592583607220739</v>
      </c>
      <c r="F9" s="703">
        <v>-2.2557559682354414E-2</v>
      </c>
      <c r="G9" s="706">
        <v>0.25783412440827963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0.2950008897226834</v>
      </c>
      <c r="P9" s="625">
        <f t="shared" ref="P9:P40" si="4">IF(M9="","",D9)</f>
        <v>-0.23810071811176584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0.2950008897226834</v>
      </c>
      <c r="S9" s="626">
        <f>IF(M9="","",P9)</f>
        <v>-0.23810071811176584</v>
      </c>
      <c r="T9" s="627">
        <f>IF(M9="","",X9*COS(RADIANS(W9)))</f>
        <v>0.29500084928461157</v>
      </c>
      <c r="U9" s="624">
        <f>IF(M9="","",X9*SIN(RADIANS(W9)))</f>
        <v>1.5446207529984621E-4</v>
      </c>
      <c r="V9" s="628">
        <f>IF(M9="","",Y9)</f>
        <v>-0.23810071811176584</v>
      </c>
      <c r="W9" s="583">
        <f t="shared" ref="W9:W14" si="5">IF(M9="","",IF(Q9-$Q$8&lt;0,360+Q9-$Q$8,Q9-$Q$8))</f>
        <v>2.999999566853262E-2</v>
      </c>
      <c r="X9" s="629">
        <f>IF(M9="","",R9)</f>
        <v>0.2950008897226834</v>
      </c>
      <c r="Y9" s="630">
        <f>IF(M9="","",S9)</f>
        <v>-0.23810071811176584</v>
      </c>
      <c r="Z9" s="623">
        <f t="shared" ref="Z9:Z40" si="6">IF(M9="","",-E9)</f>
        <v>0.96592583607220739</v>
      </c>
      <c r="AA9" s="624">
        <f t="shared" ref="AA9:AA40" si="7">IF(M9="","",-F9)</f>
        <v>2.2557559682354414E-2</v>
      </c>
      <c r="AB9" s="624">
        <f t="shared" ref="AB9:AB40" si="8">IF(M9="","",-G9)</f>
        <v>-0.25783412440827963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2.2557559682354414E-2</v>
      </c>
      <c r="AF9" s="625">
        <f>IF(M9="","",AB9*(1/SQRT(Z9^2+AA9^2+AB9^2)))</f>
        <v>-0.25783412440827963</v>
      </c>
      <c r="AG9" s="599">
        <f>IF(M9="","",DEGREES(ATAN2(-AF9,AE9)))</f>
        <v>4.9999992780894233</v>
      </c>
      <c r="AH9" s="600">
        <f>IF(M9="","",DEGREES(ACOS(AD9)))</f>
        <v>14.999997834268255</v>
      </c>
      <c r="AI9" s="583">
        <f>IF(M9="","",DEGREES(-ACOS(-AF9)))</f>
        <v>-75.058414528502141</v>
      </c>
      <c r="AJ9" s="601">
        <f>IF(M9="","",DEGREES(ATAN2(-AE9,AD9)))</f>
        <v>91.337802589549781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2.2557559682354414E-2</v>
      </c>
      <c r="AM9" s="626">
        <f>IF(M9="","",AF9)</f>
        <v>-0.25783412440827963</v>
      </c>
      <c r="AN9" s="581">
        <f>IF(M9="","",DEGREES(ATAN2(-AM9,AL9)))</f>
        <v>4.9999992780894233</v>
      </c>
      <c r="AO9" s="582">
        <f>IF(ROUND(IF(M9="",0,DEGREES(ACOS(AK9))),4)=90,0,IF(M9="","",DEGREES(ACOS(AK9))))</f>
        <v>14.999997834268255</v>
      </c>
      <c r="AP9" s="781">
        <f>IF(M9="","",DEGREES(ATAN2(AK9,AL9)))</f>
        <v>1.3378025895497805</v>
      </c>
      <c r="AQ9" s="584">
        <f t="shared" ref="AQ9:AQ40" si="9">IF(M9="","",DEGREES(ATAN(($AS$5*SIN(RADIANS(90)))/(($X9*2*PI())-($AS$5*COS(RADIANS(90)))))))</f>
        <v>7.6815074874289211</v>
      </c>
      <c r="AS9" s="51">
        <f>IF(M9="","",W9)</f>
        <v>2.999999566853262E-2</v>
      </c>
      <c r="AT9" s="71">
        <f t="shared" ref="AT9:AT40" si="10">IF(M9="","",Y9+(((AS9-$AS$9)*$AS$6)*-1))</f>
        <v>-0.23810071811176584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47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0.91840276990275405</v>
      </c>
      <c r="D10" s="709">
        <v>-0.18360055373927009</v>
      </c>
      <c r="E10" s="710">
        <v>-0.96592583607220739</v>
      </c>
      <c r="F10" s="708">
        <v>-2.2557559682354414E-2</v>
      </c>
      <c r="G10" s="711">
        <v>0.25783412440827963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0</v>
      </c>
      <c r="O10" s="629">
        <f t="shared" si="3"/>
        <v>0.91840276990275405</v>
      </c>
      <c r="P10" s="633">
        <f t="shared" si="4"/>
        <v>-0.18360055373927009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0.91840276990275405</v>
      </c>
      <c r="S10" s="634">
        <f t="shared" ref="S10:S105" si="80">IF(M10="","",P10)</f>
        <v>-0.18360055373927009</v>
      </c>
      <c r="T10" s="635">
        <f t="shared" ref="T10:T105" si="81">IF(M10="","",X10*COS(RADIANS(W10)))</f>
        <v>0.91840264401012628</v>
      </c>
      <c r="U10" s="629">
        <f t="shared" ref="U10:U105" si="82">IF(M10="","",X10*SIN(RADIANS(W10)))</f>
        <v>4.8087447442501273E-4</v>
      </c>
      <c r="V10" s="636">
        <f>IF(M10="","",Y10)</f>
        <v>-0.18360055373927009</v>
      </c>
      <c r="W10" s="585">
        <f t="shared" si="5"/>
        <v>2.999999566853262E-2</v>
      </c>
      <c r="X10" s="629">
        <f t="shared" ref="X10:X105" si="83">IF(M10="","",R10)</f>
        <v>0.91840276990275405</v>
      </c>
      <c r="Y10" s="630">
        <f>IF(M10="","",S10)</f>
        <v>-0.18360055373927009</v>
      </c>
      <c r="Z10" s="632">
        <f t="shared" si="6"/>
        <v>0.96592583607220739</v>
      </c>
      <c r="AA10" s="629">
        <f t="shared" si="7"/>
        <v>2.2557559682354414E-2</v>
      </c>
      <c r="AB10" s="629">
        <f t="shared" si="8"/>
        <v>-0.25783412440827963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2.2557559682354414E-2</v>
      </c>
      <c r="AF10" s="633">
        <f t="shared" ref="AF10:AF105" si="86">IF(M10="","",AB10*(1/SQRT(Z10^2+AA10^2+AB10^2)))</f>
        <v>-0.25783412440827963</v>
      </c>
      <c r="AG10" s="602">
        <f t="shared" ref="AG10:AG105" si="87">IF(M10="","",DEGREES(ATAN2(-AF10,AE10)))</f>
        <v>4.9999992780894233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-75.058414528502141</v>
      </c>
      <c r="AJ10" s="586">
        <f t="shared" ref="AJ10:AJ105" si="90">IF(M10="","",DEGREES(ATAN2(-AE10,AD10)))</f>
        <v>91.337802589549781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2.2557559682354414E-2</v>
      </c>
      <c r="AM10" s="634">
        <f t="shared" ref="AM10:AM105" si="92">IF(M10="","",AF10)</f>
        <v>-0.25783412440827963</v>
      </c>
      <c r="AN10" s="581">
        <f t="shared" ref="AN10:AN105" si="93">IF(M10="","",DEGREES(ATAN2(-AM10,AL10)))</f>
        <v>4.9999992780894233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1.3378025895497805</v>
      </c>
      <c r="AQ10" s="586">
        <f t="shared" si="9"/>
        <v>2.4807219618783893</v>
      </c>
      <c r="AS10" s="52">
        <f>IF($M10="","",IF(AND($W10&lt;($AS$9+180),$W10&gt;($AS$9-180)),$W10,IF($W10&gt;($AS$9+180),$W10-360,IF($W10&lt;($AS$9-180),$W10+360,"Error"))))</f>
        <v>2.999999566853262E-2</v>
      </c>
      <c r="AT10" s="72">
        <f t="shared" si="10"/>
        <v>-0.18360055373927009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1.5418046500828246</v>
      </c>
      <c r="D11" s="709">
        <v>-0.12900038906517344</v>
      </c>
      <c r="E11" s="710">
        <v>-0.96592583607220739</v>
      </c>
      <c r="F11" s="708">
        <v>-2.255755968235441E-2</v>
      </c>
      <c r="G11" s="711">
        <v>0.25783412440827963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1.5418046500828246</v>
      </c>
      <c r="P11" s="633">
        <f t="shared" si="4"/>
        <v>-0.12900038906517344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1.5418046500828246</v>
      </c>
      <c r="S11" s="634">
        <f t="shared" si="80"/>
        <v>-0.12900038906517344</v>
      </c>
      <c r="T11" s="635">
        <f t="shared" si="81"/>
        <v>1.5418044387356411</v>
      </c>
      <c r="U11" s="629">
        <f t="shared" si="82"/>
        <v>8.0728687355017929E-4</v>
      </c>
      <c r="V11" s="636">
        <f t="shared" ref="V11:V105" si="114">IF(M11="","",Y11)</f>
        <v>-0.12900038906517344</v>
      </c>
      <c r="W11" s="585">
        <f t="shared" si="5"/>
        <v>2.999999566853262E-2</v>
      </c>
      <c r="X11" s="629">
        <f>IF(M11="","",R11)</f>
        <v>1.5418046500828246</v>
      </c>
      <c r="Y11" s="630">
        <f>IF(M11="","",S11)</f>
        <v>-0.12900038906517344</v>
      </c>
      <c r="Z11" s="632">
        <f t="shared" si="6"/>
        <v>0.96592583607220739</v>
      </c>
      <c r="AA11" s="629">
        <f t="shared" si="7"/>
        <v>2.255755968235441E-2</v>
      </c>
      <c r="AB11" s="629">
        <f t="shared" si="8"/>
        <v>-0.25783412440827963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2.255755968235441E-2</v>
      </c>
      <c r="AF11" s="633">
        <f t="shared" si="86"/>
        <v>-0.25783412440827963</v>
      </c>
      <c r="AG11" s="602">
        <f>IF(M11="","",DEGREES(ATAN2(-AF11,AE11)))</f>
        <v>4.9999992780894225</v>
      </c>
      <c r="AH11" s="603">
        <f t="shared" si="88"/>
        <v>14.999997834268255</v>
      </c>
      <c r="AI11" s="585">
        <f t="shared" si="89"/>
        <v>-75.058414528502141</v>
      </c>
      <c r="AJ11" s="586">
        <f t="shared" si="90"/>
        <v>91.337802589549781</v>
      </c>
      <c r="AK11" s="635">
        <f>IF(M11="","",(COS(RADIANS((90-$Q$8)-W11))*AD11)+(-SIN(RADIANS((90-$Q$8)-W11))*AE11))</f>
        <v>0.96592583607220739</v>
      </c>
      <c r="AL11" s="629">
        <f t="shared" si="91"/>
        <v>2.255755968235441E-2</v>
      </c>
      <c r="AM11" s="634">
        <f t="shared" si="92"/>
        <v>-0.25783412440827963</v>
      </c>
      <c r="AN11" s="581">
        <f>IF(M11="","",DEGREES(ATAN2(-AM11,AL11)))</f>
        <v>4.9999992780894225</v>
      </c>
      <c r="AO11" s="582">
        <f>IF(ROUND(IF(M11="",0,DEGREES(ACOS(AK11))),4)=90,0,IF(M11="","",DEGREES(ACOS(AK11))))</f>
        <v>14.999997834268255</v>
      </c>
      <c r="AP11" s="585">
        <f t="shared" si="95"/>
        <v>1.3378025895497803</v>
      </c>
      <c r="AQ11" s="586">
        <f t="shared" si="9"/>
        <v>1.4782811489053067</v>
      </c>
      <c r="AS11" s="52">
        <f t="shared" ref="AS11:AS42" si="116">IF(G11="","",IF(AND(W11&lt;(AS10+180),W11&gt;(AS10-180)),W11,IF(W11&gt;(AS10+180),W11-360,IF(W11&lt;(AS10-180),W11+360,"Error"))))</f>
        <v>2.999999566853262E-2</v>
      </c>
      <c r="AT11" s="72">
        <f t="shared" si="10"/>
        <v>-0.12900038906517344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1.1336469126499785E-3</v>
      </c>
      <c r="C12" s="708">
        <v>2.1651062331732622</v>
      </c>
      <c r="D12" s="709">
        <v>-7.4500224692677655E-2</v>
      </c>
      <c r="E12" s="710">
        <v>-0.96584562048657119</v>
      </c>
      <c r="F12" s="708">
        <v>-8.8362234726934909E-3</v>
      </c>
      <c r="G12" s="711">
        <v>0.258967485491231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1.1336469126499785E-3</v>
      </c>
      <c r="O12" s="629">
        <f t="shared" si="3"/>
        <v>2.1651062331732622</v>
      </c>
      <c r="P12" s="633">
        <f t="shared" si="4"/>
        <v>-7.4500224692677655E-2</v>
      </c>
      <c r="Q12" s="585">
        <f>IF(M12="","",IF(DEGREES(ATAN2(N12,O12))&lt;0,DEGREES(ATAN2(N12,O12))+360,IF(DEGREES(ATAN2(N12,O12))&gt;360,DEGREES(ATAN2(N12,O12))-360,DEGREES(ATAN2(N12,O12)))))</f>
        <v>89.970000004331467</v>
      </c>
      <c r="R12" s="629">
        <f t="shared" si="79"/>
        <v>2.1651065299612942</v>
      </c>
      <c r="S12" s="634">
        <f t="shared" si="80"/>
        <v>-7.4500224692677655E-2</v>
      </c>
      <c r="T12" s="635">
        <f>IF(M12="","",X12*COS(RADIANS(W12)))</f>
        <v>2.1651065299612942</v>
      </c>
      <c r="U12" s="629">
        <f t="shared" si="82"/>
        <v>0</v>
      </c>
      <c r="V12" s="636">
        <f t="shared" si="114"/>
        <v>-7.4500224692677655E-2</v>
      </c>
      <c r="W12" s="585">
        <f>IF(M12="","",IF(Q12-$Q$8&lt;0,360+Q12-$Q$8,Q12-$Q$8))</f>
        <v>0</v>
      </c>
      <c r="X12" s="629">
        <f t="shared" si="83"/>
        <v>2.1651065299612942</v>
      </c>
      <c r="Y12" s="630">
        <f>IF(M12="","",S12)</f>
        <v>-7.4500224692677655E-2</v>
      </c>
      <c r="Z12" s="632">
        <f t="shared" si="6"/>
        <v>0.96584562048657119</v>
      </c>
      <c r="AA12" s="629">
        <f t="shared" si="7"/>
        <v>8.8362234726934909E-3</v>
      </c>
      <c r="AB12" s="629">
        <f t="shared" si="8"/>
        <v>-0.258967485491231</v>
      </c>
      <c r="AC12" s="636">
        <f t="shared" si="84"/>
        <v>1</v>
      </c>
      <c r="AD12" s="637">
        <f t="shared" si="115"/>
        <v>0.96584562048657119</v>
      </c>
      <c r="AE12" s="629">
        <f t="shared" si="85"/>
        <v>8.8362234726934909E-3</v>
      </c>
      <c r="AF12" s="633">
        <f t="shared" si="86"/>
        <v>-0.258967485491231</v>
      </c>
      <c r="AG12" s="602">
        <f t="shared" si="87"/>
        <v>1.9542297803594511</v>
      </c>
      <c r="AH12" s="603">
        <f t="shared" si="88"/>
        <v>15.017745215482767</v>
      </c>
      <c r="AI12" s="585">
        <f t="shared" si="89"/>
        <v>-74.991194786701655</v>
      </c>
      <c r="AJ12" s="586">
        <f t="shared" si="90"/>
        <v>90.524166778696213</v>
      </c>
      <c r="AK12" s="635">
        <f t="shared" ref="AK12:AK105" si="211">IF(M12="","",(COS(RADIANS((90-$Q$8)-W12))*AD12)+(-SIN(RADIANS((90-$Q$8)-W12))*AE12))</f>
        <v>0.96584086145567016</v>
      </c>
      <c r="AL12" s="629">
        <f>IF(M12="","",(SIN(RADIANS((90-$Q$8)-W12))*AD12)+(COS(RADIANS((90-$Q$8)-W12))*AE12))</f>
        <v>9.3419377496233892E-3</v>
      </c>
      <c r="AM12" s="634">
        <f t="shared" si="92"/>
        <v>-0.258967485491231</v>
      </c>
      <c r="AN12" s="581">
        <f>IF(M12="","",DEGREES(ATAN2(-AM12,AL12)))</f>
        <v>2.06597985547024</v>
      </c>
      <c r="AO12" s="582">
        <f t="shared" si="94"/>
        <v>15.018797488387246</v>
      </c>
      <c r="AP12" s="585">
        <f t="shared" si="95"/>
        <v>0.55416677436474993</v>
      </c>
      <c r="AQ12" s="586">
        <f t="shared" si="9"/>
        <v>1.05282119518964</v>
      </c>
      <c r="AS12" s="52">
        <f t="shared" si="116"/>
        <v>0</v>
      </c>
      <c r="AT12" s="72">
        <f>IF(M12="","",Y12+(((AS12-$AS$9)*$AS$6)*-1))</f>
        <v>-7.4479391362352279E-2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2.9220620321449033E-2</v>
      </c>
      <c r="C13" s="708">
        <v>2.8375581083912342</v>
      </c>
      <c r="D13" s="709">
        <v>-8.0600243090333271E-2</v>
      </c>
      <c r="E13" s="710">
        <v>-0.9584348191384825</v>
      </c>
      <c r="F13" s="708">
        <v>0.11418109338914328</v>
      </c>
      <c r="G13" s="711">
        <v>0.2614677329527379</v>
      </c>
      <c r="H13" s="710">
        <v>0.26600000000000001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1.1160000000000001</v>
      </c>
      <c r="N13" s="632">
        <f t="shared" si="2"/>
        <v>2.9220620321449033E-2</v>
      </c>
      <c r="O13" s="629">
        <f t="shared" si="3"/>
        <v>2.8375581083912342</v>
      </c>
      <c r="P13" s="633">
        <f t="shared" si="4"/>
        <v>-8.0600243090333271E-2</v>
      </c>
      <c r="Q13" s="585">
        <f t="shared" si="113"/>
        <v>89.410000085185459</v>
      </c>
      <c r="R13" s="629">
        <f t="shared" si="79"/>
        <v>2.8377085585290134</v>
      </c>
      <c r="S13" s="634">
        <f t="shared" si="80"/>
        <v>-8.0600243090333271E-2</v>
      </c>
      <c r="T13" s="635">
        <f>IF(M13="","",X13*COS(RADIANS(W13)))</f>
        <v>2.8375730193031368</v>
      </c>
      <c r="U13" s="629">
        <f t="shared" si="82"/>
        <v>-2.7734874647109525E-2</v>
      </c>
      <c r="V13" s="636">
        <f t="shared" si="114"/>
        <v>-8.0600243090333271E-2</v>
      </c>
      <c r="W13" s="585">
        <f t="shared" si="5"/>
        <v>359.44000008085402</v>
      </c>
      <c r="X13" s="629">
        <f t="shared" si="83"/>
        <v>2.8377085585290134</v>
      </c>
      <c r="Y13" s="630">
        <f>IF(M13="","",S13)</f>
        <v>-8.0600243090333271E-2</v>
      </c>
      <c r="Z13" s="632">
        <f t="shared" si="6"/>
        <v>0.9584348191384825</v>
      </c>
      <c r="AA13" s="629">
        <f t="shared" si="7"/>
        <v>-0.11418109338914328</v>
      </c>
      <c r="AB13" s="629">
        <f t="shared" si="8"/>
        <v>-0.2614677329527379</v>
      </c>
      <c r="AC13" s="636">
        <f t="shared" si="84"/>
        <v>1</v>
      </c>
      <c r="AD13" s="637">
        <f>IF(M13="","",Z13*(1/SQRT(Z13^2+AA13^2+AB13^2)))</f>
        <v>0.9584348191384825</v>
      </c>
      <c r="AE13" s="629">
        <f t="shared" si="85"/>
        <v>-0.11418109338914328</v>
      </c>
      <c r="AF13" s="633">
        <f t="shared" si="86"/>
        <v>-0.2614677329527379</v>
      </c>
      <c r="AG13" s="602">
        <f>IF(M13="","",DEGREES(ATAN2(-AF13,AE13)))</f>
        <v>-23.590550389551588</v>
      </c>
      <c r="AH13" s="603">
        <f t="shared" si="88"/>
        <v>16.57747409257583</v>
      </c>
      <c r="AI13" s="585">
        <f t="shared" si="89"/>
        <v>-74.84282994123798</v>
      </c>
      <c r="AJ13" s="586">
        <f t="shared" si="90"/>
        <v>83.206209053873124</v>
      </c>
      <c r="AK13" s="635">
        <f t="shared" si="211"/>
        <v>0.9595597569752542</v>
      </c>
      <c r="AL13" s="629">
        <f t="shared" si="91"/>
        <v>-0.10430578803761062</v>
      </c>
      <c r="AM13" s="634">
        <f t="shared" si="92"/>
        <v>-0.2614677329527379</v>
      </c>
      <c r="AN13" s="581">
        <f t="shared" si="93"/>
        <v>-21.748249453727173</v>
      </c>
      <c r="AO13" s="582">
        <f t="shared" si="94"/>
        <v>16.350049185171731</v>
      </c>
      <c r="AP13" s="585">
        <f t="shared" si="95"/>
        <v>-6.2037910313123907</v>
      </c>
      <c r="AQ13" s="586">
        <f t="shared" si="9"/>
        <v>0.80331619828543821</v>
      </c>
      <c r="AS13" s="52">
        <f t="shared" si="116"/>
        <v>-0.55999991914598013</v>
      </c>
      <c r="AT13" s="72">
        <f t="shared" si="10"/>
        <v>-8.0190520927267639E-2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9.1761181800855213E-2</v>
      </c>
      <c r="C14" s="708">
        <v>3.4810012737960019</v>
      </c>
      <c r="D14" s="709">
        <v>-0.3638010972241093</v>
      </c>
      <c r="E14" s="710">
        <v>-0.94008786732562299</v>
      </c>
      <c r="F14" s="708">
        <v>0.25761209432420856</v>
      </c>
      <c r="G14" s="711">
        <v>0.22331773455114776</v>
      </c>
      <c r="H14" s="710">
        <v>0.26600000000000001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1.1220000000000001</v>
      </c>
      <c r="N14" s="632">
        <f t="shared" si="2"/>
        <v>9.1761181800855213E-2</v>
      </c>
      <c r="O14" s="629">
        <f t="shared" si="3"/>
        <v>3.4810012737960019</v>
      </c>
      <c r="P14" s="633">
        <f t="shared" si="4"/>
        <v>-0.3638010972241093</v>
      </c>
      <c r="Q14" s="585">
        <f t="shared" si="113"/>
        <v>88.490000218017002</v>
      </c>
      <c r="R14" s="629">
        <f t="shared" si="79"/>
        <v>3.482210502346875</v>
      </c>
      <c r="S14" s="634">
        <f t="shared" si="80"/>
        <v>-0.3638010972241093</v>
      </c>
      <c r="T14" s="635">
        <f t="shared" si="81"/>
        <v>3.4810488426613246</v>
      </c>
      <c r="U14" s="629">
        <f t="shared" si="82"/>
        <v>-8.9938521564059043E-2</v>
      </c>
      <c r="V14" s="636">
        <f t="shared" si="114"/>
        <v>-0.3638010972241093</v>
      </c>
      <c r="W14" s="585">
        <f t="shared" si="5"/>
        <v>358.52000021368553</v>
      </c>
      <c r="X14" s="629">
        <f t="shared" si="83"/>
        <v>3.482210502346875</v>
      </c>
      <c r="Y14" s="630">
        <f t="shared" ref="Y14:Y75" si="223">IF(M14="","",S14)</f>
        <v>-0.3638010972241093</v>
      </c>
      <c r="Z14" s="632">
        <f t="shared" si="6"/>
        <v>0.94008786732562299</v>
      </c>
      <c r="AA14" s="629">
        <f t="shared" si="7"/>
        <v>-0.25761209432420856</v>
      </c>
      <c r="AB14" s="629">
        <f t="shared" si="8"/>
        <v>-0.22331773455114776</v>
      </c>
      <c r="AC14" s="636">
        <f t="shared" si="84"/>
        <v>1</v>
      </c>
      <c r="AD14" s="637">
        <f>IF(M14="","",Z14*(1/SQRT(Z14^2+AA14^2+AB14^2)))</f>
        <v>0.94008786732562299</v>
      </c>
      <c r="AE14" s="629">
        <f t="shared" si="85"/>
        <v>-0.25761209432420856</v>
      </c>
      <c r="AF14" s="633">
        <f t="shared" si="86"/>
        <v>-0.22331773455114776</v>
      </c>
      <c r="AG14" s="602">
        <f t="shared" si="87"/>
        <v>-49.078769102324145</v>
      </c>
      <c r="AH14" s="603">
        <f t="shared" si="88"/>
        <v>19.933682182949894</v>
      </c>
      <c r="AI14" s="585">
        <f t="shared" si="89"/>
        <v>-77.096025398042826</v>
      </c>
      <c r="AJ14" s="586">
        <f t="shared" si="90"/>
        <v>74.675441389999847</v>
      </c>
      <c r="AK14" s="635">
        <f>IF(M14="","",(COS(RADIANS((90-$Q$8)-W14))*AD14)+(-SIN(RADIANS((90-$Q$8)-W14))*AE14))</f>
        <v>0.94654985723597362</v>
      </c>
      <c r="AL14" s="629">
        <f t="shared" si="91"/>
        <v>-0.23274998861761739</v>
      </c>
      <c r="AM14" s="634">
        <f t="shared" si="92"/>
        <v>-0.22331773455114776</v>
      </c>
      <c r="AN14" s="581">
        <f t="shared" si="93"/>
        <v>-46.184804994278863</v>
      </c>
      <c r="AO14" s="582">
        <f t="shared" si="94"/>
        <v>18.817664888941497</v>
      </c>
      <c r="AP14" s="585">
        <f>IF(M14="","",DEGREES(ATAN2(AK14,AL14)))</f>
        <v>-13.814558828017182</v>
      </c>
      <c r="AQ14" s="586">
        <f t="shared" si="9"/>
        <v>0.65464951773084323</v>
      </c>
      <c r="AS14" s="52">
        <f t="shared" si="116"/>
        <v>-1.4799997863144654</v>
      </c>
      <c r="AT14" s="72">
        <f t="shared" si="10"/>
        <v>-0.36275248626439888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0.15837656085980806</v>
      </c>
      <c r="C15" s="708">
        <v>3.9432326545872631</v>
      </c>
      <c r="D15" s="709">
        <v>-0.89310269359772398</v>
      </c>
      <c r="E15" s="710">
        <v>-0.9185171063321228</v>
      </c>
      <c r="F15" s="708">
        <v>0.37055756572268445</v>
      </c>
      <c r="G15" s="711">
        <v>0.13788914337591002</v>
      </c>
      <c r="H15" s="710">
        <v>0.26600000000000001</v>
      </c>
      <c r="I15" s="708">
        <v>0.52</v>
      </c>
      <c r="J15" s="570">
        <v>1.1279999999999999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0</v>
      </c>
      <c r="M15" s="168">
        <f t="shared" si="1"/>
        <v>1.1279999999999999</v>
      </c>
      <c r="N15" s="632">
        <f t="shared" si="2"/>
        <v>0.15837656085980806</v>
      </c>
      <c r="O15" s="629">
        <f t="shared" si="3"/>
        <v>3.9432326545872631</v>
      </c>
      <c r="P15" s="633">
        <f t="shared" si="4"/>
        <v>-0.89310269359772398</v>
      </c>
      <c r="Q15" s="585">
        <f t="shared" si="113"/>
        <v>87.700000332078872</v>
      </c>
      <c r="R15" s="629">
        <f t="shared" si="79"/>
        <v>3.9464119023782978</v>
      </c>
      <c r="S15" s="634">
        <f t="shared" si="80"/>
        <v>-0.89310269359772398</v>
      </c>
      <c r="T15" s="635">
        <f t="shared" si="81"/>
        <v>3.9433150398152081</v>
      </c>
      <c r="U15" s="629">
        <f t="shared" si="82"/>
        <v>-0.15631186775250377</v>
      </c>
      <c r="V15" s="636">
        <f t="shared" si="114"/>
        <v>-0.89310269359772398</v>
      </c>
      <c r="W15" s="585">
        <f t="shared" ref="W15:W78" si="224">IF(M15="","",IF(Q15-$Q$8&lt;0,360+Q15-$Q$8,Q15-$Q$8))</f>
        <v>357.73000032774735</v>
      </c>
      <c r="X15" s="629">
        <f>IF(M15="","",R15)</f>
        <v>3.9464119023782978</v>
      </c>
      <c r="Y15" s="630">
        <f>IF(M15="","",S15)</f>
        <v>-0.89310269359772398</v>
      </c>
      <c r="Z15" s="632">
        <f t="shared" si="6"/>
        <v>0.9185171063321228</v>
      </c>
      <c r="AA15" s="629">
        <f t="shared" si="7"/>
        <v>-0.37055756572268445</v>
      </c>
      <c r="AB15" s="629">
        <f t="shared" si="8"/>
        <v>-0.13788914337591002</v>
      </c>
      <c r="AC15" s="636">
        <f t="shared" si="84"/>
        <v>1</v>
      </c>
      <c r="AD15" s="637">
        <f t="shared" si="115"/>
        <v>0.9185171063321228</v>
      </c>
      <c r="AE15" s="629">
        <f t="shared" si="85"/>
        <v>-0.37055756572268445</v>
      </c>
      <c r="AF15" s="633">
        <f t="shared" si="86"/>
        <v>-0.13788914337591002</v>
      </c>
      <c r="AG15" s="602">
        <f t="shared" si="87"/>
        <v>-69.589131356200681</v>
      </c>
      <c r="AH15" s="603">
        <f t="shared" si="88"/>
        <v>23.289753176505002</v>
      </c>
      <c r="AI15" s="585">
        <f t="shared" si="89"/>
        <v>-82.074281573026099</v>
      </c>
      <c r="AJ15" s="586">
        <f t="shared" si="90"/>
        <v>68.029362216401651</v>
      </c>
      <c r="AK15" s="635">
        <f t="shared" si="211"/>
        <v>0.9326482818804227</v>
      </c>
      <c r="AL15" s="629">
        <f t="shared" si="91"/>
        <v>-0.33339731019393881</v>
      </c>
      <c r="AM15" s="634">
        <f t="shared" si="92"/>
        <v>-0.13788914337591002</v>
      </c>
      <c r="AN15" s="581">
        <f>IF(M15="","",DEGREES(ATAN2(-AM15,AL15)))</f>
        <v>-67.530597453977606</v>
      </c>
      <c r="AO15" s="582">
        <f t="shared" si="94"/>
        <v>21.14852968888885</v>
      </c>
      <c r="AP15" s="585">
        <f t="shared" si="95"/>
        <v>-19.670638115677196</v>
      </c>
      <c r="AQ15" s="586">
        <f t="shared" si="9"/>
        <v>0.57765115423366531</v>
      </c>
      <c r="AS15" s="52">
        <f t="shared" si="116"/>
        <v>-2.2699996722526521</v>
      </c>
      <c r="AT15" s="72">
        <f t="shared" si="10"/>
        <v>-0.89150547160611204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0.19228266320826787</v>
      </c>
      <c r="C16" s="708">
        <v>4.1387482605071337</v>
      </c>
      <c r="D16" s="709">
        <v>-1.5690047321182721</v>
      </c>
      <c r="E16" s="710">
        <v>-0.88490494769129358</v>
      </c>
      <c r="F16" s="708">
        <v>0.46430359848608205</v>
      </c>
      <c r="G16" s="711">
        <v>3.695134617769958E-2</v>
      </c>
      <c r="H16" s="710">
        <v>0.26600000000000001</v>
      </c>
      <c r="I16" s="708">
        <v>0.52</v>
      </c>
      <c r="J16" s="570">
        <v>1.1339999999999999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1.1339999999999999</v>
      </c>
      <c r="N16" s="632">
        <f t="shared" si="2"/>
        <v>0.19228266320826787</v>
      </c>
      <c r="O16" s="629">
        <f t="shared" si="3"/>
        <v>4.1387482605071337</v>
      </c>
      <c r="P16" s="633">
        <f t="shared" si="4"/>
        <v>-1.5690047321182721</v>
      </c>
      <c r="Q16" s="585">
        <f>IF(M16="","",IF(DEGREES(ATAN2(N16,O16))&lt;0,DEGREES(ATAN2(N16,O16))+360,IF(DEGREES(ATAN2(N16,O16))&gt;360,DEGREES(ATAN2(N16,O16))-360,DEGREES(ATAN2(N16,O16)))))</f>
        <v>87.340000384056424</v>
      </c>
      <c r="R16" s="629">
        <f t="shared" si="79"/>
        <v>4.1432124959288883</v>
      </c>
      <c r="S16" s="634">
        <f t="shared" si="80"/>
        <v>-1.5690047321182721</v>
      </c>
      <c r="T16" s="635">
        <f t="shared" si="81"/>
        <v>4.1388483721245306</v>
      </c>
      <c r="U16" s="629">
        <f t="shared" si="82"/>
        <v>-0.19011559374077452</v>
      </c>
      <c r="V16" s="636">
        <f t="shared" si="114"/>
        <v>-1.5690047321182721</v>
      </c>
      <c r="W16" s="585">
        <f>IF(M16="","",IF(Q16-$Q$8&lt;0,360+Q16-$Q$8,Q16-$Q$8))</f>
        <v>357.37000037972496</v>
      </c>
      <c r="X16" s="629">
        <f t="shared" si="83"/>
        <v>4.1432124959288883</v>
      </c>
      <c r="Y16" s="630">
        <f t="shared" si="223"/>
        <v>-1.5690047321182721</v>
      </c>
      <c r="Z16" s="632">
        <f t="shared" si="6"/>
        <v>0.88490494769129358</v>
      </c>
      <c r="AA16" s="629">
        <f t="shared" si="7"/>
        <v>-0.46430359848608205</v>
      </c>
      <c r="AB16" s="629">
        <f t="shared" si="8"/>
        <v>-3.695134617769958E-2</v>
      </c>
      <c r="AC16" s="636">
        <f t="shared" si="84"/>
        <v>1</v>
      </c>
      <c r="AD16" s="637">
        <f t="shared" si="115"/>
        <v>0.88490494769129358</v>
      </c>
      <c r="AE16" s="629">
        <f t="shared" si="85"/>
        <v>-0.46430359848608205</v>
      </c>
      <c r="AF16" s="633">
        <f t="shared" si="86"/>
        <v>-3.695134617769958E-2</v>
      </c>
      <c r="AG16" s="602">
        <f t="shared" si="87"/>
        <v>-85.449737412986138</v>
      </c>
      <c r="AH16" s="603">
        <f t="shared" si="88"/>
        <v>27.760173599413175</v>
      </c>
      <c r="AI16" s="585">
        <f t="shared" si="89"/>
        <v>-87.882361725544826</v>
      </c>
      <c r="AJ16" s="586">
        <f t="shared" si="90"/>
        <v>62.314309632839148</v>
      </c>
      <c r="AK16" s="635">
        <f t="shared" si="211"/>
        <v>0.90549937979574346</v>
      </c>
      <c r="AL16" s="629">
        <f t="shared" si="91"/>
        <v>-0.42273569899545965</v>
      </c>
      <c r="AM16" s="634">
        <f t="shared" si="92"/>
        <v>-3.695134617769958E-2</v>
      </c>
      <c r="AN16" s="581">
        <f t="shared" si="93"/>
        <v>-85.004470363046153</v>
      </c>
      <c r="AO16" s="582">
        <f t="shared" si="94"/>
        <v>25.109374679334213</v>
      </c>
      <c r="AP16" s="585">
        <f t="shared" si="95"/>
        <v>-25.025690751217308</v>
      </c>
      <c r="AQ16" s="586">
        <f t="shared" si="9"/>
        <v>0.5502147321494516</v>
      </c>
      <c r="AS16" s="52">
        <f t="shared" si="116"/>
        <v>-2.6299996202750435</v>
      </c>
      <c r="AT16" s="72">
        <f t="shared" si="10"/>
        <v>-1.5671575101627557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0.19531792650395255</v>
      </c>
      <c r="C17" s="708">
        <v>4.157126684474755</v>
      </c>
      <c r="D17" s="709">
        <v>-2.2561068044181223</v>
      </c>
      <c r="E17" s="710">
        <v>-0.83326837650728991</v>
      </c>
      <c r="F17" s="708">
        <v>0.55286848808751343</v>
      </c>
      <c r="G17" s="711">
        <v>-4.9758690969863028E-4</v>
      </c>
      <c r="H17" s="710">
        <v>0.26600000000000001</v>
      </c>
      <c r="I17" s="708">
        <v>0.52</v>
      </c>
      <c r="J17" s="570">
        <v>1.1399999999999999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1.1399999999999999</v>
      </c>
      <c r="N17" s="632">
        <f t="shared" si="2"/>
        <v>0.19531792650395255</v>
      </c>
      <c r="O17" s="629">
        <f t="shared" si="3"/>
        <v>4.157126684474755</v>
      </c>
      <c r="P17" s="633">
        <f t="shared" si="4"/>
        <v>-2.2561068044181223</v>
      </c>
      <c r="Q17" s="585">
        <f>IF(M17="","",IF(DEGREES(ATAN2(N17,O17))&lt;0,DEGREES(ATAN2(N17,O17))+360,IF(DEGREES(ATAN2(N17,O17))&gt;360,DEGREES(ATAN2(N17,O17))-360,DEGREES(ATAN2(N17,O17)))))</f>
        <v>87.310000388387891</v>
      </c>
      <c r="R17" s="629">
        <f>IF(M17="","",SQRT(N17^2+O17^2))</f>
        <v>4.1617125517250555</v>
      </c>
      <c r="S17" s="634">
        <f>IF(M17="","",P17)</f>
        <v>-2.2561068044181223</v>
      </c>
      <c r="T17" s="635">
        <f>IF(M17="","",X17*COS(RADIANS(W17)))</f>
        <v>4.1572283828327219</v>
      </c>
      <c r="U17" s="629">
        <f>IF(M17="","",X17*SIN(RADIANS(W17)))</f>
        <v>-0.19314123370193081</v>
      </c>
      <c r="V17" s="636">
        <f>IF(M17="","",Y17)</f>
        <v>-2.2561068044181223</v>
      </c>
      <c r="W17" s="585">
        <f t="shared" si="224"/>
        <v>357.34000038405645</v>
      </c>
      <c r="X17" s="629">
        <f>IF(M17="","",R17)</f>
        <v>4.1617125517250555</v>
      </c>
      <c r="Y17" s="630">
        <f t="shared" si="223"/>
        <v>-2.2561068044181223</v>
      </c>
      <c r="Z17" s="632">
        <f t="shared" si="6"/>
        <v>0.83326837650728991</v>
      </c>
      <c r="AA17" s="629">
        <f t="shared" si="7"/>
        <v>-0.55286848808751343</v>
      </c>
      <c r="AB17" s="629">
        <f t="shared" si="8"/>
        <v>4.9758690969863028E-4</v>
      </c>
      <c r="AC17" s="636">
        <f>IF(M17="","",SQRT(Z17^2+AA17^2+AB17^2))</f>
        <v>1.0000000000000002</v>
      </c>
      <c r="AD17" s="637">
        <f>IF(M17="","",Z17*(1/SQRT(Z17^2+AA17^2+AB17^2)))</f>
        <v>0.83326837650728969</v>
      </c>
      <c r="AE17" s="629">
        <f>IF(M17="","",AA17*(1/SQRT(Z17^2+AA17^2+AB17^2)))</f>
        <v>-0.55286848808751332</v>
      </c>
      <c r="AF17" s="633">
        <f>IF(M17="","",AB17*(1/SQRT(Z17^2+AA17^2+AB17^2)))</f>
        <v>4.9758690969863018E-4</v>
      </c>
      <c r="AG17" s="602">
        <f>IF(M17="","",DEGREES(ATAN2(-AF17,AE17)))</f>
        <v>-90.051566733831308</v>
      </c>
      <c r="AH17" s="603">
        <f>IF(M17="","",DEGREES(ACOS(AD17)))</f>
        <v>33.564042068325442</v>
      </c>
      <c r="AI17" s="585">
        <f>IF(M17="","",DEGREES(-ACOS(-AF17)))</f>
        <v>-90.02850963104315</v>
      </c>
      <c r="AJ17" s="586">
        <f>IF(M17="","",DEGREES(ATAN2(-AE17,AD17)))</f>
        <v>56.435968622064799</v>
      </c>
      <c r="AK17" s="635">
        <f>IF(M17="","",(COS(RADIANS((90-$Q$8)-W17))*AD17)+(-SIN(RADIANS((90-$Q$8)-W17))*AE17))</f>
        <v>0.85829746423727071</v>
      </c>
      <c r="AL17" s="629">
        <f>IF(M17="","",(SIN(RADIANS((90-$Q$8)-W17))*AD17)+(COS(RADIANS((90-$Q$8)-W17))*AE17))</f>
        <v>-0.51315223403112853</v>
      </c>
      <c r="AM17" s="634">
        <f>IF(M17="","",AF17)</f>
        <v>4.9758690969863018E-4</v>
      </c>
      <c r="AN17" s="581">
        <f>IF(M17="","",DEGREES(ATAN2(-AM17,AL17)))</f>
        <v>-90.055557822884822</v>
      </c>
      <c r="AO17" s="582">
        <f t="shared" si="94"/>
        <v>30.874043630075917</v>
      </c>
      <c r="AP17" s="585">
        <f>IF(M17="","",DEGREES(ATAN2(AK17,AL17)))</f>
        <v>-30.874031766323167</v>
      </c>
      <c r="AQ17" s="586">
        <f t="shared" si="9"/>
        <v>0.54776901262909827</v>
      </c>
      <c r="AS17" s="52">
        <f t="shared" si="116"/>
        <v>-2.6599996159435477</v>
      </c>
      <c r="AT17" s="72">
        <f t="shared" si="10"/>
        <v>-2.2542387491322806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0.20018375041986081</v>
      </c>
      <c r="C18" s="708">
        <v>4.1828251222900459</v>
      </c>
      <c r="D18" s="709">
        <v>-2.9389088637491327</v>
      </c>
      <c r="E18" s="710">
        <v>-0.79079647198351577</v>
      </c>
      <c r="F18" s="708">
        <v>0.61207919413945755</v>
      </c>
      <c r="G18" s="711">
        <v>1.3008419231576586E-7</v>
      </c>
      <c r="H18" s="710">
        <v>0.26600000000000001</v>
      </c>
      <c r="I18" s="708">
        <v>0.52</v>
      </c>
      <c r="J18" s="570">
        <v>1.1459999999999999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1.1459999999999999</v>
      </c>
      <c r="N18" s="632">
        <f t="shared" si="2"/>
        <v>0.20018375041986081</v>
      </c>
      <c r="O18" s="629">
        <f t="shared" si="3"/>
        <v>4.1828251222900459</v>
      </c>
      <c r="P18" s="633">
        <f t="shared" si="4"/>
        <v>-2.9389088637491327</v>
      </c>
      <c r="Q18" s="585">
        <f t="shared" si="113"/>
        <v>87.260000395607008</v>
      </c>
      <c r="R18" s="629">
        <f>IF(M18="","",SQRT(N18^2+O18^2))</f>
        <v>4.1876126298396921</v>
      </c>
      <c r="S18" s="634">
        <f>IF(M18="","",P18)</f>
        <v>-2.9389088637491327</v>
      </c>
      <c r="T18" s="635">
        <f>IF(M18="","",X18*COS(RADIANS(W18)))</f>
        <v>4.1829293648642878</v>
      </c>
      <c r="U18" s="629">
        <f>IF(M18="","",X18*SIN(RADIANS(W18)))</f>
        <v>-0.19799360128282961</v>
      </c>
      <c r="V18" s="636">
        <f>IF(M18="","",Y18)</f>
        <v>-2.9389088637491327</v>
      </c>
      <c r="W18" s="585">
        <f t="shared" si="224"/>
        <v>357.2900003912755</v>
      </c>
      <c r="X18" s="629">
        <f>IF(M18="","",R18)</f>
        <v>4.1876126298396921</v>
      </c>
      <c r="Y18" s="630">
        <f t="shared" si="223"/>
        <v>-2.9389088637491327</v>
      </c>
      <c r="Z18" s="632">
        <f t="shared" si="6"/>
        <v>0.79079647198351577</v>
      </c>
      <c r="AA18" s="629">
        <f t="shared" si="7"/>
        <v>-0.61207919413945755</v>
      </c>
      <c r="AB18" s="629">
        <f t="shared" si="8"/>
        <v>-1.3008419231576586E-7</v>
      </c>
      <c r="AC18" s="636">
        <f>IF(M18="","",SQRT(Z18^2+AA18^2+AB18^2))</f>
        <v>1</v>
      </c>
      <c r="AD18" s="637">
        <f>IF(M18="","",Z18*(1/SQRT(Z18^2+AA18^2+AB18^2)))</f>
        <v>0.79079647198351577</v>
      </c>
      <c r="AE18" s="629">
        <f>IF(M18="","",AA18*(1/SQRT(Z18^2+AA18^2+AB18^2)))</f>
        <v>-0.61207919413945755</v>
      </c>
      <c r="AF18" s="633">
        <f>IF(M18="","",AB18*(1/SQRT(Z18^2+AA18^2+AB18^2)))</f>
        <v>-1.3008419231576586E-7</v>
      </c>
      <c r="AG18" s="602">
        <f>IF(M18="","",DEGREES(ATAN2(-AF18,AE18)))</f>
        <v>-89.999987823021485</v>
      </c>
      <c r="AH18" s="603">
        <f>IF(M18="","",DEGREES(ACOS(AD18)))</f>
        <v>37.739994551018903</v>
      </c>
      <c r="AI18" s="585">
        <f>IF(M18="","",DEGREES(-ACOS(-AF18)))</f>
        <v>-89.999992546724798</v>
      </c>
      <c r="AJ18" s="586">
        <f>IF(M18="","",DEGREES(ATAN2(-AE18,AD18)))</f>
        <v>52.260005448981723</v>
      </c>
      <c r="AK18" s="635">
        <f>IF(M18="","",(COS(RADIANS((90-$Q$8)-W18))*AD18)+(-SIN(RADIANS((90-$Q$8)-W18))*AE18))</f>
        <v>0.81915209487729168</v>
      </c>
      <c r="AL18" s="629">
        <f>IF(M18="","",(SIN(RADIANS((90-$Q$8)-W18))*AD18)+(COS(RADIANS((90-$Q$8)-W18))*AE18))</f>
        <v>-0.57357636410344492</v>
      </c>
      <c r="AM18" s="634">
        <f>IF(M18="","",AF18)</f>
        <v>-1.3008419231576586E-7</v>
      </c>
      <c r="AN18" s="581">
        <f>IF(M18="","",DEGREES(ATAN2(-AM18,AL18)))</f>
        <v>-89.999987005609597</v>
      </c>
      <c r="AO18" s="582">
        <f t="shared" si="94"/>
        <v>34.999994946625982</v>
      </c>
      <c r="AP18" s="585">
        <f>IF(M18="","",DEGREES(ATAN2(AK18,AL18)))</f>
        <v>-34.9999949466253</v>
      </c>
      <c r="AQ18" s="586">
        <f t="shared" si="9"/>
        <v>0.54438130583656053</v>
      </c>
      <c r="AS18" s="52">
        <f t="shared" si="116"/>
        <v>-2.7099996087245017</v>
      </c>
      <c r="AT18" s="72">
        <f t="shared" si="10"/>
        <v>-2.9370060862460821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0.92296236925863651</v>
      </c>
      <c r="C19" s="708">
        <v>0.96413928191547327</v>
      </c>
      <c r="D19" s="709">
        <v>-0.21380000000000002</v>
      </c>
      <c r="E19" s="710">
        <v>-6.0269482204187812E-2</v>
      </c>
      <c r="F19" s="708">
        <v>-6.295800839343986E-2</v>
      </c>
      <c r="G19" s="711">
        <v>0.99619469918985748</v>
      </c>
      <c r="H19" s="710">
        <v>0.26250000000000001</v>
      </c>
      <c r="I19" s="708">
        <v>0.40699999999999997</v>
      </c>
      <c r="J19" s="570">
        <v>1.206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Inactive</v>
      </c>
      <c r="L19" s="775" t="s">
        <v>366</v>
      </c>
      <c r="M19" s="168">
        <f t="shared" si="1"/>
        <v>1.206</v>
      </c>
      <c r="N19" s="632">
        <f t="shared" si="2"/>
        <v>0.92296236925863651</v>
      </c>
      <c r="O19" s="629">
        <f t="shared" si="3"/>
        <v>0.96413928191547327</v>
      </c>
      <c r="P19" s="633">
        <f t="shared" si="4"/>
        <v>-0.21380000000000002</v>
      </c>
      <c r="Q19" s="585">
        <f t="shared" si="113"/>
        <v>46.25000631671756</v>
      </c>
      <c r="R19" s="629">
        <f>IF(M19="","",SQRT(N19^2+O19^2))</f>
        <v>1.3347</v>
      </c>
      <c r="S19" s="634">
        <f>IF(M19="","",P19)</f>
        <v>-0.21380000000000002</v>
      </c>
      <c r="T19" s="635">
        <f>IF(M19="","",X19*COS(RADIANS(W19)))</f>
        <v>0.96462241162799534</v>
      </c>
      <c r="U19" s="629">
        <f>IF(M19="","",X19*SIN(RADIANS(W19)))</f>
        <v>-0.92245742068942693</v>
      </c>
      <c r="V19" s="636">
        <f>IF(M19="","",Y19)</f>
        <v>-0.21380000000000002</v>
      </c>
      <c r="W19" s="585">
        <f t="shared" si="224"/>
        <v>316.28000631238604</v>
      </c>
      <c r="X19" s="629">
        <f>IF(M19="","",R19)</f>
        <v>1.3347</v>
      </c>
      <c r="Y19" s="630">
        <f t="shared" si="223"/>
        <v>-0.21380000000000002</v>
      </c>
      <c r="Z19" s="632">
        <f t="shared" si="6"/>
        <v>6.0269482204187812E-2</v>
      </c>
      <c r="AA19" s="629">
        <f t="shared" si="7"/>
        <v>6.295800839343986E-2</v>
      </c>
      <c r="AB19" s="629">
        <f t="shared" si="8"/>
        <v>-0.99619469918985748</v>
      </c>
      <c r="AC19" s="636">
        <f>IF(M19="","",SQRT(Z19^2+AA19^2+AB19^2))</f>
        <v>1</v>
      </c>
      <c r="AD19" s="637">
        <f>IF(M19="","",Z19*(1/SQRT(Z19^2+AA19^2+AB19^2)))</f>
        <v>6.0269482204187812E-2</v>
      </c>
      <c r="AE19" s="629">
        <f>IF(M19="","",AA19*(1/SQRT(Z19^2+AA19^2+AB19^2)))</f>
        <v>6.295800839343986E-2</v>
      </c>
      <c r="AF19" s="633">
        <f>IF(M19="","",AB19*(1/SQRT(Z19^2+AA19^2+AB19^2)))</f>
        <v>-0.99619469918985748</v>
      </c>
      <c r="AG19" s="602">
        <f>IF(M19="","",DEGREES(ATAN2(-AF19,AE19)))</f>
        <v>3.6161978809500113</v>
      </c>
      <c r="AH19" s="603">
        <f>IF(M19="","",DEGREES(ACOS(AD19)))</f>
        <v>86.544719046225723</v>
      </c>
      <c r="AI19" s="585">
        <f>IF(M19="","",DEGREES(-ACOS(-AF19)))</f>
        <v>-4.9999992781062668</v>
      </c>
      <c r="AJ19" s="586">
        <f>IF(M19="","",DEGREES(ATAN2(-AE19,AD19)))</f>
        <v>136.24985722278686</v>
      </c>
      <c r="AK19" s="635">
        <f>IF(M19="","",(COS(RADIANS((90-$Q$8)-W19))*AD19)+(-SIN(RADIANS((90-$Q$8)-W19))*AE19))</f>
        <v>2.2679489668914199E-7</v>
      </c>
      <c r="AL19" s="629">
        <f>IF(M19="","",(SIN(RADIANS((90-$Q$8)-W19))*AD19)+(COS(RADIANS((90-$Q$8)-W19))*AE19))</f>
        <v>8.7155730195885114E-2</v>
      </c>
      <c r="AM19" s="634">
        <f>IF(M19="","",AF19)</f>
        <v>-0.99619469918985748</v>
      </c>
      <c r="AN19" s="581">
        <f>IF(M19="","",DEGREES(ATAN2(-AM19,AL19)))</f>
        <v>4.9999992780894198</v>
      </c>
      <c r="AO19" s="582">
        <f t="shared" si="94"/>
        <v>0</v>
      </c>
      <c r="AP19" s="585">
        <f>IF(M19="","",DEGREES(ATAN2(AK19,AL19)))</f>
        <v>89.999850906069341</v>
      </c>
      <c r="AQ19" s="586">
        <f t="shared" si="9"/>
        <v>1.707538521206319</v>
      </c>
      <c r="AS19" s="52">
        <f t="shared" si="116"/>
        <v>-43.719993687613965</v>
      </c>
      <c r="AT19" s="72">
        <f t="shared" si="10"/>
        <v>-0.18341805994216495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1.206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3.1059999999999999</v>
      </c>
      <c r="II19" s="734" cm="1">
        <f t="array" ref="II19">IFERROR(ROUND(VALUE(IF($IH19&lt;1,$IH19+LARGE((IF($M$9:$M$150="",0,$M$9:$M$150)-MOD(IF($M$9:$M$150="",0,$M$9:$M$150),1)),1),$IH19)),4),"")</f>
        <v>3.1059999999999999</v>
      </c>
      <c r="IJ19" s="533">
        <f t="shared" si="112"/>
        <v>1313</v>
      </c>
      <c r="IK19" s="533" t="str">
        <f t="shared" si="66"/>
        <v>Inactive</v>
      </c>
      <c r="IL19" s="727">
        <f t="shared" si="225"/>
        <v>283.7499590315748</v>
      </c>
      <c r="IM19" s="759">
        <v>3.5355971628853698E-2</v>
      </c>
      <c r="IN19" s="5">
        <f t="shared" si="226"/>
        <v>0.08</v>
      </c>
      <c r="IO19" s="771">
        <v>40</v>
      </c>
      <c r="IP19" s="9">
        <f t="shared" si="227"/>
        <v>-1.3340040233561343</v>
      </c>
      <c r="IQ19" s="5">
        <f t="shared" si="228"/>
        <v>-0.14720044395653897</v>
      </c>
      <c r="IR19" s="5">
        <f t="shared" si="71"/>
        <v>0.26600000000000001</v>
      </c>
      <c r="IS19" s="5">
        <f t="shared" si="229"/>
        <v>0.25693627239520722</v>
      </c>
      <c r="IT19" s="727">
        <f t="shared" si="230"/>
        <v>-4.9999992780894438</v>
      </c>
      <c r="IU19" s="9">
        <f t="shared" si="231"/>
        <v>-1.3347</v>
      </c>
      <c r="IV19" s="5">
        <f t="shared" si="232"/>
        <v>-0.21380000000000002</v>
      </c>
      <c r="IW19" s="5">
        <f t="shared" si="76"/>
        <v>0.26250000000000001</v>
      </c>
      <c r="IX19" s="5">
        <f t="shared" si="233"/>
        <v>0.26250000000000001</v>
      </c>
      <c r="IY19" s="762">
        <f t="shared" si="234"/>
        <v>-4.9999992780894198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0.92284399293490926</v>
      </c>
      <c r="C20" s="708">
        <v>1.7268824409044037</v>
      </c>
      <c r="D20" s="709">
        <v>-0.15600000000000006</v>
      </c>
      <c r="E20" s="710">
        <v>-4.107841353894446E-2</v>
      </c>
      <c r="F20" s="708">
        <v>-7.6867972831035677E-2</v>
      </c>
      <c r="G20" s="711">
        <v>0.99619469918985759</v>
      </c>
      <c r="H20" s="710">
        <v>0.26250000000000001</v>
      </c>
      <c r="I20" s="708">
        <v>0.40699999999999997</v>
      </c>
      <c r="J20" s="570">
        <v>1.2090000000000001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40</v>
      </c>
      <c r="M20" s="168">
        <f t="shared" si="1"/>
        <v>1.2090000000000001</v>
      </c>
      <c r="N20" s="632">
        <f t="shared" si="2"/>
        <v>0.92284399293490926</v>
      </c>
      <c r="O20" s="629">
        <f t="shared" si="3"/>
        <v>1.7268824409044037</v>
      </c>
      <c r="P20" s="633">
        <f t="shared" si="4"/>
        <v>-0.15600000000000006</v>
      </c>
      <c r="Q20" s="585">
        <f t="shared" si="113"/>
        <v>61.880004060025094</v>
      </c>
      <c r="R20" s="629">
        <f>IF(M20="","",SQRT(N20^2+O20^2))</f>
        <v>1.9579999999999995</v>
      </c>
      <c r="S20" s="634">
        <f>IF(M20="","",P20)</f>
        <v>-0.15600000000000006</v>
      </c>
      <c r="T20" s="635">
        <f>IF(M20="","",X20*COS(RADIANS(W20)))</f>
        <v>1.7273654040800901</v>
      </c>
      <c r="U20" s="629">
        <f>IF(M20="","",X20*SIN(RADIANS(W20)))</f>
        <v>-0.92193967307369173</v>
      </c>
      <c r="V20" s="636">
        <f>IF(M20="","",Y20)</f>
        <v>-0.15600000000000006</v>
      </c>
      <c r="W20" s="585">
        <f t="shared" si="224"/>
        <v>331.91000405569366</v>
      </c>
      <c r="X20" s="629">
        <f>IF(M20="","",R20)</f>
        <v>1.9579999999999995</v>
      </c>
      <c r="Y20" s="630">
        <f t="shared" si="223"/>
        <v>-0.15600000000000006</v>
      </c>
      <c r="Z20" s="632">
        <f t="shared" si="6"/>
        <v>4.107841353894446E-2</v>
      </c>
      <c r="AA20" s="629">
        <f t="shared" si="7"/>
        <v>7.6867972831035677E-2</v>
      </c>
      <c r="AB20" s="629">
        <f t="shared" si="8"/>
        <v>-0.99619469918985759</v>
      </c>
      <c r="AC20" s="636">
        <f>IF(M20="","",SQRT(Z20^2+AA20^2+AB20^2))</f>
        <v>1</v>
      </c>
      <c r="AD20" s="637">
        <f>IF(M20="","",Z20*(1/SQRT(Z20^2+AA20^2+AB20^2)))</f>
        <v>4.107841353894446E-2</v>
      </c>
      <c r="AE20" s="629">
        <f>IF(M20="","",AA20*(1/SQRT(Z20^2+AA20^2+AB20^2)))</f>
        <v>7.6867972831035677E-2</v>
      </c>
      <c r="AF20" s="633">
        <f>IF(M20="","",AB20*(1/SQRT(Z20^2+AA20^2+AB20^2)))</f>
        <v>-0.99619469918985759</v>
      </c>
      <c r="AG20" s="602">
        <f>IF(M20="","",DEGREES(ATAN2(-AF20,AE20)))</f>
        <v>4.412290849477853</v>
      </c>
      <c r="AH20" s="603">
        <f>IF(M20="","",DEGREES(ACOS(AD20)))</f>
        <v>87.645717841520138</v>
      </c>
      <c r="AI20" s="585">
        <f>IF(M20="","",DEGREES(-ACOS(-AF20)))</f>
        <v>-4.9999992781061904</v>
      </c>
      <c r="AJ20" s="586">
        <f>IF(M20="","",DEGREES(ATAN2(-AE20,AD20)))</f>
        <v>151.87985496609437</v>
      </c>
      <c r="AK20" s="635">
        <f>IF(M20="","",(COS(RADIANS((90-$Q$8)-W20))*AD20)+(-SIN(RADIANS((90-$Q$8)-W20))*AE20))</f>
        <v>2.2679489680710319E-7</v>
      </c>
      <c r="AL20" s="629">
        <f>IF(M20="","",(SIN(RADIANS((90-$Q$8)-W20))*AD20)+(COS(RADIANS((90-$Q$8)-W20))*AE20))</f>
        <v>8.7155730195885225E-2</v>
      </c>
      <c r="AM20" s="634">
        <f>IF(M20="","",AF20)</f>
        <v>-0.99619469918985759</v>
      </c>
      <c r="AN20" s="581">
        <f>IF(M20="","",DEGREES(ATAN2(-AM20,AL20)))</f>
        <v>4.999999278089426</v>
      </c>
      <c r="AO20" s="582">
        <f t="shared" si="94"/>
        <v>0</v>
      </c>
      <c r="AP20" s="585">
        <f>IF(M20="","",DEGREES(ATAN2(AK20,AL20)))</f>
        <v>89.999850906069256</v>
      </c>
      <c r="AQ20" s="586">
        <f t="shared" si="9"/>
        <v>1.1641536808796551</v>
      </c>
      <c r="AS20" s="52">
        <f t="shared" si="116"/>
        <v>-28.089995944306338</v>
      </c>
      <c r="AT20" s="72">
        <f t="shared" si="10"/>
        <v>-0.13647222504168416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1.2090000000000001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3.109</v>
      </c>
      <c r="II20" s="734" cm="1">
        <f t="array" ref="II20">IFERROR(ROUND(VALUE(IF($IH20&lt;1,$IH20+LARGE((IF($M$9:$M$150="",0,$M$9:$M$150)-MOD(IF($M$9:$M$150="",0,$M$9:$M$150),1)),1),$IH20)),4),"")</f>
        <v>3.109</v>
      </c>
      <c r="IJ20" s="533">
        <f t="shared" si="112"/>
        <v>1313</v>
      </c>
      <c r="IK20" s="533" t="str">
        <f t="shared" si="66"/>
        <v>Inactive</v>
      </c>
      <c r="IL20" s="727">
        <f t="shared" si="225"/>
        <v>268.11996128826718</v>
      </c>
      <c r="IM20" s="759">
        <v>3.3435351369393601E-2</v>
      </c>
      <c r="IN20" s="5">
        <f t="shared" si="226"/>
        <v>0.08</v>
      </c>
      <c r="IO20" s="771">
        <v>40</v>
      </c>
      <c r="IP20" s="9">
        <f t="shared" si="227"/>
        <v>-1.9573059032346045</v>
      </c>
      <c r="IQ20" s="5">
        <f t="shared" si="228"/>
        <v>-9.2700279584043241E-2</v>
      </c>
      <c r="IR20" s="5">
        <f t="shared" si="71"/>
        <v>0.26600000000000001</v>
      </c>
      <c r="IS20" s="5">
        <f t="shared" si="229"/>
        <v>0.25693627239520722</v>
      </c>
      <c r="IT20" s="727">
        <f t="shared" si="230"/>
        <v>-4.9999992780894438</v>
      </c>
      <c r="IU20" s="9">
        <f t="shared" si="231"/>
        <v>-1.9579999999999995</v>
      </c>
      <c r="IV20" s="5">
        <f t="shared" si="232"/>
        <v>-0.15600000000000006</v>
      </c>
      <c r="IW20" s="5">
        <f t="shared" si="76"/>
        <v>0.26250000000000001</v>
      </c>
      <c r="IX20" s="5">
        <f t="shared" si="233"/>
        <v>0.26250000000000001</v>
      </c>
      <c r="IY20" s="762">
        <f t="shared" si="234"/>
        <v>-4.999999278089426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1.1023491352604975</v>
      </c>
      <c r="C21" s="708">
        <v>3.8982166096769082</v>
      </c>
      <c r="D21" s="709">
        <v>-1.1339221482462216</v>
      </c>
      <c r="E21" s="710">
        <v>-0.68522289041338913</v>
      </c>
      <c r="F21" s="708">
        <v>0.70130666744014913</v>
      </c>
      <c r="G21" s="711">
        <v>0.19656690631312462</v>
      </c>
      <c r="H21" s="710">
        <v>0.26600000000000001</v>
      </c>
      <c r="I21" s="708">
        <v>0.52</v>
      </c>
      <c r="J21" s="570">
        <v>1.23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1.23</v>
      </c>
      <c r="N21" s="632">
        <f t="shared" si="2"/>
        <v>1.1023491352604975</v>
      </c>
      <c r="O21" s="629">
        <f t="shared" si="3"/>
        <v>3.8982166096769082</v>
      </c>
      <c r="P21" s="633">
        <f t="shared" si="4"/>
        <v>-1.1339221482462216</v>
      </c>
      <c r="Q21" s="585">
        <f t="shared" si="113"/>
        <v>74.210002279793613</v>
      </c>
      <c r="R21" s="629">
        <f>IF(M21="","",SQRT(N21^2+O21^2))</f>
        <v>4.051082121109185</v>
      </c>
      <c r="S21" s="634">
        <f>IF(M21="","",P21)</f>
        <v>-1.1339221482462216</v>
      </c>
      <c r="T21" s="635">
        <f>IF(M21="","",X21*COS(RADIANS(W21)))</f>
        <v>3.8987932638657621</v>
      </c>
      <c r="U21" s="629">
        <f>IF(M21="","",X21*SIN(RADIANS(W21)))</f>
        <v>-1.1003078830970217</v>
      </c>
      <c r="V21" s="636">
        <f>IF(M21="","",Y21)</f>
        <v>-1.1339221482462216</v>
      </c>
      <c r="W21" s="585">
        <f t="shared" si="224"/>
        <v>344.24000227546219</v>
      </c>
      <c r="X21" s="629">
        <f>IF(M21="","",R21)</f>
        <v>4.051082121109185</v>
      </c>
      <c r="Y21" s="630">
        <f t="shared" si="223"/>
        <v>-1.1339221482462216</v>
      </c>
      <c r="Z21" s="632">
        <f t="shared" si="6"/>
        <v>0.68522289041338913</v>
      </c>
      <c r="AA21" s="629">
        <f t="shared" si="7"/>
        <v>-0.70130666744014913</v>
      </c>
      <c r="AB21" s="629">
        <f t="shared" si="8"/>
        <v>-0.19656690631312462</v>
      </c>
      <c r="AC21" s="636">
        <f>IF(M21="","",SQRT(Z21^2+AA21^2+AB21^2))</f>
        <v>1</v>
      </c>
      <c r="AD21" s="637">
        <f>IF(M21="","",Z21*(1/SQRT(Z21^2+AA21^2+AB21^2)))</f>
        <v>0.68522289041338913</v>
      </c>
      <c r="AE21" s="629">
        <f>IF(M21="","",AA21*(1/SQRT(Z21^2+AA21^2+AB21^2)))</f>
        <v>-0.70130666744014913</v>
      </c>
      <c r="AF21" s="633">
        <f>IF(M21="","",AB21*(1/SQRT(Z21^2+AA21^2+AB21^2)))</f>
        <v>-0.19656690631312462</v>
      </c>
      <c r="AG21" s="602">
        <f>IF(M21="","",DEGREES(ATAN2(-AF21,AE21)))</f>
        <v>-74.342524111160785</v>
      </c>
      <c r="AH21" s="603">
        <f>IF(M21="","",DEGREES(ACOS(AD21)))</f>
        <v>46.746861262198379</v>
      </c>
      <c r="AI21" s="585">
        <f>IF(M21="","",DEGREES(-ACOS(-AF21)))</f>
        <v>-78.663727547245514</v>
      </c>
      <c r="AJ21" s="586">
        <f>IF(M21="","",DEGREES(ATAN2(-AE21,AD21)))</f>
        <v>44.335397354929569</v>
      </c>
      <c r="AK21" s="635">
        <f>IF(M21="","",(COS(RADIANS((90-$Q$8)-W21))*AD21)+(-SIN(RADIANS((90-$Q$8)-W21))*AE21))</f>
        <v>0.85020050153965565</v>
      </c>
      <c r="AL21" s="629">
        <f>IF(M21="","",(SIN(RADIANS((90-$Q$8)-W21))*AD21)+(COS(RADIANS((90-$Q$8)-W21))*AE21))</f>
        <v>-0.48838566576447084</v>
      </c>
      <c r="AM21" s="634">
        <f>IF(M21="","",AF21)</f>
        <v>-0.19656690631312462</v>
      </c>
      <c r="AN21" s="581">
        <f>IF(M21="","",DEGREES(ATAN2(-AM21,AL21)))</f>
        <v>-68.076055195029738</v>
      </c>
      <c r="AO21" s="582">
        <f>IF(ROUND(IF(M21="",0,DEGREES(ACOS(AK21))),4)=90,0,IF(M21="","",DEGREES(ACOS(AK21))))</f>
        <v>31.76651626672934</v>
      </c>
      <c r="AP21" s="585">
        <f>IF(M21="","",DEGREES(ATAN2(AK21,AL21)))</f>
        <v>-29.874604924864098</v>
      </c>
      <c r="AQ21" s="586">
        <f t="shared" si="9"/>
        <v>0.56272701021927796</v>
      </c>
      <c r="AS21" s="52">
        <f t="shared" si="116"/>
        <v>-15.759997724537811</v>
      </c>
      <c r="AT21" s="72">
        <f t="shared" si="10"/>
        <v>-1.1229568720516339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1.23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5.13</v>
      </c>
      <c r="II21" s="734" cm="1">
        <f t="array" ref="II21">IFERROR(ROUND(VALUE(IF($IH21&lt;1,$IH21+LARGE((IF($M$9:$M$150="",0,$M$9:$M$150)-MOD(IF($M$9:$M$150="",0,$M$9:$M$150),1)),1),$IH21)),4),"")</f>
        <v>5.13</v>
      </c>
      <c r="IJ21" s="533">
        <f t="shared" si="112"/>
        <v>1313</v>
      </c>
      <c r="IK21" s="533">
        <f t="shared" si="66"/>
        <v>1313</v>
      </c>
      <c r="IL21" s="727">
        <f t="shared" si="225"/>
        <v>133.30998075242013</v>
      </c>
      <c r="IM21" s="759">
        <v>6.6580289947753895E-4</v>
      </c>
      <c r="IN21" s="5">
        <f t="shared" si="226"/>
        <v>0</v>
      </c>
      <c r="IO21" s="771">
        <v>0</v>
      </c>
      <c r="IP21" s="9">
        <f t="shared" si="227"/>
        <v>-4.0447121988519923</v>
      </c>
      <c r="IQ21" s="5">
        <f t="shared" si="228"/>
        <v>-1.1080033417380788</v>
      </c>
      <c r="IR21" s="5">
        <f t="shared" si="71"/>
        <v>0.26600000000000001</v>
      </c>
      <c r="IS21" s="5">
        <f t="shared" si="229"/>
        <v>0.24631401555333254</v>
      </c>
      <c r="IT21" s="727">
        <f t="shared" si="230"/>
        <v>73.785181154818574</v>
      </c>
      <c r="IU21" s="9">
        <f t="shared" si="231"/>
        <v>-4.051082121109185</v>
      </c>
      <c r="IV21" s="5">
        <f t="shared" si="232"/>
        <v>-1.1339221482462216</v>
      </c>
      <c r="IW21" s="5">
        <f t="shared" si="76"/>
        <v>0.26600000000000001</v>
      </c>
      <c r="IX21" s="5">
        <f t="shared" si="233"/>
        <v>0.22615333340954841</v>
      </c>
      <c r="IY21" s="762">
        <f t="shared" si="234"/>
        <v>68.076055195029738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1.1211045472401553</v>
      </c>
      <c r="C22" s="708">
        <v>4.0018595952198712</v>
      </c>
      <c r="D22" s="709">
        <v>-1.8318535809230985</v>
      </c>
      <c r="E22" s="710">
        <v>-0.62516640625796438</v>
      </c>
      <c r="F22" s="708">
        <v>0.77820403984262787</v>
      </c>
      <c r="G22" s="711">
        <v>5.9711279161609447E-2</v>
      </c>
      <c r="H22" s="710">
        <v>0.26600000000000001</v>
      </c>
      <c r="I22" s="708">
        <v>0.52</v>
      </c>
      <c r="J22" s="570">
        <v>1.236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1.236</v>
      </c>
      <c r="N22" s="632">
        <f t="shared" si="2"/>
        <v>1.1211045472401553</v>
      </c>
      <c r="O22" s="629">
        <f t="shared" si="3"/>
        <v>4.0018595952198712</v>
      </c>
      <c r="P22" s="633">
        <f t="shared" si="4"/>
        <v>-1.8318535809230985</v>
      </c>
      <c r="Q22" s="585">
        <f t="shared" si="113"/>
        <v>74.350002259580108</v>
      </c>
      <c r="R22" s="629">
        <f t="shared" si="79"/>
        <v>4.1559301757483738</v>
      </c>
      <c r="S22" s="634">
        <f t="shared" si="80"/>
        <v>-1.8318535809230985</v>
      </c>
      <c r="T22" s="635">
        <f t="shared" si="81"/>
        <v>4.0024460555104557</v>
      </c>
      <c r="U22" s="629">
        <f t="shared" si="82"/>
        <v>-1.1190090251757161</v>
      </c>
      <c r="V22" s="636">
        <f t="shared" si="114"/>
        <v>-1.8318535809230985</v>
      </c>
      <c r="W22" s="585">
        <f t="shared" si="224"/>
        <v>344.38000225524866</v>
      </c>
      <c r="X22" s="629">
        <f t="shared" si="83"/>
        <v>4.1559301757483738</v>
      </c>
      <c r="Y22" s="630">
        <f t="shared" si="223"/>
        <v>-1.8318535809230985</v>
      </c>
      <c r="Z22" s="632">
        <f t="shared" si="6"/>
        <v>0.62516640625796438</v>
      </c>
      <c r="AA22" s="629">
        <f t="shared" si="7"/>
        <v>-0.77820403984262787</v>
      </c>
      <c r="AB22" s="629">
        <f t="shared" si="8"/>
        <v>-5.9711279161609447E-2</v>
      </c>
      <c r="AC22" s="636">
        <f t="shared" si="84"/>
        <v>1</v>
      </c>
      <c r="AD22" s="637">
        <f t="shared" si="115"/>
        <v>0.62516640625796438</v>
      </c>
      <c r="AE22" s="629">
        <f t="shared" si="85"/>
        <v>-0.77820403984262787</v>
      </c>
      <c r="AF22" s="633">
        <f t="shared" si="86"/>
        <v>-5.9711279161609447E-2</v>
      </c>
      <c r="AG22" s="602">
        <f t="shared" si="87"/>
        <v>-85.612315415795109</v>
      </c>
      <c r="AH22" s="603">
        <f t="shared" si="88"/>
        <v>51.305597727405463</v>
      </c>
      <c r="AI22" s="585">
        <f t="shared" si="89"/>
        <v>-86.576759431265913</v>
      </c>
      <c r="AJ22" s="586">
        <f t="shared" si="90"/>
        <v>38.776483810012337</v>
      </c>
      <c r="AK22" s="635">
        <f t="shared" si="211"/>
        <v>0.81191842176057949</v>
      </c>
      <c r="AL22" s="629">
        <f t="shared" si="91"/>
        <v>-0.58070908340294991</v>
      </c>
      <c r="AM22" s="634">
        <f t="shared" si="92"/>
        <v>-5.9711279161609447E-2</v>
      </c>
      <c r="AN22" s="581">
        <f t="shared" si="93"/>
        <v>-84.129207015692231</v>
      </c>
      <c r="AO22" s="582">
        <f t="shared" si="94"/>
        <v>35.716207879541123</v>
      </c>
      <c r="AP22" s="585">
        <f t="shared" si="95"/>
        <v>-35.5735184495678</v>
      </c>
      <c r="AQ22" s="586">
        <f t="shared" si="9"/>
        <v>0.54853110747763278</v>
      </c>
      <c r="AS22" s="52">
        <f t="shared" si="116"/>
        <v>-15.619997744751345</v>
      </c>
      <c r="AT22" s="72">
        <f t="shared" si="10"/>
        <v>-1.8209855269366957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>Gage</v>
      </c>
      <c r="IG22" s="847">
        <f t="shared" si="210"/>
        <v>1.236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5.1360000000000001</v>
      </c>
      <c r="II22" s="734" cm="1">
        <f t="array" ref="II22">IFERROR(ROUND(VALUE(IF($IH22&lt;1,$IH22+LARGE((IF($M$9:$M$150="",0,$M$9:$M$150)-MOD(IF($M$9:$M$150="",0,$M$9:$M$150),1)),1),$IH22)),4),"")</f>
        <v>5.1360000000000001</v>
      </c>
      <c r="IJ22" s="533">
        <f t="shared" si="112"/>
        <v>1313</v>
      </c>
      <c r="IK22" s="533">
        <f t="shared" si="66"/>
        <v>1313</v>
      </c>
      <c r="IL22" s="727">
        <f t="shared" si="225"/>
        <v>132.98998079862247</v>
      </c>
      <c r="IM22" s="759">
        <v>1.6298113689246501E-4</v>
      </c>
      <c r="IN22" s="5">
        <f t="shared" si="226"/>
        <v>0</v>
      </c>
      <c r="IO22" s="771">
        <v>0</v>
      </c>
      <c r="IP22" s="9">
        <f t="shared" si="227"/>
        <v>-4.1460125043737133</v>
      </c>
      <c r="IQ22" s="5">
        <f t="shared" si="228"/>
        <v>-1.8010054318323825</v>
      </c>
      <c r="IR22" s="5">
        <f t="shared" si="71"/>
        <v>0.26600000000000001</v>
      </c>
      <c r="IS22" s="5">
        <f t="shared" si="229"/>
        <v>0.23696799093061505</v>
      </c>
      <c r="IT22" s="727">
        <f t="shared" si="230"/>
        <v>87.971331076666431</v>
      </c>
      <c r="IU22" s="9">
        <f t="shared" si="231"/>
        <v>-4.1559301757483738</v>
      </c>
      <c r="IV22" s="5">
        <f t="shared" si="232"/>
        <v>-1.8318535809230985</v>
      </c>
      <c r="IW22" s="5">
        <f t="shared" si="76"/>
        <v>0.26600000000000001</v>
      </c>
      <c r="IX22" s="5">
        <f t="shared" si="233"/>
        <v>0.21597030018831415</v>
      </c>
      <c r="IY22" s="762">
        <f t="shared" si="234"/>
        <v>84.129207015692231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0.43121257005516117</v>
      </c>
      <c r="C23" s="708">
        <v>4.1027135487468005</v>
      </c>
      <c r="D23" s="709">
        <v>-4.7893144445723639</v>
      </c>
      <c r="E23" s="710">
        <v>-0.69472239188818818</v>
      </c>
      <c r="F23" s="708">
        <v>0.71873129697425231</v>
      </c>
      <c r="G23" s="711">
        <v>-2.8037848684662924E-2</v>
      </c>
      <c r="H23" s="710">
        <v>0.26600000000000001</v>
      </c>
      <c r="I23" s="708">
        <v>0.52</v>
      </c>
      <c r="J23" s="570">
        <v>1.347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1.347</v>
      </c>
      <c r="N23" s="632">
        <f t="shared" si="2"/>
        <v>0.43121257005516117</v>
      </c>
      <c r="O23" s="629">
        <f t="shared" si="3"/>
        <v>4.1027135487468005</v>
      </c>
      <c r="P23" s="633">
        <f t="shared" si="4"/>
        <v>-4.7893144445723639</v>
      </c>
      <c r="Q23" s="585">
        <f t="shared" si="113"/>
        <v>84.000000000000014</v>
      </c>
      <c r="R23" s="629">
        <f t="shared" si="79"/>
        <v>4.1253124419423246</v>
      </c>
      <c r="S23" s="634">
        <f t="shared" si="80"/>
        <v>-4.7893144445723639</v>
      </c>
      <c r="T23" s="635">
        <f t="shared" si="81"/>
        <v>4.1029387686866565</v>
      </c>
      <c r="U23" s="629">
        <f t="shared" si="82"/>
        <v>-0.42906433556305595</v>
      </c>
      <c r="V23" s="636">
        <f t="shared" si="114"/>
        <v>-4.7893144445723639</v>
      </c>
      <c r="W23" s="585">
        <f t="shared" si="224"/>
        <v>354.0299999956685</v>
      </c>
      <c r="X23" s="629">
        <f t="shared" si="83"/>
        <v>4.1253124419423246</v>
      </c>
      <c r="Y23" s="630">
        <f t="shared" si="223"/>
        <v>-4.7893144445723639</v>
      </c>
      <c r="Z23" s="632">
        <f t="shared" si="6"/>
        <v>0.69472239188818818</v>
      </c>
      <c r="AA23" s="629">
        <f t="shared" si="7"/>
        <v>-0.71873129697425231</v>
      </c>
      <c r="AB23" s="629">
        <f t="shared" si="8"/>
        <v>2.8037848684662924E-2</v>
      </c>
      <c r="AC23" s="636">
        <f t="shared" si="84"/>
        <v>1</v>
      </c>
      <c r="AD23" s="637">
        <f t="shared" si="115"/>
        <v>0.69472239188818818</v>
      </c>
      <c r="AE23" s="629">
        <f t="shared" si="85"/>
        <v>-0.71873129697425231</v>
      </c>
      <c r="AF23" s="633">
        <f t="shared" si="86"/>
        <v>2.8037848684662924E-2</v>
      </c>
      <c r="AG23" s="602">
        <f t="shared" si="87"/>
        <v>-92.233986818171246</v>
      </c>
      <c r="AH23" s="603">
        <f t="shared" si="88"/>
        <v>45.994900441570934</v>
      </c>
      <c r="AI23" s="585">
        <f t="shared" si="89"/>
        <v>-91.606660948137417</v>
      </c>
      <c r="AJ23" s="586">
        <f t="shared" si="90"/>
        <v>44.02686825377441</v>
      </c>
      <c r="AK23" s="635">
        <f t="shared" si="211"/>
        <v>0.76604450791050727</v>
      </c>
      <c r="AL23" s="629">
        <f t="shared" si="91"/>
        <v>-0.64217574770562991</v>
      </c>
      <c r="AM23" s="634">
        <f t="shared" si="92"/>
        <v>2.8037848684662924E-2</v>
      </c>
      <c r="AN23" s="581">
        <f t="shared" si="93"/>
        <v>-92.4999866446543</v>
      </c>
      <c r="AO23" s="582">
        <f t="shared" si="94"/>
        <v>39.99999422471538</v>
      </c>
      <c r="AP23" s="585">
        <f t="shared" si="95"/>
        <v>-39.973131746225604</v>
      </c>
      <c r="AQ23" s="586">
        <f t="shared" si="9"/>
        <v>0.552602009261841</v>
      </c>
      <c r="AS23" s="52">
        <f t="shared" si="116"/>
        <v>-5.9700000043314958</v>
      </c>
      <c r="AT23" s="72">
        <f t="shared" si="10"/>
        <v>-4.7851477779056975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1.347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t="str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>
        <v>3</v>
      </c>
      <c r="JH23" s="800" t="str" cm="1">
        <f t="array" ref="JH23:JI24">IF(_xlfn.ANCHORARRAY($JF$23)="","",_xlfn.MINIFS($IO$9:$IO$150,$IK$9:$IK$150,_xlfn.ANCHORARRAY($JA$23),$IE$9:$IE$150,_xlfn.ANCHORARRAY($JH$22),$II$9:$II$150,"&lt;&gt;"&amp;"",$IF$9:$IF$150,"&lt;&gt;"&amp;"Gage"))</f>
        <v/>
      </c>
      <c r="JI23" s="801">
        <v>0</v>
      </c>
    </row>
    <row r="24" spans="1:269" ht="15" customHeight="1" x14ac:dyDescent="0.25">
      <c r="A24" s="79"/>
      <c r="B24" s="707">
        <v>2.4800458360645918</v>
      </c>
      <c r="C24" s="708">
        <v>1.1323114303664104</v>
      </c>
      <c r="D24" s="709">
        <v>-6.2500188500568515E-2</v>
      </c>
      <c r="E24" s="710">
        <v>-0.3234773739748763</v>
      </c>
      <c r="F24" s="708">
        <v>0.90756508838407535</v>
      </c>
      <c r="G24" s="711">
        <v>0.26774614632655958</v>
      </c>
      <c r="H24" s="710">
        <v>0.26600000000000001</v>
      </c>
      <c r="I24" s="708">
        <v>0.52</v>
      </c>
      <c r="J24" s="570">
        <v>2.1150000000000002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2.1150000000000002</v>
      </c>
      <c r="N24" s="632">
        <f t="shared" si="2"/>
        <v>2.4800458360645918</v>
      </c>
      <c r="O24" s="629">
        <f t="shared" si="3"/>
        <v>1.1323114303664104</v>
      </c>
      <c r="P24" s="633">
        <f t="shared" si="4"/>
        <v>-6.2500188500568515E-2</v>
      </c>
      <c r="Q24" s="585">
        <f t="shared" si="113"/>
        <v>24.539957473691729</v>
      </c>
      <c r="R24" s="629">
        <f t="shared" si="79"/>
        <v>2.7263082225455997</v>
      </c>
      <c r="S24" s="634">
        <f t="shared" si="80"/>
        <v>-6.2500188500568515E-2</v>
      </c>
      <c r="T24" s="635">
        <f t="shared" si="81"/>
        <v>1.1336098238680241</v>
      </c>
      <c r="U24" s="629">
        <f t="shared" si="82"/>
        <v>-2.4794526193395297</v>
      </c>
      <c r="V24" s="636">
        <f t="shared" si="114"/>
        <v>-6.2500188500568515E-2</v>
      </c>
      <c r="W24" s="585">
        <f t="shared" si="224"/>
        <v>294.56995746936025</v>
      </c>
      <c r="X24" s="629">
        <f t="shared" si="83"/>
        <v>2.7263082225455997</v>
      </c>
      <c r="Y24" s="630">
        <f t="shared" si="223"/>
        <v>-6.2500188500568515E-2</v>
      </c>
      <c r="Z24" s="632">
        <f t="shared" si="6"/>
        <v>0.3234773739748763</v>
      </c>
      <c r="AA24" s="629">
        <f t="shared" si="7"/>
        <v>-0.90756508838407535</v>
      </c>
      <c r="AB24" s="629">
        <f t="shared" si="8"/>
        <v>-0.26774614632655958</v>
      </c>
      <c r="AC24" s="636">
        <f t="shared" si="84"/>
        <v>1</v>
      </c>
      <c r="AD24" s="637">
        <f t="shared" si="115"/>
        <v>0.3234773739748763</v>
      </c>
      <c r="AE24" s="629">
        <f t="shared" si="85"/>
        <v>-0.90756508838407535</v>
      </c>
      <c r="AF24" s="633">
        <f t="shared" si="86"/>
        <v>-0.26774614632655958</v>
      </c>
      <c r="AG24" s="602">
        <f t="shared" si="87"/>
        <v>-73.563101839804574</v>
      </c>
      <c r="AH24" s="603">
        <f t="shared" si="88"/>
        <v>71.126647352979447</v>
      </c>
      <c r="AI24" s="585">
        <f t="shared" si="89"/>
        <v>-74.469806662434621</v>
      </c>
      <c r="AJ24" s="586">
        <f t="shared" si="90"/>
        <v>19.617253586659427</v>
      </c>
      <c r="AK24" s="635">
        <f>IF(M24="","",(COS(RADIANS((90-$Q$8)-W24))*AD24)+(-SIN(RADIANS((90-$Q$8)-W24))*AE24))</f>
        <v>0.95993553655410624</v>
      </c>
      <c r="AL24" s="629">
        <f t="shared" si="91"/>
        <v>-8.2678696094319104E-2</v>
      </c>
      <c r="AM24" s="634">
        <f t="shared" si="92"/>
        <v>-0.26774614632655958</v>
      </c>
      <c r="AN24" s="581">
        <f t="shared" si="93"/>
        <v>-17.160431351541096</v>
      </c>
      <c r="AO24" s="582">
        <f t="shared" si="94"/>
        <v>16.273390518462755</v>
      </c>
      <c r="AP24" s="585">
        <f t="shared" si="95"/>
        <v>-4.9227038870323376</v>
      </c>
      <c r="AQ24" s="586">
        <f t="shared" si="9"/>
        <v>0.8361361260007647</v>
      </c>
      <c r="AS24" s="52">
        <f t="shared" si="116"/>
        <v>-65.430042530639753</v>
      </c>
      <c r="AT24" s="72">
        <f t="shared" si="10"/>
        <v>-1.7041825635076648E-2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2.1150000000000002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6</v>
      </c>
      <c r="JG24" s="803" t="str">
        <v/>
      </c>
      <c r="JH24" s="787">
        <v>40</v>
      </c>
      <c r="JI24" s="803" t="str">
        <v/>
      </c>
    </row>
    <row r="25" spans="1:269" ht="15" customHeight="1" x14ac:dyDescent="0.25">
      <c r="A25" s="79"/>
      <c r="B25" s="707">
        <v>3.1001647865953941</v>
      </c>
      <c r="C25" s="708">
        <v>1.3576489781161749</v>
      </c>
      <c r="D25" s="709">
        <v>-0.29740089696110522</v>
      </c>
      <c r="E25" s="710">
        <v>-0.19142694795924681</v>
      </c>
      <c r="F25" s="708">
        <v>0.95574144871546896</v>
      </c>
      <c r="G25" s="711">
        <v>0.22341442836635383</v>
      </c>
      <c r="H25" s="710">
        <v>0.26600000000000001</v>
      </c>
      <c r="I25" s="708">
        <v>0.52</v>
      </c>
      <c r="J25" s="570">
        <v>2.121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2.121</v>
      </c>
      <c r="N25" s="632">
        <f t="shared" si="2"/>
        <v>3.1001647865953941</v>
      </c>
      <c r="O25" s="629">
        <f t="shared" si="3"/>
        <v>1.3576489781161749</v>
      </c>
      <c r="P25" s="633">
        <f t="shared" si="4"/>
        <v>-0.29740089696110522</v>
      </c>
      <c r="Q25" s="585">
        <f t="shared" si="113"/>
        <v>23.649957602191808</v>
      </c>
      <c r="R25" s="629">
        <f>IF(M25="","",SQRT(N25^2+O25^2))</f>
        <v>3.3844102073811855</v>
      </c>
      <c r="S25" s="634">
        <f>IF(M25="","",P25)</f>
        <v>-0.29740089696110522</v>
      </c>
      <c r="T25" s="635">
        <f>IF(M25="","",X25*COS(RADIANS(W25)))</f>
        <v>1.3592720341905229</v>
      </c>
      <c r="U25" s="629">
        <f>IF(M25="","",X25*SIN(RADIANS(W25)))</f>
        <v>-3.0994534984241198</v>
      </c>
      <c r="V25" s="636">
        <f>IF(M25="","",Y25)</f>
        <v>-0.29740089696110522</v>
      </c>
      <c r="W25" s="585">
        <f t="shared" si="224"/>
        <v>293.67995759786038</v>
      </c>
      <c r="X25" s="629">
        <f>IF(M25="","",R25)</f>
        <v>3.3844102073811855</v>
      </c>
      <c r="Y25" s="630">
        <f t="shared" si="223"/>
        <v>-0.29740089696110522</v>
      </c>
      <c r="Z25" s="632">
        <f t="shared" si="6"/>
        <v>0.19142694795924681</v>
      </c>
      <c r="AA25" s="629">
        <f t="shared" si="7"/>
        <v>-0.95574144871546896</v>
      </c>
      <c r="AB25" s="629">
        <f t="shared" si="8"/>
        <v>-0.22341442836635383</v>
      </c>
      <c r="AC25" s="636">
        <f>IF(M25="","",SQRT(Z25^2+AA25^2+AB25^2))</f>
        <v>1</v>
      </c>
      <c r="AD25" s="637">
        <f>IF(M25="","",Z25*(1/SQRT(Z25^2+AA25^2+AB25^2)))</f>
        <v>0.19142694795924681</v>
      </c>
      <c r="AE25" s="629">
        <f>IF(M25="","",AA25*(1/SQRT(Z25^2+AA25^2+AB25^2)))</f>
        <v>-0.95574144871546896</v>
      </c>
      <c r="AF25" s="633">
        <f>IF(M25="","",AB25*(1/SQRT(Z25^2+AA25^2+AB25^2)))</f>
        <v>-0.22341442836635383</v>
      </c>
      <c r="AG25" s="602">
        <f>IF(M25="","",DEGREES(ATAN2(-AF25,AE25)))</f>
        <v>-76.84277845355561</v>
      </c>
      <c r="AH25" s="603">
        <f>IF(M25="","",DEGREES(ACOS(AD25)))</f>
        <v>78.963929030919616</v>
      </c>
      <c r="AI25" s="585">
        <f>IF(M25="","",DEGREES(-ACOS(-AF25)))</f>
        <v>-77.090341648472645</v>
      </c>
      <c r="AJ25" s="586">
        <f>IF(M25="","",DEGREES(ATAN2(-AE25,AD25)))</f>
        <v>11.325994353517517</v>
      </c>
      <c r="AK25" s="635">
        <f>IF(M25="","",(COS(RADIANS((90-$Q$8)-W25))*AD25)+(-SIN(RADIANS((90-$Q$8)-W25))*AE25))</f>
        <v>0.95226239941284541</v>
      </c>
      <c r="AL25" s="629">
        <f>IF(M25="","",(SIN(RADIANS((90-$Q$8)-W25))*AD25)+(COS(RADIANS((90-$Q$8)-W25))*AE25))</f>
        <v>-0.20804402385607251</v>
      </c>
      <c r="AM25" s="634">
        <f>IF(M25="","",AF25)</f>
        <v>-0.22341442836635383</v>
      </c>
      <c r="AN25" s="581">
        <f>IF(M25="","",DEGREES(ATAN2(-AM25,AL25)))</f>
        <v>-42.959740871349219</v>
      </c>
      <c r="AO25" s="582">
        <f>IF(ROUND(IF(M25="",0,DEGREES(ACOS(AK25))),4)=90,0,IF(M25="","",DEGREES(ACOS(AK25))))</f>
        <v>17.775053945321531</v>
      </c>
      <c r="AP25" s="585">
        <f>IF(M25="","",DEGREES(ATAN2(AK25,AL25)))</f>
        <v>-12.323963248674358</v>
      </c>
      <c r="AQ25" s="586">
        <f t="shared" si="9"/>
        <v>0.67356539851458486</v>
      </c>
      <c r="AS25" s="52">
        <f t="shared" si="116"/>
        <v>-66.32004240213962</v>
      </c>
      <c r="AT25" s="72">
        <f t="shared" si="10"/>
        <v>-0.25132447862929402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3.5819248814259823</v>
      </c>
      <c r="C26" s="708">
        <v>1.5064351509658436</v>
      </c>
      <c r="D26" s="709">
        <v>-0.7915023871711997</v>
      </c>
      <c r="E26" s="710">
        <v>-7.6673752409885693E-2</v>
      </c>
      <c r="F26" s="708">
        <v>0.98618849849653034</v>
      </c>
      <c r="G26" s="711">
        <v>0.14681069826326235</v>
      </c>
      <c r="H26" s="710">
        <v>0.26600000000000001</v>
      </c>
      <c r="I26" s="708">
        <v>0.52</v>
      </c>
      <c r="J26" s="570">
        <v>2.1269999999999998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2.1269999999999998</v>
      </c>
      <c r="N26" s="632">
        <f t="shared" si="2"/>
        <v>3.5819248814259823</v>
      </c>
      <c r="O26" s="629">
        <f t="shared" si="3"/>
        <v>1.5064351509658436</v>
      </c>
      <c r="P26" s="633">
        <f t="shared" si="4"/>
        <v>-0.7915023871711997</v>
      </c>
      <c r="Q26" s="585">
        <f t="shared" si="113"/>
        <v>22.809957723472785</v>
      </c>
      <c r="R26" s="629">
        <f>IF(M26="","",SQRT(N26^2+O26^2))</f>
        <v>3.8858117196081468</v>
      </c>
      <c r="S26" s="634">
        <f>IF(M26="","",P26)</f>
        <v>-0.7915023871711997</v>
      </c>
      <c r="T26" s="635">
        <f>IF(M26="","",X26*COS(RADIANS(W26)))</f>
        <v>1.5083104355927497</v>
      </c>
      <c r="U26" s="629">
        <f>IF(M26="","",X26*SIN(RADIANS(W26)))</f>
        <v>-3.5811356229729738</v>
      </c>
      <c r="V26" s="636">
        <f>IF(M26="","",Y26)</f>
        <v>-0.7915023871711997</v>
      </c>
      <c r="W26" s="585">
        <f t="shared" si="224"/>
        <v>292.83995771914135</v>
      </c>
      <c r="X26" s="629">
        <f>IF(M26="","",R26)</f>
        <v>3.8858117196081468</v>
      </c>
      <c r="Y26" s="630">
        <f t="shared" si="223"/>
        <v>-0.7915023871711997</v>
      </c>
      <c r="Z26" s="632">
        <f t="shared" si="6"/>
        <v>7.6673752409885693E-2</v>
      </c>
      <c r="AA26" s="629">
        <f t="shared" si="7"/>
        <v>-0.98618849849653034</v>
      </c>
      <c r="AB26" s="629">
        <f t="shared" si="8"/>
        <v>-0.14681069826326235</v>
      </c>
      <c r="AC26" s="636">
        <f>IF(M26="","",SQRT(Z26^2+AA26^2+AB26^2))</f>
        <v>1</v>
      </c>
      <c r="AD26" s="637">
        <f>IF(M26="","",Z26*(1/SQRT(Z26^2+AA26^2+AB26^2)))</f>
        <v>7.6673752409885693E-2</v>
      </c>
      <c r="AE26" s="629">
        <f>IF(M26="","",AA26*(1/SQRT(Z26^2+AA26^2+AB26^2)))</f>
        <v>-0.98618849849653034</v>
      </c>
      <c r="AF26" s="633">
        <f>IF(M26="","",AB26*(1/SQRT(Z26^2+AA26^2+AB26^2)))</f>
        <v>-0.14681069826326235</v>
      </c>
      <c r="AG26" s="602">
        <f>IF(M26="","",DEGREES(ATAN2(-AF26,AE26)))</f>
        <v>-81.532745349666584</v>
      </c>
      <c r="AH26" s="603">
        <f>IF(M26="","",DEGREES(ACOS(AD26)))</f>
        <v>85.602601771027452</v>
      </c>
      <c r="AI26" s="585">
        <f>IF(M26="","",DEGREES(-ACOS(-AF26)))</f>
        <v>-81.557853192057479</v>
      </c>
      <c r="AJ26" s="586">
        <f>IF(M26="","",DEGREES(ATAN2(-AE26,AD26)))</f>
        <v>4.4456640760245278</v>
      </c>
      <c r="AK26" s="635">
        <f>IF(M26="","",(COS(RADIANS((90-$Q$8)-W26))*AD26)+(-SIN(RADIANS((90-$Q$8)-W26))*AE26))</f>
        <v>0.93878896342806395</v>
      </c>
      <c r="AL26" s="629">
        <f>IF(M26="","",(SIN(RADIANS((90-$Q$8)-W26))*AD26)+(COS(RADIANS((90-$Q$8)-W26))*AE26))</f>
        <v>-0.31164386889703871</v>
      </c>
      <c r="AM26" s="634">
        <f>IF(M26="","",AF26)</f>
        <v>-0.14681069826326235</v>
      </c>
      <c r="AN26" s="581">
        <f>IF(M26="","",DEGREES(ATAN2(-AM26,AL26)))</f>
        <v>-64.775586719539874</v>
      </c>
      <c r="AO26" s="582">
        <f t="shared" si="94"/>
        <v>20.150836846147342</v>
      </c>
      <c r="AP26" s="585">
        <f>IF(M26="","",DEGREES(ATAN2(AK26,AL26)))</f>
        <v>-18.36429364744831</v>
      </c>
      <c r="AQ26" s="586">
        <f t="shared" si="9"/>
        <v>0.58665914026528021</v>
      </c>
      <c r="AS26" s="52">
        <f t="shared" si="116"/>
        <v>-67.160042280858647</v>
      </c>
      <c r="AT26" s="72">
        <f t="shared" si="10"/>
        <v>-0.74484263559027808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2.1269999999999998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3.8206878587797672</v>
      </c>
      <c r="C27" s="708">
        <v>1.5716510198645404</v>
      </c>
      <c r="D27" s="709">
        <v>-1.4513043771340015</v>
      </c>
      <c r="E27" s="710">
        <v>2.792261847428807E-2</v>
      </c>
      <c r="F27" s="708">
        <v>0.99815386510891346</v>
      </c>
      <c r="G27" s="711">
        <v>5.3936897812873114E-2</v>
      </c>
      <c r="H27" s="710">
        <v>0.26600000000000001</v>
      </c>
      <c r="I27" s="708">
        <v>0.52</v>
      </c>
      <c r="J27" s="570">
        <v>2.133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2.133</v>
      </c>
      <c r="N27" s="632">
        <f t="shared" si="2"/>
        <v>3.8206878587797672</v>
      </c>
      <c r="O27" s="629">
        <f t="shared" si="3"/>
        <v>1.5716510198645404</v>
      </c>
      <c r="P27" s="633">
        <f t="shared" si="4"/>
        <v>-1.4513043771340015</v>
      </c>
      <c r="Q27" s="585">
        <f t="shared" si="113"/>
        <v>22.359957788444731</v>
      </c>
      <c r="R27" s="629">
        <f t="shared" si="79"/>
        <v>4.1313124600383802</v>
      </c>
      <c r="S27" s="634">
        <f t="shared" si="80"/>
        <v>-1.4513043771340015</v>
      </c>
      <c r="T27" s="635">
        <f t="shared" si="81"/>
        <v>1.5736513115306334</v>
      </c>
      <c r="U27" s="629">
        <f t="shared" si="82"/>
        <v>-3.8198644206550432</v>
      </c>
      <c r="V27" s="636">
        <f t="shared" si="114"/>
        <v>-1.4513043771340015</v>
      </c>
      <c r="W27" s="585">
        <f t="shared" si="224"/>
        <v>292.38995778411322</v>
      </c>
      <c r="X27" s="629">
        <f t="shared" si="83"/>
        <v>4.1313124600383802</v>
      </c>
      <c r="Y27" s="630">
        <f t="shared" si="223"/>
        <v>-1.4513043771340015</v>
      </c>
      <c r="Z27" s="632">
        <f t="shared" si="6"/>
        <v>-2.792261847428807E-2</v>
      </c>
      <c r="AA27" s="629">
        <f t="shared" si="7"/>
        <v>-0.99815386510891346</v>
      </c>
      <c r="AB27" s="629">
        <f t="shared" si="8"/>
        <v>-5.3936897812873114E-2</v>
      </c>
      <c r="AC27" s="636">
        <f t="shared" si="84"/>
        <v>1</v>
      </c>
      <c r="AD27" s="637">
        <f t="shared" si="115"/>
        <v>-2.792261847428807E-2</v>
      </c>
      <c r="AE27" s="629">
        <f t="shared" si="85"/>
        <v>-0.99815386510891346</v>
      </c>
      <c r="AF27" s="633">
        <f t="shared" si="86"/>
        <v>-5.3936897812873114E-2</v>
      </c>
      <c r="AG27" s="602">
        <f t="shared" si="87"/>
        <v>-86.90693582896742</v>
      </c>
      <c r="AH27" s="603">
        <f t="shared" si="88"/>
        <v>91.600056157476899</v>
      </c>
      <c r="AI27" s="585">
        <f t="shared" si="89"/>
        <v>-86.908143025063538</v>
      </c>
      <c r="AJ27" s="586">
        <f t="shared" si="90"/>
        <v>-1.6023892887448214</v>
      </c>
      <c r="AK27" s="635">
        <f t="shared" si="211"/>
        <v>0.91248235960789525</v>
      </c>
      <c r="AL27" s="629">
        <f t="shared" si="91"/>
        <v>-0.40554500916511255</v>
      </c>
      <c r="AM27" s="634">
        <f t="shared" si="92"/>
        <v>-5.3936897812873114E-2</v>
      </c>
      <c r="AN27" s="581">
        <f t="shared" si="93"/>
        <v>-82.424204129138275</v>
      </c>
      <c r="AO27" s="582">
        <f t="shared" si="94"/>
        <v>24.149318612404379</v>
      </c>
      <c r="AP27" s="585">
        <f t="shared" si="95"/>
        <v>-23.962347077189548</v>
      </c>
      <c r="AQ27" s="586">
        <f t="shared" si="9"/>
        <v>0.55179949990804456</v>
      </c>
      <c r="AS27" s="52">
        <f t="shared" si="116"/>
        <v>-67.610042215886779</v>
      </c>
      <c r="AT27" s="72">
        <f t="shared" si="10"/>
        <v>-1.4043321255981993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2.133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3.8466668259863077</v>
      </c>
      <c r="C28" s="708">
        <v>1.5784140845617449</v>
      </c>
      <c r="D28" s="709">
        <v>-2.142306461196287</v>
      </c>
      <c r="E28" s="710">
        <v>0.1321874766424167</v>
      </c>
      <c r="F28" s="708">
        <v>0.99121461808179878</v>
      </c>
      <c r="G28" s="711">
        <v>4.4779370098758965E-3</v>
      </c>
      <c r="H28" s="710">
        <v>0.26600000000000001</v>
      </c>
      <c r="I28" s="708">
        <v>0.52</v>
      </c>
      <c r="J28" s="570">
        <v>2.1389999999999998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2.1389999999999998</v>
      </c>
      <c r="N28" s="632">
        <f t="shared" si="2"/>
        <v>3.8466668259863077</v>
      </c>
      <c r="O28" s="629">
        <f t="shared" si="3"/>
        <v>1.5784140845617449</v>
      </c>
      <c r="P28" s="633">
        <f t="shared" si="4"/>
        <v>-2.142306461196287</v>
      </c>
      <c r="Q28" s="585">
        <f t="shared" si="113"/>
        <v>22.309957795663841</v>
      </c>
      <c r="R28" s="629">
        <f t="shared" si="79"/>
        <v>4.1579125402642214</v>
      </c>
      <c r="S28" s="634">
        <f t="shared" si="80"/>
        <v>-2.142306461196287</v>
      </c>
      <c r="T28" s="635">
        <f t="shared" si="81"/>
        <v>1.5804279778536099</v>
      </c>
      <c r="U28" s="629">
        <f t="shared" si="82"/>
        <v>-3.8458398431687222</v>
      </c>
      <c r="V28" s="636">
        <f t="shared" si="114"/>
        <v>-2.142306461196287</v>
      </c>
      <c r="W28" s="585">
        <f t="shared" si="224"/>
        <v>292.33995779133238</v>
      </c>
      <c r="X28" s="629">
        <f t="shared" si="83"/>
        <v>4.1579125402642214</v>
      </c>
      <c r="Y28" s="630">
        <f t="shared" si="223"/>
        <v>-2.142306461196287</v>
      </c>
      <c r="Z28" s="632">
        <f t="shared" si="6"/>
        <v>-0.1321874766424167</v>
      </c>
      <c r="AA28" s="629">
        <f t="shared" si="7"/>
        <v>-0.99121461808179878</v>
      </c>
      <c r="AB28" s="629">
        <f t="shared" si="8"/>
        <v>-4.4779370098758965E-3</v>
      </c>
      <c r="AC28" s="636">
        <f t="shared" si="84"/>
        <v>1</v>
      </c>
      <c r="AD28" s="637">
        <f t="shared" si="115"/>
        <v>-0.1321874766424167</v>
      </c>
      <c r="AE28" s="629">
        <f t="shared" si="85"/>
        <v>-0.99121461808179878</v>
      </c>
      <c r="AF28" s="633">
        <f t="shared" si="86"/>
        <v>-4.4779370098758965E-3</v>
      </c>
      <c r="AG28" s="602">
        <f t="shared" si="87"/>
        <v>-89.741160853045827</v>
      </c>
      <c r="AH28" s="603">
        <f t="shared" si="88"/>
        <v>97.596016566727783</v>
      </c>
      <c r="AI28" s="585">
        <f t="shared" si="89"/>
        <v>-89.74343225095781</v>
      </c>
      <c r="AJ28" s="586">
        <f t="shared" si="90"/>
        <v>-7.5960931745910987</v>
      </c>
      <c r="AK28" s="635">
        <f t="shared" si="211"/>
        <v>0.86683540814541482</v>
      </c>
      <c r="AL28" s="629">
        <f t="shared" si="91"/>
        <v>-0.49857429061826658</v>
      </c>
      <c r="AM28" s="634">
        <f t="shared" si="92"/>
        <v>-4.4779370098758965E-3</v>
      </c>
      <c r="AN28" s="581">
        <f t="shared" si="93"/>
        <v>-89.485412709958979</v>
      </c>
      <c r="AO28" s="582">
        <f t="shared" si="94"/>
        <v>29.907049706833707</v>
      </c>
      <c r="AP28" s="585">
        <f t="shared" si="95"/>
        <v>-29.906050970254981</v>
      </c>
      <c r="AQ28" s="586">
        <f t="shared" si="9"/>
        <v>0.54826960072436182</v>
      </c>
      <c r="AS28" s="52">
        <f t="shared" si="116"/>
        <v>-67.660042208667619</v>
      </c>
      <c r="AT28" s="72">
        <f t="shared" si="10"/>
        <v>-2.0952994874432758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2.1389999999999998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3.8755294680105603</v>
      </c>
      <c r="C29" s="708">
        <v>1.5863073095004878</v>
      </c>
      <c r="D29" s="709">
        <v>-2.8251085205272983</v>
      </c>
      <c r="E29" s="710">
        <v>0.22052783463310002</v>
      </c>
      <c r="F29" s="708">
        <v>0.97538068165820224</v>
      </c>
      <c r="G29" s="711">
        <v>1.3008419211179551E-7</v>
      </c>
      <c r="H29" s="710">
        <v>0.26600000000000001</v>
      </c>
      <c r="I29" s="708">
        <v>0.52</v>
      </c>
      <c r="J29" s="570">
        <v>2.145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2.145</v>
      </c>
      <c r="N29" s="632">
        <f t="shared" si="2"/>
        <v>3.8755294680105603</v>
      </c>
      <c r="O29" s="629">
        <f t="shared" si="3"/>
        <v>1.5863073095004878</v>
      </c>
      <c r="P29" s="633">
        <f t="shared" si="4"/>
        <v>-2.8251085205272983</v>
      </c>
      <c r="Q29" s="585">
        <f t="shared" si="113"/>
        <v>22.259957802882948</v>
      </c>
      <c r="R29" s="629">
        <f>IF(M29="","",SQRT(N29^2+O29^2))</f>
        <v>4.1876126298396912</v>
      </c>
      <c r="S29" s="634">
        <f>IF(M29="","",P29)</f>
        <v>-2.8251085205272983</v>
      </c>
      <c r="T29" s="635">
        <f>IF(M29="","",X29*COS(RADIANS(W29)))</f>
        <v>1.5883363141515148</v>
      </c>
      <c r="U29" s="629">
        <f>IF(M29="","",X29*SIN(RADIANS(W29)))</f>
        <v>-3.8746983483544208</v>
      </c>
      <c r="V29" s="636">
        <f>IF(M29="","",Y29)</f>
        <v>-2.8251085205272983</v>
      </c>
      <c r="W29" s="585">
        <f t="shared" si="224"/>
        <v>292.28995779855143</v>
      </c>
      <c r="X29" s="629">
        <f>IF(M29="","",R29)</f>
        <v>4.1876126298396912</v>
      </c>
      <c r="Y29" s="630">
        <f t="shared" si="223"/>
        <v>-2.8251085205272983</v>
      </c>
      <c r="Z29" s="632">
        <f t="shared" si="6"/>
        <v>-0.22052783463310002</v>
      </c>
      <c r="AA29" s="629">
        <f t="shared" si="7"/>
        <v>-0.97538068165820224</v>
      </c>
      <c r="AB29" s="629">
        <f t="shared" si="8"/>
        <v>-1.3008419211179551E-7</v>
      </c>
      <c r="AC29" s="636">
        <f>IF(M29="","",SQRT(Z29^2+AA29^2+AB29^2))</f>
        <v>1</v>
      </c>
      <c r="AD29" s="637">
        <f>IF(M29="","",Z29*(1/SQRT(Z29^2+AA29^2+AB29^2)))</f>
        <v>-0.22052783463310002</v>
      </c>
      <c r="AE29" s="629">
        <f>IF(M29="","",AA29*(1/SQRT(Z29^2+AA29^2+AB29^2)))</f>
        <v>-0.97538068165820224</v>
      </c>
      <c r="AF29" s="633">
        <f>IF(M29="","",AB29*(1/SQRT(Z29^2+AA29^2+AB29^2)))</f>
        <v>-1.3008419211179551E-7</v>
      </c>
      <c r="AG29" s="602">
        <f>IF(M29="","",DEGREES(ATAN2(-AF29,AE29)))</f>
        <v>-89.999992358598718</v>
      </c>
      <c r="AH29" s="603">
        <f>IF(M29="","",DEGREES(ACOS(AD29)))</f>
        <v>102.74003714374221</v>
      </c>
      <c r="AI29" s="585">
        <f>IF(M29="","",DEGREES(-ACOS(-AF29)))</f>
        <v>-89.999992546724812</v>
      </c>
      <c r="AJ29" s="586">
        <f>IF(M29="","",DEGREES(ATAN2(-AE29,AD29)))</f>
        <v>-12.740037143742319</v>
      </c>
      <c r="AK29" s="635">
        <f>IF(M29="","",(COS(RADIANS((90-$Q$8)-W29))*AD29)+(-SIN(RADIANS((90-$Q$8)-W29))*AE29))</f>
        <v>0.81915209487729224</v>
      </c>
      <c r="AL29" s="629">
        <f>IF(M29="","",(SIN(RADIANS((90-$Q$8)-W29))*AD29)+(COS(RADIANS((90-$Q$8)-W29))*AE29))</f>
        <v>-0.57357636410344426</v>
      </c>
      <c r="AM29" s="634">
        <f>IF(M29="","",AF29)</f>
        <v>-1.3008419211179551E-7</v>
      </c>
      <c r="AN29" s="581">
        <f>IF(M29="","",DEGREES(ATAN2(-AM29,AL29)))</f>
        <v>-89.999987005609626</v>
      </c>
      <c r="AO29" s="582">
        <f t="shared" si="94"/>
        <v>34.999994946625925</v>
      </c>
      <c r="AP29" s="585">
        <f>IF(M29="","",DEGREES(ATAN2(AK29,AL29)))</f>
        <v>-34.999994946625243</v>
      </c>
      <c r="AQ29" s="586">
        <f t="shared" si="9"/>
        <v>0.54438130583656075</v>
      </c>
      <c r="AS29" s="52">
        <f t="shared" si="116"/>
        <v>-67.710042201448573</v>
      </c>
      <c r="AT29" s="72">
        <f t="shared" si="10"/>
        <v>-2.7780668245570781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2.145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12</v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3.9537896658820393</v>
      </c>
      <c r="C30" s="708">
        <v>0.63612304528182173</v>
      </c>
      <c r="D30" s="709">
        <v>-1.0252628600703193</v>
      </c>
      <c r="E30" s="710">
        <v>0.32146843825714183</v>
      </c>
      <c r="F30" s="708">
        <v>0.92200506001006122</v>
      </c>
      <c r="G30" s="711">
        <v>0.21578858292402245</v>
      </c>
      <c r="H30" s="710">
        <v>0.26600000000000001</v>
      </c>
      <c r="I30" s="708">
        <v>0.52</v>
      </c>
      <c r="J30" s="570">
        <v>2.2290000000000001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2.2290000000000001</v>
      </c>
      <c r="N30" s="632">
        <f t="shared" si="2"/>
        <v>3.9537896658820393</v>
      </c>
      <c r="O30" s="629">
        <f t="shared" si="3"/>
        <v>0.63612304528182173</v>
      </c>
      <c r="P30" s="633">
        <f t="shared" si="4"/>
        <v>-1.0252628600703193</v>
      </c>
      <c r="Q30" s="585">
        <f t="shared" si="113"/>
        <v>9.1399596971763</v>
      </c>
      <c r="R30" s="629">
        <f>IF(M30="","",SQRT(N30^2+O30^2))</f>
        <v>4.0046354703985507</v>
      </c>
      <c r="S30" s="634">
        <f>IF(M30="","",P30)</f>
        <v>-1.0252628600703193</v>
      </c>
      <c r="T30" s="635">
        <f>IF(M30="","",X30*COS(RADIANS(W30)))</f>
        <v>0.63819315711801039</v>
      </c>
      <c r="U30" s="629">
        <f>IF(M30="","",X30*SIN(RADIANS(W30)))</f>
        <v>-3.9534560507209342</v>
      </c>
      <c r="V30" s="636">
        <f>IF(M30="","",Y30)</f>
        <v>-1.0252628600703193</v>
      </c>
      <c r="W30" s="585">
        <f t="shared" si="224"/>
        <v>279.16995969284483</v>
      </c>
      <c r="X30" s="629">
        <f>IF(M30="","",R30)</f>
        <v>4.0046354703985507</v>
      </c>
      <c r="Y30" s="630">
        <f t="shared" si="223"/>
        <v>-1.0252628600703193</v>
      </c>
      <c r="Z30" s="632">
        <f t="shared" si="6"/>
        <v>-0.32146843825714183</v>
      </c>
      <c r="AA30" s="629">
        <f t="shared" si="7"/>
        <v>-0.92200506001006122</v>
      </c>
      <c r="AB30" s="629">
        <f t="shared" si="8"/>
        <v>-0.21578858292402245</v>
      </c>
      <c r="AC30" s="636">
        <f>IF(M30="","",SQRT(Z30^2+AA30^2+AB30^2))</f>
        <v>1</v>
      </c>
      <c r="AD30" s="637">
        <f>IF(M30="","",Z30*(1/SQRT(Z30^2+AA30^2+AB30^2)))</f>
        <v>-0.32146843825714183</v>
      </c>
      <c r="AE30" s="629">
        <f>IF(M30="","",AA30*(1/SQRT(Z30^2+AA30^2+AB30^2)))</f>
        <v>-0.92200506001006122</v>
      </c>
      <c r="AF30" s="633">
        <f>IF(M30="","",AB30*(1/SQRT(Z30^2+AA30^2+AB30^2)))</f>
        <v>-0.21578858292402245</v>
      </c>
      <c r="AG30" s="602">
        <f>IF(M30="","",DEGREES(ATAN2(-AF30,AE30)))</f>
        <v>-76.82743687779022</v>
      </c>
      <c r="AH30" s="603">
        <f>IF(M30="","",DEGREES(ACOS(AD30)))</f>
        <v>108.75175307190301</v>
      </c>
      <c r="AI30" s="585">
        <f>IF(M30="","",DEGREES(-ACOS(-AF30)))</f>
        <v>-77.53820416669619</v>
      </c>
      <c r="AJ30" s="586">
        <f>IF(M30="","",DEGREES(ATAN2(-AE30,AD30)))</f>
        <v>-19.221739376386328</v>
      </c>
      <c r="AK30" s="635">
        <f>IF(M30="","",(COS(RADIANS((90-$Q$8)-W30))*AD30)+(-SIN(RADIANS((90-$Q$8)-W30))*AE30))</f>
        <v>0.85923441014474056</v>
      </c>
      <c r="AL30" s="629">
        <f>IF(M30="","",(SIN(RADIANS((90-$Q$8)-W30))*AD30)+(COS(RADIANS((90-$Q$8)-W30))*AE30))</f>
        <v>-0.46384427979965659</v>
      </c>
      <c r="AM30" s="634">
        <f>IF(M30="","",AF30)</f>
        <v>-0.21578858292402245</v>
      </c>
      <c r="AN30" s="581">
        <f>IF(M30="","",DEGREES(ATAN2(-AM30,AL30)))</f>
        <v>-65.051316041793783</v>
      </c>
      <c r="AO30" s="582">
        <f>IF(ROUND(IF(M30="",0,DEGREES(ACOS(AK30))),4)=90,0,IF(M30="","",DEGREES(ACOS(AK30))))</f>
        <v>30.769269119063317</v>
      </c>
      <c r="AP30" s="585">
        <f>IF(M30="","",DEGREES(ATAN2(AK30,AL30)))</f>
        <v>-28.361699073562633</v>
      </c>
      <c r="AQ30" s="586">
        <f t="shared" si="9"/>
        <v>0.56925321590823497</v>
      </c>
      <c r="AS30" s="52">
        <f t="shared" si="116"/>
        <v>-80.830040307155173</v>
      </c>
      <c r="AT30" s="72">
        <f t="shared" si="10"/>
        <v>-0.9691100543044695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2.2290000000000001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0.129</v>
      </c>
      <c r="II30" s="734" cm="1">
        <f t="array" ref="II30">IFERROR(ROUND(VALUE(IF($IH30&lt;1,$IH30+LARGE((IF($M$9:$M$150="",0,$M$9:$M$150)-MOD(IF($M$9:$M$150="",0,$M$9:$M$150),1)),1),$IH30)),4),"")</f>
        <v>6.1289999999999996</v>
      </c>
      <c r="IJ30" s="533">
        <f t="shared" si="112"/>
        <v>1313</v>
      </c>
      <c r="IK30" s="533">
        <f t="shared" si="66"/>
        <v>1313</v>
      </c>
      <c r="IL30" s="727">
        <f t="shared" si="225"/>
        <v>138.46003198641387</v>
      </c>
      <c r="IM30" s="759">
        <v>7.3320665068490301E-4</v>
      </c>
      <c r="IN30" s="5">
        <f t="shared" si="226"/>
        <v>0</v>
      </c>
      <c r="IO30" s="771">
        <v>0</v>
      </c>
      <c r="IP30" s="9">
        <f t="shared" si="227"/>
        <v>-3.99951206252838</v>
      </c>
      <c r="IQ30" s="5">
        <f t="shared" si="228"/>
        <v>-0.99870301208828482</v>
      </c>
      <c r="IR30" s="5">
        <f t="shared" si="71"/>
        <v>0.26600000000000001</v>
      </c>
      <c r="IS30" s="5">
        <f t="shared" si="229"/>
        <v>0.24799816733720523</v>
      </c>
      <c r="IT30" s="727">
        <f t="shared" si="230"/>
        <v>71.130033859453448</v>
      </c>
      <c r="IU30" s="9">
        <f t="shared" si="231"/>
        <v>-4.0046354703985507</v>
      </c>
      <c r="IV30" s="5">
        <f t="shared" si="232"/>
        <v>-1.0252628600703193</v>
      </c>
      <c r="IW30" s="5">
        <f t="shared" si="76"/>
        <v>0.26600000000000001</v>
      </c>
      <c r="IX30" s="5">
        <f t="shared" si="233"/>
        <v>0.228556353098501</v>
      </c>
      <c r="IY30" s="762">
        <f t="shared" si="234"/>
        <v>65.051316041793783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40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4.1029312587881606</v>
      </c>
      <c r="C31" s="708">
        <v>0.6755548178830848</v>
      </c>
      <c r="D31" s="709">
        <v>-1.7180686126704703</v>
      </c>
      <c r="E31" s="710">
        <v>0.43997077684453484</v>
      </c>
      <c r="F31" s="708">
        <v>0.8952924188960858</v>
      </c>
      <c r="G31" s="711">
        <v>6.9836954329440662E-2</v>
      </c>
      <c r="H31" s="710">
        <v>0.26600000000000001</v>
      </c>
      <c r="I31" s="708">
        <v>0.52</v>
      </c>
      <c r="J31" s="570">
        <v>2.2349999999999999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2.2349999999999999</v>
      </c>
      <c r="N31" s="632">
        <f t="shared" si="2"/>
        <v>4.1029312587881606</v>
      </c>
      <c r="O31" s="629">
        <f t="shared" si="3"/>
        <v>0.6755548178830848</v>
      </c>
      <c r="P31" s="633">
        <f t="shared" si="4"/>
        <v>-1.7180686126704703</v>
      </c>
      <c r="Q31" s="585">
        <f t="shared" si="113"/>
        <v>9.3499596668560514</v>
      </c>
      <c r="R31" s="629">
        <f>IF(M31="","",SQRT(N31^2+O31^2))</f>
        <v>4.158174987456162</v>
      </c>
      <c r="S31" s="634">
        <f>IF(M31="","",P31)</f>
        <v>-1.7180686126704703</v>
      </c>
      <c r="T31" s="635">
        <f>IF(M31="","",X31*COS(RADIANS(W31)))</f>
        <v>0.67770301465464899</v>
      </c>
      <c r="U31" s="629">
        <f>IF(M31="","",X31*SIN(RADIANS(W31)))</f>
        <v>-4.1025769767591269</v>
      </c>
      <c r="V31" s="636">
        <f>IF(M31="","",Y31)</f>
        <v>-1.7180686126704703</v>
      </c>
      <c r="W31" s="585">
        <f t="shared" si="224"/>
        <v>279.37995966252458</v>
      </c>
      <c r="X31" s="629">
        <f>IF(M31="","",R31)</f>
        <v>4.158174987456162</v>
      </c>
      <c r="Y31" s="630">
        <f t="shared" si="223"/>
        <v>-1.7180686126704703</v>
      </c>
      <c r="Z31" s="632">
        <f t="shared" si="6"/>
        <v>-0.43997077684453484</v>
      </c>
      <c r="AA31" s="629">
        <f t="shared" si="7"/>
        <v>-0.8952924188960858</v>
      </c>
      <c r="AB31" s="629">
        <f t="shared" si="8"/>
        <v>-6.9836954329440662E-2</v>
      </c>
      <c r="AC31" s="636">
        <f>IF(M31="","",SQRT(Z31^2+AA31^2+AB31^2))</f>
        <v>1</v>
      </c>
      <c r="AD31" s="637">
        <f>IF(M31="","",Z31*(1/SQRT(Z31^2+AA31^2+AB31^2)))</f>
        <v>-0.43997077684453484</v>
      </c>
      <c r="AE31" s="629">
        <f>IF(M31="","",AA31*(1/SQRT(Z31^2+AA31^2+AB31^2)))</f>
        <v>-0.8952924188960858</v>
      </c>
      <c r="AF31" s="633">
        <f>IF(M31="","",AB31*(1/SQRT(Z31^2+AA31^2+AB31^2)))</f>
        <v>-6.9836954329440662E-2</v>
      </c>
      <c r="AG31" s="602">
        <f>IF(M31="","",DEGREES(ATAN2(-AF31,AE31)))</f>
        <v>-85.53969582819073</v>
      </c>
      <c r="AH31" s="603">
        <f>IF(M31="","",DEGREES(ACOS(AD31)))</f>
        <v>116.10201660028383</v>
      </c>
      <c r="AI31" s="585">
        <f>IF(M31="","",DEGREES(-ACOS(-AF31)))</f>
        <v>-85.995377529009588</v>
      </c>
      <c r="AJ31" s="586">
        <f>IF(M31="","",DEGREES(ATAN2(-AE31,AD31)))</f>
        <v>-26.170743186295052</v>
      </c>
      <c r="AK31" s="635">
        <f>IF(M31="","",(COS(RADIANS((90-$Q$8)-W31))*AD31)+(-SIN(RADIANS((90-$Q$8)-W31))*AE31))</f>
        <v>0.81191842176057938</v>
      </c>
      <c r="AL31" s="629">
        <f>IF(M31="","",(SIN(RADIANS((90-$Q$8)-W31))*AD31)+(COS(RADIANS((90-$Q$8)-W31))*AE31))</f>
        <v>-0.57957853325998698</v>
      </c>
      <c r="AM31" s="634">
        <f>IF(M31="","",AF31)</f>
        <v>-6.9836954329440662E-2</v>
      </c>
      <c r="AN31" s="581">
        <f>IF(M31="","",DEGREES(ATAN2(-AM31,AL31)))</f>
        <v>-83.129207160074372</v>
      </c>
      <c r="AO31" s="582">
        <f t="shared" si="94"/>
        <v>35.716207879541138</v>
      </c>
      <c r="AP31" s="585">
        <f>IF(M31="","",DEGREES(ATAN2(AK31,AL31)))</f>
        <v>-35.52070285315115</v>
      </c>
      <c r="AQ31" s="586">
        <f t="shared" si="9"/>
        <v>0.54823499827625599</v>
      </c>
      <c r="AS31" s="52">
        <f t="shared" si="116"/>
        <v>-80.620040337475416</v>
      </c>
      <c r="AT31" s="72">
        <f t="shared" si="10"/>
        <v>-1.6620616402168982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>Gage</v>
      </c>
      <c r="IG31" s="847">
        <f t="shared" si="210"/>
        <v>2.2349999999999999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0.13500000000000001</v>
      </c>
      <c r="II31" s="734" cm="1">
        <f t="array" ref="II31">IFERROR(ROUND(VALUE(IF($IH31&lt;1,$IH31+LARGE((IF($M$9:$M$150="",0,$M$9:$M$150)-MOD(IF($M$9:$M$150="",0,$M$9:$M$150),1)),1),$IH31)),4),"")</f>
        <v>6.1349999999999998</v>
      </c>
      <c r="IJ31" s="533">
        <f t="shared" si="112"/>
        <v>1313</v>
      </c>
      <c r="IK31" s="533">
        <f t="shared" si="66"/>
        <v>1313</v>
      </c>
      <c r="IL31" s="727">
        <f t="shared" si="225"/>
        <v>137.99003205427346</v>
      </c>
      <c r="IM31" s="759">
        <v>1.5261869994471499E-4</v>
      </c>
      <c r="IN31" s="5">
        <f t="shared" si="226"/>
        <v>0</v>
      </c>
      <c r="IO31" s="771">
        <v>0</v>
      </c>
      <c r="IP31" s="9">
        <f t="shared" si="227"/>
        <v>-4.1465125058817174</v>
      </c>
      <c r="IQ31" s="5">
        <f t="shared" si="228"/>
        <v>-1.6872050886105474</v>
      </c>
      <c r="IR31" s="5">
        <f t="shared" si="71"/>
        <v>0.26600000000000001</v>
      </c>
      <c r="IS31" s="5">
        <f t="shared" si="229"/>
        <v>0.23894899592328067</v>
      </c>
      <c r="IT31" s="727">
        <f t="shared" si="230"/>
        <v>87.565662639713096</v>
      </c>
      <c r="IU31" s="9">
        <f t="shared" si="231"/>
        <v>-4.158174987456162</v>
      </c>
      <c r="IV31" s="5">
        <f t="shared" si="232"/>
        <v>-1.7180686126704703</v>
      </c>
      <c r="IW31" s="5">
        <f t="shared" si="76"/>
        <v>0.26600000000000001</v>
      </c>
      <c r="IX31" s="5">
        <f t="shared" si="233"/>
        <v>0.21597030018831412</v>
      </c>
      <c r="IY31" s="762">
        <f t="shared" si="234"/>
        <v>83.129207160074372</v>
      </c>
    </row>
    <row r="32" spans="1:269" ht="15" customHeight="1" x14ac:dyDescent="0.25">
      <c r="A32" s="79"/>
      <c r="B32" s="707">
        <v>0.61539929309277275</v>
      </c>
      <c r="C32" s="708">
        <v>-0.3553014437732146</v>
      </c>
      <c r="D32" s="709">
        <v>-0.20180060863063565</v>
      </c>
      <c r="E32" s="710">
        <v>0.46342801103865061</v>
      </c>
      <c r="F32" s="708">
        <v>0.84779481177663274</v>
      </c>
      <c r="G32" s="711">
        <v>0.25783412440827963</v>
      </c>
      <c r="H32" s="710">
        <v>0.26600000000000001</v>
      </c>
      <c r="I32" s="708">
        <v>0.52</v>
      </c>
      <c r="J32" s="570">
        <v>3.1030000000000002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3.1030000000000002</v>
      </c>
      <c r="N32" s="632">
        <f t="shared" si="2"/>
        <v>0.61539929309277275</v>
      </c>
      <c r="O32" s="629">
        <f t="shared" si="3"/>
        <v>-0.3553014437732146</v>
      </c>
      <c r="P32" s="633">
        <f t="shared" si="4"/>
        <v>-0.20180060863063565</v>
      </c>
      <c r="Q32" s="585">
        <f t="shared" si="113"/>
        <v>329.99996534829228</v>
      </c>
      <c r="R32" s="629">
        <f t="shared" si="79"/>
        <v>0.71060214317606385</v>
      </c>
      <c r="S32" s="634">
        <f t="shared" si="80"/>
        <v>-0.20180060863063565</v>
      </c>
      <c r="T32" s="635">
        <f t="shared" si="81"/>
        <v>-0.35497917281415448</v>
      </c>
      <c r="U32" s="629">
        <f t="shared" si="82"/>
        <v>-0.61558524410076121</v>
      </c>
      <c r="V32" s="636">
        <f t="shared" si="114"/>
        <v>-0.20180060863063565</v>
      </c>
      <c r="W32" s="585">
        <f t="shared" si="224"/>
        <v>240.02996534396081</v>
      </c>
      <c r="X32" s="629">
        <f t="shared" si="83"/>
        <v>0.71060214317606385</v>
      </c>
      <c r="Y32" s="630">
        <f t="shared" si="223"/>
        <v>-0.20180060863063565</v>
      </c>
      <c r="Z32" s="632">
        <f t="shared" si="6"/>
        <v>-0.46342801103865061</v>
      </c>
      <c r="AA32" s="629">
        <f t="shared" si="7"/>
        <v>-0.84779481177663274</v>
      </c>
      <c r="AB32" s="629">
        <f t="shared" si="8"/>
        <v>-0.25783412440827963</v>
      </c>
      <c r="AC32" s="636">
        <f t="shared" si="84"/>
        <v>1</v>
      </c>
      <c r="AD32" s="637">
        <f t="shared" si="115"/>
        <v>-0.46342801103865061</v>
      </c>
      <c r="AE32" s="629">
        <f t="shared" si="85"/>
        <v>-0.84779481177663274</v>
      </c>
      <c r="AF32" s="633">
        <f t="shared" si="86"/>
        <v>-0.25783412440827963</v>
      </c>
      <c r="AG32" s="602">
        <f t="shared" si="87"/>
        <v>-73.084263435752632</v>
      </c>
      <c r="AH32" s="603">
        <f t="shared" si="88"/>
        <v>117.60853298015098</v>
      </c>
      <c r="AI32" s="585">
        <f t="shared" si="89"/>
        <v>-75.058414528502141</v>
      </c>
      <c r="AJ32" s="586">
        <f t="shared" si="90"/>
        <v>-28.662232062157944</v>
      </c>
      <c r="AK32" s="635">
        <f t="shared" si="211"/>
        <v>0.96592583607220739</v>
      </c>
      <c r="AL32" s="629">
        <f t="shared" si="91"/>
        <v>2.25575596823544E-2</v>
      </c>
      <c r="AM32" s="634">
        <f t="shared" si="92"/>
        <v>-0.25783412440827963</v>
      </c>
      <c r="AN32" s="581">
        <f t="shared" si="93"/>
        <v>4.9999992780894198</v>
      </c>
      <c r="AO32" s="582">
        <f t="shared" si="94"/>
        <v>14.999997834268255</v>
      </c>
      <c r="AP32" s="585">
        <f t="shared" si="95"/>
        <v>1.3378025895497796</v>
      </c>
      <c r="AQ32" s="586">
        <f t="shared" si="9"/>
        <v>3.20481530804468</v>
      </c>
      <c r="AS32" s="52">
        <f t="shared" si="116"/>
        <v>-119.97003465603919</v>
      </c>
      <c r="AT32" s="72">
        <f t="shared" si="10"/>
        <v>-0.1184672512336164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3.1030000000000002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1.1552809695831112</v>
      </c>
      <c r="C33" s="708">
        <v>-0.66700271037639769</v>
      </c>
      <c r="D33" s="709">
        <v>-0.14720044395653897</v>
      </c>
      <c r="E33" s="710">
        <v>0.46342801103865056</v>
      </c>
      <c r="F33" s="708">
        <v>0.84779481177663285</v>
      </c>
      <c r="G33" s="711">
        <v>0.25783412440827969</v>
      </c>
      <c r="H33" s="710">
        <v>0.26600000000000001</v>
      </c>
      <c r="I33" s="708">
        <v>0.52</v>
      </c>
      <c r="J33" s="570">
        <v>3.1059999999999999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3.1059999999999999</v>
      </c>
      <c r="N33" s="632">
        <f t="shared" si="2"/>
        <v>1.1552809695831112</v>
      </c>
      <c r="O33" s="629">
        <f t="shared" si="3"/>
        <v>-0.66700271037639769</v>
      </c>
      <c r="P33" s="633">
        <f t="shared" si="4"/>
        <v>-0.14720044395653897</v>
      </c>
      <c r="Q33" s="585">
        <f t="shared" si="113"/>
        <v>329.99996534829228</v>
      </c>
      <c r="R33" s="629">
        <f t="shared" si="79"/>
        <v>1.3340040233561343</v>
      </c>
      <c r="S33" s="634">
        <f t="shared" si="80"/>
        <v>-0.14720044395653897</v>
      </c>
      <c r="T33" s="635">
        <f t="shared" si="81"/>
        <v>-0.66639771535896708</v>
      </c>
      <c r="U33" s="629">
        <f t="shared" si="82"/>
        <v>-1.1556300529558337</v>
      </c>
      <c r="V33" s="636">
        <f t="shared" si="114"/>
        <v>-0.14720044395653897</v>
      </c>
      <c r="W33" s="585">
        <f t="shared" si="224"/>
        <v>240.02996534396081</v>
      </c>
      <c r="X33" s="629">
        <f t="shared" si="83"/>
        <v>1.3340040233561343</v>
      </c>
      <c r="Y33" s="630">
        <f t="shared" si="223"/>
        <v>-0.14720044395653897</v>
      </c>
      <c r="Z33" s="632">
        <f t="shared" si="6"/>
        <v>-0.46342801103865056</v>
      </c>
      <c r="AA33" s="629">
        <f t="shared" si="7"/>
        <v>-0.84779481177663285</v>
      </c>
      <c r="AB33" s="629">
        <f t="shared" si="8"/>
        <v>-0.25783412440827969</v>
      </c>
      <c r="AC33" s="636">
        <f t="shared" si="84"/>
        <v>1</v>
      </c>
      <c r="AD33" s="637">
        <f t="shared" si="115"/>
        <v>-0.46342801103865056</v>
      </c>
      <c r="AE33" s="629">
        <f t="shared" si="85"/>
        <v>-0.84779481177663285</v>
      </c>
      <c r="AF33" s="633">
        <f t="shared" si="86"/>
        <v>-0.25783412440827969</v>
      </c>
      <c r="AG33" s="602">
        <f t="shared" si="87"/>
        <v>-73.084263435752632</v>
      </c>
      <c r="AH33" s="603">
        <f t="shared" si="88"/>
        <v>117.60853298015098</v>
      </c>
      <c r="AI33" s="585">
        <f t="shared" si="89"/>
        <v>-75.058414528502141</v>
      </c>
      <c r="AJ33" s="586">
        <f t="shared" si="90"/>
        <v>-28.662232062157937</v>
      </c>
      <c r="AK33" s="635">
        <f t="shared" si="211"/>
        <v>0.9659258360722075</v>
      </c>
      <c r="AL33" s="629">
        <f t="shared" si="91"/>
        <v>2.2557559682354511E-2</v>
      </c>
      <c r="AM33" s="634">
        <f t="shared" si="92"/>
        <v>-0.25783412440827969</v>
      </c>
      <c r="AN33" s="581">
        <f t="shared" si="93"/>
        <v>4.9999992780894438</v>
      </c>
      <c r="AO33" s="582">
        <f t="shared" si="94"/>
        <v>14.99999783426823</v>
      </c>
      <c r="AP33" s="585">
        <f t="shared" si="95"/>
        <v>1.337802589549786</v>
      </c>
      <c r="AQ33" s="586">
        <f t="shared" si="9"/>
        <v>1.7084288504797964</v>
      </c>
      <c r="AS33" s="52">
        <f t="shared" si="116"/>
        <v>-119.97003465603919</v>
      </c>
      <c r="AT33" s="72">
        <f t="shared" si="10"/>
        <v>-6.3867086559519726E-2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3.1059999999999999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1.6950760433021168</v>
      </c>
      <c r="C34" s="708">
        <v>-0.97865397677640431</v>
      </c>
      <c r="D34" s="709">
        <v>-9.2700279584043241E-2</v>
      </c>
      <c r="E34" s="710">
        <v>0.46342801103865056</v>
      </c>
      <c r="F34" s="708">
        <v>0.84779481177663285</v>
      </c>
      <c r="G34" s="711">
        <v>0.25783412440827969</v>
      </c>
      <c r="H34" s="710">
        <v>0.26600000000000001</v>
      </c>
      <c r="I34" s="708">
        <v>0.52</v>
      </c>
      <c r="J34" s="570">
        <v>3.109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3.109</v>
      </c>
      <c r="N34" s="632">
        <f t="shared" si="2"/>
        <v>1.6950760433021168</v>
      </c>
      <c r="O34" s="629">
        <f t="shared" si="3"/>
        <v>-0.97865397677640431</v>
      </c>
      <c r="P34" s="633">
        <f t="shared" si="4"/>
        <v>-9.2700279584043241E-2</v>
      </c>
      <c r="Q34" s="585">
        <f t="shared" si="113"/>
        <v>329.99996534829228</v>
      </c>
      <c r="R34" s="629">
        <f>IF(M34="","",SQRT(N34^2+O34^2))</f>
        <v>1.9573059032346045</v>
      </c>
      <c r="S34" s="634">
        <f>IF(M34="","",P34)</f>
        <v>-9.2700279584043241E-2</v>
      </c>
      <c r="T34" s="635">
        <f>IF(M34="","",X34*COS(RADIANS(W34)))</f>
        <v>-0.97776630305255374</v>
      </c>
      <c r="U34" s="629">
        <f>IF(M34="","",X34*SIN(RADIANS(W34)))</f>
        <v>-1.6955882328714047</v>
      </c>
      <c r="V34" s="636">
        <f>IF(M34="","",Y34)</f>
        <v>-9.2700279584043241E-2</v>
      </c>
      <c r="W34" s="585">
        <f t="shared" si="224"/>
        <v>240.02996534396081</v>
      </c>
      <c r="X34" s="629">
        <f>IF(M34="","",R34)</f>
        <v>1.9573059032346045</v>
      </c>
      <c r="Y34" s="630">
        <f t="shared" si="223"/>
        <v>-9.2700279584043241E-2</v>
      </c>
      <c r="Z34" s="632">
        <f t="shared" si="6"/>
        <v>-0.46342801103865056</v>
      </c>
      <c r="AA34" s="629">
        <f t="shared" si="7"/>
        <v>-0.84779481177663285</v>
      </c>
      <c r="AB34" s="629">
        <f t="shared" si="8"/>
        <v>-0.25783412440827969</v>
      </c>
      <c r="AC34" s="636">
        <f>IF(M34="","",SQRT(Z34^2+AA34^2+AB34^2))</f>
        <v>1</v>
      </c>
      <c r="AD34" s="637">
        <f>IF(M34="","",Z34*(1/SQRT(Z34^2+AA34^2+AB34^2)))</f>
        <v>-0.46342801103865056</v>
      </c>
      <c r="AE34" s="629">
        <f>IF(M34="","",AA34*(1/SQRT(Z34^2+AA34^2+AB34^2)))</f>
        <v>-0.84779481177663285</v>
      </c>
      <c r="AF34" s="633">
        <f>IF(M34="","",AB34*(1/SQRT(Z34^2+AA34^2+AB34^2)))</f>
        <v>-0.25783412440827969</v>
      </c>
      <c r="AG34" s="602">
        <f>IF(M34="","",DEGREES(ATAN2(-AF34,AE34)))</f>
        <v>-73.084263435752632</v>
      </c>
      <c r="AH34" s="603">
        <f>IF(M34="","",DEGREES(ACOS(AD34)))</f>
        <v>117.60853298015098</v>
      </c>
      <c r="AI34" s="585">
        <f>IF(M34="","",DEGREES(-ACOS(-AF34)))</f>
        <v>-75.058414528502141</v>
      </c>
      <c r="AJ34" s="586">
        <f>IF(M34="","",DEGREES(ATAN2(-AE34,AD34)))</f>
        <v>-28.662232062157937</v>
      </c>
      <c r="AK34" s="635">
        <f>IF(M34="","",(COS(RADIANS((90-$Q$8)-W34))*AD34)+(-SIN(RADIANS((90-$Q$8)-W34))*AE34))</f>
        <v>0.9659258360722075</v>
      </c>
      <c r="AL34" s="629">
        <f>IF(M34="","",(SIN(RADIANS((90-$Q$8)-W34))*AD34)+(COS(RADIANS((90-$Q$8)-W34))*AE34))</f>
        <v>2.2557559682354511E-2</v>
      </c>
      <c r="AM34" s="634">
        <f>IF(M34="","",AF34)</f>
        <v>-0.25783412440827969</v>
      </c>
      <c r="AN34" s="581">
        <f>IF(M34="","",DEGREES(ATAN2(-AM34,AL34)))</f>
        <v>4.9999992780894438</v>
      </c>
      <c r="AO34" s="582">
        <f t="shared" si="94"/>
        <v>14.99999783426823</v>
      </c>
      <c r="AP34" s="585">
        <f>IF(M34="","",DEGREES(ATAN2(AK34,AL34)))</f>
        <v>1.337802589549786</v>
      </c>
      <c r="AQ34" s="586">
        <f t="shared" si="9"/>
        <v>1.1645663975702358</v>
      </c>
      <c r="AS34" s="52">
        <f t="shared" si="116"/>
        <v>-119.97003465603919</v>
      </c>
      <c r="AT34" s="72">
        <f t="shared" si="10"/>
        <v>-9.3669221870239933E-3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3.109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2.2558280962773236</v>
      </c>
      <c r="C35" s="708">
        <v>-1.3203148300906551</v>
      </c>
      <c r="D35" s="709">
        <v>-5.210015713407392E-2</v>
      </c>
      <c r="E35" s="710">
        <v>0.53718934109661132</v>
      </c>
      <c r="F35" s="708">
        <v>0.79825574206935812</v>
      </c>
      <c r="G35" s="711">
        <v>0.27242500264382347</v>
      </c>
      <c r="H35" s="710">
        <v>0.26600000000000001</v>
      </c>
      <c r="I35" s="708">
        <v>0.52</v>
      </c>
      <c r="J35" s="570">
        <v>3.1139999999999999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3.1139999999999999</v>
      </c>
      <c r="N35" s="632">
        <f t="shared" si="2"/>
        <v>2.2558280962773236</v>
      </c>
      <c r="O35" s="629">
        <f t="shared" si="3"/>
        <v>-1.3203148300906551</v>
      </c>
      <c r="P35" s="633">
        <f t="shared" si="4"/>
        <v>-5.210015713407392E-2</v>
      </c>
      <c r="Q35" s="585">
        <f t="shared" si="113"/>
        <v>329.65996539738217</v>
      </c>
      <c r="R35" s="629">
        <f>IF(M35="","",SQRT(N35^2+O35^2))</f>
        <v>2.6138078832445757</v>
      </c>
      <c r="S35" s="634">
        <f>IF(M35="","",P35)</f>
        <v>-5.210015713407392E-2</v>
      </c>
      <c r="T35" s="635">
        <f>IF(M35="","",X35*COS(RADIANS(W35)))</f>
        <v>-1.3191335005001446</v>
      </c>
      <c r="U35" s="629">
        <f>IF(M35="","",X35*SIN(RADIANS(W35)))</f>
        <v>-2.256519102150417</v>
      </c>
      <c r="V35" s="636">
        <f>IF(M35="","",Y35)</f>
        <v>-5.210015713407392E-2</v>
      </c>
      <c r="W35" s="585">
        <f t="shared" si="224"/>
        <v>239.6899653930507</v>
      </c>
      <c r="X35" s="629">
        <f>IF(M35="","",R35)</f>
        <v>2.6138078832445757</v>
      </c>
      <c r="Y35" s="630">
        <f t="shared" si="223"/>
        <v>-5.210015713407392E-2</v>
      </c>
      <c r="Z35" s="632">
        <f t="shared" si="6"/>
        <v>-0.53718934109661132</v>
      </c>
      <c r="AA35" s="629">
        <f t="shared" si="7"/>
        <v>-0.79825574206935812</v>
      </c>
      <c r="AB35" s="629">
        <f t="shared" si="8"/>
        <v>-0.27242500264382347</v>
      </c>
      <c r="AC35" s="636">
        <f>IF(M35="","",SQRT(Z35^2+AA35^2+AB35^2))</f>
        <v>1</v>
      </c>
      <c r="AD35" s="637">
        <f>IF(M35="","",Z35*(1/SQRT(Z35^2+AA35^2+AB35^2)))</f>
        <v>-0.53718934109661132</v>
      </c>
      <c r="AE35" s="629">
        <f>IF(M35="","",AA35*(1/SQRT(Z35^2+AA35^2+AB35^2)))</f>
        <v>-0.79825574206935812</v>
      </c>
      <c r="AF35" s="633">
        <f>IF(M35="","",AB35*(1/SQRT(Z35^2+AA35^2+AB35^2)))</f>
        <v>-0.27242500264382347</v>
      </c>
      <c r="AG35" s="602">
        <f>IF(M35="","",DEGREES(ATAN2(-AF35,AE35)))</f>
        <v>-71.156492250649563</v>
      </c>
      <c r="AH35" s="603">
        <f>IF(M35="","",DEGREES(ACOS(AD35)))</f>
        <v>122.49250930868101</v>
      </c>
      <c r="AI35" s="585">
        <f>IF(M35="","",DEGREES(-ACOS(-AF35)))</f>
        <v>-74.191380267509714</v>
      </c>
      <c r="AJ35" s="586">
        <f>IF(M35="","",DEGREES(ATAN2(-AE35,AD35)))</f>
        <v>-33.938737012248097</v>
      </c>
      <c r="AK35" s="635">
        <f>IF(M35="","",(COS(RADIANS((90-$Q$8)-W35))*AD35)+(-SIN(RADIANS((90-$Q$8)-W35))*AE35))</f>
        <v>0.96027975150015443</v>
      </c>
      <c r="AL35" s="629">
        <f>IF(M35="","",(SIN(RADIANS((90-$Q$8)-W35))*AD35)+(COS(RADIANS((90-$Q$8)-W35))*AE35))</f>
        <v>-6.0393847313403193E-2</v>
      </c>
      <c r="AM35" s="634">
        <f>IF(M35="","",AF35)</f>
        <v>-0.27242500264382347</v>
      </c>
      <c r="AN35" s="581">
        <f>IF(M35="","",DEGREES(ATAN2(-AM35,AL35)))</f>
        <v>-12.4997350363902</v>
      </c>
      <c r="AO35" s="582">
        <f t="shared" si="94"/>
        <v>16.202861384794765</v>
      </c>
      <c r="AP35" s="585">
        <f>IF(M35="","",DEGREES(ATAN2(AK35,AL35)))</f>
        <v>-3.5987024096302505</v>
      </c>
      <c r="AQ35" s="586">
        <f t="shared" si="9"/>
        <v>0.87211863623713159</v>
      </c>
      <c r="AS35" s="52">
        <f t="shared" si="116"/>
        <v>-120.3100346069493</v>
      </c>
      <c r="AT35" s="72">
        <f t="shared" si="10"/>
        <v>3.1469311339966242E-2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3.1139999999999999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2.8072274089540392</v>
      </c>
      <c r="C36" s="708">
        <v>-1.7001196589018497</v>
      </c>
      <c r="D36" s="709">
        <v>-0.23840071901656856</v>
      </c>
      <c r="E36" s="710">
        <v>0.65600926005824023</v>
      </c>
      <c r="F36" s="708">
        <v>0.71657919019106697</v>
      </c>
      <c r="G36" s="711">
        <v>0.23699391321921093</v>
      </c>
      <c r="H36" s="710">
        <v>0.26600000000000001</v>
      </c>
      <c r="I36" s="708">
        <v>0.52</v>
      </c>
      <c r="J36" s="570">
        <v>3.12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3.12</v>
      </c>
      <c r="N36" s="632">
        <f t="shared" si="2"/>
        <v>2.8072274089540392</v>
      </c>
      <c r="O36" s="629">
        <f t="shared" si="3"/>
        <v>-1.7001196589018497</v>
      </c>
      <c r="P36" s="633">
        <f t="shared" si="4"/>
        <v>-0.23840071901656856</v>
      </c>
      <c r="Q36" s="585">
        <f t="shared" si="113"/>
        <v>328.7999655215508</v>
      </c>
      <c r="R36" s="629">
        <f>IF(M36="","",SQRT(N36^2+O36^2))</f>
        <v>3.2819098982402535</v>
      </c>
      <c r="S36" s="634">
        <f>IF(M36="","",P36)</f>
        <v>-0.23840071901656856</v>
      </c>
      <c r="T36" s="635">
        <f>IF(M36="","",X36*COS(RADIANS(W36)))</f>
        <v>-1.6986495652984228</v>
      </c>
      <c r="U36" s="629">
        <f>IF(M36="","",X36*SIN(RADIANS(W36)))</f>
        <v>-2.8081172045480631</v>
      </c>
      <c r="V36" s="636">
        <f>IF(M36="","",Y36)</f>
        <v>-0.23840071901656856</v>
      </c>
      <c r="W36" s="585">
        <f t="shared" si="224"/>
        <v>238.82996551721934</v>
      </c>
      <c r="X36" s="629">
        <f>IF(M36="","",R36)</f>
        <v>3.2819098982402535</v>
      </c>
      <c r="Y36" s="630">
        <f t="shared" si="223"/>
        <v>-0.23840071901656856</v>
      </c>
      <c r="Z36" s="632">
        <f t="shared" si="6"/>
        <v>-0.65600926005824023</v>
      </c>
      <c r="AA36" s="629">
        <f t="shared" si="7"/>
        <v>-0.71657919019106697</v>
      </c>
      <c r="AB36" s="629">
        <f t="shared" si="8"/>
        <v>-0.23699391321921093</v>
      </c>
      <c r="AC36" s="636">
        <f>IF(M36="","",SQRT(Z36^2+AA36^2+AB36^2))</f>
        <v>1</v>
      </c>
      <c r="AD36" s="637">
        <f>IF(M36="","",Z36*(1/SQRT(Z36^2+AA36^2+AB36^2)))</f>
        <v>-0.65600926005824023</v>
      </c>
      <c r="AE36" s="629">
        <f>IF(M36="","",AA36*(1/SQRT(Z36^2+AA36^2+AB36^2)))</f>
        <v>-0.71657919019106697</v>
      </c>
      <c r="AF36" s="633">
        <f>IF(M36="","",AB36*(1/SQRT(Z36^2+AA36^2+AB36^2)))</f>
        <v>-0.23699391321921093</v>
      </c>
      <c r="AG36" s="602">
        <f>IF(M36="","",DEGREES(ATAN2(-AF36,AE36)))</f>
        <v>-71.699423101944888</v>
      </c>
      <c r="AH36" s="603">
        <f>IF(M36="","",DEGREES(ACOS(AD36)))</f>
        <v>130.99622176779098</v>
      </c>
      <c r="AI36" s="585">
        <f>IF(M36="","",DEGREES(-ACOS(-AF36)))</f>
        <v>-76.29081366576635</v>
      </c>
      <c r="AJ36" s="586">
        <f>IF(M36="","",DEGREES(ATAN2(-AE36,AD36)))</f>
        <v>-42.473276604484539</v>
      </c>
      <c r="AK36" s="635">
        <f>IF(M36="","",(COS(RADIANS((90-$Q$8)-W36))*AD36)+(-SIN(RADIANS((90-$Q$8)-W36))*AE36))</f>
        <v>0.95276685825950036</v>
      </c>
      <c r="AL36" s="629">
        <f>IF(M36="","",(SIN(RADIANS((90-$Q$8)-W36))*AD36)+(COS(RADIANS((90-$Q$8)-W36))*AE36))</f>
        <v>-0.18991892717516656</v>
      </c>
      <c r="AM36" s="634">
        <f>IF(M36="","",AF36)</f>
        <v>-0.23699391321921093</v>
      </c>
      <c r="AN36" s="581">
        <f>IF(M36="","",DEGREES(ATAN2(-AM36,AL36)))</f>
        <v>-38.707508918430513</v>
      </c>
      <c r="AO36" s="582">
        <f t="shared" si="94"/>
        <v>17.680130647926266</v>
      </c>
      <c r="AP36" s="585">
        <f>IF(M36="","",DEGREES(ATAN2(AK36,AL36)))</f>
        <v>-11.273242126035337</v>
      </c>
      <c r="AQ36" s="586">
        <f t="shared" si="9"/>
        <v>0.69460010141415218</v>
      </c>
      <c r="AS36" s="52">
        <f t="shared" si="116"/>
        <v>-121.17003448278066</v>
      </c>
      <c r="AT36" s="72">
        <f t="shared" si="10"/>
        <v>-0.15423402840653438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3.2353819138740336</v>
      </c>
      <c r="C37" s="708">
        <v>-2.0271940708739642</v>
      </c>
      <c r="D37" s="709">
        <v>-0.69470209522151871</v>
      </c>
      <c r="E37" s="710">
        <v>0.7531889819640526</v>
      </c>
      <c r="F37" s="708">
        <v>0.63640046999555622</v>
      </c>
      <c r="G37" s="711">
        <v>0.16643557082964397</v>
      </c>
      <c r="H37" s="710">
        <v>0.26600000000000001</v>
      </c>
      <c r="I37" s="708">
        <v>0.52</v>
      </c>
      <c r="J37" s="570">
        <v>3.1259999999999999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3.1259999999999999</v>
      </c>
      <c r="N37" s="632">
        <f t="shared" si="2"/>
        <v>3.2353819138740336</v>
      </c>
      <c r="O37" s="629">
        <f t="shared" si="3"/>
        <v>-2.0271940708739642</v>
      </c>
      <c r="P37" s="633">
        <f t="shared" si="4"/>
        <v>-0.69470209522151871</v>
      </c>
      <c r="Q37" s="585">
        <f t="shared" si="113"/>
        <v>327.92996564716327</v>
      </c>
      <c r="R37" s="629">
        <f t="shared" si="79"/>
        <v>3.8180115151227296</v>
      </c>
      <c r="S37" s="634">
        <f t="shared" si="80"/>
        <v>-0.69470209522151871</v>
      </c>
      <c r="T37" s="635">
        <f t="shared" si="81"/>
        <v>-2.0254997513039648</v>
      </c>
      <c r="U37" s="629">
        <f t="shared" si="82"/>
        <v>-3.2364429065066695</v>
      </c>
      <c r="V37" s="636">
        <f t="shared" si="114"/>
        <v>-0.69470209522151871</v>
      </c>
      <c r="W37" s="585">
        <f t="shared" si="224"/>
        <v>237.9599656428318</v>
      </c>
      <c r="X37" s="629">
        <f t="shared" si="83"/>
        <v>3.8180115151227296</v>
      </c>
      <c r="Y37" s="630">
        <f t="shared" si="223"/>
        <v>-0.69470209522151871</v>
      </c>
      <c r="Z37" s="632">
        <f t="shared" si="6"/>
        <v>-0.7531889819640526</v>
      </c>
      <c r="AA37" s="629">
        <f t="shared" si="7"/>
        <v>-0.63640046999555622</v>
      </c>
      <c r="AB37" s="629">
        <f t="shared" si="8"/>
        <v>-0.16643557082964397</v>
      </c>
      <c r="AC37" s="636">
        <f t="shared" si="84"/>
        <v>1</v>
      </c>
      <c r="AD37" s="637">
        <f t="shared" si="115"/>
        <v>-0.7531889819640526</v>
      </c>
      <c r="AE37" s="629">
        <f t="shared" si="85"/>
        <v>-0.63640046999555622</v>
      </c>
      <c r="AF37" s="633">
        <f t="shared" si="86"/>
        <v>-0.16643557082964397</v>
      </c>
      <c r="AG37" s="602">
        <f t="shared" si="87"/>
        <v>-75.343891760016632</v>
      </c>
      <c r="AH37" s="603">
        <f t="shared" si="88"/>
        <v>138.86737763544119</v>
      </c>
      <c r="AI37" s="585">
        <f t="shared" si="89"/>
        <v>-80.419360145776039</v>
      </c>
      <c r="AJ37" s="586">
        <f t="shared" si="90"/>
        <v>-49.804152684263919</v>
      </c>
      <c r="AK37" s="635">
        <f t="shared" si="211"/>
        <v>0.93919538872171637</v>
      </c>
      <c r="AL37" s="629">
        <f t="shared" si="91"/>
        <v>-0.30035183130201609</v>
      </c>
      <c r="AM37" s="634">
        <f t="shared" si="92"/>
        <v>-0.16643557082964397</v>
      </c>
      <c r="AN37" s="581">
        <f t="shared" si="93"/>
        <v>-61.007613179155818</v>
      </c>
      <c r="AO37" s="582">
        <f t="shared" si="94"/>
        <v>20.08313146998989</v>
      </c>
      <c r="AP37" s="585">
        <f t="shared" si="95"/>
        <v>-17.73411833142719</v>
      </c>
      <c r="AQ37" s="586">
        <f t="shared" si="9"/>
        <v>0.59707627888454706</v>
      </c>
      <c r="AS37" s="52">
        <f t="shared" si="116"/>
        <v>-122.0400343571682</v>
      </c>
      <c r="AT37" s="72">
        <f t="shared" si="10"/>
        <v>-0.60993123803204874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3.1259999999999999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3.4631624335570028</v>
      </c>
      <c r="C38" s="708">
        <v>-2.2147876945834279</v>
      </c>
      <c r="D38" s="709">
        <v>-1.3349040260705425</v>
      </c>
      <c r="E38" s="710">
        <v>0.82174149226963733</v>
      </c>
      <c r="F38" s="708">
        <v>0.56561060986264788</v>
      </c>
      <c r="G38" s="711">
        <v>6.9466235634826942E-2</v>
      </c>
      <c r="H38" s="710">
        <v>0.26600000000000001</v>
      </c>
      <c r="I38" s="708">
        <v>0.52</v>
      </c>
      <c r="J38" s="570">
        <v>3.1320000000000001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3.1320000000000001</v>
      </c>
      <c r="N38" s="632">
        <f t="shared" si="2"/>
        <v>3.4631624335570028</v>
      </c>
      <c r="O38" s="629">
        <f t="shared" si="3"/>
        <v>-2.2147876945834279</v>
      </c>
      <c r="P38" s="633">
        <f t="shared" si="4"/>
        <v>-1.3349040260705425</v>
      </c>
      <c r="Q38" s="585">
        <f t="shared" si="113"/>
        <v>327.3999657236858</v>
      </c>
      <c r="R38" s="629">
        <f t="shared" si="79"/>
        <v>4.110812398210193</v>
      </c>
      <c r="S38" s="634">
        <f t="shared" si="80"/>
        <v>-1.3349040260705425</v>
      </c>
      <c r="T38" s="635">
        <f t="shared" si="81"/>
        <v>-2.212974083719967</v>
      </c>
      <c r="U38" s="629">
        <f t="shared" si="82"/>
        <v>-3.4643216187390009</v>
      </c>
      <c r="V38" s="636">
        <f t="shared" si="114"/>
        <v>-1.3349040260705425</v>
      </c>
      <c r="W38" s="585">
        <f t="shared" si="224"/>
        <v>237.42996571935433</v>
      </c>
      <c r="X38" s="629">
        <f t="shared" si="83"/>
        <v>4.110812398210193</v>
      </c>
      <c r="Y38" s="630">
        <f t="shared" si="223"/>
        <v>-1.3349040260705425</v>
      </c>
      <c r="Z38" s="632">
        <f t="shared" si="6"/>
        <v>-0.82174149226963733</v>
      </c>
      <c r="AA38" s="629">
        <f t="shared" si="7"/>
        <v>-0.56561060986264788</v>
      </c>
      <c r="AB38" s="629">
        <f t="shared" si="8"/>
        <v>-6.9466235634826942E-2</v>
      </c>
      <c r="AC38" s="636">
        <f t="shared" si="84"/>
        <v>1</v>
      </c>
      <c r="AD38" s="637">
        <f t="shared" si="115"/>
        <v>-0.82174149226963733</v>
      </c>
      <c r="AE38" s="629">
        <f t="shared" si="85"/>
        <v>-0.56561060986264788</v>
      </c>
      <c r="AF38" s="633">
        <f t="shared" si="86"/>
        <v>-6.9466235634826942E-2</v>
      </c>
      <c r="AG38" s="602">
        <f t="shared" si="87"/>
        <v>-82.998205177214743</v>
      </c>
      <c r="AH38" s="603">
        <f t="shared" si="88"/>
        <v>145.2595056887462</v>
      </c>
      <c r="AI38" s="585">
        <f t="shared" si="89"/>
        <v>-86.016669856725215</v>
      </c>
      <c r="AJ38" s="586">
        <f t="shared" si="90"/>
        <v>-55.460082440439436</v>
      </c>
      <c r="AK38" s="635">
        <f t="shared" si="211"/>
        <v>0.91923055475609861</v>
      </c>
      <c r="AL38" s="629">
        <f t="shared" si="91"/>
        <v>-0.38754306768347957</v>
      </c>
      <c r="AM38" s="634">
        <f t="shared" si="92"/>
        <v>-6.9466235634826942E-2</v>
      </c>
      <c r="AN38" s="581">
        <f t="shared" si="93"/>
        <v>-79.837778035754425</v>
      </c>
      <c r="AO38" s="582">
        <f t="shared" si="94"/>
        <v>23.186147740648085</v>
      </c>
      <c r="AP38" s="585">
        <f t="shared" si="95"/>
        <v>-22.860048164125217</v>
      </c>
      <c r="AQ38" s="586">
        <f t="shared" si="9"/>
        <v>0.55455107747527577</v>
      </c>
      <c r="AS38" s="52">
        <f t="shared" si="116"/>
        <v>-122.57003428064567</v>
      </c>
      <c r="AT38" s="72">
        <f t="shared" si="10"/>
        <v>-1.2497651133786576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3.1320000000000001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3.4965964784219699</v>
      </c>
      <c r="C39" s="708">
        <v>-2.2430547929241378</v>
      </c>
      <c r="D39" s="709">
        <v>-2.0285061179744521</v>
      </c>
      <c r="E39" s="710">
        <v>0.87976283435082459</v>
      </c>
      <c r="F39" s="708">
        <v>0.47532946212342442</v>
      </c>
      <c r="G39" s="711">
        <v>8.9026811949817486E-3</v>
      </c>
      <c r="H39" s="710">
        <v>0.26600000000000001</v>
      </c>
      <c r="I39" s="708">
        <v>0.52</v>
      </c>
      <c r="J39" s="570">
        <v>3.1379999999999999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3.1379999999999999</v>
      </c>
      <c r="N39" s="632">
        <f t="shared" si="2"/>
        <v>3.4965964784219699</v>
      </c>
      <c r="O39" s="629">
        <f t="shared" si="3"/>
        <v>-2.2430547929241378</v>
      </c>
      <c r="P39" s="633">
        <f t="shared" si="4"/>
        <v>-2.0285061179744521</v>
      </c>
      <c r="Q39" s="585">
        <f t="shared" si="113"/>
        <v>327.31996573523634</v>
      </c>
      <c r="R39" s="629">
        <f t="shared" si="79"/>
        <v>4.1542125291049885</v>
      </c>
      <c r="S39" s="634">
        <f t="shared" si="80"/>
        <v>-2.0285061179744521</v>
      </c>
      <c r="T39" s="635">
        <f t="shared" si="81"/>
        <v>-2.2412236721642582</v>
      </c>
      <c r="U39" s="629">
        <f t="shared" si="82"/>
        <v>-3.4977704596361696</v>
      </c>
      <c r="V39" s="636">
        <f t="shared" si="114"/>
        <v>-2.0285061179744521</v>
      </c>
      <c r="W39" s="585">
        <f t="shared" si="224"/>
        <v>237.34996573090487</v>
      </c>
      <c r="X39" s="629">
        <f t="shared" si="83"/>
        <v>4.1542125291049885</v>
      </c>
      <c r="Y39" s="630">
        <f t="shared" si="223"/>
        <v>-2.0285061179744521</v>
      </c>
      <c r="Z39" s="632">
        <f t="shared" si="6"/>
        <v>-0.87976283435082459</v>
      </c>
      <c r="AA39" s="629">
        <f t="shared" si="7"/>
        <v>-0.47532946212342442</v>
      </c>
      <c r="AB39" s="629">
        <f t="shared" si="8"/>
        <v>-8.9026811949817486E-3</v>
      </c>
      <c r="AC39" s="636">
        <f t="shared" si="84"/>
        <v>1</v>
      </c>
      <c r="AD39" s="637">
        <f t="shared" si="115"/>
        <v>-0.87976283435082459</v>
      </c>
      <c r="AE39" s="629">
        <f t="shared" si="85"/>
        <v>-0.47532946212342442</v>
      </c>
      <c r="AF39" s="633">
        <f t="shared" si="86"/>
        <v>-8.9026811949817486E-3</v>
      </c>
      <c r="AG39" s="602">
        <f t="shared" si="87"/>
        <v>-88.92700438965079</v>
      </c>
      <c r="AH39" s="603">
        <f t="shared" si="88"/>
        <v>151.61376749912333</v>
      </c>
      <c r="AI39" s="585">
        <f t="shared" si="89"/>
        <v>-89.489907202892667</v>
      </c>
      <c r="AJ39" s="586">
        <f t="shared" si="90"/>
        <v>-61.617969772357029</v>
      </c>
      <c r="AK39" s="635">
        <f t="shared" si="211"/>
        <v>0.87510967243684801</v>
      </c>
      <c r="AL39" s="629">
        <f t="shared" si="91"/>
        <v>-0.4838427466388362</v>
      </c>
      <c r="AM39" s="634">
        <f t="shared" si="92"/>
        <v>-8.9026811949817486E-3</v>
      </c>
      <c r="AN39" s="581">
        <f t="shared" si="93"/>
        <v>-88.945879607636442</v>
      </c>
      <c r="AO39" s="582">
        <f t="shared" si="94"/>
        <v>28.942042018559494</v>
      </c>
      <c r="AP39" s="585">
        <f t="shared" si="95"/>
        <v>-28.937935507593362</v>
      </c>
      <c r="AQ39" s="586">
        <f t="shared" si="9"/>
        <v>0.5487578953474529</v>
      </c>
      <c r="AS39" s="52">
        <f t="shared" si="116"/>
        <v>-122.65003426909513</v>
      </c>
      <c r="AT39" s="72">
        <f t="shared" si="10"/>
        <v>-1.9433116497350329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3.1379999999999999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3.5223395705741836</v>
      </c>
      <c r="C40" s="708">
        <v>-2.264778904696918</v>
      </c>
      <c r="D40" s="709">
        <v>-2.711308177305463</v>
      </c>
      <c r="E40" s="710">
        <v>0.92547459634354223</v>
      </c>
      <c r="F40" s="708">
        <v>0.37880967717673314</v>
      </c>
      <c r="G40" s="711">
        <v>1.3008419238161576E-7</v>
      </c>
      <c r="H40" s="710">
        <v>0.26600000000000001</v>
      </c>
      <c r="I40" s="708">
        <v>0.52</v>
      </c>
      <c r="J40" s="570">
        <v>3.1440000000000001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3.1440000000000001</v>
      </c>
      <c r="N40" s="632">
        <f t="shared" si="2"/>
        <v>3.5223395705741836</v>
      </c>
      <c r="O40" s="629">
        <f t="shared" si="3"/>
        <v>-2.264778904696918</v>
      </c>
      <c r="P40" s="633">
        <f t="shared" si="4"/>
        <v>-2.711308177305463</v>
      </c>
      <c r="Q40" s="585">
        <f t="shared" si="113"/>
        <v>327.25996574389927</v>
      </c>
      <c r="R40" s="629">
        <f t="shared" si="79"/>
        <v>4.1876126298396912</v>
      </c>
      <c r="S40" s="634">
        <f t="shared" si="80"/>
        <v>-2.711308177305463</v>
      </c>
      <c r="T40" s="635">
        <f t="shared" si="81"/>
        <v>-2.2629343019101764</v>
      </c>
      <c r="U40" s="629">
        <f t="shared" si="82"/>
        <v>-3.5235249229757404</v>
      </c>
      <c r="V40" s="636">
        <f t="shared" si="114"/>
        <v>-2.711308177305463</v>
      </c>
      <c r="W40" s="585">
        <f t="shared" si="224"/>
        <v>237.2899657395678</v>
      </c>
      <c r="X40" s="629">
        <f t="shared" si="83"/>
        <v>4.1876126298396912</v>
      </c>
      <c r="Y40" s="630">
        <f t="shared" si="223"/>
        <v>-2.711308177305463</v>
      </c>
      <c r="Z40" s="632">
        <f t="shared" si="6"/>
        <v>-0.92547459634354223</v>
      </c>
      <c r="AA40" s="629">
        <f t="shared" si="7"/>
        <v>-0.37880967717673314</v>
      </c>
      <c r="AB40" s="629">
        <f t="shared" si="8"/>
        <v>-1.3008419238161576E-7</v>
      </c>
      <c r="AC40" s="636">
        <f t="shared" si="84"/>
        <v>1</v>
      </c>
      <c r="AD40" s="637">
        <f t="shared" si="115"/>
        <v>-0.92547459634354223</v>
      </c>
      <c r="AE40" s="629">
        <f t="shared" si="85"/>
        <v>-0.37880967717673314</v>
      </c>
      <c r="AF40" s="633">
        <f t="shared" si="86"/>
        <v>-1.3008419238161576E-7</v>
      </c>
      <c r="AG40" s="602">
        <f t="shared" si="87"/>
        <v>-89.999980324485747</v>
      </c>
      <c r="AH40" s="603">
        <f t="shared" si="88"/>
        <v>157.74002920272483</v>
      </c>
      <c r="AI40" s="585">
        <f t="shared" si="89"/>
        <v>-89.999992546724798</v>
      </c>
      <c r="AJ40" s="586">
        <f t="shared" si="90"/>
        <v>-67.740029202725992</v>
      </c>
      <c r="AK40" s="635">
        <f t="shared" si="211"/>
        <v>0.81915209487729213</v>
      </c>
      <c r="AL40" s="629">
        <f t="shared" si="91"/>
        <v>-0.57357636410344426</v>
      </c>
      <c r="AM40" s="634">
        <f t="shared" si="92"/>
        <v>-1.3008419238161576E-7</v>
      </c>
      <c r="AN40" s="581">
        <f t="shared" si="93"/>
        <v>-89.999987005609597</v>
      </c>
      <c r="AO40" s="582">
        <f t="shared" si="94"/>
        <v>34.999994946625939</v>
      </c>
      <c r="AP40" s="585">
        <f t="shared" si="95"/>
        <v>-34.999994946625243</v>
      </c>
      <c r="AQ40" s="586">
        <f t="shared" si="9"/>
        <v>0.54438130583656075</v>
      </c>
      <c r="AS40" s="52">
        <f t="shared" si="116"/>
        <v>-122.7100342604322</v>
      </c>
      <c r="AT40" s="72">
        <f t="shared" si="10"/>
        <v>-2.6260720424053932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3.1440000000000001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9.8215283152478045E-2</v>
      </c>
      <c r="C41" s="708">
        <v>-1.1226118510666447</v>
      </c>
      <c r="D41" s="709">
        <v>-0.23429999999999998</v>
      </c>
      <c r="E41" s="710">
        <v>-7.5958559915795905E-3</v>
      </c>
      <c r="F41" s="708">
        <v>8.6824099637050928E-2</v>
      </c>
      <c r="G41" s="711">
        <v>0.99619469918985748</v>
      </c>
      <c r="H41" s="710">
        <v>0.26250000000000001</v>
      </c>
      <c r="I41" s="708">
        <v>0.40699999999999997</v>
      </c>
      <c r="J41" s="570">
        <v>3.2050000000000001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Inactive</v>
      </c>
      <c r="L41" s="320"/>
      <c r="M41" s="168">
        <f t="shared" ref="M41:M72" si="239">IF(J41="","",VALUE(J41))</f>
        <v>3.2050000000000001</v>
      </c>
      <c r="N41" s="632">
        <f t="shared" ref="N41:N72" si="240">IF(M41="","",B41)</f>
        <v>9.8215283152478045E-2</v>
      </c>
      <c r="O41" s="629">
        <f t="shared" ref="O41:O72" si="241">IF(M41="","",C41)</f>
        <v>-1.1226118510666447</v>
      </c>
      <c r="P41" s="633">
        <f t="shared" ref="P41:P72" si="242">IF(M41="","",D41)</f>
        <v>-0.23429999999999998</v>
      </c>
      <c r="Q41" s="585">
        <f t="shared" si="113"/>
        <v>274.99997328930863</v>
      </c>
      <c r="R41" s="629">
        <f t="shared" si="79"/>
        <v>1.1269</v>
      </c>
      <c r="S41" s="634">
        <f t="shared" si="80"/>
        <v>-0.23429999999999998</v>
      </c>
      <c r="T41" s="635">
        <f t="shared" si="81"/>
        <v>-1.1225602717892573</v>
      </c>
      <c r="U41" s="629">
        <f t="shared" si="82"/>
        <v>-9.8803067768308106E-2</v>
      </c>
      <c r="V41" s="636">
        <f t="shared" si="114"/>
        <v>-0.23429999999999998</v>
      </c>
      <c r="W41" s="585">
        <f t="shared" si="224"/>
        <v>185.02997328497716</v>
      </c>
      <c r="X41" s="629">
        <f t="shared" si="83"/>
        <v>1.1269</v>
      </c>
      <c r="Y41" s="630">
        <f t="shared" si="223"/>
        <v>-0.23429999999999998</v>
      </c>
      <c r="Z41" s="632">
        <f t="shared" ref="Z41:Z72" si="243">IF(M41="","",-E41)</f>
        <v>7.5958559915795905E-3</v>
      </c>
      <c r="AA41" s="629">
        <f t="shared" ref="AA41:AA72" si="244">IF(M41="","",-F41)</f>
        <v>-8.6824099637050928E-2</v>
      </c>
      <c r="AB41" s="629">
        <f t="shared" ref="AB41:AB72" si="245">IF(M41="","",-G41)</f>
        <v>-0.99619469918985748</v>
      </c>
      <c r="AC41" s="636">
        <f t="shared" si="84"/>
        <v>1</v>
      </c>
      <c r="AD41" s="637">
        <f t="shared" si="115"/>
        <v>7.5958559915795905E-3</v>
      </c>
      <c r="AE41" s="629">
        <f t="shared" si="85"/>
        <v>-8.6824099637050928E-2</v>
      </c>
      <c r="AF41" s="633">
        <f t="shared" si="86"/>
        <v>-0.99619469918985748</v>
      </c>
      <c r="AG41" s="602">
        <f t="shared" si="87"/>
        <v>-4.9810700049171288</v>
      </c>
      <c r="AH41" s="603">
        <f t="shared" si="88"/>
        <v>89.564785324726017</v>
      </c>
      <c r="AI41" s="585">
        <f t="shared" si="89"/>
        <v>-4.9999992781062668</v>
      </c>
      <c r="AJ41" s="586">
        <f t="shared" si="90"/>
        <v>4.9998241953779523</v>
      </c>
      <c r="AK41" s="635">
        <f t="shared" si="211"/>
        <v>2.2679489670215242E-7</v>
      </c>
      <c r="AL41" s="629">
        <f t="shared" si="91"/>
        <v>8.7155730195885156E-2</v>
      </c>
      <c r="AM41" s="634">
        <f t="shared" si="92"/>
        <v>-0.99619469918985748</v>
      </c>
      <c r="AN41" s="581">
        <f t="shared" si="93"/>
        <v>4.9999992780894216</v>
      </c>
      <c r="AO41" s="582">
        <f t="shared" si="94"/>
        <v>0</v>
      </c>
      <c r="AP41" s="585">
        <f t="shared" si="95"/>
        <v>89.999850906069327</v>
      </c>
      <c r="AQ41" s="586">
        <f t="shared" ref="AQ41:AQ72" si="246">IF(M41="","",DEGREES(ATAN(($AS$5*SIN(RADIANS(90)))/(($X41*2*PI())-($AS$5*COS(RADIANS(90)))))))</f>
        <v>2.0221669967799918</v>
      </c>
      <c r="AS41" s="52">
        <f t="shared" si="116"/>
        <v>-174.97002671502284</v>
      </c>
      <c r="AT41" s="72">
        <f t="shared" ref="AT41:AT72" si="247">IF(M41="","",Y41+(((AS41-$AS$9)*$AS$6)*-1))</f>
        <v>-0.11277220367313097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3.2050000000000001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5.1050000000000004</v>
      </c>
      <c r="II41" s="734" cm="1">
        <f t="array" ref="II41">IFERROR(ROUND(VALUE(IF($IH41&lt;1,$IH41+LARGE((IF($M$9:$M$150="",0,$M$9:$M$150)-MOD(IF($M$9:$M$150="",0,$M$9:$M$150),1)),1),$IH41)),4),"")</f>
        <v>5.1050000000000004</v>
      </c>
      <c r="IJ41" s="533">
        <f t="shared" si="112"/>
        <v>1313</v>
      </c>
      <c r="IK41" s="533" t="str">
        <f t="shared" ref="IK41:IK72" si="382">IF(ISNUMBER($II41),INDEX($K$9:$K$150,MATCH($IG41,$M$9:$M$150,0)),"")</f>
        <v>Inactive</v>
      </c>
      <c r="IL41" s="727">
        <f t="shared" si="225"/>
        <v>295.00000938483754</v>
      </c>
      <c r="IM41" s="759">
        <v>3.6719536362907097E-2</v>
      </c>
      <c r="IN41" s="5">
        <f t="shared" si="226"/>
        <v>0.08</v>
      </c>
      <c r="IO41" s="771">
        <v>40</v>
      </c>
      <c r="IP41" s="9">
        <f t="shared" si="227"/>
        <v>-1.1262033966294445</v>
      </c>
      <c r="IQ41" s="5">
        <f t="shared" si="228"/>
        <v>-0.16540049884790453</v>
      </c>
      <c r="IR41" s="5">
        <f t="shared" ref="IR41:IR72" si="383">IF(ISNUMBER($II41),INDEX($H$9:$H$150,MATCH($II41,$M$9:$M$150,0)),"")</f>
        <v>0.26600000000000001</v>
      </c>
      <c r="IS41" s="5">
        <f t="shared" si="229"/>
        <v>0.25693627239520722</v>
      </c>
      <c r="IT41" s="727">
        <f t="shared" si="230"/>
        <v>-4.9999992780894313</v>
      </c>
      <c r="IU41" s="9">
        <f t="shared" si="231"/>
        <v>-1.1269</v>
      </c>
      <c r="IV41" s="5">
        <f t="shared" si="232"/>
        <v>-0.23429999999999998</v>
      </c>
      <c r="IW41" s="5">
        <f t="shared" ref="IW41:IW72" si="384">IF(ISNUMBER($II41),$H41,"")</f>
        <v>0.26250000000000001</v>
      </c>
      <c r="IX41" s="5">
        <f t="shared" si="233"/>
        <v>0.26250000000000001</v>
      </c>
      <c r="IY41" s="762">
        <f t="shared" si="234"/>
        <v>-4.9999992780894216</v>
      </c>
    </row>
    <row r="42" spans="1:267" ht="15" customHeight="1" x14ac:dyDescent="0.25">
      <c r="A42" s="79"/>
      <c r="B42" s="707">
        <v>0.82656629406440529</v>
      </c>
      <c r="C42" s="708">
        <v>-1.5428344861055687</v>
      </c>
      <c r="D42" s="709">
        <v>-0.17499999999999999</v>
      </c>
      <c r="E42" s="710">
        <v>-4.1158452269612143E-2</v>
      </c>
      <c r="F42" s="708">
        <v>7.6825146357162435E-2</v>
      </c>
      <c r="G42" s="711">
        <v>0.99619469918985748</v>
      </c>
      <c r="H42" s="710">
        <v>0.26250000000000001</v>
      </c>
      <c r="I42" s="708">
        <v>0.40699999999999997</v>
      </c>
      <c r="J42" s="570">
        <v>3.2080000000000002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Inactive</v>
      </c>
      <c r="L42" s="320"/>
      <c r="M42" s="168">
        <f t="shared" si="239"/>
        <v>3.2080000000000002</v>
      </c>
      <c r="N42" s="632">
        <f t="shared" si="240"/>
        <v>0.82656629406440529</v>
      </c>
      <c r="O42" s="629">
        <f t="shared" si="241"/>
        <v>-1.5428344861055687</v>
      </c>
      <c r="P42" s="633">
        <f t="shared" si="242"/>
        <v>-0.17499999999999999</v>
      </c>
      <c r="Q42" s="585">
        <f t="shared" si="113"/>
        <v>298.17996994253116</v>
      </c>
      <c r="R42" s="629">
        <f t="shared" ref="R42:R47" si="385">IF(M42="","",SQRT(N42^2+O42^2))</f>
        <v>1.7502999999999997</v>
      </c>
      <c r="S42" s="634">
        <f t="shared" ref="S42:S47" si="386">IF(M42="","",P42)</f>
        <v>-0.17499999999999999</v>
      </c>
      <c r="T42" s="635">
        <f t="shared" ref="T42:T47" si="387">IF(M42="","",X42*COS(RADIANS(W42)))</f>
        <v>-1.5424014855999573</v>
      </c>
      <c r="U42" s="629">
        <f t="shared" ref="U42:U47" si="388">IF(M42="","",X42*SIN(RADIANS(W42)))</f>
        <v>-0.82737400685484674</v>
      </c>
      <c r="V42" s="636">
        <f t="shared" ref="V42:V47" si="389">IF(M42="","",Y42)</f>
        <v>-0.17499999999999999</v>
      </c>
      <c r="W42" s="585">
        <f t="shared" si="224"/>
        <v>208.20996993819969</v>
      </c>
      <c r="X42" s="629">
        <f t="shared" ref="X42:X47" si="390">IF(M42="","",R42)</f>
        <v>1.7502999999999997</v>
      </c>
      <c r="Y42" s="630">
        <f t="shared" si="223"/>
        <v>-0.17499999999999999</v>
      </c>
      <c r="Z42" s="632">
        <f t="shared" si="243"/>
        <v>4.1158452269612143E-2</v>
      </c>
      <c r="AA42" s="629">
        <f t="shared" si="244"/>
        <v>-7.6825146357162435E-2</v>
      </c>
      <c r="AB42" s="629">
        <f t="shared" si="245"/>
        <v>-0.99619469918985748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4.1158452269612143E-2</v>
      </c>
      <c r="AE42" s="629">
        <f t="shared" ref="AE42:AE47" si="393">IF(M42="","",AA42*(1/SQRT(Z42^2+AA42^2+AB42^2)))</f>
        <v>-7.6825146357162435E-2</v>
      </c>
      <c r="AF42" s="633">
        <f t="shared" ref="AF42:AF47" si="394">IF(M42="","",AB42*(1/SQRT(Z42^2+AA42^2+AB42^2)))</f>
        <v>-0.99619469918985748</v>
      </c>
      <c r="AG42" s="602">
        <f t="shared" ref="AG42:AG47" si="395">IF(M42="","",DEGREES(ATAN2(-AF42,AE42)))</f>
        <v>-4.4098422707508371</v>
      </c>
      <c r="AH42" s="603">
        <f t="shared" ref="AH42:AH47" si="396">IF(M42="","",DEGREES(ACOS(AD42)))</f>
        <v>87.641128078397841</v>
      </c>
      <c r="AI42" s="585">
        <f t="shared" ref="AI42:AI47" si="397">IF(M42="","",DEGREES(-ACOS(-AF42)))</f>
        <v>-4.9999992781062668</v>
      </c>
      <c r="AJ42" s="586">
        <f t="shared" ref="AJ42:AJ47" si="398">IF(M42="","",DEGREES(ATAN2(-AE42,AD42)))</f>
        <v>28.179820848600517</v>
      </c>
      <c r="AK42" s="635">
        <f t="shared" ref="AK42:AK47" si="399">IF(M42="","",(COS(RADIANS((90-$Q$8)-W42))*AD42)+(-SIN(RADIANS((90-$Q$8)-W42))*AE42))</f>
        <v>2.2679489661975305E-7</v>
      </c>
      <c r="AL42" s="629">
        <f t="shared" ref="AL42:AL47" si="400">IF(M42="","",(SIN(RADIANS((90-$Q$8)-W42))*AD42)+(COS(RADIANS((90-$Q$8)-W42))*AE42))</f>
        <v>8.7155730195885198E-2</v>
      </c>
      <c r="AM42" s="634">
        <f t="shared" ref="AM42:AM47" si="401">IF(M42="","",AF42)</f>
        <v>-0.99619469918985748</v>
      </c>
      <c r="AN42" s="581">
        <f t="shared" ref="AN42:AN47" si="402">IF(M42="","",DEGREES(ATAN2(-AM42,AL42)))</f>
        <v>4.9999992780894242</v>
      </c>
      <c r="AO42" s="582">
        <f t="shared" si="94"/>
        <v>0</v>
      </c>
      <c r="AP42" s="585">
        <f t="shared" ref="AP42:AP47" si="403">IF(M42="","",DEGREES(ATAN2(AK42,AL42)))</f>
        <v>89.999850906069369</v>
      </c>
      <c r="AQ42" s="586">
        <f t="shared" si="246"/>
        <v>1.3022533607747047</v>
      </c>
      <c r="AS42" s="52">
        <f t="shared" si="116"/>
        <v>-151.79003006180031</v>
      </c>
      <c r="AT42" s="72">
        <f t="shared" si="247"/>
        <v>-6.9569423571202174E-2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3.2080000000000002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5.1079999999999997</v>
      </c>
      <c r="II42" s="734" cm="1">
        <f t="array" ref="II42">IFERROR(ROUND(VALUE(IF($IH42&lt;1,$IH42+LARGE((IF($M$9:$M$150="",0,$M$9:$M$150)-MOD(IF($M$9:$M$150="",0,$M$9:$M$150),1)),1),$IH42)),4),"")</f>
        <v>5.1079999999999997</v>
      </c>
      <c r="IJ42" s="533">
        <f t="shared" si="112"/>
        <v>1313</v>
      </c>
      <c r="IK42" s="533" t="str">
        <f t="shared" si="382"/>
        <v>Inactive</v>
      </c>
      <c r="IL42" s="727">
        <f t="shared" si="225"/>
        <v>271.82001273161495</v>
      </c>
      <c r="IM42" s="759">
        <v>3.3891333641814E-2</v>
      </c>
      <c r="IN42" s="5">
        <f t="shared" si="226"/>
        <v>0.08</v>
      </c>
      <c r="IO42" s="771">
        <v>40</v>
      </c>
      <c r="IP42" s="9">
        <f t="shared" si="227"/>
        <v>-1.7496052768095149</v>
      </c>
      <c r="IQ42" s="5">
        <f t="shared" si="228"/>
        <v>-0.11090033447540877</v>
      </c>
      <c r="IR42" s="5">
        <f t="shared" si="383"/>
        <v>0.26600000000000001</v>
      </c>
      <c r="IS42" s="5">
        <f t="shared" si="229"/>
        <v>0.25693627239520717</v>
      </c>
      <c r="IT42" s="727">
        <f t="shared" si="230"/>
        <v>-4.9999992780894686</v>
      </c>
      <c r="IU42" s="9">
        <f t="shared" si="231"/>
        <v>-1.7502999999999997</v>
      </c>
      <c r="IV42" s="5">
        <f t="shared" si="232"/>
        <v>-0.17499999999999999</v>
      </c>
      <c r="IW42" s="5">
        <f t="shared" si="384"/>
        <v>0.26250000000000001</v>
      </c>
      <c r="IX42" s="5">
        <f t="shared" si="233"/>
        <v>0.26250000000000001</v>
      </c>
      <c r="IY42" s="762">
        <f t="shared" si="234"/>
        <v>-4.9999992780894242</v>
      </c>
    </row>
    <row r="43" spans="1:267" ht="15" customHeight="1" x14ac:dyDescent="0.25">
      <c r="A43" s="79"/>
      <c r="B43" s="707">
        <v>2.9036412578600319</v>
      </c>
      <c r="C43" s="708">
        <v>-2.9702850178204372</v>
      </c>
      <c r="D43" s="709">
        <v>-1.597912719564381</v>
      </c>
      <c r="E43" s="710">
        <v>0.98022511792156186</v>
      </c>
      <c r="F43" s="708">
        <v>0.17279881483452847</v>
      </c>
      <c r="G43" s="711">
        <v>9.643281488913702E-2</v>
      </c>
      <c r="H43" s="710">
        <v>0.26600000000000001</v>
      </c>
      <c r="I43" s="708">
        <v>0.52</v>
      </c>
      <c r="J43" s="570">
        <v>3.234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3.234</v>
      </c>
      <c r="N43" s="632">
        <f t="shared" si="240"/>
        <v>2.9036412578600319</v>
      </c>
      <c r="O43" s="629">
        <f t="shared" si="241"/>
        <v>-2.9702850178204372</v>
      </c>
      <c r="P43" s="633">
        <f t="shared" si="242"/>
        <v>-1.597912719564381</v>
      </c>
      <c r="Q43" s="585">
        <f t="shared" si="113"/>
        <v>314.34996760787237</v>
      </c>
      <c r="R43" s="629">
        <f t="shared" si="385"/>
        <v>4.1537604217667088</v>
      </c>
      <c r="S43" s="634">
        <f t="shared" si="386"/>
        <v>-1.597912719564381</v>
      </c>
      <c r="T43" s="635">
        <f t="shared" si="387"/>
        <v>-2.9687642679419</v>
      </c>
      <c r="U43" s="629">
        <f t="shared" si="388"/>
        <v>-2.9051960971381847</v>
      </c>
      <c r="V43" s="636">
        <f t="shared" si="389"/>
        <v>-1.597912719564381</v>
      </c>
      <c r="W43" s="585">
        <f t="shared" si="224"/>
        <v>224.3799676035409</v>
      </c>
      <c r="X43" s="629">
        <f t="shared" si="390"/>
        <v>4.1537604217667088</v>
      </c>
      <c r="Y43" s="630">
        <f t="shared" si="223"/>
        <v>-1.597912719564381</v>
      </c>
      <c r="Z43" s="632">
        <f t="shared" si="243"/>
        <v>-0.98022511792156186</v>
      </c>
      <c r="AA43" s="629">
        <f t="shared" si="244"/>
        <v>-0.17279881483452847</v>
      </c>
      <c r="AB43" s="629">
        <f t="shared" si="245"/>
        <v>-9.643281488913702E-2</v>
      </c>
      <c r="AC43" s="636">
        <f t="shared" si="391"/>
        <v>1</v>
      </c>
      <c r="AD43" s="637">
        <f t="shared" si="392"/>
        <v>-0.98022511792156186</v>
      </c>
      <c r="AE43" s="629">
        <f t="shared" si="393"/>
        <v>-0.17279881483452847</v>
      </c>
      <c r="AF43" s="633">
        <f t="shared" si="394"/>
        <v>-9.643281488913702E-2</v>
      </c>
      <c r="AG43" s="602">
        <f t="shared" si="395"/>
        <v>-60.835682265112041</v>
      </c>
      <c r="AH43" s="603">
        <f t="shared" si="396"/>
        <v>168.58665705222066</v>
      </c>
      <c r="AI43" s="585">
        <f t="shared" si="397"/>
        <v>-84.466207271843757</v>
      </c>
      <c r="AJ43" s="586">
        <f t="shared" si="398"/>
        <v>-80.00234244669403</v>
      </c>
      <c r="AK43" s="635">
        <f t="shared" si="399"/>
        <v>0.82173582569424464</v>
      </c>
      <c r="AL43" s="629">
        <f t="shared" si="400"/>
        <v>-0.56165019806206384</v>
      </c>
      <c r="AM43" s="634">
        <f t="shared" si="401"/>
        <v>-9.643281488913702E-2</v>
      </c>
      <c r="AN43" s="581">
        <f t="shared" si="402"/>
        <v>-80.25756452249199</v>
      </c>
      <c r="AO43" s="582">
        <f t="shared" si="94"/>
        <v>34.7410640446559</v>
      </c>
      <c r="AP43" s="585">
        <f t="shared" si="403"/>
        <v>-34.352310054566395</v>
      </c>
      <c r="AQ43" s="586">
        <f t="shared" si="246"/>
        <v>0.54881762009608503</v>
      </c>
      <c r="AS43" s="52">
        <f t="shared" ref="AS43:AS74" si="406">IF(G43="","",IF(AND(W43&lt;(AS42+180),W43&gt;(AS42-180)),W43,IF(W43&gt;(AS42+180),W43-360,IF(W43&lt;(AS42-180),W43+360,"Error"))))</f>
        <v>-135.6200323964591</v>
      </c>
      <c r="AT43" s="72">
        <f t="shared" si="247"/>
        <v>-1.503711308180959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>Gage</v>
      </c>
      <c r="IG43" s="847">
        <f t="shared" si="210"/>
        <v>3.234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1.1339999999999999</v>
      </c>
      <c r="II43" s="734" cm="1">
        <f t="array" ref="II43">IFERROR(ROUND(VALUE(IF($IH43&lt;1,$IH43+LARGE((IF($M$9:$M$150="",0,$M$9:$M$150)-MOD(IF($M$9:$M$150="",0,$M$9:$M$150),1)),1),$IH43)),4),"")</f>
        <v>1.1339999999999999</v>
      </c>
      <c r="IJ43" s="533">
        <f t="shared" si="112"/>
        <v>1313</v>
      </c>
      <c r="IK43" s="533">
        <f t="shared" si="382"/>
        <v>1313</v>
      </c>
      <c r="IL43" s="727">
        <f t="shared" si="225"/>
        <v>132.99003277618405</v>
      </c>
      <c r="IM43" s="759">
        <v>1.8976411251223199E-4</v>
      </c>
      <c r="IN43" s="5">
        <f t="shared" si="226"/>
        <v>0</v>
      </c>
      <c r="IO43" s="771">
        <v>0</v>
      </c>
      <c r="IP43" s="9">
        <f t="shared" si="227"/>
        <v>-4.1432124959288883</v>
      </c>
      <c r="IQ43" s="5">
        <f t="shared" si="228"/>
        <v>-1.5690047321182721</v>
      </c>
      <c r="IR43" s="5">
        <f t="shared" si="383"/>
        <v>0.26600000000000001</v>
      </c>
      <c r="IS43" s="5">
        <f t="shared" si="229"/>
        <v>0.24086283502566777</v>
      </c>
      <c r="IT43" s="727">
        <f t="shared" si="230"/>
        <v>85.004470363046153</v>
      </c>
      <c r="IU43" s="9">
        <f t="shared" si="231"/>
        <v>-4.1537604217667088</v>
      </c>
      <c r="IV43" s="5">
        <f t="shared" si="232"/>
        <v>-1.597912719564381</v>
      </c>
      <c r="IW43" s="5">
        <f t="shared" si="384"/>
        <v>0.26600000000000001</v>
      </c>
      <c r="IX43" s="5">
        <f t="shared" si="233"/>
        <v>0.2185817296346691</v>
      </c>
      <c r="IY43" s="762">
        <f t="shared" si="234"/>
        <v>80.25756452249199</v>
      </c>
    </row>
    <row r="44" spans="1:267" ht="15" customHeight="1" x14ac:dyDescent="0.25">
      <c r="A44" s="79"/>
      <c r="B44" s="707">
        <v>2.911620226164636</v>
      </c>
      <c r="C44" s="708">
        <v>-2.9763679766000855</v>
      </c>
      <c r="D44" s="709">
        <v>-2.2905939023150954</v>
      </c>
      <c r="E44" s="710">
        <v>0.98843297440680311</v>
      </c>
      <c r="F44" s="708">
        <v>0.15054101410451792</v>
      </c>
      <c r="G44" s="711">
        <v>1.8375477618376008E-2</v>
      </c>
      <c r="H44" s="710">
        <v>0.26600000000000001</v>
      </c>
      <c r="I44" s="708">
        <v>0.52</v>
      </c>
      <c r="J44" s="570">
        <v>3.24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3.24</v>
      </c>
      <c r="N44" s="632">
        <f t="shared" si="240"/>
        <v>2.911620226164636</v>
      </c>
      <c r="O44" s="629">
        <f t="shared" si="241"/>
        <v>-2.9763679766000855</v>
      </c>
      <c r="P44" s="633">
        <f t="shared" si="242"/>
        <v>-2.2905939023150954</v>
      </c>
      <c r="Q44" s="585">
        <f t="shared" si="113"/>
        <v>314.36996760498477</v>
      </c>
      <c r="R44" s="629">
        <f t="shared" si="385"/>
        <v>4.1636881095420071</v>
      </c>
      <c r="S44" s="634">
        <f t="shared" si="386"/>
        <v>-2.2905939023150954</v>
      </c>
      <c r="T44" s="635">
        <f t="shared" si="387"/>
        <v>-2.974843048110468</v>
      </c>
      <c r="U44" s="629">
        <f t="shared" si="388"/>
        <v>-2.9131782493782139</v>
      </c>
      <c r="V44" s="636">
        <f t="shared" si="389"/>
        <v>-2.2905939023150954</v>
      </c>
      <c r="W44" s="585">
        <f t="shared" si="224"/>
        <v>224.3999676006533</v>
      </c>
      <c r="X44" s="629">
        <f t="shared" si="390"/>
        <v>4.1636881095420071</v>
      </c>
      <c r="Y44" s="630">
        <f t="shared" si="223"/>
        <v>-2.2905939023150954</v>
      </c>
      <c r="Z44" s="632">
        <f t="shared" si="243"/>
        <v>-0.98843297440680311</v>
      </c>
      <c r="AA44" s="629">
        <f t="shared" si="244"/>
        <v>-0.15054101410451792</v>
      </c>
      <c r="AB44" s="629">
        <f t="shared" si="245"/>
        <v>-1.8375477618376008E-2</v>
      </c>
      <c r="AC44" s="636">
        <f t="shared" si="391"/>
        <v>1</v>
      </c>
      <c r="AD44" s="637">
        <f t="shared" si="392"/>
        <v>-0.98843297440680311</v>
      </c>
      <c r="AE44" s="629">
        <f t="shared" si="393"/>
        <v>-0.15054101410451792</v>
      </c>
      <c r="AF44" s="633">
        <f t="shared" si="394"/>
        <v>-1.8375477618376008E-2</v>
      </c>
      <c r="AG44" s="602">
        <f t="shared" si="395"/>
        <v>-83.040735739715217</v>
      </c>
      <c r="AH44" s="603">
        <f t="shared" si="396"/>
        <v>171.27695739428708</v>
      </c>
      <c r="AI44" s="585">
        <f t="shared" si="397"/>
        <v>-88.947103427070545</v>
      </c>
      <c r="AJ44" s="586">
        <f t="shared" si="398"/>
        <v>-81.34024621539362</v>
      </c>
      <c r="AK44" s="635">
        <f t="shared" si="399"/>
        <v>0.81184239180341677</v>
      </c>
      <c r="AL44" s="629">
        <f t="shared" si="400"/>
        <v>-0.58358741649662382</v>
      </c>
      <c r="AM44" s="634">
        <f t="shared" si="401"/>
        <v>-1.8375477618376008E-2</v>
      </c>
      <c r="AN44" s="581">
        <f t="shared" si="402"/>
        <v>-88.196517693362409</v>
      </c>
      <c r="AO44" s="582">
        <f t="shared" si="94"/>
        <v>35.723669370214523</v>
      </c>
      <c r="AP44" s="585">
        <f t="shared" si="403"/>
        <v>-35.710213820378378</v>
      </c>
      <c r="AQ44" s="586">
        <f t="shared" si="246"/>
        <v>0.54750912681754249</v>
      </c>
      <c r="AS44" s="52">
        <f t="shared" si="406"/>
        <v>-135.6000323993467</v>
      </c>
      <c r="AT44" s="72">
        <f t="shared" si="247"/>
        <v>-2.1964063798185571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>Gage</v>
      </c>
      <c r="IG44" s="847">
        <f t="shared" si="210"/>
        <v>3.24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1.1399999999999999</v>
      </c>
      <c r="II44" s="734" cm="1">
        <f t="array" ref="II44">IFERROR(ROUND(VALUE(IF($IH44&lt;1,$IH44+LARGE((IF($M$9:$M$150="",0,$M$9:$M$150)-MOD(IF($M$9:$M$150="",0,$M$9:$M$150),1)),1),$IH44)),4),"")</f>
        <v>1.1399999999999999</v>
      </c>
      <c r="IJ44" s="533">
        <f t="shared" si="112"/>
        <v>1313</v>
      </c>
      <c r="IK44" s="533">
        <f t="shared" si="382"/>
        <v>1313</v>
      </c>
      <c r="IL44" s="727">
        <f t="shared" si="225"/>
        <v>132.94003278340315</v>
      </c>
      <c r="IM44" s="759">
        <v>1.00812973588047E-3</v>
      </c>
      <c r="IN44" s="5">
        <f t="shared" si="226"/>
        <v>0</v>
      </c>
      <c r="IO44" s="771">
        <v>0</v>
      </c>
      <c r="IP44" s="9">
        <f t="shared" si="227"/>
        <v>-4.1617125517250555</v>
      </c>
      <c r="IQ44" s="5">
        <f t="shared" si="228"/>
        <v>-2.2561068044181223</v>
      </c>
      <c r="IR44" s="5">
        <f t="shared" si="383"/>
        <v>0.26600000000000001</v>
      </c>
      <c r="IS44" s="5">
        <f t="shared" si="229"/>
        <v>0.22830712548711404</v>
      </c>
      <c r="IT44" s="727">
        <f t="shared" si="230"/>
        <v>90.055557822884822</v>
      </c>
      <c r="IU44" s="9">
        <f t="shared" si="231"/>
        <v>-4.1636881095420071</v>
      </c>
      <c r="IV44" s="5">
        <f t="shared" si="232"/>
        <v>-2.2905939023150954</v>
      </c>
      <c r="IW44" s="5">
        <f t="shared" si="384"/>
        <v>0.26600000000000001</v>
      </c>
      <c r="IX44" s="5">
        <f t="shared" si="233"/>
        <v>0.21595007621970888</v>
      </c>
      <c r="IY44" s="762">
        <f t="shared" si="234"/>
        <v>88.196517693362409</v>
      </c>
    </row>
    <row r="45" spans="1:267" ht="15" customHeight="1" x14ac:dyDescent="0.25">
      <c r="A45" s="79"/>
      <c r="B45" s="707">
        <v>-9.7749012163166227E-2</v>
      </c>
      <c r="C45" s="708">
        <v>-2.4989965321986123</v>
      </c>
      <c r="D45" s="709">
        <v>-4.97001498956521E-2</v>
      </c>
      <c r="E45" s="710">
        <v>0.96304196921554552</v>
      </c>
      <c r="F45" s="708">
        <v>-7.5214137083852245E-2</v>
      </c>
      <c r="G45" s="711">
        <v>0.25863680927543103</v>
      </c>
      <c r="H45" s="710">
        <v>0.26600000000000001</v>
      </c>
      <c r="I45" s="708">
        <v>0.52</v>
      </c>
      <c r="J45" s="570">
        <v>4.1130000000000004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4.1130000000000004</v>
      </c>
      <c r="N45" s="632">
        <f t="shared" si="240"/>
        <v>-9.7749012163166227E-2</v>
      </c>
      <c r="O45" s="629">
        <f t="shared" si="241"/>
        <v>-2.4989965321986123</v>
      </c>
      <c r="P45" s="633">
        <f t="shared" si="242"/>
        <v>-4.97001498956521E-2</v>
      </c>
      <c r="Q45" s="585">
        <f t="shared" si="113"/>
        <v>267.76000003465168</v>
      </c>
      <c r="R45" s="629">
        <f t="shared" si="385"/>
        <v>2.5009075427371492</v>
      </c>
      <c r="S45" s="634">
        <f t="shared" si="386"/>
        <v>-4.97001498956521E-2</v>
      </c>
      <c r="T45" s="635">
        <f t="shared" si="387"/>
        <v>-2.4990473708950316</v>
      </c>
      <c r="U45" s="629">
        <f t="shared" si="388"/>
        <v>9.6440527488172084E-2</v>
      </c>
      <c r="V45" s="636">
        <f t="shared" si="389"/>
        <v>-4.97001498956521E-2</v>
      </c>
      <c r="W45" s="585">
        <f t="shared" si="224"/>
        <v>177.79000003032021</v>
      </c>
      <c r="X45" s="629">
        <f t="shared" si="390"/>
        <v>2.5009075427371492</v>
      </c>
      <c r="Y45" s="630">
        <f t="shared" si="223"/>
        <v>-4.97001498956521E-2</v>
      </c>
      <c r="Z45" s="632">
        <f t="shared" si="243"/>
        <v>-0.96304196921554552</v>
      </c>
      <c r="AA45" s="629">
        <f t="shared" si="244"/>
        <v>7.5214137083852245E-2</v>
      </c>
      <c r="AB45" s="629">
        <f t="shared" si="245"/>
        <v>-0.25863680927543103</v>
      </c>
      <c r="AC45" s="636">
        <f t="shared" si="391"/>
        <v>1</v>
      </c>
      <c r="AD45" s="637">
        <f t="shared" si="392"/>
        <v>-0.96304196921554552</v>
      </c>
      <c r="AE45" s="629">
        <f t="shared" si="393"/>
        <v>7.5214137083852245E-2</v>
      </c>
      <c r="AF45" s="633">
        <f t="shared" si="394"/>
        <v>-0.25863680927543103</v>
      </c>
      <c r="AG45" s="602">
        <f t="shared" si="395"/>
        <v>16.214952225253558</v>
      </c>
      <c r="AH45" s="603">
        <f t="shared" si="396"/>
        <v>164.37432620448567</v>
      </c>
      <c r="AI45" s="585">
        <f t="shared" si="397"/>
        <v>-75.010809401344844</v>
      </c>
      <c r="AJ45" s="586">
        <f t="shared" si="398"/>
        <v>-94.465768426622617</v>
      </c>
      <c r="AK45" s="635">
        <f t="shared" si="399"/>
        <v>0.96524585886529846</v>
      </c>
      <c r="AL45" s="629">
        <f t="shared" si="400"/>
        <v>-3.7515767767920497E-2</v>
      </c>
      <c r="AM45" s="634">
        <f t="shared" si="401"/>
        <v>-0.25863680927543103</v>
      </c>
      <c r="AN45" s="581">
        <f t="shared" si="402"/>
        <v>-8.2533011810169477</v>
      </c>
      <c r="AO45" s="582">
        <f t="shared" si="94"/>
        <v>15.149796407940647</v>
      </c>
      <c r="AP45" s="585">
        <f t="shared" si="403"/>
        <v>-2.2257684612743174</v>
      </c>
      <c r="AQ45" s="586">
        <f t="shared" si="246"/>
        <v>0.9114828416141616</v>
      </c>
      <c r="AS45" s="52">
        <f t="shared" si="406"/>
        <v>-182.20999996967979</v>
      </c>
      <c r="AT45" s="72">
        <f t="shared" si="247"/>
        <v>7.6855405635839785E-2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4.1130000000000004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-0.16840716698290009</v>
      </c>
      <c r="C46" s="708">
        <v>-3.1710408546512103</v>
      </c>
      <c r="D46" s="709">
        <v>-0.18690056369210012</v>
      </c>
      <c r="E46" s="710">
        <v>0.94285290309780312</v>
      </c>
      <c r="F46" s="708">
        <v>-0.22108886962386964</v>
      </c>
      <c r="G46" s="711">
        <v>0.24929523631326062</v>
      </c>
      <c r="H46" s="710">
        <v>0.26600000000000001</v>
      </c>
      <c r="I46" s="708">
        <v>0.52</v>
      </c>
      <c r="J46" s="570">
        <v>4.1189999999999998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4.1189999999999998</v>
      </c>
      <c r="N46" s="632">
        <f t="shared" si="240"/>
        <v>-0.16840716698290009</v>
      </c>
      <c r="O46" s="629">
        <f t="shared" si="241"/>
        <v>-3.1710408546512103</v>
      </c>
      <c r="P46" s="633">
        <f t="shared" si="242"/>
        <v>-0.18690056369210012</v>
      </c>
      <c r="Q46" s="585">
        <f t="shared" si="113"/>
        <v>266.96000015015738</v>
      </c>
      <c r="R46" s="629">
        <f t="shared" si="385"/>
        <v>3.1755095773368858</v>
      </c>
      <c r="S46" s="634">
        <f t="shared" si="386"/>
        <v>-0.18690056369210012</v>
      </c>
      <c r="T46" s="635">
        <f t="shared" si="387"/>
        <v>-3.1711285977415922</v>
      </c>
      <c r="U46" s="629">
        <f t="shared" si="388"/>
        <v>0.166746791104741</v>
      </c>
      <c r="V46" s="636">
        <f t="shared" si="389"/>
        <v>-0.18690056369210012</v>
      </c>
      <c r="W46" s="585">
        <f t="shared" si="224"/>
        <v>176.99000014582592</v>
      </c>
      <c r="X46" s="629">
        <f t="shared" si="390"/>
        <v>3.1755095773368858</v>
      </c>
      <c r="Y46" s="630">
        <f t="shared" si="223"/>
        <v>-0.18690056369210012</v>
      </c>
      <c r="Z46" s="632">
        <f t="shared" si="243"/>
        <v>-0.94285290309780312</v>
      </c>
      <c r="AA46" s="629">
        <f t="shared" si="244"/>
        <v>0.22108886962386964</v>
      </c>
      <c r="AB46" s="629">
        <f t="shared" si="245"/>
        <v>-0.24929523631326062</v>
      </c>
      <c r="AC46" s="636">
        <f t="shared" si="391"/>
        <v>1</v>
      </c>
      <c r="AD46" s="637">
        <f t="shared" si="392"/>
        <v>-0.94285290309780312</v>
      </c>
      <c r="AE46" s="629">
        <f t="shared" si="393"/>
        <v>0.22108886962386964</v>
      </c>
      <c r="AF46" s="633">
        <f t="shared" si="394"/>
        <v>-0.24929523631326062</v>
      </c>
      <c r="AG46" s="602">
        <f t="shared" si="395"/>
        <v>41.568394043630811</v>
      </c>
      <c r="AH46" s="603">
        <f t="shared" si="396"/>
        <v>160.53632000822512</v>
      </c>
      <c r="AI46" s="585">
        <f t="shared" si="397"/>
        <v>-75.564188168577971</v>
      </c>
      <c r="AJ46" s="586">
        <f t="shared" si="398"/>
        <v>-103.19681570879227</v>
      </c>
      <c r="AK46" s="635">
        <f t="shared" si="399"/>
        <v>0.95325110887338493</v>
      </c>
      <c r="AL46" s="629">
        <f t="shared" si="400"/>
        <v>-0.17077531608279234</v>
      </c>
      <c r="AM46" s="634">
        <f t="shared" si="401"/>
        <v>-0.24929523631326062</v>
      </c>
      <c r="AN46" s="581">
        <f t="shared" si="402"/>
        <v>-34.412407196249056</v>
      </c>
      <c r="AO46" s="582">
        <f t="shared" si="94"/>
        <v>17.588543467046748</v>
      </c>
      <c r="AP46" s="585">
        <f t="shared" si="403"/>
        <v>-10.156815858949646</v>
      </c>
      <c r="AQ46" s="586">
        <f t="shared" si="246"/>
        <v>0.71787134747610504</v>
      </c>
      <c r="AS46" s="52">
        <f t="shared" si="406"/>
        <v>-183.00999985417408</v>
      </c>
      <c r="AT46" s="72">
        <f t="shared" si="247"/>
        <v>-5.9789452685264977E-2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4.1189999999999998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-0.25720959746163297</v>
      </c>
      <c r="C47" s="708">
        <v>-3.7344641697998369</v>
      </c>
      <c r="D47" s="709">
        <v>-0.60300181865348512</v>
      </c>
      <c r="E47" s="710">
        <v>0.91764287063890326</v>
      </c>
      <c r="F47" s="708">
        <v>-0.35149683664122583</v>
      </c>
      <c r="G47" s="711">
        <v>0.18542258707289291</v>
      </c>
      <c r="H47" s="710">
        <v>0.26600000000000001</v>
      </c>
      <c r="I47" s="708">
        <v>0.52</v>
      </c>
      <c r="J47" s="570">
        <v>4.125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4.125</v>
      </c>
      <c r="N47" s="632">
        <f t="shared" si="240"/>
        <v>-0.25720959746163297</v>
      </c>
      <c r="O47" s="629">
        <f t="shared" si="241"/>
        <v>-3.7344641697998369</v>
      </c>
      <c r="P47" s="633">
        <f t="shared" si="242"/>
        <v>-0.60300181865348512</v>
      </c>
      <c r="Q47" s="585">
        <f t="shared" si="113"/>
        <v>266.06000028010129</v>
      </c>
      <c r="R47" s="629">
        <f t="shared" si="385"/>
        <v>3.7433112898268508</v>
      </c>
      <c r="S47" s="634">
        <f t="shared" si="386"/>
        <v>-0.60300181865348512</v>
      </c>
      <c r="T47" s="635">
        <f t="shared" si="387"/>
        <v>-3.7345983324924235</v>
      </c>
      <c r="U47" s="629">
        <f t="shared" si="388"/>
        <v>0.25525420170875052</v>
      </c>
      <c r="V47" s="636">
        <f t="shared" si="389"/>
        <v>-0.60300181865348512</v>
      </c>
      <c r="W47" s="585">
        <f t="shared" si="224"/>
        <v>176.09000027576982</v>
      </c>
      <c r="X47" s="629">
        <f t="shared" si="390"/>
        <v>3.7433112898268508</v>
      </c>
      <c r="Y47" s="630">
        <f t="shared" si="223"/>
        <v>-0.60300181865348512</v>
      </c>
      <c r="Z47" s="632">
        <f t="shared" si="243"/>
        <v>-0.91764287063890326</v>
      </c>
      <c r="AA47" s="629">
        <f t="shared" si="244"/>
        <v>0.35149683664122583</v>
      </c>
      <c r="AB47" s="629">
        <f t="shared" si="245"/>
        <v>-0.18542258707289291</v>
      </c>
      <c r="AC47" s="636">
        <f t="shared" si="391"/>
        <v>1</v>
      </c>
      <c r="AD47" s="637">
        <f t="shared" si="392"/>
        <v>-0.91764287063890326</v>
      </c>
      <c r="AE47" s="629">
        <f t="shared" si="393"/>
        <v>0.35149683664122583</v>
      </c>
      <c r="AF47" s="633">
        <f t="shared" si="394"/>
        <v>-0.18542258707289291</v>
      </c>
      <c r="AG47" s="602">
        <f t="shared" si="395"/>
        <v>62.187332235681808</v>
      </c>
      <c r="AH47" s="603">
        <f t="shared" si="396"/>
        <v>156.58388254813275</v>
      </c>
      <c r="AI47" s="585">
        <f t="shared" si="397"/>
        <v>-79.314228864671065</v>
      </c>
      <c r="AJ47" s="586">
        <f t="shared" si="398"/>
        <v>-110.95899700200748</v>
      </c>
      <c r="AK47" s="635">
        <f t="shared" si="399"/>
        <v>0.93962604459151822</v>
      </c>
      <c r="AL47" s="629">
        <f t="shared" si="400"/>
        <v>-0.28761321341081247</v>
      </c>
      <c r="AM47" s="634">
        <f t="shared" si="401"/>
        <v>-0.18542258707289291</v>
      </c>
      <c r="AN47" s="581">
        <f t="shared" si="402"/>
        <v>-57.190356723257537</v>
      </c>
      <c r="AO47" s="582">
        <f t="shared" si="94"/>
        <v>20.011149973380419</v>
      </c>
      <c r="AP47" s="585">
        <f t="shared" si="403"/>
        <v>-17.018997282108757</v>
      </c>
      <c r="AQ47" s="586">
        <f t="shared" si="246"/>
        <v>0.60899043798841057</v>
      </c>
      <c r="AS47" s="52">
        <f t="shared" si="406"/>
        <v>-183.90999972423018</v>
      </c>
      <c r="AT47" s="72">
        <f t="shared" si="247"/>
        <v>-0.47526570773688881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4.125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-0.32381415981012307</v>
      </c>
      <c r="C48" s="708">
        <v>-4.0690481079716729</v>
      </c>
      <c r="D48" s="709">
        <v>-1.2202036801342993</v>
      </c>
      <c r="E48" s="710">
        <v>0.8935632602340684</v>
      </c>
      <c r="F48" s="708">
        <v>-0.44113154871674515</v>
      </c>
      <c r="G48" s="711">
        <v>8.3352604558158239E-2</v>
      </c>
      <c r="H48" s="710">
        <v>0.26600000000000001</v>
      </c>
      <c r="I48" s="708">
        <v>0.52</v>
      </c>
      <c r="J48" s="570">
        <v>4.1310000000000002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4.1310000000000002</v>
      </c>
      <c r="N48" s="632">
        <f t="shared" si="240"/>
        <v>-0.32381415981012307</v>
      </c>
      <c r="O48" s="629">
        <f t="shared" si="241"/>
        <v>-4.0690481079716729</v>
      </c>
      <c r="P48" s="633">
        <f t="shared" si="242"/>
        <v>-1.2202036801342993</v>
      </c>
      <c r="Q48" s="585">
        <f t="shared" si="113"/>
        <v>265.45000036817441</v>
      </c>
      <c r="R48" s="629">
        <f t="shared" si="79"/>
        <v>4.0819123110475299</v>
      </c>
      <c r="S48" s="634">
        <f t="shared" si="80"/>
        <v>-1.2202036801342993</v>
      </c>
      <c r="T48" s="635">
        <f t="shared" si="81"/>
        <v>-4.0692170988608973</v>
      </c>
      <c r="U48" s="629">
        <f t="shared" si="82"/>
        <v>0.32168356722016805</v>
      </c>
      <c r="V48" s="636">
        <f t="shared" si="114"/>
        <v>-1.2202036801342993</v>
      </c>
      <c r="W48" s="585">
        <f t="shared" si="224"/>
        <v>175.48000036384295</v>
      </c>
      <c r="X48" s="629">
        <f t="shared" si="83"/>
        <v>4.0819123110475299</v>
      </c>
      <c r="Y48" s="630">
        <f t="shared" si="223"/>
        <v>-1.2202036801342993</v>
      </c>
      <c r="Z48" s="632">
        <f t="shared" si="243"/>
        <v>-0.8935632602340684</v>
      </c>
      <c r="AA48" s="629">
        <f t="shared" si="244"/>
        <v>0.44113154871674515</v>
      </c>
      <c r="AB48" s="629">
        <f t="shared" si="245"/>
        <v>-8.3352604558158239E-2</v>
      </c>
      <c r="AC48" s="636">
        <f t="shared" si="84"/>
        <v>1</v>
      </c>
      <c r="AD48" s="637">
        <f t="shared" si="115"/>
        <v>-0.8935632602340684</v>
      </c>
      <c r="AE48" s="629">
        <f t="shared" si="85"/>
        <v>0.44113154871674515</v>
      </c>
      <c r="AF48" s="633">
        <f t="shared" si="86"/>
        <v>-8.3352604558158239E-2</v>
      </c>
      <c r="AG48" s="602">
        <f t="shared" si="87"/>
        <v>79.300008388297272</v>
      </c>
      <c r="AH48" s="603">
        <f t="shared" si="88"/>
        <v>153.3244773129347</v>
      </c>
      <c r="AI48" s="585">
        <f t="shared" si="89"/>
        <v>-85.218700138083548</v>
      </c>
      <c r="AJ48" s="586">
        <f t="shared" si="90"/>
        <v>-116.27448964162552</v>
      </c>
      <c r="AK48" s="635">
        <f t="shared" si="211"/>
        <v>0.92574172281818168</v>
      </c>
      <c r="AL48" s="629">
        <f t="shared" si="91"/>
        <v>-0.36885580644338023</v>
      </c>
      <c r="AM48" s="634">
        <f t="shared" si="92"/>
        <v>-8.3352604558158239E-2</v>
      </c>
      <c r="AN48" s="581">
        <f t="shared" si="93"/>
        <v>-77.26639491039586</v>
      </c>
      <c r="AO48" s="582">
        <f t="shared" si="94"/>
        <v>22.219532475333782</v>
      </c>
      <c r="AP48" s="585">
        <f t="shared" si="95"/>
        <v>-21.72449000979995</v>
      </c>
      <c r="AQ48" s="586">
        <f t="shared" si="246"/>
        <v>0.55847707140336478</v>
      </c>
      <c r="AS48" s="52">
        <f t="shared" si="406"/>
        <v>-184.51999963615705</v>
      </c>
      <c r="AT48" s="72">
        <f t="shared" si="247"/>
        <v>-1.0920439581677537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4.1310000000000002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-0.33791269409807678</v>
      </c>
      <c r="C49" s="708">
        <v>-4.1366337857954818</v>
      </c>
      <c r="D49" s="709">
        <v>-1.9148057750542176</v>
      </c>
      <c r="E49" s="710">
        <v>0.84200332406017386</v>
      </c>
      <c r="F49" s="708">
        <v>-0.53932113032397655</v>
      </c>
      <c r="G49" s="711">
        <v>1.2771869780351469E-2</v>
      </c>
      <c r="H49" s="710">
        <v>0.26600000000000001</v>
      </c>
      <c r="I49" s="708">
        <v>0.52</v>
      </c>
      <c r="J49" s="570">
        <v>4.1369999999999996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4.1369999999999996</v>
      </c>
      <c r="N49" s="632">
        <f t="shared" si="240"/>
        <v>-0.33791269409807678</v>
      </c>
      <c r="O49" s="629">
        <f t="shared" si="241"/>
        <v>-4.1366337857954818</v>
      </c>
      <c r="P49" s="633">
        <f t="shared" si="242"/>
        <v>-1.9148057750542176</v>
      </c>
      <c r="Q49" s="585">
        <f t="shared" si="113"/>
        <v>265.33000038550023</v>
      </c>
      <c r="R49" s="629">
        <f t="shared" si="79"/>
        <v>4.1504125176441535</v>
      </c>
      <c r="S49" s="634">
        <f t="shared" si="80"/>
        <v>-1.9148057750542176</v>
      </c>
      <c r="T49" s="635">
        <f t="shared" si="81"/>
        <v>-4.1368101493940976</v>
      </c>
      <c r="U49" s="629">
        <f t="shared" si="82"/>
        <v>0.33574671180409854</v>
      </c>
      <c r="V49" s="636">
        <f t="shared" si="114"/>
        <v>-1.9148057750542176</v>
      </c>
      <c r="W49" s="585">
        <f t="shared" si="224"/>
        <v>175.36000038116876</v>
      </c>
      <c r="X49" s="629">
        <f t="shared" si="83"/>
        <v>4.1504125176441535</v>
      </c>
      <c r="Y49" s="630">
        <f t="shared" si="223"/>
        <v>-1.9148057750542176</v>
      </c>
      <c r="Z49" s="632">
        <f t="shared" si="243"/>
        <v>-0.84200332406017386</v>
      </c>
      <c r="AA49" s="629">
        <f t="shared" si="244"/>
        <v>0.53932113032397655</v>
      </c>
      <c r="AB49" s="629">
        <f t="shared" si="245"/>
        <v>-1.2771869780351469E-2</v>
      </c>
      <c r="AC49" s="636">
        <f t="shared" si="84"/>
        <v>1</v>
      </c>
      <c r="AD49" s="637">
        <f t="shared" si="115"/>
        <v>-0.84200332406017386</v>
      </c>
      <c r="AE49" s="629">
        <f t="shared" si="85"/>
        <v>0.53932113032397655</v>
      </c>
      <c r="AF49" s="633">
        <f t="shared" si="86"/>
        <v>-1.2771869780351469E-2</v>
      </c>
      <c r="AG49" s="602">
        <f t="shared" si="87"/>
        <v>88.643410308136637</v>
      </c>
      <c r="AH49" s="603">
        <f t="shared" si="88"/>
        <v>147.35227424586384</v>
      </c>
      <c r="AI49" s="585">
        <f t="shared" si="89"/>
        <v>-89.268205869052281</v>
      </c>
      <c r="AJ49" s="586">
        <f t="shared" si="90"/>
        <v>-122.6404304648228</v>
      </c>
      <c r="AK49" s="635">
        <f t="shared" si="211"/>
        <v>0.88311772350563889</v>
      </c>
      <c r="AL49" s="629">
        <f t="shared" si="91"/>
        <v>-0.46897757491433606</v>
      </c>
      <c r="AM49" s="634">
        <f t="shared" si="92"/>
        <v>-1.2771869780351469E-2</v>
      </c>
      <c r="AN49" s="581">
        <f t="shared" si="93"/>
        <v>-88.440024757489624</v>
      </c>
      <c r="AO49" s="582">
        <f t="shared" si="94"/>
        <v>27.979229642262467</v>
      </c>
      <c r="AP49" s="585">
        <f t="shared" si="95"/>
        <v>-27.970430850323027</v>
      </c>
      <c r="AQ49" s="586">
        <f t="shared" si="246"/>
        <v>0.54926029326240655</v>
      </c>
      <c r="AS49" s="52">
        <f t="shared" si="406"/>
        <v>-184.63999961883124</v>
      </c>
      <c r="AT49" s="72">
        <f t="shared" si="247"/>
        <v>-1.7865627197663705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4.1369999999999996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-0.34604029545038933</v>
      </c>
      <c r="C50" s="708">
        <v>-4.1732907461040272</v>
      </c>
      <c r="D50" s="709">
        <v>-2.5975078340836277</v>
      </c>
      <c r="E50" s="710">
        <v>0.76895348432184951</v>
      </c>
      <c r="F50" s="708">
        <v>-0.63930473089855233</v>
      </c>
      <c r="G50" s="711">
        <v>1.3008419230567595E-7</v>
      </c>
      <c r="H50" s="710">
        <v>0.26600000000000001</v>
      </c>
      <c r="I50" s="708">
        <v>0.52</v>
      </c>
      <c r="J50" s="570">
        <v>4.1429999999999998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4.1429999999999998</v>
      </c>
      <c r="N50" s="632">
        <f t="shared" si="240"/>
        <v>-0.34604029545038933</v>
      </c>
      <c r="O50" s="629">
        <f t="shared" si="241"/>
        <v>-4.1732907461040272</v>
      </c>
      <c r="P50" s="633">
        <f t="shared" si="242"/>
        <v>-2.5975078340836277</v>
      </c>
      <c r="Q50" s="585">
        <f t="shared" si="113"/>
        <v>265.26000039560699</v>
      </c>
      <c r="R50" s="629">
        <f t="shared" si="79"/>
        <v>4.1876126298396921</v>
      </c>
      <c r="S50" s="634">
        <f t="shared" si="80"/>
        <v>-2.5975078340836277</v>
      </c>
      <c r="T50" s="635">
        <f t="shared" si="81"/>
        <v>-4.1734713602790956</v>
      </c>
      <c r="U50" s="629">
        <f t="shared" si="82"/>
        <v>0.34385511850640971</v>
      </c>
      <c r="V50" s="636">
        <f t="shared" si="114"/>
        <v>-2.5975078340836277</v>
      </c>
      <c r="W50" s="585">
        <f t="shared" si="224"/>
        <v>175.29000039127553</v>
      </c>
      <c r="X50" s="629">
        <f t="shared" si="83"/>
        <v>4.1876126298396921</v>
      </c>
      <c r="Y50" s="630">
        <f t="shared" si="223"/>
        <v>-2.5975078340836277</v>
      </c>
      <c r="Z50" s="632">
        <f t="shared" si="243"/>
        <v>-0.76895348432184951</v>
      </c>
      <c r="AA50" s="629">
        <f t="shared" si="244"/>
        <v>0.63930473089855233</v>
      </c>
      <c r="AB50" s="629">
        <f t="shared" si="245"/>
        <v>-1.3008419230567595E-7</v>
      </c>
      <c r="AC50" s="636">
        <f t="shared" si="84"/>
        <v>1</v>
      </c>
      <c r="AD50" s="637">
        <f t="shared" si="115"/>
        <v>-0.76895348432184951</v>
      </c>
      <c r="AE50" s="629">
        <f t="shared" si="85"/>
        <v>0.63930473089855233</v>
      </c>
      <c r="AF50" s="633">
        <f t="shared" si="86"/>
        <v>-1.3008419230567595E-7</v>
      </c>
      <c r="AG50" s="602">
        <f t="shared" si="87"/>
        <v>89.999988341592299</v>
      </c>
      <c r="AH50" s="603">
        <f t="shared" si="88"/>
        <v>140.26000544898113</v>
      </c>
      <c r="AI50" s="585">
        <f t="shared" si="89"/>
        <v>-89.999992546724798</v>
      </c>
      <c r="AJ50" s="586">
        <f t="shared" si="90"/>
        <v>-129.73999455101827</v>
      </c>
      <c r="AK50" s="635">
        <f t="shared" si="211"/>
        <v>0.8191520948772919</v>
      </c>
      <c r="AL50" s="629">
        <f t="shared" si="91"/>
        <v>-0.5735763641034447</v>
      </c>
      <c r="AM50" s="634">
        <f t="shared" si="92"/>
        <v>-1.3008419230567595E-7</v>
      </c>
      <c r="AN50" s="581">
        <f t="shared" si="93"/>
        <v>-89.999987005609611</v>
      </c>
      <c r="AO50" s="582">
        <f t="shared" si="94"/>
        <v>34.999994946625968</v>
      </c>
      <c r="AP50" s="585">
        <f t="shared" si="95"/>
        <v>-34.999994946625279</v>
      </c>
      <c r="AQ50" s="586">
        <f t="shared" si="246"/>
        <v>0.54438130583656053</v>
      </c>
      <c r="AS50" s="52">
        <f t="shared" si="406"/>
        <v>-184.70999960872447</v>
      </c>
      <c r="AT50" s="72">
        <f t="shared" si="247"/>
        <v>-2.4692161676916879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4.1429999999999998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-1.2568460699068269</v>
      </c>
      <c r="C51" s="708">
        <v>-3.9453507705851423</v>
      </c>
      <c r="D51" s="709">
        <v>-1.4794083794515211</v>
      </c>
      <c r="E51" s="710">
        <v>0.62754736068464279</v>
      </c>
      <c r="F51" s="708">
        <v>-0.76901156529888548</v>
      </c>
      <c r="G51" s="711">
        <v>0.12167794596514554</v>
      </c>
      <c r="H51" s="710">
        <v>0.26600000000000001</v>
      </c>
      <c r="I51" s="708">
        <v>0.52</v>
      </c>
      <c r="J51" s="570">
        <v>4.2329999999999997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4.2329999999999997</v>
      </c>
      <c r="N51" s="632">
        <f t="shared" si="240"/>
        <v>-1.2568460699068269</v>
      </c>
      <c r="O51" s="629">
        <f t="shared" si="241"/>
        <v>-3.9453507705851423</v>
      </c>
      <c r="P51" s="633">
        <f t="shared" si="242"/>
        <v>-1.4794083794515211</v>
      </c>
      <c r="Q51" s="585">
        <f t="shared" si="113"/>
        <v>252.33000226246773</v>
      </c>
      <c r="R51" s="629">
        <f t="shared" si="79"/>
        <v>4.1407070346013386</v>
      </c>
      <c r="S51" s="634">
        <f t="shared" si="80"/>
        <v>-1.4794083794515211</v>
      </c>
      <c r="T51" s="635">
        <f t="shared" si="81"/>
        <v>-3.9460083127033871</v>
      </c>
      <c r="U51" s="629">
        <f t="shared" si="82"/>
        <v>1.254780117181006</v>
      </c>
      <c r="V51" s="636">
        <f t="shared" si="114"/>
        <v>-1.4794083794515211</v>
      </c>
      <c r="W51" s="585">
        <f t="shared" si="224"/>
        <v>162.36000225813626</v>
      </c>
      <c r="X51" s="629">
        <f t="shared" si="83"/>
        <v>4.1407070346013386</v>
      </c>
      <c r="Y51" s="630">
        <f t="shared" si="223"/>
        <v>-1.4794083794515211</v>
      </c>
      <c r="Z51" s="632">
        <f t="shared" si="243"/>
        <v>-0.62754736068464279</v>
      </c>
      <c r="AA51" s="629">
        <f t="shared" si="244"/>
        <v>0.76901156529888548</v>
      </c>
      <c r="AB51" s="629">
        <f t="shared" si="245"/>
        <v>-0.12167794596514554</v>
      </c>
      <c r="AC51" s="636">
        <f t="shared" si="84"/>
        <v>1</v>
      </c>
      <c r="AD51" s="637">
        <f t="shared" si="115"/>
        <v>-0.62754736068464279</v>
      </c>
      <c r="AE51" s="629">
        <f t="shared" si="85"/>
        <v>0.76901156529888548</v>
      </c>
      <c r="AF51" s="633">
        <f t="shared" si="86"/>
        <v>-0.12167794596514554</v>
      </c>
      <c r="AG51" s="602">
        <f t="shared" si="87"/>
        <v>81.008832617709686</v>
      </c>
      <c r="AH51" s="603">
        <f t="shared" si="88"/>
        <v>128.86940216913646</v>
      </c>
      <c r="AI51" s="585">
        <f t="shared" si="89"/>
        <v>-83.011048489533437</v>
      </c>
      <c r="AJ51" s="586">
        <f t="shared" si="90"/>
        <v>-140.78403766655504</v>
      </c>
      <c r="AK51" s="635">
        <f t="shared" si="211"/>
        <v>0.83136131048355144</v>
      </c>
      <c r="AL51" s="629">
        <f t="shared" si="91"/>
        <v>-0.5422479588682424</v>
      </c>
      <c r="AM51" s="634">
        <f t="shared" si="92"/>
        <v>-0.12167794596514554</v>
      </c>
      <c r="AN51" s="581">
        <f t="shared" si="93"/>
        <v>-77.352592771138504</v>
      </c>
      <c r="AO51" s="582">
        <f t="shared" si="94"/>
        <v>33.761167503047098</v>
      </c>
      <c r="AP51" s="585">
        <f t="shared" si="95"/>
        <v>-33.114039929022752</v>
      </c>
      <c r="AQ51" s="586">
        <f t="shared" si="246"/>
        <v>0.55054763590110034</v>
      </c>
      <c r="AS51" s="52">
        <f t="shared" si="406"/>
        <v>-197.63999774186374</v>
      </c>
      <c r="AT51" s="72">
        <f t="shared" si="247"/>
        <v>-1.342137547689346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>Gage</v>
      </c>
      <c r="IG51" s="847">
        <f t="shared" si="210"/>
        <v>4.2329999999999997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2.133</v>
      </c>
      <c r="II51" s="734" cm="1">
        <f t="array" ref="II51">IFERROR(ROUND(VALUE(IF($IH51&lt;1,$IH51+LARGE((IF($M$9:$M$150="",0,$M$9:$M$150)-MOD(IF($M$9:$M$150="",0,$M$9:$M$150),1)),1),$IH51)),4),"")</f>
        <v>2.133</v>
      </c>
      <c r="IJ51" s="533">
        <f t="shared" si="112"/>
        <v>1313</v>
      </c>
      <c r="IK51" s="533">
        <f t="shared" si="382"/>
        <v>1313</v>
      </c>
      <c r="IL51" s="727">
        <f t="shared" si="225"/>
        <v>130.02995552597696</v>
      </c>
      <c r="IM51" s="759">
        <v>5.42674983095241E-4</v>
      </c>
      <c r="IN51" s="5">
        <f t="shared" si="226"/>
        <v>0</v>
      </c>
      <c r="IO51" s="771">
        <v>0</v>
      </c>
      <c r="IP51" s="9">
        <f t="shared" si="227"/>
        <v>-4.1313124600383802</v>
      </c>
      <c r="IQ51" s="5">
        <f t="shared" si="228"/>
        <v>-1.4513043771340015</v>
      </c>
      <c r="IR51" s="5">
        <f t="shared" si="383"/>
        <v>0.26600000000000001</v>
      </c>
      <c r="IS51" s="5">
        <f t="shared" si="229"/>
        <v>0.24272030765570018</v>
      </c>
      <c r="IT51" s="727">
        <f t="shared" si="230"/>
        <v>82.424204129138275</v>
      </c>
      <c r="IU51" s="9">
        <f t="shared" si="231"/>
        <v>-4.1407070346013386</v>
      </c>
      <c r="IV51" s="5">
        <f t="shared" si="232"/>
        <v>-1.4794083794515211</v>
      </c>
      <c r="IW51" s="5">
        <f t="shared" si="384"/>
        <v>0.26600000000000001</v>
      </c>
      <c r="IX51" s="5">
        <f t="shared" si="233"/>
        <v>0.22114210858862474</v>
      </c>
      <c r="IY51" s="762">
        <f t="shared" si="234"/>
        <v>77.352592771138504</v>
      </c>
    </row>
    <row r="52" spans="1:259" ht="15" customHeight="1" x14ac:dyDescent="0.25">
      <c r="A52" s="79"/>
      <c r="B52" s="707">
        <v>-1.2605450347023399</v>
      </c>
      <c r="C52" s="708">
        <v>-3.9665348235836757</v>
      </c>
      <c r="D52" s="709">
        <v>-2.1759584661248481</v>
      </c>
      <c r="E52" s="710">
        <v>0.59711424144669245</v>
      </c>
      <c r="F52" s="708">
        <v>-0.80164163169998948</v>
      </c>
      <c r="G52" s="711">
        <v>2.8727634551414249E-2</v>
      </c>
      <c r="H52" s="710">
        <v>0.26600000000000001</v>
      </c>
      <c r="I52" s="708">
        <v>0.52</v>
      </c>
      <c r="J52" s="570">
        <v>4.2389999999999999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4.2389999999999999</v>
      </c>
      <c r="N52" s="632">
        <f t="shared" si="240"/>
        <v>-1.2605450347023399</v>
      </c>
      <c r="O52" s="629">
        <f t="shared" si="241"/>
        <v>-3.9665348235836757</v>
      </c>
      <c r="P52" s="633">
        <f t="shared" si="242"/>
        <v>-2.1759584661248481</v>
      </c>
      <c r="Q52" s="585">
        <f t="shared" si="113"/>
        <v>252.37000225669246</v>
      </c>
      <c r="R52" s="629">
        <f t="shared" si="79"/>
        <v>4.162015412178901</v>
      </c>
      <c r="S52" s="634">
        <f t="shared" si="80"/>
        <v>-2.1759584661248481</v>
      </c>
      <c r="T52" s="635">
        <f t="shared" si="81"/>
        <v>-3.9671942995711271</v>
      </c>
      <c r="U52" s="629">
        <f t="shared" si="82"/>
        <v>1.2584679895273696</v>
      </c>
      <c r="V52" s="636">
        <f t="shared" si="114"/>
        <v>-2.1759584661248481</v>
      </c>
      <c r="W52" s="585">
        <f t="shared" si="224"/>
        <v>162.40000225236099</v>
      </c>
      <c r="X52" s="629">
        <f t="shared" si="83"/>
        <v>4.162015412178901</v>
      </c>
      <c r="Y52" s="630">
        <f t="shared" si="223"/>
        <v>-2.1759584661248481</v>
      </c>
      <c r="Z52" s="632">
        <f t="shared" si="243"/>
        <v>-0.59711424144669245</v>
      </c>
      <c r="AA52" s="629">
        <f t="shared" si="244"/>
        <v>0.80164163169998948</v>
      </c>
      <c r="AB52" s="629">
        <f t="shared" si="245"/>
        <v>-2.8727634551414249E-2</v>
      </c>
      <c r="AC52" s="636">
        <f t="shared" si="84"/>
        <v>1</v>
      </c>
      <c r="AD52" s="637">
        <f t="shared" si="115"/>
        <v>-0.59711424144669245</v>
      </c>
      <c r="AE52" s="629">
        <f t="shared" si="85"/>
        <v>0.80164163169998948</v>
      </c>
      <c r="AF52" s="633">
        <f t="shared" si="86"/>
        <v>-2.8727634551414249E-2</v>
      </c>
      <c r="AG52" s="602">
        <f t="shared" si="87"/>
        <v>87.947626350613291</v>
      </c>
      <c r="AH52" s="603">
        <f t="shared" si="88"/>
        <v>126.66349878644328</v>
      </c>
      <c r="AI52" s="585">
        <f t="shared" si="89"/>
        <v>-88.353801303525216</v>
      </c>
      <c r="AJ52" s="586">
        <f t="shared" si="90"/>
        <v>-143.31888918179973</v>
      </c>
      <c r="AK52" s="635">
        <f t="shared" si="211"/>
        <v>0.81186143638934649</v>
      </c>
      <c r="AL52" s="629">
        <f t="shared" si="91"/>
        <v>-0.58314297656484504</v>
      </c>
      <c r="AM52" s="634">
        <f t="shared" si="92"/>
        <v>-2.8727634551414249E-2</v>
      </c>
      <c r="AN52" s="581">
        <f t="shared" si="93"/>
        <v>-87.179692310390976</v>
      </c>
      <c r="AO52" s="582">
        <f t="shared" si="94"/>
        <v>35.721800483764149</v>
      </c>
      <c r="AP52" s="585">
        <f t="shared" si="95"/>
        <v>-35.688891438492199</v>
      </c>
      <c r="AQ52" s="586">
        <f t="shared" si="246"/>
        <v>0.54772915514471776</v>
      </c>
      <c r="AS52" s="52">
        <f t="shared" si="406"/>
        <v>-197.59999774763901</v>
      </c>
      <c r="AT52" s="72">
        <f t="shared" si="247"/>
        <v>-2.0387154121364399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>Gage</v>
      </c>
      <c r="IG52" s="847">
        <f t="shared" si="210"/>
        <v>4.2389999999999999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2.1389999999999998</v>
      </c>
      <c r="II52" s="734" cm="1">
        <f t="array" ref="II52">IFERROR(ROUND(VALUE(IF($IH52&lt;1,$IH52+LARGE((IF($M$9:$M$150="",0,$M$9:$M$150)-MOD(IF($M$9:$M$150="",0,$M$9:$M$150),1)),1),$IH52)),4),"")</f>
        <v>2.1389999999999998</v>
      </c>
      <c r="IJ52" s="533">
        <f t="shared" si="112"/>
        <v>1313</v>
      </c>
      <c r="IK52" s="533">
        <f t="shared" si="382"/>
        <v>1313</v>
      </c>
      <c r="IL52" s="727">
        <f t="shared" si="225"/>
        <v>129.93995553897139</v>
      </c>
      <c r="IM52" s="759">
        <v>1.11709586941702E-3</v>
      </c>
      <c r="IN52" s="5">
        <f t="shared" si="226"/>
        <v>0</v>
      </c>
      <c r="IO52" s="771">
        <v>0</v>
      </c>
      <c r="IP52" s="9">
        <f t="shared" si="227"/>
        <v>-4.1579125402642214</v>
      </c>
      <c r="IQ52" s="5">
        <f t="shared" si="228"/>
        <v>-2.142306461196287</v>
      </c>
      <c r="IR52" s="5">
        <f t="shared" si="383"/>
        <v>0.26600000000000001</v>
      </c>
      <c r="IS52" s="5">
        <f t="shared" si="229"/>
        <v>0.23057821856668034</v>
      </c>
      <c r="IT52" s="727">
        <f t="shared" si="230"/>
        <v>89.485412709958979</v>
      </c>
      <c r="IU52" s="9">
        <f t="shared" si="231"/>
        <v>-4.162015412178901</v>
      </c>
      <c r="IV52" s="5">
        <f t="shared" si="232"/>
        <v>-2.1759584661248481</v>
      </c>
      <c r="IW52" s="5">
        <f t="shared" si="384"/>
        <v>0.26600000000000001</v>
      </c>
      <c r="IX52" s="5">
        <f t="shared" si="233"/>
        <v>0.21595514207956618</v>
      </c>
      <c r="IY52" s="762">
        <f t="shared" si="234"/>
        <v>87.179692310390976</v>
      </c>
    </row>
    <row r="53" spans="1:259" ht="15" customHeight="1" x14ac:dyDescent="0.25">
      <c r="A53" s="79"/>
      <c r="B53" s="707">
        <v>-0.43543896232835566</v>
      </c>
      <c r="C53" s="708">
        <v>-0.25140062655091905</v>
      </c>
      <c r="D53" s="709">
        <v>-0.21990066322040031</v>
      </c>
      <c r="E53" s="710">
        <v>0.50249808822216879</v>
      </c>
      <c r="F53" s="708">
        <v>-0.82523768432111799</v>
      </c>
      <c r="G53" s="711">
        <v>0.25783412440827969</v>
      </c>
      <c r="H53" s="710">
        <v>0.26600000000000001</v>
      </c>
      <c r="I53" s="708">
        <v>0.52</v>
      </c>
      <c r="J53" s="570">
        <v>5.1020000000000003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5.1020000000000003</v>
      </c>
      <c r="N53" s="632">
        <f t="shared" si="240"/>
        <v>-0.43543896232835566</v>
      </c>
      <c r="O53" s="629">
        <f t="shared" si="241"/>
        <v>-0.25140062655091905</v>
      </c>
      <c r="P53" s="633">
        <f t="shared" si="242"/>
        <v>-0.21990066322040031</v>
      </c>
      <c r="Q53" s="585">
        <f t="shared" si="113"/>
        <v>209.99998267414614</v>
      </c>
      <c r="R53" s="629">
        <f t="shared" ref="R53:R58" si="410">IF(M53="","",SQRT(N53^2+O53^2))</f>
        <v>0.50280151644937365</v>
      </c>
      <c r="S53" s="634">
        <f t="shared" ref="S53:S58" si="411">IF(M53="","",P53)</f>
        <v>-0.21990066322040031</v>
      </c>
      <c r="T53" s="635">
        <f t="shared" ref="T53:T58" si="412">IF(M53="","",X53*COS(RADIANS(W53)))</f>
        <v>-0.25162858735366195</v>
      </c>
      <c r="U53" s="629">
        <f t="shared" ref="U53:U58" si="413">IF(M53="","",X53*SIN(RADIANS(W53)))</f>
        <v>0.4353072696041157</v>
      </c>
      <c r="V53" s="636">
        <f t="shared" ref="V53:V58" si="414">IF(M53="","",Y53)</f>
        <v>-0.21990066322040031</v>
      </c>
      <c r="W53" s="585">
        <f t="shared" si="224"/>
        <v>120.02998266981467</v>
      </c>
      <c r="X53" s="629">
        <f t="shared" ref="X53:X58" si="415">IF(M53="","",R53)</f>
        <v>0.50280151644937365</v>
      </c>
      <c r="Y53" s="630">
        <f t="shared" si="223"/>
        <v>-0.21990066322040031</v>
      </c>
      <c r="Z53" s="632">
        <f t="shared" si="243"/>
        <v>-0.50249808822216879</v>
      </c>
      <c r="AA53" s="629">
        <f t="shared" si="244"/>
        <v>0.82523768432111799</v>
      </c>
      <c r="AB53" s="629">
        <f t="shared" si="245"/>
        <v>-0.25783412440827969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-0.50249808822216879</v>
      </c>
      <c r="AE53" s="629">
        <f t="shared" ref="AE53:AE58" si="418">IF(M53="","",AA53*(1/SQRT(Z53^2+AA53^2+AB53^2)))</f>
        <v>0.82523768432111799</v>
      </c>
      <c r="AF53" s="633">
        <f t="shared" ref="AF53:AF58" si="419">IF(M53="","",AB53*(1/SQRT(Z53^2+AA53^2+AB53^2)))</f>
        <v>-0.25783412440827969</v>
      </c>
      <c r="AG53" s="602">
        <f t="shared" ref="AG53:AG58" si="420">IF(M53="","",DEGREES(ATAN2(-AF53,AE53)))</f>
        <v>72.649305787597427</v>
      </c>
      <c r="AH53" s="603">
        <f t="shared" ref="AH53:AH58" si="421">IF(M53="","",DEGREES(ACOS(AD53)))</f>
        <v>120.16541026765245</v>
      </c>
      <c r="AI53" s="585">
        <f t="shared" ref="AI53:AI58" si="422">IF(M53="","",DEGREES(-ACOS(-AF53)))</f>
        <v>-75.058414528502141</v>
      </c>
      <c r="AJ53" s="586">
        <f t="shared" ref="AJ53:AJ58" si="423">IF(M53="","",DEGREES(ATAN2(-AE53,AD53)))</f>
        <v>-148.66221473630407</v>
      </c>
      <c r="AK53" s="635">
        <f t="shared" ref="AK53:AK58" si="424">IF(M53="","",(COS(RADIANS((90-$Q$8)-W53))*AD53)+(-SIN(RADIANS((90-$Q$8)-W53))*AE53))</f>
        <v>0.96592583607220739</v>
      </c>
      <c r="AL53" s="629">
        <f t="shared" ref="AL53:AL58" si="425">IF(M53="","",(SIN(RADIANS((90-$Q$8)-W53))*AD53)+(COS(RADIANS((90-$Q$8)-W53))*AE53))</f>
        <v>2.2557559682354567E-2</v>
      </c>
      <c r="AM53" s="634">
        <f t="shared" ref="AM53:AM58" si="426">IF(M53="","",AF53)</f>
        <v>-0.25783412440827969</v>
      </c>
      <c r="AN53" s="581">
        <f t="shared" ref="AN53:AN58" si="427">IF(M53="","",DEGREES(ATAN2(-AM53,AL53)))</f>
        <v>4.9999992780894562</v>
      </c>
      <c r="AO53" s="582">
        <f t="shared" si="94"/>
        <v>14.999997834268255</v>
      </c>
      <c r="AP53" s="585">
        <f t="shared" ref="AP53:AP58" si="428">IF(M53="","",DEGREES(ATAN2(AK53,AL53)))</f>
        <v>1.3378025895497896</v>
      </c>
      <c r="AQ53" s="586">
        <f t="shared" si="246"/>
        <v>4.5246198638465787</v>
      </c>
      <c r="AS53" s="52">
        <f t="shared" si="406"/>
        <v>-239.97001733018533</v>
      </c>
      <c r="AT53" s="72">
        <f t="shared" si="247"/>
        <v>-5.3233984521890682E-2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5.1020000000000003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-0.97532092158749828</v>
      </c>
      <c r="C54" s="708">
        <v>-0.56310140338433778</v>
      </c>
      <c r="D54" s="709">
        <v>-0.16540049884790453</v>
      </c>
      <c r="E54" s="710">
        <v>0.50249808822216879</v>
      </c>
      <c r="F54" s="708">
        <v>-0.82523768432111821</v>
      </c>
      <c r="G54" s="711">
        <v>0.25783412440827969</v>
      </c>
      <c r="H54" s="710">
        <v>0.26600000000000001</v>
      </c>
      <c r="I54" s="708">
        <v>0.52</v>
      </c>
      <c r="J54" s="570">
        <v>5.1050000000000004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5.1050000000000004</v>
      </c>
      <c r="N54" s="632">
        <f t="shared" si="240"/>
        <v>-0.97532092158749828</v>
      </c>
      <c r="O54" s="629">
        <f t="shared" si="241"/>
        <v>-0.56310140338433778</v>
      </c>
      <c r="P54" s="633">
        <f t="shared" si="242"/>
        <v>-0.16540049884790453</v>
      </c>
      <c r="Q54" s="585">
        <f t="shared" si="113"/>
        <v>209.99998267414614</v>
      </c>
      <c r="R54" s="629">
        <f t="shared" si="410"/>
        <v>1.1262033966294445</v>
      </c>
      <c r="S54" s="634">
        <f t="shared" si="411"/>
        <v>-0.16540049884790453</v>
      </c>
      <c r="T54" s="635">
        <f t="shared" si="412"/>
        <v>-0.56361200293893021</v>
      </c>
      <c r="U54" s="629">
        <f t="shared" si="413"/>
        <v>0.97502594874334758</v>
      </c>
      <c r="V54" s="636">
        <f t="shared" si="414"/>
        <v>-0.16540049884790453</v>
      </c>
      <c r="W54" s="585">
        <f t="shared" si="224"/>
        <v>120.02998266981467</v>
      </c>
      <c r="X54" s="629">
        <f t="shared" si="415"/>
        <v>1.1262033966294445</v>
      </c>
      <c r="Y54" s="630">
        <f t="shared" si="223"/>
        <v>-0.16540049884790453</v>
      </c>
      <c r="Z54" s="632">
        <f t="shared" si="243"/>
        <v>-0.50249808822216879</v>
      </c>
      <c r="AA54" s="629">
        <f t="shared" si="244"/>
        <v>0.82523768432111821</v>
      </c>
      <c r="AB54" s="629">
        <f t="shared" si="245"/>
        <v>-0.25783412440827969</v>
      </c>
      <c r="AC54" s="636">
        <f t="shared" si="416"/>
        <v>1</v>
      </c>
      <c r="AD54" s="637">
        <f t="shared" si="417"/>
        <v>-0.50249808822216879</v>
      </c>
      <c r="AE54" s="629">
        <f t="shared" si="418"/>
        <v>0.82523768432111821</v>
      </c>
      <c r="AF54" s="633">
        <f t="shared" si="419"/>
        <v>-0.25783412440827969</v>
      </c>
      <c r="AG54" s="602">
        <f t="shared" si="420"/>
        <v>72.649305787597442</v>
      </c>
      <c r="AH54" s="603">
        <f t="shared" si="421"/>
        <v>120.16541026765245</v>
      </c>
      <c r="AI54" s="585">
        <f t="shared" si="422"/>
        <v>-75.058414528502141</v>
      </c>
      <c r="AJ54" s="586">
        <f t="shared" si="423"/>
        <v>-148.66221473630407</v>
      </c>
      <c r="AK54" s="635">
        <f t="shared" si="424"/>
        <v>0.96592583607220761</v>
      </c>
      <c r="AL54" s="629">
        <f t="shared" si="425"/>
        <v>2.2557559682354456E-2</v>
      </c>
      <c r="AM54" s="634">
        <f t="shared" si="426"/>
        <v>-0.25783412440827969</v>
      </c>
      <c r="AN54" s="581">
        <f t="shared" si="427"/>
        <v>4.9999992780894313</v>
      </c>
      <c r="AO54" s="582">
        <f t="shared" si="94"/>
        <v>14.999997834268203</v>
      </c>
      <c r="AP54" s="585">
        <f t="shared" si="428"/>
        <v>1.3378025895497827</v>
      </c>
      <c r="AQ54" s="586">
        <f t="shared" si="246"/>
        <v>2.023416751298758</v>
      </c>
      <c r="AS54" s="52">
        <f t="shared" si="406"/>
        <v>-239.97001733018533</v>
      </c>
      <c r="AT54" s="72">
        <f t="shared" si="247"/>
        <v>1.2661798506050925E-3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5.1050000000000004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-1.5152028808466409</v>
      </c>
      <c r="C55" s="708">
        <v>-0.87480218021775635</v>
      </c>
      <c r="D55" s="709">
        <v>-0.11090033447540877</v>
      </c>
      <c r="E55" s="710">
        <v>0.5024980882221689</v>
      </c>
      <c r="F55" s="708">
        <v>-0.82523768432111799</v>
      </c>
      <c r="G55" s="711">
        <v>0.25783412440827969</v>
      </c>
      <c r="H55" s="710">
        <v>0.26600000000000001</v>
      </c>
      <c r="I55" s="708">
        <v>0.52</v>
      </c>
      <c r="J55" s="570">
        <v>5.1079999999999997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5.1079999999999997</v>
      </c>
      <c r="N55" s="632">
        <f t="shared" si="240"/>
        <v>-1.5152028808466409</v>
      </c>
      <c r="O55" s="629">
        <f t="shared" si="241"/>
        <v>-0.87480218021775635</v>
      </c>
      <c r="P55" s="633">
        <f t="shared" si="242"/>
        <v>-0.11090033447540877</v>
      </c>
      <c r="Q55" s="585">
        <f t="shared" si="113"/>
        <v>209.99998267414614</v>
      </c>
      <c r="R55" s="629">
        <f t="shared" si="410"/>
        <v>1.7496052768095149</v>
      </c>
      <c r="S55" s="634">
        <f t="shared" si="411"/>
        <v>-0.11090033447540877</v>
      </c>
      <c r="T55" s="635">
        <f t="shared" si="412"/>
        <v>-0.87559541852419842</v>
      </c>
      <c r="U55" s="629">
        <f t="shared" si="413"/>
        <v>1.5147446278825791</v>
      </c>
      <c r="V55" s="636">
        <f t="shared" si="414"/>
        <v>-0.11090033447540877</v>
      </c>
      <c r="W55" s="585">
        <f t="shared" si="224"/>
        <v>120.02998266981467</v>
      </c>
      <c r="X55" s="629">
        <f t="shared" si="415"/>
        <v>1.7496052768095149</v>
      </c>
      <c r="Y55" s="630">
        <f t="shared" si="223"/>
        <v>-0.11090033447540877</v>
      </c>
      <c r="Z55" s="632">
        <f t="shared" si="243"/>
        <v>-0.5024980882221689</v>
      </c>
      <c r="AA55" s="629">
        <f t="shared" si="244"/>
        <v>0.82523768432111799</v>
      </c>
      <c r="AB55" s="629">
        <f t="shared" si="245"/>
        <v>-0.25783412440827969</v>
      </c>
      <c r="AC55" s="636">
        <f t="shared" si="416"/>
        <v>1</v>
      </c>
      <c r="AD55" s="637">
        <f t="shared" si="417"/>
        <v>-0.5024980882221689</v>
      </c>
      <c r="AE55" s="629">
        <f t="shared" si="418"/>
        <v>0.82523768432111799</v>
      </c>
      <c r="AF55" s="633">
        <f t="shared" si="419"/>
        <v>-0.25783412440827969</v>
      </c>
      <c r="AG55" s="602">
        <f t="shared" si="420"/>
        <v>72.649305787597427</v>
      </c>
      <c r="AH55" s="603">
        <f t="shared" si="421"/>
        <v>120.16541026765245</v>
      </c>
      <c r="AI55" s="585">
        <f t="shared" si="422"/>
        <v>-75.058414528502141</v>
      </c>
      <c r="AJ55" s="586">
        <f t="shared" si="423"/>
        <v>-148.66221473630407</v>
      </c>
      <c r="AK55" s="635">
        <f t="shared" si="424"/>
        <v>0.96592583607220739</v>
      </c>
      <c r="AL55" s="629">
        <f t="shared" si="425"/>
        <v>2.2557559682354622E-2</v>
      </c>
      <c r="AM55" s="634">
        <f t="shared" si="426"/>
        <v>-0.25783412440827969</v>
      </c>
      <c r="AN55" s="581">
        <f t="shared" si="427"/>
        <v>4.9999992780894686</v>
      </c>
      <c r="AO55" s="582">
        <f>IF(ROUND(IF(M55="",0,DEGREES(ACOS(AK55))),4)=90,0,IF(M55="","",DEGREES(ACOS(AK55))))</f>
        <v>14.999997834268255</v>
      </c>
      <c r="AP55" s="585">
        <f t="shared" si="428"/>
        <v>1.3378025895497927</v>
      </c>
      <c r="AQ55" s="586">
        <f t="shared" si="246"/>
        <v>1.3027702738715685</v>
      </c>
      <c r="AS55" s="52">
        <f t="shared" si="406"/>
        <v>-239.97001733018533</v>
      </c>
      <c r="AT55" s="72">
        <f t="shared" si="247"/>
        <v>5.5766344223100853E-2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5.1079999999999997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-2.0713675307317607</v>
      </c>
      <c r="C56" s="708">
        <v>-1.1886842290083885</v>
      </c>
      <c r="D56" s="709">
        <v>-5.5000165880500308E-2</v>
      </c>
      <c r="E56" s="710">
        <v>0.46464088621187749</v>
      </c>
      <c r="F56" s="708">
        <v>-0.84654431985475109</v>
      </c>
      <c r="G56" s="711">
        <v>0.25975288522343298</v>
      </c>
      <c r="H56" s="710">
        <v>0.26600000000000001</v>
      </c>
      <c r="I56" s="708">
        <v>0.52</v>
      </c>
      <c r="J56" s="570">
        <v>5.1120000000000001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5.1120000000000001</v>
      </c>
      <c r="N56" s="632">
        <f t="shared" si="240"/>
        <v>-2.0713675307317607</v>
      </c>
      <c r="O56" s="629">
        <f t="shared" si="241"/>
        <v>-1.1886842290083885</v>
      </c>
      <c r="P56" s="633">
        <f t="shared" si="242"/>
        <v>-5.5000165880500308E-2</v>
      </c>
      <c r="Q56" s="585">
        <f t="shared" si="113"/>
        <v>209.84998269580345</v>
      </c>
      <c r="R56" s="629">
        <f t="shared" si="410"/>
        <v>2.3882072028329242</v>
      </c>
      <c r="S56" s="634">
        <f t="shared" si="411"/>
        <v>-5.5000165880500308E-2</v>
      </c>
      <c r="T56" s="635">
        <f t="shared" si="412"/>
        <v>-1.1897686313629305</v>
      </c>
      <c r="U56" s="629">
        <f t="shared" si="413"/>
        <v>2.0707448533046842</v>
      </c>
      <c r="V56" s="636">
        <f t="shared" si="414"/>
        <v>-5.5000165880500308E-2</v>
      </c>
      <c r="W56" s="585">
        <f t="shared" si="224"/>
        <v>119.87998269147198</v>
      </c>
      <c r="X56" s="629">
        <f t="shared" si="415"/>
        <v>2.3882072028329242</v>
      </c>
      <c r="Y56" s="630">
        <f t="shared" si="223"/>
        <v>-5.5000165880500308E-2</v>
      </c>
      <c r="Z56" s="632">
        <f t="shared" si="243"/>
        <v>-0.46464088621187749</v>
      </c>
      <c r="AA56" s="629">
        <f t="shared" si="244"/>
        <v>0.84654431985475109</v>
      </c>
      <c r="AB56" s="629">
        <f t="shared" si="245"/>
        <v>-0.25975288522343298</v>
      </c>
      <c r="AC56" s="636">
        <f t="shared" si="416"/>
        <v>1</v>
      </c>
      <c r="AD56" s="637">
        <f t="shared" si="417"/>
        <v>-0.46464088621187749</v>
      </c>
      <c r="AE56" s="629">
        <f t="shared" si="418"/>
        <v>0.84654431985475109</v>
      </c>
      <c r="AF56" s="633">
        <f t="shared" si="419"/>
        <v>-0.25975288522343298</v>
      </c>
      <c r="AG56" s="602">
        <f t="shared" si="420"/>
        <v>72.94193976658066</v>
      </c>
      <c r="AH56" s="603">
        <f t="shared" si="421"/>
        <v>117.68698329924698</v>
      </c>
      <c r="AI56" s="585">
        <f t="shared" si="422"/>
        <v>-74.944600261679469</v>
      </c>
      <c r="AJ56" s="586">
        <f t="shared" si="423"/>
        <v>-151.23903618193037</v>
      </c>
      <c r="AK56" s="635">
        <f t="shared" si="424"/>
        <v>0.96550069371279168</v>
      </c>
      <c r="AL56" s="629">
        <f t="shared" si="425"/>
        <v>-1.8353448128900662E-2</v>
      </c>
      <c r="AM56" s="634">
        <f t="shared" si="426"/>
        <v>-0.25975288522343298</v>
      </c>
      <c r="AN56" s="581">
        <f t="shared" si="427"/>
        <v>-4.0416504233824391</v>
      </c>
      <c r="AO56" s="582">
        <f t="shared" ref="AO56:AO119" si="461">IF(ROUND(IF(M56="",0,DEGREES(ACOS(AK56))),4)=90,0,IF(M56="","",DEGREES(ACOS(AK56))))</f>
        <v>15.093826582753687</v>
      </c>
      <c r="AP56" s="585">
        <f t="shared" si="428"/>
        <v>-1.0890188777337992</v>
      </c>
      <c r="AQ56" s="586">
        <f t="shared" si="246"/>
        <v>0.9544882599145571</v>
      </c>
      <c r="AS56" s="52">
        <f t="shared" si="406"/>
        <v>-240.12001730852802</v>
      </c>
      <c r="AT56" s="72">
        <f t="shared" si="247"/>
        <v>0.1117706794696362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5.1120000000000001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-2.6783843989471308</v>
      </c>
      <c r="C57" s="708">
        <v>-1.4913809238038904</v>
      </c>
      <c r="D57" s="709">
        <v>-0.14330043219410352</v>
      </c>
      <c r="E57" s="710">
        <v>0.3324582119217096</v>
      </c>
      <c r="F57" s="708">
        <v>-0.90648838861872971</v>
      </c>
      <c r="G57" s="711">
        <v>0.26028895217668885</v>
      </c>
      <c r="H57" s="710">
        <v>0.26600000000000001</v>
      </c>
      <c r="I57" s="708">
        <v>0.52</v>
      </c>
      <c r="J57" s="570">
        <v>5.1180000000000003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5.1180000000000003</v>
      </c>
      <c r="N57" s="632">
        <f t="shared" si="240"/>
        <v>-2.6783843989471308</v>
      </c>
      <c r="O57" s="629">
        <f t="shared" si="241"/>
        <v>-1.4913809238038904</v>
      </c>
      <c r="P57" s="633">
        <f t="shared" si="242"/>
        <v>-0.14330043219410352</v>
      </c>
      <c r="Q57" s="585">
        <f t="shared" si="113"/>
        <v>209.10998280264624</v>
      </c>
      <c r="R57" s="629">
        <f t="shared" si="410"/>
        <v>3.0656092458774862</v>
      </c>
      <c r="S57" s="634">
        <f t="shared" si="411"/>
        <v>-0.14330043219410352</v>
      </c>
      <c r="T57" s="635">
        <f t="shared" si="412"/>
        <v>-1.4927831178939903</v>
      </c>
      <c r="U57" s="629">
        <f t="shared" si="413"/>
        <v>2.677603146722872</v>
      </c>
      <c r="V57" s="636">
        <f t="shared" si="414"/>
        <v>-0.14330043219410352</v>
      </c>
      <c r="W57" s="585">
        <f t="shared" si="224"/>
        <v>119.13998279831478</v>
      </c>
      <c r="X57" s="629">
        <f t="shared" si="415"/>
        <v>3.0656092458774862</v>
      </c>
      <c r="Y57" s="630">
        <f t="shared" si="223"/>
        <v>-0.14330043219410352</v>
      </c>
      <c r="Z57" s="632">
        <f t="shared" si="243"/>
        <v>-0.3324582119217096</v>
      </c>
      <c r="AA57" s="629">
        <f t="shared" si="244"/>
        <v>0.90648838861872971</v>
      </c>
      <c r="AB57" s="629">
        <f t="shared" si="245"/>
        <v>-0.26028895217668885</v>
      </c>
      <c r="AC57" s="636">
        <f t="shared" si="416"/>
        <v>1</v>
      </c>
      <c r="AD57" s="637">
        <f t="shared" si="417"/>
        <v>-0.3324582119217096</v>
      </c>
      <c r="AE57" s="629">
        <f t="shared" si="418"/>
        <v>0.90648838861872971</v>
      </c>
      <c r="AF57" s="633">
        <f t="shared" si="419"/>
        <v>-0.26028895217668885</v>
      </c>
      <c r="AG57" s="602">
        <f t="shared" si="420"/>
        <v>73.979117475246284</v>
      </c>
      <c r="AH57" s="603">
        <f t="shared" si="421"/>
        <v>109.41804703965913</v>
      </c>
      <c r="AI57" s="585">
        <f t="shared" si="422"/>
        <v>-74.912791770030694</v>
      </c>
      <c r="AJ57" s="586">
        <f t="shared" si="423"/>
        <v>-159.85928757768357</v>
      </c>
      <c r="AK57" s="635">
        <f t="shared" si="424"/>
        <v>0.95372435252694387</v>
      </c>
      <c r="AL57" s="629">
        <f t="shared" si="425"/>
        <v>-0.15053079675542541</v>
      </c>
      <c r="AM57" s="634">
        <f t="shared" si="426"/>
        <v>-0.26028895217668885</v>
      </c>
      <c r="AN57" s="581">
        <f t="shared" si="427"/>
        <v>-30.041734430446766</v>
      </c>
      <c r="AO57" s="582">
        <f t="shared" si="461"/>
        <v>17.498589627345659</v>
      </c>
      <c r="AP57" s="585">
        <f t="shared" si="428"/>
        <v>-8.9692703803298262</v>
      </c>
      <c r="AQ57" s="586">
        <f t="shared" si="246"/>
        <v>0.74360378338685429</v>
      </c>
      <c r="AS57" s="52">
        <f t="shared" si="406"/>
        <v>-240.86001720168522</v>
      </c>
      <c r="AT57" s="72">
        <f t="shared" si="247"/>
        <v>2.3984301970725486E-2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5.1180000000000003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-3.2278217457452483</v>
      </c>
      <c r="C58" s="708">
        <v>-1.730016334456937</v>
      </c>
      <c r="D58" s="709">
        <v>-0.51700155927670299</v>
      </c>
      <c r="E58" s="710">
        <v>0.21402029291737712</v>
      </c>
      <c r="F58" s="708">
        <v>-0.95812789644351137</v>
      </c>
      <c r="G58" s="711">
        <v>0.19022683374406479</v>
      </c>
      <c r="H58" s="710">
        <v>0.26600000000000001</v>
      </c>
      <c r="I58" s="708">
        <v>0.52</v>
      </c>
      <c r="J58" s="570">
        <v>5.1239999999999997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5.1239999999999997</v>
      </c>
      <c r="N58" s="632">
        <f t="shared" si="240"/>
        <v>-3.2278217457452483</v>
      </c>
      <c r="O58" s="629">
        <f t="shared" si="241"/>
        <v>-1.730016334456937</v>
      </c>
      <c r="P58" s="633">
        <f t="shared" si="242"/>
        <v>-0.51700155927670299</v>
      </c>
      <c r="Q58" s="585">
        <f t="shared" si="113"/>
        <v>208.18998293547779</v>
      </c>
      <c r="R58" s="629">
        <f t="shared" si="410"/>
        <v>3.662211045228513</v>
      </c>
      <c r="S58" s="634">
        <f t="shared" si="411"/>
        <v>-0.51700155927670299</v>
      </c>
      <c r="T58" s="635">
        <f t="shared" si="412"/>
        <v>-1.7317061805027907</v>
      </c>
      <c r="U58" s="629">
        <f t="shared" si="413"/>
        <v>3.2269154690202462</v>
      </c>
      <c r="V58" s="636">
        <f t="shared" si="414"/>
        <v>-0.51700155927670299</v>
      </c>
      <c r="W58" s="585">
        <f t="shared" si="224"/>
        <v>118.21998293114632</v>
      </c>
      <c r="X58" s="629">
        <f t="shared" si="415"/>
        <v>3.662211045228513</v>
      </c>
      <c r="Y58" s="630">
        <f t="shared" si="223"/>
        <v>-0.51700155927670299</v>
      </c>
      <c r="Z58" s="632">
        <f t="shared" si="243"/>
        <v>-0.21402029291737712</v>
      </c>
      <c r="AA58" s="629">
        <f t="shared" si="244"/>
        <v>0.95812789644351137</v>
      </c>
      <c r="AB58" s="629">
        <f t="shared" si="245"/>
        <v>-0.19022683374406479</v>
      </c>
      <c r="AC58" s="636">
        <f t="shared" si="416"/>
        <v>1</v>
      </c>
      <c r="AD58" s="637">
        <f t="shared" si="417"/>
        <v>-0.21402029291737712</v>
      </c>
      <c r="AE58" s="629">
        <f t="shared" si="418"/>
        <v>0.95812789644351137</v>
      </c>
      <c r="AF58" s="633">
        <f t="shared" si="419"/>
        <v>-0.19022683374406479</v>
      </c>
      <c r="AG58" s="602">
        <f t="shared" si="420"/>
        <v>78.770517550702991</v>
      </c>
      <c r="AH58" s="603">
        <f t="shared" si="421"/>
        <v>102.35805639971521</v>
      </c>
      <c r="AI58" s="585">
        <f t="shared" si="422"/>
        <v>-79.033977751115302</v>
      </c>
      <c r="AJ58" s="586">
        <f t="shared" si="423"/>
        <v>-167.40835349318965</v>
      </c>
      <c r="AK58" s="635">
        <f t="shared" si="424"/>
        <v>0.94558304238355539</v>
      </c>
      <c r="AL58" s="629">
        <f t="shared" si="425"/>
        <v>-0.263981934382577</v>
      </c>
      <c r="AM58" s="634">
        <f t="shared" si="426"/>
        <v>-0.19022683374406479</v>
      </c>
      <c r="AN58" s="581">
        <f t="shared" si="427"/>
        <v>-54.223271189394467</v>
      </c>
      <c r="AO58" s="582">
        <f t="shared" si="461"/>
        <v>18.988651416593072</v>
      </c>
      <c r="AP58" s="585">
        <f t="shared" si="428"/>
        <v>-15.598336428667432</v>
      </c>
      <c r="AQ58" s="586">
        <f t="shared" si="246"/>
        <v>0.62247557817133747</v>
      </c>
      <c r="AS58" s="52">
        <f t="shared" si="406"/>
        <v>-241.78001706885368</v>
      </c>
      <c r="AT58" s="72">
        <f t="shared" si="247"/>
        <v>-0.34907793631522921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5.1239999999999997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-3.5870519429366388</v>
      </c>
      <c r="C59" s="708">
        <v>-1.8688914174495532</v>
      </c>
      <c r="D59" s="709">
        <v>-1.1080033417380788</v>
      </c>
      <c r="E59" s="710">
        <v>0.10635811248497921</v>
      </c>
      <c r="F59" s="708">
        <v>-0.98872322288237291</v>
      </c>
      <c r="G59" s="711">
        <v>0.10542457228619086</v>
      </c>
      <c r="H59" s="710">
        <v>0.26600000000000001</v>
      </c>
      <c r="I59" s="708">
        <v>0.52</v>
      </c>
      <c r="J59" s="570">
        <v>5.13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5.13</v>
      </c>
      <c r="N59" s="632">
        <f t="shared" si="240"/>
        <v>-3.5870519429366388</v>
      </c>
      <c r="O59" s="629">
        <f t="shared" si="241"/>
        <v>-1.8688914174495532</v>
      </c>
      <c r="P59" s="633">
        <f t="shared" si="242"/>
        <v>-1.1080033417380788</v>
      </c>
      <c r="Q59" s="585">
        <f t="shared" si="113"/>
        <v>207.51998303221379</v>
      </c>
      <c r="R59" s="629">
        <f t="shared" si="79"/>
        <v>4.0447121988519923</v>
      </c>
      <c r="S59" s="634">
        <f t="shared" si="80"/>
        <v>-1.1080033417380788</v>
      </c>
      <c r="T59" s="635">
        <f t="shared" si="81"/>
        <v>-1.8707693369143719</v>
      </c>
      <c r="U59" s="629">
        <f t="shared" si="82"/>
        <v>3.5860729021595588</v>
      </c>
      <c r="V59" s="636">
        <f t="shared" si="114"/>
        <v>-1.1080033417380788</v>
      </c>
      <c r="W59" s="585">
        <f t="shared" si="224"/>
        <v>117.54998302788232</v>
      </c>
      <c r="X59" s="629">
        <f t="shared" si="83"/>
        <v>4.0447121988519923</v>
      </c>
      <c r="Y59" s="630">
        <f t="shared" si="223"/>
        <v>-1.1080033417380788</v>
      </c>
      <c r="Z59" s="632">
        <f t="shared" si="243"/>
        <v>-0.10635811248497921</v>
      </c>
      <c r="AA59" s="629">
        <f t="shared" si="244"/>
        <v>0.98872322288237291</v>
      </c>
      <c r="AB59" s="629">
        <f t="shared" si="245"/>
        <v>-0.10542457228619086</v>
      </c>
      <c r="AC59" s="636">
        <f t="shared" si="84"/>
        <v>1</v>
      </c>
      <c r="AD59" s="637">
        <f t="shared" si="115"/>
        <v>-0.10635811248497921</v>
      </c>
      <c r="AE59" s="629">
        <f t="shared" si="85"/>
        <v>0.98872322288237291</v>
      </c>
      <c r="AF59" s="633">
        <f t="shared" si="86"/>
        <v>-0.10542457228619086</v>
      </c>
      <c r="AG59" s="602">
        <f t="shared" si="87"/>
        <v>83.913720097254</v>
      </c>
      <c r="AH59" s="603">
        <f t="shared" si="88"/>
        <v>96.105418870107258</v>
      </c>
      <c r="AI59" s="585">
        <f t="shared" si="89"/>
        <v>-83.948371470390541</v>
      </c>
      <c r="AJ59" s="586">
        <f t="shared" si="90"/>
        <v>-173.86023561530433</v>
      </c>
      <c r="AK59" s="635">
        <f t="shared" si="211"/>
        <v>0.92599253967418249</v>
      </c>
      <c r="AL59" s="629">
        <f t="shared" si="91"/>
        <v>-0.36252375925728164</v>
      </c>
      <c r="AM59" s="634">
        <f t="shared" si="92"/>
        <v>-0.10542457228619086</v>
      </c>
      <c r="AN59" s="581">
        <f t="shared" si="93"/>
        <v>-73.785181154818574</v>
      </c>
      <c r="AO59" s="582">
        <f t="shared" si="461"/>
        <v>22.181499444122242</v>
      </c>
      <c r="AP59" s="585">
        <f t="shared" si="95"/>
        <v>-21.380218647518102</v>
      </c>
      <c r="AQ59" s="586">
        <f t="shared" si="246"/>
        <v>0.56361317864857108</v>
      </c>
      <c r="AS59" s="52">
        <f t="shared" si="406"/>
        <v>-242.45001697211768</v>
      </c>
      <c r="AT59" s="72">
        <f t="shared" si="247"/>
        <v>-0.939614441066005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5.13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-3.6828902794545346</v>
      </c>
      <c r="C60" s="708">
        <v>-1.9041373049027974</v>
      </c>
      <c r="D60" s="709">
        <v>-1.8010054318323825</v>
      </c>
      <c r="E60" s="710">
        <v>5.857707097940968E-3</v>
      </c>
      <c r="F60" s="708">
        <v>-0.99985352658273241</v>
      </c>
      <c r="G60" s="711">
        <v>1.6081437983839864E-2</v>
      </c>
      <c r="H60" s="710">
        <v>0.26600000000000001</v>
      </c>
      <c r="I60" s="708">
        <v>0.52</v>
      </c>
      <c r="J60" s="570">
        <v>5.1360000000000001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5.1360000000000001</v>
      </c>
      <c r="N60" s="632">
        <f t="shared" si="240"/>
        <v>-3.6828902794545346</v>
      </c>
      <c r="O60" s="629">
        <f t="shared" si="241"/>
        <v>-1.9041373049027974</v>
      </c>
      <c r="P60" s="633">
        <f t="shared" si="242"/>
        <v>-1.8010054318323825</v>
      </c>
      <c r="Q60" s="585">
        <f t="shared" si="113"/>
        <v>207.33998305820256</v>
      </c>
      <c r="R60" s="629">
        <f t="shared" si="79"/>
        <v>4.1460125043737133</v>
      </c>
      <c r="S60" s="634">
        <f t="shared" si="80"/>
        <v>-1.8010054318323825</v>
      </c>
      <c r="T60" s="635">
        <f t="shared" si="81"/>
        <v>-1.9060654003623054</v>
      </c>
      <c r="U60" s="629">
        <f t="shared" si="82"/>
        <v>3.6818927708401388</v>
      </c>
      <c r="V60" s="636">
        <f t="shared" si="114"/>
        <v>-1.8010054318323825</v>
      </c>
      <c r="W60" s="585">
        <f t="shared" si="224"/>
        <v>117.3699830538711</v>
      </c>
      <c r="X60" s="629">
        <f t="shared" si="83"/>
        <v>4.1460125043737133</v>
      </c>
      <c r="Y60" s="630">
        <f t="shared" si="223"/>
        <v>-1.8010054318323825</v>
      </c>
      <c r="Z60" s="632">
        <f t="shared" si="243"/>
        <v>-5.857707097940968E-3</v>
      </c>
      <c r="AA60" s="629">
        <f t="shared" si="244"/>
        <v>0.99985352658273241</v>
      </c>
      <c r="AB60" s="629">
        <f t="shared" si="245"/>
        <v>-1.6081437983839864E-2</v>
      </c>
      <c r="AC60" s="636">
        <f t="shared" si="84"/>
        <v>1</v>
      </c>
      <c r="AD60" s="637">
        <f t="shared" si="115"/>
        <v>-5.857707097940968E-3</v>
      </c>
      <c r="AE60" s="629">
        <f t="shared" si="85"/>
        <v>0.99985352658273241</v>
      </c>
      <c r="AF60" s="633">
        <f t="shared" si="86"/>
        <v>-1.6081437983839864E-2</v>
      </c>
      <c r="AG60" s="602">
        <f t="shared" si="87"/>
        <v>89.078545945881558</v>
      </c>
      <c r="AH60" s="603">
        <f t="shared" si="88"/>
        <v>90.335623813716182</v>
      </c>
      <c r="AI60" s="585">
        <f t="shared" si="89"/>
        <v>-89.078561756183447</v>
      </c>
      <c r="AJ60" s="586">
        <f t="shared" si="90"/>
        <v>-179.66433277908638</v>
      </c>
      <c r="AK60" s="635">
        <f t="shared" si="211"/>
        <v>0.89085710876171054</v>
      </c>
      <c r="AL60" s="629">
        <f t="shared" si="91"/>
        <v>-0.45399889770912211</v>
      </c>
      <c r="AM60" s="634">
        <f t="shared" si="92"/>
        <v>-1.6081437983839864E-2</v>
      </c>
      <c r="AN60" s="581">
        <f t="shared" si="93"/>
        <v>-87.971331076666431</v>
      </c>
      <c r="AO60" s="582">
        <f t="shared" si="461"/>
        <v>27.018850857980013</v>
      </c>
      <c r="AP60" s="585">
        <f t="shared" si="95"/>
        <v>-27.004315837288932</v>
      </c>
      <c r="AQ60" s="586">
        <f t="shared" si="246"/>
        <v>0.54984316759739749</v>
      </c>
      <c r="AS60" s="52">
        <f t="shared" si="406"/>
        <v>-242.6300169461289</v>
      </c>
      <c r="AT60" s="72">
        <f t="shared" si="247"/>
        <v>-1.6324915311783565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5.1360000000000001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1313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-3.7225252707054604</v>
      </c>
      <c r="C61" s="708">
        <v>-1.9180472221903548</v>
      </c>
      <c r="D61" s="709">
        <v>-2.4837074908617924</v>
      </c>
      <c r="E61" s="710">
        <v>-0.13467819489913491</v>
      </c>
      <c r="F61" s="708">
        <v>-0.99088939030483814</v>
      </c>
      <c r="G61" s="711">
        <v>1.3008419223622367E-7</v>
      </c>
      <c r="H61" s="710">
        <v>0.26600000000000001</v>
      </c>
      <c r="I61" s="708">
        <v>0.52</v>
      </c>
      <c r="J61" s="570">
        <v>5.1420000000000003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5.1420000000000003</v>
      </c>
      <c r="N61" s="632">
        <f t="shared" si="240"/>
        <v>-3.7225252707054604</v>
      </c>
      <c r="O61" s="629">
        <f t="shared" si="241"/>
        <v>-1.9180472221903548</v>
      </c>
      <c r="P61" s="633">
        <f t="shared" si="242"/>
        <v>-2.4837074908617924</v>
      </c>
      <c r="Q61" s="585">
        <f t="shared" si="113"/>
        <v>207.25998306975313</v>
      </c>
      <c r="R61" s="629">
        <f t="shared" si="79"/>
        <v>4.1876126298396912</v>
      </c>
      <c r="S61" s="634">
        <f t="shared" si="80"/>
        <v>-2.4837074908617924</v>
      </c>
      <c r="T61" s="635">
        <f t="shared" si="81"/>
        <v>-1.9199960685720663</v>
      </c>
      <c r="U61" s="629">
        <f t="shared" si="82"/>
        <v>3.7215204734437108</v>
      </c>
      <c r="V61" s="636">
        <f t="shared" si="114"/>
        <v>-2.4837074908617924</v>
      </c>
      <c r="W61" s="585">
        <f t="shared" si="224"/>
        <v>117.28998306542167</v>
      </c>
      <c r="X61" s="629">
        <f t="shared" si="83"/>
        <v>4.1876126298396912</v>
      </c>
      <c r="Y61" s="630">
        <f t="shared" si="223"/>
        <v>-2.4837074908617924</v>
      </c>
      <c r="Z61" s="632">
        <f t="shared" si="243"/>
        <v>0.13467819489913491</v>
      </c>
      <c r="AA61" s="629">
        <f t="shared" si="244"/>
        <v>0.99088939030483814</v>
      </c>
      <c r="AB61" s="629">
        <f t="shared" si="245"/>
        <v>-1.3008419223622367E-7</v>
      </c>
      <c r="AC61" s="636">
        <f t="shared" si="84"/>
        <v>1</v>
      </c>
      <c r="AD61" s="637">
        <f t="shared" si="115"/>
        <v>0.13467819489913491</v>
      </c>
      <c r="AE61" s="629">
        <f t="shared" si="85"/>
        <v>0.99088939030483814</v>
      </c>
      <c r="AF61" s="633">
        <f t="shared" si="86"/>
        <v>-1.3008419223622367E-7</v>
      </c>
      <c r="AG61" s="602">
        <f t="shared" si="87"/>
        <v>89.999992478196589</v>
      </c>
      <c r="AH61" s="603">
        <f t="shared" si="88"/>
        <v>82.259988123127926</v>
      </c>
      <c r="AI61" s="585">
        <f t="shared" si="89"/>
        <v>-89.999992546724798</v>
      </c>
      <c r="AJ61" s="586">
        <f t="shared" si="90"/>
        <v>172.25998812312787</v>
      </c>
      <c r="AK61" s="635">
        <f t="shared" si="211"/>
        <v>0.81915209487729201</v>
      </c>
      <c r="AL61" s="629">
        <f t="shared" si="91"/>
        <v>-0.5735763641034447</v>
      </c>
      <c r="AM61" s="634">
        <f t="shared" si="92"/>
        <v>-1.3008419223622367E-7</v>
      </c>
      <c r="AN61" s="581">
        <f t="shared" si="93"/>
        <v>-89.999987005609611</v>
      </c>
      <c r="AO61" s="582">
        <f t="shared" si="461"/>
        <v>34.999994946625954</v>
      </c>
      <c r="AP61" s="585">
        <f t="shared" si="95"/>
        <v>-34.999994946625279</v>
      </c>
      <c r="AQ61" s="586">
        <f t="shared" si="246"/>
        <v>0.54438130583656075</v>
      </c>
      <c r="AS61" s="52">
        <f t="shared" si="406"/>
        <v>-242.71001693457833</v>
      </c>
      <c r="AT61" s="72">
        <f t="shared" si="247"/>
        <v>-2.3151380346602322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5.1420000000000003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1313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-1.5318080568185679</v>
      </c>
      <c r="C62" s="708">
        <v>0.18130175692949982</v>
      </c>
      <c r="D62" s="709">
        <v>-0.19409999999999999</v>
      </c>
      <c r="E62" s="710">
        <v>8.6551577694423953E-2</v>
      </c>
      <c r="F62" s="708">
        <v>-1.0244301080867071E-2</v>
      </c>
      <c r="G62" s="711">
        <v>0.99619469918985748</v>
      </c>
      <c r="H62" s="710">
        <v>0.26250000000000001</v>
      </c>
      <c r="I62" s="708">
        <v>0.40699999999999997</v>
      </c>
      <c r="J62" s="570">
        <v>5.2069999999999999</v>
      </c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Inactive</v>
      </c>
      <c r="L62" s="320"/>
      <c r="M62" s="168">
        <f t="shared" si="239"/>
        <v>5.2069999999999999</v>
      </c>
      <c r="N62" s="632">
        <f t="shared" si="240"/>
        <v>-1.5318080568185679</v>
      </c>
      <c r="O62" s="629">
        <f t="shared" si="241"/>
        <v>0.18130175692949982</v>
      </c>
      <c r="P62" s="633">
        <f t="shared" si="242"/>
        <v>-0.19409999999999999</v>
      </c>
      <c r="Q62" s="585">
        <f t="shared" si="113"/>
        <v>173.24998798018888</v>
      </c>
      <c r="R62" s="629">
        <f t="shared" si="79"/>
        <v>1.5425000000000002</v>
      </c>
      <c r="S62" s="634">
        <f t="shared" si="80"/>
        <v>-0.19409999999999999</v>
      </c>
      <c r="T62" s="635">
        <f t="shared" si="81"/>
        <v>0.18049967940650291</v>
      </c>
      <c r="U62" s="629">
        <f t="shared" si="82"/>
        <v>1.5319027762015938</v>
      </c>
      <c r="V62" s="636">
        <f t="shared" si="114"/>
        <v>-0.19409999999999999</v>
      </c>
      <c r="W62" s="585">
        <f t="shared" si="224"/>
        <v>83.279987975857409</v>
      </c>
      <c r="X62" s="629">
        <f t="shared" si="83"/>
        <v>1.5425000000000002</v>
      </c>
      <c r="Y62" s="630">
        <f t="shared" si="223"/>
        <v>-0.19409999999999999</v>
      </c>
      <c r="Z62" s="632">
        <f t="shared" si="243"/>
        <v>-8.6551577694423953E-2</v>
      </c>
      <c r="AA62" s="629">
        <f t="shared" si="244"/>
        <v>1.0244301080867071E-2</v>
      </c>
      <c r="AB62" s="629">
        <f t="shared" si="245"/>
        <v>-0.99619469918985748</v>
      </c>
      <c r="AC62" s="636">
        <f t="shared" si="84"/>
        <v>1</v>
      </c>
      <c r="AD62" s="637">
        <f t="shared" si="115"/>
        <v>-8.6551577694423953E-2</v>
      </c>
      <c r="AE62" s="629">
        <f t="shared" si="85"/>
        <v>1.0244301080867071E-2</v>
      </c>
      <c r="AF62" s="633">
        <f t="shared" si="86"/>
        <v>-0.99619469918985748</v>
      </c>
      <c r="AG62" s="602">
        <f t="shared" si="87"/>
        <v>0.58917652122808084</v>
      </c>
      <c r="AH62" s="603">
        <f t="shared" si="88"/>
        <v>94.965252584098536</v>
      </c>
      <c r="AI62" s="585">
        <f t="shared" si="89"/>
        <v>-4.9999992781062668</v>
      </c>
      <c r="AJ62" s="586">
        <f t="shared" si="90"/>
        <v>-96.750161113741797</v>
      </c>
      <c r="AK62" s="635">
        <f t="shared" si="211"/>
        <v>2.2679489669087671E-7</v>
      </c>
      <c r="AL62" s="629">
        <f t="shared" si="91"/>
        <v>8.7155730195885142E-2</v>
      </c>
      <c r="AM62" s="634">
        <f t="shared" si="92"/>
        <v>-0.99619469918985748</v>
      </c>
      <c r="AN62" s="581">
        <f t="shared" si="93"/>
        <v>4.9999992780894207</v>
      </c>
      <c r="AO62" s="582">
        <f t="shared" si="461"/>
        <v>0</v>
      </c>
      <c r="AP62" s="585">
        <f t="shared" si="95"/>
        <v>89.999850906069341</v>
      </c>
      <c r="AQ62" s="586">
        <f t="shared" si="246"/>
        <v>1.4776150439707514</v>
      </c>
      <c r="AS62" s="52">
        <f t="shared" si="406"/>
        <v>-276.72001202414259</v>
      </c>
      <c r="AT62" s="72">
        <f t="shared" si="247"/>
        <v>-1.9124916529089098E-3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Nose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5.2069999999999999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1.107</v>
      </c>
      <c r="II62" s="734" cm="1">
        <f t="array" ref="II62">IFERROR(ROUND(VALUE(IF($IH62&lt;1,$IH62+LARGE((IF($M$9:$M$150="",0,$M$9:$M$150)-MOD(IF($M$9:$M$150="",0,$M$9:$M$150),1)),1),$IH62)),4),"")</f>
        <v>1.107</v>
      </c>
      <c r="IJ62" s="533">
        <f t="shared" si="112"/>
        <v>1313</v>
      </c>
      <c r="IK62" s="533" t="str">
        <f t="shared" si="382"/>
        <v>Inactive</v>
      </c>
      <c r="IL62" s="727">
        <f t="shared" si="225"/>
        <v>276.75001201981109</v>
      </c>
      <c r="IM62" s="759">
        <v>3.4478818058271E-2</v>
      </c>
      <c r="IN62" s="5">
        <f t="shared" si="226"/>
        <v>0.08</v>
      </c>
      <c r="IO62" s="771">
        <v>40</v>
      </c>
      <c r="IP62" s="9">
        <f t="shared" si="227"/>
        <v>-1.5418046500828246</v>
      </c>
      <c r="IQ62" s="5">
        <f t="shared" si="228"/>
        <v>-0.12900038906517344</v>
      </c>
      <c r="IR62" s="5">
        <f t="shared" si="383"/>
        <v>0.26600000000000001</v>
      </c>
      <c r="IS62" s="5">
        <f t="shared" si="229"/>
        <v>0.25693627239520717</v>
      </c>
      <c r="IT62" s="727">
        <f t="shared" si="230"/>
        <v>-4.9999992780894225</v>
      </c>
      <c r="IU62" s="9">
        <f t="shared" si="231"/>
        <v>-1.5425000000000002</v>
      </c>
      <c r="IV62" s="5">
        <f t="shared" si="232"/>
        <v>-0.19409999999999999</v>
      </c>
      <c r="IW62" s="5">
        <f t="shared" si="384"/>
        <v>0.26250000000000001</v>
      </c>
      <c r="IX62" s="5">
        <f t="shared" si="233"/>
        <v>0.26250000000000001</v>
      </c>
      <c r="IY62" s="762">
        <f t="shared" si="234"/>
        <v>-4.9999992780894207</v>
      </c>
    </row>
    <row r="63" spans="1:259" ht="15" customHeight="1" x14ac:dyDescent="0.25">
      <c r="A63" s="79"/>
      <c r="B63" s="707">
        <v>-2.1582674072010049</v>
      </c>
      <c r="C63" s="708">
        <v>-0.1804755911857556</v>
      </c>
      <c r="D63" s="709">
        <v>-0.13720000000000004</v>
      </c>
      <c r="E63" s="710">
        <v>8.6852623863480749E-2</v>
      </c>
      <c r="F63" s="708">
        <v>7.2624399521169624E-3</v>
      </c>
      <c r="G63" s="711">
        <v>0.99619469918985759</v>
      </c>
      <c r="H63" s="710">
        <v>0.26250000000000001</v>
      </c>
      <c r="I63" s="708">
        <v>0.40699999999999997</v>
      </c>
      <c r="J63" s="570">
        <v>5.21</v>
      </c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Inactive</v>
      </c>
      <c r="L63" s="320"/>
      <c r="M63" s="168">
        <f t="shared" si="239"/>
        <v>5.21</v>
      </c>
      <c r="N63" s="632">
        <f t="shared" si="240"/>
        <v>-2.1582674072010049</v>
      </c>
      <c r="O63" s="629">
        <f t="shared" si="241"/>
        <v>-0.1804755911857556</v>
      </c>
      <c r="P63" s="633">
        <f t="shared" si="242"/>
        <v>-0.13720000000000004</v>
      </c>
      <c r="Q63" s="585">
        <f t="shared" si="113"/>
        <v>184.77998631546311</v>
      </c>
      <c r="R63" s="629">
        <f t="shared" si="79"/>
        <v>2.1657999999999991</v>
      </c>
      <c r="S63" s="634">
        <f t="shared" si="80"/>
        <v>-0.13720000000000004</v>
      </c>
      <c r="T63" s="635">
        <f t="shared" si="81"/>
        <v>-0.1816056324035869</v>
      </c>
      <c r="U63" s="629">
        <f t="shared" si="82"/>
        <v>2.1581726145698563</v>
      </c>
      <c r="V63" s="636">
        <f t="shared" si="114"/>
        <v>-0.13720000000000004</v>
      </c>
      <c r="W63" s="585">
        <f t="shared" si="224"/>
        <v>94.809986311131638</v>
      </c>
      <c r="X63" s="629">
        <f t="shared" si="83"/>
        <v>2.1657999999999991</v>
      </c>
      <c r="Y63" s="630">
        <f t="shared" si="223"/>
        <v>-0.13720000000000004</v>
      </c>
      <c r="Z63" s="632">
        <f t="shared" si="243"/>
        <v>-8.6852623863480749E-2</v>
      </c>
      <c r="AA63" s="629">
        <f t="shared" si="244"/>
        <v>-7.2624399521169624E-3</v>
      </c>
      <c r="AB63" s="629">
        <f t="shared" si="245"/>
        <v>-0.99619469918985759</v>
      </c>
      <c r="AC63" s="636">
        <f t="shared" si="84"/>
        <v>1</v>
      </c>
      <c r="AD63" s="637">
        <f t="shared" si="115"/>
        <v>-8.6852623863480749E-2</v>
      </c>
      <c r="AE63" s="629">
        <f t="shared" si="85"/>
        <v>-7.2624399521169624E-3</v>
      </c>
      <c r="AF63" s="633">
        <f t="shared" si="86"/>
        <v>-0.99619469918985759</v>
      </c>
      <c r="AG63" s="602">
        <f t="shared" si="87"/>
        <v>-0.41768922000573627</v>
      </c>
      <c r="AH63" s="603">
        <f t="shared" si="88"/>
        <v>94.982566458249281</v>
      </c>
      <c r="AI63" s="585">
        <f t="shared" si="89"/>
        <v>-4.9999992781061904</v>
      </c>
      <c r="AJ63" s="586">
        <f t="shared" si="90"/>
        <v>-85.220162778467596</v>
      </c>
      <c r="AK63" s="635">
        <f t="shared" si="211"/>
        <v>2.2679489671776493E-7</v>
      </c>
      <c r="AL63" s="629">
        <f t="shared" si="91"/>
        <v>8.7155730195885198E-2</v>
      </c>
      <c r="AM63" s="634">
        <f t="shared" si="92"/>
        <v>-0.99619469918985759</v>
      </c>
      <c r="AN63" s="581">
        <f t="shared" si="93"/>
        <v>4.9999992780894242</v>
      </c>
      <c r="AO63" s="582">
        <f t="shared" si="461"/>
        <v>0</v>
      </c>
      <c r="AP63" s="585">
        <f t="shared" si="95"/>
        <v>89.999850906069312</v>
      </c>
      <c r="AQ63" s="586">
        <f t="shared" si="246"/>
        <v>1.0524841669781133</v>
      </c>
      <c r="AS63" s="52">
        <f t="shared" si="406"/>
        <v>-265.19001368886836</v>
      </c>
      <c r="AT63" s="72">
        <f t="shared" si="247"/>
        <v>4.6980565058706125E-2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Nose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5.21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1.1100000000000001</v>
      </c>
      <c r="II63" s="734" cm="1">
        <f t="array" ref="II63">IFERROR(ROUND(VALUE(IF($IH63&lt;1,$IH63+LARGE((IF($M$9:$M$150="",0,$M$9:$M$150)-MOD(IF($M$9:$M$150="",0,$M$9:$M$150),1)),1),$IH63)),4),"")</f>
        <v>1.1100000000000001</v>
      </c>
      <c r="IJ63" s="533">
        <f t="shared" si="112"/>
        <v>1313</v>
      </c>
      <c r="IK63" s="533" t="str">
        <f t="shared" si="382"/>
        <v>Inactive</v>
      </c>
      <c r="IL63" s="727">
        <f t="shared" si="225"/>
        <v>265.19001368886836</v>
      </c>
      <c r="IM63" s="759">
        <v>3.5643189372908203E-2</v>
      </c>
      <c r="IN63" s="5">
        <f t="shared" si="226"/>
        <v>0.08</v>
      </c>
      <c r="IO63" s="771">
        <v>40</v>
      </c>
      <c r="IP63" s="9">
        <f t="shared" si="227"/>
        <v>-2.1651065299612942</v>
      </c>
      <c r="IQ63" s="5">
        <f t="shared" si="228"/>
        <v>-7.4500224692677655E-2</v>
      </c>
      <c r="IR63" s="5">
        <f t="shared" si="383"/>
        <v>0.26600000000000001</v>
      </c>
      <c r="IS63" s="5">
        <f t="shared" si="229"/>
        <v>0.25691366914720826</v>
      </c>
      <c r="IT63" s="727">
        <f t="shared" si="230"/>
        <v>-2.06597985547024</v>
      </c>
      <c r="IU63" s="9">
        <f t="shared" si="231"/>
        <v>-2.1657999999999991</v>
      </c>
      <c r="IV63" s="5">
        <f t="shared" si="232"/>
        <v>-0.13720000000000004</v>
      </c>
      <c r="IW63" s="5">
        <f t="shared" si="384"/>
        <v>0.26250000000000001</v>
      </c>
      <c r="IX63" s="5">
        <f t="shared" si="233"/>
        <v>0.26250000000000001</v>
      </c>
      <c r="IY63" s="762">
        <f t="shared" si="234"/>
        <v>-4.9999992780894242</v>
      </c>
    </row>
    <row r="64" spans="1:259" ht="15" customHeight="1" x14ac:dyDescent="0.25">
      <c r="A64" s="79"/>
      <c r="B64" s="707">
        <v>-3.9913966000971657</v>
      </c>
      <c r="C64" s="708">
        <v>-1.0173931186595702</v>
      </c>
      <c r="D64" s="709">
        <v>-1.3623102628230688</v>
      </c>
      <c r="E64" s="710">
        <v>-0.29766641013390549</v>
      </c>
      <c r="F64" s="708">
        <v>-0.9435314433306673</v>
      </c>
      <c r="G64" s="711">
        <v>0.14540675267793207</v>
      </c>
      <c r="H64" s="710">
        <v>0.26600000000000001</v>
      </c>
      <c r="I64" s="708">
        <v>0.52</v>
      </c>
      <c r="J64" s="570">
        <v>5.2320000000000002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1313</v>
      </c>
      <c r="L64" s="320"/>
      <c r="M64" s="168">
        <f t="shared" si="239"/>
        <v>5.2320000000000002</v>
      </c>
      <c r="N64" s="632">
        <f t="shared" si="240"/>
        <v>-3.9913966000971657</v>
      </c>
      <c r="O64" s="629">
        <f t="shared" si="241"/>
        <v>-1.0173931186595702</v>
      </c>
      <c r="P64" s="633">
        <f t="shared" si="242"/>
        <v>-1.3623102628230688</v>
      </c>
      <c r="Q64" s="585">
        <f t="shared" si="113"/>
        <v>194.29998494094536</v>
      </c>
      <c r="R64" s="629">
        <f t="shared" si="79"/>
        <v>4.1190211916380157</v>
      </c>
      <c r="S64" s="634">
        <f t="shared" si="80"/>
        <v>-1.3623102628230688</v>
      </c>
      <c r="T64" s="635">
        <f t="shared" si="81"/>
        <v>-1.0194828691730669</v>
      </c>
      <c r="U64" s="629">
        <f t="shared" si="82"/>
        <v>3.9908633472753374</v>
      </c>
      <c r="V64" s="636">
        <f t="shared" si="114"/>
        <v>-1.3623102628230688</v>
      </c>
      <c r="W64" s="585">
        <f t="shared" si="224"/>
        <v>104.3299849366139</v>
      </c>
      <c r="X64" s="629">
        <f t="shared" si="83"/>
        <v>4.1190211916380157</v>
      </c>
      <c r="Y64" s="630">
        <f t="shared" si="223"/>
        <v>-1.3623102628230688</v>
      </c>
      <c r="Z64" s="632">
        <f t="shared" si="243"/>
        <v>0.29766641013390549</v>
      </c>
      <c r="AA64" s="629">
        <f t="shared" si="244"/>
        <v>0.9435314433306673</v>
      </c>
      <c r="AB64" s="629">
        <f t="shared" si="245"/>
        <v>-0.14540675267793207</v>
      </c>
      <c r="AC64" s="636">
        <f t="shared" si="84"/>
        <v>1</v>
      </c>
      <c r="AD64" s="637">
        <f t="shared" si="115"/>
        <v>0.29766641013390549</v>
      </c>
      <c r="AE64" s="629">
        <f t="shared" si="85"/>
        <v>0.9435314433306673</v>
      </c>
      <c r="AF64" s="633">
        <f t="shared" si="86"/>
        <v>-0.14540675267793207</v>
      </c>
      <c r="AG64" s="602">
        <f t="shared" si="87"/>
        <v>81.239122667266372</v>
      </c>
      <c r="AH64" s="603">
        <f t="shared" si="88"/>
        <v>72.682503910665829</v>
      </c>
      <c r="AI64" s="585">
        <f t="shared" si="89"/>
        <v>-81.639165960840785</v>
      </c>
      <c r="AJ64" s="586">
        <f t="shared" si="90"/>
        <v>162.4904953725194</v>
      </c>
      <c r="AK64" s="635">
        <f t="shared" si="211"/>
        <v>0.84077363930513394</v>
      </c>
      <c r="AL64" s="629">
        <f t="shared" si="91"/>
        <v>-0.5214945481261134</v>
      </c>
      <c r="AM64" s="634">
        <f t="shared" si="92"/>
        <v>-0.14540675267793207</v>
      </c>
      <c r="AN64" s="581">
        <f t="shared" si="93"/>
        <v>-74.420095200573783</v>
      </c>
      <c r="AO64" s="582">
        <f t="shared" si="461"/>
        <v>32.778095591563499</v>
      </c>
      <c r="AP64" s="585">
        <f t="shared" si="95"/>
        <v>-31.809489568425956</v>
      </c>
      <c r="AQ64" s="586">
        <f t="shared" si="246"/>
        <v>0.55344598197100903</v>
      </c>
      <c r="AS64" s="52">
        <f t="shared" si="406"/>
        <v>-255.6700150633861</v>
      </c>
      <c r="AT64" s="72">
        <f t="shared" si="247"/>
        <v>-1.1847408079209476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>Gage</v>
      </c>
      <c r="IG64" s="847">
        <f t="shared" si="210"/>
        <v>5.2320000000000002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3.1320000000000001</v>
      </c>
      <c r="II64" s="734" cm="1">
        <f t="array" ref="II64">IFERROR(ROUND(VALUE(IF($IH64&lt;1,$IH64+LARGE((IF($M$9:$M$150="",0,$M$9:$M$150)-MOD(IF($M$9:$M$150="",0,$M$9:$M$150),1)),1),$IH64)),4),"")</f>
        <v>3.1320000000000001</v>
      </c>
      <c r="IJ64" s="533">
        <f t="shared" si="112"/>
        <v>1313</v>
      </c>
      <c r="IK64" s="533">
        <f t="shared" si="382"/>
        <v>1313</v>
      </c>
      <c r="IL64" s="727">
        <f t="shared" si="225"/>
        <v>133.09998078274043</v>
      </c>
      <c r="IM64" s="759">
        <v>1.0989544355210999E-3</v>
      </c>
      <c r="IN64" s="5">
        <f t="shared" si="226"/>
        <v>0</v>
      </c>
      <c r="IO64" s="771">
        <v>0</v>
      </c>
      <c r="IP64" s="9">
        <f t="shared" si="227"/>
        <v>-4.110812398210193</v>
      </c>
      <c r="IQ64" s="5">
        <f t="shared" si="228"/>
        <v>-1.3349040260705425</v>
      </c>
      <c r="IR64" s="5">
        <f t="shared" si="383"/>
        <v>0.26600000000000001</v>
      </c>
      <c r="IS64" s="5">
        <f t="shared" si="229"/>
        <v>0.24451532756512223</v>
      </c>
      <c r="IT64" s="727">
        <f t="shared" si="230"/>
        <v>79.837778035754425</v>
      </c>
      <c r="IU64" s="9">
        <f t="shared" si="231"/>
        <v>-4.1190211916380157</v>
      </c>
      <c r="IV64" s="5">
        <f t="shared" si="232"/>
        <v>-1.3623102628230688</v>
      </c>
      <c r="IW64" s="5">
        <f t="shared" si="384"/>
        <v>0.26600000000000001</v>
      </c>
      <c r="IX64" s="5">
        <f t="shared" si="233"/>
        <v>0.22364578805516566</v>
      </c>
      <c r="IY64" s="762">
        <f t="shared" si="234"/>
        <v>74.420095200573783</v>
      </c>
    </row>
    <row r="65" spans="1:259" ht="15" customHeight="1" x14ac:dyDescent="0.25">
      <c r="A65" s="79"/>
      <c r="B65" s="707">
        <v>-4.0303657428491322</v>
      </c>
      <c r="C65" s="708">
        <v>-1.0318222290432235</v>
      </c>
      <c r="D65" s="709">
        <v>-2.0612727592836713</v>
      </c>
      <c r="E65" s="710">
        <v>-0.36295800240147241</v>
      </c>
      <c r="F65" s="708">
        <v>-0.93098605652294175</v>
      </c>
      <c r="G65" s="711">
        <v>3.906982278683719E-2</v>
      </c>
      <c r="H65" s="710">
        <v>0.26600000000000001</v>
      </c>
      <c r="I65" s="708">
        <v>0.52</v>
      </c>
      <c r="J65" s="570">
        <v>5.2380000000000004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5.2380000000000004</v>
      </c>
      <c r="N65" s="632">
        <f t="shared" si="240"/>
        <v>-4.0303657428491322</v>
      </c>
      <c r="O65" s="629">
        <f t="shared" si="241"/>
        <v>-1.0318222290432235</v>
      </c>
      <c r="P65" s="633">
        <f t="shared" si="242"/>
        <v>-2.0612727592836713</v>
      </c>
      <c r="Q65" s="585">
        <f t="shared" si="113"/>
        <v>194.35998493228243</v>
      </c>
      <c r="R65" s="629">
        <f t="shared" si="79"/>
        <v>4.1603491600440901</v>
      </c>
      <c r="S65" s="634">
        <f t="shared" si="80"/>
        <v>-2.0612727592836713</v>
      </c>
      <c r="T65" s="635">
        <f t="shared" si="81"/>
        <v>-1.0339323817703625</v>
      </c>
      <c r="U65" s="629">
        <f t="shared" si="82"/>
        <v>4.0298249296224062</v>
      </c>
      <c r="V65" s="636">
        <f t="shared" si="114"/>
        <v>-2.0612727592836713</v>
      </c>
      <c r="W65" s="585">
        <f t="shared" si="224"/>
        <v>104.38998492795096</v>
      </c>
      <c r="X65" s="629">
        <f t="shared" si="83"/>
        <v>4.1603491600440901</v>
      </c>
      <c r="Y65" s="630">
        <f t="shared" si="223"/>
        <v>-2.0612727592836713</v>
      </c>
      <c r="Z65" s="632">
        <f t="shared" si="243"/>
        <v>0.36295800240147241</v>
      </c>
      <c r="AA65" s="629">
        <f t="shared" si="244"/>
        <v>0.93098605652294175</v>
      </c>
      <c r="AB65" s="629">
        <f t="shared" si="245"/>
        <v>-3.906982278683719E-2</v>
      </c>
      <c r="AC65" s="636">
        <f t="shared" si="84"/>
        <v>1</v>
      </c>
      <c r="AD65" s="637">
        <f t="shared" si="115"/>
        <v>0.36295800240147241</v>
      </c>
      <c r="AE65" s="629">
        <f t="shared" si="85"/>
        <v>0.93098605652294175</v>
      </c>
      <c r="AF65" s="633">
        <f t="shared" si="86"/>
        <v>-3.906982278683719E-2</v>
      </c>
      <c r="AG65" s="602">
        <f t="shared" si="87"/>
        <v>87.596931565044031</v>
      </c>
      <c r="AH65" s="603">
        <f t="shared" si="88"/>
        <v>68.718031403598573</v>
      </c>
      <c r="AI65" s="585">
        <f t="shared" si="89"/>
        <v>-87.760894153847971</v>
      </c>
      <c r="AJ65" s="586">
        <f t="shared" si="90"/>
        <v>158.70097728201412</v>
      </c>
      <c r="AK65" s="635">
        <f t="shared" si="211"/>
        <v>0.8118804562445695</v>
      </c>
      <c r="AL65" s="629">
        <f t="shared" si="91"/>
        <v>-0.58251495578698664</v>
      </c>
      <c r="AM65" s="634">
        <f t="shared" si="92"/>
        <v>-3.906982278683719E-2</v>
      </c>
      <c r="AN65" s="581">
        <f t="shared" si="93"/>
        <v>-86.162865402008308</v>
      </c>
      <c r="AO65" s="582">
        <f t="shared" si="461"/>
        <v>35.71993393958639</v>
      </c>
      <c r="AP65" s="585">
        <f t="shared" si="95"/>
        <v>-35.6590076502683</v>
      </c>
      <c r="AQ65" s="586">
        <f t="shared" si="246"/>
        <v>0.54794851155042013</v>
      </c>
      <c r="AS65" s="52">
        <f t="shared" si="406"/>
        <v>-255.61001507204904</v>
      </c>
      <c r="AT65" s="72">
        <f t="shared" si="247"/>
        <v>-1.8837449710422007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Taper</v>
      </c>
      <c r="IF65" s="533" t="str">
        <f>IFERROR(IF((((($IW65*COS(RADIANS(180-$IY65)))*COS(RADIANS($IY65)))-(($IX65*SIN(RADIANS(180-$IY65)))*SIN(RADIANS($IY65))))+$IU65)&lt;(((Settings!$C$19+$IF$8)/2)*-1),"Gage",""),"")</f>
        <v>Gage</v>
      </c>
      <c r="IG65" s="847">
        <f t="shared" si="210"/>
        <v>5.2380000000000004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3.1379999999999999</v>
      </c>
      <c r="II65" s="734" cm="1">
        <f t="array" ref="II65">IFERROR(ROUND(VALUE(IF($IH65&lt;1,$IH65+LARGE((IF($M$9:$M$150="",0,$M$9:$M$150)-MOD(IF($M$9:$M$150="",0,$M$9:$M$150),1)),1),$IH65)),4),"")</f>
        <v>3.1379999999999999</v>
      </c>
      <c r="IJ65" s="533">
        <f t="shared" si="112"/>
        <v>1313</v>
      </c>
      <c r="IK65" s="533">
        <f t="shared" si="382"/>
        <v>1313</v>
      </c>
      <c r="IL65" s="727">
        <f t="shared" si="225"/>
        <v>132.95998080295391</v>
      </c>
      <c r="IM65" s="759">
        <v>9.1244312555008203E-4</v>
      </c>
      <c r="IN65" s="5">
        <f t="shared" si="226"/>
        <v>0</v>
      </c>
      <c r="IO65" s="771">
        <v>0</v>
      </c>
      <c r="IP65" s="9">
        <f t="shared" si="227"/>
        <v>-4.1542125291049885</v>
      </c>
      <c r="IQ65" s="5">
        <f t="shared" si="228"/>
        <v>-2.0285061179744521</v>
      </c>
      <c r="IR65" s="5">
        <f t="shared" si="383"/>
        <v>0.26600000000000001</v>
      </c>
      <c r="IS65" s="5">
        <f t="shared" si="229"/>
        <v>0.2327791728682016</v>
      </c>
      <c r="IT65" s="727">
        <f t="shared" si="230"/>
        <v>88.945879607636442</v>
      </c>
      <c r="IU65" s="9">
        <f t="shared" si="231"/>
        <v>-4.1603491600440901</v>
      </c>
      <c r="IV65" s="5">
        <f t="shared" si="232"/>
        <v>-2.0612727592836713</v>
      </c>
      <c r="IW65" s="5">
        <f t="shared" si="384"/>
        <v>0.26600000000000001</v>
      </c>
      <c r="IX65" s="5">
        <f t="shared" si="233"/>
        <v>0.21596020136105551</v>
      </c>
      <c r="IY65" s="762">
        <f t="shared" si="234"/>
        <v>86.162865402008308</v>
      </c>
    </row>
    <row r="66" spans="1:259" ht="15" customHeight="1" x14ac:dyDescent="0.25">
      <c r="A66" s="79"/>
      <c r="B66" s="707">
        <v>-1.9701809813240945</v>
      </c>
      <c r="C66" s="708">
        <v>1.141155734228205</v>
      </c>
      <c r="D66" s="709">
        <v>-6.4700195135788535E-2</v>
      </c>
      <c r="E66" s="710">
        <v>-0.48315685830626665</v>
      </c>
      <c r="F66" s="708">
        <v>-0.83614366209215063</v>
      </c>
      <c r="G66" s="711">
        <v>0.25965982865038173</v>
      </c>
      <c r="H66" s="710">
        <v>0.26600000000000001</v>
      </c>
      <c r="I66" s="708">
        <v>0.52</v>
      </c>
      <c r="J66" s="570">
        <v>6.1109999999999998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6.1109999999999998</v>
      </c>
      <c r="N66" s="632">
        <f t="shared" si="240"/>
        <v>-1.9701809813240945</v>
      </c>
      <c r="O66" s="629">
        <f t="shared" si="241"/>
        <v>1.141155734228205</v>
      </c>
      <c r="P66" s="633">
        <f t="shared" si="242"/>
        <v>-6.4700195135788535E-2</v>
      </c>
      <c r="Q66" s="585">
        <f t="shared" si="113"/>
        <v>149.91999134862363</v>
      </c>
      <c r="R66" s="629">
        <f t="shared" si="79"/>
        <v>2.2768068668495105</v>
      </c>
      <c r="S66" s="634">
        <f t="shared" si="80"/>
        <v>-6.4700195135788535E-2</v>
      </c>
      <c r="T66" s="635">
        <f t="shared" si="81"/>
        <v>1.1401239936476424</v>
      </c>
      <c r="U66" s="629">
        <f t="shared" si="82"/>
        <v>1.9707782188876646</v>
      </c>
      <c r="V66" s="636">
        <f t="shared" si="114"/>
        <v>-6.4700195135788535E-2</v>
      </c>
      <c r="W66" s="585">
        <f t="shared" si="224"/>
        <v>59.949991344292158</v>
      </c>
      <c r="X66" s="629">
        <f t="shared" si="83"/>
        <v>2.2768068668495105</v>
      </c>
      <c r="Y66" s="630">
        <f t="shared" si="223"/>
        <v>-6.4700195135788535E-2</v>
      </c>
      <c r="Z66" s="632">
        <f t="shared" si="243"/>
        <v>0.48315685830626665</v>
      </c>
      <c r="AA66" s="629">
        <f t="shared" si="244"/>
        <v>0.83614366209215063</v>
      </c>
      <c r="AB66" s="629">
        <f t="shared" si="245"/>
        <v>-0.25965982865038173</v>
      </c>
      <c r="AC66" s="636">
        <f t="shared" si="84"/>
        <v>1</v>
      </c>
      <c r="AD66" s="637">
        <f t="shared" si="115"/>
        <v>0.48315685830626665</v>
      </c>
      <c r="AE66" s="629">
        <f t="shared" si="85"/>
        <v>0.83614366209215063</v>
      </c>
      <c r="AF66" s="633">
        <f t="shared" si="86"/>
        <v>-0.25965982865038173</v>
      </c>
      <c r="AG66" s="602">
        <f t="shared" si="87"/>
        <v>72.748105047316258</v>
      </c>
      <c r="AH66" s="603">
        <f t="shared" si="88"/>
        <v>61.108214799097155</v>
      </c>
      <c r="AI66" s="585">
        <f t="shared" si="89"/>
        <v>-74.950121455802375</v>
      </c>
      <c r="AJ66" s="586">
        <f t="shared" si="90"/>
        <v>149.97898014329937</v>
      </c>
      <c r="AK66" s="635">
        <f t="shared" si="211"/>
        <v>0.96569963491850419</v>
      </c>
      <c r="AL66" s="629">
        <f t="shared" si="91"/>
        <v>9.942351442634445E-4</v>
      </c>
      <c r="AM66" s="634">
        <f t="shared" si="92"/>
        <v>-0.25965982865038173</v>
      </c>
      <c r="AN66" s="581">
        <f t="shared" si="93"/>
        <v>0.21938395135995564</v>
      </c>
      <c r="AO66" s="582">
        <f t="shared" si="461"/>
        <v>15.049991477575306</v>
      </c>
      <c r="AP66" s="585">
        <f t="shared" si="95"/>
        <v>5.8988794675727353E-2</v>
      </c>
      <c r="AQ66" s="586">
        <f t="shared" si="246"/>
        <v>1.0011804831120918</v>
      </c>
      <c r="AS66" s="52">
        <f t="shared" si="406"/>
        <v>-300.05000865570787</v>
      </c>
      <c r="AT66" s="72">
        <f t="shared" si="247"/>
        <v>0.14368869976100063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6.1109999999999998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1313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-2.538189527938433</v>
      </c>
      <c r="C67" s="708">
        <v>1.508865253651744</v>
      </c>
      <c r="D67" s="709">
        <v>-0.10780032512578058</v>
      </c>
      <c r="E67" s="710">
        <v>-0.59806059713350213</v>
      </c>
      <c r="F67" s="708">
        <v>-0.7602754080112375</v>
      </c>
      <c r="G67" s="711">
        <v>0.25358396268231415</v>
      </c>
      <c r="H67" s="710">
        <v>0.26600000000000001</v>
      </c>
      <c r="I67" s="708">
        <v>0.52</v>
      </c>
      <c r="J67" s="570">
        <v>6.117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6.117</v>
      </c>
      <c r="N67" s="632">
        <f t="shared" si="240"/>
        <v>-2.538189527938433</v>
      </c>
      <c r="O67" s="629">
        <f t="shared" si="241"/>
        <v>1.508865253651744</v>
      </c>
      <c r="P67" s="633">
        <f t="shared" si="242"/>
        <v>-0.10780032512578058</v>
      </c>
      <c r="Q67" s="585">
        <f t="shared" si="113"/>
        <v>149.26999144247202</v>
      </c>
      <c r="R67" s="629">
        <f>IF(M67="","",SQRT(N67^2+O67^2))</f>
        <v>2.95280890567166</v>
      </c>
      <c r="S67" s="634">
        <f>IF(M67="","",P67)</f>
        <v>-0.10780032512578058</v>
      </c>
      <c r="T67" s="635">
        <f>IF(M67="","",X67*COS(RADIANS(W67)))</f>
        <v>1.5075360541433627</v>
      </c>
      <c r="U67" s="629">
        <f>IF(M67="","",X67*SIN(RADIANS(W67)))</f>
        <v>2.5389792198581946</v>
      </c>
      <c r="V67" s="636">
        <f>IF(M67="","",Y67)</f>
        <v>-0.10780032512578058</v>
      </c>
      <c r="W67" s="585">
        <f t="shared" si="224"/>
        <v>59.299991438140552</v>
      </c>
      <c r="X67" s="629">
        <f>IF(M67="","",R67)</f>
        <v>2.95280890567166</v>
      </c>
      <c r="Y67" s="630">
        <f t="shared" si="223"/>
        <v>-0.10780032512578058</v>
      </c>
      <c r="Z67" s="632">
        <f t="shared" si="243"/>
        <v>0.59806059713350213</v>
      </c>
      <c r="AA67" s="629">
        <f t="shared" si="244"/>
        <v>0.7602754080112375</v>
      </c>
      <c r="AB67" s="629">
        <f t="shared" si="245"/>
        <v>-0.25358396268231415</v>
      </c>
      <c r="AC67" s="636">
        <f>IF(M67="","",SQRT(Z67^2+AA67^2+AB67^2))</f>
        <v>1</v>
      </c>
      <c r="AD67" s="637">
        <f>IF(M67="","",Z67*(1/SQRT(Z67^2+AA67^2+AB67^2)))</f>
        <v>0.59806059713350213</v>
      </c>
      <c r="AE67" s="629">
        <f>IF(M67="","",AA67*(1/SQRT(Z67^2+AA67^2+AB67^2)))</f>
        <v>0.7602754080112375</v>
      </c>
      <c r="AF67" s="633">
        <f>IF(M67="","",AB67*(1/SQRT(Z67^2+AA67^2+AB67^2)))</f>
        <v>-0.25358396268231415</v>
      </c>
      <c r="AG67" s="602">
        <f>IF(M67="","",DEGREES(ATAN2(-AF67,AE67)))</f>
        <v>71.554279323772789</v>
      </c>
      <c r="AH67" s="603">
        <f>IF(M67="","",DEGREES(ACOS(AD67)))</f>
        <v>53.268875944651064</v>
      </c>
      <c r="AI67" s="585">
        <f>IF(M67="","",DEGREES(-ACOS(-AF67)))</f>
        <v>-75.310305516302208</v>
      </c>
      <c r="AJ67" s="586">
        <f>IF(M67="","",DEGREES(ATAN2(-AE67,AD67)))</f>
        <v>141.81010805499787</v>
      </c>
      <c r="AK67" s="635">
        <f>IF(M67="","",(COS(RADIANS((90-$Q$8)-W67))*AD67)+(-SIN(RADIANS((90-$Q$8)-W67))*AE67))</f>
        <v>0.95912604710598126</v>
      </c>
      <c r="AL67" s="629">
        <f>IF(M67="","",(SIN(RADIANS((90-$Q$8)-W67))*AD67)+(COS(RADIANS((90-$Q$8)-W67))*AE67))</f>
        <v>-0.12558821454734465</v>
      </c>
      <c r="AM67" s="634">
        <f>IF(M67="","",AF67)</f>
        <v>-0.25358396268231415</v>
      </c>
      <c r="AN67" s="581">
        <f>IF(M67="","",DEGREES(ATAN2(-AM67,AL67)))</f>
        <v>-26.347051162124018</v>
      </c>
      <c r="AO67" s="582">
        <f t="shared" si="461"/>
        <v>16.438093242704845</v>
      </c>
      <c r="AP67" s="585">
        <f>IF(M67="","",DEGREES(ATAN2(AK67,AL67)))</f>
        <v>-7.4598833874741359</v>
      </c>
      <c r="AQ67" s="586">
        <f t="shared" si="246"/>
        <v>0.77200683870897846</v>
      </c>
      <c r="AS67" s="52">
        <f t="shared" si="406"/>
        <v>-300.70000856185948</v>
      </c>
      <c r="AT67" s="72">
        <f t="shared" si="247"/>
        <v>0.10103995859472498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6.117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1313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-3.0429693596793626</v>
      </c>
      <c r="C68" s="708">
        <v>1.876443329581617</v>
      </c>
      <c r="D68" s="709">
        <v>-0.43710131829757598</v>
      </c>
      <c r="E68" s="710">
        <v>-0.70849428480246113</v>
      </c>
      <c r="F68" s="708">
        <v>-0.67459104967081429</v>
      </c>
      <c r="G68" s="711">
        <v>0.20727461037541028</v>
      </c>
      <c r="H68" s="710">
        <v>0.26600000000000001</v>
      </c>
      <c r="I68" s="708">
        <v>0.52</v>
      </c>
      <c r="J68" s="570">
        <v>6.1230000000000002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6.1230000000000002</v>
      </c>
      <c r="N68" s="632">
        <f t="shared" si="240"/>
        <v>-3.0429693596793626</v>
      </c>
      <c r="O68" s="629">
        <f t="shared" si="241"/>
        <v>1.876443329581617</v>
      </c>
      <c r="P68" s="633">
        <f t="shared" si="242"/>
        <v>-0.43710131829757598</v>
      </c>
      <c r="Q68" s="585">
        <f t="shared" si="113"/>
        <v>148.33999157674739</v>
      </c>
      <c r="R68" s="629">
        <f>IF(M68="","",SQRT(N68^2+O68^2))</f>
        <v>3.5750107822325199</v>
      </c>
      <c r="S68" s="634">
        <f>IF(M68="","",P68)</f>
        <v>-0.43710131829757598</v>
      </c>
      <c r="T68" s="635">
        <f>IF(M68="","",X68*COS(RADIANS(W68)))</f>
        <v>1.8748497776348341</v>
      </c>
      <c r="U68" s="629">
        <f>IF(M68="","",X68*SIN(RADIANS(W68)))</f>
        <v>3.0439514457989283</v>
      </c>
      <c r="V68" s="636">
        <f>IF(M68="","",Y68)</f>
        <v>-0.43710131829757598</v>
      </c>
      <c r="W68" s="585">
        <f t="shared" si="224"/>
        <v>58.369991572415927</v>
      </c>
      <c r="X68" s="629">
        <f>IF(M68="","",R68)</f>
        <v>3.5750107822325199</v>
      </c>
      <c r="Y68" s="630">
        <f t="shared" si="223"/>
        <v>-0.43710131829757598</v>
      </c>
      <c r="Z68" s="632">
        <f t="shared" si="243"/>
        <v>0.70849428480246113</v>
      </c>
      <c r="AA68" s="629">
        <f t="shared" si="244"/>
        <v>0.67459104967081429</v>
      </c>
      <c r="AB68" s="629">
        <f t="shared" si="245"/>
        <v>-0.20727461037541028</v>
      </c>
      <c r="AC68" s="636">
        <f>IF(M68="","",SQRT(Z68^2+AA68^2+AB68^2))</f>
        <v>1</v>
      </c>
      <c r="AD68" s="637">
        <f>IF(M68="","",Z68*(1/SQRT(Z68^2+AA68^2+AB68^2)))</f>
        <v>0.70849428480246113</v>
      </c>
      <c r="AE68" s="629">
        <f>IF(M68="","",AA68*(1/SQRT(Z68^2+AA68^2+AB68^2)))</f>
        <v>0.67459104967081429</v>
      </c>
      <c r="AF68" s="633">
        <f>IF(M68="","",AB68*(1/SQRT(Z68^2+AA68^2+AB68^2)))</f>
        <v>-0.20727461037541028</v>
      </c>
      <c r="AG68" s="602">
        <f>IF(M68="","",DEGREES(ATAN2(-AF68,AE68)))</f>
        <v>72.919919247040937</v>
      </c>
      <c r="AH68" s="603">
        <f>IF(M68="","",DEGREES(ACOS(AD68)))</f>
        <v>44.887462113684435</v>
      </c>
      <c r="AI68" s="585">
        <f>IF(M68="","",DEGREES(-ACOS(-AF68)))</f>
        <v>-78.037314917271232</v>
      </c>
      <c r="AJ68" s="586">
        <f>IF(M68="","",DEGREES(ATAN2(-AE68,AD68)))</f>
        <v>133.59580366627671</v>
      </c>
      <c r="AK68" s="635">
        <f>IF(M68="","",(COS(RADIANS((90-$Q$8)-W68))*AD68)+(-SIN(RADIANS((90-$Q$8)-W68))*AE68))</f>
        <v>0.94606966950583127</v>
      </c>
      <c r="AL68" s="629">
        <f>IF(M68="","",(SIN(RADIANS((90-$Q$8)-W68))*AD68)+(COS(RADIANS((90-$Q$8)-W68))*AE68))</f>
        <v>-0.24897673854167446</v>
      </c>
      <c r="AM68" s="634">
        <f>IF(M68="","",AF68)</f>
        <v>-0.20727461037541028</v>
      </c>
      <c r="AN68" s="581">
        <f>IF(M68="","",DEGREES(ATAN2(-AM68,AL68)))</f>
        <v>-50.222418151933894</v>
      </c>
      <c r="AO68" s="582">
        <f t="shared" si="461"/>
        <v>18.902774992298376</v>
      </c>
      <c r="AP68" s="585">
        <f>IF(M68="","",DEGREES(ATAN2(AK68,AL68)))</f>
        <v>-14.744187910470703</v>
      </c>
      <c r="AQ68" s="586">
        <f t="shared" si="246"/>
        <v>0.63765751994039477</v>
      </c>
      <c r="AS68" s="52">
        <f t="shared" si="406"/>
        <v>-301.63000842758407</v>
      </c>
      <c r="AT68" s="72">
        <f t="shared" si="247"/>
        <v>-0.22761520133698387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6.1230000000000002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1313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-3.3768994117144628</v>
      </c>
      <c r="C69" s="708">
        <v>2.1430462200971143</v>
      </c>
      <c r="D69" s="709">
        <v>-0.99870301208828482</v>
      </c>
      <c r="E69" s="710">
        <v>-0.78848373858590526</v>
      </c>
      <c r="F69" s="708">
        <v>-0.60383312899069064</v>
      </c>
      <c r="G69" s="711">
        <v>0.11695702765933214</v>
      </c>
      <c r="H69" s="710">
        <v>0.26600000000000001</v>
      </c>
      <c r="I69" s="708">
        <v>0.52</v>
      </c>
      <c r="J69" s="570">
        <v>6.1289999999999996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6.1289999999999996</v>
      </c>
      <c r="N69" s="632">
        <f t="shared" si="240"/>
        <v>-3.3768994117144628</v>
      </c>
      <c r="O69" s="629">
        <f t="shared" si="241"/>
        <v>2.1430462200971143</v>
      </c>
      <c r="P69" s="633">
        <f t="shared" si="242"/>
        <v>-0.99870301208828482</v>
      </c>
      <c r="Q69" s="585">
        <f t="shared" si="113"/>
        <v>147.59999168359016</v>
      </c>
      <c r="R69" s="629">
        <f t="shared" si="79"/>
        <v>3.99951206252838</v>
      </c>
      <c r="S69" s="634">
        <f t="shared" si="80"/>
        <v>-0.99870301208828482</v>
      </c>
      <c r="T69" s="635">
        <f t="shared" si="81"/>
        <v>2.1412777862718482</v>
      </c>
      <c r="U69" s="629">
        <f t="shared" si="82"/>
        <v>3.3780210449801449</v>
      </c>
      <c r="V69" s="636">
        <f t="shared" si="114"/>
        <v>-0.99870301208828482</v>
      </c>
      <c r="W69" s="585">
        <f t="shared" si="224"/>
        <v>57.629991679258694</v>
      </c>
      <c r="X69" s="629">
        <f t="shared" si="83"/>
        <v>3.99951206252838</v>
      </c>
      <c r="Y69" s="630">
        <f t="shared" si="223"/>
        <v>-0.99870301208828482</v>
      </c>
      <c r="Z69" s="632">
        <f t="shared" si="243"/>
        <v>0.78848373858590526</v>
      </c>
      <c r="AA69" s="629">
        <f t="shared" si="244"/>
        <v>0.60383312899069064</v>
      </c>
      <c r="AB69" s="629">
        <f t="shared" si="245"/>
        <v>-0.11695702765933214</v>
      </c>
      <c r="AC69" s="636">
        <f t="shared" si="84"/>
        <v>1</v>
      </c>
      <c r="AD69" s="637">
        <f t="shared" si="115"/>
        <v>0.78848373858590526</v>
      </c>
      <c r="AE69" s="629">
        <f t="shared" si="85"/>
        <v>0.60383312899069064</v>
      </c>
      <c r="AF69" s="633">
        <f t="shared" si="86"/>
        <v>-0.11695702765933214</v>
      </c>
      <c r="AG69" s="602">
        <f t="shared" si="87"/>
        <v>79.03806285935184</v>
      </c>
      <c r="AH69" s="603">
        <f t="shared" si="88"/>
        <v>37.955960566018653</v>
      </c>
      <c r="AI69" s="585">
        <f t="shared" si="89"/>
        <v>-83.283483685532417</v>
      </c>
      <c r="AJ69" s="586">
        <f t="shared" si="90"/>
        <v>127.4454549181023</v>
      </c>
      <c r="AK69" s="635">
        <f t="shared" si="211"/>
        <v>0.9323239373579143</v>
      </c>
      <c r="AL69" s="629">
        <f t="shared" si="91"/>
        <v>-0.34218873375745451</v>
      </c>
      <c r="AM69" s="634">
        <f t="shared" si="92"/>
        <v>-0.11695702765933214</v>
      </c>
      <c r="AN69" s="581">
        <f t="shared" si="93"/>
        <v>-71.130033859453448</v>
      </c>
      <c r="AO69" s="582">
        <f t="shared" si="461"/>
        <v>21.199978429593877</v>
      </c>
      <c r="AP69" s="585">
        <f t="shared" si="95"/>
        <v>-20.154536765487855</v>
      </c>
      <c r="AQ69" s="586">
        <f t="shared" si="246"/>
        <v>0.56998238588385786</v>
      </c>
      <c r="AS69" s="52">
        <f t="shared" si="406"/>
        <v>-302.37000832074131</v>
      </c>
      <c r="AT69" s="72">
        <f t="shared" si="247"/>
        <v>-0.78870300631300017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6.1289999999999996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1313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-3.4908977014535965</v>
      </c>
      <c r="C70" s="708">
        <v>2.237677188385196</v>
      </c>
      <c r="D70" s="709">
        <v>-1.6872050886105474</v>
      </c>
      <c r="E70" s="710">
        <v>-0.85434183028155808</v>
      </c>
      <c r="F70" s="708">
        <v>-0.51937632004977863</v>
      </c>
      <c r="G70" s="711">
        <v>1.8662132855265301E-2</v>
      </c>
      <c r="H70" s="710">
        <v>0.26600000000000001</v>
      </c>
      <c r="I70" s="708">
        <v>0.52</v>
      </c>
      <c r="J70" s="570">
        <v>6.1349999999999998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6.1349999999999998</v>
      </c>
      <c r="N70" s="632">
        <f t="shared" si="240"/>
        <v>-3.4908977014535965</v>
      </c>
      <c r="O70" s="629">
        <f t="shared" si="241"/>
        <v>2.237677188385196</v>
      </c>
      <c r="P70" s="633">
        <f t="shared" si="242"/>
        <v>-1.6872050886105474</v>
      </c>
      <c r="Q70" s="585">
        <f t="shared" si="113"/>
        <v>147.33999172112948</v>
      </c>
      <c r="R70" s="629">
        <f t="shared" si="79"/>
        <v>4.1465125058817174</v>
      </c>
      <c r="S70" s="634">
        <f t="shared" si="80"/>
        <v>-1.6872050886105474</v>
      </c>
      <c r="T70" s="635">
        <f t="shared" si="81"/>
        <v>2.2358490522345433</v>
      </c>
      <c r="U70" s="629">
        <f t="shared" si="82"/>
        <v>3.492068867742355</v>
      </c>
      <c r="V70" s="636">
        <f t="shared" si="114"/>
        <v>-1.6872050886105474</v>
      </c>
      <c r="W70" s="585">
        <f t="shared" si="224"/>
        <v>57.369991716798012</v>
      </c>
      <c r="X70" s="629">
        <f t="shared" si="83"/>
        <v>4.1465125058817174</v>
      </c>
      <c r="Y70" s="630">
        <f t="shared" si="223"/>
        <v>-1.6872050886105474</v>
      </c>
      <c r="Z70" s="632">
        <f t="shared" si="243"/>
        <v>0.85434183028155808</v>
      </c>
      <c r="AA70" s="629">
        <f t="shared" si="244"/>
        <v>0.51937632004977863</v>
      </c>
      <c r="AB70" s="629">
        <f t="shared" si="245"/>
        <v>-1.8662132855265301E-2</v>
      </c>
      <c r="AC70" s="636">
        <f t="shared" si="84"/>
        <v>1</v>
      </c>
      <c r="AD70" s="637">
        <f t="shared" si="115"/>
        <v>0.85434183028155808</v>
      </c>
      <c r="AE70" s="629">
        <f t="shared" si="85"/>
        <v>0.51937632004977863</v>
      </c>
      <c r="AF70" s="633">
        <f t="shared" si="86"/>
        <v>-1.8662132855265301E-2</v>
      </c>
      <c r="AG70" s="602">
        <f t="shared" si="87"/>
        <v>87.942144084288742</v>
      </c>
      <c r="AH70" s="603">
        <f t="shared" si="88"/>
        <v>31.31290107818953</v>
      </c>
      <c r="AI70" s="585">
        <f t="shared" si="89"/>
        <v>-88.930676474743606</v>
      </c>
      <c r="AJ70" s="586">
        <f t="shared" si="90"/>
        <v>121.2964913929283</v>
      </c>
      <c r="AK70" s="635">
        <f t="shared" si="211"/>
        <v>0.89830449595218298</v>
      </c>
      <c r="AL70" s="629">
        <f t="shared" si="91"/>
        <v>-0.43897694398383513</v>
      </c>
      <c r="AM70" s="634">
        <f t="shared" si="92"/>
        <v>-1.8662132855265301E-2</v>
      </c>
      <c r="AN70" s="581">
        <f t="shared" si="93"/>
        <v>-87.565662639713096</v>
      </c>
      <c r="AO70" s="582">
        <f t="shared" si="461"/>
        <v>26.063911907382941</v>
      </c>
      <c r="AP70" s="585">
        <f t="shared" si="95"/>
        <v>-26.043500328201183</v>
      </c>
      <c r="AQ70" s="586">
        <f t="shared" si="246"/>
        <v>0.54977686958508953</v>
      </c>
      <c r="AS70" s="52">
        <f t="shared" si="406"/>
        <v>-302.63000828320196</v>
      </c>
      <c r="AT70" s="72">
        <f t="shared" si="247"/>
        <v>-1.4770245273057763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6.1349999999999998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1313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-3.5223405978544173</v>
      </c>
      <c r="C71" s="708">
        <v>2.2647773069994064</v>
      </c>
      <c r="D71" s="709">
        <v>-2.3699071476399567</v>
      </c>
      <c r="E71" s="710">
        <v>-0.92547442451924378</v>
      </c>
      <c r="F71" s="708">
        <v>-0.37881009696252521</v>
      </c>
      <c r="G71" s="711">
        <v>1.3008419216140861E-7</v>
      </c>
      <c r="H71" s="710">
        <v>0.26600000000000001</v>
      </c>
      <c r="I71" s="708">
        <v>0.52</v>
      </c>
      <c r="J71" s="570">
        <v>6.141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6.141</v>
      </c>
      <c r="N71" s="632">
        <f t="shared" si="240"/>
        <v>-3.5223405978544173</v>
      </c>
      <c r="O71" s="629">
        <f t="shared" si="241"/>
        <v>2.2647773069994064</v>
      </c>
      <c r="P71" s="633">
        <f t="shared" si="242"/>
        <v>-2.3699071476399567</v>
      </c>
      <c r="Q71" s="585">
        <f t="shared" si="113"/>
        <v>147.25999173268008</v>
      </c>
      <c r="R71" s="629">
        <f t="shared" si="79"/>
        <v>4.1876126298396912</v>
      </c>
      <c r="S71" s="634">
        <f t="shared" si="80"/>
        <v>-2.3699071476399567</v>
      </c>
      <c r="T71" s="635">
        <f t="shared" si="81"/>
        <v>2.2629327036750002</v>
      </c>
      <c r="U71" s="629">
        <f t="shared" si="82"/>
        <v>3.5235259494192808</v>
      </c>
      <c r="V71" s="636">
        <f t="shared" si="114"/>
        <v>-2.3699071476399567</v>
      </c>
      <c r="W71" s="585">
        <f t="shared" si="224"/>
        <v>57.28999172834861</v>
      </c>
      <c r="X71" s="629">
        <f t="shared" si="83"/>
        <v>4.1876126298396912</v>
      </c>
      <c r="Y71" s="630">
        <f t="shared" si="223"/>
        <v>-2.3699071476399567</v>
      </c>
      <c r="Z71" s="632">
        <f t="shared" si="243"/>
        <v>0.92547442451924378</v>
      </c>
      <c r="AA71" s="629">
        <f t="shared" si="244"/>
        <v>0.37881009696252521</v>
      </c>
      <c r="AB71" s="629">
        <f t="shared" si="245"/>
        <v>-1.3008419216140861E-7</v>
      </c>
      <c r="AC71" s="636">
        <f t="shared" si="84"/>
        <v>1</v>
      </c>
      <c r="AD71" s="637">
        <f t="shared" si="115"/>
        <v>0.92547442451924378</v>
      </c>
      <c r="AE71" s="629">
        <f t="shared" si="85"/>
        <v>0.37881009696252521</v>
      </c>
      <c r="AF71" s="633">
        <f t="shared" si="86"/>
        <v>-1.3008419216140861E-7</v>
      </c>
      <c r="AG71" s="602">
        <f t="shared" si="87"/>
        <v>89.999980324507575</v>
      </c>
      <c r="AH71" s="603">
        <f t="shared" si="88"/>
        <v>22.259996786055972</v>
      </c>
      <c r="AI71" s="585">
        <f t="shared" si="89"/>
        <v>-89.999992546724812</v>
      </c>
      <c r="AJ71" s="586">
        <f t="shared" si="90"/>
        <v>112.2599967860548</v>
      </c>
      <c r="AK71" s="635">
        <f t="shared" si="211"/>
        <v>0.8191520948772919</v>
      </c>
      <c r="AL71" s="629">
        <f t="shared" si="91"/>
        <v>-0.5735763641034447</v>
      </c>
      <c r="AM71" s="634">
        <f t="shared" si="92"/>
        <v>-1.3008419216140861E-7</v>
      </c>
      <c r="AN71" s="581">
        <f t="shared" si="93"/>
        <v>-89.999987005609626</v>
      </c>
      <c r="AO71" s="582">
        <f t="shared" si="461"/>
        <v>34.999994946625968</v>
      </c>
      <c r="AP71" s="585">
        <f t="shared" si="95"/>
        <v>-34.999994946625279</v>
      </c>
      <c r="AQ71" s="586">
        <f t="shared" si="246"/>
        <v>0.54438130583656075</v>
      </c>
      <c r="AS71" s="52">
        <f t="shared" si="406"/>
        <v>-302.71000827165142</v>
      </c>
      <c r="AT71" s="72">
        <f t="shared" si="247"/>
        <v>-2.159671030787651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6.141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1313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-2.8537164289888568</v>
      </c>
      <c r="C72" s="708">
        <v>2.928399781151612</v>
      </c>
      <c r="D72" s="709">
        <v>-1.2459821600699421</v>
      </c>
      <c r="E72" s="710">
        <v>-0.95737160689080369</v>
      </c>
      <c r="F72" s="708">
        <v>-0.23544344482667556</v>
      </c>
      <c r="G72" s="711">
        <v>0.16734990471305558</v>
      </c>
      <c r="H72" s="710">
        <v>0.26600000000000001</v>
      </c>
      <c r="I72" s="708">
        <v>0.52</v>
      </c>
      <c r="J72" s="570">
        <v>6.2309999999999999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6.2309999999999999</v>
      </c>
      <c r="N72" s="632">
        <f t="shared" si="240"/>
        <v>-2.8537164289888568</v>
      </c>
      <c r="O72" s="629">
        <f t="shared" si="241"/>
        <v>2.928399781151612</v>
      </c>
      <c r="P72" s="633">
        <f t="shared" si="242"/>
        <v>-1.2459821600699421</v>
      </c>
      <c r="Q72" s="585">
        <f t="shared" si="113"/>
        <v>134.25999360964758</v>
      </c>
      <c r="R72" s="629">
        <f t="shared" si="79"/>
        <v>4.0889146158032847</v>
      </c>
      <c r="S72" s="634">
        <f t="shared" si="80"/>
        <v>-1.2459821600699421</v>
      </c>
      <c r="T72" s="635">
        <f t="shared" si="81"/>
        <v>2.9269051775889103</v>
      </c>
      <c r="U72" s="629">
        <f t="shared" si="82"/>
        <v>2.8552493440561286</v>
      </c>
      <c r="V72" s="636">
        <f t="shared" si="114"/>
        <v>-1.2459821600699421</v>
      </c>
      <c r="W72" s="585">
        <f t="shared" si="224"/>
        <v>44.289993605316113</v>
      </c>
      <c r="X72" s="629">
        <f t="shared" si="83"/>
        <v>4.0889146158032847</v>
      </c>
      <c r="Y72" s="630">
        <f t="shared" si="223"/>
        <v>-1.2459821600699421</v>
      </c>
      <c r="Z72" s="632">
        <f t="shared" si="243"/>
        <v>0.95737160689080369</v>
      </c>
      <c r="AA72" s="629">
        <f t="shared" si="244"/>
        <v>0.23544344482667556</v>
      </c>
      <c r="AB72" s="629">
        <f t="shared" si="245"/>
        <v>-0.16734990471305558</v>
      </c>
      <c r="AC72" s="636">
        <f t="shared" si="84"/>
        <v>1</v>
      </c>
      <c r="AD72" s="637">
        <f t="shared" si="115"/>
        <v>0.95737160689080369</v>
      </c>
      <c r="AE72" s="629">
        <f t="shared" si="85"/>
        <v>0.23544344482667556</v>
      </c>
      <c r="AF72" s="633">
        <f t="shared" si="86"/>
        <v>-0.16734990471305558</v>
      </c>
      <c r="AG72" s="602">
        <f t="shared" si="87"/>
        <v>54.59531805962019</v>
      </c>
      <c r="AH72" s="603">
        <f t="shared" si="88"/>
        <v>16.789667094263123</v>
      </c>
      <c r="AI72" s="585">
        <f t="shared" si="89"/>
        <v>-80.366227488693625</v>
      </c>
      <c r="AJ72" s="586">
        <f t="shared" si="90"/>
        <v>103.81639089185649</v>
      </c>
      <c r="AK72" s="635">
        <f t="shared" si="211"/>
        <v>0.84997021392109562</v>
      </c>
      <c r="AL72" s="629">
        <f t="shared" si="91"/>
        <v>-0.49954443730208675</v>
      </c>
      <c r="AM72" s="634">
        <f t="shared" si="92"/>
        <v>-0.16734990471305558</v>
      </c>
      <c r="AN72" s="581">
        <f t="shared" si="93"/>
        <v>-71.478890836658721</v>
      </c>
      <c r="AO72" s="582">
        <f t="shared" si="461"/>
        <v>31.79157016687838</v>
      </c>
      <c r="AP72" s="585">
        <f t="shared" si="95"/>
        <v>-30.443602717791101</v>
      </c>
      <c r="AQ72" s="586">
        <f t="shared" si="246"/>
        <v>0.55752073458438667</v>
      </c>
      <c r="AS72" s="52">
        <f t="shared" si="406"/>
        <v>-315.71000639468389</v>
      </c>
      <c r="AT72" s="72">
        <f t="shared" si="247"/>
        <v>-1.0267182667433086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6.2309999999999999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4.1310000000000002</v>
      </c>
      <c r="II72" s="734" cm="1">
        <f t="array" ref="II72">IFERROR(ROUND(VALUE(IF($IH72&lt;1,$IH72+LARGE((IF($M$9:$M$150="",0,$M$9:$M$150)-MOD(IF($M$9:$M$150="",0,$M$9:$M$150),1)),1),$IH72)),4),"")</f>
        <v>4.1310000000000002</v>
      </c>
      <c r="IJ72" s="533">
        <f t="shared" si="112"/>
        <v>1313</v>
      </c>
      <c r="IK72" s="533">
        <f t="shared" si="382"/>
        <v>1313</v>
      </c>
      <c r="IL72" s="727">
        <f t="shared" si="225"/>
        <v>131.19000675852683</v>
      </c>
      <c r="IM72" s="759">
        <v>4.7520794589021902E-4</v>
      </c>
      <c r="IN72" s="5">
        <f t="shared" si="226"/>
        <v>0</v>
      </c>
      <c r="IO72" s="771">
        <v>0</v>
      </c>
      <c r="IP72" s="9">
        <f t="shared" si="227"/>
        <v>-4.0819123110475299</v>
      </c>
      <c r="IQ72" s="5">
        <f t="shared" si="228"/>
        <v>-1.2202036801342993</v>
      </c>
      <c r="IR72" s="5">
        <f t="shared" si="383"/>
        <v>0.26600000000000001</v>
      </c>
      <c r="IS72" s="5">
        <f t="shared" si="229"/>
        <v>0.24624729826963634</v>
      </c>
      <c r="IT72" s="727">
        <f t="shared" si="230"/>
        <v>77.26639491039586</v>
      </c>
      <c r="IU72" s="9">
        <f t="shared" si="231"/>
        <v>-4.0889146158032847</v>
      </c>
      <c r="IV72" s="5">
        <f t="shared" si="232"/>
        <v>-1.2459821600699421</v>
      </c>
      <c r="IW72" s="5">
        <f t="shared" si="384"/>
        <v>0.26600000000000001</v>
      </c>
      <c r="IX72" s="5">
        <f t="shared" si="233"/>
        <v>0.22609207690301145</v>
      </c>
      <c r="IY72" s="762">
        <f t="shared" si="234"/>
        <v>71.478890836658721</v>
      </c>
    </row>
    <row r="73" spans="1:259" ht="15" customHeight="1" x14ac:dyDescent="0.25">
      <c r="A73" s="79"/>
      <c r="B73" s="707">
        <v>-2.9074662264166897</v>
      </c>
      <c r="C73" s="708">
        <v>2.9731568057038764</v>
      </c>
      <c r="D73" s="709">
        <v>-1.9455932590197582</v>
      </c>
      <c r="E73" s="710">
        <v>-0.9871828410368394</v>
      </c>
      <c r="F73" s="708">
        <v>-0.15175571862254861</v>
      </c>
      <c r="G73" s="711">
        <v>4.9398787715774793E-2</v>
      </c>
      <c r="H73" s="710">
        <v>0.26600000000000001</v>
      </c>
      <c r="I73" s="708">
        <v>0.52</v>
      </c>
      <c r="J73" s="570">
        <v>6.2370000000000001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6.2370000000000001</v>
      </c>
      <c r="N73" s="632">
        <f t="shared" ref="N73:N104" si="465">IF(M73="","",B73)</f>
        <v>-2.9074662264166897</v>
      </c>
      <c r="O73" s="629">
        <f t="shared" ref="O73:O104" si="466">IF(M73="","",C73)</f>
        <v>2.9731568057038764</v>
      </c>
      <c r="P73" s="633">
        <f t="shared" ref="P73:P104" si="467">IF(M73="","",D73)</f>
        <v>-1.9455932590197582</v>
      </c>
      <c r="Q73" s="585">
        <f t="shared" si="113"/>
        <v>134.35999359520937</v>
      </c>
      <c r="R73" s="629">
        <f>IF(M73="","",SQRT(N73^2+O73^2))</f>
        <v>4.1584878560670324</v>
      </c>
      <c r="S73" s="634">
        <f>IF(M73="","",P73)</f>
        <v>-1.9455932590197582</v>
      </c>
      <c r="T73" s="635">
        <f>IF(M73="","",X73*COS(RADIANS(W73)))</f>
        <v>2.9716340526832079</v>
      </c>
      <c r="U73" s="629">
        <f>IF(M73="","",X73*SIN(RADIANS(W73)))</f>
        <v>2.9090225688348585</v>
      </c>
      <c r="V73" s="636">
        <f>IF(M73="","",Y73)</f>
        <v>-1.9455932590197582</v>
      </c>
      <c r="W73" s="585">
        <f t="shared" si="224"/>
        <v>44.389993590877907</v>
      </c>
      <c r="X73" s="629">
        <f>IF(M73="","",R73)</f>
        <v>4.1584878560670324</v>
      </c>
      <c r="Y73" s="630">
        <f t="shared" si="223"/>
        <v>-1.9455932590197582</v>
      </c>
      <c r="Z73" s="632">
        <f t="shared" ref="Z73:Z104" si="468">IF(M73="","",-E73)</f>
        <v>0.9871828410368394</v>
      </c>
      <c r="AA73" s="629">
        <f t="shared" ref="AA73:AA104" si="469">IF(M73="","",-F73)</f>
        <v>0.15175571862254861</v>
      </c>
      <c r="AB73" s="629">
        <f t="shared" ref="AB73:AB104" si="470">IF(M73="","",-G73)</f>
        <v>-4.9398787715774793E-2</v>
      </c>
      <c r="AC73" s="636">
        <f>IF(M73="","",SQRT(Z73^2+AA73^2+AB73^2))</f>
        <v>1</v>
      </c>
      <c r="AD73" s="637">
        <f>IF(M73="","",Z73*(1/SQRT(Z73^2+AA73^2+AB73^2)))</f>
        <v>0.9871828410368394</v>
      </c>
      <c r="AE73" s="629">
        <f>IF(M73="","",AA73*(1/SQRT(Z73^2+AA73^2+AB73^2)))</f>
        <v>0.15175571862254861</v>
      </c>
      <c r="AF73" s="633">
        <f>IF(M73="","",AB73*(1/SQRT(Z73^2+AA73^2+AB73^2)))</f>
        <v>-4.9398787715774793E-2</v>
      </c>
      <c r="AG73" s="602">
        <f>IF(M73="","",DEGREES(ATAN2(-AF73,AE73)))</f>
        <v>71.969145544304283</v>
      </c>
      <c r="AH73" s="603">
        <f>IF(M73="","",DEGREES(ACOS(AD73)))</f>
        <v>9.183293779030441</v>
      </c>
      <c r="AI73" s="585">
        <f>IF(M73="","",DEGREES(-ACOS(-AF73)))</f>
        <v>-87.16850556584329</v>
      </c>
      <c r="AJ73" s="586">
        <f>IF(M73="","",DEGREES(ATAN2(-AE73,AD73)))</f>
        <v>98.739439797327307</v>
      </c>
      <c r="AK73" s="635">
        <f>IF(M73="","",(COS(RADIANS((90-$Q$8)-W73))*AD73)+(-SIN(RADIANS((90-$Q$8)-W73))*AE73))</f>
        <v>0.81189945136850672</v>
      </c>
      <c r="AL73" s="629">
        <f>IF(M73="","",(SIN(RADIANS((90-$Q$8)-W73))*AD73)+(COS(RADIANS((90-$Q$8)-W73))*AE73))</f>
        <v>-0.58170356766976239</v>
      </c>
      <c r="AM73" s="634">
        <f>IF(M73="","",AF73)</f>
        <v>-4.9398787715774793E-2</v>
      </c>
      <c r="AN73" s="581">
        <f>IF(M73="","",DEGREES(ATAN2(-AM73,AL73)))</f>
        <v>-85.146036969884904</v>
      </c>
      <c r="AO73" s="582">
        <f t="shared" si="461"/>
        <v>35.718069738054439</v>
      </c>
      <c r="AP73" s="585">
        <f>IF(M73="","",DEGREES(ATAN2(AK73,AL73)))</f>
        <v>-35.62055379788206</v>
      </c>
      <c r="AQ73" s="586">
        <f t="shared" ref="AQ73:AQ104" si="471">IF(M73="","",DEGREES(ATAN(($AS$5*SIN(RADIANS(90)))/(($X73*2*PI())-($AS$5*COS(RADIANS(90)))))))</f>
        <v>0.54819375370367207</v>
      </c>
      <c r="AS73" s="52">
        <f t="shared" si="406"/>
        <v>-315.61000640912209</v>
      </c>
      <c r="AT73" s="72">
        <f t="shared" ref="AT73:AT104" si="472">IF(M73="","",Y73+(((AS73-$AS$9)*$AS$6)*-1))</f>
        <v>-1.7263988101275425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>Gage</v>
      </c>
      <c r="IG73" s="847">
        <f t="shared" si="210"/>
        <v>6.2370000000000001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4.1369999999999996</v>
      </c>
      <c r="II73" s="734" cm="1">
        <f t="array" ref="II73">IFERROR(ROUND(VALUE(IF($IH73&lt;1,$IH73+LARGE((IF($M$9:$M$150="",0,$M$9:$M$150)-MOD(IF($M$9:$M$150="",0,$M$9:$M$150),1)),1),$IH73)),4),"")</f>
        <v>4.1369999999999996</v>
      </c>
      <c r="IJ73" s="533">
        <f t="shared" si="112"/>
        <v>1313</v>
      </c>
      <c r="IK73" s="533">
        <f t="shared" ref="IK73:IK104" si="517">IF(ISNUMBER($II73),INDEX($K$9:$K$150,MATCH($IG73,$M$9:$M$150,0)),"")</f>
        <v>1313</v>
      </c>
      <c r="IL73" s="727">
        <f t="shared" si="225"/>
        <v>130.97000679029085</v>
      </c>
      <c r="IM73" s="759">
        <v>5.3722551043561403E-4</v>
      </c>
      <c r="IN73" s="5">
        <f t="shared" si="226"/>
        <v>0</v>
      </c>
      <c r="IO73" s="771">
        <v>0</v>
      </c>
      <c r="IP73" s="9">
        <f t="shared" si="227"/>
        <v>-4.1504125176441535</v>
      </c>
      <c r="IQ73" s="5">
        <f t="shared" si="228"/>
        <v>-1.9148057750542176</v>
      </c>
      <c r="IR73" s="5">
        <f t="shared" ref="IR73:IR104" si="518">IF(ISNUMBER($II73),INDEX($H$9:$H$150,MATCH($II73,$M$9:$M$150,0)),"")</f>
        <v>0.26600000000000001</v>
      </c>
      <c r="IS73" s="5">
        <f t="shared" si="229"/>
        <v>0.23490931445249996</v>
      </c>
      <c r="IT73" s="727">
        <f t="shared" si="230"/>
        <v>88.440024757489624</v>
      </c>
      <c r="IU73" s="9">
        <f t="shared" si="231"/>
        <v>-4.1584878560670324</v>
      </c>
      <c r="IV73" s="5">
        <f t="shared" si="232"/>
        <v>-1.9455932590197582</v>
      </c>
      <c r="IW73" s="5">
        <f t="shared" ref="IW73:IW104" si="519">IF(ISNUMBER($II73),$H73,"")</f>
        <v>0.26600000000000001</v>
      </c>
      <c r="IX73" s="5">
        <f t="shared" si="233"/>
        <v>0.21596525406402281</v>
      </c>
      <c r="IY73" s="762">
        <f t="shared" si="234"/>
        <v>85.146036969884904</v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2.2557559682354414E-2</v>
      </c>
      <c r="G154" s="170">
        <f t="shared" si="929"/>
        <v>-0.25783412440827963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2.2557559682354414E-2</v>
      </c>
      <c r="G155" s="170">
        <f t="shared" si="929"/>
        <v>-0.25783412440827963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2.255755968235441E-2</v>
      </c>
      <c r="G156" s="170">
        <f t="shared" si="929"/>
        <v>-0.25783412440827963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0.96584562048657119</v>
      </c>
      <c r="F157" s="170">
        <f t="shared" si="929"/>
        <v>8.8362234726934909E-3</v>
      </c>
      <c r="G157" s="170">
        <f t="shared" si="929"/>
        <v>-0.258967485491231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0.9584348191384825</v>
      </c>
      <c r="F158" s="170">
        <f t="shared" si="929"/>
        <v>-0.11418109338914328</v>
      </c>
      <c r="G158" s="170">
        <f t="shared" si="929"/>
        <v>-0.2614677329527379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0.94008786732562299</v>
      </c>
      <c r="F159" s="170">
        <f t="shared" si="929"/>
        <v>-0.25761209432420856</v>
      </c>
      <c r="G159" s="170">
        <f t="shared" si="929"/>
        <v>-0.22331773455114776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0.9185171063321228</v>
      </c>
      <c r="F160" s="170">
        <f t="shared" si="929"/>
        <v>-0.37055756572268445</v>
      </c>
      <c r="G160" s="170">
        <f t="shared" si="929"/>
        <v>-0.13788914337591002</v>
      </c>
      <c r="H160" s="139"/>
      <c r="I160" s="86"/>
      <c r="J160" s="79">
        <f t="shared" si="930"/>
        <v>1.1279999999999999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0.88490494769129358</v>
      </c>
      <c r="F161" s="170">
        <f t="shared" si="929"/>
        <v>-0.46430359848608205</v>
      </c>
      <c r="G161" s="170">
        <f t="shared" si="929"/>
        <v>-3.695134617769958E-2</v>
      </c>
      <c r="H161" s="139"/>
      <c r="I161" s="86"/>
      <c r="J161" s="79">
        <f t="shared" si="930"/>
        <v>1.1339999999999999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0.83326837650728991</v>
      </c>
      <c r="F162" s="170">
        <f t="shared" si="929"/>
        <v>-0.55286848808751343</v>
      </c>
      <c r="G162" s="170">
        <f t="shared" si="929"/>
        <v>4.9758690969863028E-4</v>
      </c>
      <c r="H162" s="139"/>
      <c r="I162" s="86"/>
      <c r="J162" s="79">
        <f t="shared" si="930"/>
        <v>1.1399999999999999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0.79079647198351577</v>
      </c>
      <c r="F163" s="170">
        <f t="shared" si="929"/>
        <v>-0.61207919413945755</v>
      </c>
      <c r="G163" s="170">
        <f t="shared" si="929"/>
        <v>-1.3008419231576586E-7</v>
      </c>
      <c r="H163" s="139"/>
      <c r="I163" s="86"/>
      <c r="J163" s="79">
        <f t="shared" si="930"/>
        <v>1.1459999999999999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6.0269482204187812E-2</v>
      </c>
      <c r="F164" s="170">
        <f t="shared" si="929"/>
        <v>6.295800839343986E-2</v>
      </c>
      <c r="G164" s="170">
        <f t="shared" si="929"/>
        <v>-0.99619469918985748</v>
      </c>
      <c r="H164" s="139"/>
      <c r="I164" s="86"/>
      <c r="J164" s="79">
        <f t="shared" si="930"/>
        <v>1.206</v>
      </c>
    </row>
    <row r="165" spans="5:16" x14ac:dyDescent="0.25">
      <c r="E165" s="170">
        <f t="shared" si="929"/>
        <v>4.107841353894446E-2</v>
      </c>
      <c r="F165" s="170">
        <f t="shared" si="929"/>
        <v>7.6867972831035677E-2</v>
      </c>
      <c r="G165" s="170">
        <f t="shared" si="929"/>
        <v>-0.99619469918985759</v>
      </c>
      <c r="H165" s="139"/>
      <c r="I165" s="86"/>
      <c r="J165" s="79">
        <f t="shared" si="930"/>
        <v>1.2090000000000001</v>
      </c>
    </row>
    <row r="166" spans="5:16" x14ac:dyDescent="0.25">
      <c r="E166" s="170">
        <f t="shared" si="929"/>
        <v>0.68522289041338913</v>
      </c>
      <c r="F166" s="170">
        <f t="shared" si="929"/>
        <v>-0.70130666744014913</v>
      </c>
      <c r="G166" s="170">
        <f t="shared" si="929"/>
        <v>-0.19656690631312462</v>
      </c>
      <c r="H166" s="139"/>
      <c r="I166" s="86"/>
      <c r="J166" s="79">
        <f t="shared" si="930"/>
        <v>1.23</v>
      </c>
    </row>
    <row r="167" spans="5:16" x14ac:dyDescent="0.25">
      <c r="E167" s="170">
        <f t="shared" si="929"/>
        <v>0.62516640625796438</v>
      </c>
      <c r="F167" s="170">
        <f t="shared" si="929"/>
        <v>-0.77820403984262787</v>
      </c>
      <c r="G167" s="170">
        <f t="shared" si="929"/>
        <v>-5.9711279161609447E-2</v>
      </c>
      <c r="H167" s="139"/>
      <c r="I167" s="86"/>
      <c r="J167" s="79">
        <f t="shared" si="930"/>
        <v>1.236</v>
      </c>
    </row>
    <row r="168" spans="5:16" x14ac:dyDescent="0.25">
      <c r="E168" s="170">
        <f t="shared" si="929"/>
        <v>0.69472239188818818</v>
      </c>
      <c r="F168" s="170">
        <f t="shared" si="929"/>
        <v>-0.71873129697425231</v>
      </c>
      <c r="G168" s="170">
        <f t="shared" si="929"/>
        <v>2.8037848684662924E-2</v>
      </c>
      <c r="H168" s="139"/>
      <c r="I168" s="86"/>
      <c r="J168" s="79">
        <f t="shared" si="930"/>
        <v>1.347</v>
      </c>
    </row>
    <row r="169" spans="5:16" x14ac:dyDescent="0.25">
      <c r="E169" s="170">
        <f t="shared" si="929"/>
        <v>0.3234773739748763</v>
      </c>
      <c r="F169" s="170">
        <f t="shared" si="929"/>
        <v>-0.90756508838407535</v>
      </c>
      <c r="G169" s="170">
        <f t="shared" si="929"/>
        <v>-0.26774614632655958</v>
      </c>
      <c r="H169" s="139"/>
      <c r="I169" s="86"/>
      <c r="J169" s="79">
        <f t="shared" si="930"/>
        <v>2.1150000000000002</v>
      </c>
    </row>
    <row r="170" spans="5:16" x14ac:dyDescent="0.25">
      <c r="E170" s="170">
        <f t="shared" si="929"/>
        <v>0.19142694795924681</v>
      </c>
      <c r="F170" s="170">
        <f t="shared" si="929"/>
        <v>-0.95574144871546896</v>
      </c>
      <c r="G170" s="170">
        <f t="shared" si="929"/>
        <v>-0.22341442836635383</v>
      </c>
      <c r="H170" s="139"/>
      <c r="I170" s="86"/>
      <c r="J170" s="79">
        <f t="shared" si="930"/>
        <v>2.121</v>
      </c>
    </row>
    <row r="171" spans="5:16" x14ac:dyDescent="0.25">
      <c r="E171" s="170">
        <f t="shared" si="929"/>
        <v>7.6673752409885693E-2</v>
      </c>
      <c r="F171" s="170">
        <f t="shared" si="929"/>
        <v>-0.98618849849653034</v>
      </c>
      <c r="G171" s="170">
        <f t="shared" si="929"/>
        <v>-0.14681069826326235</v>
      </c>
      <c r="H171" s="139"/>
      <c r="I171" s="86"/>
      <c r="J171" s="79">
        <f t="shared" si="930"/>
        <v>2.1269999999999998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-2.792261847428807E-2</v>
      </c>
      <c r="F172" s="170">
        <f t="shared" si="929"/>
        <v>-0.99815386510891346</v>
      </c>
      <c r="G172" s="170">
        <f t="shared" si="929"/>
        <v>-5.3936897812873114E-2</v>
      </c>
      <c r="H172" s="139"/>
      <c r="I172" s="86"/>
      <c r="J172" s="79">
        <f t="shared" si="930"/>
        <v>2.133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-0.1321874766424167</v>
      </c>
      <c r="F173" s="170">
        <f t="shared" si="929"/>
        <v>-0.99121461808179878</v>
      </c>
      <c r="G173" s="170">
        <f t="shared" si="929"/>
        <v>-4.4779370098758965E-3</v>
      </c>
      <c r="H173" s="139"/>
      <c r="I173" s="86"/>
      <c r="J173" s="79">
        <f t="shared" si="930"/>
        <v>2.1389999999999998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-0.22052783463310002</v>
      </c>
      <c r="F174" s="170">
        <f t="shared" si="933"/>
        <v>-0.97538068165820224</v>
      </c>
      <c r="G174" s="170">
        <f t="shared" si="933"/>
        <v>-1.3008419211179551E-7</v>
      </c>
      <c r="H174" s="139"/>
      <c r="I174" s="86"/>
      <c r="J174" s="79">
        <f t="shared" si="930"/>
        <v>2.145</v>
      </c>
    </row>
    <row r="175" spans="5:16" x14ac:dyDescent="0.25">
      <c r="E175" s="170">
        <f t="shared" si="933"/>
        <v>-0.32146843825714183</v>
      </c>
      <c r="F175" s="170">
        <f t="shared" si="933"/>
        <v>-0.92200506001006122</v>
      </c>
      <c r="G175" s="170">
        <f t="shared" si="933"/>
        <v>-0.21578858292402245</v>
      </c>
      <c r="H175" s="139"/>
      <c r="I175" s="86"/>
      <c r="J175" s="79">
        <f t="shared" si="930"/>
        <v>2.2290000000000001</v>
      </c>
    </row>
    <row r="176" spans="5:16" x14ac:dyDescent="0.25">
      <c r="E176" s="170">
        <f t="shared" si="933"/>
        <v>-0.43997077684453484</v>
      </c>
      <c r="F176" s="170">
        <f t="shared" si="933"/>
        <v>-0.8952924188960858</v>
      </c>
      <c r="G176" s="170">
        <f t="shared" si="933"/>
        <v>-6.9836954329440662E-2</v>
      </c>
      <c r="H176" s="139"/>
      <c r="I176" s="86"/>
      <c r="J176" s="79">
        <f t="shared" si="930"/>
        <v>2.2349999999999999</v>
      </c>
    </row>
    <row r="177" spans="5:10" x14ac:dyDescent="0.25">
      <c r="E177" s="170">
        <f t="shared" si="933"/>
        <v>-0.46342801103865061</v>
      </c>
      <c r="F177" s="170">
        <f t="shared" si="933"/>
        <v>-0.84779481177663274</v>
      </c>
      <c r="G177" s="170">
        <f t="shared" si="933"/>
        <v>-0.25783412440827963</v>
      </c>
      <c r="H177" s="139"/>
      <c r="I177" s="86"/>
      <c r="J177" s="79">
        <f t="shared" si="930"/>
        <v>3.1030000000000002</v>
      </c>
    </row>
    <row r="178" spans="5:10" x14ac:dyDescent="0.25">
      <c r="E178" s="170">
        <f t="shared" si="933"/>
        <v>-0.46342801103865056</v>
      </c>
      <c r="F178" s="170">
        <f t="shared" si="933"/>
        <v>-0.84779481177663285</v>
      </c>
      <c r="G178" s="170">
        <f t="shared" si="933"/>
        <v>-0.25783412440827969</v>
      </c>
      <c r="H178" s="139"/>
      <c r="I178" s="86"/>
      <c r="J178" s="79">
        <f t="shared" si="930"/>
        <v>3.1059999999999999</v>
      </c>
    </row>
    <row r="179" spans="5:10" x14ac:dyDescent="0.25">
      <c r="E179" s="170">
        <f t="shared" si="933"/>
        <v>-0.46342801103865056</v>
      </c>
      <c r="F179" s="170">
        <f t="shared" si="933"/>
        <v>-0.84779481177663285</v>
      </c>
      <c r="G179" s="170">
        <f t="shared" si="933"/>
        <v>-0.25783412440827969</v>
      </c>
      <c r="H179" s="139"/>
      <c r="I179" s="86"/>
      <c r="J179" s="79">
        <f t="shared" si="930"/>
        <v>3.109</v>
      </c>
    </row>
    <row r="180" spans="5:10" x14ac:dyDescent="0.25">
      <c r="E180" s="170">
        <f t="shared" si="933"/>
        <v>-0.53718934109661132</v>
      </c>
      <c r="F180" s="170">
        <f t="shared" si="933"/>
        <v>-0.79825574206935812</v>
      </c>
      <c r="G180" s="170">
        <f t="shared" si="933"/>
        <v>-0.27242500264382347</v>
      </c>
      <c r="H180" s="139"/>
      <c r="I180" s="86"/>
      <c r="J180" s="79">
        <f t="shared" si="930"/>
        <v>3.1139999999999999</v>
      </c>
    </row>
    <row r="181" spans="5:10" x14ac:dyDescent="0.25">
      <c r="E181" s="170">
        <f t="shared" si="933"/>
        <v>-0.65600926005824023</v>
      </c>
      <c r="F181" s="170">
        <f t="shared" si="933"/>
        <v>-0.71657919019106697</v>
      </c>
      <c r="G181" s="170">
        <f t="shared" si="933"/>
        <v>-0.23699391321921093</v>
      </c>
      <c r="H181" s="139"/>
      <c r="I181" s="86"/>
      <c r="J181" s="79">
        <f t="shared" si="930"/>
        <v>3.12</v>
      </c>
    </row>
    <row r="182" spans="5:10" x14ac:dyDescent="0.25">
      <c r="E182" s="170">
        <f t="shared" si="933"/>
        <v>-0.7531889819640526</v>
      </c>
      <c r="F182" s="170">
        <f t="shared" si="933"/>
        <v>-0.63640046999555622</v>
      </c>
      <c r="G182" s="170">
        <f t="shared" si="933"/>
        <v>-0.16643557082964397</v>
      </c>
      <c r="H182" s="139"/>
      <c r="I182" s="86"/>
      <c r="J182" s="79">
        <f t="shared" si="930"/>
        <v>3.1259999999999999</v>
      </c>
    </row>
    <row r="183" spans="5:10" x14ac:dyDescent="0.25">
      <c r="E183" s="170">
        <f t="shared" si="933"/>
        <v>-0.82174149226963733</v>
      </c>
      <c r="F183" s="170">
        <f t="shared" si="933"/>
        <v>-0.56561060986264788</v>
      </c>
      <c r="G183" s="170">
        <f t="shared" si="933"/>
        <v>-6.9466235634826942E-2</v>
      </c>
      <c r="H183" s="139"/>
      <c r="I183" s="86"/>
      <c r="J183" s="79">
        <f t="shared" si="930"/>
        <v>3.1320000000000001</v>
      </c>
    </row>
    <row r="184" spans="5:10" x14ac:dyDescent="0.25">
      <c r="E184" s="170">
        <f t="shared" si="933"/>
        <v>-0.87976283435082459</v>
      </c>
      <c r="F184" s="170">
        <f t="shared" si="933"/>
        <v>-0.47532946212342442</v>
      </c>
      <c r="G184" s="170">
        <f t="shared" si="933"/>
        <v>-8.9026811949817486E-3</v>
      </c>
      <c r="H184" s="139"/>
      <c r="I184" s="86"/>
      <c r="J184" s="79">
        <f t="shared" si="930"/>
        <v>3.1379999999999999</v>
      </c>
    </row>
    <row r="185" spans="5:10" x14ac:dyDescent="0.25">
      <c r="E185" s="170">
        <f t="shared" si="933"/>
        <v>-0.92547459634354223</v>
      </c>
      <c r="F185" s="170">
        <f t="shared" si="933"/>
        <v>-0.37880967717673314</v>
      </c>
      <c r="G185" s="170">
        <f t="shared" si="933"/>
        <v>-1.3008419238161576E-7</v>
      </c>
      <c r="H185" s="139"/>
      <c r="I185" s="86"/>
      <c r="J185" s="79">
        <f t="shared" si="930"/>
        <v>3.1440000000000001</v>
      </c>
    </row>
    <row r="186" spans="5:10" x14ac:dyDescent="0.25">
      <c r="E186" s="170">
        <f t="shared" si="933"/>
        <v>7.5958559915795905E-3</v>
      </c>
      <c r="F186" s="170">
        <f t="shared" si="933"/>
        <v>-8.6824099637050928E-2</v>
      </c>
      <c r="G186" s="170">
        <f t="shared" si="933"/>
        <v>-0.99619469918985748</v>
      </c>
      <c r="H186" s="139"/>
      <c r="I186" s="86"/>
      <c r="J186" s="79">
        <f t="shared" si="930"/>
        <v>3.2050000000000001</v>
      </c>
    </row>
    <row r="187" spans="5:10" x14ac:dyDescent="0.25">
      <c r="E187" s="170">
        <f t="shared" si="933"/>
        <v>4.1158452269612143E-2</v>
      </c>
      <c r="F187" s="170">
        <f t="shared" si="933"/>
        <v>-7.6825146357162435E-2</v>
      </c>
      <c r="G187" s="170">
        <f t="shared" si="933"/>
        <v>-0.99619469918985748</v>
      </c>
      <c r="H187" s="139"/>
      <c r="I187" s="86"/>
      <c r="J187" s="79">
        <f t="shared" si="930"/>
        <v>3.2080000000000002</v>
      </c>
    </row>
    <row r="188" spans="5:10" x14ac:dyDescent="0.25">
      <c r="E188" s="170">
        <f t="shared" si="933"/>
        <v>-0.98022511792156186</v>
      </c>
      <c r="F188" s="170">
        <f t="shared" si="933"/>
        <v>-0.17279881483452847</v>
      </c>
      <c r="G188" s="170">
        <f t="shared" si="933"/>
        <v>-9.643281488913702E-2</v>
      </c>
      <c r="H188" s="139"/>
      <c r="I188" s="86"/>
      <c r="J188" s="79">
        <f t="shared" si="930"/>
        <v>3.234</v>
      </c>
    </row>
    <row r="189" spans="5:10" x14ac:dyDescent="0.25">
      <c r="E189" s="170">
        <f t="shared" si="933"/>
        <v>-0.98843297440680311</v>
      </c>
      <c r="F189" s="170">
        <f t="shared" si="933"/>
        <v>-0.15054101410451792</v>
      </c>
      <c r="G189" s="170">
        <f t="shared" si="933"/>
        <v>-1.8375477618376008E-2</v>
      </c>
      <c r="H189" s="139"/>
      <c r="I189" s="86"/>
      <c r="J189" s="79">
        <f t="shared" si="930"/>
        <v>3.24</v>
      </c>
    </row>
    <row r="190" spans="5:10" x14ac:dyDescent="0.25">
      <c r="E190" s="170">
        <f t="shared" si="933"/>
        <v>-0.96304196921554552</v>
      </c>
      <c r="F190" s="170">
        <f t="shared" si="933"/>
        <v>7.5214137083852245E-2</v>
      </c>
      <c r="G190" s="170">
        <f t="shared" si="933"/>
        <v>-0.25863680927543103</v>
      </c>
      <c r="H190" s="139"/>
      <c r="I190" s="86"/>
      <c r="J190" s="79">
        <f t="shared" si="930"/>
        <v>4.1130000000000004</v>
      </c>
    </row>
    <row r="191" spans="5:10" x14ac:dyDescent="0.25">
      <c r="E191" s="170">
        <f t="shared" si="933"/>
        <v>-0.94285290309780312</v>
      </c>
      <c r="F191" s="170">
        <f t="shared" si="933"/>
        <v>0.22108886962386964</v>
      </c>
      <c r="G191" s="170">
        <f t="shared" si="933"/>
        <v>-0.24929523631326062</v>
      </c>
      <c r="H191" s="139"/>
      <c r="I191" s="86"/>
      <c r="J191" s="79">
        <f t="shared" si="930"/>
        <v>4.1189999999999998</v>
      </c>
    </row>
    <row r="192" spans="5:10" x14ac:dyDescent="0.25">
      <c r="E192" s="170">
        <f t="shared" si="933"/>
        <v>-0.91764287063890326</v>
      </c>
      <c r="F192" s="170">
        <f t="shared" si="933"/>
        <v>0.35149683664122583</v>
      </c>
      <c r="G192" s="170">
        <f t="shared" si="933"/>
        <v>-0.18542258707289291</v>
      </c>
      <c r="H192" s="139"/>
      <c r="I192" s="86"/>
      <c r="J192" s="79">
        <f t="shared" si="930"/>
        <v>4.125</v>
      </c>
    </row>
    <row r="193" spans="5:10" x14ac:dyDescent="0.25">
      <c r="E193" s="170">
        <f t="shared" si="933"/>
        <v>-0.8935632602340684</v>
      </c>
      <c r="F193" s="170">
        <f t="shared" si="933"/>
        <v>0.44113154871674515</v>
      </c>
      <c r="G193" s="170">
        <f t="shared" si="933"/>
        <v>-8.3352604558158239E-2</v>
      </c>
      <c r="H193" s="139"/>
      <c r="I193" s="86"/>
      <c r="J193" s="79">
        <f t="shared" si="930"/>
        <v>4.1310000000000002</v>
      </c>
    </row>
    <row r="194" spans="5:10" x14ac:dyDescent="0.25">
      <c r="E194" s="170">
        <f t="shared" ref="E194:G213" si="934">E49*-1</f>
        <v>-0.84200332406017386</v>
      </c>
      <c r="F194" s="170">
        <f t="shared" si="934"/>
        <v>0.53932113032397655</v>
      </c>
      <c r="G194" s="170">
        <f t="shared" si="934"/>
        <v>-1.2771869780351469E-2</v>
      </c>
      <c r="H194" s="139"/>
      <c r="I194" s="86"/>
      <c r="J194" s="79">
        <f t="shared" si="930"/>
        <v>4.1369999999999996</v>
      </c>
    </row>
    <row r="195" spans="5:10" x14ac:dyDescent="0.25">
      <c r="E195" s="170">
        <f t="shared" si="934"/>
        <v>-0.76895348432184951</v>
      </c>
      <c r="F195" s="170">
        <f t="shared" si="934"/>
        <v>0.63930473089855233</v>
      </c>
      <c r="G195" s="170">
        <f t="shared" si="934"/>
        <v>-1.3008419230567595E-7</v>
      </c>
      <c r="H195" s="139"/>
      <c r="I195" s="86"/>
      <c r="J195" s="79">
        <f t="shared" si="930"/>
        <v>4.1429999999999998</v>
      </c>
    </row>
    <row r="196" spans="5:10" x14ac:dyDescent="0.25">
      <c r="E196" s="170">
        <f t="shared" si="934"/>
        <v>-0.62754736068464279</v>
      </c>
      <c r="F196" s="170">
        <f t="shared" si="934"/>
        <v>0.76901156529888548</v>
      </c>
      <c r="G196" s="170">
        <f t="shared" si="934"/>
        <v>-0.12167794596514554</v>
      </c>
      <c r="H196" s="139"/>
      <c r="I196" s="86"/>
      <c r="J196" s="79">
        <f t="shared" si="930"/>
        <v>4.2329999999999997</v>
      </c>
    </row>
    <row r="197" spans="5:10" x14ac:dyDescent="0.25">
      <c r="E197" s="170">
        <f t="shared" si="934"/>
        <v>-0.59711424144669245</v>
      </c>
      <c r="F197" s="170">
        <f t="shared" si="934"/>
        <v>0.80164163169998948</v>
      </c>
      <c r="G197" s="170">
        <f t="shared" si="934"/>
        <v>-2.8727634551414249E-2</v>
      </c>
      <c r="H197" s="139"/>
      <c r="I197" s="86"/>
      <c r="J197" s="79">
        <f t="shared" si="930"/>
        <v>4.2389999999999999</v>
      </c>
    </row>
    <row r="198" spans="5:10" x14ac:dyDescent="0.25">
      <c r="E198" s="170">
        <f t="shared" si="934"/>
        <v>-0.50249808822216879</v>
      </c>
      <c r="F198" s="170">
        <f t="shared" si="934"/>
        <v>0.82523768432111799</v>
      </c>
      <c r="G198" s="170">
        <f t="shared" si="934"/>
        <v>-0.25783412440827969</v>
      </c>
      <c r="H198" s="139"/>
      <c r="I198" s="86"/>
      <c r="J198" s="79">
        <f t="shared" si="930"/>
        <v>5.1020000000000003</v>
      </c>
    </row>
    <row r="199" spans="5:10" x14ac:dyDescent="0.25">
      <c r="E199" s="170">
        <f t="shared" si="934"/>
        <v>-0.50249808822216879</v>
      </c>
      <c r="F199" s="170">
        <f t="shared" si="934"/>
        <v>0.82523768432111821</v>
      </c>
      <c r="G199" s="170">
        <f t="shared" si="934"/>
        <v>-0.25783412440827969</v>
      </c>
      <c r="H199" s="139"/>
      <c r="I199" s="86"/>
      <c r="J199" s="79">
        <f t="shared" si="930"/>
        <v>5.1050000000000004</v>
      </c>
    </row>
    <row r="200" spans="5:10" x14ac:dyDescent="0.25">
      <c r="E200" s="170">
        <f t="shared" si="934"/>
        <v>-0.5024980882221689</v>
      </c>
      <c r="F200" s="170">
        <f t="shared" si="934"/>
        <v>0.82523768432111799</v>
      </c>
      <c r="G200" s="170">
        <f t="shared" si="934"/>
        <v>-0.25783412440827969</v>
      </c>
      <c r="H200" s="139"/>
      <c r="I200" s="86"/>
      <c r="J200" s="79">
        <f t="shared" si="930"/>
        <v>5.1079999999999997</v>
      </c>
    </row>
    <row r="201" spans="5:10" x14ac:dyDescent="0.25">
      <c r="E201" s="170">
        <f t="shared" si="934"/>
        <v>-0.46464088621187749</v>
      </c>
      <c r="F201" s="170">
        <f t="shared" si="934"/>
        <v>0.84654431985475109</v>
      </c>
      <c r="G201" s="170">
        <f t="shared" si="934"/>
        <v>-0.25975288522343298</v>
      </c>
      <c r="H201" s="139"/>
      <c r="I201" s="86"/>
      <c r="J201" s="79">
        <f t="shared" si="930"/>
        <v>5.1120000000000001</v>
      </c>
    </row>
    <row r="202" spans="5:10" x14ac:dyDescent="0.25">
      <c r="E202" s="170">
        <f t="shared" si="934"/>
        <v>-0.3324582119217096</v>
      </c>
      <c r="F202" s="170">
        <f t="shared" si="934"/>
        <v>0.90648838861872971</v>
      </c>
      <c r="G202" s="170">
        <f t="shared" si="934"/>
        <v>-0.26028895217668885</v>
      </c>
      <c r="H202" s="139"/>
      <c r="I202" s="86"/>
      <c r="J202" s="79">
        <f t="shared" si="930"/>
        <v>5.1180000000000003</v>
      </c>
    </row>
    <row r="203" spans="5:10" x14ac:dyDescent="0.25">
      <c r="E203" s="170">
        <f t="shared" si="934"/>
        <v>-0.21402029291737712</v>
      </c>
      <c r="F203" s="170">
        <f t="shared" si="934"/>
        <v>0.95812789644351137</v>
      </c>
      <c r="G203" s="170">
        <f t="shared" si="934"/>
        <v>-0.19022683374406479</v>
      </c>
      <c r="H203" s="139"/>
      <c r="I203" s="86"/>
      <c r="J203" s="79">
        <f t="shared" si="930"/>
        <v>5.1239999999999997</v>
      </c>
    </row>
    <row r="204" spans="5:10" x14ac:dyDescent="0.25">
      <c r="E204" s="170">
        <f t="shared" si="934"/>
        <v>-0.10635811248497921</v>
      </c>
      <c r="F204" s="170">
        <f t="shared" si="934"/>
        <v>0.98872322288237291</v>
      </c>
      <c r="G204" s="170">
        <f t="shared" si="934"/>
        <v>-0.10542457228619086</v>
      </c>
      <c r="H204" s="139"/>
      <c r="I204" s="86"/>
      <c r="J204" s="79">
        <f t="shared" si="930"/>
        <v>5.13</v>
      </c>
    </row>
    <row r="205" spans="5:10" x14ac:dyDescent="0.25">
      <c r="E205" s="170">
        <f t="shared" si="934"/>
        <v>-5.857707097940968E-3</v>
      </c>
      <c r="F205" s="170">
        <f t="shared" si="934"/>
        <v>0.99985352658273241</v>
      </c>
      <c r="G205" s="170">
        <f t="shared" si="934"/>
        <v>-1.6081437983839864E-2</v>
      </c>
      <c r="H205" s="139"/>
      <c r="I205" s="86"/>
      <c r="J205" s="79">
        <f t="shared" si="930"/>
        <v>5.1360000000000001</v>
      </c>
    </row>
    <row r="206" spans="5:10" x14ac:dyDescent="0.25">
      <c r="E206" s="170">
        <f t="shared" si="934"/>
        <v>0.13467819489913491</v>
      </c>
      <c r="F206" s="170">
        <f t="shared" si="934"/>
        <v>0.99088939030483814</v>
      </c>
      <c r="G206" s="170">
        <f t="shared" si="934"/>
        <v>-1.3008419223622367E-7</v>
      </c>
      <c r="H206" s="139"/>
      <c r="I206" s="86"/>
      <c r="J206" s="79">
        <f t="shared" si="930"/>
        <v>5.1420000000000003</v>
      </c>
    </row>
    <row r="207" spans="5:10" x14ac:dyDescent="0.25">
      <c r="E207" s="170">
        <f t="shared" si="934"/>
        <v>-8.6551577694423953E-2</v>
      </c>
      <c r="F207" s="170">
        <f t="shared" si="934"/>
        <v>1.0244301080867071E-2</v>
      </c>
      <c r="G207" s="170">
        <f t="shared" si="934"/>
        <v>-0.99619469918985748</v>
      </c>
      <c r="H207" s="139"/>
      <c r="I207" s="86"/>
      <c r="J207" s="79">
        <f t="shared" si="930"/>
        <v>5.2069999999999999</v>
      </c>
    </row>
    <row r="208" spans="5:10" x14ac:dyDescent="0.25">
      <c r="E208" s="170">
        <f t="shared" si="934"/>
        <v>-8.6852623863480749E-2</v>
      </c>
      <c r="F208" s="170">
        <f t="shared" si="934"/>
        <v>-7.2624399521169624E-3</v>
      </c>
      <c r="G208" s="170">
        <f t="shared" si="934"/>
        <v>-0.99619469918985759</v>
      </c>
      <c r="H208" s="139"/>
      <c r="I208" s="86"/>
      <c r="J208" s="79">
        <f t="shared" si="930"/>
        <v>5.21</v>
      </c>
    </row>
    <row r="209" spans="5:10" x14ac:dyDescent="0.25">
      <c r="E209" s="170">
        <f t="shared" si="934"/>
        <v>0.29766641013390549</v>
      </c>
      <c r="F209" s="170">
        <f t="shared" si="934"/>
        <v>0.9435314433306673</v>
      </c>
      <c r="G209" s="170">
        <f t="shared" si="934"/>
        <v>-0.14540675267793207</v>
      </c>
      <c r="H209" s="139"/>
      <c r="I209" s="86"/>
      <c r="J209" s="79">
        <f t="shared" si="930"/>
        <v>5.2320000000000002</v>
      </c>
    </row>
    <row r="210" spans="5:10" x14ac:dyDescent="0.25">
      <c r="E210" s="170">
        <f t="shared" si="934"/>
        <v>0.36295800240147241</v>
      </c>
      <c r="F210" s="170">
        <f t="shared" si="934"/>
        <v>0.93098605652294175</v>
      </c>
      <c r="G210" s="170">
        <f t="shared" si="934"/>
        <v>-3.906982278683719E-2</v>
      </c>
      <c r="H210" s="139"/>
      <c r="I210" s="86"/>
      <c r="J210" s="79">
        <f t="shared" si="930"/>
        <v>5.2380000000000004</v>
      </c>
    </row>
    <row r="211" spans="5:10" x14ac:dyDescent="0.25">
      <c r="E211" s="170">
        <f t="shared" si="934"/>
        <v>0.48315685830626665</v>
      </c>
      <c r="F211" s="170">
        <f t="shared" si="934"/>
        <v>0.83614366209215063</v>
      </c>
      <c r="G211" s="170">
        <f t="shared" si="934"/>
        <v>-0.25965982865038173</v>
      </c>
      <c r="H211" s="139"/>
      <c r="I211" s="86"/>
      <c r="J211" s="79">
        <f t="shared" si="930"/>
        <v>6.1109999999999998</v>
      </c>
    </row>
    <row r="212" spans="5:10" x14ac:dyDescent="0.25">
      <c r="E212" s="170">
        <f t="shared" si="934"/>
        <v>0.59806059713350213</v>
      </c>
      <c r="F212" s="170">
        <f t="shared" si="934"/>
        <v>0.7602754080112375</v>
      </c>
      <c r="G212" s="170">
        <f t="shared" si="934"/>
        <v>-0.25358396268231415</v>
      </c>
      <c r="H212" s="139"/>
      <c r="I212" s="86"/>
      <c r="J212" s="79">
        <f t="shared" si="930"/>
        <v>6.117</v>
      </c>
    </row>
    <row r="213" spans="5:10" x14ac:dyDescent="0.25">
      <c r="E213" s="170">
        <f t="shared" si="934"/>
        <v>0.70849428480246113</v>
      </c>
      <c r="F213" s="170">
        <f t="shared" si="934"/>
        <v>0.67459104967081429</v>
      </c>
      <c r="G213" s="170">
        <f t="shared" si="934"/>
        <v>-0.20727461037541028</v>
      </c>
      <c r="H213" s="139"/>
      <c r="I213" s="86"/>
      <c r="J213" s="79">
        <f t="shared" si="930"/>
        <v>6.1230000000000002</v>
      </c>
    </row>
    <row r="214" spans="5:10" x14ac:dyDescent="0.25">
      <c r="E214" s="170">
        <f t="shared" ref="E214:G233" si="935">E69*-1</f>
        <v>0.78848373858590526</v>
      </c>
      <c r="F214" s="170">
        <f t="shared" si="935"/>
        <v>0.60383312899069064</v>
      </c>
      <c r="G214" s="170">
        <f t="shared" si="935"/>
        <v>-0.11695702765933214</v>
      </c>
      <c r="H214" s="139"/>
      <c r="I214" s="86"/>
      <c r="J214" s="79">
        <f t="shared" si="930"/>
        <v>6.1289999999999996</v>
      </c>
    </row>
    <row r="215" spans="5:10" x14ac:dyDescent="0.25">
      <c r="E215" s="170">
        <f t="shared" si="935"/>
        <v>0.85434183028155808</v>
      </c>
      <c r="F215" s="170">
        <f t="shared" si="935"/>
        <v>0.51937632004977863</v>
      </c>
      <c r="G215" s="170">
        <f t="shared" si="935"/>
        <v>-1.8662132855265301E-2</v>
      </c>
      <c r="H215" s="139"/>
      <c r="I215" s="86"/>
      <c r="J215" s="79">
        <f t="shared" si="930"/>
        <v>6.1349999999999998</v>
      </c>
    </row>
    <row r="216" spans="5:10" x14ac:dyDescent="0.25">
      <c r="E216" s="170">
        <f t="shared" si="935"/>
        <v>0.92547442451924378</v>
      </c>
      <c r="F216" s="170">
        <f t="shared" si="935"/>
        <v>0.37881009696252521</v>
      </c>
      <c r="G216" s="170">
        <f t="shared" si="935"/>
        <v>-1.3008419216140861E-7</v>
      </c>
      <c r="H216" s="139"/>
      <c r="I216" s="86"/>
      <c r="J216" s="79">
        <f t="shared" si="930"/>
        <v>6.141</v>
      </c>
    </row>
    <row r="217" spans="5:10" x14ac:dyDescent="0.25">
      <c r="E217" s="170">
        <f t="shared" si="935"/>
        <v>0.95737160689080369</v>
      </c>
      <c r="F217" s="170">
        <f t="shared" si="935"/>
        <v>0.23544344482667556</v>
      </c>
      <c r="G217" s="170">
        <f t="shared" si="935"/>
        <v>-0.16734990471305558</v>
      </c>
      <c r="H217" s="139"/>
      <c r="I217" s="86"/>
      <c r="J217" s="79">
        <f t="shared" si="930"/>
        <v>6.2309999999999999</v>
      </c>
    </row>
    <row r="218" spans="5:10" x14ac:dyDescent="0.25">
      <c r="E218" s="170">
        <f t="shared" si="935"/>
        <v>0.9871828410368394</v>
      </c>
      <c r="F218" s="170">
        <f t="shared" si="935"/>
        <v>0.15175571862254861</v>
      </c>
      <c r="G218" s="170">
        <f t="shared" si="935"/>
        <v>-4.9398787715774793E-2</v>
      </c>
      <c r="H218" s="139"/>
      <c r="I218" s="86"/>
      <c r="J218" s="79">
        <f t="shared" si="930"/>
        <v>6.2370000000000001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B08702B-94F4-4735-BCB2-5E5A2A75680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26E9B373-1002-4843-83D8-3417D9888FA0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8.75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1.1339999999999999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1.206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1.2090000000000001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1.23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1.236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1.347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2.1150000000000002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2.1269999999999998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2.133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2.1389999999999998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2.145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2.2290000000000001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2.2349999999999999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3.1030000000000002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3.1059999999999999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3.109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3.1139999999999999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3.1259999999999999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3.1320000000000001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3.1379999999999999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3.1440000000000001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3.2050000000000001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3.2080000000000002</v>
      </c>
      <c r="N197" s="869" t="str">
        <f>Assy.Model!K42</f>
        <v>Inactive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3.234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3.24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4.1130000000000004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4.1189999999999998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4.125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4.1310000000000002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4.1369999999999996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4.1429999999999998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4.2329999999999997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4.2389999999999999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5.1020000000000003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5.1050000000000004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5.1079999999999997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5.1120000000000001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5.1180000000000003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5.1239999999999997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5.13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5.1360000000000001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5.1420000000000003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5.2069999999999999</v>
      </c>
      <c r="N217" s="869" t="str">
        <f>Assy.Model!K62</f>
        <v>Inactive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5.21</v>
      </c>
      <c r="N218" s="869" t="str">
        <f>Assy.Model!K63</f>
        <v>Inactive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5.2320000000000002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5.2380000000000004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6.1109999999999998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6.117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6.1230000000000002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6.1289999999999996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6.1349999999999998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6.141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6.2309999999999999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6.2370000000000001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2023-03-28T19:09:01Z</dcterms:modified>
</cp:coreProperties>
</file>