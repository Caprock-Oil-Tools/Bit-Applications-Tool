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07\"/>
    </mc:Choice>
  </mc:AlternateContent>
  <xr:revisionPtr revIDLastSave="0" documentId="8_{D1ED147A-4734-4774-AA07-F8944DD73A5C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Q69" i="1"/>
  <c r="IN69" i="1"/>
  <c r="IR69" i="1"/>
  <c r="IW69" i="1"/>
  <c r="IP69" i="1"/>
  <c r="IJ69" i="1"/>
  <c r="IK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Q70" i="1"/>
  <c r="IP70" i="1"/>
  <c r="IN70" i="1"/>
  <c r="IJ70" i="1"/>
  <c r="IW70" i="1"/>
  <c r="IK70" i="1"/>
  <c r="IR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89" i="1" l="1"/>
  <c r="IF98" i="1"/>
  <c r="IF130" i="1"/>
  <c r="IF150" i="1"/>
  <c r="IF56" i="1"/>
  <c r="IF58" i="1"/>
  <c r="IF112" i="1"/>
  <c r="IF139" i="1"/>
  <c r="IF123" i="1"/>
  <c r="IF29" i="1"/>
  <c r="IF137" i="1"/>
  <c r="IF114" i="1"/>
  <c r="IF11" i="1"/>
  <c r="IF21" i="1"/>
  <c r="IF82" i="1"/>
  <c r="IF113" i="1"/>
  <c r="IF143" i="1"/>
  <c r="IF117" i="1"/>
  <c r="IF132" i="1"/>
  <c r="IF78" i="1"/>
  <c r="IF136" i="1"/>
  <c r="IF135" i="1"/>
  <c r="IF31" i="1"/>
  <c r="IF149" i="1"/>
  <c r="IF10" i="1"/>
  <c r="IF118" i="1"/>
  <c r="IF44" i="1"/>
  <c r="IF92" i="1"/>
  <c r="IF144" i="1"/>
  <c r="IF67" i="1"/>
  <c r="IF121" i="1"/>
  <c r="IF46" i="1"/>
  <c r="IF20" i="1"/>
  <c r="IF127" i="1"/>
  <c r="IF76" i="1"/>
  <c r="IF105" i="1"/>
  <c r="IF88" i="1"/>
  <c r="IF55" i="1"/>
  <c r="IF115" i="1"/>
  <c r="IF131" i="1"/>
  <c r="IF12" i="1"/>
  <c r="IF126" i="1"/>
  <c r="IF27" i="1"/>
  <c r="IF102" i="1"/>
  <c r="IF147" i="1"/>
  <c r="IF84" i="1"/>
  <c r="IF109" i="1"/>
  <c r="IF103" i="1"/>
  <c r="IF49" i="1"/>
  <c r="IF145" i="1"/>
  <c r="IF100" i="1"/>
  <c r="IF75" i="1"/>
  <c r="IF94" i="1"/>
  <c r="IF96" i="1"/>
  <c r="IF13" i="1"/>
  <c r="IF30" i="1"/>
  <c r="IF9" i="1"/>
  <c r="IF116" i="1"/>
  <c r="IF79" i="1"/>
  <c r="IF106" i="1"/>
  <c r="IF134" i="1"/>
  <c r="IF57" i="1"/>
  <c r="IF125" i="1"/>
  <c r="IF87" i="1"/>
  <c r="IF39" i="1"/>
  <c r="IF95" i="1"/>
  <c r="IF107" i="1"/>
  <c r="IF146" i="1"/>
  <c r="IF28" i="1"/>
  <c r="IF90" i="1"/>
  <c r="IF122" i="1"/>
  <c r="IF91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32" i="1"/>
  <c r="IF120" i="1"/>
  <c r="IF14" i="1"/>
  <c r="IF101" i="1"/>
  <c r="IF38" i="1"/>
  <c r="IF73" i="1"/>
  <c r="IF66" i="1"/>
  <c r="IF99" i="1"/>
  <c r="IF81" i="1"/>
  <c r="IF74" i="1"/>
  <c r="IF37" i="1"/>
  <c r="IF104" i="1"/>
  <c r="IF48" i="1"/>
  <c r="IF63" i="1"/>
  <c r="IF71" i="1"/>
  <c r="IF93" i="1"/>
  <c r="IF65" i="1"/>
  <c r="IF23" i="1"/>
  <c r="IF47" i="1"/>
  <c r="IF142" i="1"/>
  <c r="IF148" i="1"/>
  <c r="IF22" i="1"/>
  <c r="IF50" i="1"/>
  <c r="IF140" i="1"/>
  <c r="IF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DY118" i="1" l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70" i="1" l="1"/>
  <c r="IU70" i="1"/>
  <c r="IE70" i="1" s="1"/>
  <c r="AQ69" i="1"/>
  <c r="IU69" i="1"/>
  <c r="IE69" i="1" s="1"/>
  <c r="AQ68" i="1"/>
  <c r="IU68" i="1"/>
  <c r="IE68" i="1" s="1"/>
  <c r="AQ62" i="1"/>
  <c r="IU62" i="1"/>
  <c r="IE62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IL70" i="1" s="1"/>
  <c r="W68" i="1"/>
  <c r="W65" i="1"/>
  <c r="IL68" i="1" s="1"/>
  <c r="W66" i="1"/>
  <c r="IL69" i="1" s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62" i="1" l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4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1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0" i="1" s="1"/>
  <c r="T67" i="1"/>
  <c r="T66" i="1"/>
  <c r="AK66" i="1"/>
  <c r="U66" i="1"/>
  <c r="AL66" i="1"/>
  <c r="AN66" i="1" s="1"/>
  <c r="IT69" i="1" s="1"/>
  <c r="U65" i="1"/>
  <c r="T65" i="1"/>
  <c r="AL65" i="1"/>
  <c r="AN65" i="1" s="1"/>
  <c r="IT68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AK59" i="1"/>
  <c r="AK57" i="1"/>
  <c r="AO57" i="1" s="1"/>
  <c r="IS60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3" i="1" s="1"/>
  <c r="AK50" i="1"/>
  <c r="AL50" i="1"/>
  <c r="AN50" i="1" s="1"/>
  <c r="IT54" i="1" s="1"/>
  <c r="U50" i="1"/>
  <c r="T50" i="1"/>
  <c r="T49" i="1"/>
  <c r="AK49" i="1"/>
  <c r="AO49" i="1" s="1"/>
  <c r="IS53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IT42" i="1" s="1"/>
  <c r="AL38" i="1"/>
  <c r="AN38" i="1" s="1"/>
  <c r="IT41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IT35" i="1" s="1"/>
  <c r="AL30" i="1"/>
  <c r="AN30" i="1" s="1"/>
  <c r="IT34" i="1" s="1"/>
  <c r="U30" i="1"/>
  <c r="T30" i="1"/>
  <c r="U29" i="1"/>
  <c r="AK29" i="1"/>
  <c r="T29" i="1"/>
  <c r="AL29" i="1"/>
  <c r="AN29" i="1" s="1"/>
  <c r="IT33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IT26" i="1" s="1"/>
  <c r="AL22" i="1"/>
  <c r="AN22" i="1" s="1"/>
  <c r="IT25" i="1" s="1"/>
  <c r="U22" i="1"/>
  <c r="AK22" i="1"/>
  <c r="T22" i="1"/>
  <c r="AK21" i="1"/>
  <c r="AO21" i="1" s="1"/>
  <c r="IS24" i="1" s="1"/>
  <c r="T21" i="1"/>
  <c r="AL21" i="1"/>
  <c r="AN21" i="1" s="1"/>
  <c r="IT24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59" i="1" l="1"/>
  <c r="IT62" i="1"/>
  <c r="IF41" i="1"/>
  <c r="IF43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IS70" i="1" s="1"/>
  <c r="AP67" i="1"/>
  <c r="AO68" i="1"/>
  <c r="IX68" i="1" s="1"/>
  <c r="IF68" i="1" s="1"/>
  <c r="AP68" i="1"/>
  <c r="AO65" i="1"/>
  <c r="IS68" i="1" s="1"/>
  <c r="AP65" i="1"/>
  <c r="AP66" i="1"/>
  <c r="AO66" i="1"/>
  <c r="IS69" i="1" s="1"/>
  <c r="AO63" i="1"/>
  <c r="AP63" i="1"/>
  <c r="AO64" i="1"/>
  <c r="AP64" i="1"/>
  <c r="AP62" i="1"/>
  <c r="AO62" i="1"/>
  <c r="IX62" i="1" s="1"/>
  <c r="IF62" i="1" s="1"/>
  <c r="AO61" i="1"/>
  <c r="IX61" i="1" s="1"/>
  <c r="IF61" i="1" s="1"/>
  <c r="AP61" i="1"/>
  <c r="AO59" i="1"/>
  <c r="AP59" i="1"/>
  <c r="AO60" i="1"/>
  <c r="IX60" i="1" s="1"/>
  <c r="IF60" i="1" s="1"/>
  <c r="AP60" i="1"/>
  <c r="AN57" i="1"/>
  <c r="IT60" i="1" s="1"/>
  <c r="AP57" i="1"/>
  <c r="AO58" i="1"/>
  <c r="IS61" i="1" s="1"/>
  <c r="AP58" i="1"/>
  <c r="AP56" i="1"/>
  <c r="AO56" i="1"/>
  <c r="IS59" i="1" s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51" i="1" s="1"/>
  <c r="AP47" i="1"/>
  <c r="AO48" i="1"/>
  <c r="IS52" i="1" s="1"/>
  <c r="AP48" i="1"/>
  <c r="AP45" i="1"/>
  <c r="AO45" i="1"/>
  <c r="AP46" i="1"/>
  <c r="AO46" i="1"/>
  <c r="AP43" i="1"/>
  <c r="AO44" i="1"/>
  <c r="AP44" i="1"/>
  <c r="AO42" i="1"/>
  <c r="IX42" i="1" s="1"/>
  <c r="IF42" i="1" s="1"/>
  <c r="AP42" i="1"/>
  <c r="AP41" i="1"/>
  <c r="AO40" i="1"/>
  <c r="IS43" i="1" s="1"/>
  <c r="AP40" i="1"/>
  <c r="AO39" i="1"/>
  <c r="IS42" i="1" s="1"/>
  <c r="AP39" i="1"/>
  <c r="AP37" i="1"/>
  <c r="AO37" i="1"/>
  <c r="AO38" i="1"/>
  <c r="IS41" i="1" s="1"/>
  <c r="AP38" i="1"/>
  <c r="AP35" i="1"/>
  <c r="AO35" i="1"/>
  <c r="IX35" i="1" s="1"/>
  <c r="IF35" i="1" s="1"/>
  <c r="AP36" i="1"/>
  <c r="AO36" i="1"/>
  <c r="IX36" i="1" s="1"/>
  <c r="IF36" i="1" s="1"/>
  <c r="AO33" i="1"/>
  <c r="IX33" i="1" s="1"/>
  <c r="IF33" i="1" s="1"/>
  <c r="AP33" i="1"/>
  <c r="AO34" i="1"/>
  <c r="IX34" i="1" s="1"/>
  <c r="IF34" i="1" s="1"/>
  <c r="AP34" i="1"/>
  <c r="AO31" i="1"/>
  <c r="IS35" i="1" s="1"/>
  <c r="AP31" i="1"/>
  <c r="AO32" i="1"/>
  <c r="IS36" i="1" s="1"/>
  <c r="AP32" i="1"/>
  <c r="AO29" i="1"/>
  <c r="IS33" i="1" s="1"/>
  <c r="AP29" i="1"/>
  <c r="AP30" i="1"/>
  <c r="AO27" i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IS26" i="1" s="1"/>
  <c r="AP23" i="1"/>
  <c r="AP21" i="1"/>
  <c r="AO22" i="1"/>
  <c r="IS25" i="1" s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IS19" i="1" s="1"/>
  <c r="AO16" i="1"/>
  <c r="AP16" i="1"/>
  <c r="AO13" i="1"/>
  <c r="IS17" i="1" s="1"/>
  <c r="AP13" i="1"/>
  <c r="AO14" i="1"/>
  <c r="IS18" i="1" s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59" i="1" l="1"/>
  <c r="IF59" i="1" s="1"/>
  <c r="IS62" i="1"/>
  <c r="IX16" i="1"/>
  <c r="IF16" i="1" s="1"/>
  <c r="AS13" i="1"/>
  <c r="BA35" i="7"/>
  <c r="IS5" i="1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<sst xmlns="http://schemas.openxmlformats.org/spreadsheetml/2006/main" count="704" uniqueCount="379">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</sst>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B31" sqref="B3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7.875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3.9375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/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63" t="str">
        <f>CONCATENATE(Settings!C19, " ",Settings!B28)</f>
        <v>7.875 yyyy.mm.dd --- Job # --- Assy #</v>
      </c>
      <c r="D1" s="963"/>
      <c r="E1" s="963"/>
      <c r="F1" s="963"/>
      <c r="G1" s="963"/>
      <c r="H1" s="963"/>
      <c r="I1" s="963"/>
      <c r="J1" s="963"/>
      <c r="K1" s="963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5" t="s">
        <v>315</v>
      </c>
      <c r="C2" s="976"/>
      <c r="D2" s="976"/>
      <c r="E2" s="976"/>
      <c r="F2" s="976"/>
      <c r="G2" s="976"/>
      <c r="H2" s="976"/>
      <c r="I2" s="976"/>
      <c r="J2" s="976"/>
      <c r="K2" s="977"/>
      <c r="M2" s="986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023" t="s">
        <v>0</v>
      </c>
      <c r="AW2" s="1025" t="s">
        <v>109</v>
      </c>
      <c r="AX2" s="1026"/>
      <c r="AY2" s="1026"/>
      <c r="AZ2" s="1026"/>
      <c r="BA2" s="1026"/>
      <c r="BB2" s="1026"/>
      <c r="BC2" s="1026"/>
      <c r="BD2" s="1026"/>
      <c r="BE2" s="1051"/>
      <c r="BF2" s="1115" t="s">
        <v>115</v>
      </c>
      <c r="BG2" s="1026"/>
      <c r="BH2" s="1026"/>
      <c r="BI2" s="1026"/>
      <c r="BJ2" s="1026"/>
      <c r="BK2" s="1026"/>
      <c r="BL2" s="1026"/>
      <c r="BM2" s="1026"/>
      <c r="BN2" s="1026"/>
      <c r="BO2" s="1026"/>
      <c r="BP2" s="1026"/>
      <c r="BQ2" s="1026"/>
      <c r="BR2" s="1026"/>
      <c r="BS2" s="1026"/>
      <c r="BT2" s="1026"/>
      <c r="BU2" s="1026"/>
      <c r="BV2" s="1026"/>
      <c r="BW2" s="1026"/>
      <c r="BX2" s="1026"/>
      <c r="BY2" s="1026"/>
      <c r="BZ2" s="1026"/>
      <c r="CA2" s="1026"/>
      <c r="CB2" s="1026"/>
      <c r="CC2" s="1026"/>
      <c r="CD2" s="1026"/>
      <c r="CE2" s="1026"/>
      <c r="CF2" s="1026"/>
      <c r="CG2" s="1026"/>
      <c r="CH2" s="1026"/>
      <c r="CI2" s="1026"/>
      <c r="CJ2" s="1026"/>
      <c r="CK2" s="1026"/>
      <c r="CL2" s="1026"/>
      <c r="CM2" s="1026"/>
      <c r="CN2" s="1026"/>
      <c r="CO2" s="1026"/>
      <c r="CP2" s="1026"/>
      <c r="CQ2" s="1026"/>
      <c r="CR2" s="1026"/>
      <c r="CS2" s="1026"/>
      <c r="CT2" s="1026"/>
      <c r="CU2" s="1026"/>
      <c r="CV2" s="1026"/>
      <c r="CW2" s="1026"/>
      <c r="CX2" s="1026"/>
      <c r="CY2" s="1026"/>
      <c r="CZ2" s="1026"/>
      <c r="DA2" s="1026"/>
      <c r="DB2" s="1026"/>
      <c r="DC2" s="1026"/>
      <c r="DD2" s="1026"/>
      <c r="DE2" s="1026"/>
      <c r="DF2" s="1026"/>
      <c r="DG2" s="1026"/>
      <c r="DH2" s="1026"/>
      <c r="DI2" s="1026"/>
      <c r="DJ2" s="1026"/>
      <c r="DK2" s="1026"/>
      <c r="DL2" s="1026"/>
      <c r="DM2" s="1026"/>
      <c r="DN2" s="1026"/>
      <c r="DO2" s="1026"/>
      <c r="DP2" s="1026"/>
      <c r="DQ2" s="1026"/>
      <c r="DR2" s="1026"/>
      <c r="DS2" s="1026"/>
      <c r="DT2" s="1026"/>
      <c r="DU2" s="1026"/>
      <c r="DV2" s="1026"/>
      <c r="DW2" s="1026"/>
      <c r="DX2" s="1026"/>
      <c r="DY2" s="1026"/>
      <c r="DZ2" s="1026"/>
      <c r="EA2" s="1026"/>
      <c r="EB2" s="1026"/>
      <c r="EC2" s="1026"/>
      <c r="ED2" s="1026"/>
      <c r="EE2" s="1026"/>
      <c r="EF2" s="1026"/>
      <c r="EG2" s="1026"/>
      <c r="EH2" s="1026"/>
      <c r="EI2" s="1026"/>
      <c r="EJ2" s="1026"/>
      <c r="EK2" s="1026"/>
      <c r="EL2" s="1026"/>
      <c r="EM2" s="1026"/>
      <c r="EN2" s="1026"/>
      <c r="EO2" s="1026"/>
      <c r="EP2" s="1026"/>
      <c r="EQ2" s="1026"/>
      <c r="ER2" s="1027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8"/>
      <c r="C3" s="979"/>
      <c r="D3" s="979"/>
      <c r="E3" s="979"/>
      <c r="F3" s="979"/>
      <c r="G3" s="979"/>
      <c r="H3" s="979"/>
      <c r="I3" s="979"/>
      <c r="J3" s="979"/>
      <c r="K3" s="980"/>
      <c r="M3" s="978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28"/>
      <c r="AA3" s="1029"/>
      <c r="AB3" s="1029"/>
      <c r="AC3" s="1029"/>
      <c r="AD3" s="1029"/>
      <c r="AE3" s="1029"/>
      <c r="AF3" s="1029"/>
      <c r="AG3" s="1029"/>
      <c r="AH3" s="1029"/>
      <c r="AI3" s="1029"/>
      <c r="AJ3" s="1029"/>
      <c r="AK3" s="1029"/>
      <c r="AL3" s="1029"/>
      <c r="AM3" s="1029"/>
      <c r="AN3" s="1029"/>
      <c r="AO3" s="1029"/>
      <c r="AP3" s="1029"/>
      <c r="AQ3" s="1052"/>
      <c r="AS3" s="488">
        <v>100</v>
      </c>
      <c r="AT3" s="485" t="s">
        <v>45</v>
      </c>
      <c r="AV3" s="1024"/>
      <c r="AW3" s="1070"/>
      <c r="AX3" s="1071"/>
      <c r="AY3" s="1071"/>
      <c r="AZ3" s="1071"/>
      <c r="BA3" s="1071"/>
      <c r="BB3" s="1071"/>
      <c r="BC3" s="1071"/>
      <c r="BD3" s="1071"/>
      <c r="BE3" s="1072"/>
      <c r="BF3" s="1116"/>
      <c r="BG3" s="1071"/>
      <c r="BH3" s="1071"/>
      <c r="BI3" s="1071"/>
      <c r="BJ3" s="1071"/>
      <c r="BK3" s="1071"/>
      <c r="BL3" s="1071"/>
      <c r="BM3" s="1071"/>
      <c r="BN3" s="1071"/>
      <c r="BO3" s="1071"/>
      <c r="BP3" s="1071"/>
      <c r="BQ3" s="1071"/>
      <c r="BR3" s="1071"/>
      <c r="BS3" s="1071"/>
      <c r="BT3" s="1071"/>
      <c r="BU3" s="1071"/>
      <c r="BV3" s="1071"/>
      <c r="BW3" s="1071"/>
      <c r="BX3" s="1071"/>
      <c r="BY3" s="1071"/>
      <c r="BZ3" s="1071"/>
      <c r="CA3" s="1071"/>
      <c r="CB3" s="1071"/>
      <c r="CC3" s="1071"/>
      <c r="CD3" s="1071"/>
      <c r="CE3" s="1071"/>
      <c r="CF3" s="1071"/>
      <c r="CG3" s="1071"/>
      <c r="CH3" s="1071"/>
      <c r="CI3" s="1071"/>
      <c r="CJ3" s="1071"/>
      <c r="CK3" s="1071"/>
      <c r="CL3" s="1071"/>
      <c r="CM3" s="1071"/>
      <c r="CN3" s="1071"/>
      <c r="CO3" s="1071"/>
      <c r="CP3" s="1071"/>
      <c r="CQ3" s="1071"/>
      <c r="CR3" s="1071"/>
      <c r="CS3" s="1071"/>
      <c r="CT3" s="1071"/>
      <c r="CU3" s="1071"/>
      <c r="CV3" s="1071"/>
      <c r="CW3" s="1071"/>
      <c r="CX3" s="1071"/>
      <c r="CY3" s="1071"/>
      <c r="CZ3" s="1071"/>
      <c r="DA3" s="1071"/>
      <c r="DB3" s="1071"/>
      <c r="DC3" s="1071"/>
      <c r="DD3" s="1071"/>
      <c r="DE3" s="1071"/>
      <c r="DF3" s="1071"/>
      <c r="DG3" s="1071"/>
      <c r="DH3" s="1071"/>
      <c r="DI3" s="1071"/>
      <c r="DJ3" s="1071"/>
      <c r="DK3" s="1071"/>
      <c r="DL3" s="1071"/>
      <c r="DM3" s="1071"/>
      <c r="DN3" s="1071"/>
      <c r="DO3" s="1071"/>
      <c r="DP3" s="1071"/>
      <c r="DQ3" s="1071"/>
      <c r="DR3" s="1071"/>
      <c r="DS3" s="1071"/>
      <c r="DT3" s="1071"/>
      <c r="DU3" s="1071"/>
      <c r="DV3" s="1071"/>
      <c r="DW3" s="1071"/>
      <c r="DX3" s="1071"/>
      <c r="DY3" s="1071"/>
      <c r="DZ3" s="1071"/>
      <c r="EA3" s="1071"/>
      <c r="EB3" s="1071"/>
      <c r="EC3" s="1071"/>
      <c r="ED3" s="1071"/>
      <c r="EE3" s="1071"/>
      <c r="EF3" s="1071"/>
      <c r="EG3" s="1071"/>
      <c r="EH3" s="1071"/>
      <c r="EI3" s="1071"/>
      <c r="EJ3" s="1071"/>
      <c r="EK3" s="1071"/>
      <c r="EL3" s="1071"/>
      <c r="EM3" s="1071"/>
      <c r="EN3" s="1071"/>
      <c r="EO3" s="1071"/>
      <c r="EP3" s="1071"/>
      <c r="EQ3" s="1071"/>
      <c r="ER3" s="1117"/>
      <c r="ES3" s="1070"/>
      <c r="ET3" s="1071"/>
      <c r="EU3" s="1071"/>
      <c r="EV3" s="1071"/>
      <c r="EW3" s="1071"/>
      <c r="EX3" s="1071"/>
      <c r="EY3" s="1071"/>
      <c r="EZ3" s="1071"/>
      <c r="FA3" s="1071"/>
      <c r="FB3" s="1071"/>
      <c r="FC3" s="1071"/>
      <c r="FD3" s="1071"/>
      <c r="FE3" s="1071"/>
      <c r="FF3" s="1117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1"/>
      <c r="C4" s="982"/>
      <c r="D4" s="982"/>
      <c r="E4" s="982"/>
      <c r="F4" s="982"/>
      <c r="G4" s="982"/>
      <c r="H4" s="982"/>
      <c r="I4" s="982"/>
      <c r="J4" s="982"/>
      <c r="K4" s="983"/>
      <c r="M4" s="978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$Q$4</f>
        <v>Polar XY; Cartesian Z</v>
      </c>
      <c r="X4" s="967"/>
      <c r="Y4" s="968"/>
      <c r="Z4" s="990" t="s">
        <v>3</v>
      </c>
      <c r="AA4" s="985"/>
      <c r="AB4" s="985"/>
      <c r="AC4" s="985"/>
      <c r="AD4" s="985"/>
      <c r="AE4" s="985"/>
      <c r="AF4" s="985"/>
      <c r="AG4" s="1020" t="s">
        <v>31</v>
      </c>
      <c r="AH4" s="985"/>
      <c r="AI4" s="985"/>
      <c r="AJ4" s="1007"/>
      <c r="AK4" s="1053" t="s">
        <v>32</v>
      </c>
      <c r="AL4" s="1054"/>
      <c r="AM4" s="1054"/>
      <c r="AN4" s="1054"/>
      <c r="AO4" s="1054"/>
      <c r="AP4" s="1054"/>
      <c r="AQ4" s="1055"/>
      <c r="AS4" s="489">
        <v>680</v>
      </c>
      <c r="AT4" s="486" t="s">
        <v>46</v>
      </c>
      <c r="AV4" s="1024"/>
      <c r="AW4" s="1082" t="s">
        <v>112</v>
      </c>
      <c r="AX4" s="1062"/>
      <c r="AY4" s="882"/>
      <c r="AZ4" s="1067"/>
      <c r="BA4" s="1068"/>
      <c r="BB4" s="1073" t="s">
        <v>113</v>
      </c>
      <c r="BC4" s="967" t="str">
        <f>$Q$4</f>
        <v>Polar XY; Cartesian Z</v>
      </c>
      <c r="BD4" s="967"/>
      <c r="BE4" s="1076"/>
      <c r="BF4" s="1090" t="s">
        <v>129</v>
      </c>
      <c r="BG4" s="1091"/>
      <c r="BH4" s="1091"/>
      <c r="BI4" s="1091"/>
      <c r="BJ4" s="1091"/>
      <c r="BK4" s="1091"/>
      <c r="BL4" s="1091"/>
      <c r="BM4" s="1091"/>
      <c r="BN4" s="1091"/>
      <c r="BO4" s="1091"/>
      <c r="BP4" s="1091"/>
      <c r="BQ4" s="1091"/>
      <c r="BR4" s="1091"/>
      <c r="BS4" s="1091"/>
      <c r="BT4" s="1091"/>
      <c r="BU4" s="1091"/>
      <c r="BV4" s="1091"/>
      <c r="BW4" s="1091"/>
      <c r="BX4" s="1091"/>
      <c r="BY4" s="1091"/>
      <c r="BZ4" s="1091"/>
      <c r="CA4" s="1091"/>
      <c r="CB4" s="1091"/>
      <c r="CC4" s="1091"/>
      <c r="CD4" s="1091"/>
      <c r="CE4" s="1091"/>
      <c r="CF4" s="1091"/>
      <c r="CG4" s="1091"/>
      <c r="CH4" s="1091"/>
      <c r="CI4" s="1091"/>
      <c r="CJ4" s="1091"/>
      <c r="CK4" s="1091"/>
      <c r="CL4" s="1091"/>
      <c r="CM4" s="1091"/>
      <c r="CN4" s="1092"/>
      <c r="CO4" s="1057" t="s">
        <v>193</v>
      </c>
      <c r="CP4" s="1058"/>
      <c r="CQ4" s="1058"/>
      <c r="CR4" s="1058"/>
      <c r="CS4" s="1058"/>
      <c r="CT4" s="1058"/>
      <c r="CU4" s="1058"/>
      <c r="CV4" s="1058"/>
      <c r="CW4" s="1058"/>
      <c r="CX4" s="1058"/>
      <c r="CY4" s="1058"/>
      <c r="CZ4" s="1058"/>
      <c r="DA4" s="1059"/>
      <c r="DB4" s="1175" t="s">
        <v>162</v>
      </c>
      <c r="DC4" s="1176"/>
      <c r="DD4" s="1176"/>
      <c r="DE4" s="1176"/>
      <c r="DF4" s="1176"/>
      <c r="DG4" s="1176"/>
      <c r="DH4" s="1176"/>
      <c r="DI4" s="1176"/>
      <c r="DJ4" s="1176"/>
      <c r="DK4" s="1176"/>
      <c r="DL4" s="1176"/>
      <c r="DM4" s="1176"/>
      <c r="DN4" s="1176"/>
      <c r="DO4" s="1176"/>
      <c r="DP4" s="1176"/>
      <c r="DQ4" s="1176"/>
      <c r="DR4" s="1176"/>
      <c r="DS4" s="1176"/>
      <c r="DT4" s="1176"/>
      <c r="DU4" s="1176"/>
      <c r="DV4" s="1176"/>
      <c r="DW4" s="1176"/>
      <c r="DX4" s="1176"/>
      <c r="DY4" s="1176"/>
      <c r="DZ4" s="1176"/>
      <c r="EA4" s="1176"/>
      <c r="EB4" s="1176"/>
      <c r="EC4" s="1176"/>
      <c r="ED4" s="1176"/>
      <c r="EE4" s="1176"/>
      <c r="EF4" s="1176"/>
      <c r="EG4" s="1176"/>
      <c r="EH4" s="1176"/>
      <c r="EI4" s="1176"/>
      <c r="EJ4" s="1176"/>
      <c r="EK4" s="1176"/>
      <c r="EL4" s="1176"/>
      <c r="EM4" s="1176"/>
      <c r="EN4" s="1176"/>
      <c r="EO4" s="1176"/>
      <c r="EP4" s="1176"/>
      <c r="EQ4" s="1176"/>
      <c r="ER4" s="1177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7"/>
      <c r="GO4" s="1208" t="s">
        <v>229</v>
      </c>
      <c r="GP4" s="1212" t="s">
        <v>228</v>
      </c>
      <c r="GR4" s="1188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1" t="str">
        <f>IFERROR(CONCATENATE("Lateral Forces = ",ROUND(HE3,0)," lbs @ ",ROUND(HF3,1),"° Relative to Blade 1"),"")</f>
        <v/>
      </c>
      <c r="HB4" s="1162"/>
      <c r="HC4" s="1162"/>
      <c r="HD4" s="1162"/>
      <c r="HE4" s="1162"/>
      <c r="HF4" s="1162"/>
      <c r="HG4" s="1162"/>
      <c r="HH4" s="1163"/>
      <c r="HI4" s="1170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9" t="str">
        <f>CONCATENATE(B7," ; ",E7," ; ",H7)</f>
        <v>Absolute-Point ; Incremental-Vector Point ; Pocket Info.</v>
      </c>
      <c r="C5" s="970"/>
      <c r="D5" s="970"/>
      <c r="E5" s="970"/>
      <c r="F5" s="970"/>
      <c r="G5" s="970"/>
      <c r="H5" s="970"/>
      <c r="I5" s="970"/>
      <c r="J5" s="970"/>
      <c r="K5" s="971"/>
      <c r="M5" s="978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about Z Axis")</f>
        <v>Relative to 1.114's θ about Z Axis</v>
      </c>
      <c r="U5" s="992"/>
      <c r="V5" s="1045"/>
      <c r="W5" s="992" t="str">
        <f>CONCATENATE("Relative to ",M8,"'s θ about Z Axis")</f>
        <v>Relative to 1.114's θ about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176">
        <f>(((AS4*12)/60)/AS3)</f>
        <v>1.36</v>
      </c>
      <c r="AT5" s="486" t="s">
        <v>47</v>
      </c>
      <c r="AV5" s="1024"/>
      <c r="AW5" s="1083"/>
      <c r="AX5" s="1084"/>
      <c r="AY5" s="1085"/>
      <c r="AZ5" s="1069"/>
      <c r="BA5" s="863"/>
      <c r="BB5" s="1074"/>
      <c r="BC5" s="1079" t="str">
        <f>$W$5</f>
        <v>Relative to 1.114's θ about Z Axis</v>
      </c>
      <c r="BD5" s="992"/>
      <c r="BE5" s="1019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60" t="s">
        <v>275</v>
      </c>
      <c r="CP5" s="1060" t="s">
        <v>149</v>
      </c>
      <c r="CQ5" s="1062"/>
      <c r="CR5" s="1062"/>
      <c r="CS5" s="961"/>
      <c r="CT5" s="1062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7" t="s">
        <v>173</v>
      </c>
      <c r="DJ5" s="1107"/>
      <c r="DK5" s="1108"/>
      <c r="DL5" s="1193" t="s">
        <v>174</v>
      </c>
      <c r="DM5" s="1107"/>
      <c r="DN5" s="1194"/>
      <c r="DO5" s="1111" t="s">
        <v>175</v>
      </c>
      <c r="DP5" s="1112"/>
      <c r="DQ5" s="1112"/>
      <c r="DR5" s="1101" t="s">
        <v>187</v>
      </c>
      <c r="DS5" s="1101"/>
      <c r="DT5" s="1101"/>
      <c r="DU5" s="1101"/>
      <c r="DV5" s="1101"/>
      <c r="DW5" s="1101"/>
      <c r="DX5" s="1060" t="s">
        <v>190</v>
      </c>
      <c r="DY5" s="921" t="s">
        <v>149</v>
      </c>
      <c r="DZ5" s="1101"/>
      <c r="EA5" s="1101"/>
      <c r="EB5" s="1101"/>
      <c r="EC5" s="1101" t="s">
        <v>150</v>
      </c>
      <c r="ED5" s="1101"/>
      <c r="EE5" s="1188" t="s">
        <v>194</v>
      </c>
      <c r="EF5" s="1188"/>
      <c r="EG5" s="1189"/>
      <c r="EH5" s="1197" t="s">
        <v>195</v>
      </c>
      <c r="EI5" s="1198"/>
      <c r="EJ5" s="1199"/>
      <c r="EK5" s="1101" t="s">
        <v>188</v>
      </c>
      <c r="EL5" s="1060"/>
      <c r="EM5" s="960" t="s">
        <v>189</v>
      </c>
      <c r="EN5" s="890"/>
      <c r="EO5" s="890"/>
      <c r="EP5" s="890"/>
      <c r="EQ5" s="890"/>
      <c r="ER5" s="1097"/>
      <c r="ES5" s="1082" t="s">
        <v>202</v>
      </c>
      <c r="ET5" s="1062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8" t="s">
        <v>267</v>
      </c>
      <c r="GL5" s="1180" t="s">
        <v>110</v>
      </c>
      <c r="GM5" s="1180" t="s">
        <v>111</v>
      </c>
      <c r="GN5" s="1181"/>
      <c r="GO5" s="1209"/>
      <c r="GP5" s="1213"/>
      <c r="GQ5" s="34"/>
      <c r="GR5" s="1217"/>
      <c r="GS5" s="1069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8" t="s">
        <v>248</v>
      </c>
      <c r="HB5" s="1159"/>
      <c r="HC5" s="1159"/>
      <c r="HD5" s="1160"/>
      <c r="HE5" s="1186" t="s">
        <v>249</v>
      </c>
      <c r="HF5" s="1159"/>
      <c r="HG5" s="1159"/>
      <c r="HH5" s="1187"/>
      <c r="HI5" s="1171"/>
      <c r="HN5" s="393" t="s">
        <v>263</v>
      </c>
      <c r="HO5" s="63" t="s">
        <v>264</v>
      </c>
      <c r="HS5" s="1164" t="s">
        <v>274</v>
      </c>
      <c r="HZ5" s="390"/>
      <c r="IR5">
        <f>IR19*2</f>
        <v>0.628</v>
      </c>
      <c r="IS5">
        <f>IS19*2</f>
        <v>0.51442751558293953</v>
      </c>
      <c r="IW5">
        <f>IW19*2</f>
        <v>0.51400000000000001</v>
      </c>
      <c r="IX5">
        <f>IX19*2</f>
        <v>0.51400000000000001</v>
      </c>
    </row>
    <row r="6" spans="1:259" ht="15" customHeight="1" thickBot="1" x14ac:dyDescent="0.4">
      <c r="B6" s="972"/>
      <c r="C6" s="973"/>
      <c r="D6" s="973"/>
      <c r="E6" s="973"/>
      <c r="F6" s="973"/>
      <c r="G6" s="973"/>
      <c r="H6" s="973"/>
      <c r="I6" s="973"/>
      <c r="J6" s="973"/>
      <c r="K6" s="974"/>
      <c r="M6" s="978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$Q$6</f>
        <v>Projected XY</v>
      </c>
      <c r="X6" s="989"/>
      <c r="Y6" s="1039" t="str">
        <f>$S$6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48" t="str">
        <f>AD6</f>
        <v>Unit Vector</v>
      </c>
      <c r="AL6" s="1049"/>
      <c r="AM6" s="1050"/>
      <c r="AN6" s="190" t="s">
        <v>15</v>
      </c>
      <c r="AO6" s="191" t="s">
        <v>16</v>
      </c>
      <c r="AP6" s="803" t="s">
        <v>17</v>
      </c>
      <c r="AQ6" s="1031" t="s">
        <v>108</v>
      </c>
      <c r="AS6" s="177">
        <f>(AS5/360)</f>
        <v>3.7777777777777779E-3</v>
      </c>
      <c r="AT6" s="487" t="s">
        <v>48</v>
      </c>
      <c r="AV6" s="1024"/>
      <c r="AW6" s="1016" t="s">
        <v>105</v>
      </c>
      <c r="AX6" s="1017"/>
      <c r="AY6" s="202" t="s">
        <v>110</v>
      </c>
      <c r="AZ6" s="1080" t="s">
        <v>111</v>
      </c>
      <c r="BA6" s="1081"/>
      <c r="BB6" s="1075"/>
      <c r="BC6" s="988" t="str">
        <f>$Q$6</f>
        <v>Projected XY</v>
      </c>
      <c r="BD6" s="989"/>
      <c r="BE6" s="1077" t="str">
        <f>$S$6</f>
        <v>Z</v>
      </c>
      <c r="BF6" s="897" t="s">
        <v>125</v>
      </c>
      <c r="BG6" s="911"/>
      <c r="BH6" s="1093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3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6"/>
      <c r="CH6" s="1066"/>
      <c r="CI6" s="1100" t="s">
        <v>137</v>
      </c>
      <c r="CJ6" s="1066"/>
      <c r="CK6" s="905"/>
      <c r="CL6" s="1098" t="s">
        <v>140</v>
      </c>
      <c r="CM6" s="1066"/>
      <c r="CN6" s="1099"/>
      <c r="CO6" s="1061"/>
      <c r="CP6" s="1061"/>
      <c r="CQ6" s="1063"/>
      <c r="CR6" s="1063"/>
      <c r="CS6" s="1064"/>
      <c r="CT6" s="1063"/>
      <c r="CU6" s="1065"/>
      <c r="CV6" s="1089" t="s">
        <v>147</v>
      </c>
      <c r="CW6" s="911"/>
      <c r="CX6" s="898"/>
      <c r="CY6" s="1086" t="s">
        <v>148</v>
      </c>
      <c r="CZ6" s="1087"/>
      <c r="DA6" s="1088"/>
      <c r="DB6" s="1103" t="s">
        <v>176</v>
      </c>
      <c r="DC6" s="1104"/>
      <c r="DD6" s="1105"/>
      <c r="DE6" s="1106" t="s">
        <v>177</v>
      </c>
      <c r="DF6" s="1104"/>
      <c r="DG6" s="1105"/>
      <c r="DH6" s="260" t="s">
        <v>29</v>
      </c>
      <c r="DI6" s="1109"/>
      <c r="DJ6" s="1109"/>
      <c r="DK6" s="1110"/>
      <c r="DL6" s="1195"/>
      <c r="DM6" s="1109"/>
      <c r="DN6" s="1196"/>
      <c r="DO6" s="1113"/>
      <c r="DP6" s="1114"/>
      <c r="DQ6" s="1114"/>
      <c r="DR6" s="1102"/>
      <c r="DS6" s="1102"/>
      <c r="DT6" s="1102"/>
      <c r="DU6" s="1102"/>
      <c r="DV6" s="1102"/>
      <c r="DW6" s="1102"/>
      <c r="DX6" s="1061"/>
      <c r="DY6" s="1157"/>
      <c r="DZ6" s="1102"/>
      <c r="EA6" s="1102"/>
      <c r="EB6" s="1102"/>
      <c r="EC6" s="1102"/>
      <c r="ED6" s="1102"/>
      <c r="EE6" s="1190"/>
      <c r="EF6" s="1190"/>
      <c r="EG6" s="1191"/>
      <c r="EH6" s="1200"/>
      <c r="EI6" s="1201"/>
      <c r="EJ6" s="1202"/>
      <c r="EK6" s="1102"/>
      <c r="EL6" s="1061"/>
      <c r="EM6" s="1145" t="s">
        <v>199</v>
      </c>
      <c r="EN6" s="1095"/>
      <c r="EO6" s="1192"/>
      <c r="EP6" s="1094" t="s">
        <v>198</v>
      </c>
      <c r="EQ6" s="1095"/>
      <c r="ER6" s="1096"/>
      <c r="ES6" s="1140"/>
      <c r="ET6" s="1063"/>
      <c r="EU6" s="1064"/>
      <c r="EV6" s="281" t="s">
        <v>221</v>
      </c>
      <c r="EW6" s="1094" t="s">
        <v>202</v>
      </c>
      <c r="EX6" s="1095"/>
      <c r="EY6" s="1144"/>
      <c r="EZ6" s="1130"/>
      <c r="FA6" s="1151"/>
      <c r="FB6" s="1152"/>
      <c r="FC6" s="1153"/>
      <c r="FD6" s="1145" t="s">
        <v>202</v>
      </c>
      <c r="FE6" s="1095"/>
      <c r="FF6" s="1096"/>
      <c r="FG6" s="1147" t="s">
        <v>224</v>
      </c>
      <c r="FH6" s="1148"/>
      <c r="FI6" s="1149"/>
      <c r="FJ6" s="1101" t="s">
        <v>203</v>
      </c>
      <c r="FK6" s="1060" t="s">
        <v>214</v>
      </c>
      <c r="FL6" s="1062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60" t="s">
        <v>218</v>
      </c>
      <c r="FV6" s="1062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9" t="s">
        <v>260</v>
      </c>
      <c r="GG6" s="343" t="s">
        <v>207</v>
      </c>
      <c r="GH6" s="344" t="s">
        <v>240</v>
      </c>
      <c r="GI6" s="345" t="s">
        <v>226</v>
      </c>
      <c r="GJ6" s="1206"/>
      <c r="GK6" s="1179"/>
      <c r="GL6" s="1182"/>
      <c r="GM6" s="1182"/>
      <c r="GN6" s="1183"/>
      <c r="GO6" s="1210" t="s">
        <v>238</v>
      </c>
      <c r="GP6" s="1214" t="s">
        <v>225</v>
      </c>
      <c r="GQ6" s="1062" t="s">
        <v>203</v>
      </c>
      <c r="GR6" s="1217"/>
      <c r="GS6" s="1168" t="s">
        <v>252</v>
      </c>
      <c r="GT6" s="1169"/>
      <c r="GU6" s="1227" t="s">
        <v>251</v>
      </c>
      <c r="GV6" s="1087"/>
      <c r="GW6" s="1087"/>
      <c r="GX6" s="368" t="s">
        <v>106</v>
      </c>
      <c r="GY6" s="908" t="s">
        <v>250</v>
      </c>
      <c r="GZ6" s="1093"/>
      <c r="HA6" s="1185" t="s">
        <v>252</v>
      </c>
      <c r="HB6" s="1104"/>
      <c r="HC6" s="1104"/>
      <c r="HD6" s="1105"/>
      <c r="HE6" s="908" t="s">
        <v>251</v>
      </c>
      <c r="HF6" s="911"/>
      <c r="HG6" s="911"/>
      <c r="HH6" s="900"/>
      <c r="HI6" s="1171"/>
      <c r="HN6" s="942" t="s">
        <v>238</v>
      </c>
      <c r="HO6" s="945" t="s">
        <v>265</v>
      </c>
      <c r="HP6" s="921" t="s">
        <v>203</v>
      </c>
      <c r="HQ6" s="398"/>
      <c r="HS6" s="1165"/>
      <c r="HT6" s="887" t="s">
        <v>270</v>
      </c>
      <c r="HU6" s="895"/>
      <c r="HV6" s="1167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3" t="s">
        <v>40</v>
      </c>
      <c r="C7" s="994"/>
      <c r="D7" s="995"/>
      <c r="E7" s="996" t="s">
        <v>41</v>
      </c>
      <c r="F7" s="994"/>
      <c r="G7" s="997"/>
      <c r="H7" s="964" t="s">
        <v>98</v>
      </c>
      <c r="I7" s="965"/>
      <c r="J7" s="966"/>
      <c r="K7" s="178"/>
      <c r="L7" s="327"/>
      <c r="M7" s="987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$Q$7</f>
        <v>&lt; θ°</v>
      </c>
      <c r="X7" s="30" t="str">
        <f>$R$7</f>
        <v>r</v>
      </c>
      <c r="Y7" s="104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2"/>
      <c r="AS7" s="1037" t="s">
        <v>54</v>
      </c>
      <c r="AT7" s="1035" t="s">
        <v>53</v>
      </c>
      <c r="AV7" s="1024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5"/>
      <c r="BC7" s="40" t="str">
        <f>$Q$7</f>
        <v>&lt; θ°</v>
      </c>
      <c r="BD7" s="30" t="str">
        <f>$R$7</f>
        <v>r</v>
      </c>
      <c r="BE7" s="107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2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3"/>
      <c r="HQ7" s="399"/>
      <c r="HR7" s="419"/>
      <c r="HS7" s="1165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1.1140000000000001</v>
      </c>
      <c r="N8" s="477"/>
      <c r="O8" s="478"/>
      <c r="P8" s="479"/>
      <c r="Q8" s="643">
        <f>IFERROR(INDEX(Q$9:Q$150,MATCH($M$8,$M$9:$M$150,0)),"")</f>
        <v>89.091000131243348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-0.10080030401371681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8"/>
      <c r="AT8" s="103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4"/>
      <c r="HL8" s="1184"/>
      <c r="HM8" s="954"/>
      <c r="HN8" s="944"/>
      <c r="HO8" s="946"/>
      <c r="HP8" s="1174"/>
      <c r="HQ8" s="400" t="s">
        <v>49</v>
      </c>
      <c r="HR8" s="420" t="s">
        <v>51</v>
      </c>
      <c r="HS8" s="1166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0.34330103539592277</v>
      </c>
      <c r="D9" s="767">
        <v>-0.49520149352770448</v>
      </c>
      <c r="E9" s="768">
        <v>-0.93969263802333458</v>
      </c>
      <c r="F9" s="766">
        <v>-8.852130215629557E-2</v>
      </c>
      <c r="G9" s="769">
        <v>0.33036604714967333</v>
      </c>
      <c r="H9" s="768">
        <v>0.314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1613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0.34330103539592277</v>
      </c>
      <c r="P9" s="25">
        <f t="shared" ref="P9:P40" si="4">IF(M9="","",D9)</f>
        <v>-0.49520149352770448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0.34330103539592277</v>
      </c>
      <c r="S9" s="23">
        <f>IF(M9="","",P9)</f>
        <v>-0.49520149352770448</v>
      </c>
      <c r="T9" s="26">
        <f>IF(M9="","",X9*COS(RADIANS(W9)))</f>
        <v>0.34325783195031834</v>
      </c>
      <c r="U9" s="20">
        <f>IF(M9="","",X9*SIN(RADIANS(W9)))</f>
        <v>5.4462563912880792E-3</v>
      </c>
      <c r="V9" s="28">
        <f>IF(M9="","",Y9)</f>
        <v>-0.49520149352770448</v>
      </c>
      <c r="W9" s="620">
        <f t="shared" ref="W9:W14" si="5">IF(M9="","",IF(Q9-$Q$8&lt;0,360+Q9-$Q$8,Q9-$Q$8))</f>
        <v>0.90899986875665206</v>
      </c>
      <c r="X9" s="5">
        <f>IF(M9="","",R9)</f>
        <v>0.34330103539592277</v>
      </c>
      <c r="Y9" s="7">
        <f>IF(M9="","",S9)</f>
        <v>-0.49520149352770448</v>
      </c>
      <c r="Z9" s="24">
        <f t="shared" ref="Z9:Z40" si="6">IF(M9="","",-E9)</f>
        <v>0.93969263802333458</v>
      </c>
      <c r="AA9" s="20">
        <f t="shared" ref="AA9:AA40" si="7">IF(M9="","",-F9)</f>
        <v>8.852130215629557E-2</v>
      </c>
      <c r="AB9" s="20">
        <f t="shared" ref="AB9:AB40" si="8">IF(M9="","",-G9)</f>
        <v>-0.33036604714967333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8.852130215629557E-2</v>
      </c>
      <c r="AF9" s="25">
        <f>IF(M9="","",AB9*(1/SQRT(Z9^2+AA9^2+AB9^2)))</f>
        <v>-0.33036604714967333</v>
      </c>
      <c r="AG9" s="618">
        <f>IF(M9="","",DEGREES(ATAN2(-AF9,AE9)))</f>
        <v>14.999997834268267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8.852130215629557E-2</v>
      </c>
      <c r="AM9" s="23">
        <f>IF(M9="","",AF9)</f>
        <v>-0.33036604714967333</v>
      </c>
      <c r="AN9" s="612">
        <f>IF(M9="","",DEGREES(ATAN2(-AM9,AL9)))</f>
        <v>14.999997834268267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5.3815187622394784</v>
      </c>
      <c r="AQ9" s="641">
        <f t="shared" ref="AQ9:AQ40" si="9">IF(M9="","",DEGREES(ATAN(($AS$5*SIN(RADIANS(90)))/(($X9*2*PI())-($AS$5*COS(RADIANS(90)))))))</f>
        <v>32.231361998185271</v>
      </c>
      <c r="AS9" s="55">
        <f>IF(M9="","",W9)</f>
        <v>0.90899986875665206</v>
      </c>
      <c r="AT9" s="76">
        <f t="shared" ref="AT9:AT40" si="10">IF(M9="","",Y9+(((AS9-$AS$9)*$AS$6)*-1))</f>
        <v>-0.49520149352770448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-1.6647198711391605E-16</v>
      </c>
      <c r="C10" s="771">
        <v>1.0693032250185268</v>
      </c>
      <c r="D10" s="772">
        <v>-0.30070090691393525</v>
      </c>
      <c r="E10" s="773">
        <v>-0.96592583607220739</v>
      </c>
      <c r="F10" s="771">
        <v>-6.6987279208207212E-2</v>
      </c>
      <c r="G10" s="774">
        <v>0.24999996726497561</v>
      </c>
      <c r="H10" s="773">
        <v>0.314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1613</v>
      </c>
      <c r="L10" s="855" t="s">
        <v>376</v>
      </c>
      <c r="M10" s="173">
        <f t="shared" si="1"/>
        <v>1.1040000000000001</v>
      </c>
      <c r="N10" s="21">
        <f t="shared" si="2"/>
        <v>-1.6647198711391605E-16</v>
      </c>
      <c r="O10" s="5">
        <f t="shared" si="3"/>
        <v>1.0693032250185268</v>
      </c>
      <c r="P10" s="10">
        <f t="shared" si="4"/>
        <v>-0.30070090691393525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1.0693032250185268</v>
      </c>
      <c r="S10" s="6">
        <f t="shared" ref="S10:S105" si="84">IF(M10="","",P10)</f>
        <v>-0.30070090691393525</v>
      </c>
      <c r="T10" s="4">
        <f t="shared" ref="T10:T105" si="85">IF(M10="","",X10*COS(RADIANS(W10)))</f>
        <v>1.0691686562903449</v>
      </c>
      <c r="U10" s="5">
        <f t="shared" ref="U10:U105" si="86">IF(M10="","",X10*SIN(RADIANS(W10)))</f>
        <v>1.6963827437239568E-2</v>
      </c>
      <c r="V10" s="8">
        <f>IF(M10="","",Y10)</f>
        <v>-0.30070090691393525</v>
      </c>
      <c r="W10" s="624">
        <f t="shared" si="5"/>
        <v>0.90899986875665206</v>
      </c>
      <c r="X10" s="5">
        <f t="shared" ref="X10:X105" si="87">IF(M10="","",R10)</f>
        <v>1.0693032250185268</v>
      </c>
      <c r="Y10" s="7">
        <f>IF(M10="","",S10)</f>
        <v>-0.30070090691393525</v>
      </c>
      <c r="Z10" s="21">
        <f t="shared" si="6"/>
        <v>0.96592583607220739</v>
      </c>
      <c r="AA10" s="5">
        <f t="shared" si="7"/>
        <v>6.6987279208207212E-2</v>
      </c>
      <c r="AB10" s="5">
        <f t="shared" si="8"/>
        <v>-0.24999996726497561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6.6987279208207212E-2</v>
      </c>
      <c r="AF10" s="10">
        <f t="shared" ref="AF10:AF105" si="90">IF(M10="","",AB10*(1/SQRT(Z10^2+AA10^2+AB10^2)))</f>
        <v>-0.24999996726497561</v>
      </c>
      <c r="AG10" s="622">
        <f t="shared" ref="AG10:AG105" si="91">IF(M10="","",DEGREES(ATAN2(-AF10,AE10)))</f>
        <v>14.999997834268271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6.6987279208207212E-2</v>
      </c>
      <c r="AM10" s="6">
        <f t="shared" ref="AM10:AM105" si="96">IF(M10="","",AF10)</f>
        <v>-0.24999996726497561</v>
      </c>
      <c r="AN10" s="612">
        <f t="shared" ref="AN10:AN105" si="97">IF(M10="","",DEGREES(ATAN2(-AM10,AL10)))</f>
        <v>14.999997834268271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3.9671296450865721</v>
      </c>
      <c r="AQ10" s="625">
        <f t="shared" si="9"/>
        <v>11.443314760079591</v>
      </c>
      <c r="AS10" s="56">
        <f>IF($M10="","",IF(AND($W10&lt;($AS$9+180),$W10&gt;($AS$9-180)),$W10,IF($W10&gt;($AS$9+180),$W10-360,IF($W10&lt;($AS$9-180),$W10+360,"Error"))))</f>
        <v>0.90899986875665206</v>
      </c>
      <c r="AT10" s="77">
        <f t="shared" si="10"/>
        <v>-0.30070090691393525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-1.7500901209411685E-16</v>
      </c>
      <c r="C11" s="771">
        <v>1.7943054116251214</v>
      </c>
      <c r="D11" s="772">
        <v>-0.10650032120496872</v>
      </c>
      <c r="E11" s="773">
        <v>-0.96592583607220739</v>
      </c>
      <c r="F11" s="771">
        <v>-6.6987279208207212E-2</v>
      </c>
      <c r="G11" s="774">
        <v>0.24999996726497564</v>
      </c>
      <c r="H11" s="773">
        <v>0.314</v>
      </c>
      <c r="I11" s="771">
        <v>0.52</v>
      </c>
      <c r="J11" s="601">
        <v>1.107</v>
      </c>
      <c r="K11" s="426" t="str">
        <f t="shared" si="82"/>
        <v>1613</v>
      </c>
      <c r="L11" s="856" cm="1">
        <f t="array" ref="L11">MIN(IF(ISNUMBER($II9:$II150),IF(ISNUMBER($IF9:$IF150),"",IF(ISNUMBER(VALUE($K9:$K150)),IF(ISNUMBER($IE9:$IE150),$IO9:$IO150,""),"")),""))</f>
        <v>160</v>
      </c>
      <c r="M11" s="173">
        <f t="shared" si="1"/>
        <v>1.107</v>
      </c>
      <c r="N11" s="21">
        <f t="shared" si="2"/>
        <v>-1.7500901209411685E-16</v>
      </c>
      <c r="O11" s="5">
        <f t="shared" si="3"/>
        <v>1.7943054116251214</v>
      </c>
      <c r="P11" s="10">
        <f t="shared" si="4"/>
        <v>-0.10650032120496872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1.7943054116251214</v>
      </c>
      <c r="S11" s="6">
        <f t="shared" si="84"/>
        <v>-0.10650032120496872</v>
      </c>
      <c r="T11" s="4">
        <f t="shared" si="85"/>
        <v>1.7940796034618587</v>
      </c>
      <c r="U11" s="5">
        <f t="shared" si="86"/>
        <v>2.846553406026274E-2</v>
      </c>
      <c r="V11" s="8">
        <f t="shared" ref="V11:V105" si="117">IF(M11="","",Y11)</f>
        <v>-0.10650032120496872</v>
      </c>
      <c r="W11" s="624">
        <f t="shared" si="5"/>
        <v>0.90899986875665206</v>
      </c>
      <c r="X11" s="5">
        <f>IF(M11="","",R11)</f>
        <v>1.7943054116251214</v>
      </c>
      <c r="Y11" s="7">
        <f>IF(M11="","",S11)</f>
        <v>-0.10650032120496872</v>
      </c>
      <c r="Z11" s="21">
        <f t="shared" si="6"/>
        <v>0.96592583607220739</v>
      </c>
      <c r="AA11" s="5">
        <f t="shared" si="7"/>
        <v>6.6987279208207212E-2</v>
      </c>
      <c r="AB11" s="5">
        <f t="shared" si="8"/>
        <v>-0.24999996726497564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6.6987279208207212E-2</v>
      </c>
      <c r="AF11" s="10">
        <f t="shared" si="90"/>
        <v>-0.24999996726497564</v>
      </c>
      <c r="AG11" s="622">
        <f>IF(M11="","",DEGREES(ATAN2(-AF11,AE11)))</f>
        <v>14.999997834268271</v>
      </c>
      <c r="AH11" s="623">
        <f t="shared" si="92"/>
        <v>14.999997834268255</v>
      </c>
      <c r="AI11" s="624">
        <f t="shared" si="93"/>
        <v>-75.522489751159469</v>
      </c>
      <c r="AJ11" s="625">
        <f t="shared" si="94"/>
        <v>93.967129645086573</v>
      </c>
      <c r="AK11" s="4">
        <f>IF(M11="","",(COS(RADIANS((90-$Q$8)-W11))*AD11)+(-SIN(RADIANS((90-$Q$8)-W11))*AE11))</f>
        <v>0.96592583607220739</v>
      </c>
      <c r="AL11" s="5">
        <f t="shared" si="95"/>
        <v>6.6987279208207212E-2</v>
      </c>
      <c r="AM11" s="6">
        <f t="shared" si="96"/>
        <v>-0.24999996726497564</v>
      </c>
      <c r="AN11" s="612">
        <f>IF(M11="","",DEGREES(ATAN2(-AM11,AL11)))</f>
        <v>14.999997834268271</v>
      </c>
      <c r="AO11" s="613">
        <f>IF(ROUND(IF(M11="",0,DEGREES(ACOS(AK11))),4)=90,0,IF(M11="","",DEGREES(ACOS(AK11))))</f>
        <v>14.999997834268255</v>
      </c>
      <c r="AP11" s="624">
        <f t="shared" si="99"/>
        <v>3.9671296450865721</v>
      </c>
      <c r="AQ11" s="625">
        <f t="shared" si="9"/>
        <v>6.8784699088239343</v>
      </c>
      <c r="AS11" s="56">
        <f t="shared" ref="AS11:AS42" si="119">IF(G11="","",IF(AND(W11&lt;(AS10+180),W11&gt;(AS10-180)),W11,IF(W11&gt;(AS10+180),W11-360,IF(W11&lt;(AS10-180),W11+360,"Error"))))</f>
        <v>0.90899986875665206</v>
      </c>
      <c r="AT11" s="77">
        <f t="shared" si="10"/>
        <v>-0.10650032120496872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4.1525127014845842E-2</v>
      </c>
      <c r="C12" s="771">
        <v>2.6171784885812941</v>
      </c>
      <c r="D12" s="772">
        <v>-0.10080030401371681</v>
      </c>
      <c r="E12" s="773">
        <v>-0.96089198209416138</v>
      </c>
      <c r="F12" s="771">
        <v>0.14353494016811438</v>
      </c>
      <c r="G12" s="774">
        <v>0.23682128218994525</v>
      </c>
      <c r="H12" s="773">
        <v>0.314</v>
      </c>
      <c r="I12" s="771">
        <v>0.52</v>
      </c>
      <c r="J12" s="601">
        <v>1.1140000000000001</v>
      </c>
      <c r="K12" s="426" t="str">
        <f t="shared" si="82"/>
        <v>1613</v>
      </c>
      <c r="L12" s="858" t="s">
        <v>377</v>
      </c>
      <c r="M12" s="173">
        <f t="shared" si="1"/>
        <v>1.1140000000000001</v>
      </c>
      <c r="N12" s="21">
        <f t="shared" si="2"/>
        <v>4.1525127014845842E-2</v>
      </c>
      <c r="O12" s="5">
        <f t="shared" si="3"/>
        <v>2.6171784885812941</v>
      </c>
      <c r="P12" s="10">
        <f t="shared" si="4"/>
        <v>-0.10080030401371681</v>
      </c>
      <c r="Q12" s="624">
        <f>IF(M12="","",IF(DEGREES(ATAN2(N12,O12))&lt;0,DEGREES(ATAN2(N12,O12))+360,IF(DEGREES(ATAN2(N12,O12))&gt;360,DEGREES(ATAN2(N12,O12))-360,DEGREES(ATAN2(N12,O12)))))</f>
        <v>89.091000131243348</v>
      </c>
      <c r="R12" s="5">
        <f t="shared" si="83"/>
        <v>2.6175078944038099</v>
      </c>
      <c r="S12" s="6">
        <f t="shared" si="84"/>
        <v>-0.10080030401371681</v>
      </c>
      <c r="T12" s="4">
        <f>IF(M12="","",X12*COS(RADIANS(W12)))</f>
        <v>2.6175078944038099</v>
      </c>
      <c r="U12" s="5">
        <f t="shared" si="86"/>
        <v>0</v>
      </c>
      <c r="V12" s="8">
        <f t="shared" si="117"/>
        <v>-0.10080030401371681</v>
      </c>
      <c r="W12" s="624">
        <f>IF(M12="","",IF(Q12-$Q$8&lt;0,360+Q12-$Q$8,Q12-$Q$8))</f>
        <v>0</v>
      </c>
      <c r="X12" s="5">
        <f t="shared" si="87"/>
        <v>2.6175078944038099</v>
      </c>
      <c r="Y12" s="7">
        <f>IF(M12="","",S12)</f>
        <v>-0.10080030401371681</v>
      </c>
      <c r="Z12" s="21">
        <f t="shared" si="6"/>
        <v>0.96089198209416138</v>
      </c>
      <c r="AA12" s="5">
        <f t="shared" si="7"/>
        <v>-0.14353494016811438</v>
      </c>
      <c r="AB12" s="5">
        <f t="shared" si="8"/>
        <v>-0.23682128218994525</v>
      </c>
      <c r="AC12" s="8">
        <f t="shared" si="88"/>
        <v>1</v>
      </c>
      <c r="AD12" s="9">
        <f t="shared" si="118"/>
        <v>0.96089198209416138</v>
      </c>
      <c r="AE12" s="5">
        <f t="shared" si="89"/>
        <v>-0.14353494016811438</v>
      </c>
      <c r="AF12" s="10">
        <f t="shared" si="90"/>
        <v>-0.23682128218994525</v>
      </c>
      <c r="AG12" s="622">
        <f t="shared" si="91"/>
        <v>-31.219621953661765</v>
      </c>
      <c r="AH12" s="623">
        <f t="shared" si="92"/>
        <v>16.07667224820802</v>
      </c>
      <c r="AI12" s="624">
        <f t="shared" si="93"/>
        <v>-76.300994521880838</v>
      </c>
      <c r="AJ12" s="625">
        <f t="shared" si="94"/>
        <v>81.504160292520567</v>
      </c>
      <c r="AK12" s="4">
        <f t="shared" ref="AK12:AK105" si="213">IF(M12="","",(COS(RADIANS((90-$Q$8)-W12))*AD12)+(-SIN(RADIANS((90-$Q$8)-W12))*AE12))</f>
        <v>0.96304814873644939</v>
      </c>
      <c r="AL12" s="5">
        <f>IF(M12="","",(SIN(RADIANS((90-$Q$8)-W12))*AD12)+(COS(RADIANS((90-$Q$8)-W12))*AE12))</f>
        <v>-0.12827292589322264</v>
      </c>
      <c r="AM12" s="6">
        <f t="shared" si="96"/>
        <v>-0.23682128218994525</v>
      </c>
      <c r="AN12" s="612">
        <f>IF(M12="","",DEGREES(ATAN2(-AM12,AL12)))</f>
        <v>-28.441943095020726</v>
      </c>
      <c r="AO12" s="613">
        <f t="shared" si="98"/>
        <v>15.624359248728808</v>
      </c>
      <c r="AP12" s="624">
        <f t="shared" si="99"/>
        <v>-7.5868398387227778</v>
      </c>
      <c r="AQ12" s="625">
        <f t="shared" si="9"/>
        <v>4.727229224994427</v>
      </c>
      <c r="AS12" s="56">
        <f t="shared" si="119"/>
        <v>0</v>
      </c>
      <c r="AT12" s="77">
        <f>IF(M12="","",Y12+(((AS12-$AS$9)*$AS$6)*-1))</f>
        <v>-9.736630450952502E-2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1.1140000000000001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0.109163882170774</v>
      </c>
      <c r="C13" s="771">
        <v>3.283095543207676</v>
      </c>
      <c r="D13" s="772">
        <v>-0.5247015824999729</v>
      </c>
      <c r="E13" s="773">
        <v>-0.93948851336091665</v>
      </c>
      <c r="F13" s="771">
        <v>0.29625628196016235</v>
      </c>
      <c r="G13" s="774">
        <v>0.1720277554990351</v>
      </c>
      <c r="H13" s="773">
        <v>0.314</v>
      </c>
      <c r="I13" s="771">
        <v>0.52</v>
      </c>
      <c r="J13" s="601">
        <v>1.121</v>
      </c>
      <c r="K13" s="426" t="str">
        <f t="shared" si="82"/>
        <v>1613</v>
      </c>
      <c r="L13" s="859" cm="1">
        <f t="array" ref="L13">MIN(IF(ISNUMBER($II9:$II150),IF(ISNUMBER($IF9:$IF150),"",IF(ISNUMBER(VALUE($K9:$K150)),IF(ISNUMBER($IE9:$IE150),"",$IO9:$IO150),"")),""))</f>
        <v>170</v>
      </c>
      <c r="M13" s="173">
        <f t="shared" si="1"/>
        <v>1.121</v>
      </c>
      <c r="N13" s="21">
        <f t="shared" si="2"/>
        <v>0.109163882170774</v>
      </c>
      <c r="O13" s="5">
        <f t="shared" si="3"/>
        <v>3.283095543207676</v>
      </c>
      <c r="P13" s="10">
        <f t="shared" si="4"/>
        <v>-0.5247015824999729</v>
      </c>
      <c r="Q13" s="624">
        <f t="shared" si="116"/>
        <v>88.095600274961299</v>
      </c>
      <c r="R13" s="5">
        <f t="shared" si="83"/>
        <v>3.2849099072882808</v>
      </c>
      <c r="S13" s="6">
        <f t="shared" si="84"/>
        <v>-0.5247015824999729</v>
      </c>
      <c r="T13" s="4">
        <f>IF(M13="","",X13*COS(RADIANS(W13)))</f>
        <v>3.2844141918704546</v>
      </c>
      <c r="U13" s="5">
        <f t="shared" si="86"/>
        <v>-5.7065885086021985E-2</v>
      </c>
      <c r="V13" s="8">
        <f t="shared" si="117"/>
        <v>-0.5247015824999729</v>
      </c>
      <c r="W13" s="624">
        <f t="shared" si="5"/>
        <v>359.00460014371794</v>
      </c>
      <c r="X13" s="5">
        <f t="shared" si="87"/>
        <v>3.2849099072882808</v>
      </c>
      <c r="Y13" s="7">
        <f>IF(M13="","",S13)</f>
        <v>-0.5247015824999729</v>
      </c>
      <c r="Z13" s="21">
        <f t="shared" si="6"/>
        <v>0.93948851336091665</v>
      </c>
      <c r="AA13" s="5">
        <f t="shared" si="7"/>
        <v>-0.29625628196016235</v>
      </c>
      <c r="AB13" s="5">
        <f t="shared" si="8"/>
        <v>-0.1720277554990351</v>
      </c>
      <c r="AC13" s="8">
        <f t="shared" si="88"/>
        <v>1</v>
      </c>
      <c r="AD13" s="9">
        <f>IF(M13="","",Z13*(1/SQRT(Z13^2+AA13^2+AB13^2)))</f>
        <v>0.93948851336091665</v>
      </c>
      <c r="AE13" s="5">
        <f t="shared" si="89"/>
        <v>-0.29625628196016235</v>
      </c>
      <c r="AF13" s="10">
        <f t="shared" si="90"/>
        <v>-0.1720277554990351</v>
      </c>
      <c r="AG13" s="622">
        <f>IF(M13="","",DEGREES(ATAN2(-AF13,AE13)))</f>
        <v>-59.857460431431974</v>
      </c>
      <c r="AH13" s="623">
        <f t="shared" si="92"/>
        <v>20.034164429803752</v>
      </c>
      <c r="AI13" s="624">
        <f t="shared" si="93"/>
        <v>-80.094261979893844</v>
      </c>
      <c r="AJ13" s="625">
        <f t="shared" si="94"/>
        <v>72.497964687316539</v>
      </c>
      <c r="AK13" s="4">
        <f t="shared" si="213"/>
        <v>0.94881476963829481</v>
      </c>
      <c r="AL13" s="5">
        <f t="shared" si="95"/>
        <v>-0.26487163731550051</v>
      </c>
      <c r="AM13" s="6">
        <f t="shared" si="96"/>
        <v>-0.1720277554990351</v>
      </c>
      <c r="AN13" s="612">
        <f t="shared" si="97"/>
        <v>-56.997245726506648</v>
      </c>
      <c r="AO13" s="613">
        <f t="shared" si="98"/>
        <v>18.411113247366316</v>
      </c>
      <c r="AP13" s="624">
        <f t="shared" si="99"/>
        <v>-15.597635587644715</v>
      </c>
      <c r="AQ13" s="625">
        <f t="shared" si="9"/>
        <v>3.7699088253800026</v>
      </c>
      <c r="AS13" s="56">
        <f t="shared" si="119"/>
        <v>-0.99539985628206296</v>
      </c>
      <c r="AT13" s="77">
        <f t="shared" si="10"/>
        <v>-0.5175071835387155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1.121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0.1558823492033333</v>
      </c>
      <c r="C14" s="771">
        <v>3.6207569275582907</v>
      </c>
      <c r="D14" s="772">
        <v>-1.2188036759118865</v>
      </c>
      <c r="E14" s="773">
        <v>-0.87691222519662104</v>
      </c>
      <c r="F14" s="771">
        <v>0.4666214331930808</v>
      </c>
      <c r="G14" s="774">
        <v>0.11527960524544595</v>
      </c>
      <c r="H14" s="773">
        <v>0.314</v>
      </c>
      <c r="I14" s="771">
        <v>0.52</v>
      </c>
      <c r="J14" s="601">
        <v>1.1279999999999999</v>
      </c>
      <c r="K14" s="426" t="str">
        <f t="shared" si="82"/>
        <v>1613</v>
      </c>
      <c r="L14" s="327"/>
      <c r="M14" s="173">
        <f t="shared" si="1"/>
        <v>1.1279999999999999</v>
      </c>
      <c r="N14" s="21">
        <f t="shared" si="2"/>
        <v>0.1558823492033333</v>
      </c>
      <c r="O14" s="5">
        <f t="shared" si="3"/>
        <v>3.6207569275582907</v>
      </c>
      <c r="P14" s="10">
        <f t="shared" si="4"/>
        <v>-1.2188036759118865</v>
      </c>
      <c r="Q14" s="624">
        <f t="shared" si="116"/>
        <v>87.534800355930798</v>
      </c>
      <c r="R14" s="5">
        <f t="shared" si="83"/>
        <v>3.6241109303185661</v>
      </c>
      <c r="S14" s="6">
        <f t="shared" si="84"/>
        <v>-1.2188036759118865</v>
      </c>
      <c r="T14" s="4">
        <f t="shared" si="85"/>
        <v>3.6227742417935134</v>
      </c>
      <c r="U14" s="5">
        <f t="shared" si="86"/>
        <v>-9.8421685882409293E-2</v>
      </c>
      <c r="V14" s="8">
        <f t="shared" si="117"/>
        <v>-1.2188036759118865</v>
      </c>
      <c r="W14" s="624">
        <f t="shared" si="5"/>
        <v>358.44380022468744</v>
      </c>
      <c r="X14" s="5">
        <f t="shared" si="87"/>
        <v>3.6241109303185661</v>
      </c>
      <c r="Y14" s="7">
        <f t="shared" ref="Y14:Y75" si="225">IF(M14="","",S14)</f>
        <v>-1.2188036759118865</v>
      </c>
      <c r="Z14" s="21">
        <f t="shared" si="6"/>
        <v>0.87691222519662104</v>
      </c>
      <c r="AA14" s="5">
        <f t="shared" si="7"/>
        <v>-0.4666214331930808</v>
      </c>
      <c r="AB14" s="5">
        <f t="shared" si="8"/>
        <v>-0.11527960524544595</v>
      </c>
      <c r="AC14" s="8">
        <f t="shared" si="88"/>
        <v>1</v>
      </c>
      <c r="AD14" s="9">
        <f>IF(M14="","",Z14*(1/SQRT(Z14^2+AA14^2+AB14^2)))</f>
        <v>0.87691222519662104</v>
      </c>
      <c r="AE14" s="5">
        <f t="shared" si="89"/>
        <v>-0.4666214331930808</v>
      </c>
      <c r="AF14" s="10">
        <f t="shared" si="90"/>
        <v>-0.11527960524544595</v>
      </c>
      <c r="AG14" s="622">
        <f t="shared" si="91"/>
        <v>-76.122856380008812</v>
      </c>
      <c r="AH14" s="623">
        <f t="shared" si="92"/>
        <v>28.727898951018702</v>
      </c>
      <c r="AI14" s="624">
        <f t="shared" si="93"/>
        <v>-83.380247491774099</v>
      </c>
      <c r="AJ14" s="625">
        <f t="shared" si="94"/>
        <v>61.98172004050015</v>
      </c>
      <c r="AK14" s="4">
        <f>IF(M14="","",(COS(RADIANS((90-$Q$8)-W14))*AD14)+(-SIN(RADIANS((90-$Q$8)-W14))*AE14))</f>
        <v>0.89617126017455984</v>
      </c>
      <c r="AL14" s="5">
        <f t="shared" si="95"/>
        <v>-0.42847133515743574</v>
      </c>
      <c r="AM14" s="6">
        <f t="shared" si="96"/>
        <v>-0.11527960524544595</v>
      </c>
      <c r="AN14" s="612">
        <f t="shared" si="97"/>
        <v>-74.941245330664401</v>
      </c>
      <c r="AO14" s="613">
        <f t="shared" si="98"/>
        <v>26.340726971777592</v>
      </c>
      <c r="AP14" s="624">
        <f>IF(M14="","",DEGREES(ATAN2(AK14,AL14)))</f>
        <v>-25.553080315430627</v>
      </c>
      <c r="AQ14" s="625">
        <f t="shared" si="9"/>
        <v>3.4179412694335838</v>
      </c>
      <c r="AS14" s="56">
        <f t="shared" si="119"/>
        <v>-1.5561997753125638</v>
      </c>
      <c r="AT14" s="77">
        <f t="shared" si="10"/>
        <v>-1.2094906994787362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1.1279999999999999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0.19379481237199697</v>
      </c>
      <c r="C15" s="771">
        <v>3.6978253042427114</v>
      </c>
      <c r="D15" s="772">
        <v>-2.0125000000000002</v>
      </c>
      <c r="E15" s="773">
        <v>-0.78801080790683986</v>
      </c>
      <c r="F15" s="771">
        <v>0.61566140582465689</v>
      </c>
      <c r="G15" s="774">
        <v>1.3008419220637057E-7</v>
      </c>
      <c r="H15" s="773">
        <v>0.314</v>
      </c>
      <c r="I15" s="771">
        <v>0.52</v>
      </c>
      <c r="J15" s="601">
        <v>1.135</v>
      </c>
      <c r="K15" s="426" t="str">
        <f t="shared" si="82"/>
        <v>1613</v>
      </c>
      <c r="L15" s="327"/>
      <c r="M15" s="173">
        <f t="shared" si="1"/>
        <v>1.135</v>
      </c>
      <c r="N15" s="21">
        <f t="shared" si="2"/>
        <v>0.19379481237199697</v>
      </c>
      <c r="O15" s="5">
        <f t="shared" si="3"/>
        <v>3.6978253042427114</v>
      </c>
      <c r="P15" s="10">
        <f t="shared" si="4"/>
        <v>-2.0125000000000002</v>
      </c>
      <c r="Q15" s="624">
        <f t="shared" si="116"/>
        <v>87</v>
      </c>
      <c r="R15" s="5">
        <f t="shared" si="83"/>
        <v>3.7028999999999996</v>
      </c>
      <c r="S15" s="6">
        <f t="shared" si="84"/>
        <v>-2.0125000000000002</v>
      </c>
      <c r="T15" s="4">
        <f t="shared" si="85"/>
        <v>3.7004343771808683</v>
      </c>
      <c r="U15" s="5">
        <f t="shared" si="86"/>
        <v>-0.13510673624225972</v>
      </c>
      <c r="V15" s="8">
        <f t="shared" si="117"/>
        <v>-2.0125000000000002</v>
      </c>
      <c r="W15" s="624">
        <f t="shared" ref="W15:W78" si="226">IF(M15="","",IF(Q15-$Q$8&lt;0,360+Q15-$Q$8,Q15-$Q$8))</f>
        <v>357.90899986875667</v>
      </c>
      <c r="X15" s="5">
        <f>IF(M15="","",R15)</f>
        <v>3.7028999999999996</v>
      </c>
      <c r="Y15" s="7">
        <f>IF(M15="","",S15)</f>
        <v>-2.0125000000000002</v>
      </c>
      <c r="Z15" s="21">
        <f t="shared" si="6"/>
        <v>0.78801080790683986</v>
      </c>
      <c r="AA15" s="5">
        <f t="shared" si="7"/>
        <v>-0.61566140582465689</v>
      </c>
      <c r="AB15" s="5">
        <f t="shared" si="8"/>
        <v>-1.3008419220637057E-7</v>
      </c>
      <c r="AC15" s="8">
        <f t="shared" si="88"/>
        <v>1</v>
      </c>
      <c r="AD15" s="9">
        <f t="shared" si="118"/>
        <v>0.78801080790683986</v>
      </c>
      <c r="AE15" s="5">
        <f t="shared" si="89"/>
        <v>-0.61566140582465689</v>
      </c>
      <c r="AF15" s="10">
        <f t="shared" si="90"/>
        <v>-1.3008419220637057E-7</v>
      </c>
      <c r="AG15" s="622">
        <f t="shared" si="91"/>
        <v>-89.999987893872955</v>
      </c>
      <c r="AH15" s="623">
        <f t="shared" si="92"/>
        <v>37.99999494662589</v>
      </c>
      <c r="AI15" s="624">
        <f t="shared" si="93"/>
        <v>-89.999992546724798</v>
      </c>
      <c r="AJ15" s="625">
        <f t="shared" si="94"/>
        <v>52.000005053374721</v>
      </c>
      <c r="AK15" s="4">
        <f t="shared" si="213"/>
        <v>0.81915209487729224</v>
      </c>
      <c r="AL15" s="5">
        <f t="shared" si="95"/>
        <v>-0.57357636410344437</v>
      </c>
      <c r="AM15" s="6">
        <f t="shared" si="96"/>
        <v>-1.3008419220637057E-7</v>
      </c>
      <c r="AN15" s="612">
        <f>IF(M15="","",DEGREES(ATAN2(-AM15,AL15)))</f>
        <v>-89.999987005609611</v>
      </c>
      <c r="AO15" s="613">
        <f t="shared" si="98"/>
        <v>34.999994946625925</v>
      </c>
      <c r="AP15" s="624">
        <f t="shared" si="99"/>
        <v>-34.999994946625243</v>
      </c>
      <c r="AQ15" s="625">
        <f t="shared" si="9"/>
        <v>3.3453824214914052</v>
      </c>
      <c r="AS15" s="56">
        <f t="shared" si="119"/>
        <v>-2.0910001312433337</v>
      </c>
      <c r="AT15" s="77">
        <f t="shared" si="10"/>
        <v>-2.0011666666666668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1.135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0.94258438728402716</v>
      </c>
      <c r="C16" s="771">
        <v>2.4555162798647263</v>
      </c>
      <c r="D16" s="772">
        <v>-5.8969808029307368E-2</v>
      </c>
      <c r="E16" s="773">
        <v>-0.78565336189541879</v>
      </c>
      <c r="F16" s="771">
        <v>0.47475545718627421</v>
      </c>
      <c r="G16" s="774">
        <v>0.3966812962748279</v>
      </c>
      <c r="H16" s="773">
        <v>0.26600000000000001</v>
      </c>
      <c r="I16" s="771">
        <v>0.52</v>
      </c>
      <c r="J16" s="601">
        <v>1.214</v>
      </c>
      <c r="K16" s="426" t="str">
        <f t="shared" si="82"/>
        <v>1313</v>
      </c>
      <c r="L16" s="327"/>
      <c r="M16" s="173">
        <f t="shared" si="1"/>
        <v>1.214</v>
      </c>
      <c r="N16" s="21">
        <f t="shared" si="2"/>
        <v>0.94258438728402716</v>
      </c>
      <c r="O16" s="5">
        <f t="shared" si="3"/>
        <v>2.4555162798647263</v>
      </c>
      <c r="P16" s="10">
        <f t="shared" si="4"/>
        <v>-5.8969808029307368E-2</v>
      </c>
      <c r="Q16" s="624">
        <f>IF(M16="","",IF(DEGREES(ATAN2(N16,O16))&lt;0,DEGREES(ATAN2(N16,O16))+360,IF(DEGREES(ATAN2(N16,O16))&gt;360,DEGREES(ATAN2(N16,O16))-360,DEGREES(ATAN2(N16,O16)))))</f>
        <v>69</v>
      </c>
      <c r="R16" s="5">
        <f t="shared" si="83"/>
        <v>2.6302139699713232</v>
      </c>
      <c r="S16" s="6">
        <f t="shared" si="84"/>
        <v>-5.8969808029307368E-2</v>
      </c>
      <c r="T16" s="4">
        <f t="shared" si="85"/>
        <v>2.4701607724854604</v>
      </c>
      <c r="U16" s="5">
        <f t="shared" si="86"/>
        <v>-0.90351053447446994</v>
      </c>
      <c r="V16" s="8">
        <f t="shared" si="117"/>
        <v>-5.8969808029307368E-2</v>
      </c>
      <c r="W16" s="624">
        <f>IF(M16="","",IF(Q16-$Q$8&lt;0,360+Q16-$Q$8,Q16-$Q$8))</f>
        <v>339.90899986875667</v>
      </c>
      <c r="X16" s="5">
        <f t="shared" si="87"/>
        <v>2.6302139699713232</v>
      </c>
      <c r="Y16" s="7">
        <f t="shared" si="225"/>
        <v>-5.8969808029307368E-2</v>
      </c>
      <c r="Z16" s="21">
        <f t="shared" si="6"/>
        <v>0.78565336189541879</v>
      </c>
      <c r="AA16" s="5">
        <f t="shared" si="7"/>
        <v>-0.47475545718627421</v>
      </c>
      <c r="AB16" s="5">
        <f t="shared" si="8"/>
        <v>-0.3966812962748279</v>
      </c>
      <c r="AC16" s="8">
        <f t="shared" si="88"/>
        <v>1</v>
      </c>
      <c r="AD16" s="9">
        <f t="shared" si="118"/>
        <v>0.78565336189541879</v>
      </c>
      <c r="AE16" s="5">
        <f t="shared" si="89"/>
        <v>-0.47475545718627421</v>
      </c>
      <c r="AF16" s="10">
        <f t="shared" si="90"/>
        <v>-0.3966812962748279</v>
      </c>
      <c r="AG16" s="622">
        <f t="shared" si="91"/>
        <v>-50.119600910173581</v>
      </c>
      <c r="AH16" s="623">
        <f t="shared" si="92"/>
        <v>38.218853311208697</v>
      </c>
      <c r="AI16" s="624">
        <f t="shared" si="93"/>
        <v>-66.629126465598176</v>
      </c>
      <c r="AJ16" s="625">
        <f t="shared" si="94"/>
        <v>58.856225634485014</v>
      </c>
      <c r="AK16" s="4">
        <f t="shared" si="213"/>
        <v>0.90360774040457226</v>
      </c>
      <c r="AL16" s="5">
        <f t="shared" si="95"/>
        <v>-0.16166941784600242</v>
      </c>
      <c r="AM16" s="6">
        <f t="shared" si="96"/>
        <v>-0.3966812962748279</v>
      </c>
      <c r="AN16" s="612">
        <f t="shared" si="97"/>
        <v>-22.173594632112998</v>
      </c>
      <c r="AO16" s="613">
        <f t="shared" si="98"/>
        <v>25.363582955444368</v>
      </c>
      <c r="AP16" s="624">
        <f t="shared" si="99"/>
        <v>-10.143774365514956</v>
      </c>
      <c r="AQ16" s="625">
        <f t="shared" si="9"/>
        <v>4.7044956065784937</v>
      </c>
      <c r="AS16" s="56">
        <f t="shared" si="119"/>
        <v>-20.091000131243334</v>
      </c>
      <c r="AT16" s="77">
        <f t="shared" si="10"/>
        <v>2.0363525304025916E-2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>
        <f>IFERROR(IF($IU16="","",IF($IU16&lt;(((Settings!$C$19/2)*-1)*$IE$8),"",1)),"")</f>
        <v>1</v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1.214</v>
      </c>
      <c r="IH16" s="797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1.1140000000000001</v>
      </c>
      <c r="II16" s="800" cm="1">
        <f t="array" ref="II16">IFERROR(IF($IH16&lt;1,$IH16+LARGE((IF($M$9:$M$150="",0,$M$9:$M$150)-MOD(IF($M$9:$M$150="",0,$M$9:$M$150),1)),1),$IH16),"")</f>
        <v>1.1140000000000001</v>
      </c>
      <c r="IJ16" s="839" t="str">
        <f t="shared" si="67"/>
        <v>1613</v>
      </c>
      <c r="IK16" s="839" t="str">
        <f t="shared" si="68"/>
        <v>1313</v>
      </c>
      <c r="IL16" s="791">
        <f>IF(ISNUMBER($II16),IFERROR(IF(INDEX($W$9:$W$150,MATCH($II16,$M$9:$M$150,0))&lt;$W16,((INDEX($W$9:$W$150,MATCH($II16,$M$9:$M$150,0))+360)-$W16),INDEX($W$9:$W$150,MATCH($II16,$M$9:$M$150,0))-$W16),""),"")</f>
        <v>20.091000131243334</v>
      </c>
      <c r="IM16" s="830">
        <v>1.8561641463343201E-2</v>
      </c>
      <c r="IN16" s="5">
        <f>IF(ISNUMBER($II16),(($IO16*12)/60)/$AS$3,"")</f>
        <v>0.32</v>
      </c>
      <c r="IO16" s="852">
        <v>160</v>
      </c>
      <c r="IP16" s="9">
        <f>IF(ISNUMBER($II16),(INDEX($X$9:$X$150,MATCH($II16,$M$9:$M$150,0))*-1),"")</f>
        <v>-2.6175078944038099</v>
      </c>
      <c r="IQ16" s="5">
        <f>IF(ISNUMBER($II16),INDEX($Y$9:$Y$150,MATCH($II16,$M$9:$M$150,0)),"")</f>
        <v>-0.10080030401371681</v>
      </c>
      <c r="IR16" s="5">
        <f t="shared" si="73"/>
        <v>0.314</v>
      </c>
      <c r="IS16" s="5">
        <f>IF(ISNUMBER($II16),$IR16*COS(RADIANS(INDEX($AO$9:$AO$150,MATCH($II16,$M$9:$M$150,0)))),"")</f>
        <v>0.30239711870324509</v>
      </c>
      <c r="IT16" s="791">
        <f>IF(ISNUMBER($II16),(-1*INDEX($AN$9:$AN$150,MATCH($II16,$M$9:$M$150,0))),"")</f>
        <v>28.441943095020726</v>
      </c>
      <c r="IU16" s="9">
        <f>IF(ISNUMBER($II16),-$X16,"")</f>
        <v>-2.6302139699713232</v>
      </c>
      <c r="IV16" s="5">
        <f>IF(ISNUMBER($II16),$Y16,"")</f>
        <v>-5.8969808029307368E-2</v>
      </c>
      <c r="IW16" s="5">
        <f t="shared" si="78"/>
        <v>0.26600000000000001</v>
      </c>
      <c r="IX16" s="5">
        <f>IF(ISNUMBER($II16),$IW16*COS(RADIANS($AO16)),"")</f>
        <v>0.24035965894761624</v>
      </c>
      <c r="IY16" s="833">
        <f>IF(ISNUMBER($II16),(-1*$AN16),"")</f>
        <v>22.173594632112998</v>
      </c>
    </row>
    <row r="17" spans="1:259" ht="15" customHeight="1" x14ac:dyDescent="0.25">
      <c r="A17" s="84">
        <f t="shared" si="81"/>
        <v>0.02</v>
      </c>
      <c r="B17" s="770">
        <v>1.0259244615240883</v>
      </c>
      <c r="C17" s="771">
        <v>3.1574713129377976</v>
      </c>
      <c r="D17" s="772">
        <v>-0.49002759940085505</v>
      </c>
      <c r="E17" s="773">
        <v>-0.73141724041092682</v>
      </c>
      <c r="F17" s="771">
        <v>0.6097039117797457</v>
      </c>
      <c r="G17" s="774">
        <v>0.30543405244036054</v>
      </c>
      <c r="H17" s="773">
        <v>0.26600000000000001</v>
      </c>
      <c r="I17" s="771">
        <v>0.52</v>
      </c>
      <c r="J17" s="601">
        <v>1.2210000000000001</v>
      </c>
      <c r="K17" s="426" t="str">
        <f t="shared" si="82"/>
        <v>1313</v>
      </c>
      <c r="L17" s="861" t="s">
        <v>332</v>
      </c>
      <c r="M17" s="173">
        <f t="shared" si="1"/>
        <v>1.2210000000000001</v>
      </c>
      <c r="N17" s="21">
        <f t="shared" si="2"/>
        <v>1.0259244615240883</v>
      </c>
      <c r="O17" s="5">
        <f t="shared" si="3"/>
        <v>3.1574713129377976</v>
      </c>
      <c r="P17" s="10">
        <f t="shared" si="4"/>
        <v>-0.49002759940085505</v>
      </c>
      <c r="Q17" s="624">
        <f>IF(M17="","",IF(DEGREES(ATAN2(N17,O17))&lt;0,DEGREES(ATAN2(N17,O17))+360,IF(DEGREES(ATAN2(N17,O17))&gt;360,DEGREES(ATAN2(N17,O17))-360,DEGREES(ATAN2(N17,O17)))))</f>
        <v>72.000002598878069</v>
      </c>
      <c r="R17" s="5">
        <f>IF(M17="","",SQRT(N17^2+O17^2))</f>
        <v>3.3199617607404202</v>
      </c>
      <c r="S17" s="6">
        <f>IF(M17="","",P17)</f>
        <v>-0.49002759940085505</v>
      </c>
      <c r="T17" s="4">
        <f>IF(M17="","",X17*COS(RADIANS(W17)))</f>
        <v>3.1733496047383212</v>
      </c>
      <c r="U17" s="5">
        <f>IF(M17="","",X17*SIN(RADIANS(W17)))</f>
        <v>-0.97570404267163569</v>
      </c>
      <c r="V17" s="8">
        <f>IF(M17="","",Y17)</f>
        <v>-0.49002759940085505</v>
      </c>
      <c r="W17" s="624">
        <f t="shared" si="226"/>
        <v>342.90900246763471</v>
      </c>
      <c r="X17" s="5">
        <f>IF(M17="","",R17)</f>
        <v>3.3199617607404202</v>
      </c>
      <c r="Y17" s="7">
        <f t="shared" si="225"/>
        <v>-0.49002759940085505</v>
      </c>
      <c r="Z17" s="21">
        <f t="shared" si="6"/>
        <v>0.73141724041092682</v>
      </c>
      <c r="AA17" s="5">
        <f t="shared" si="7"/>
        <v>-0.6097039117797457</v>
      </c>
      <c r="AB17" s="5">
        <f t="shared" si="8"/>
        <v>-0.30543405244036054</v>
      </c>
      <c r="AC17" s="8">
        <f>IF(M17="","",SQRT(Z17^2+AA17^2+AB17^2))</f>
        <v>1</v>
      </c>
      <c r="AD17" s="9">
        <f>IF(M17="","",Z17*(1/SQRT(Z17^2+AA17^2+AB17^2)))</f>
        <v>0.73141724041092682</v>
      </c>
      <c r="AE17" s="5">
        <f>IF(M17="","",AA17*(1/SQRT(Z17^2+AA17^2+AB17^2)))</f>
        <v>-0.6097039117797457</v>
      </c>
      <c r="AF17" s="10">
        <f>IF(M17="","",AB17*(1/SQRT(Z17^2+AA17^2+AB17^2)))</f>
        <v>-0.30543405244036054</v>
      </c>
      <c r="AG17" s="622">
        <f>IF(M17="","",DEGREES(ATAN2(-AF17,AE17)))</f>
        <v>-63.391204393212043</v>
      </c>
      <c r="AH17" s="623">
        <f>IF(M17="","",DEGREES(ACOS(AD17)))</f>
        <v>42.994661737187087</v>
      </c>
      <c r="AI17" s="624">
        <f>IF(M17="","",DEGREES(-ACOS(-AF17)))</f>
        <v>-72.215720560628469</v>
      </c>
      <c r="AJ17" s="625">
        <f>IF(M17="","",DEGREES(ATAN2(-AE17,AD17)))</f>
        <v>50.185667244391986</v>
      </c>
      <c r="AK17" s="4">
        <f>IF(M17="","",(COS(RADIANS((90-$Q$8)-W17))*AD17)+(-SIN(RADIANS((90-$Q$8)-W17))*AE17))</f>
        <v>0.88402798685031969</v>
      </c>
      <c r="AL17" s="5">
        <f>IF(M17="","",(SIN(RADIANS((90-$Q$8)-W17))*AD17)+(COS(RADIANS((90-$Q$8)-W17))*AE17))</f>
        <v>-0.35384256114157653</v>
      </c>
      <c r="AM17" s="6">
        <f>IF(M17="","",AF17)</f>
        <v>-0.30543405244036054</v>
      </c>
      <c r="AN17" s="612">
        <f>IF(M17="","",DEGREES(ATAN2(-AM17,AL17)))</f>
        <v>-49.199503876368432</v>
      </c>
      <c r="AO17" s="613">
        <f t="shared" si="98"/>
        <v>27.867858634277702</v>
      </c>
      <c r="AP17" s="624">
        <f>IF(M17="","",DEGREES(ATAN2(AK17,AL17)))</f>
        <v>-21.814335354486051</v>
      </c>
      <c r="AQ17" s="625">
        <f t="shared" si="9"/>
        <v>3.7302194444882004</v>
      </c>
      <c r="AS17" s="56">
        <f t="shared" si="119"/>
        <v>-17.090997532365293</v>
      </c>
      <c r="AT17" s="77">
        <f t="shared" si="10"/>
        <v>-0.42202760921883881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1.2210000000000001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1.121</v>
      </c>
      <c r="II17" s="800" cm="1">
        <f t="array" ref="II17">IFERROR(IF($IH17&lt;1,$IH17+LARGE((IF($M$9:$M$150="",0,$M$9:$M$150)-MOD(IF($M$9:$M$150="",0,$M$9:$M$150),1)),1),$IH17),"")</f>
        <v>1.121</v>
      </c>
      <c r="IJ17" s="555" t="str">
        <f t="shared" si="67"/>
        <v>1613</v>
      </c>
      <c r="IK17" s="839" t="str">
        <f t="shared" si="68"/>
        <v>1313</v>
      </c>
      <c r="IL17" s="791">
        <f t="shared" ref="IL17:IL80" si="227">IF(ISNUMBER($II17),IFERROR(IF(INDEX($W$9:$W$150,MATCH($II17,$M$9:$M$150,0))&lt;$W17,((INDEX($W$9:$W$150,MATCH($II17,$M$9:$M$150,0))+360)-$W17),INDEX($W$9:$W$150,MATCH($II17,$M$9:$M$150,0))-$W17),""),"")</f>
        <v>16.09559767608323</v>
      </c>
      <c r="IM17" s="830">
        <v>1.3851815589003299E-2</v>
      </c>
      <c r="IN17" s="5">
        <f t="shared" ref="IN17:IN80" si="228">IF(ISNUMBER($II17),(($IO17*12)/60)/$AS$3,"")</f>
        <v>0.36</v>
      </c>
      <c r="IO17" s="852">
        <v>180</v>
      </c>
      <c r="IP17" s="9">
        <f t="shared" ref="IP17:IP80" si="229">IF(ISNUMBER($II17),(INDEX($X$9:$X$150,MATCH($II17,$M$9:$M$150,0))*-1),"")</f>
        <v>-3.2849099072882808</v>
      </c>
      <c r="IQ17" s="5">
        <f t="shared" ref="IQ17:IQ80" si="230">IF(ISNUMBER($II17),INDEX($Y$9:$Y$150,MATCH($II17,$M$9:$M$150,0)),"")</f>
        <v>-0.5247015824999729</v>
      </c>
      <c r="IR17" s="5">
        <f t="shared" si="73"/>
        <v>0.314</v>
      </c>
      <c r="IS17" s="5">
        <f t="shared" ref="IS17:IS80" si="231">IF(ISNUMBER($II17),$IR17*COS(RADIANS(INDEX($AO$9:$AO$150,MATCH($II17,$M$9:$M$150,0)))),"")</f>
        <v>0.29792783766642456</v>
      </c>
      <c r="IT17" s="791">
        <f t="shared" ref="IT17:IT80" si="232">IF(ISNUMBER($II17),(-1*INDEX($AN$9:$AN$150,MATCH($II17,$M$9:$M$150,0))),"")</f>
        <v>56.997245726506648</v>
      </c>
      <c r="IU17" s="9">
        <f t="shared" ref="IU17:IU80" si="233">IF(ISNUMBER($II17),-$X17,"")</f>
        <v>-3.3199617607404202</v>
      </c>
      <c r="IV17" s="5">
        <f t="shared" ref="IV17:IV80" si="234">IF(ISNUMBER($II17),$Y17,"")</f>
        <v>-0.49002759940085505</v>
      </c>
      <c r="IW17" s="5">
        <f t="shared" si="78"/>
        <v>0.26600000000000001</v>
      </c>
      <c r="IX17" s="5">
        <f t="shared" ref="IX17:IX80" si="235">IF(ISNUMBER($II17),$IW17*COS(RADIANS($AO17)),"")</f>
        <v>0.23515144450218509</v>
      </c>
      <c r="IY17" s="833">
        <f t="shared" ref="IY17:IY80" si="236">IF(ISNUMBER($II17),(-1*$AN17),"")</f>
        <v>49.199503876368432</v>
      </c>
    </row>
    <row r="18" spans="1:259" ht="15" customHeight="1" x14ac:dyDescent="0.25">
      <c r="A18" s="84">
        <f t="shared" si="81"/>
        <v>0</v>
      </c>
      <c r="B18" s="770">
        <v>1.1265733913713971</v>
      </c>
      <c r="C18" s="771">
        <v>3.4672369151719593</v>
      </c>
      <c r="D18" s="772">
        <v>-1.246137464421869</v>
      </c>
      <c r="E18" s="773">
        <v>0.25405620482684121</v>
      </c>
      <c r="F18" s="771">
        <v>0.7819054537146839</v>
      </c>
      <c r="G18" s="774">
        <v>0.56927963799895076</v>
      </c>
      <c r="H18" s="773">
        <v>0.25700000000000001</v>
      </c>
      <c r="I18" s="771">
        <v>0.41499999999999992</v>
      </c>
      <c r="J18" s="601">
        <v>1.228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/>
      </c>
      <c r="L18" s="857" t="s">
        <v>376</v>
      </c>
      <c r="M18" s="173">
        <f t="shared" si="1"/>
        <v>1.228</v>
      </c>
      <c r="N18" s="21">
        <f t="shared" si="2"/>
        <v>1.1265733913713971</v>
      </c>
      <c r="O18" s="5">
        <f t="shared" si="3"/>
        <v>3.4672369151719593</v>
      </c>
      <c r="P18" s="10">
        <f t="shared" si="4"/>
        <v>-1.246137464421869</v>
      </c>
      <c r="Q18" s="624">
        <f t="shared" si="116"/>
        <v>72.000002598878069</v>
      </c>
      <c r="R18" s="5">
        <f>IF(M18="","",SQRT(N18^2+O18^2))</f>
        <v>3.6456685850577828</v>
      </c>
      <c r="S18" s="6">
        <f>IF(M18="","",P18)</f>
        <v>-1.246137464421869</v>
      </c>
      <c r="T18" s="4">
        <f>IF(M18="","",X18*COS(RADIANS(W18)))</f>
        <v>3.4846729562390824</v>
      </c>
      <c r="U18" s="5">
        <f>IF(M18="","",X18*SIN(RADIANS(W18)))</f>
        <v>-1.0714260684401844</v>
      </c>
      <c r="V18" s="8">
        <f>IF(M18="","",Y18)</f>
        <v>-1.246137464421869</v>
      </c>
      <c r="W18" s="624">
        <f t="shared" si="226"/>
        <v>342.90900246763471</v>
      </c>
      <c r="X18" s="5">
        <f>IF(M18="","",R18)</f>
        <v>3.6456685850577828</v>
      </c>
      <c r="Y18" s="7">
        <f t="shared" si="225"/>
        <v>-1.246137464421869</v>
      </c>
      <c r="Z18" s="21">
        <f t="shared" si="6"/>
        <v>-0.25405620482684121</v>
      </c>
      <c r="AA18" s="5">
        <f t="shared" si="7"/>
        <v>-0.7819054537146839</v>
      </c>
      <c r="AB18" s="5">
        <f t="shared" si="8"/>
        <v>-0.56927963799895076</v>
      </c>
      <c r="AC18" s="8">
        <f>IF(M18="","",SQRT(Z18^2+AA18^2+AB18^2))</f>
        <v>1</v>
      </c>
      <c r="AD18" s="9">
        <f>IF(M18="","",Z18*(1/SQRT(Z18^2+AA18^2+AB18^2)))</f>
        <v>-0.25405620482684121</v>
      </c>
      <c r="AE18" s="5">
        <f>IF(M18="","",AA18*(1/SQRT(Z18^2+AA18^2+AB18^2)))</f>
        <v>-0.7819054537146839</v>
      </c>
      <c r="AF18" s="10">
        <f>IF(M18="","",AB18*(1/SQRT(Z18^2+AA18^2+AB18^2)))</f>
        <v>-0.56927963799895076</v>
      </c>
      <c r="AG18" s="622">
        <f>IF(M18="","",DEGREES(ATAN2(-AF18,AE18)))</f>
        <v>-53.942869023740506</v>
      </c>
      <c r="AH18" s="623">
        <f>IF(M18="","",DEGREES(ACOS(AD18)))</f>
        <v>104.71766805990612</v>
      </c>
      <c r="AI18" s="624">
        <f>IF(M18="","",DEGREES(-ACOS(-AF18)))</f>
        <v>-55.29999201567005</v>
      </c>
      <c r="AJ18" s="625">
        <f>IF(M18="","",DEGREES(ATAN2(-AE18,AD18)))</f>
        <v>-17.999981595629212</v>
      </c>
      <c r="AK18" s="4">
        <f>IF(M18="","",(COS(RADIANS((90-$Q$8)-W18))*AD18)+(-SIN(RADIANS((90-$Q$8)-W18))*AE18))</f>
        <v>2.2679489730670355E-7</v>
      </c>
      <c r="AL18" s="5">
        <f>IF(M18="","",(SIN(RADIANS((90-$Q$8)-W18))*AD18)+(COS(RADIANS((90-$Q$8)-W18))*AE18))</f>
        <v>-0.82214396169997628</v>
      </c>
      <c r="AM18" s="6">
        <f>IF(M18="","",AF18)</f>
        <v>-0.56927963799895076</v>
      </c>
      <c r="AN18" s="612">
        <f>IF(M18="","",DEGREES(ATAN2(-AM18,AL18)))</f>
        <v>-55.299992015669027</v>
      </c>
      <c r="AO18" s="613">
        <f t="shared" si="98"/>
        <v>0</v>
      </c>
      <c r="AP18" s="624">
        <f>IF(M18="","",DEGREES(ATAN2(AK18,AL18)))</f>
        <v>-89.999984194507235</v>
      </c>
      <c r="AQ18" s="625">
        <f t="shared" si="9"/>
        <v>3.3977777094505992</v>
      </c>
      <c r="AS18" s="56">
        <f t="shared" si="119"/>
        <v>-17.090997532365293</v>
      </c>
      <c r="AT18" s="77">
        <f t="shared" si="10"/>
        <v>-1.1781374742398527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1.228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1.1279999999999999</v>
      </c>
      <c r="II18" s="800" cm="1">
        <f t="array" ref="II18">IFERROR(IF($IH18&lt;1,$IH18+LARGE((IF($M$9:$M$150="",0,$M$9:$M$150)-MOD(IF($M$9:$M$150="",0,$M$9:$M$150),1)),1),$IH18),"")</f>
        <v>1.1279999999999999</v>
      </c>
      <c r="IJ18" s="839" t="str">
        <f t="shared" si="67"/>
        <v>1613</v>
      </c>
      <c r="IK18" s="839" t="str">
        <f t="shared" si="68"/>
        <v/>
      </c>
      <c r="IL18" s="791">
        <f t="shared" si="227"/>
        <v>15.534797757052729</v>
      </c>
      <c r="IM18" s="830">
        <v>4.4984127660677303E-3</v>
      </c>
      <c r="IN18" s="5">
        <f t="shared" si="228"/>
        <v>0.82</v>
      </c>
      <c r="IO18" s="852">
        <v>410</v>
      </c>
      <c r="IP18" s="9">
        <f t="shared" si="229"/>
        <v>-3.6241109303185661</v>
      </c>
      <c r="IQ18" s="5">
        <f t="shared" si="230"/>
        <v>-1.2188036759118865</v>
      </c>
      <c r="IR18" s="5">
        <f t="shared" si="73"/>
        <v>0.314</v>
      </c>
      <c r="IS18" s="5">
        <f t="shared" si="231"/>
        <v>0.28139777569481178</v>
      </c>
      <c r="IT18" s="791">
        <f t="shared" si="232"/>
        <v>74.941245330664401</v>
      </c>
      <c r="IU18" s="9">
        <f t="shared" si="233"/>
        <v>-3.6456685850577828</v>
      </c>
      <c r="IV18" s="5">
        <f t="shared" si="234"/>
        <v>-1.246137464421869</v>
      </c>
      <c r="IW18" s="5">
        <f t="shared" si="78"/>
        <v>0.25700000000000001</v>
      </c>
      <c r="IX18" s="5">
        <f t="shared" si="235"/>
        <v>0.25700000000000001</v>
      </c>
      <c r="IY18" s="833">
        <f t="shared" si="236"/>
        <v>55.299992015669027</v>
      </c>
    </row>
    <row r="19" spans="1:259" ht="15" customHeight="1" x14ac:dyDescent="0.25">
      <c r="A19" s="84">
        <f t="shared" si="81"/>
        <v>0</v>
      </c>
      <c r="B19" s="770">
        <v>1.1588135671349789</v>
      </c>
      <c r="C19" s="771">
        <v>3.5664619886694306</v>
      </c>
      <c r="D19" s="772">
        <v>-1.9761708490201695</v>
      </c>
      <c r="E19" s="773">
        <v>0.30901673554121095</v>
      </c>
      <c r="F19" s="771">
        <v>0.95105660039526674</v>
      </c>
      <c r="G19" s="774">
        <v>2.2679489667692386E-7</v>
      </c>
      <c r="H19" s="773">
        <v>0.25700000000000001</v>
      </c>
      <c r="I19" s="771">
        <v>0.41499999999999992</v>
      </c>
      <c r="J19" s="601">
        <v>1.2350000000000001</v>
      </c>
      <c r="K19" s="426" t="str">
        <f t="shared" si="82"/>
        <v/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1.2350000000000001</v>
      </c>
      <c r="N19" s="21">
        <f t="shared" si="2"/>
        <v>1.1588135671349789</v>
      </c>
      <c r="O19" s="5">
        <f t="shared" si="3"/>
        <v>3.5664619886694306</v>
      </c>
      <c r="P19" s="10">
        <f t="shared" si="4"/>
        <v>-1.9761708490201695</v>
      </c>
      <c r="Q19" s="624">
        <f t="shared" si="116"/>
        <v>72.000002598878069</v>
      </c>
      <c r="R19" s="5">
        <f>IF(M19="","",SQRT(N19^2+O19^2))</f>
        <v>3.7500000000000004</v>
      </c>
      <c r="S19" s="6">
        <f>IF(M19="","",P19)</f>
        <v>-1.9761708490201695</v>
      </c>
      <c r="T19" s="4">
        <f>IF(M19="","",X19*COS(RADIANS(W19)))</f>
        <v>3.5843970127881066</v>
      </c>
      <c r="U19" s="5">
        <f>IF(M19="","",X19*SIN(RADIANS(W19)))</f>
        <v>-1.1020880430871667</v>
      </c>
      <c r="V19" s="8">
        <f>IF(M19="","",Y19)</f>
        <v>-1.9761708490201695</v>
      </c>
      <c r="W19" s="624">
        <f t="shared" si="226"/>
        <v>342.90900246763471</v>
      </c>
      <c r="X19" s="5">
        <f>IF(M19="","",R19)</f>
        <v>3.7500000000000004</v>
      </c>
      <c r="Y19" s="7">
        <f t="shared" si="225"/>
        <v>-1.9761708490201695</v>
      </c>
      <c r="Z19" s="21">
        <f t="shared" si="6"/>
        <v>-0.30901673554121095</v>
      </c>
      <c r="AA19" s="5">
        <f t="shared" si="7"/>
        <v>-0.95105660039526674</v>
      </c>
      <c r="AB19" s="5">
        <f t="shared" si="8"/>
        <v>-2.2679489667692386E-7</v>
      </c>
      <c r="AC19" s="8">
        <f>IF(M19="","",SQRT(Z19^2+AA19^2+AB19^2))</f>
        <v>1</v>
      </c>
      <c r="AD19" s="9">
        <f>IF(M19="","",Z19*(1/SQRT(Z19^2+AA19^2+AB19^2)))</f>
        <v>-0.30901673554121095</v>
      </c>
      <c r="AE19" s="5">
        <f>IF(M19="","",AA19*(1/SQRT(Z19^2+AA19^2+AB19^2)))</f>
        <v>-0.95105660039526674</v>
      </c>
      <c r="AF19" s="10">
        <f>IF(M19="","",AB19*(1/SQRT(Z19^2+AA19^2+AB19^2)))</f>
        <v>-2.2679489667692386E-7</v>
      </c>
      <c r="AG19" s="622">
        <f>IF(M19="","",DEGREES(ATAN2(-AF19,AE19)))</f>
        <v>-89.999986336890586</v>
      </c>
      <c r="AH19" s="623">
        <f>IF(M19="","",DEGREES(ACOS(AD19)))</f>
        <v>107.99998440673104</v>
      </c>
      <c r="AI19" s="624">
        <f>IF(M19="","",DEGREES(-ACOS(-AF19)))</f>
        <v>-89.999987005609611</v>
      </c>
      <c r="AJ19" s="625">
        <f>IF(M19="","",DEGREES(ATAN2(-AE19,AD19)))</f>
        <v>-17.999984406731535</v>
      </c>
      <c r="AK19" s="4">
        <f>IF(M19="","",(COS(RADIANS((90-$Q$8)-W19))*AD19)+(-SIN(RADIANS((90-$Q$8)-W19))*AE19))</f>
        <v>2.267948973622147E-7</v>
      </c>
      <c r="AL19" s="5">
        <f>IF(M19="","",(SIN(RADIANS((90-$Q$8)-W19))*AD19)+(COS(RADIANS((90-$Q$8)-W19))*AE19))</f>
        <v>-0.9999999999999486</v>
      </c>
      <c r="AM19" s="6">
        <f>IF(M19="","",AF19)</f>
        <v>-2.2679489667692386E-7</v>
      </c>
      <c r="AN19" s="612">
        <f>IF(M19="","",DEGREES(ATAN2(-AM19,AL19)))</f>
        <v>-89.999987005609611</v>
      </c>
      <c r="AO19" s="613">
        <f t="shared" si="98"/>
        <v>0</v>
      </c>
      <c r="AP19" s="624">
        <f>IF(M19="","",DEGREES(ATAN2(AK19,AL19)))</f>
        <v>-89.999987005609569</v>
      </c>
      <c r="AQ19" s="625">
        <f t="shared" si="9"/>
        <v>3.3034580647038339</v>
      </c>
      <c r="AS19" s="56">
        <f t="shared" si="119"/>
        <v>-17.090997532365293</v>
      </c>
      <c r="AT19" s="77">
        <f t="shared" si="10"/>
        <v>-1.9081708588381532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>
        <f>IFERROR(IF((((($IW19*COS(RADIANS(180-$IY19)))*COS(RADIANS($IY19)))-(($IX19*SIN(RADIANS(180-$IY19)))*SIN(RADIANS($IY19))))+$IU19)&lt;(((Settings!$C$19/2)*-1)+$IF$8),1,""),"")</f>
        <v>1</v>
      </c>
      <c r="IG19" s="836">
        <f t="shared" si="66"/>
        <v>1.2350000000000001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1.135</v>
      </c>
      <c r="II19" s="800" cm="1">
        <f t="array" ref="II19">IFERROR(IF($IH19&lt;1,$IH19+LARGE((IF($M$9:$M$150="",0,$M$9:$M$150)-MOD(IF($M$9:$M$150="",0,$M$9:$M$150),1)),1),$IH19),"")</f>
        <v>1.135</v>
      </c>
      <c r="IJ19" s="839" t="str">
        <f t="shared" si="67"/>
        <v>1613</v>
      </c>
      <c r="IK19" s="839" t="str">
        <f t="shared" si="68"/>
        <v/>
      </c>
      <c r="IL19" s="791">
        <f t="shared" si="227"/>
        <v>14.999997401121959</v>
      </c>
      <c r="IM19" s="830">
        <v>4.5600968249360401E-4</v>
      </c>
      <c r="IN19" s="5">
        <f t="shared" si="228"/>
        <v>0</v>
      </c>
      <c r="IO19" s="852">
        <v>0</v>
      </c>
      <c r="IP19" s="9">
        <f t="shared" si="229"/>
        <v>-3.7028999999999996</v>
      </c>
      <c r="IQ19" s="5">
        <f t="shared" si="230"/>
        <v>-2.0125000000000002</v>
      </c>
      <c r="IR19" s="5">
        <f t="shared" si="73"/>
        <v>0.314</v>
      </c>
      <c r="IS19" s="5">
        <f t="shared" si="231"/>
        <v>0.25721375779146977</v>
      </c>
      <c r="IT19" s="791">
        <f t="shared" si="232"/>
        <v>89.999987005609611</v>
      </c>
      <c r="IU19" s="9">
        <f t="shared" si="233"/>
        <v>-3.7500000000000004</v>
      </c>
      <c r="IV19" s="5">
        <f t="shared" si="234"/>
        <v>-1.9761708490201695</v>
      </c>
      <c r="IW19" s="5">
        <f t="shared" si="78"/>
        <v>0.25700000000000001</v>
      </c>
      <c r="IX19" s="5">
        <f t="shared" si="235"/>
        <v>0.25700000000000001</v>
      </c>
      <c r="IY19" s="833">
        <f t="shared" si="236"/>
        <v>89.999987005609611</v>
      </c>
    </row>
    <row r="20" spans="1:259" ht="15" customHeight="1" x14ac:dyDescent="0.25">
      <c r="A20" s="84">
        <f t="shared" si="81"/>
        <v>0.02</v>
      </c>
      <c r="B20" s="770">
        <v>2.0432650651881579</v>
      </c>
      <c r="C20" s="771">
        <v>1.4436443010173874</v>
      </c>
      <c r="D20" s="772">
        <v>-7.1900216851054174E-2</v>
      </c>
      <c r="E20" s="773">
        <v>-0.4689295107615965</v>
      </c>
      <c r="F20" s="771">
        <v>0.84857319267626918</v>
      </c>
      <c r="G20" s="774">
        <v>0.24500745010732472</v>
      </c>
      <c r="H20" s="773">
        <v>0.314</v>
      </c>
      <c r="I20" s="771">
        <v>0.52</v>
      </c>
      <c r="J20" s="601">
        <v>2.113</v>
      </c>
      <c r="K20" s="426" t="str">
        <f t="shared" si="82"/>
        <v>1613</v>
      </c>
      <c r="L20" s="858" t="s">
        <v>377</v>
      </c>
      <c r="M20" s="173">
        <f t="shared" si="1"/>
        <v>2.113</v>
      </c>
      <c r="N20" s="21">
        <f t="shared" si="2"/>
        <v>2.0432650651881579</v>
      </c>
      <c r="O20" s="5">
        <f t="shared" si="3"/>
        <v>1.4436443010173874</v>
      </c>
      <c r="P20" s="10">
        <f t="shared" si="4"/>
        <v>-7.1900216851054174E-2</v>
      </c>
      <c r="Q20" s="624">
        <f t="shared" si="116"/>
        <v>35.242655928413242</v>
      </c>
      <c r="R20" s="5">
        <f>IF(M20="","",SQRT(N20^2+O20^2))</f>
        <v>2.5018075454515576</v>
      </c>
      <c r="S20" s="6">
        <f>IF(M20="","",P20)</f>
        <v>-7.1900216851054174E-2</v>
      </c>
      <c r="T20" s="4">
        <f>IF(M20="","",X20*COS(RADIANS(W20)))</f>
        <v>1.4758777459284502</v>
      </c>
      <c r="U20" s="5">
        <f>IF(M20="","",X20*SIN(RADIANS(W20)))</f>
        <v>-2.0201054114950301</v>
      </c>
      <c r="V20" s="8">
        <f>IF(M20="","",Y20)</f>
        <v>-7.1900216851054174E-2</v>
      </c>
      <c r="W20" s="624">
        <f t="shared" si="226"/>
        <v>306.15165579716989</v>
      </c>
      <c r="X20" s="5">
        <f>IF(M20="","",R20)</f>
        <v>2.5018075454515576</v>
      </c>
      <c r="Y20" s="7">
        <f t="shared" si="225"/>
        <v>-7.1900216851054174E-2</v>
      </c>
      <c r="Z20" s="21">
        <f t="shared" si="6"/>
        <v>0.4689295107615965</v>
      </c>
      <c r="AA20" s="5">
        <f t="shared" si="7"/>
        <v>-0.84857319267626918</v>
      </c>
      <c r="AB20" s="5">
        <f t="shared" si="8"/>
        <v>-0.24500745010732472</v>
      </c>
      <c r="AC20" s="8">
        <f>IF(M20="","",SQRT(Z20^2+AA20^2+AB20^2))</f>
        <v>1</v>
      </c>
      <c r="AD20" s="9">
        <f>IF(M20="","",Z20*(1/SQRT(Z20^2+AA20^2+AB20^2)))</f>
        <v>0.4689295107615965</v>
      </c>
      <c r="AE20" s="5">
        <f>IF(M20="","",AA20*(1/SQRT(Z20^2+AA20^2+AB20^2)))</f>
        <v>-0.84857319267626918</v>
      </c>
      <c r="AF20" s="10">
        <f>IF(M20="","",AB20*(1/SQRT(Z20^2+AA20^2+AB20^2)))</f>
        <v>-0.24500745010732472</v>
      </c>
      <c r="AG20" s="622">
        <f>IF(M20="","",DEGREES(ATAN2(-AF20,AE20)))</f>
        <v>-73.895052343741185</v>
      </c>
      <c r="AH20" s="623">
        <f>IF(M20="","",DEGREES(ACOS(AD20)))</f>
        <v>62.035168823404319</v>
      </c>
      <c r="AI20" s="624">
        <f>IF(M20="","",DEGREES(-ACOS(-AF20)))</f>
        <v>-75.817725992983696</v>
      </c>
      <c r="AJ20" s="625">
        <f>IF(M20="","",DEGREES(ATAN2(-AE20,AD20)))</f>
        <v>28.925451737387867</v>
      </c>
      <c r="AK20" s="4">
        <f>IF(M20="","",(COS(RADIANS((90-$Q$8)-W20))*AD20)+(-SIN(RADIANS((90-$Q$8)-W20))*AE20))</f>
        <v>0.96363422519189601</v>
      </c>
      <c r="AL20" s="5">
        <f>IF(M20="","",(SIN(RADIANS((90-$Q$8)-W20))*AD20)+(COS(RADIANS((90-$Q$8)-W20))*AE20))</f>
        <v>-0.10667909556572519</v>
      </c>
      <c r="AM20" s="6">
        <f>IF(M20="","",AF20)</f>
        <v>-0.24500745010732472</v>
      </c>
      <c r="AN20" s="612">
        <f>IF(M20="","",DEGREES(ATAN2(-AM20,AL20)))</f>
        <v>-23.528869659464636</v>
      </c>
      <c r="AO20" s="613">
        <f t="shared" si="98"/>
        <v>15.49919126801632</v>
      </c>
      <c r="AP20" s="624">
        <f>IF(M20="","",DEGREES(ATAN2(AK20,AL20)))</f>
        <v>-6.3172041910253336</v>
      </c>
      <c r="AQ20" s="625">
        <f t="shared" si="9"/>
        <v>4.944787837453144</v>
      </c>
      <c r="AS20" s="56">
        <f t="shared" si="119"/>
        <v>-53.848344202830106</v>
      </c>
      <c r="AT20" s="77">
        <f t="shared" si="10"/>
        <v>0.13496086075271801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2.113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7"/>
        <v/>
      </c>
      <c r="IK20" s="839" t="str">
        <f t="shared" si="68"/>
        <v/>
      </c>
      <c r="IL20" s="791" t="str">
        <f t="shared" si="227"/>
        <v/>
      </c>
      <c r="IM20" s="830"/>
      <c r="IN20" s="5" t="str">
        <f t="shared" si="228"/>
        <v/>
      </c>
      <c r="IO20" s="852"/>
      <c r="IP20" s="9" t="str">
        <f t="shared" si="229"/>
        <v/>
      </c>
      <c r="IQ20" s="5" t="str">
        <f t="shared" si="230"/>
        <v/>
      </c>
      <c r="IR20" s="5" t="str">
        <f t="shared" si="73"/>
        <v/>
      </c>
      <c r="IS20" s="5" t="str">
        <f t="shared" si="231"/>
        <v/>
      </c>
      <c r="IT20" s="791" t="str">
        <f t="shared" si="232"/>
        <v/>
      </c>
      <c r="IU20" s="9" t="str">
        <f t="shared" si="233"/>
        <v/>
      </c>
      <c r="IV20" s="5" t="str">
        <f t="shared" si="234"/>
        <v/>
      </c>
      <c r="IW20" s="5" t="str">
        <f t="shared" si="78"/>
        <v/>
      </c>
      <c r="IX20" s="5" t="str">
        <f t="shared" si="235"/>
        <v/>
      </c>
      <c r="IY20" s="833" t="str">
        <f t="shared" si="236"/>
        <v/>
      </c>
    </row>
    <row r="21" spans="1:259" ht="15" customHeight="1" x14ac:dyDescent="0.25">
      <c r="A21" s="84">
        <f t="shared" si="81"/>
        <v>0.02</v>
      </c>
      <c r="B21" s="770">
        <v>2.6509466020903476</v>
      </c>
      <c r="C21" s="771">
        <v>1.8023361110520162</v>
      </c>
      <c r="D21" s="772">
        <v>-0.44300133609202991</v>
      </c>
      <c r="E21" s="773">
        <v>-0.33639370929163537</v>
      </c>
      <c r="F21" s="771">
        <v>0.92531601221074533</v>
      </c>
      <c r="G21" s="774">
        <v>0.17501299921839739</v>
      </c>
      <c r="H21" s="773">
        <v>0.314</v>
      </c>
      <c r="I21" s="771">
        <v>0.52</v>
      </c>
      <c r="J21" s="601">
        <v>2.12</v>
      </c>
      <c r="K21" s="426" t="str">
        <f t="shared" si="82"/>
        <v>1613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2.12</v>
      </c>
      <c r="N21" s="21">
        <f t="shared" si="2"/>
        <v>2.6509466020903476</v>
      </c>
      <c r="O21" s="5">
        <f t="shared" si="3"/>
        <v>1.8023361110520162</v>
      </c>
      <c r="P21" s="10">
        <f t="shared" si="4"/>
        <v>-0.44300133609202991</v>
      </c>
      <c r="Q21" s="624">
        <f t="shared" si="116"/>
        <v>34.211156077343396</v>
      </c>
      <c r="R21" s="5">
        <f>IF(M21="","",SQRT(N21^2+O21^2))</f>
        <v>3.2056096681187598</v>
      </c>
      <c r="S21" s="6">
        <f>IF(M21="","",P21)</f>
        <v>-0.44300133609202991</v>
      </c>
      <c r="T21" s="4">
        <f>IF(M21="","",X21*COS(RADIANS(W21)))</f>
        <v>1.8441649034641971</v>
      </c>
      <c r="U21" s="5">
        <f>IF(M21="","",X21*SIN(RADIANS(W21)))</f>
        <v>-2.6220200520147352</v>
      </c>
      <c r="V21" s="8">
        <f>IF(M21="","",Y21)</f>
        <v>-0.44300133609202991</v>
      </c>
      <c r="W21" s="624">
        <f t="shared" si="226"/>
        <v>305.12015594610006</v>
      </c>
      <c r="X21" s="5">
        <f>IF(M21="","",R21)</f>
        <v>3.2056096681187598</v>
      </c>
      <c r="Y21" s="7">
        <f t="shared" si="225"/>
        <v>-0.44300133609202991</v>
      </c>
      <c r="Z21" s="21">
        <f t="shared" si="6"/>
        <v>0.33639370929163537</v>
      </c>
      <c r="AA21" s="5">
        <f t="shared" si="7"/>
        <v>-0.92531601221074533</v>
      </c>
      <c r="AB21" s="5">
        <f t="shared" si="8"/>
        <v>-0.17501299921839739</v>
      </c>
      <c r="AC21" s="8">
        <f>IF(M21="","",SQRT(Z21^2+AA21^2+AB21^2))</f>
        <v>1</v>
      </c>
      <c r="AD21" s="9">
        <f>IF(M21="","",Z21*(1/SQRT(Z21^2+AA21^2+AB21^2)))</f>
        <v>0.33639370929163537</v>
      </c>
      <c r="AE21" s="5">
        <f>IF(M21="","",AA21*(1/SQRT(Z21^2+AA21^2+AB21^2)))</f>
        <v>-0.92531601221074533</v>
      </c>
      <c r="AF21" s="10">
        <f>IF(M21="","",AB21*(1/SQRT(Z21^2+AA21^2+AB21^2)))</f>
        <v>-0.17501299921839739</v>
      </c>
      <c r="AG21" s="622">
        <f>IF(M21="","",DEGREES(ATAN2(-AF21,AE21)))</f>
        <v>-79.289673947325568</v>
      </c>
      <c r="AH21" s="623">
        <f>IF(M21="","",DEGREES(ACOS(AD21)))</f>
        <v>70.342689011845167</v>
      </c>
      <c r="AI21" s="624">
        <f>IF(M21="","",DEGREES(-ACOS(-AF21)))</f>
        <v>-79.920585417395714</v>
      </c>
      <c r="AJ21" s="625">
        <f>IF(M21="","",DEGREES(ATAN2(-AE21,AD21)))</f>
        <v>19.978466565564723</v>
      </c>
      <c r="AK21" s="4">
        <f>IF(M21="","",(COS(RADIANS((90-$Q$8)-W21))*AD21)+(-SIN(RADIANS((90-$Q$8)-W21))*AE21))</f>
        <v>0.95434509654828537</v>
      </c>
      <c r="AL21" s="5">
        <f>IF(M21="","",(SIN(RADIANS((90-$Q$8)-W21))*AD21)+(COS(RADIANS((90-$Q$8)-W21))*AE21))</f>
        <v>-0.24206587285039899</v>
      </c>
      <c r="AM21" s="6">
        <f>IF(M21="","",AF21)</f>
        <v>-0.17501299921839739</v>
      </c>
      <c r="AN21" s="612">
        <f>IF(M21="","",DEGREES(ATAN2(-AM21,AL21)))</f>
        <v>-54.133168202866948</v>
      </c>
      <c r="AO21" s="613">
        <f>IF(ROUND(IF(M21="",0,DEGREES(ACOS(AK21))),4)=90,0,IF(M21="","",DEGREES(ACOS(AK21))))</f>
        <v>17.379915364328959</v>
      </c>
      <c r="AP21" s="624">
        <f>IF(M21="","",DEGREES(ATAN2(AK21,AL21)))</f>
        <v>-14.232689511778668</v>
      </c>
      <c r="AQ21" s="625">
        <f t="shared" si="9"/>
        <v>3.8628897155764848</v>
      </c>
      <c r="AS21" s="56">
        <f t="shared" si="119"/>
        <v>-54.879844053899944</v>
      </c>
      <c r="AT21" s="77">
        <f t="shared" si="10"/>
        <v>-0.23224348127310498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2.12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7"/>
        <v/>
      </c>
      <c r="IK21" s="839" t="str">
        <f t="shared" si="68"/>
        <v/>
      </c>
      <c r="IL21" s="791" t="str">
        <f t="shared" si="227"/>
        <v/>
      </c>
      <c r="IM21" s="830"/>
      <c r="IN21" s="5" t="str">
        <f t="shared" si="228"/>
        <v/>
      </c>
      <c r="IO21" s="852"/>
      <c r="IP21" s="9" t="str">
        <f t="shared" si="229"/>
        <v/>
      </c>
      <c r="IQ21" s="5" t="str">
        <f t="shared" si="230"/>
        <v/>
      </c>
      <c r="IR21" s="5" t="str">
        <f t="shared" si="73"/>
        <v/>
      </c>
      <c r="IS21" s="5" t="str">
        <f t="shared" si="231"/>
        <v/>
      </c>
      <c r="IT21" s="791" t="str">
        <f t="shared" si="232"/>
        <v/>
      </c>
      <c r="IU21" s="9" t="str">
        <f t="shared" si="233"/>
        <v/>
      </c>
      <c r="IV21" s="5" t="str">
        <f t="shared" si="234"/>
        <v/>
      </c>
      <c r="IW21" s="5" t="str">
        <f t="shared" si="78"/>
        <v/>
      </c>
      <c r="IX21" s="5" t="str">
        <f t="shared" si="235"/>
        <v/>
      </c>
      <c r="IY21" s="833" t="str">
        <f t="shared" si="236"/>
        <v/>
      </c>
    </row>
    <row r="22" spans="1:259" ht="15" customHeight="1" x14ac:dyDescent="0.25">
      <c r="A22" s="84">
        <f t="shared" si="81"/>
        <v>0.02</v>
      </c>
      <c r="B22" s="770">
        <v>3.0034249634387904</v>
      </c>
      <c r="C22" s="771">
        <v>1.9956639218547523</v>
      </c>
      <c r="D22" s="772">
        <v>-1.1101999999999996</v>
      </c>
      <c r="E22" s="773">
        <v>-0.16066965547527057</v>
      </c>
      <c r="F22" s="771">
        <v>0.97827243340859382</v>
      </c>
      <c r="G22" s="774">
        <v>0.13102788955900344</v>
      </c>
      <c r="H22" s="773">
        <v>0.314</v>
      </c>
      <c r="I22" s="771">
        <v>0.52</v>
      </c>
      <c r="J22" s="601">
        <v>2.1269999999999998</v>
      </c>
      <c r="K22" s="426" t="str">
        <f t="shared" si="82"/>
        <v>1613</v>
      </c>
      <c r="L22" s="327"/>
      <c r="M22" s="173">
        <f t="shared" si="1"/>
        <v>2.1269999999999998</v>
      </c>
      <c r="N22" s="21">
        <f t="shared" si="2"/>
        <v>3.0034249634387904</v>
      </c>
      <c r="O22" s="5">
        <f t="shared" si="3"/>
        <v>1.9956639218547523</v>
      </c>
      <c r="P22" s="10">
        <f t="shared" si="4"/>
        <v>-1.1101999999999996</v>
      </c>
      <c r="Q22" s="624">
        <f t="shared" si="116"/>
        <v>33.602556165214345</v>
      </c>
      <c r="R22" s="5">
        <f t="shared" si="83"/>
        <v>3.6059999999999985</v>
      </c>
      <c r="S22" s="6">
        <f t="shared" si="84"/>
        <v>-1.1101999999999996</v>
      </c>
      <c r="T22" s="4">
        <f t="shared" si="85"/>
        <v>2.0430602334517318</v>
      </c>
      <c r="U22" s="5">
        <f t="shared" si="86"/>
        <v>-2.9713870300733536</v>
      </c>
      <c r="V22" s="8">
        <f t="shared" si="117"/>
        <v>-1.1101999999999996</v>
      </c>
      <c r="W22" s="624">
        <f t="shared" si="226"/>
        <v>304.51155603397103</v>
      </c>
      <c r="X22" s="5">
        <f t="shared" si="87"/>
        <v>3.6059999999999985</v>
      </c>
      <c r="Y22" s="7">
        <f t="shared" si="225"/>
        <v>-1.1101999999999996</v>
      </c>
      <c r="Z22" s="21">
        <f t="shared" si="6"/>
        <v>0.16066965547527057</v>
      </c>
      <c r="AA22" s="5">
        <f t="shared" si="7"/>
        <v>-0.97827243340859382</v>
      </c>
      <c r="AB22" s="5">
        <f t="shared" si="8"/>
        <v>-0.13102788955900344</v>
      </c>
      <c r="AC22" s="8">
        <f t="shared" si="88"/>
        <v>1</v>
      </c>
      <c r="AD22" s="9">
        <f t="shared" si="118"/>
        <v>0.16066965547527057</v>
      </c>
      <c r="AE22" s="5">
        <f t="shared" si="89"/>
        <v>-0.97827243340859382</v>
      </c>
      <c r="AF22" s="10">
        <f t="shared" si="90"/>
        <v>-0.13102788955900344</v>
      </c>
      <c r="AG22" s="622">
        <f t="shared" si="91"/>
        <v>-82.371317541020076</v>
      </c>
      <c r="AH22" s="623">
        <f t="shared" si="92"/>
        <v>80.754232454816474</v>
      </c>
      <c r="AI22" s="624">
        <f t="shared" si="93"/>
        <v>-82.471005852144572</v>
      </c>
      <c r="AJ22" s="625">
        <f t="shared" si="94"/>
        <v>9.3268860566888918</v>
      </c>
      <c r="AK22" s="4">
        <f t="shared" si="213"/>
        <v>0.9037189357493659</v>
      </c>
      <c r="AL22" s="5">
        <f t="shared" si="95"/>
        <v>-0.40758284719274818</v>
      </c>
      <c r="AM22" s="6">
        <f t="shared" si="96"/>
        <v>-0.13102788955900344</v>
      </c>
      <c r="AN22" s="612">
        <f t="shared" si="97"/>
        <v>-72.17867537251847</v>
      </c>
      <c r="AO22" s="613">
        <f t="shared" si="98"/>
        <v>25.348705851897215</v>
      </c>
      <c r="AP22" s="624">
        <f t="shared" si="99"/>
        <v>-24.275670108525468</v>
      </c>
      <c r="AQ22" s="625">
        <f t="shared" si="9"/>
        <v>3.435066682146696</v>
      </c>
      <c r="AS22" s="56">
        <f t="shared" si="119"/>
        <v>-55.488443966028967</v>
      </c>
      <c r="AT22" s="77">
        <f t="shared" si="10"/>
        <v>-0.89714298995747621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2.1269999999999998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7"/>
        <v/>
      </c>
      <c r="IK22" s="839" t="str">
        <f t="shared" si="68"/>
        <v/>
      </c>
      <c r="IL22" s="791" t="str">
        <f t="shared" si="227"/>
        <v/>
      </c>
      <c r="IM22" s="830"/>
      <c r="IN22" s="5" t="str">
        <f t="shared" si="228"/>
        <v/>
      </c>
      <c r="IO22" s="852"/>
      <c r="IP22" s="9" t="str">
        <f t="shared" si="229"/>
        <v/>
      </c>
      <c r="IQ22" s="5" t="str">
        <f t="shared" si="230"/>
        <v/>
      </c>
      <c r="IR22" s="5" t="str">
        <f t="shared" si="73"/>
        <v/>
      </c>
      <c r="IS22" s="5" t="str">
        <f t="shared" si="231"/>
        <v/>
      </c>
      <c r="IT22" s="791" t="str">
        <f t="shared" si="232"/>
        <v/>
      </c>
      <c r="IU22" s="9" t="str">
        <f t="shared" si="233"/>
        <v/>
      </c>
      <c r="IV22" s="5" t="str">
        <f t="shared" si="234"/>
        <v/>
      </c>
      <c r="IW22" s="5" t="str">
        <f t="shared" si="78"/>
        <v/>
      </c>
      <c r="IX22" s="5" t="str">
        <f t="shared" si="235"/>
        <v/>
      </c>
      <c r="IY22" s="833" t="str">
        <f t="shared" si="236"/>
        <v/>
      </c>
    </row>
    <row r="23" spans="1:259" ht="15" customHeight="1" x14ac:dyDescent="0.25">
      <c r="A23" s="84">
        <f t="shared" si="81"/>
        <v>0.02</v>
      </c>
      <c r="B23" s="770">
        <v>3.1055148013622853</v>
      </c>
      <c r="C23" s="771">
        <v>2.0167414938585453</v>
      </c>
      <c r="D23" s="772">
        <v>-1.9036999999999991</v>
      </c>
      <c r="E23" s="773">
        <v>3.4900179191106731E-2</v>
      </c>
      <c r="F23" s="771">
        <v>0.99939080318582674</v>
      </c>
      <c r="G23" s="774">
        <v>1.300841922044553E-7</v>
      </c>
      <c r="H23" s="773">
        <v>0.314</v>
      </c>
      <c r="I23" s="771">
        <v>0.52</v>
      </c>
      <c r="J23" s="601">
        <v>2.1339999999999999</v>
      </c>
      <c r="K23" s="426" t="str">
        <f t="shared" si="82"/>
        <v>1613</v>
      </c>
      <c r="L23" s="327"/>
      <c r="M23" s="173">
        <f t="shared" si="1"/>
        <v>2.1339999999999999</v>
      </c>
      <c r="N23" s="21">
        <f t="shared" si="2"/>
        <v>3.1055148013622853</v>
      </c>
      <c r="O23" s="5">
        <f t="shared" si="3"/>
        <v>2.0167414938585453</v>
      </c>
      <c r="P23" s="10">
        <f t="shared" si="4"/>
        <v>-1.9036999999999991</v>
      </c>
      <c r="Q23" s="624">
        <f t="shared" si="116"/>
        <v>32.999955892270435</v>
      </c>
      <c r="R23" s="5">
        <f t="shared" si="83"/>
        <v>3.7029000033124082</v>
      </c>
      <c r="S23" s="6">
        <f t="shared" si="84"/>
        <v>-1.9036999999999991</v>
      </c>
      <c r="T23" s="4">
        <f t="shared" si="85"/>
        <v>2.0657547443846509</v>
      </c>
      <c r="U23" s="5">
        <f t="shared" si="86"/>
        <v>-3.0731296377769906</v>
      </c>
      <c r="V23" s="8">
        <f t="shared" si="117"/>
        <v>-1.9036999999999991</v>
      </c>
      <c r="W23" s="624">
        <f t="shared" si="226"/>
        <v>303.90895576102713</v>
      </c>
      <c r="X23" s="5">
        <f t="shared" si="87"/>
        <v>3.7029000033124082</v>
      </c>
      <c r="Y23" s="7">
        <f t="shared" si="225"/>
        <v>-1.9036999999999991</v>
      </c>
      <c r="Z23" s="21">
        <f t="shared" si="6"/>
        <v>-3.4900179191106731E-2</v>
      </c>
      <c r="AA23" s="5">
        <f t="shared" si="7"/>
        <v>-0.99939080318582674</v>
      </c>
      <c r="AB23" s="5">
        <f t="shared" si="8"/>
        <v>-1.300841922044553E-7</v>
      </c>
      <c r="AC23" s="8">
        <f t="shared" si="88"/>
        <v>1</v>
      </c>
      <c r="AD23" s="9">
        <f t="shared" si="118"/>
        <v>-3.4900179191106731E-2</v>
      </c>
      <c r="AE23" s="5">
        <f t="shared" si="89"/>
        <v>-0.99939080318582674</v>
      </c>
      <c r="AF23" s="10">
        <f t="shared" si="90"/>
        <v>-1.300841922044553E-7</v>
      </c>
      <c r="AG23" s="622">
        <f t="shared" si="91"/>
        <v>-89.999992542181531</v>
      </c>
      <c r="AH23" s="623">
        <f t="shared" si="92"/>
        <v>92.000039127552583</v>
      </c>
      <c r="AI23" s="624">
        <f t="shared" si="93"/>
        <v>-89.999992546724798</v>
      </c>
      <c r="AJ23" s="625">
        <f t="shared" si="94"/>
        <v>-2.0000391275526068</v>
      </c>
      <c r="AK23" s="4">
        <f t="shared" si="213"/>
        <v>0.81915209414452395</v>
      </c>
      <c r="AL23" s="5">
        <f t="shared" si="95"/>
        <v>-0.57357636514994592</v>
      </c>
      <c r="AM23" s="6">
        <f t="shared" si="96"/>
        <v>-1.300841922044553E-7</v>
      </c>
      <c r="AN23" s="612">
        <f t="shared" si="97"/>
        <v>-89.999987005609626</v>
      </c>
      <c r="AO23" s="613">
        <f t="shared" si="98"/>
        <v>34.999995019823736</v>
      </c>
      <c r="AP23" s="624">
        <f t="shared" si="99"/>
        <v>-34.999995019823039</v>
      </c>
      <c r="AQ23" s="625">
        <f t="shared" si="9"/>
        <v>3.3453824185056087</v>
      </c>
      <c r="AS23" s="56">
        <f t="shared" si="119"/>
        <v>-56.09104423897287</v>
      </c>
      <c r="AT23" s="77">
        <f t="shared" si="10"/>
        <v>-1.6883665000374652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2.1339999999999999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7"/>
        <v/>
      </c>
      <c r="IK23" s="839" t="str">
        <f t="shared" si="68"/>
        <v/>
      </c>
      <c r="IL23" s="791" t="str">
        <f t="shared" si="227"/>
        <v/>
      </c>
      <c r="IM23" s="830"/>
      <c r="IN23" s="5" t="str">
        <f t="shared" si="228"/>
        <v/>
      </c>
      <c r="IO23" s="852"/>
      <c r="IP23" s="9" t="str">
        <f t="shared" si="229"/>
        <v/>
      </c>
      <c r="IQ23" s="5" t="str">
        <f t="shared" si="230"/>
        <v/>
      </c>
      <c r="IR23" s="5" t="str">
        <f t="shared" si="73"/>
        <v/>
      </c>
      <c r="IS23" s="5" t="str">
        <f t="shared" si="231"/>
        <v/>
      </c>
      <c r="IT23" s="791" t="str">
        <f t="shared" si="232"/>
        <v/>
      </c>
      <c r="IU23" s="9" t="str">
        <f t="shared" si="233"/>
        <v/>
      </c>
      <c r="IV23" s="5" t="str">
        <f t="shared" si="234"/>
        <v/>
      </c>
      <c r="IW23" s="5" t="str">
        <f t="shared" si="78"/>
        <v/>
      </c>
      <c r="IX23" s="5" t="str">
        <f t="shared" si="235"/>
        <v/>
      </c>
      <c r="IY23" s="833" t="str">
        <f t="shared" si="236"/>
        <v/>
      </c>
    </row>
    <row r="24" spans="1:259" ht="15" customHeight="1" x14ac:dyDescent="0.25">
      <c r="A24" s="84">
        <f t="shared" si="81"/>
        <v>0</v>
      </c>
      <c r="B24" s="770">
        <v>3.069663068312388</v>
      </c>
      <c r="C24" s="771">
        <v>0.99739152871157988</v>
      </c>
      <c r="D24" s="772">
        <v>-0.44862402046673372</v>
      </c>
      <c r="E24" s="773">
        <v>0.48269764812212018</v>
      </c>
      <c r="F24" s="771">
        <v>0.15683782436800334</v>
      </c>
      <c r="G24" s="774">
        <v>0.86162919945002181</v>
      </c>
      <c r="H24" s="773">
        <v>0.25700000000000001</v>
      </c>
      <c r="I24" s="771">
        <v>0.41499999999999992</v>
      </c>
      <c r="J24" s="601">
        <v>2.2200000000000002</v>
      </c>
      <c r="K24" s="426" t="str">
        <f t="shared" si="82"/>
        <v/>
      </c>
      <c r="L24" s="327"/>
      <c r="M24" s="173">
        <f t="shared" si="1"/>
        <v>2.2200000000000002</v>
      </c>
      <c r="N24" s="21">
        <f t="shared" si="2"/>
        <v>3.069663068312388</v>
      </c>
      <c r="O24" s="5">
        <f t="shared" si="3"/>
        <v>0.99739152871157988</v>
      </c>
      <c r="P24" s="10">
        <f t="shared" si="4"/>
        <v>-0.44862402046673372</v>
      </c>
      <c r="Q24" s="624">
        <f t="shared" si="116"/>
        <v>17.999958417950733</v>
      </c>
      <c r="R24" s="5">
        <f t="shared" si="83"/>
        <v>3.2276339963674081</v>
      </c>
      <c r="S24" s="6">
        <f t="shared" si="84"/>
        <v>-0.44862402046673372</v>
      </c>
      <c r="T24" s="4">
        <f t="shared" si="85"/>
        <v>1.0459642961517057</v>
      </c>
      <c r="U24" s="5">
        <f t="shared" si="86"/>
        <v>-3.05345376675045</v>
      </c>
      <c r="V24" s="8">
        <f t="shared" si="117"/>
        <v>-0.44862402046673372</v>
      </c>
      <c r="W24" s="624">
        <f t="shared" si="226"/>
        <v>288.90895828670739</v>
      </c>
      <c r="X24" s="5">
        <f t="shared" si="87"/>
        <v>3.2276339963674081</v>
      </c>
      <c r="Y24" s="7">
        <f t="shared" si="225"/>
        <v>-0.44862402046673372</v>
      </c>
      <c r="Z24" s="21">
        <f t="shared" si="6"/>
        <v>-0.48269764812212018</v>
      </c>
      <c r="AA24" s="5">
        <f t="shared" si="7"/>
        <v>-0.15683782436800334</v>
      </c>
      <c r="AB24" s="5">
        <f t="shared" si="8"/>
        <v>-0.86162919945002181</v>
      </c>
      <c r="AC24" s="8">
        <f t="shared" si="88"/>
        <v>1</v>
      </c>
      <c r="AD24" s="9">
        <f t="shared" si="118"/>
        <v>-0.48269764812212018</v>
      </c>
      <c r="AE24" s="5">
        <f t="shared" si="89"/>
        <v>-0.15683782436800334</v>
      </c>
      <c r="AF24" s="10">
        <f t="shared" si="90"/>
        <v>-0.86162919945002181</v>
      </c>
      <c r="AG24" s="622">
        <f t="shared" si="91"/>
        <v>-10.316301819733857</v>
      </c>
      <c r="AH24" s="623">
        <f t="shared" si="92"/>
        <v>118.86173838849319</v>
      </c>
      <c r="AI24" s="624">
        <f t="shared" si="93"/>
        <v>-30.499995596347976</v>
      </c>
      <c r="AJ24" s="625">
        <f t="shared" si="94"/>
        <v>-72.000015979271154</v>
      </c>
      <c r="AK24" s="4">
        <f>IF(M24="","",(COS(RADIANS((90-$Q$8)-W24))*AD24)+(-SIN(RADIANS((90-$Q$8)-W24))*AE24))</f>
        <v>2.2679489686261434E-7</v>
      </c>
      <c r="AL24" s="5">
        <f t="shared" si="95"/>
        <v>-0.50753829673736284</v>
      </c>
      <c r="AM24" s="6">
        <f t="shared" si="96"/>
        <v>-0.86162919945002181</v>
      </c>
      <c r="AN24" s="612">
        <f t="shared" si="97"/>
        <v>-30.499995596345496</v>
      </c>
      <c r="AO24" s="613">
        <f t="shared" si="98"/>
        <v>0</v>
      </c>
      <c r="AP24" s="624">
        <f t="shared" si="99"/>
        <v>-89.999974397221862</v>
      </c>
      <c r="AQ24" s="625">
        <f t="shared" si="9"/>
        <v>3.8366096000234009</v>
      </c>
      <c r="AS24" s="56">
        <f t="shared" si="119"/>
        <v>-71.091041713292611</v>
      </c>
      <c r="AT24" s="77">
        <f t="shared" si="10"/>
        <v>-0.17662386337899205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2.2200000000000002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2.12</v>
      </c>
      <c r="II24" s="800" cm="1">
        <f t="array" ref="II24">IFERROR(IF($IH24&lt;1,$IH24+LARGE((IF($M$9:$M$150="",0,$M$9:$M$150)-MOD(IF($M$9:$M$150="",0,$M$9:$M$150),1)),1),$IH24),"")</f>
        <v>2.12</v>
      </c>
      <c r="IJ24" s="839" t="str">
        <f t="shared" si="67"/>
        <v>1613</v>
      </c>
      <c r="IK24" s="839" t="str">
        <f t="shared" si="68"/>
        <v/>
      </c>
      <c r="IL24" s="791">
        <f t="shared" si="227"/>
        <v>16.211197659392667</v>
      </c>
      <c r="IM24" s="830">
        <v>2.4684484375966199E-2</v>
      </c>
      <c r="IN24" s="5">
        <f t="shared" si="228"/>
        <v>0.94</v>
      </c>
      <c r="IO24" s="852">
        <v>470</v>
      </c>
      <c r="IP24" s="9">
        <f t="shared" si="229"/>
        <v>-3.2056096681187598</v>
      </c>
      <c r="IQ24" s="5">
        <f t="shared" si="230"/>
        <v>-0.44300133609202991</v>
      </c>
      <c r="IR24" s="5">
        <f t="shared" si="73"/>
        <v>0.314</v>
      </c>
      <c r="IS24" s="5">
        <f t="shared" si="231"/>
        <v>0.29966436031616162</v>
      </c>
      <c r="IT24" s="791">
        <f t="shared" si="232"/>
        <v>54.133168202866948</v>
      </c>
      <c r="IU24" s="9">
        <f t="shared" si="233"/>
        <v>-3.2276339963674081</v>
      </c>
      <c r="IV24" s="5">
        <f t="shared" si="234"/>
        <v>-0.44862402046673372</v>
      </c>
      <c r="IW24" s="5">
        <f t="shared" si="78"/>
        <v>0.25700000000000001</v>
      </c>
      <c r="IX24" s="5">
        <f t="shared" si="235"/>
        <v>0.25700000000000001</v>
      </c>
      <c r="IY24" s="833">
        <f t="shared" si="236"/>
        <v>30.499995596345496</v>
      </c>
    </row>
    <row r="25" spans="1:259" ht="15" customHeight="1" x14ac:dyDescent="0.25">
      <c r="A25" s="84">
        <f t="shared" si="81"/>
        <v>0</v>
      </c>
      <c r="B25" s="770">
        <v>3.4509093831293276</v>
      </c>
      <c r="C25" s="771">
        <v>1.1212656596141535</v>
      </c>
      <c r="D25" s="772">
        <v>-1.1351000000000002</v>
      </c>
      <c r="E25" s="773">
        <v>0.75148210384892178</v>
      </c>
      <c r="F25" s="771">
        <v>0.2441709724123747</v>
      </c>
      <c r="G25" s="774">
        <v>0.6129071575907673</v>
      </c>
      <c r="H25" s="773">
        <v>0.25700000000000001</v>
      </c>
      <c r="I25" s="771">
        <v>0.41499999999999992</v>
      </c>
      <c r="J25" s="601">
        <v>2.2269999999999999</v>
      </c>
      <c r="K25" s="426" t="str">
        <f t="shared" si="82"/>
        <v/>
      </c>
      <c r="L25" s="327"/>
      <c r="M25" s="173">
        <f t="shared" si="1"/>
        <v>2.2269999999999999</v>
      </c>
      <c r="N25" s="21">
        <f t="shared" si="2"/>
        <v>3.4509093831293276</v>
      </c>
      <c r="O25" s="5">
        <f t="shared" si="3"/>
        <v>1.1212656596141535</v>
      </c>
      <c r="P25" s="10">
        <f t="shared" si="4"/>
        <v>-1.1351000000000002</v>
      </c>
      <c r="Q25" s="624">
        <f t="shared" si="116"/>
        <v>17.999958417950737</v>
      </c>
      <c r="R25" s="5">
        <f>IF(M25="","",SQRT(N25^2+O25^2))</f>
        <v>3.6284999999999998</v>
      </c>
      <c r="S25" s="6">
        <f>IF(M25="","",P25)</f>
        <v>-1.1351000000000002</v>
      </c>
      <c r="T25" s="4">
        <f>IF(M25="","",X25*COS(RADIANS(W25)))</f>
        <v>1.1758710723886052</v>
      </c>
      <c r="U25" s="5">
        <f>IF(M25="","",X25*SIN(RADIANS(W25)))</f>
        <v>-3.4326869171422656</v>
      </c>
      <c r="V25" s="8">
        <f>IF(M25="","",Y25)</f>
        <v>-1.1351000000000002</v>
      </c>
      <c r="W25" s="624">
        <f t="shared" si="226"/>
        <v>288.90895828670739</v>
      </c>
      <c r="X25" s="5">
        <f>IF(M25="","",R25)</f>
        <v>3.6284999999999998</v>
      </c>
      <c r="Y25" s="7">
        <f t="shared" si="225"/>
        <v>-1.1351000000000002</v>
      </c>
      <c r="Z25" s="21">
        <f t="shared" si="6"/>
        <v>-0.75148210384892178</v>
      </c>
      <c r="AA25" s="5">
        <f t="shared" si="7"/>
        <v>-0.2441709724123747</v>
      </c>
      <c r="AB25" s="5">
        <f t="shared" si="8"/>
        <v>-0.6129071575907673</v>
      </c>
      <c r="AC25" s="8">
        <f>IF(M25="","",SQRT(Z25^2+AA25^2+AB25^2))</f>
        <v>1</v>
      </c>
      <c r="AD25" s="9">
        <f>IF(M25="","",Z25*(1/SQRT(Z25^2+AA25^2+AB25^2)))</f>
        <v>-0.75148210384892178</v>
      </c>
      <c r="AE25" s="5">
        <f>IF(M25="","",AA25*(1/SQRT(Z25^2+AA25^2+AB25^2)))</f>
        <v>-0.2441709724123747</v>
      </c>
      <c r="AF25" s="10">
        <f>IF(M25="","",AB25*(1/SQRT(Z25^2+AA25^2+AB25^2)))</f>
        <v>-0.6129071575907673</v>
      </c>
      <c r="AG25" s="622">
        <f>IF(M25="","",DEGREES(ATAN2(-AF25,AE25)))</f>
        <v>-21.721430503324555</v>
      </c>
      <c r="AH25" s="623">
        <f>IF(M25="","",DEGREES(ACOS(AD25)))</f>
        <v>138.71892590577181</v>
      </c>
      <c r="AI25" s="624">
        <f>IF(M25="","",DEGREES(-ACOS(-AF25)))</f>
        <v>-52.199992463254731</v>
      </c>
      <c r="AJ25" s="625">
        <f>IF(M25="","",DEGREES(ATAN2(-AE25,AD25)))</f>
        <v>-72.000025136679028</v>
      </c>
      <c r="AK25" s="4">
        <f>IF(M25="","",(COS(RADIANS((90-$Q$8)-W25))*AD25)+(-SIN(RADIANS((90-$Q$8)-W25))*AE25))</f>
        <v>2.2679489708465894E-7</v>
      </c>
      <c r="AL25" s="5">
        <f>IF(M25="","",(SIN(RADIANS((90-$Q$8)-W25))*AD25)+(COS(RADIANS((90-$Q$8)-W25))*AE25))</f>
        <v>-0.79015493175323204</v>
      </c>
      <c r="AM25" s="6">
        <f>IF(M25="","",AF25)</f>
        <v>-0.6129071575907673</v>
      </c>
      <c r="AN25" s="612">
        <f>IF(M25="","",DEGREES(ATAN2(-AM25,AL25)))</f>
        <v>-52.199992463253594</v>
      </c>
      <c r="AO25" s="613">
        <f>IF(ROUND(IF(M25="",0,DEGREES(ACOS(AK25))),4)=90,0,IF(M25="","",DEGREES(ACOS(AK25))))</f>
        <v>0</v>
      </c>
      <c r="AP25" s="624">
        <f>IF(M25="","",DEGREES(ATAN2(AK25,AL25)))</f>
        <v>-89.999983554629736</v>
      </c>
      <c r="AQ25" s="625">
        <f t="shared" si="9"/>
        <v>3.4138166774817633</v>
      </c>
      <c r="AS25" s="56">
        <f t="shared" si="119"/>
        <v>-71.091041713292611</v>
      </c>
      <c r="AT25" s="77">
        <f t="shared" si="10"/>
        <v>-0.8630998429122585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2.2269999999999999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2.1269999999999998</v>
      </c>
      <c r="II25" s="800" cm="1">
        <f t="array" ref="II25">IFERROR(IF($IH25&lt;1,$IH25+LARGE((IF($M$9:$M$150="",0,$M$9:$M$150)-MOD(IF($M$9:$M$150="",0,$M$9:$M$150),1)),1),$IH25),"")</f>
        <v>2.1269999999999998</v>
      </c>
      <c r="IJ25" s="839" t="str">
        <f t="shared" si="67"/>
        <v>1613</v>
      </c>
      <c r="IK25" s="839" t="str">
        <f t="shared" si="68"/>
        <v/>
      </c>
      <c r="IL25" s="791">
        <f t="shared" si="227"/>
        <v>15.602597747263644</v>
      </c>
      <c r="IM25" s="830">
        <v>6.9457911880166298E-3</v>
      </c>
      <c r="IN25" s="5">
        <f t="shared" si="228"/>
        <v>0.86</v>
      </c>
      <c r="IO25" s="852">
        <v>430</v>
      </c>
      <c r="IP25" s="9">
        <f t="shared" si="229"/>
        <v>-3.6059999999999985</v>
      </c>
      <c r="IQ25" s="5">
        <f t="shared" si="230"/>
        <v>-1.1101999999999996</v>
      </c>
      <c r="IR25" s="5">
        <f t="shared" si="73"/>
        <v>0.314</v>
      </c>
      <c r="IS25" s="5">
        <f t="shared" si="231"/>
        <v>0.2837677458253009</v>
      </c>
      <c r="IT25" s="791">
        <f t="shared" si="232"/>
        <v>72.17867537251847</v>
      </c>
      <c r="IU25" s="9">
        <f t="shared" si="233"/>
        <v>-3.6284999999999998</v>
      </c>
      <c r="IV25" s="5">
        <f t="shared" si="234"/>
        <v>-1.1351000000000002</v>
      </c>
      <c r="IW25" s="5">
        <f t="shared" si="78"/>
        <v>0.25700000000000001</v>
      </c>
      <c r="IX25" s="5">
        <f t="shared" si="235"/>
        <v>0.25700000000000001</v>
      </c>
      <c r="IY25" s="833">
        <f t="shared" si="236"/>
        <v>52.199992463253594</v>
      </c>
    </row>
    <row r="26" spans="1:259" ht="15" customHeight="1" x14ac:dyDescent="0.25">
      <c r="A26" s="84">
        <f t="shared" si="81"/>
        <v>0</v>
      </c>
      <c r="B26" s="770">
        <v>3.5664627771076143</v>
      </c>
      <c r="C26" s="771">
        <v>1.1588111405685753</v>
      </c>
      <c r="D26" s="772">
        <v>-1.901370623422689</v>
      </c>
      <c r="E26" s="773">
        <v>0.95105667047866083</v>
      </c>
      <c r="F26" s="771">
        <v>0.30901651984641942</v>
      </c>
      <c r="G26" s="774">
        <v>2.2679489664145123E-7</v>
      </c>
      <c r="H26" s="773">
        <v>0.25700000000000001</v>
      </c>
      <c r="I26" s="771">
        <v>0.41499999999999992</v>
      </c>
      <c r="J26" s="601">
        <v>2.234</v>
      </c>
      <c r="K26" s="426" t="str">
        <f t="shared" si="82"/>
        <v/>
      </c>
      <c r="L26" s="327"/>
      <c r="M26" s="173">
        <f t="shared" si="1"/>
        <v>2.234</v>
      </c>
      <c r="N26" s="21">
        <f t="shared" si="2"/>
        <v>3.5664627771076143</v>
      </c>
      <c r="O26" s="5">
        <f t="shared" si="3"/>
        <v>1.1588111405685753</v>
      </c>
      <c r="P26" s="10">
        <f t="shared" si="4"/>
        <v>-1.901370623422689</v>
      </c>
      <c r="Q26" s="624">
        <f t="shared" si="116"/>
        <v>17.999958417950737</v>
      </c>
      <c r="R26" s="5">
        <f>IF(M26="","",SQRT(N26^2+O26^2))</f>
        <v>3.75</v>
      </c>
      <c r="S26" s="6">
        <f>IF(M26="","",P26)</f>
        <v>-1.901370623422689</v>
      </c>
      <c r="T26" s="4">
        <f>IF(M26="","",X26*COS(RADIANS(W26)))</f>
        <v>1.215245010736467</v>
      </c>
      <c r="U26" s="5">
        <f>IF(M26="","",X26*SIN(RADIANS(W26)))</f>
        <v>-3.547630133466583</v>
      </c>
      <c r="V26" s="8">
        <f>IF(M26="","",Y26)</f>
        <v>-1.901370623422689</v>
      </c>
      <c r="W26" s="624">
        <f t="shared" si="226"/>
        <v>288.90895828670739</v>
      </c>
      <c r="X26" s="5">
        <f>IF(M26="","",R26)</f>
        <v>3.75</v>
      </c>
      <c r="Y26" s="7">
        <f t="shared" si="225"/>
        <v>-1.901370623422689</v>
      </c>
      <c r="Z26" s="21">
        <f t="shared" si="6"/>
        <v>-0.95105667047866083</v>
      </c>
      <c r="AA26" s="5">
        <f t="shared" si="7"/>
        <v>-0.30901651984641942</v>
      </c>
      <c r="AB26" s="5">
        <f t="shared" si="8"/>
        <v>-2.2679489664145123E-7</v>
      </c>
      <c r="AC26" s="8">
        <f>IF(M26="","",SQRT(Z26^2+AA26^2+AB26^2))</f>
        <v>1</v>
      </c>
      <c r="AD26" s="9">
        <f>IF(M26="","",Z26*(1/SQRT(Z26^2+AA26^2+AB26^2)))</f>
        <v>-0.95105667047866083</v>
      </c>
      <c r="AE26" s="5">
        <f>IF(M26="","",AA26*(1/SQRT(Z26^2+AA26^2+AB26^2)))</f>
        <v>-0.30901651984641942</v>
      </c>
      <c r="AF26" s="10">
        <f>IF(M26="","",AB26*(1/SQRT(Z26^2+AA26^2+AB26^2)))</f>
        <v>-2.2679489664145123E-7</v>
      </c>
      <c r="AG26" s="622">
        <f>IF(M26="","",DEGREES(ATAN2(-AF26,AE26)))</f>
        <v>-89.999957949204799</v>
      </c>
      <c r="AH26" s="623">
        <f>IF(M26="","",DEGREES(ACOS(AD26)))</f>
        <v>162.00002858765436</v>
      </c>
      <c r="AI26" s="624">
        <f>IF(M26="","",DEGREES(-ACOS(-AF26)))</f>
        <v>-89.999987005609611</v>
      </c>
      <c r="AJ26" s="625">
        <f>IF(M26="","",DEGREES(ATAN2(-AE26,AD26)))</f>
        <v>-72.000028587658875</v>
      </c>
      <c r="AK26" s="4">
        <f>IF(M26="","",(COS(RADIANS((90-$Q$8)-W26))*AD26)+(-SIN(RADIANS((90-$Q$8)-W26))*AE26))</f>
        <v>2.2679489702914779E-7</v>
      </c>
      <c r="AL26" s="5">
        <f>IF(M26="","",(SIN(RADIANS((90-$Q$8)-W26))*AD26)+(COS(RADIANS((90-$Q$8)-W26))*AE26))</f>
        <v>-0.99999999999994849</v>
      </c>
      <c r="AM26" s="6">
        <f>IF(M26="","",AF26)</f>
        <v>-2.2679489664145123E-7</v>
      </c>
      <c r="AN26" s="612">
        <f>IF(M26="","",DEGREES(ATAN2(-AM26,AL26)))</f>
        <v>-89.999987005609611</v>
      </c>
      <c r="AO26" s="613">
        <f t="shared" si="98"/>
        <v>0</v>
      </c>
      <c r="AP26" s="624">
        <f>IF(M26="","",DEGREES(ATAN2(AK26,AL26)))</f>
        <v>-89.999987005609597</v>
      </c>
      <c r="AQ26" s="625">
        <f t="shared" si="9"/>
        <v>3.3034580647038347</v>
      </c>
      <c r="AS26" s="56">
        <f t="shared" si="119"/>
        <v>-71.091041713292611</v>
      </c>
      <c r="AT26" s="77">
        <f t="shared" si="10"/>
        <v>-1.6293704663349473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>
        <f>IFERROR(IF((((($IW26*COS(RADIANS(180-$IY26)))*COS(RADIANS($IY26)))-(($IX26*SIN(RADIANS(180-$IY26)))*SIN(RADIANS($IY26))))+$IU26)&lt;(((Settings!$C$19/2)*-1)+$IF$8),1,""),"")</f>
        <v>1</v>
      </c>
      <c r="IG26" s="836">
        <f t="shared" si="66"/>
        <v>2.234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2.1339999999999999</v>
      </c>
      <c r="II26" s="800" cm="1">
        <f t="array" ref="II26">IFERROR(IF($IH26&lt;1,$IH26+LARGE((IF($M$9:$M$150="",0,$M$9:$M$150)-MOD(IF($M$9:$M$150="",0,$M$9:$M$150),1)),1),$IH26),"")</f>
        <v>2.1339999999999999</v>
      </c>
      <c r="IJ26" s="839" t="str">
        <f t="shared" si="67"/>
        <v>1613</v>
      </c>
      <c r="IK26" s="839" t="str">
        <f t="shared" si="68"/>
        <v/>
      </c>
      <c r="IL26" s="791">
        <f t="shared" si="227"/>
        <v>14.999997474319741</v>
      </c>
      <c r="IM26" s="830">
        <v>2.5566936443617501E-4</v>
      </c>
      <c r="IN26" s="5">
        <f t="shared" si="228"/>
        <v>0</v>
      </c>
      <c r="IO26" s="852">
        <v>0</v>
      </c>
      <c r="IP26" s="9">
        <f t="shared" si="229"/>
        <v>-3.7029000033124082</v>
      </c>
      <c r="IQ26" s="5">
        <f t="shared" si="230"/>
        <v>-1.9036999999999991</v>
      </c>
      <c r="IR26" s="5">
        <f t="shared" si="73"/>
        <v>0.314</v>
      </c>
      <c r="IS26" s="5">
        <f t="shared" si="231"/>
        <v>0.25721375756138054</v>
      </c>
      <c r="IT26" s="791">
        <f t="shared" si="232"/>
        <v>89.999987005609626</v>
      </c>
      <c r="IU26" s="9">
        <f t="shared" si="233"/>
        <v>-3.75</v>
      </c>
      <c r="IV26" s="5">
        <f t="shared" si="234"/>
        <v>-1.901370623422689</v>
      </c>
      <c r="IW26" s="5">
        <f t="shared" si="78"/>
        <v>0.25700000000000001</v>
      </c>
      <c r="IX26" s="5">
        <f t="shared" si="235"/>
        <v>0.25700000000000001</v>
      </c>
      <c r="IY26" s="833">
        <f t="shared" si="236"/>
        <v>89.999987005609611</v>
      </c>
    </row>
    <row r="27" spans="1:259" ht="15" customHeight="1" x14ac:dyDescent="0.25">
      <c r="A27" s="84">
        <f t="shared" si="81"/>
        <v>0.02</v>
      </c>
      <c r="B27" s="770">
        <v>0.80961509904379281</v>
      </c>
      <c r="C27" s="771">
        <v>-0.17208955187790467</v>
      </c>
      <c r="D27" s="772">
        <v>-0.36550110235132471</v>
      </c>
      <c r="E27" s="773">
        <v>0.13530445066904165</v>
      </c>
      <c r="F27" s="771">
        <v>0.95874538955692512</v>
      </c>
      <c r="G27" s="774">
        <v>0.24999996726497564</v>
      </c>
      <c r="H27" s="773">
        <v>0.314</v>
      </c>
      <c r="I27" s="771">
        <v>0.52</v>
      </c>
      <c r="J27" s="601">
        <v>3.1030000000000002</v>
      </c>
      <c r="K27" s="426" t="str">
        <f t="shared" si="82"/>
        <v>1613</v>
      </c>
      <c r="L27" s="327"/>
      <c r="M27" s="173">
        <f t="shared" si="1"/>
        <v>3.1030000000000002</v>
      </c>
      <c r="N27" s="21">
        <f t="shared" si="2"/>
        <v>0.80961509904379281</v>
      </c>
      <c r="O27" s="5">
        <f t="shared" si="3"/>
        <v>-0.17208955187790467</v>
      </c>
      <c r="P27" s="10">
        <f t="shared" si="4"/>
        <v>-0.36550110235132471</v>
      </c>
      <c r="Q27" s="624">
        <f t="shared" si="116"/>
        <v>347.99996274941424</v>
      </c>
      <c r="R27" s="5">
        <f t="shared" si="83"/>
        <v>0.8277024963507289</v>
      </c>
      <c r="S27" s="6">
        <f t="shared" si="84"/>
        <v>-0.36550110235132471</v>
      </c>
      <c r="T27" s="4">
        <f t="shared" si="85"/>
        <v>-0.15922385730127597</v>
      </c>
      <c r="U27" s="5">
        <f t="shared" si="86"/>
        <v>-0.81224330451616</v>
      </c>
      <c r="V27" s="8">
        <f t="shared" si="117"/>
        <v>-0.36550110235132471</v>
      </c>
      <c r="W27" s="624">
        <f t="shared" si="226"/>
        <v>258.9089626181709</v>
      </c>
      <c r="X27" s="5">
        <f t="shared" si="87"/>
        <v>0.8277024963507289</v>
      </c>
      <c r="Y27" s="7">
        <f t="shared" si="225"/>
        <v>-0.36550110235132471</v>
      </c>
      <c r="Z27" s="21">
        <f t="shared" si="6"/>
        <v>-0.13530445066904165</v>
      </c>
      <c r="AA27" s="5">
        <f t="shared" si="7"/>
        <v>-0.95874538955692512</v>
      </c>
      <c r="AB27" s="5">
        <f t="shared" si="8"/>
        <v>-0.24999996726497564</v>
      </c>
      <c r="AC27" s="8">
        <f t="shared" si="88"/>
        <v>1</v>
      </c>
      <c r="AD27" s="9">
        <f t="shared" si="118"/>
        <v>-0.13530445066904165</v>
      </c>
      <c r="AE27" s="5">
        <f t="shared" si="89"/>
        <v>-0.95874538955692512</v>
      </c>
      <c r="AF27" s="10">
        <f t="shared" si="90"/>
        <v>-0.24999996726497564</v>
      </c>
      <c r="AG27" s="622">
        <f t="shared" si="91"/>
        <v>-75.38514260378598</v>
      </c>
      <c r="AH27" s="623">
        <f t="shared" si="92"/>
        <v>97.776225158119701</v>
      </c>
      <c r="AI27" s="624">
        <f t="shared" si="93"/>
        <v>-75.522489751159469</v>
      </c>
      <c r="AJ27" s="625">
        <f t="shared" si="94"/>
        <v>-8.032907605499199</v>
      </c>
      <c r="AK27" s="4">
        <f t="shared" si="213"/>
        <v>0.9659258360722075</v>
      </c>
      <c r="AL27" s="5">
        <f t="shared" si="95"/>
        <v>6.698727920820724E-2</v>
      </c>
      <c r="AM27" s="6">
        <f t="shared" si="96"/>
        <v>-0.24999996726497564</v>
      </c>
      <c r="AN27" s="612">
        <f t="shared" si="97"/>
        <v>14.999997834268278</v>
      </c>
      <c r="AO27" s="613">
        <f t="shared" si="98"/>
        <v>14.99999783426823</v>
      </c>
      <c r="AP27" s="624">
        <f t="shared" si="99"/>
        <v>3.9671296450865734</v>
      </c>
      <c r="AQ27" s="625">
        <f t="shared" si="9"/>
        <v>14.655110930026542</v>
      </c>
      <c r="AS27" s="56">
        <f t="shared" si="119"/>
        <v>-101.0910373818291</v>
      </c>
      <c r="AT27" s="77">
        <f t="shared" si="10"/>
        <v>1.9832371706443697E-2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3.1030000000000002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7"/>
        <v/>
      </c>
      <c r="IK27" s="839" t="str">
        <f t="shared" si="68"/>
        <v/>
      </c>
      <c r="IL27" s="791" t="str">
        <f t="shared" si="227"/>
        <v/>
      </c>
      <c r="IM27" s="830"/>
      <c r="IN27" s="5" t="str">
        <f t="shared" si="228"/>
        <v/>
      </c>
      <c r="IO27" s="852"/>
      <c r="IP27" s="9" t="str">
        <f t="shared" si="229"/>
        <v/>
      </c>
      <c r="IQ27" s="5" t="str">
        <f t="shared" si="230"/>
        <v/>
      </c>
      <c r="IR27" s="5" t="str">
        <f t="shared" si="73"/>
        <v/>
      </c>
      <c r="IS27" s="5" t="str">
        <f t="shared" si="231"/>
        <v/>
      </c>
      <c r="IT27" s="791" t="str">
        <f t="shared" si="232"/>
        <v/>
      </c>
      <c r="IU27" s="9" t="str">
        <f t="shared" si="233"/>
        <v/>
      </c>
      <c r="IV27" s="5" t="str">
        <f t="shared" si="234"/>
        <v/>
      </c>
      <c r="IW27" s="5" t="str">
        <f t="shared" si="78"/>
        <v/>
      </c>
      <c r="IX27" s="5" t="str">
        <f t="shared" si="235"/>
        <v/>
      </c>
      <c r="IY27" s="833" t="str">
        <f t="shared" si="236"/>
        <v/>
      </c>
    </row>
    <row r="28" spans="1:259" ht="15" customHeight="1" x14ac:dyDescent="0.25">
      <c r="A28" s="84">
        <f t="shared" si="81"/>
        <v>0.02</v>
      </c>
      <c r="B28" s="770">
        <v>1.5186763353574879</v>
      </c>
      <c r="C28" s="771">
        <v>-0.32280565210297807</v>
      </c>
      <c r="D28" s="772">
        <v>-0.17120051634075714</v>
      </c>
      <c r="E28" s="773">
        <v>0.13530445066904162</v>
      </c>
      <c r="F28" s="771">
        <v>0.95874538955692512</v>
      </c>
      <c r="G28" s="774">
        <v>0.24999996726497559</v>
      </c>
      <c r="H28" s="773">
        <v>0.314</v>
      </c>
      <c r="I28" s="771">
        <v>0.52</v>
      </c>
      <c r="J28" s="601">
        <v>3.1059999999999999</v>
      </c>
      <c r="K28" s="426" t="str">
        <f t="shared" si="82"/>
        <v>1613</v>
      </c>
      <c r="L28" s="327"/>
      <c r="M28" s="173">
        <f t="shared" si="1"/>
        <v>3.1059999999999999</v>
      </c>
      <c r="N28" s="21">
        <f t="shared" si="2"/>
        <v>1.5186763353574879</v>
      </c>
      <c r="O28" s="5">
        <f t="shared" si="3"/>
        <v>-0.32280565210297807</v>
      </c>
      <c r="P28" s="10">
        <f t="shared" si="4"/>
        <v>-0.17120051634075714</v>
      </c>
      <c r="Q28" s="624">
        <f t="shared" si="116"/>
        <v>347.99996274941424</v>
      </c>
      <c r="R28" s="5">
        <f t="shared" si="83"/>
        <v>1.5526046826557229</v>
      </c>
      <c r="S28" s="6">
        <f t="shared" si="84"/>
        <v>-0.17120051634075714</v>
      </c>
      <c r="T28" s="4">
        <f t="shared" si="85"/>
        <v>-0.29867217693120829</v>
      </c>
      <c r="U28" s="5">
        <f t="shared" si="86"/>
        <v>-1.5236063242621605</v>
      </c>
      <c r="V28" s="8">
        <f t="shared" si="117"/>
        <v>-0.17120051634075714</v>
      </c>
      <c r="W28" s="624">
        <f t="shared" si="226"/>
        <v>258.9089626181709</v>
      </c>
      <c r="X28" s="5">
        <f t="shared" si="87"/>
        <v>1.5526046826557229</v>
      </c>
      <c r="Y28" s="7">
        <f t="shared" si="225"/>
        <v>-0.17120051634075714</v>
      </c>
      <c r="Z28" s="21">
        <f t="shared" si="6"/>
        <v>-0.13530445066904162</v>
      </c>
      <c r="AA28" s="5">
        <f t="shared" si="7"/>
        <v>-0.95874538955692512</v>
      </c>
      <c r="AB28" s="5">
        <f t="shared" si="8"/>
        <v>-0.24999996726497559</v>
      </c>
      <c r="AC28" s="8">
        <f t="shared" si="88"/>
        <v>1</v>
      </c>
      <c r="AD28" s="9">
        <f t="shared" si="118"/>
        <v>-0.13530445066904162</v>
      </c>
      <c r="AE28" s="5">
        <f t="shared" si="89"/>
        <v>-0.95874538955692512</v>
      </c>
      <c r="AF28" s="10">
        <f t="shared" si="90"/>
        <v>-0.24999996726497559</v>
      </c>
      <c r="AG28" s="622">
        <f t="shared" si="91"/>
        <v>-75.38514260378598</v>
      </c>
      <c r="AH28" s="623">
        <f t="shared" si="92"/>
        <v>97.776225158119701</v>
      </c>
      <c r="AI28" s="624">
        <f t="shared" si="93"/>
        <v>-75.522489751159469</v>
      </c>
      <c r="AJ28" s="625">
        <f t="shared" si="94"/>
        <v>-8.0329076054991955</v>
      </c>
      <c r="AK28" s="4">
        <f t="shared" si="213"/>
        <v>0.9659258360722075</v>
      </c>
      <c r="AL28" s="5">
        <f t="shared" si="95"/>
        <v>6.6987279208207268E-2</v>
      </c>
      <c r="AM28" s="6">
        <f t="shared" si="96"/>
        <v>-0.24999996726497559</v>
      </c>
      <c r="AN28" s="612">
        <f t="shared" si="97"/>
        <v>14.999997834268287</v>
      </c>
      <c r="AO28" s="613">
        <f t="shared" si="98"/>
        <v>14.99999783426823</v>
      </c>
      <c r="AP28" s="624">
        <f t="shared" si="99"/>
        <v>3.9671296450865752</v>
      </c>
      <c r="AQ28" s="625">
        <f t="shared" si="9"/>
        <v>7.9365291899244248</v>
      </c>
      <c r="AS28" s="56">
        <f t="shared" si="119"/>
        <v>-101.0910373818291</v>
      </c>
      <c r="AT28" s="77">
        <f t="shared" si="10"/>
        <v>0.21413295771701127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3.1059999999999999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7"/>
        <v/>
      </c>
      <c r="IK28" s="839" t="str">
        <f t="shared" si="68"/>
        <v/>
      </c>
      <c r="IL28" s="791" t="str">
        <f t="shared" si="227"/>
        <v/>
      </c>
      <c r="IM28" s="830"/>
      <c r="IN28" s="5" t="str">
        <f t="shared" si="228"/>
        <v/>
      </c>
      <c r="IO28" s="852"/>
      <c r="IP28" s="9" t="str">
        <f t="shared" si="229"/>
        <v/>
      </c>
      <c r="IQ28" s="5" t="str">
        <f t="shared" si="230"/>
        <v/>
      </c>
      <c r="IR28" s="5" t="str">
        <f t="shared" si="73"/>
        <v/>
      </c>
      <c r="IS28" s="5" t="str">
        <f t="shared" si="231"/>
        <v/>
      </c>
      <c r="IT28" s="791" t="str">
        <f t="shared" si="232"/>
        <v/>
      </c>
      <c r="IU28" s="9" t="str">
        <f t="shared" si="233"/>
        <v/>
      </c>
      <c r="IV28" s="5" t="str">
        <f t="shared" si="234"/>
        <v/>
      </c>
      <c r="IW28" s="5" t="str">
        <f t="shared" si="78"/>
        <v/>
      </c>
      <c r="IX28" s="5" t="str">
        <f t="shared" si="235"/>
        <v/>
      </c>
      <c r="IY28" s="833" t="str">
        <f t="shared" si="236"/>
        <v/>
      </c>
    </row>
    <row r="29" spans="1:259" ht="15" customHeight="1" x14ac:dyDescent="0.25">
      <c r="A29" s="84">
        <f t="shared" si="81"/>
        <v>0.02</v>
      </c>
      <c r="B29" s="770">
        <v>2.3266811692643641</v>
      </c>
      <c r="C29" s="771">
        <v>-0.52057532125973771</v>
      </c>
      <c r="D29" s="772">
        <v>-5.2900159546881077E-2</v>
      </c>
      <c r="E29" s="773">
        <v>0.29293237467838579</v>
      </c>
      <c r="F29" s="771">
        <v>0.92245913032790172</v>
      </c>
      <c r="G29" s="774">
        <v>0.25151496325263262</v>
      </c>
      <c r="H29" s="773">
        <v>0.314</v>
      </c>
      <c r="I29" s="771">
        <v>0.52</v>
      </c>
      <c r="J29" s="601">
        <v>3.1120000000000001</v>
      </c>
      <c r="K29" s="426" t="str">
        <f t="shared" si="82"/>
        <v>1613</v>
      </c>
      <c r="L29" s="327"/>
      <c r="M29" s="173">
        <f t="shared" si="1"/>
        <v>3.1120000000000001</v>
      </c>
      <c r="N29" s="21">
        <f t="shared" si="2"/>
        <v>2.3266811692643641</v>
      </c>
      <c r="O29" s="5">
        <f t="shared" si="3"/>
        <v>-0.52057532125973771</v>
      </c>
      <c r="P29" s="10">
        <f t="shared" si="4"/>
        <v>-5.2900159546881077E-2</v>
      </c>
      <c r="Q29" s="624">
        <f t="shared" si="116"/>
        <v>347.38826283773278</v>
      </c>
      <c r="R29" s="5">
        <f>IF(M29="","",SQRT(N29^2+O29^2))</f>
        <v>2.3842071907688869</v>
      </c>
      <c r="S29" s="6">
        <f>IF(M29="","",P29)</f>
        <v>-5.2900159546881077E-2</v>
      </c>
      <c r="T29" s="4">
        <f>IF(M29="","",X29*COS(RADIANS(W29)))</f>
        <v>-0.48359846559272501</v>
      </c>
      <c r="U29" s="5">
        <f>IF(M29="","",X29*SIN(RADIANS(W29)))</f>
        <v>-2.3346469653012702</v>
      </c>
      <c r="V29" s="8">
        <f>IF(M29="","",Y29)</f>
        <v>-5.2900159546881077E-2</v>
      </c>
      <c r="W29" s="624">
        <f t="shared" si="226"/>
        <v>258.29726270648945</v>
      </c>
      <c r="X29" s="5">
        <f>IF(M29="","",R29)</f>
        <v>2.3842071907688869</v>
      </c>
      <c r="Y29" s="7">
        <f t="shared" si="225"/>
        <v>-5.2900159546881077E-2</v>
      </c>
      <c r="Z29" s="21">
        <f t="shared" si="6"/>
        <v>-0.29293237467838579</v>
      </c>
      <c r="AA29" s="5">
        <f t="shared" si="7"/>
        <v>-0.92245913032790172</v>
      </c>
      <c r="AB29" s="5">
        <f t="shared" si="8"/>
        <v>-0.25151496325263262</v>
      </c>
      <c r="AC29" s="8">
        <f>IF(M29="","",SQRT(Z29^2+AA29^2+AB29^2))</f>
        <v>1</v>
      </c>
      <c r="AD29" s="9">
        <f>IF(M29="","",Z29*(1/SQRT(Z29^2+AA29^2+AB29^2)))</f>
        <v>-0.29293237467838579</v>
      </c>
      <c r="AE29" s="5">
        <f>IF(M29="","",AA29*(1/SQRT(Z29^2+AA29^2+AB29^2)))</f>
        <v>-0.92245913032790172</v>
      </c>
      <c r="AF29" s="10">
        <f>IF(M29="","",AB29*(1/SQRT(Z29^2+AA29^2+AB29^2)))</f>
        <v>-0.25151496325263262</v>
      </c>
      <c r="AG29" s="622">
        <f>IF(M29="","",DEGREES(ATAN2(-AF29,AE29)))</f>
        <v>-74.748627552019542</v>
      </c>
      <c r="AH29" s="623">
        <f>IF(M29="","",DEGREES(ACOS(AD29)))</f>
        <v>107.03359483822506</v>
      </c>
      <c r="AI29" s="624">
        <f>IF(M29="","",DEGREES(-ACOS(-AF29)))</f>
        <v>-75.432821973920468</v>
      </c>
      <c r="AJ29" s="625">
        <f>IF(M29="","",DEGREES(ATAN2(-AE29,AD29)))</f>
        <v>-17.617554781497553</v>
      </c>
      <c r="AK29" s="4">
        <f>IF(M29="","",(COS(RADIANS((90-$Q$8)-W29))*AD29)+(-SIN(RADIANS((90-$Q$8)-W29))*AE29))</f>
        <v>0.96416186559027939</v>
      </c>
      <c r="AL29" s="5">
        <f>IF(M29="","",(SIN(RADIANS((90-$Q$8)-W29))*AD29)+(COS(RADIANS((90-$Q$8)-W29))*AE29))</f>
        <v>-8.4451880982597566E-2</v>
      </c>
      <c r="AM29" s="6">
        <f>IF(M29="","",AF29)</f>
        <v>-0.25151496325263262</v>
      </c>
      <c r="AN29" s="612">
        <f>IF(M29="","",DEGREES(ATAN2(-AM29,AL29)))</f>
        <v>-18.560650151509513</v>
      </c>
      <c r="AO29" s="613">
        <f t="shared" si="98"/>
        <v>15.385653929466303</v>
      </c>
      <c r="AP29" s="624">
        <f>IF(M29="","",DEGREES(ATAN2(AK29,AL29)))</f>
        <v>-5.0058176192303225</v>
      </c>
      <c r="AQ29" s="625">
        <f t="shared" si="9"/>
        <v>5.1873884901955147</v>
      </c>
      <c r="AS29" s="56">
        <f t="shared" si="119"/>
        <v>-101.70273729351055</v>
      </c>
      <c r="AT29" s="77">
        <f t="shared" si="10"/>
        <v>0.33474418084390611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3.1120000000000001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7"/>
        <v/>
      </c>
      <c r="IK29" s="839" t="str">
        <f t="shared" si="68"/>
        <v/>
      </c>
      <c r="IL29" s="791" t="str">
        <f t="shared" si="227"/>
        <v/>
      </c>
      <c r="IM29" s="830"/>
      <c r="IN29" s="5" t="str">
        <f t="shared" si="228"/>
        <v/>
      </c>
      <c r="IO29" s="852"/>
      <c r="IP29" s="9" t="str">
        <f t="shared" si="229"/>
        <v/>
      </c>
      <c r="IQ29" s="5" t="str">
        <f t="shared" si="230"/>
        <v/>
      </c>
      <c r="IR29" s="5" t="str">
        <f t="shared" si="73"/>
        <v/>
      </c>
      <c r="IS29" s="5" t="str">
        <f t="shared" si="231"/>
        <v/>
      </c>
      <c r="IT29" s="791" t="str">
        <f t="shared" si="232"/>
        <v/>
      </c>
      <c r="IU29" s="9" t="str">
        <f t="shared" si="233"/>
        <v/>
      </c>
      <c r="IV29" s="5" t="str">
        <f t="shared" si="234"/>
        <v/>
      </c>
      <c r="IW29" s="5" t="str">
        <f t="shared" si="78"/>
        <v/>
      </c>
      <c r="IX29" s="5" t="str">
        <f t="shared" si="235"/>
        <v/>
      </c>
      <c r="IY29" s="833" t="str">
        <f t="shared" si="236"/>
        <v/>
      </c>
    </row>
    <row r="30" spans="1:259" ht="15" customHeight="1" x14ac:dyDescent="0.25">
      <c r="A30" s="84">
        <f t="shared" si="81"/>
        <v>0.02</v>
      </c>
      <c r="B30" s="770">
        <v>3.0319755436848674</v>
      </c>
      <c r="C30" s="771">
        <v>-0.73592324373082463</v>
      </c>
      <c r="D30" s="772">
        <v>-0.36760110868494394</v>
      </c>
      <c r="E30" s="773">
        <v>0.43897182483099051</v>
      </c>
      <c r="F30" s="771">
        <v>0.88104431497757874</v>
      </c>
      <c r="G30" s="774">
        <v>0.17625167247501278</v>
      </c>
      <c r="H30" s="773">
        <v>0.314</v>
      </c>
      <c r="I30" s="771">
        <v>0.52</v>
      </c>
      <c r="J30" s="601">
        <v>3.1190000000000002</v>
      </c>
      <c r="K30" s="426" t="str">
        <f t="shared" si="82"/>
        <v>1613</v>
      </c>
      <c r="L30" s="327"/>
      <c r="M30" s="173">
        <f t="shared" si="1"/>
        <v>3.1190000000000002</v>
      </c>
      <c r="N30" s="21">
        <f t="shared" si="2"/>
        <v>3.0319755436848674</v>
      </c>
      <c r="O30" s="5">
        <f t="shared" si="3"/>
        <v>-0.73592324373082463</v>
      </c>
      <c r="P30" s="10">
        <f t="shared" si="4"/>
        <v>-0.36760110868494394</v>
      </c>
      <c r="Q30" s="624">
        <f t="shared" si="116"/>
        <v>346.35696298663407</v>
      </c>
      <c r="R30" s="5">
        <f>IF(M30="","",SQRT(N30^2+O30^2))</f>
        <v>3.1200094099483811</v>
      </c>
      <c r="S30" s="6">
        <f>IF(M30="","",P30)</f>
        <v>-0.36760110868494394</v>
      </c>
      <c r="T30" s="4">
        <f>IF(M30="","",X30*COS(RADIANS(W30)))</f>
        <v>-0.68773023265012068</v>
      </c>
      <c r="U30" s="5">
        <f>IF(M30="","",X30*SIN(RADIANS(W30)))</f>
        <v>-3.0432689406730811</v>
      </c>
      <c r="V30" s="8">
        <f>IF(M30="","",Y30)</f>
        <v>-0.36760110868494394</v>
      </c>
      <c r="W30" s="624">
        <f t="shared" si="226"/>
        <v>257.26596285539074</v>
      </c>
      <c r="X30" s="5">
        <f>IF(M30="","",R30)</f>
        <v>3.1200094099483811</v>
      </c>
      <c r="Y30" s="7">
        <f t="shared" si="225"/>
        <v>-0.36760110868494394</v>
      </c>
      <c r="Z30" s="21">
        <f t="shared" si="6"/>
        <v>-0.43897182483099051</v>
      </c>
      <c r="AA30" s="5">
        <f t="shared" si="7"/>
        <v>-0.88104431497757874</v>
      </c>
      <c r="AB30" s="5">
        <f t="shared" si="8"/>
        <v>-0.17625167247501278</v>
      </c>
      <c r="AC30" s="8">
        <f>IF(M30="","",SQRT(Z30^2+AA30^2+AB30^2))</f>
        <v>1</v>
      </c>
      <c r="AD30" s="9">
        <f>IF(M30="","",Z30*(1/SQRT(Z30^2+AA30^2+AB30^2)))</f>
        <v>-0.43897182483099051</v>
      </c>
      <c r="AE30" s="5">
        <f>IF(M30="","",AA30*(1/SQRT(Z30^2+AA30^2+AB30^2)))</f>
        <v>-0.88104431497757874</v>
      </c>
      <c r="AF30" s="10">
        <f>IF(M30="","",AB30*(1/SQRT(Z30^2+AA30^2+AB30^2)))</f>
        <v>-0.17625167247501278</v>
      </c>
      <c r="AG30" s="622">
        <f>IF(M30="","",DEGREES(ATAN2(-AF30,AE30)))</f>
        <v>-78.687390655065002</v>
      </c>
      <c r="AH30" s="623">
        <f>IF(M30="","",DEGREES(ACOS(AD30)))</f>
        <v>116.03829790633498</v>
      </c>
      <c r="AI30" s="624">
        <f>IF(M30="","",DEGREES(-ACOS(-AF30)))</f>
        <v>-79.848494062237947</v>
      </c>
      <c r="AJ30" s="625">
        <f>IF(M30="","",DEGREES(ATAN2(-AE30,AD30)))</f>
        <v>-26.48433784711797</v>
      </c>
      <c r="AK30" s="4">
        <f>IF(M30="","",(COS(RADIANS((90-$Q$8)-W30))*AD30)+(-SIN(RADIANS((90-$Q$8)-W30))*AE30))</f>
        <v>0.95972607505700036</v>
      </c>
      <c r="AL30" s="5">
        <f>IF(M30="","",(SIN(RADIANS((90-$Q$8)-W30))*AD30)+(COS(RADIANS((90-$Q$8)-W30))*AE30))</f>
        <v>-0.21877204758708516</v>
      </c>
      <c r="AM30" s="6">
        <f>IF(M30="","",AF30)</f>
        <v>-0.17625167247501278</v>
      </c>
      <c r="AN30" s="612">
        <f>IF(M30="","",DEGREES(ATAN2(-AM30,AL30)))</f>
        <v>-51.143666130746631</v>
      </c>
      <c r="AO30" s="613">
        <f>IF(ROUND(IF(M30="",0,DEGREES(ACOS(AK30))),4)=90,0,IF(M30="","",DEGREES(ACOS(AK30))))</f>
        <v>16.31616367981421</v>
      </c>
      <c r="AP30" s="624">
        <f>IF(M30="","",DEGREES(ATAN2(AK30,AL30)))</f>
        <v>-12.841300833752056</v>
      </c>
      <c r="AQ30" s="625">
        <f t="shared" si="9"/>
        <v>3.9685374198036025</v>
      </c>
      <c r="AS30" s="56">
        <f t="shared" si="119"/>
        <v>-102.73403714460926</v>
      </c>
      <c r="AT30" s="77">
        <f t="shared" si="10"/>
        <v>2.3939253365549529E-2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3.1190000000000002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7"/>
        <v/>
      </c>
      <c r="IK30" s="839" t="str">
        <f t="shared" si="68"/>
        <v/>
      </c>
      <c r="IL30" s="791" t="str">
        <f t="shared" si="227"/>
        <v/>
      </c>
      <c r="IM30" s="830"/>
      <c r="IN30" s="5" t="str">
        <f t="shared" si="228"/>
        <v/>
      </c>
      <c r="IO30" s="852"/>
      <c r="IP30" s="9" t="str">
        <f t="shared" si="229"/>
        <v/>
      </c>
      <c r="IQ30" s="5" t="str">
        <f t="shared" si="230"/>
        <v/>
      </c>
      <c r="IR30" s="5" t="str">
        <f t="shared" si="73"/>
        <v/>
      </c>
      <c r="IS30" s="5" t="str">
        <f t="shared" si="231"/>
        <v/>
      </c>
      <c r="IT30" s="791" t="str">
        <f t="shared" si="232"/>
        <v/>
      </c>
      <c r="IU30" s="9" t="str">
        <f t="shared" si="233"/>
        <v/>
      </c>
      <c r="IV30" s="5" t="str">
        <f t="shared" si="234"/>
        <v/>
      </c>
      <c r="IW30" s="5" t="str">
        <f t="shared" si="78"/>
        <v/>
      </c>
      <c r="IX30" s="5" t="str">
        <f t="shared" si="235"/>
        <v/>
      </c>
      <c r="IY30" s="833" t="str">
        <f t="shared" si="236"/>
        <v/>
      </c>
    </row>
    <row r="31" spans="1:259" ht="15" customHeight="1" x14ac:dyDescent="0.25">
      <c r="A31" s="84">
        <f t="shared" si="81"/>
        <v>0.02</v>
      </c>
      <c r="B31" s="770">
        <v>3.4588215647701275</v>
      </c>
      <c r="C31" s="771">
        <v>-0.88646186974347718</v>
      </c>
      <c r="D31" s="772">
        <v>-1.0034030262635276</v>
      </c>
      <c r="E31" s="773">
        <v>0.60132532085675849</v>
      </c>
      <c r="F31" s="771">
        <v>0.78605441019587774</v>
      </c>
      <c r="G31" s="774">
        <v>0.14327010402776738</v>
      </c>
      <c r="H31" s="773">
        <v>0.314</v>
      </c>
      <c r="I31" s="771">
        <v>0.52</v>
      </c>
      <c r="J31" s="601">
        <v>3.1259999999999999</v>
      </c>
      <c r="K31" s="426" t="str">
        <f t="shared" si="82"/>
        <v>1613</v>
      </c>
      <c r="L31" s="327"/>
      <c r="M31" s="173">
        <f t="shared" si="1"/>
        <v>3.1259999999999999</v>
      </c>
      <c r="N31" s="21">
        <f t="shared" si="2"/>
        <v>3.4588215647701275</v>
      </c>
      <c r="O31" s="5">
        <f t="shared" si="3"/>
        <v>-0.88646186974347718</v>
      </c>
      <c r="P31" s="10">
        <f t="shared" si="4"/>
        <v>-1.0034030262635276</v>
      </c>
      <c r="Q31" s="624">
        <f t="shared" si="116"/>
        <v>345.6250630923073</v>
      </c>
      <c r="R31" s="5">
        <f>IF(M31="","",SQRT(N31^2+O31^2))</f>
        <v>3.5706107689620796</v>
      </c>
      <c r="S31" s="6">
        <f>IF(M31="","",P31)</f>
        <v>-1.0034030262635276</v>
      </c>
      <c r="T31" s="4">
        <f>IF(M31="","",X31*COS(RADIANS(W31)))</f>
        <v>-0.83147826843025885</v>
      </c>
      <c r="U31" s="5">
        <f>IF(M31="","",X31*SIN(RADIANS(W31)))</f>
        <v>-3.472449445644413</v>
      </c>
      <c r="V31" s="8">
        <f>IF(M31="","",Y31)</f>
        <v>-1.0034030262635276</v>
      </c>
      <c r="W31" s="624">
        <f t="shared" si="226"/>
        <v>256.53406296106397</v>
      </c>
      <c r="X31" s="5">
        <f>IF(M31="","",R31)</f>
        <v>3.5706107689620796</v>
      </c>
      <c r="Y31" s="7">
        <f t="shared" si="225"/>
        <v>-1.0034030262635276</v>
      </c>
      <c r="Z31" s="21">
        <f t="shared" si="6"/>
        <v>-0.60132532085675849</v>
      </c>
      <c r="AA31" s="5">
        <f t="shared" si="7"/>
        <v>-0.78605441019587774</v>
      </c>
      <c r="AB31" s="5">
        <f t="shared" si="8"/>
        <v>-0.14327010402776738</v>
      </c>
      <c r="AC31" s="8">
        <f>IF(M31="","",SQRT(Z31^2+AA31^2+AB31^2))</f>
        <v>1</v>
      </c>
      <c r="AD31" s="9">
        <f>IF(M31="","",Z31*(1/SQRT(Z31^2+AA31^2+AB31^2)))</f>
        <v>-0.60132532085675849</v>
      </c>
      <c r="AE31" s="5">
        <f>IF(M31="","",AA31*(1/SQRT(Z31^2+AA31^2+AB31^2)))</f>
        <v>-0.78605441019587774</v>
      </c>
      <c r="AF31" s="10">
        <f>IF(M31="","",AB31*(1/SQRT(Z31^2+AA31^2+AB31^2)))</f>
        <v>-0.14327010402776738</v>
      </c>
      <c r="AG31" s="622">
        <f>IF(M31="","",DEGREES(ATAN2(-AF31,AE31)))</f>
        <v>-79.670381180494942</v>
      </c>
      <c r="AH31" s="623">
        <f>IF(M31="","",DEGREES(ACOS(AD31)))</f>
        <v>126.9648758452001</v>
      </c>
      <c r="AI31" s="624">
        <f>IF(M31="","",DEGREES(-ACOS(-AF31)))</f>
        <v>-81.762882447933762</v>
      </c>
      <c r="AJ31" s="625">
        <f>IF(M31="","",DEGREES(ATAN2(-AE31,AD31)))</f>
        <v>-37.415698801363959</v>
      </c>
      <c r="AK31" s="4">
        <f>IF(M31="","",(COS(RADIANS((90-$Q$8)-W31))*AD31)+(-SIN(RADIANS((90-$Q$8)-W31))*AE31))</f>
        <v>0.91073323969843201</v>
      </c>
      <c r="AL31" s="5">
        <f>IF(M31="","",(SIN(RADIANS((90-$Q$8)-W31))*AD31)+(COS(RADIANS((90-$Q$8)-W31))*AE31))</f>
        <v>-0.38734821982328915</v>
      </c>
      <c r="AM31" s="6">
        <f>IF(M31="","",AF31)</f>
        <v>-0.14327010402776738</v>
      </c>
      <c r="AN31" s="612">
        <f>IF(M31="","",DEGREES(ATAN2(-AM31,AL31)))</f>
        <v>-69.701867587284084</v>
      </c>
      <c r="AO31" s="613">
        <f t="shared" si="98"/>
        <v>24.393122714353321</v>
      </c>
      <c r="AP31" s="624">
        <f>IF(M31="","",DEGREES(ATAN2(AK31,AL31)))</f>
        <v>-23.040761893671249</v>
      </c>
      <c r="AQ31" s="625">
        <f t="shared" si="9"/>
        <v>3.4690297648375275</v>
      </c>
      <c r="AS31" s="56">
        <f t="shared" si="119"/>
        <v>-103.46593703893603</v>
      </c>
      <c r="AT31" s="77">
        <f t="shared" si="10"/>
        <v>-0.60909770905668859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3.1259999999999999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3.5767261240998875</v>
      </c>
      <c r="C32" s="771">
        <v>-0.95838336328842588</v>
      </c>
      <c r="D32" s="772">
        <v>-1.8023999999999993</v>
      </c>
      <c r="E32" s="773">
        <v>0.76604480433163968</v>
      </c>
      <c r="F32" s="771">
        <v>0.64278717920979345</v>
      </c>
      <c r="G32" s="774">
        <v>1.3008419223321922E-7</v>
      </c>
      <c r="H32" s="773">
        <v>0.314</v>
      </c>
      <c r="I32" s="771">
        <v>0.52</v>
      </c>
      <c r="J32" s="601">
        <v>3.133</v>
      </c>
      <c r="K32" s="426" t="str">
        <f t="shared" si="82"/>
        <v>1613</v>
      </c>
      <c r="L32" s="327"/>
      <c r="M32" s="173">
        <f t="shared" si="1"/>
        <v>3.133</v>
      </c>
      <c r="N32" s="21">
        <f t="shared" si="2"/>
        <v>3.5767261240998875</v>
      </c>
      <c r="O32" s="5">
        <f t="shared" si="3"/>
        <v>-0.95838336328842588</v>
      </c>
      <c r="P32" s="10">
        <f t="shared" si="4"/>
        <v>-1.8023999999999993</v>
      </c>
      <c r="Q32" s="624">
        <f t="shared" si="116"/>
        <v>344.99996283250539</v>
      </c>
      <c r="R32" s="5">
        <f t="shared" si="83"/>
        <v>3.7029000037601123</v>
      </c>
      <c r="S32" s="6">
        <f t="shared" si="84"/>
        <v>-1.8023999999999993</v>
      </c>
      <c r="T32" s="4">
        <f t="shared" si="85"/>
        <v>-0.9015202287095937</v>
      </c>
      <c r="U32" s="5">
        <f t="shared" si="86"/>
        <v>-3.5914801565752859</v>
      </c>
      <c r="V32" s="8">
        <f t="shared" si="117"/>
        <v>-1.8023999999999993</v>
      </c>
      <c r="W32" s="624">
        <f t="shared" si="226"/>
        <v>255.90896270126206</v>
      </c>
      <c r="X32" s="5">
        <f t="shared" si="87"/>
        <v>3.7029000037601123</v>
      </c>
      <c r="Y32" s="7">
        <f t="shared" si="225"/>
        <v>-1.8023999999999993</v>
      </c>
      <c r="Z32" s="21">
        <f t="shared" si="6"/>
        <v>-0.76604480433163968</v>
      </c>
      <c r="AA32" s="5">
        <f t="shared" si="7"/>
        <v>-0.64278717920979345</v>
      </c>
      <c r="AB32" s="5">
        <f t="shared" si="8"/>
        <v>-1.3008419223321922E-7</v>
      </c>
      <c r="AC32" s="8">
        <f t="shared" si="88"/>
        <v>1</v>
      </c>
      <c r="AD32" s="9">
        <f t="shared" si="118"/>
        <v>-0.76604480433163968</v>
      </c>
      <c r="AE32" s="5">
        <f t="shared" si="89"/>
        <v>-0.64278717920979345</v>
      </c>
      <c r="AF32" s="10">
        <f t="shared" si="90"/>
        <v>-1.3008419223321922E-7</v>
      </c>
      <c r="AG32" s="622">
        <f t="shared" si="91"/>
        <v>-89.999988404754433</v>
      </c>
      <c r="AH32" s="623">
        <f t="shared" si="92"/>
        <v>140.00003219721046</v>
      </c>
      <c r="AI32" s="624">
        <f t="shared" si="93"/>
        <v>-89.999992546724798</v>
      </c>
      <c r="AJ32" s="625">
        <f t="shared" si="94"/>
        <v>-50.000032197211034</v>
      </c>
      <c r="AK32" s="4">
        <f t="shared" si="213"/>
        <v>0.81915209404548373</v>
      </c>
      <c r="AL32" s="5">
        <f t="shared" si="95"/>
        <v>-0.57357636529139022</v>
      </c>
      <c r="AM32" s="6">
        <f t="shared" si="96"/>
        <v>-1.3008419223321922E-7</v>
      </c>
      <c r="AN32" s="612">
        <f t="shared" si="97"/>
        <v>-89.999987005609626</v>
      </c>
      <c r="AO32" s="613">
        <f t="shared" si="98"/>
        <v>34.99999502971707</v>
      </c>
      <c r="AP32" s="624">
        <f t="shared" si="99"/>
        <v>-34.999995029716388</v>
      </c>
      <c r="AQ32" s="625">
        <f t="shared" si="9"/>
        <v>3.3453824181020497</v>
      </c>
      <c r="AS32" s="56">
        <f t="shared" si="119"/>
        <v>-104.09103729873794</v>
      </c>
      <c r="AT32" s="77">
        <f t="shared" si="10"/>
        <v>-1.4057331929227974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3.133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2.0044675009493162</v>
      </c>
      <c r="C33" s="771">
        <v>-1.3017182682269999</v>
      </c>
      <c r="D33" s="772">
        <v>-1.0362703820653272E-2</v>
      </c>
      <c r="E33" s="773">
        <v>0.57644133149671706</v>
      </c>
      <c r="F33" s="771">
        <v>0.70432923790006974</v>
      </c>
      <c r="G33" s="774">
        <v>0.41428941089701904</v>
      </c>
      <c r="H33" s="773">
        <v>0.26600000000000001</v>
      </c>
      <c r="I33" s="771">
        <v>0.52</v>
      </c>
      <c r="J33" s="601">
        <v>3.2120000000000002</v>
      </c>
      <c r="K33" s="426" t="str">
        <f t="shared" si="82"/>
        <v>1313</v>
      </c>
      <c r="L33" s="327"/>
      <c r="M33" s="173">
        <f t="shared" si="1"/>
        <v>3.2120000000000002</v>
      </c>
      <c r="N33" s="21">
        <f t="shared" si="2"/>
        <v>2.0044675009493162</v>
      </c>
      <c r="O33" s="5">
        <f t="shared" si="3"/>
        <v>-1.3017182682269999</v>
      </c>
      <c r="P33" s="10">
        <f t="shared" si="4"/>
        <v>-1.0362703820653272E-2</v>
      </c>
      <c r="Q33" s="624">
        <f t="shared" si="116"/>
        <v>326.99996274941424</v>
      </c>
      <c r="R33" s="5">
        <f t="shared" si="83"/>
        <v>2.3900544789183984</v>
      </c>
      <c r="S33" s="6">
        <f t="shared" si="84"/>
        <v>-1.0362703820653272E-2</v>
      </c>
      <c r="T33" s="4">
        <f t="shared" si="85"/>
        <v>-1.2697548264625051</v>
      </c>
      <c r="U33" s="5">
        <f t="shared" si="86"/>
        <v>-2.0248661913502013</v>
      </c>
      <c r="V33" s="8">
        <f t="shared" si="117"/>
        <v>-1.0362703820653272E-2</v>
      </c>
      <c r="W33" s="624">
        <f t="shared" si="226"/>
        <v>237.9089626181709</v>
      </c>
      <c r="X33" s="5">
        <f t="shared" si="87"/>
        <v>2.3900544789183984</v>
      </c>
      <c r="Y33" s="7">
        <f t="shared" si="225"/>
        <v>-1.0362703820653272E-2</v>
      </c>
      <c r="Z33" s="21">
        <f t="shared" si="6"/>
        <v>-0.57644133149671706</v>
      </c>
      <c r="AA33" s="5">
        <f t="shared" si="7"/>
        <v>-0.70432923790006974</v>
      </c>
      <c r="AB33" s="5">
        <f t="shared" si="8"/>
        <v>-0.41428941089701904</v>
      </c>
      <c r="AC33" s="8">
        <f t="shared" si="88"/>
        <v>1</v>
      </c>
      <c r="AD33" s="9">
        <f t="shared" si="118"/>
        <v>-0.57644133149671706</v>
      </c>
      <c r="AE33" s="5">
        <f t="shared" si="89"/>
        <v>-0.70432923790006974</v>
      </c>
      <c r="AF33" s="10">
        <f t="shared" si="90"/>
        <v>-0.41428941089701904</v>
      </c>
      <c r="AG33" s="622">
        <f t="shared" si="91"/>
        <v>-59.53577897853156</v>
      </c>
      <c r="AH33" s="623">
        <f t="shared" si="92"/>
        <v>125.20063213047622</v>
      </c>
      <c r="AI33" s="624">
        <f t="shared" si="93"/>
        <v>-65.525424726997727</v>
      </c>
      <c r="AJ33" s="625">
        <f t="shared" si="94"/>
        <v>-39.297784929778665</v>
      </c>
      <c r="AK33" s="4">
        <f t="shared" si="213"/>
        <v>0.90465271740915953</v>
      </c>
      <c r="AL33" s="5">
        <f t="shared" si="95"/>
        <v>-9.9838594255049928E-2</v>
      </c>
      <c r="AM33" s="6">
        <f t="shared" si="96"/>
        <v>-0.41428941089701904</v>
      </c>
      <c r="AN33" s="612">
        <f t="shared" si="97"/>
        <v>-13.549222619234435</v>
      </c>
      <c r="AO33" s="613">
        <f t="shared" si="98"/>
        <v>25.223449523131396</v>
      </c>
      <c r="AP33" s="624">
        <f t="shared" si="99"/>
        <v>-6.2977476791928799</v>
      </c>
      <c r="AQ33" s="625">
        <f t="shared" si="9"/>
        <v>5.1747664869055345</v>
      </c>
      <c r="AS33" s="56">
        <f t="shared" si="119"/>
        <v>-122.0910373818291</v>
      </c>
      <c r="AT33" s="77">
        <f t="shared" si="10"/>
        <v>0.45430410357044843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>
        <f>IFERROR(IF($IU33="","",IF($IU33&lt;(((Settings!$C$19/2)*-1)*$IE$8),"",1)),"")</f>
        <v>1</v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3.2120000000000002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3.1120000000000001</v>
      </c>
      <c r="II33" s="800" cm="1">
        <f t="array" ref="II33">IFERROR(IF($IH33&lt;1,$IH33+LARGE((IF($M$9:$M$150="",0,$M$9:$M$150)-MOD(IF($M$9:$M$150="",0,$M$9:$M$150),1)),1),$IH33),"")</f>
        <v>3.1120000000000001</v>
      </c>
      <c r="IJ33" s="839" t="str">
        <f t="shared" si="67"/>
        <v>1613</v>
      </c>
      <c r="IK33" s="839" t="str">
        <f t="shared" si="68"/>
        <v>1313</v>
      </c>
      <c r="IL33" s="791">
        <f t="shared" si="227"/>
        <v>20.388300088318545</v>
      </c>
      <c r="IM33" s="830">
        <v>1.92546422626052E-2</v>
      </c>
      <c r="IN33" s="5">
        <f t="shared" si="228"/>
        <v>0.32</v>
      </c>
      <c r="IO33" s="852">
        <v>160</v>
      </c>
      <c r="IP33" s="9">
        <f t="shared" si="229"/>
        <v>-2.3842071907688869</v>
      </c>
      <c r="IQ33" s="5">
        <f t="shared" si="230"/>
        <v>-5.2900159546881077E-2</v>
      </c>
      <c r="IR33" s="5">
        <f t="shared" si="73"/>
        <v>0.314</v>
      </c>
      <c r="IS33" s="5">
        <f t="shared" si="231"/>
        <v>0.30274682579534773</v>
      </c>
      <c r="IT33" s="791">
        <f t="shared" si="232"/>
        <v>18.560650151509513</v>
      </c>
      <c r="IU33" s="9">
        <f t="shared" si="233"/>
        <v>-2.3900544789183984</v>
      </c>
      <c r="IV33" s="5">
        <f t="shared" si="234"/>
        <v>-1.0362703820653272E-2</v>
      </c>
      <c r="IW33" s="5">
        <f t="shared" si="78"/>
        <v>0.26600000000000001</v>
      </c>
      <c r="IX33" s="5">
        <f t="shared" si="235"/>
        <v>0.24063762283083645</v>
      </c>
      <c r="IY33" s="833">
        <f t="shared" si="236"/>
        <v>13.549222619234435</v>
      </c>
    </row>
    <row r="34" spans="1:259" ht="15" customHeight="1" x14ac:dyDescent="0.25">
      <c r="A34" s="84">
        <f t="shared" si="81"/>
        <v>0.02</v>
      </c>
      <c r="B34" s="770">
        <v>2.7267694735707182</v>
      </c>
      <c r="C34" s="771">
        <v>-1.5743032884023005</v>
      </c>
      <c r="D34" s="772">
        <v>-0.33061244331558221</v>
      </c>
      <c r="E34" s="773">
        <v>0.70457017589521187</v>
      </c>
      <c r="F34" s="771">
        <v>0.63301312048843372</v>
      </c>
      <c r="G34" s="774">
        <v>0.32074172869847456</v>
      </c>
      <c r="H34" s="773">
        <v>0.26600000000000001</v>
      </c>
      <c r="I34" s="771">
        <v>0.52</v>
      </c>
      <c r="J34" s="601">
        <v>3.2189999999999999</v>
      </c>
      <c r="K34" s="426" t="str">
        <f t="shared" si="82"/>
        <v>1313</v>
      </c>
      <c r="L34" s="327"/>
      <c r="M34" s="173">
        <f t="shared" si="1"/>
        <v>3.2189999999999999</v>
      </c>
      <c r="N34" s="21">
        <f t="shared" si="2"/>
        <v>2.7267694735707182</v>
      </c>
      <c r="O34" s="5">
        <f t="shared" si="3"/>
        <v>-1.5743032884023005</v>
      </c>
      <c r="P34" s="10">
        <f t="shared" si="4"/>
        <v>-0.33061244331558221</v>
      </c>
      <c r="Q34" s="624">
        <f t="shared" si="116"/>
        <v>329.99996534829228</v>
      </c>
      <c r="R34" s="5">
        <f>IF(M34="","",SQRT(N34^2+O34^2))</f>
        <v>3.1486032785778884</v>
      </c>
      <c r="S34" s="6">
        <f>IF(M34="","",P34)</f>
        <v>-0.33061244331558221</v>
      </c>
      <c r="T34" s="4">
        <f>IF(M34="","",X34*COS(RADIANS(W34)))</f>
        <v>-1.5308466731832877</v>
      </c>
      <c r="U34" s="5">
        <f>IF(M34="","",X34*SIN(RADIANS(W34)))</f>
        <v>-2.7514016553522476</v>
      </c>
      <c r="V34" s="8">
        <f>IF(M34="","",Y34)</f>
        <v>-0.33061244331558221</v>
      </c>
      <c r="W34" s="624">
        <f t="shared" si="226"/>
        <v>240.90896521704894</v>
      </c>
      <c r="X34" s="5">
        <f>IF(M34="","",R34)</f>
        <v>3.1486032785778884</v>
      </c>
      <c r="Y34" s="7">
        <f t="shared" si="225"/>
        <v>-0.33061244331558221</v>
      </c>
      <c r="Z34" s="21">
        <f t="shared" si="6"/>
        <v>-0.70457017589521187</v>
      </c>
      <c r="AA34" s="5">
        <f t="shared" si="7"/>
        <v>-0.63301312048843372</v>
      </c>
      <c r="AB34" s="5">
        <f t="shared" si="8"/>
        <v>-0.32074172869847456</v>
      </c>
      <c r="AC34" s="8">
        <f>IF(M34="","",SQRT(Z34^2+AA34^2+AB34^2))</f>
        <v>1</v>
      </c>
      <c r="AD34" s="9">
        <f>IF(M34="","",Z34*(1/SQRT(Z34^2+AA34^2+AB34^2)))</f>
        <v>-0.70457017589521187</v>
      </c>
      <c r="AE34" s="5">
        <f>IF(M34="","",AA34*(1/SQRT(Z34^2+AA34^2+AB34^2)))</f>
        <v>-0.63301312048843372</v>
      </c>
      <c r="AF34" s="10">
        <f>IF(M34="","",AB34*(1/SQRT(Z34^2+AA34^2+AB34^2)))</f>
        <v>-0.32074172869847456</v>
      </c>
      <c r="AG34" s="622">
        <f>IF(M34="","",DEGREES(ATAN2(-AF34,AE34)))</f>
        <v>-63.129100737049484</v>
      </c>
      <c r="AH34" s="623">
        <f>IF(M34="","",DEGREES(ACOS(AD34)))</f>
        <v>134.79482966630425</v>
      </c>
      <c r="AI34" s="624">
        <f>IF(M34="","",DEGREES(-ACOS(-AF34)))</f>
        <v>-71.292212584263709</v>
      </c>
      <c r="AJ34" s="625">
        <f>IF(M34="","",DEGREES(ATAN2(-AE34,AD34)))</f>
        <v>-48.062248698292642</v>
      </c>
      <c r="AK34" s="4">
        <f>IF(M34="","",(COS(RADIANS((90-$Q$8)-W34))*AD34)+(-SIN(RADIANS((90-$Q$8)-W34))*AE34))</f>
        <v>0.90049070882636628</v>
      </c>
      <c r="AL34" s="5">
        <f>IF(M34="","",(SIN(RADIANS((90-$Q$8)-W34))*AD34)+(COS(RADIANS((90-$Q$8)-W34))*AE34))</f>
        <v>-0.29366856622543452</v>
      </c>
      <c r="AM34" s="6">
        <f>IF(M34="","",AF34)</f>
        <v>-0.32074172869847456</v>
      </c>
      <c r="AN34" s="612">
        <f>IF(M34="","",DEGREES(ATAN2(-AM34,AL34)))</f>
        <v>-42.476970677007465</v>
      </c>
      <c r="AO34" s="613">
        <f t="shared" si="98"/>
        <v>25.777356127510121</v>
      </c>
      <c r="AP34" s="624">
        <f>IF(M34="","",DEGREES(ATAN2(AK34,AL34)))</f>
        <v>-18.06221404658492</v>
      </c>
      <c r="AQ34" s="625">
        <f t="shared" si="9"/>
        <v>3.9326109637787678</v>
      </c>
      <c r="AS34" s="56">
        <f t="shared" si="119"/>
        <v>-119.09103478295106</v>
      </c>
      <c r="AT34" s="77">
        <f t="shared" si="10"/>
        <v>0.12272102092420251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3.2189999999999999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3.1190000000000002</v>
      </c>
      <c r="II34" s="800" cm="1">
        <f t="array" ref="II34">IFERROR(IF($IH34&lt;1,$IH34+LARGE((IF($M$9:$M$150="",0,$M$9:$M$150)-MOD(IF($M$9:$M$150="",0,$M$9:$M$150),1)),1),$IH34),"")</f>
        <v>3.1190000000000002</v>
      </c>
      <c r="IJ34" s="839" t="str">
        <f t="shared" si="67"/>
        <v>1613</v>
      </c>
      <c r="IK34" s="839" t="str">
        <f t="shared" si="68"/>
        <v>1313</v>
      </c>
      <c r="IL34" s="791">
        <f t="shared" si="227"/>
        <v>16.356997638341795</v>
      </c>
      <c r="IM34" s="830">
        <v>1.55268035698578E-2</v>
      </c>
      <c r="IN34" s="5">
        <f t="shared" si="228"/>
        <v>0.36</v>
      </c>
      <c r="IO34" s="852">
        <v>180</v>
      </c>
      <c r="IP34" s="9">
        <f t="shared" si="229"/>
        <v>-3.1200094099483811</v>
      </c>
      <c r="IQ34" s="5">
        <f t="shared" si="230"/>
        <v>-0.36760110868494394</v>
      </c>
      <c r="IR34" s="5">
        <f t="shared" si="73"/>
        <v>0.314</v>
      </c>
      <c r="IS34" s="5">
        <f t="shared" si="231"/>
        <v>0.30135398756789811</v>
      </c>
      <c r="IT34" s="791">
        <f t="shared" si="232"/>
        <v>51.143666130746631</v>
      </c>
      <c r="IU34" s="9">
        <f t="shared" si="233"/>
        <v>-3.1486032785778884</v>
      </c>
      <c r="IV34" s="5">
        <f t="shared" si="234"/>
        <v>-0.33061244331558221</v>
      </c>
      <c r="IW34" s="5">
        <f t="shared" si="78"/>
        <v>0.26600000000000001</v>
      </c>
      <c r="IX34" s="5">
        <f t="shared" si="235"/>
        <v>0.23953052854781345</v>
      </c>
      <c r="IY34" s="833">
        <f t="shared" si="236"/>
        <v>42.476970677007465</v>
      </c>
    </row>
    <row r="35" spans="1:259" ht="15" customHeight="1" x14ac:dyDescent="0.25">
      <c r="A35" s="84">
        <f t="shared" si="81"/>
        <v>0</v>
      </c>
      <c r="B35" s="770">
        <v>3.1123068223045571</v>
      </c>
      <c r="C35" s="771">
        <v>-1.7968936913668672</v>
      </c>
      <c r="D35" s="772">
        <v>-1.0256914245890987</v>
      </c>
      <c r="E35" s="773">
        <v>0.65458812051306892</v>
      </c>
      <c r="F35" s="771">
        <v>-0.37792689355443726</v>
      </c>
      <c r="G35" s="774">
        <v>0.654740907238475</v>
      </c>
      <c r="H35" s="773">
        <v>0.25700000000000001</v>
      </c>
      <c r="I35" s="771">
        <v>0.41499999999999992</v>
      </c>
      <c r="J35" s="601">
        <v>3.226</v>
      </c>
      <c r="K35" s="426" t="str">
        <f t="shared" si="82"/>
        <v/>
      </c>
      <c r="L35" s="327"/>
      <c r="M35" s="173">
        <f t="shared" si="1"/>
        <v>3.226</v>
      </c>
      <c r="N35" s="21">
        <f t="shared" si="2"/>
        <v>3.1123068223045571</v>
      </c>
      <c r="O35" s="5">
        <f t="shared" si="3"/>
        <v>-1.7968936913668672</v>
      </c>
      <c r="P35" s="10">
        <f t="shared" si="4"/>
        <v>-1.0256914245890987</v>
      </c>
      <c r="Q35" s="624">
        <f t="shared" si="116"/>
        <v>329.99996534829233</v>
      </c>
      <c r="R35" s="5">
        <f>IF(M35="","",SQRT(N35^2+O35^2))</f>
        <v>3.5937836181714582</v>
      </c>
      <c r="S35" s="6">
        <f>IF(M35="","",P35)</f>
        <v>-1.0256914245890987</v>
      </c>
      <c r="T35" s="4">
        <f>IF(M35="","",X35*COS(RADIANS(W35)))</f>
        <v>-1.7472927546792152</v>
      </c>
      <c r="U35" s="5">
        <f>IF(M35="","",X35*SIN(RADIANS(W35)))</f>
        <v>-3.1404217429643202</v>
      </c>
      <c r="V35" s="8">
        <f>IF(M35="","",Y35)</f>
        <v>-1.0256914245890987</v>
      </c>
      <c r="W35" s="624">
        <f t="shared" si="226"/>
        <v>240.908965217049</v>
      </c>
      <c r="X35" s="5">
        <f>IF(M35="","",R35)</f>
        <v>3.5937836181714582</v>
      </c>
      <c r="Y35" s="7">
        <f t="shared" si="225"/>
        <v>-1.0256914245890987</v>
      </c>
      <c r="Z35" s="21">
        <f t="shared" si="6"/>
        <v>-0.65458812051306892</v>
      </c>
      <c r="AA35" s="5">
        <f t="shared" si="7"/>
        <v>0.37792689355443726</v>
      </c>
      <c r="AB35" s="5">
        <f t="shared" si="8"/>
        <v>-0.654740907238475</v>
      </c>
      <c r="AC35" s="8">
        <f>IF(M35="","",SQRT(Z35^2+AA35^2+AB35^2))</f>
        <v>1</v>
      </c>
      <c r="AD35" s="9">
        <f>IF(M35="","",Z35*(1/SQRT(Z35^2+AA35^2+AB35^2)))</f>
        <v>-0.65458812051306892</v>
      </c>
      <c r="AE35" s="5">
        <f>IF(M35="","",AA35*(1/SQRT(Z35^2+AA35^2+AB35^2)))</f>
        <v>0.37792689355443726</v>
      </c>
      <c r="AF35" s="10">
        <f>IF(M35="","",AB35*(1/SQRT(Z35^2+AA35^2+AB35^2)))</f>
        <v>-0.654740907238475</v>
      </c>
      <c r="AG35" s="622">
        <f>IF(M35="","",DEGREES(ATAN2(-AF35,AE35)))</f>
        <v>29.994227642136835</v>
      </c>
      <c r="AH35" s="623">
        <f>IF(M35="","",DEGREES(ACOS(AD35)))</f>
        <v>130.88842644606569</v>
      </c>
      <c r="AI35" s="624">
        <f>IF(M35="","",DEGREES(-ACOS(-AF35)))</f>
        <v>-49.099992910839397</v>
      </c>
      <c r="AJ35" s="625">
        <f>IF(M35="","",DEGREES(ATAN2(-AE35,AD35)))</f>
        <v>-120.00001746002658</v>
      </c>
      <c r="AK35" s="4">
        <f>IF(M35="","",(COS(RADIANS((90-$Q$8)-W35))*AD35)+(-SIN(RADIANS((90-$Q$8)-W35))*AE35))</f>
        <v>2.2679489664056973E-7</v>
      </c>
      <c r="AL35" s="5">
        <f>IF(M35="","",(SIN(RADIANS((90-$Q$8)-W35))*AD35)+(COS(RADIANS((90-$Q$8)-W35))*AE35))</f>
        <v>-0.75585338815704706</v>
      </c>
      <c r="AM35" s="6">
        <f>IF(M35="","",AF35)</f>
        <v>-0.654740907238475</v>
      </c>
      <c r="AN35" s="612">
        <f>IF(M35="","",DEGREES(ATAN2(-AM35,AL35)))</f>
        <v>-49.099992910838132</v>
      </c>
      <c r="AO35" s="613">
        <f t="shared" si="98"/>
        <v>0</v>
      </c>
      <c r="AP35" s="624">
        <f>IF(M35="","",DEGREES(ATAN2(AK35,AL35)))</f>
        <v>-89.999982808318919</v>
      </c>
      <c r="AQ35" s="625">
        <f t="shared" si="9"/>
        <v>3.4467154330474163</v>
      </c>
      <c r="AS35" s="56">
        <f t="shared" si="119"/>
        <v>-119.091034782951</v>
      </c>
      <c r="AT35" s="77">
        <f t="shared" si="10"/>
        <v>-0.57235796034931419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3.226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3.1259999999999999</v>
      </c>
      <c r="II35" s="800" cm="1">
        <f t="array" ref="II35">IFERROR(IF($IH35&lt;1,$IH35+LARGE((IF($M$9:$M$150="",0,$M$9:$M$150)-MOD(IF($M$9:$M$150="",0,$M$9:$M$150),1)),1),$IH35),"")</f>
        <v>3.1259999999999999</v>
      </c>
      <c r="IJ35" s="839" t="str">
        <f t="shared" si="67"/>
        <v>1613</v>
      </c>
      <c r="IK35" s="839" t="str">
        <f t="shared" si="68"/>
        <v/>
      </c>
      <c r="IL35" s="791">
        <f t="shared" si="227"/>
        <v>15.625097744014965</v>
      </c>
      <c r="IM35" s="830">
        <v>9.2288217889484204E-3</v>
      </c>
      <c r="IN35" s="5">
        <f t="shared" si="228"/>
        <v>0.88</v>
      </c>
      <c r="IO35" s="852">
        <v>440</v>
      </c>
      <c r="IP35" s="9">
        <f t="shared" si="229"/>
        <v>-3.5706107689620796</v>
      </c>
      <c r="IQ35" s="5">
        <f t="shared" si="230"/>
        <v>-1.0034030262635276</v>
      </c>
      <c r="IR35" s="5">
        <f t="shared" si="73"/>
        <v>0.314</v>
      </c>
      <c r="IS35" s="5">
        <f t="shared" si="231"/>
        <v>0.28597023726530763</v>
      </c>
      <c r="IT35" s="791">
        <f t="shared" si="232"/>
        <v>69.701867587284084</v>
      </c>
      <c r="IU35" s="9">
        <f t="shared" si="233"/>
        <v>-3.5937836181714582</v>
      </c>
      <c r="IV35" s="5">
        <f t="shared" si="234"/>
        <v>-1.0256914245890987</v>
      </c>
      <c r="IW35" s="5">
        <f t="shared" si="78"/>
        <v>0.25700000000000001</v>
      </c>
      <c r="IX35" s="5">
        <f t="shared" si="235"/>
        <v>0.25700000000000001</v>
      </c>
      <c r="IY35" s="833">
        <f t="shared" si="236"/>
        <v>49.099992910838132</v>
      </c>
    </row>
    <row r="36" spans="1:259" ht="15" customHeight="1" x14ac:dyDescent="0.25">
      <c r="A36" s="84">
        <f t="shared" si="81"/>
        <v>0</v>
      </c>
      <c r="B36" s="770">
        <v>3.2475941302165685</v>
      </c>
      <c r="C36" s="771">
        <v>-1.8750019641010744</v>
      </c>
      <c r="D36" s="772">
        <v>-1.7940702998049129</v>
      </c>
      <c r="E36" s="773">
        <v>0.86602521478860761</v>
      </c>
      <c r="F36" s="771">
        <v>-0.50000032735018773</v>
      </c>
      <c r="G36" s="774">
        <v>2.2679489661303812E-7</v>
      </c>
      <c r="H36" s="773">
        <v>0.25700000000000001</v>
      </c>
      <c r="I36" s="771">
        <v>0.41499999999999992</v>
      </c>
      <c r="J36" s="601">
        <v>3.2330000000000001</v>
      </c>
      <c r="K36" s="426" t="str">
        <f t="shared" si="82"/>
        <v/>
      </c>
      <c r="L36" s="327"/>
      <c r="M36" s="173">
        <f t="shared" si="1"/>
        <v>3.2330000000000001</v>
      </c>
      <c r="N36" s="21">
        <f t="shared" si="2"/>
        <v>3.2475941302165685</v>
      </c>
      <c r="O36" s="5">
        <f t="shared" si="3"/>
        <v>-1.8750019641010744</v>
      </c>
      <c r="P36" s="10">
        <f t="shared" si="4"/>
        <v>-1.7940702998049129</v>
      </c>
      <c r="Q36" s="624">
        <f t="shared" si="116"/>
        <v>329.99996534829233</v>
      </c>
      <c r="R36" s="5">
        <f>IF(M36="","",SQRT(N36^2+O36^2))</f>
        <v>3.7499999999999996</v>
      </c>
      <c r="S36" s="6">
        <f>IF(M36="","",P36)</f>
        <v>-1.7940702998049129</v>
      </c>
      <c r="T36" s="4">
        <f>IF(M36="","",X36*COS(RADIANS(W36)))</f>
        <v>-1.8232449491160339</v>
      </c>
      <c r="U36" s="5">
        <f>IF(M36="","",X36*SIN(RADIANS(W36)))</f>
        <v>-3.27693116429425</v>
      </c>
      <c r="V36" s="8">
        <f>IF(M36="","",Y36)</f>
        <v>-1.7940702998049129</v>
      </c>
      <c r="W36" s="624">
        <f t="shared" si="226"/>
        <v>240.908965217049</v>
      </c>
      <c r="X36" s="5">
        <f>IF(M36="","",R36)</f>
        <v>3.7499999999999996</v>
      </c>
      <c r="Y36" s="7">
        <f t="shared" si="225"/>
        <v>-1.7940702998049129</v>
      </c>
      <c r="Z36" s="21">
        <f t="shared" si="6"/>
        <v>-0.86602521478860761</v>
      </c>
      <c r="AA36" s="5">
        <f t="shared" si="7"/>
        <v>0.50000032735018773</v>
      </c>
      <c r="AB36" s="5">
        <f t="shared" si="8"/>
        <v>-2.2679489661303812E-7</v>
      </c>
      <c r="AC36" s="8">
        <f>IF(M36="","",SQRT(Z36^2+AA36^2+AB36^2))</f>
        <v>1</v>
      </c>
      <c r="AD36" s="9">
        <f>IF(M36="","",Z36*(1/SQRT(Z36^2+AA36^2+AB36^2)))</f>
        <v>-0.86602521478860761</v>
      </c>
      <c r="AE36" s="5">
        <f>IF(M36="","",AA36*(1/SQRT(Z36^2+AA36^2+AB36^2)))</f>
        <v>0.50000032735018773</v>
      </c>
      <c r="AF36" s="10">
        <f>IF(M36="","",AB36*(1/SQRT(Z36^2+AA36^2+AB36^2)))</f>
        <v>-2.2679489661303812E-7</v>
      </c>
      <c r="AG36" s="622">
        <f>IF(M36="","",DEGREES(ATAN2(-AF36,AE36)))</f>
        <v>89.999974011236233</v>
      </c>
      <c r="AH36" s="623">
        <f>IF(M36="","",DEGREES(ACOS(AD36)))</f>
        <v>149.99997834268015</v>
      </c>
      <c r="AI36" s="624">
        <f>IF(M36="","",DEGREES(-ACOS(-AF36)))</f>
        <v>-89.999987005609611</v>
      </c>
      <c r="AJ36" s="625">
        <f>IF(M36="","",DEGREES(ATAN2(-AE36,AD36)))</f>
        <v>-120.00002165731729</v>
      </c>
      <c r="AK36" s="4">
        <f>IF(M36="","",(COS(RADIANS((90-$Q$8)-W36))*AD36)+(-SIN(RADIANS((90-$Q$8)-W36))*AE36))</f>
        <v>2.2679489630750282E-7</v>
      </c>
      <c r="AL36" s="5">
        <f>IF(M36="","",(SIN(RADIANS((90-$Q$8)-W36))*AD36)+(COS(RADIANS((90-$Q$8)-W36))*AE36))</f>
        <v>-0.99999999999994871</v>
      </c>
      <c r="AM36" s="6">
        <f>IF(M36="","",AF36)</f>
        <v>-2.2679489661303812E-7</v>
      </c>
      <c r="AN36" s="612">
        <f>IF(M36="","",DEGREES(ATAN2(-AM36,AL36)))</f>
        <v>-89.999987005609611</v>
      </c>
      <c r="AO36" s="613">
        <f t="shared" si="98"/>
        <v>0</v>
      </c>
      <c r="AP36" s="624">
        <f>IF(M36="","",DEGREES(ATAN2(AK36,AL36)))</f>
        <v>-89.999987005609626</v>
      </c>
      <c r="AQ36" s="625">
        <f t="shared" si="9"/>
        <v>3.3034580647038347</v>
      </c>
      <c r="AS36" s="56">
        <f t="shared" si="119"/>
        <v>-119.091034782951</v>
      </c>
      <c r="AT36" s="77">
        <f t="shared" si="10"/>
        <v>-1.3407368355651283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>
        <f>IFERROR(IF((((($IW36*COS(RADIANS(180-$IY36)))*COS(RADIANS($IY36)))-(($IX36*SIN(RADIANS(180-$IY36)))*SIN(RADIANS($IY36))))+$IU36)&lt;(((Settings!$C$19/2)*-1)+$IF$8),1,""),"")</f>
        <v>1</v>
      </c>
      <c r="IG36" s="836">
        <f t="shared" si="66"/>
        <v>3.2330000000000001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3.133</v>
      </c>
      <c r="II36" s="800" cm="1">
        <f t="array" ref="II36">IFERROR(IF($IH36&lt;1,$IH36+LARGE((IF($M$9:$M$150="",0,$M$9:$M$150)-MOD(IF($M$9:$M$150="",0,$M$9:$M$150),1)),1),$IH36),"")</f>
        <v>3.133</v>
      </c>
      <c r="IJ36" s="839" t="str">
        <f t="shared" si="67"/>
        <v>1613</v>
      </c>
      <c r="IK36" s="839" t="str">
        <f t="shared" si="68"/>
        <v/>
      </c>
      <c r="IL36" s="791">
        <f t="shared" si="227"/>
        <v>14.999997484213054</v>
      </c>
      <c r="IM36" s="830">
        <v>3.4201477538963799E-4</v>
      </c>
      <c r="IN36" s="5">
        <f t="shared" si="228"/>
        <v>0</v>
      </c>
      <c r="IO36" s="852">
        <v>0</v>
      </c>
      <c r="IP36" s="9">
        <f t="shared" si="229"/>
        <v>-3.7029000037601123</v>
      </c>
      <c r="IQ36" s="5">
        <f t="shared" si="230"/>
        <v>-1.8023999999999993</v>
      </c>
      <c r="IR36" s="5">
        <f t="shared" si="73"/>
        <v>0.314</v>
      </c>
      <c r="IS36" s="5">
        <f t="shared" si="231"/>
        <v>0.25721375753028192</v>
      </c>
      <c r="IT36" s="791">
        <f t="shared" si="232"/>
        <v>89.999987005609626</v>
      </c>
      <c r="IU36" s="9">
        <f t="shared" si="233"/>
        <v>-3.7499999999999996</v>
      </c>
      <c r="IV36" s="5">
        <f t="shared" si="234"/>
        <v>-1.7940702998049129</v>
      </c>
      <c r="IW36" s="5">
        <f t="shared" si="78"/>
        <v>0.25700000000000001</v>
      </c>
      <c r="IX36" s="5">
        <f t="shared" si="235"/>
        <v>0.25700000000000001</v>
      </c>
      <c r="IY36" s="833">
        <f t="shared" si="236"/>
        <v>89.999987005609611</v>
      </c>
    </row>
    <row r="37" spans="1:259" ht="15" customHeight="1" x14ac:dyDescent="0.25">
      <c r="A37" s="84">
        <f t="shared" si="81"/>
        <v>0.02</v>
      </c>
      <c r="B37" s="770">
        <v>0.83116358904128684</v>
      </c>
      <c r="C37" s="771">
        <v>-2.1073163341338375</v>
      </c>
      <c r="D37" s="772">
        <v>-4.3900132402799219E-2</v>
      </c>
      <c r="E37" s="773">
        <v>0.91984664607816302</v>
      </c>
      <c r="F37" s="771">
        <v>0.29688948959251282</v>
      </c>
      <c r="G37" s="774">
        <v>0.25639574619765465</v>
      </c>
      <c r="H37" s="773">
        <v>0.314</v>
      </c>
      <c r="I37" s="771">
        <v>0.52</v>
      </c>
      <c r="J37" s="601">
        <v>4.1109999999999998</v>
      </c>
      <c r="K37" s="426" t="str">
        <f t="shared" si="82"/>
        <v>1613</v>
      </c>
      <c r="L37" s="327"/>
      <c r="M37" s="173">
        <f t="shared" si="1"/>
        <v>4.1109999999999998</v>
      </c>
      <c r="N37" s="21">
        <f t="shared" si="2"/>
        <v>0.83116358904128684</v>
      </c>
      <c r="O37" s="5">
        <f t="shared" si="3"/>
        <v>-2.1073163341338375</v>
      </c>
      <c r="P37" s="10">
        <f t="shared" si="4"/>
        <v>-4.3900132402799219E-2</v>
      </c>
      <c r="Q37" s="624">
        <f t="shared" si="116"/>
        <v>291.52517090336534</v>
      </c>
      <c r="R37" s="5">
        <f t="shared" si="83"/>
        <v>2.2653068321654062</v>
      </c>
      <c r="S37" s="6">
        <f t="shared" si="84"/>
        <v>-4.3900132402799219E-2</v>
      </c>
      <c r="T37" s="4">
        <f t="shared" si="85"/>
        <v>-2.0938652435179592</v>
      </c>
      <c r="U37" s="5">
        <f t="shared" si="86"/>
        <v>-0.864490246239219</v>
      </c>
      <c r="V37" s="8">
        <f t="shared" si="117"/>
        <v>-4.3900132402799219E-2</v>
      </c>
      <c r="W37" s="624">
        <f t="shared" si="226"/>
        <v>202.434170772122</v>
      </c>
      <c r="X37" s="5">
        <f t="shared" si="87"/>
        <v>2.2653068321654062</v>
      </c>
      <c r="Y37" s="7">
        <f t="shared" si="225"/>
        <v>-4.3900132402799219E-2</v>
      </c>
      <c r="Z37" s="21">
        <f t="shared" si="6"/>
        <v>-0.91984664607816302</v>
      </c>
      <c r="AA37" s="5">
        <f t="shared" si="7"/>
        <v>-0.29688948959251282</v>
      </c>
      <c r="AB37" s="5">
        <f t="shared" si="8"/>
        <v>-0.25639574619765465</v>
      </c>
      <c r="AC37" s="8">
        <f t="shared" si="88"/>
        <v>1</v>
      </c>
      <c r="AD37" s="9">
        <f t="shared" si="118"/>
        <v>-0.91984664607816302</v>
      </c>
      <c r="AE37" s="5">
        <f t="shared" si="89"/>
        <v>-0.29688948959251282</v>
      </c>
      <c r="AF37" s="10">
        <f t="shared" si="90"/>
        <v>-0.25639574619765465</v>
      </c>
      <c r="AG37" s="622">
        <f t="shared" si="91"/>
        <v>-49.185890321262576</v>
      </c>
      <c r="AH37" s="623">
        <f t="shared" si="92"/>
        <v>156.90367292777063</v>
      </c>
      <c r="AI37" s="624">
        <f t="shared" si="93"/>
        <v>-75.143694583127385</v>
      </c>
      <c r="AJ37" s="625">
        <f t="shared" si="94"/>
        <v>-72.112008229121869</v>
      </c>
      <c r="AK37" s="4">
        <f t="shared" si="213"/>
        <v>0.96462499687438963</v>
      </c>
      <c r="AL37" s="5">
        <f t="shared" si="95"/>
        <v>-6.1317507588223241E-2</v>
      </c>
      <c r="AM37" s="6">
        <f t="shared" si="96"/>
        <v>-0.25639574619765465</v>
      </c>
      <c r="AN37" s="612">
        <f t="shared" si="97"/>
        <v>-13.449773681862853</v>
      </c>
      <c r="AO37" s="613">
        <f t="shared" si="98"/>
        <v>15.285319561176742</v>
      </c>
      <c r="AP37" s="624">
        <f t="shared" si="99"/>
        <v>-3.6371791324872005</v>
      </c>
      <c r="AQ37" s="625">
        <f t="shared" si="9"/>
        <v>5.458058110552388</v>
      </c>
      <c r="AS37" s="56">
        <f t="shared" si="119"/>
        <v>-157.565829227878</v>
      </c>
      <c r="AT37" s="77">
        <f t="shared" si="10"/>
        <v>0.55478255529559839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4.1109999999999998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7"/>
        <v/>
      </c>
      <c r="IK37" s="839" t="str">
        <f t="shared" si="68"/>
        <v/>
      </c>
      <c r="IL37" s="791" t="str">
        <f t="shared" si="227"/>
        <v/>
      </c>
      <c r="IM37" s="830"/>
      <c r="IN37" s="5" t="str">
        <f t="shared" si="228"/>
        <v/>
      </c>
      <c r="IO37" s="852"/>
      <c r="IP37" s="9" t="str">
        <f t="shared" si="229"/>
        <v/>
      </c>
      <c r="IQ37" s="5" t="str">
        <f t="shared" si="230"/>
        <v/>
      </c>
      <c r="IR37" s="5" t="str">
        <f t="shared" si="73"/>
        <v/>
      </c>
      <c r="IS37" s="5" t="str">
        <f t="shared" si="231"/>
        <v/>
      </c>
      <c r="IT37" s="791" t="str">
        <f t="shared" si="232"/>
        <v/>
      </c>
      <c r="IU37" s="9" t="str">
        <f t="shared" si="233"/>
        <v/>
      </c>
      <c r="IV37" s="5" t="str">
        <f t="shared" si="234"/>
        <v/>
      </c>
      <c r="IW37" s="5" t="str">
        <f t="shared" si="78"/>
        <v/>
      </c>
      <c r="IX37" s="5" t="str">
        <f t="shared" si="235"/>
        <v/>
      </c>
      <c r="IY37" s="833" t="str">
        <f t="shared" si="236"/>
        <v/>
      </c>
    </row>
    <row r="38" spans="1:259" ht="15" customHeight="1" x14ac:dyDescent="0.25">
      <c r="A38" s="84">
        <f t="shared" si="81"/>
        <v>0.02</v>
      </c>
      <c r="B38" s="770">
        <v>1.0607063513911044</v>
      </c>
      <c r="C38" s="771">
        <v>-2.8374301799900743</v>
      </c>
      <c r="D38" s="772">
        <v>-0.29860090058031619</v>
      </c>
      <c r="E38" s="773">
        <v>0.97072421023574773</v>
      </c>
      <c r="F38" s="771">
        <v>0.14608250533153921</v>
      </c>
      <c r="G38" s="774">
        <v>0.19066832274461556</v>
      </c>
      <c r="H38" s="773">
        <v>0.314</v>
      </c>
      <c r="I38" s="771">
        <v>0.52</v>
      </c>
      <c r="J38" s="601">
        <v>4.1180000000000003</v>
      </c>
      <c r="K38" s="426" t="str">
        <f t="shared" si="82"/>
        <v>1613</v>
      </c>
      <c r="L38" s="327"/>
      <c r="M38" s="173">
        <f t="shared" si="1"/>
        <v>4.1180000000000003</v>
      </c>
      <c r="N38" s="21">
        <f t="shared" si="2"/>
        <v>1.0607063513911044</v>
      </c>
      <c r="O38" s="5">
        <f t="shared" si="3"/>
        <v>-2.8374301799900743</v>
      </c>
      <c r="P38" s="10">
        <f t="shared" si="4"/>
        <v>-0.29860090058031619</v>
      </c>
      <c r="Q38" s="624">
        <f t="shared" si="116"/>
        <v>290.49707105180454</v>
      </c>
      <c r="R38" s="5">
        <f t="shared" si="83"/>
        <v>3.0292091360947553</v>
      </c>
      <c r="S38" s="6">
        <f t="shared" si="84"/>
        <v>-0.29860090058031619</v>
      </c>
      <c r="T38" s="4">
        <f t="shared" si="85"/>
        <v>-2.8202456541724414</v>
      </c>
      <c r="U38" s="5">
        <f t="shared" si="86"/>
        <v>-1.1055869211967877</v>
      </c>
      <c r="V38" s="8">
        <f t="shared" si="117"/>
        <v>-0.29860090058031619</v>
      </c>
      <c r="W38" s="624">
        <f t="shared" si="226"/>
        <v>201.40607092056121</v>
      </c>
      <c r="X38" s="5">
        <f t="shared" si="87"/>
        <v>3.0292091360947553</v>
      </c>
      <c r="Y38" s="7">
        <f t="shared" si="225"/>
        <v>-0.29860090058031619</v>
      </c>
      <c r="Z38" s="21">
        <f t="shared" si="6"/>
        <v>-0.97072421023574773</v>
      </c>
      <c r="AA38" s="5">
        <f t="shared" si="7"/>
        <v>-0.14608250533153921</v>
      </c>
      <c r="AB38" s="5">
        <f t="shared" si="8"/>
        <v>-0.19066832274461556</v>
      </c>
      <c r="AC38" s="8">
        <f t="shared" si="88"/>
        <v>1</v>
      </c>
      <c r="AD38" s="9">
        <f t="shared" si="118"/>
        <v>-0.97072421023574773</v>
      </c>
      <c r="AE38" s="5">
        <f t="shared" si="89"/>
        <v>-0.14608250533153921</v>
      </c>
      <c r="AF38" s="10">
        <f t="shared" si="90"/>
        <v>-0.19066832274461556</v>
      </c>
      <c r="AG38" s="622">
        <f t="shared" si="91"/>
        <v>-37.457903722816205</v>
      </c>
      <c r="AH38" s="623">
        <f t="shared" si="92"/>
        <v>166.10184344942499</v>
      </c>
      <c r="AI38" s="624">
        <f t="shared" si="93"/>
        <v>-79.00821068936466</v>
      </c>
      <c r="AJ38" s="625">
        <f t="shared" si="94"/>
        <v>-81.441882016723923</v>
      </c>
      <c r="AK38" s="4">
        <f t="shared" si="213"/>
        <v>0.96041992516664065</v>
      </c>
      <c r="AL38" s="5">
        <f t="shared" si="95"/>
        <v>-0.2030742673128717</v>
      </c>
      <c r="AM38" s="6">
        <f t="shared" si="96"/>
        <v>-0.19066832274461556</v>
      </c>
      <c r="AN38" s="612">
        <f t="shared" si="97"/>
        <v>-46.804664283201035</v>
      </c>
      <c r="AO38" s="613">
        <f t="shared" si="98"/>
        <v>16.174054256869383</v>
      </c>
      <c r="AP38" s="624">
        <f t="shared" si="99"/>
        <v>-11.938953068528454</v>
      </c>
      <c r="AQ38" s="625">
        <f t="shared" si="9"/>
        <v>4.0870966853933588</v>
      </c>
      <c r="AS38" s="56">
        <f t="shared" si="119"/>
        <v>-158.59392907943879</v>
      </c>
      <c r="AT38" s="77">
        <f t="shared" si="10"/>
        <v>0.30396571989064447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4.1180000000000003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7"/>
        <v/>
      </c>
      <c r="IK38" s="839" t="str">
        <f t="shared" si="68"/>
        <v/>
      </c>
      <c r="IL38" s="791" t="str">
        <f t="shared" si="227"/>
        <v/>
      </c>
      <c r="IM38" s="830"/>
      <c r="IN38" s="5" t="str">
        <f t="shared" si="228"/>
        <v/>
      </c>
      <c r="IO38" s="852"/>
      <c r="IP38" s="9" t="str">
        <f t="shared" si="229"/>
        <v/>
      </c>
      <c r="IQ38" s="5" t="str">
        <f t="shared" si="230"/>
        <v/>
      </c>
      <c r="IR38" s="5" t="str">
        <f t="shared" si="73"/>
        <v/>
      </c>
      <c r="IS38" s="5" t="str">
        <f t="shared" si="231"/>
        <v/>
      </c>
      <c r="IT38" s="791" t="str">
        <f t="shared" si="232"/>
        <v/>
      </c>
      <c r="IU38" s="9" t="str">
        <f t="shared" si="233"/>
        <v/>
      </c>
      <c r="IV38" s="5" t="str">
        <f t="shared" si="234"/>
        <v/>
      </c>
      <c r="IW38" s="5" t="str">
        <f t="shared" si="78"/>
        <v/>
      </c>
      <c r="IX38" s="5" t="str">
        <f t="shared" si="235"/>
        <v/>
      </c>
      <c r="IY38" s="833" t="str">
        <f t="shared" si="236"/>
        <v/>
      </c>
    </row>
    <row r="39" spans="1:259" ht="15" customHeight="1" x14ac:dyDescent="0.25">
      <c r="A39" s="84">
        <f t="shared" si="81"/>
        <v>0.02</v>
      </c>
      <c r="B39" s="770">
        <v>1.189237430357216</v>
      </c>
      <c r="C39" s="771">
        <v>-3.3222752946398741</v>
      </c>
      <c r="D39" s="772">
        <v>-0.8999027141065864</v>
      </c>
      <c r="E39" s="773">
        <v>0.98726774874964096</v>
      </c>
      <c r="F39" s="771">
        <v>-3.4915030258279925E-2</v>
      </c>
      <c r="G39" s="774">
        <v>0.15518805669535016</v>
      </c>
      <c r="H39" s="773">
        <v>0.314</v>
      </c>
      <c r="I39" s="771">
        <v>0.52</v>
      </c>
      <c r="J39" s="601">
        <v>4.125</v>
      </c>
      <c r="K39" s="426" t="str">
        <f t="shared" si="82"/>
        <v>1613</v>
      </c>
      <c r="L39" s="327"/>
      <c r="M39" s="173">
        <f t="shared" si="1"/>
        <v>4.125</v>
      </c>
      <c r="N39" s="21">
        <f t="shared" si="2"/>
        <v>1.189237430357216</v>
      </c>
      <c r="O39" s="5">
        <f t="shared" si="3"/>
        <v>-3.3222752946398741</v>
      </c>
      <c r="P39" s="10">
        <f t="shared" si="4"/>
        <v>-0.8999027141065864</v>
      </c>
      <c r="Q39" s="624">
        <f t="shared" si="116"/>
        <v>289.69527116757013</v>
      </c>
      <c r="R39" s="5">
        <f t="shared" si="83"/>
        <v>3.5287106425912986</v>
      </c>
      <c r="S39" s="6">
        <f t="shared" si="84"/>
        <v>-0.8999027141065864</v>
      </c>
      <c r="T39" s="4">
        <f t="shared" si="85"/>
        <v>-3.3029906872160089</v>
      </c>
      <c r="U39" s="5">
        <f t="shared" si="86"/>
        <v>-1.2417935896522478</v>
      </c>
      <c r="V39" s="8">
        <f t="shared" si="117"/>
        <v>-0.8999027141065864</v>
      </c>
      <c r="W39" s="624">
        <f t="shared" si="226"/>
        <v>200.60427103632679</v>
      </c>
      <c r="X39" s="5">
        <f t="shared" si="87"/>
        <v>3.5287106425912986</v>
      </c>
      <c r="Y39" s="7">
        <f t="shared" si="225"/>
        <v>-0.8999027141065864</v>
      </c>
      <c r="Z39" s="21">
        <f t="shared" si="6"/>
        <v>-0.98726774874964096</v>
      </c>
      <c r="AA39" s="5">
        <f t="shared" si="7"/>
        <v>3.4915030258279925E-2</v>
      </c>
      <c r="AB39" s="5">
        <f t="shared" si="8"/>
        <v>-0.15518805669535016</v>
      </c>
      <c r="AC39" s="8">
        <f t="shared" si="88"/>
        <v>1</v>
      </c>
      <c r="AD39" s="9">
        <f t="shared" si="118"/>
        <v>-0.98726774874964096</v>
      </c>
      <c r="AE39" s="5">
        <f t="shared" si="89"/>
        <v>3.4915030258279925E-2</v>
      </c>
      <c r="AF39" s="10">
        <f t="shared" si="90"/>
        <v>-0.15518805669535016</v>
      </c>
      <c r="AG39" s="622">
        <f t="shared" si="91"/>
        <v>12.679581392009789</v>
      </c>
      <c r="AH39" s="623">
        <f t="shared" si="92"/>
        <v>170.84723935446956</v>
      </c>
      <c r="AI39" s="624">
        <f t="shared" si="93"/>
        <v>-81.072296916253251</v>
      </c>
      <c r="AJ39" s="625">
        <f t="shared" si="94"/>
        <v>-92.025438892363326</v>
      </c>
      <c r="AK39" s="4">
        <f t="shared" si="213"/>
        <v>0.9177439915057215</v>
      </c>
      <c r="AL39" s="5">
        <f t="shared" si="95"/>
        <v>-0.36559900589890432</v>
      </c>
      <c r="AM39" s="6">
        <f t="shared" si="96"/>
        <v>-0.15518805669535016</v>
      </c>
      <c r="AN39" s="612">
        <f t="shared" si="97"/>
        <v>-66.999935482024895</v>
      </c>
      <c r="AO39" s="613">
        <f t="shared" si="98"/>
        <v>23.4015341254429</v>
      </c>
      <c r="AP39" s="624">
        <f t="shared" si="99"/>
        <v>-21.720710059933467</v>
      </c>
      <c r="AQ39" s="625">
        <f t="shared" si="9"/>
        <v>3.5101188502640381</v>
      </c>
      <c r="AS39" s="56">
        <f t="shared" si="119"/>
        <v>-159.39572896367321</v>
      </c>
      <c r="AT39" s="77">
        <f t="shared" si="10"/>
        <v>-0.29430707185074023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4.125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7"/>
        <v/>
      </c>
      <c r="IK39" s="839" t="str">
        <f t="shared" si="68"/>
        <v/>
      </c>
      <c r="IL39" s="791" t="str">
        <f t="shared" si="227"/>
        <v/>
      </c>
      <c r="IM39" s="830"/>
      <c r="IN39" s="5" t="str">
        <f t="shared" si="228"/>
        <v/>
      </c>
      <c r="IO39" s="852"/>
      <c r="IP39" s="9" t="str">
        <f t="shared" si="229"/>
        <v/>
      </c>
      <c r="IQ39" s="5" t="str">
        <f t="shared" si="230"/>
        <v/>
      </c>
      <c r="IR39" s="5" t="str">
        <f t="shared" si="73"/>
        <v/>
      </c>
      <c r="IS39" s="5" t="str">
        <f t="shared" si="231"/>
        <v/>
      </c>
      <c r="IT39" s="791" t="str">
        <f t="shared" si="232"/>
        <v/>
      </c>
      <c r="IU39" s="9" t="str">
        <f t="shared" si="233"/>
        <v/>
      </c>
      <c r="IV39" s="5" t="str">
        <f t="shared" si="234"/>
        <v/>
      </c>
      <c r="IW39" s="5" t="str">
        <f t="shared" si="78"/>
        <v/>
      </c>
      <c r="IX39" s="5" t="str">
        <f t="shared" si="235"/>
        <v/>
      </c>
      <c r="IY39" s="833" t="str">
        <f t="shared" si="236"/>
        <v/>
      </c>
    </row>
    <row r="40" spans="1:259" ht="15" customHeight="1" x14ac:dyDescent="0.25">
      <c r="A40" s="84">
        <f t="shared" si="81"/>
        <v>0.02</v>
      </c>
      <c r="B40" s="770">
        <v>1.2055445438753614</v>
      </c>
      <c r="C40" s="771">
        <v>-3.501161349229998</v>
      </c>
      <c r="D40" s="772">
        <v>-1.7026999999999992</v>
      </c>
      <c r="E40" s="773">
        <v>0.96126157994161443</v>
      </c>
      <c r="F40" s="771">
        <v>-0.27563776034523019</v>
      </c>
      <c r="G40" s="774">
        <v>1.3008419221378574E-7</v>
      </c>
      <c r="H40" s="773">
        <v>0.314</v>
      </c>
      <c r="I40" s="771">
        <v>0.52</v>
      </c>
      <c r="J40" s="601">
        <v>4.1319999999999997</v>
      </c>
      <c r="K40" s="426" t="str">
        <f t="shared" si="82"/>
        <v>1613</v>
      </c>
      <c r="L40" s="327"/>
      <c r="M40" s="173">
        <f t="shared" si="1"/>
        <v>4.1319999999999997</v>
      </c>
      <c r="N40" s="21">
        <f t="shared" si="2"/>
        <v>1.2055445438753614</v>
      </c>
      <c r="O40" s="5">
        <f t="shared" si="3"/>
        <v>-3.501161349229998</v>
      </c>
      <c r="P40" s="10">
        <f t="shared" si="4"/>
        <v>-1.7026999999999992</v>
      </c>
      <c r="Q40" s="624">
        <f t="shared" si="116"/>
        <v>288.99997092614836</v>
      </c>
      <c r="R40" s="5">
        <f t="shared" si="83"/>
        <v>3.7029000041332027</v>
      </c>
      <c r="S40" s="6">
        <f t="shared" si="84"/>
        <v>-1.7026999999999992</v>
      </c>
      <c r="T40" s="4">
        <f t="shared" si="85"/>
        <v>-3.4815955273465278</v>
      </c>
      <c r="U40" s="5">
        <f t="shared" si="86"/>
        <v>-1.2609365664339853</v>
      </c>
      <c r="V40" s="8">
        <f t="shared" si="117"/>
        <v>-1.7026999999999992</v>
      </c>
      <c r="W40" s="624">
        <f t="shared" si="226"/>
        <v>199.90897079490503</v>
      </c>
      <c r="X40" s="5">
        <f t="shared" si="87"/>
        <v>3.7029000041332027</v>
      </c>
      <c r="Y40" s="7">
        <f t="shared" si="225"/>
        <v>-1.7026999999999992</v>
      </c>
      <c r="Z40" s="21">
        <f t="shared" si="6"/>
        <v>-0.96126157994161443</v>
      </c>
      <c r="AA40" s="5">
        <f t="shared" si="7"/>
        <v>0.27563776034523019</v>
      </c>
      <c r="AB40" s="5">
        <f t="shared" si="8"/>
        <v>-1.3008419221378574E-7</v>
      </c>
      <c r="AC40" s="8">
        <f t="shared" si="88"/>
        <v>1</v>
      </c>
      <c r="AD40" s="9">
        <f t="shared" si="118"/>
        <v>-0.96126157994161443</v>
      </c>
      <c r="AE40" s="5">
        <f t="shared" si="89"/>
        <v>0.27563776034523019</v>
      </c>
      <c r="AF40" s="10">
        <f t="shared" si="90"/>
        <v>-1.3008419221378574E-7</v>
      </c>
      <c r="AG40" s="622">
        <f t="shared" si="91"/>
        <v>89.999972959890599</v>
      </c>
      <c r="AH40" s="623">
        <f t="shared" si="92"/>
        <v>163.99997588818576</v>
      </c>
      <c r="AI40" s="624">
        <f t="shared" si="93"/>
        <v>-89.999992546724798</v>
      </c>
      <c r="AJ40" s="625">
        <f t="shared" si="94"/>
        <v>-106.00002411181258</v>
      </c>
      <c r="AK40" s="4">
        <f t="shared" si="213"/>
        <v>0.81915209396294919</v>
      </c>
      <c r="AL40" s="5">
        <f t="shared" si="95"/>
        <v>-0.57357636540926171</v>
      </c>
      <c r="AM40" s="6">
        <f t="shared" si="96"/>
        <v>-1.3008419221378574E-7</v>
      </c>
      <c r="AN40" s="612">
        <f t="shared" si="97"/>
        <v>-89.99998700560964</v>
      </c>
      <c r="AO40" s="613">
        <f t="shared" si="98"/>
        <v>34.999995037961625</v>
      </c>
      <c r="AP40" s="624">
        <f t="shared" si="99"/>
        <v>-34.999995037960943</v>
      </c>
      <c r="AQ40" s="625">
        <f t="shared" si="9"/>
        <v>3.3453824177657467</v>
      </c>
      <c r="AS40" s="56">
        <f t="shared" si="119"/>
        <v>-160.09102920509497</v>
      </c>
      <c r="AT40" s="77">
        <f t="shared" si="10"/>
        <v>-1.0944776679432264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4.1319999999999997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7"/>
        <v/>
      </c>
      <c r="IK40" s="839" t="str">
        <f t="shared" si="68"/>
        <v/>
      </c>
      <c r="IL40" s="791" t="str">
        <f t="shared" si="227"/>
        <v/>
      </c>
      <c r="IM40" s="830"/>
      <c r="IN40" s="5" t="str">
        <f t="shared" si="228"/>
        <v/>
      </c>
      <c r="IO40" s="852"/>
      <c r="IP40" s="9" t="str">
        <f t="shared" si="229"/>
        <v/>
      </c>
      <c r="IQ40" s="5" t="str">
        <f t="shared" si="230"/>
        <v/>
      </c>
      <c r="IR40" s="5" t="str">
        <f t="shared" si="73"/>
        <v/>
      </c>
      <c r="IS40" s="5" t="str">
        <f t="shared" si="231"/>
        <v/>
      </c>
      <c r="IT40" s="791" t="str">
        <f t="shared" si="232"/>
        <v/>
      </c>
      <c r="IU40" s="9" t="str">
        <f t="shared" si="233"/>
        <v/>
      </c>
      <c r="IV40" s="5" t="str">
        <f t="shared" si="234"/>
        <v/>
      </c>
      <c r="IW40" s="5" t="str">
        <f t="shared" si="78"/>
        <v/>
      </c>
      <c r="IX40" s="5" t="str">
        <f t="shared" si="235"/>
        <v/>
      </c>
      <c r="IY40" s="833" t="str">
        <f t="shared" si="236"/>
        <v/>
      </c>
    </row>
    <row r="41" spans="1:259" ht="15" customHeight="1" x14ac:dyDescent="0.25">
      <c r="A41" s="84">
        <f t="shared" si="81"/>
        <v>0</v>
      </c>
      <c r="B41" s="770">
        <v>0.21259304875399582</v>
      </c>
      <c r="C41" s="771">
        <v>-3.040242496491163</v>
      </c>
      <c r="D41" s="772">
        <v>-0.30105292272370576</v>
      </c>
      <c r="E41" s="773">
        <v>2.8705822558874747E-2</v>
      </c>
      <c r="F41" s="771">
        <v>-0.41051187212633655</v>
      </c>
      <c r="G41" s="774">
        <v>0.91140330183434637</v>
      </c>
      <c r="H41" s="773">
        <v>0.25700000000000001</v>
      </c>
      <c r="I41" s="771">
        <v>0.41499999999999992</v>
      </c>
      <c r="J41" s="601">
        <v>4.218</v>
      </c>
      <c r="K41" s="426" t="str">
        <f t="shared" si="82"/>
        <v/>
      </c>
      <c r="L41" s="327"/>
      <c r="M41" s="173">
        <f t="shared" ref="M41:M72" si="241">IF(J41="","",VALUE(J41))</f>
        <v>4.218</v>
      </c>
      <c r="N41" s="21">
        <f t="shared" ref="N41:N72" si="242">IF(M41="","",B41)</f>
        <v>0.21259304875399582</v>
      </c>
      <c r="O41" s="5">
        <f t="shared" ref="O41:O72" si="243">IF(M41="","",C41)</f>
        <v>-3.040242496491163</v>
      </c>
      <c r="P41" s="10">
        <f t="shared" ref="P41:P72" si="244">IF(M41="","",D41)</f>
        <v>-0.30105292272370576</v>
      </c>
      <c r="Q41" s="624">
        <f t="shared" si="116"/>
        <v>273.99997343369074</v>
      </c>
      <c r="R41" s="5">
        <f t="shared" si="83"/>
        <v>3.0476663599956835</v>
      </c>
      <c r="S41" s="6">
        <f t="shared" si="84"/>
        <v>-0.30105292272370576</v>
      </c>
      <c r="T41" s="4">
        <f t="shared" si="85"/>
        <v>-3.0364872348725824</v>
      </c>
      <c r="U41" s="5">
        <f t="shared" si="86"/>
        <v>-0.26079784183385707</v>
      </c>
      <c r="V41" s="8">
        <f t="shared" si="117"/>
        <v>-0.30105292272370576</v>
      </c>
      <c r="W41" s="624">
        <f t="shared" si="226"/>
        <v>184.90897330244741</v>
      </c>
      <c r="X41" s="5">
        <f t="shared" si="87"/>
        <v>3.0476663599956835</v>
      </c>
      <c r="Y41" s="7">
        <f t="shared" si="225"/>
        <v>-0.30105292272370576</v>
      </c>
      <c r="Z41" s="21">
        <f t="shared" ref="Z41:Z72" si="245">IF(M41="","",-E41)</f>
        <v>-2.8705822558874747E-2</v>
      </c>
      <c r="AA41" s="5">
        <f t="shared" ref="AA41:AA72" si="246">IF(M41="","",-F41)</f>
        <v>0.41051187212633655</v>
      </c>
      <c r="AB41" s="5">
        <f t="shared" ref="AB41:AB72" si="247">IF(M41="","",-G41)</f>
        <v>-0.91140330183434637</v>
      </c>
      <c r="AC41" s="8">
        <f t="shared" si="88"/>
        <v>1</v>
      </c>
      <c r="AD41" s="9">
        <f t="shared" si="118"/>
        <v>-2.8705822558874747E-2</v>
      </c>
      <c r="AE41" s="5">
        <f t="shared" si="89"/>
        <v>0.41051187212633655</v>
      </c>
      <c r="AF41" s="10">
        <f t="shared" si="90"/>
        <v>-0.91140330183434637</v>
      </c>
      <c r="AG41" s="622">
        <f t="shared" si="91"/>
        <v>24.247628412377637</v>
      </c>
      <c r="AH41" s="623">
        <f t="shared" si="92"/>
        <v>91.644948445743196</v>
      </c>
      <c r="AI41" s="624">
        <f t="shared" si="93"/>
        <v>-24.299996491517845</v>
      </c>
      <c r="AJ41" s="625">
        <f t="shared" si="94"/>
        <v>-175.99999498930131</v>
      </c>
      <c r="AK41" s="4">
        <f t="shared" si="213"/>
        <v>2.267948969042477E-7</v>
      </c>
      <c r="AL41" s="5">
        <f t="shared" si="95"/>
        <v>-0.41151430279566209</v>
      </c>
      <c r="AM41" s="6">
        <f t="shared" si="96"/>
        <v>-0.91140330183434637</v>
      </c>
      <c r="AN41" s="612">
        <f t="shared" si="97"/>
        <v>-24.299996491514591</v>
      </c>
      <c r="AO41" s="613">
        <f t="shared" si="98"/>
        <v>0</v>
      </c>
      <c r="AP41" s="624">
        <f t="shared" si="99"/>
        <v>-89.999968422992055</v>
      </c>
      <c r="AQ41" s="625">
        <f t="shared" ref="AQ41:AQ72" si="248">IF(M41="","",DEGREES(ATAN(($AS$5*SIN(RADIANS(90)))/(($X41*2*PI())-($AS$5*COS(RADIANS(90)))))))</f>
        <v>4.0624276055725881</v>
      </c>
      <c r="AS41" s="56">
        <f t="shared" si="119"/>
        <v>-175.09102669755259</v>
      </c>
      <c r="AT41" s="77">
        <f t="shared" ref="AT41:AT72" si="249">IF(M41="","",Y41+(((AS41-$AS$9)*$AS$6)*-1))</f>
        <v>0.3638360665267959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4.218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4.1180000000000003</v>
      </c>
      <c r="II41" s="800" cm="1">
        <f t="array" ref="II41">IFERROR(IF($IH41&lt;1,$IH41+LARGE((IF($M$9:$M$150="",0,$M$9:$M$150)-MOD(IF($M$9:$M$150="",0,$M$9:$M$150),1)),1),$IH41),"")</f>
        <v>4.1180000000000003</v>
      </c>
      <c r="IJ41" s="839" t="str">
        <f t="shared" ref="IJ41:IJ72" si="385">IF(ISNUMBER($II41),INDEX($K$9:$K$150,MATCH($II41,$M$9:$M$150,0)),"")</f>
        <v>1613</v>
      </c>
      <c r="IK41" s="839" t="str">
        <f t="shared" ref="IK41:IK72" si="386">IF(ISNUMBER($II41),INDEX($K$9:$K$150,MATCH($IG41,$M$9:$M$150,0)),"")</f>
        <v/>
      </c>
      <c r="IL41" s="791">
        <f t="shared" si="227"/>
        <v>16.497097618113798</v>
      </c>
      <c r="IM41" s="830">
        <v>3.00318515346812E-2</v>
      </c>
      <c r="IN41" s="5">
        <f t="shared" si="228"/>
        <v>0.94</v>
      </c>
      <c r="IO41" s="852">
        <v>470</v>
      </c>
      <c r="IP41" s="9">
        <f t="shared" si="229"/>
        <v>-3.0292091360947553</v>
      </c>
      <c r="IQ41" s="5">
        <f t="shared" si="230"/>
        <v>-0.29860090058031619</v>
      </c>
      <c r="IR41" s="5">
        <f t="shared" ref="IR41:IR72" si="387">IF(ISNUMBER($II41),INDEX($H$9:$H$150,MATCH($II41,$M$9:$M$150,0)),"")</f>
        <v>0.314</v>
      </c>
      <c r="IS41" s="5">
        <f t="shared" si="231"/>
        <v>0.30157185650232515</v>
      </c>
      <c r="IT41" s="791">
        <f t="shared" si="232"/>
        <v>46.804664283201035</v>
      </c>
      <c r="IU41" s="9">
        <f t="shared" si="233"/>
        <v>-3.0476663599956835</v>
      </c>
      <c r="IV41" s="5">
        <f t="shared" si="234"/>
        <v>-0.30105292272370576</v>
      </c>
      <c r="IW41" s="5">
        <f t="shared" ref="IW41:IW72" si="388">IF(ISNUMBER($II41),$H41,"")</f>
        <v>0.25700000000000001</v>
      </c>
      <c r="IX41" s="5">
        <f t="shared" si="235"/>
        <v>0.25700000000000001</v>
      </c>
      <c r="IY41" s="833">
        <f t="shared" si="236"/>
        <v>24.299996491514591</v>
      </c>
    </row>
    <row r="42" spans="1:259" ht="15" customHeight="1" x14ac:dyDescent="0.25">
      <c r="A42" s="84">
        <f t="shared" si="81"/>
        <v>0</v>
      </c>
      <c r="B42" s="770">
        <v>0.24779186941593775</v>
      </c>
      <c r="C42" s="771">
        <v>-3.5436124374652822</v>
      </c>
      <c r="D42" s="772">
        <v>-0.91959543895213602</v>
      </c>
      <c r="E42" s="773">
        <v>5.0178495797404819E-2</v>
      </c>
      <c r="F42" s="771">
        <v>-0.71758745185796513</v>
      </c>
      <c r="G42" s="774">
        <v>0.69465845384296776</v>
      </c>
      <c r="H42" s="773">
        <v>0.25700000000000001</v>
      </c>
      <c r="I42" s="771">
        <v>0.41499999999999992</v>
      </c>
      <c r="J42" s="601">
        <v>4.2249999999999996</v>
      </c>
      <c r="K42" s="426" t="str">
        <f t="shared" si="82"/>
        <v/>
      </c>
      <c r="L42" s="327"/>
      <c r="M42" s="173">
        <f t="shared" si="241"/>
        <v>4.2249999999999996</v>
      </c>
      <c r="N42" s="21">
        <f t="shared" si="242"/>
        <v>0.24779186941593775</v>
      </c>
      <c r="O42" s="5">
        <f t="shared" si="243"/>
        <v>-3.5436124374652822</v>
      </c>
      <c r="P42" s="10">
        <f t="shared" si="244"/>
        <v>-0.91959543895213602</v>
      </c>
      <c r="Q42" s="624">
        <f t="shared" si="116"/>
        <v>273.99997343369074</v>
      </c>
      <c r="R42" s="5">
        <f t="shared" ref="R42:R47" si="389">IF(M42="","",SQRT(N42^2+O42^2))</f>
        <v>3.5522654627022576</v>
      </c>
      <c r="S42" s="6">
        <f t="shared" ref="S42:S47" si="390">IF(M42="","",P42)</f>
        <v>-0.91959543895213602</v>
      </c>
      <c r="T42" s="4">
        <f t="shared" ref="T42:T47" si="391">IF(M42="","",X42*COS(RADIANS(W42)))</f>
        <v>-3.5392354208973944</v>
      </c>
      <c r="U42" s="5">
        <f t="shared" ref="U42:U47" si="392">IF(M42="","",X42*SIN(RADIANS(W42)))</f>
        <v>-0.30397788237391199</v>
      </c>
      <c r="V42" s="8">
        <f t="shared" ref="V42:V47" si="393">IF(M42="","",Y42)</f>
        <v>-0.91959543895213602</v>
      </c>
      <c r="W42" s="624">
        <f t="shared" si="226"/>
        <v>184.90897330244741</v>
      </c>
      <c r="X42" s="5">
        <f t="shared" ref="X42:X47" si="394">IF(M42="","",R42)</f>
        <v>3.5522654627022576</v>
      </c>
      <c r="Y42" s="7">
        <f t="shared" si="225"/>
        <v>-0.91959543895213602</v>
      </c>
      <c r="Z42" s="21">
        <f t="shared" si="245"/>
        <v>-5.0178495797404819E-2</v>
      </c>
      <c r="AA42" s="5">
        <f t="shared" si="246"/>
        <v>0.71758745185796513</v>
      </c>
      <c r="AB42" s="5">
        <f t="shared" si="247"/>
        <v>-0.69465845384296776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-5.0178495797404819E-2</v>
      </c>
      <c r="AE42" s="5">
        <f t="shared" ref="AE42:AE47" si="397">IF(M42="","",AA42*(1/SQRT(Z42^2+AA42^2+AB42^2)))</f>
        <v>0.71758745185796513</v>
      </c>
      <c r="AF42" s="10">
        <f t="shared" ref="AF42:AF47" si="398">IF(M42="","",AB42*(1/SQRT(Z42^2+AA42^2+AB42^2)))</f>
        <v>-0.69465845384296776</v>
      </c>
      <c r="AG42" s="622">
        <f t="shared" ref="AG42:AG47" si="399">IF(M42="","",DEGREES(ATAN2(-AF42,AE42)))</f>
        <v>45.930163361129786</v>
      </c>
      <c r="AH42" s="623">
        <f t="shared" ref="AH42:AH47" si="400">IF(M42="","",DEGREES(ACOS(AD42)))</f>
        <v>92.876223892154272</v>
      </c>
      <c r="AI42" s="624">
        <f t="shared" ref="AI42:AI47" si="401">IF(M42="","",DEGREES(-ACOS(-AF42)))</f>
        <v>-45.999993358424135</v>
      </c>
      <c r="AJ42" s="625">
        <f t="shared" ref="AJ42:AJ47" si="402">IF(M42="","",DEGREES(ATAN2(-AE42,AD42)))</f>
        <v>-176.00000850197881</v>
      </c>
      <c r="AK42" s="4">
        <f t="shared" ref="AK42:AK47" si="403">IF(M42="","",(COS(RADIANS((90-$Q$8)-W42))*AD42)+(-SIN(RADIANS((90-$Q$8)-W42))*AE42))</f>
        <v>2.2679489704996447E-7</v>
      </c>
      <c r="AL42" s="5">
        <f t="shared" ref="AL42:AL47" si="404">IF(M42="","",(SIN(RADIANS((90-$Q$8)-W42))*AD42)+(COS(RADIANS((90-$Q$8)-W42))*AE42))</f>
        <v>-0.71933971981564193</v>
      </c>
      <c r="AM42" s="6">
        <f t="shared" ref="AM42:AM47" si="405">IF(M42="","",AF42)</f>
        <v>-0.69465845384296776</v>
      </c>
      <c r="AN42" s="612">
        <f t="shared" ref="AN42:AN47" si="406">IF(M42="","",DEGREES(ATAN2(-AM42,AL42)))</f>
        <v>-45.999993358422721</v>
      </c>
      <c r="AO42" s="613">
        <f t="shared" si="98"/>
        <v>0</v>
      </c>
      <c r="AP42" s="624">
        <f t="shared" ref="AP42:AP47" si="407">IF(M42="","",DEGREES(ATAN2(AK42,AL42)))</f>
        <v>-89.999981935669538</v>
      </c>
      <c r="AQ42" s="625">
        <f t="shared" si="248"/>
        <v>3.4869011194020278</v>
      </c>
      <c r="AS42" s="56">
        <f t="shared" si="119"/>
        <v>-175.09102669755259</v>
      </c>
      <c r="AT42" s="77">
        <f t="shared" si="249"/>
        <v>-0.25470644970163436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4.2249999999999996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4.125</v>
      </c>
      <c r="II42" s="800" cm="1">
        <f t="array" ref="II42">IFERROR(IF($IH42&lt;1,$IH42+LARGE((IF($M$9:$M$150="",0,$M$9:$M$150)-MOD(IF($M$9:$M$150="",0,$M$9:$M$150),1)),1),$IH42),"")</f>
        <v>4.125</v>
      </c>
      <c r="IJ42" s="839" t="str">
        <f t="shared" si="385"/>
        <v>1613</v>
      </c>
      <c r="IK42" s="839" t="str">
        <f t="shared" si="386"/>
        <v/>
      </c>
      <c r="IL42" s="791">
        <f t="shared" si="227"/>
        <v>15.695297733879386</v>
      </c>
      <c r="IM42" s="830">
        <v>1.17130111739123E-2</v>
      </c>
      <c r="IN42" s="5">
        <f t="shared" si="228"/>
        <v>0.9</v>
      </c>
      <c r="IO42" s="852">
        <v>450</v>
      </c>
      <c r="IP42" s="9">
        <f t="shared" si="229"/>
        <v>-3.5287106425912986</v>
      </c>
      <c r="IQ42" s="5">
        <f t="shared" si="230"/>
        <v>-0.8999027141065864</v>
      </c>
      <c r="IR42" s="5">
        <f t="shared" si="387"/>
        <v>0.314</v>
      </c>
      <c r="IS42" s="5">
        <f t="shared" si="231"/>
        <v>0.28817161333279656</v>
      </c>
      <c r="IT42" s="791">
        <f t="shared" si="232"/>
        <v>66.999935482024895</v>
      </c>
      <c r="IU42" s="9">
        <f t="shared" si="233"/>
        <v>-3.5522654627022576</v>
      </c>
      <c r="IV42" s="5">
        <f t="shared" si="234"/>
        <v>-0.91959543895213602</v>
      </c>
      <c r="IW42" s="5">
        <f t="shared" si="388"/>
        <v>0.25700000000000001</v>
      </c>
      <c r="IX42" s="5">
        <f t="shared" si="235"/>
        <v>0.25700000000000001</v>
      </c>
      <c r="IY42" s="833">
        <f t="shared" si="236"/>
        <v>45.999993358422721</v>
      </c>
    </row>
    <row r="43" spans="1:259" ht="15" customHeight="1" x14ac:dyDescent="0.25">
      <c r="A43" s="84">
        <f t="shared" si="81"/>
        <v>0</v>
      </c>
      <c r="B43" s="770">
        <v>0.26158504201510213</v>
      </c>
      <c r="C43" s="771">
        <v>-3.7408653097637661</v>
      </c>
      <c r="D43" s="772">
        <v>-1.6893699840287602</v>
      </c>
      <c r="E43" s="773">
        <v>6.9756237446466765E-2</v>
      </c>
      <c r="F43" s="771">
        <v>-0.99756406678331233</v>
      </c>
      <c r="G43" s="774">
        <v>2.2679489678254405E-7</v>
      </c>
      <c r="H43" s="773">
        <v>0.25700000000000001</v>
      </c>
      <c r="I43" s="771">
        <v>0.41499999999999992</v>
      </c>
      <c r="J43" s="601">
        <v>4.2320000000000002</v>
      </c>
      <c r="K43" s="426" t="str">
        <f t="shared" si="82"/>
        <v/>
      </c>
      <c r="L43" s="327"/>
      <c r="M43" s="173">
        <f t="shared" si="241"/>
        <v>4.2320000000000002</v>
      </c>
      <c r="N43" s="21">
        <f t="shared" si="242"/>
        <v>0.26158504201510213</v>
      </c>
      <c r="O43" s="5">
        <f t="shared" si="243"/>
        <v>-3.7408653097637661</v>
      </c>
      <c r="P43" s="10">
        <f t="shared" si="244"/>
        <v>-1.6893699840287602</v>
      </c>
      <c r="Q43" s="624">
        <f t="shared" si="116"/>
        <v>273.99997343369074</v>
      </c>
      <c r="R43" s="5">
        <f t="shared" si="389"/>
        <v>3.75</v>
      </c>
      <c r="S43" s="6">
        <f t="shared" si="390"/>
        <v>-1.6893699840287602</v>
      </c>
      <c r="T43" s="4">
        <f t="shared" si="391"/>
        <v>-3.7362446494268853</v>
      </c>
      <c r="U43" s="5">
        <f t="shared" si="392"/>
        <v>-0.32089861269405784</v>
      </c>
      <c r="V43" s="8">
        <f t="shared" si="393"/>
        <v>-1.6893699840287602</v>
      </c>
      <c r="W43" s="624">
        <f t="shared" si="226"/>
        <v>184.90897330244741</v>
      </c>
      <c r="X43" s="5">
        <f t="shared" si="394"/>
        <v>3.75</v>
      </c>
      <c r="Y43" s="7">
        <f t="shared" si="225"/>
        <v>-1.6893699840287602</v>
      </c>
      <c r="Z43" s="21">
        <f t="shared" si="245"/>
        <v>-6.9756237446466765E-2</v>
      </c>
      <c r="AA43" s="5">
        <f t="shared" si="246"/>
        <v>0.99756406678331233</v>
      </c>
      <c r="AB43" s="5">
        <f t="shared" si="247"/>
        <v>-2.2679489678254405E-7</v>
      </c>
      <c r="AC43" s="8">
        <f t="shared" si="395"/>
        <v>1</v>
      </c>
      <c r="AD43" s="9">
        <f t="shared" si="396"/>
        <v>-6.9756237446466765E-2</v>
      </c>
      <c r="AE43" s="5">
        <f t="shared" si="397"/>
        <v>0.99756406678331233</v>
      </c>
      <c r="AF43" s="10">
        <f t="shared" si="398"/>
        <v>-2.2679489678254405E-7</v>
      </c>
      <c r="AG43" s="622">
        <f t="shared" si="399"/>
        <v>89.999986973878848</v>
      </c>
      <c r="AH43" s="623">
        <f t="shared" si="400"/>
        <v>93.999986428081058</v>
      </c>
      <c r="AI43" s="624">
        <f t="shared" si="401"/>
        <v>-89.999987005609597</v>
      </c>
      <c r="AJ43" s="625">
        <f t="shared" si="402"/>
        <v>-176.00001357191883</v>
      </c>
      <c r="AK43" s="4">
        <f t="shared" si="403"/>
        <v>2.2679489720955903E-7</v>
      </c>
      <c r="AL43" s="5">
        <f t="shared" si="404"/>
        <v>-0.9999999999999486</v>
      </c>
      <c r="AM43" s="6">
        <f t="shared" si="405"/>
        <v>-2.2679489678254405E-7</v>
      </c>
      <c r="AN43" s="612">
        <f t="shared" si="406"/>
        <v>-89.999987005609611</v>
      </c>
      <c r="AO43" s="613">
        <f t="shared" si="98"/>
        <v>0</v>
      </c>
      <c r="AP43" s="624">
        <f t="shared" si="407"/>
        <v>-89.999987005609583</v>
      </c>
      <c r="AQ43" s="625">
        <f t="shared" si="248"/>
        <v>3.3034580647038347</v>
      </c>
      <c r="AS43" s="56">
        <f t="shared" ref="AS43:AS74" si="410">IF(G43="","",IF(AND(W43&lt;(AS42+180),W43&gt;(AS42-180)),W43,IF(W43&gt;(AS42+180),W43-360,IF(W43&lt;(AS42-180),W43+360,"Error"))))</f>
        <v>-175.09102669755259</v>
      </c>
      <c r="AT43" s="77">
        <f t="shared" si="249"/>
        <v>-1.0244809947782585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>
        <f>IFERROR(IF((((($IW43*COS(RADIANS(180-$IY43)))*COS(RADIANS($IY43)))-(($IX43*SIN(RADIANS(180-$IY43)))*SIN(RADIANS($IY43))))+$IU43)&lt;(((Settings!$C$19/2)*-1)+$IF$8),1,""),"")</f>
        <v>1</v>
      </c>
      <c r="IG43" s="836">
        <f t="shared" si="384"/>
        <v>4.2320000000000002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4.1319999999999997</v>
      </c>
      <c r="II43" s="800" cm="1">
        <f t="array" ref="II43">IFERROR(IF($IH43&lt;1,$IH43+LARGE((IF($M$9:$M$150="",0,$M$9:$M$150)-MOD(IF($M$9:$M$150="",0,$M$9:$M$150),1)),1),$IH43),"")</f>
        <v>4.1319999999999997</v>
      </c>
      <c r="IJ43" s="839" t="str">
        <f t="shared" si="385"/>
        <v>1613</v>
      </c>
      <c r="IK43" s="839" t="str">
        <f t="shared" si="386"/>
        <v/>
      </c>
      <c r="IL43" s="791">
        <f t="shared" si="227"/>
        <v>14.999997492457624</v>
      </c>
      <c r="IM43" s="830">
        <v>2.38588529578632E-4</v>
      </c>
      <c r="IN43" s="5">
        <f t="shared" si="228"/>
        <v>0</v>
      </c>
      <c r="IO43" s="852">
        <v>0</v>
      </c>
      <c r="IP43" s="9">
        <f t="shared" si="229"/>
        <v>-3.7029000041332027</v>
      </c>
      <c r="IQ43" s="5">
        <f t="shared" si="230"/>
        <v>-1.7026999999999992</v>
      </c>
      <c r="IR43" s="5">
        <f t="shared" si="387"/>
        <v>0.314</v>
      </c>
      <c r="IS43" s="5">
        <f t="shared" si="231"/>
        <v>0.25721375750436609</v>
      </c>
      <c r="IT43" s="791">
        <f t="shared" si="232"/>
        <v>89.99998700560964</v>
      </c>
      <c r="IU43" s="9">
        <f t="shared" si="233"/>
        <v>-3.75</v>
      </c>
      <c r="IV43" s="5">
        <f t="shared" si="234"/>
        <v>-1.6893699840287602</v>
      </c>
      <c r="IW43" s="5">
        <f t="shared" si="388"/>
        <v>0.25700000000000001</v>
      </c>
      <c r="IX43" s="5">
        <f t="shared" si="235"/>
        <v>0.25700000000000001</v>
      </c>
      <c r="IY43" s="833">
        <f t="shared" si="236"/>
        <v>89.999987005609611</v>
      </c>
    </row>
    <row r="44" spans="1:259" ht="15" customHeight="1" x14ac:dyDescent="0.25">
      <c r="A44" s="84">
        <f t="shared" si="81"/>
        <v>0.02</v>
      </c>
      <c r="B44" s="770">
        <v>-0.23834860214898113</v>
      </c>
      <c r="C44" s="771">
        <v>-0.53533915906429785</v>
      </c>
      <c r="D44" s="772">
        <v>-0.43020129748711328</v>
      </c>
      <c r="E44" s="773">
        <v>0.90291932413584053</v>
      </c>
      <c r="F44" s="771">
        <v>-0.31681224107988654</v>
      </c>
      <c r="G44" s="774">
        <v>0.29045946017304536</v>
      </c>
      <c r="H44" s="773">
        <v>0.314</v>
      </c>
      <c r="I44" s="771">
        <v>0.52</v>
      </c>
      <c r="J44" s="601">
        <v>5.1020000000000003</v>
      </c>
      <c r="K44" s="426" t="str">
        <f t="shared" si="82"/>
        <v>1613</v>
      </c>
      <c r="L44" s="327"/>
      <c r="M44" s="173">
        <f t="shared" si="241"/>
        <v>5.1020000000000003</v>
      </c>
      <c r="N44" s="21">
        <f t="shared" si="242"/>
        <v>-0.23834860214898113</v>
      </c>
      <c r="O44" s="5">
        <f t="shared" si="243"/>
        <v>-0.53533915906429785</v>
      </c>
      <c r="P44" s="10">
        <f t="shared" si="244"/>
        <v>-0.43020129748711328</v>
      </c>
      <c r="Q44" s="624">
        <f t="shared" si="116"/>
        <v>245.99997747639003</v>
      </c>
      <c r="R44" s="5">
        <f t="shared" si="389"/>
        <v>0.58600176738133036</v>
      </c>
      <c r="S44" s="6">
        <f t="shared" si="390"/>
        <v>-0.43020129748711328</v>
      </c>
      <c r="T44" s="4">
        <f t="shared" si="391"/>
        <v>-0.5390530397990283</v>
      </c>
      <c r="U44" s="5">
        <f t="shared" si="392"/>
        <v>0.22982578544947921</v>
      </c>
      <c r="V44" s="8">
        <f t="shared" si="393"/>
        <v>-0.43020129748711328</v>
      </c>
      <c r="W44" s="624">
        <f t="shared" si="226"/>
        <v>156.9089773451467</v>
      </c>
      <c r="X44" s="5">
        <f t="shared" si="394"/>
        <v>0.58600176738133036</v>
      </c>
      <c r="Y44" s="7">
        <f t="shared" si="225"/>
        <v>-0.43020129748711328</v>
      </c>
      <c r="Z44" s="21">
        <f t="shared" si="245"/>
        <v>-0.90291932413584053</v>
      </c>
      <c r="AA44" s="5">
        <f t="shared" si="246"/>
        <v>0.31681224107988654</v>
      </c>
      <c r="AB44" s="5">
        <f t="shared" si="247"/>
        <v>-0.29045946017304536</v>
      </c>
      <c r="AC44" s="8">
        <f t="shared" si="395"/>
        <v>1</v>
      </c>
      <c r="AD44" s="9">
        <f t="shared" si="396"/>
        <v>-0.90291932413584053</v>
      </c>
      <c r="AE44" s="5">
        <f t="shared" si="397"/>
        <v>0.31681224107988654</v>
      </c>
      <c r="AF44" s="10">
        <f t="shared" si="398"/>
        <v>-0.29045946017304536</v>
      </c>
      <c r="AG44" s="622">
        <f t="shared" si="399"/>
        <v>47.484812638638566</v>
      </c>
      <c r="AH44" s="623">
        <f t="shared" si="400"/>
        <v>154.54449284699464</v>
      </c>
      <c r="AI44" s="624">
        <f t="shared" si="401"/>
        <v>-73.114534769632428</v>
      </c>
      <c r="AJ44" s="625">
        <f t="shared" si="402"/>
        <v>-109.3347205748273</v>
      </c>
      <c r="AK44" s="4">
        <f t="shared" si="403"/>
        <v>0.95371696400905348</v>
      </c>
      <c r="AL44" s="5">
        <f t="shared" si="404"/>
        <v>7.7828366019961182E-2</v>
      </c>
      <c r="AM44" s="6">
        <f t="shared" si="405"/>
        <v>-0.29045946017304536</v>
      </c>
      <c r="AN44" s="612">
        <f t="shared" si="406"/>
        <v>14.999997834268203</v>
      </c>
      <c r="AO44" s="613">
        <f t="shared" si="98"/>
        <v>17.499997473312952</v>
      </c>
      <c r="AP44" s="624">
        <f t="shared" si="407"/>
        <v>4.665301948782683</v>
      </c>
      <c r="AQ44" s="625">
        <f t="shared" si="248"/>
        <v>20.272652862713858</v>
      </c>
      <c r="AS44" s="56">
        <f t="shared" si="410"/>
        <v>-203.0910226548533</v>
      </c>
      <c r="AT44" s="77">
        <f t="shared" si="249"/>
        <v>0.34046545426874669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5.1020000000000003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0.02</v>
      </c>
      <c r="B45" s="770">
        <v>-0.53323381811828408</v>
      </c>
      <c r="C45" s="771">
        <v>-1.1976614974970892</v>
      </c>
      <c r="D45" s="772">
        <v>-0.23600071177814663</v>
      </c>
      <c r="E45" s="773">
        <v>0.90966321064955358</v>
      </c>
      <c r="F45" s="771">
        <v>-0.33168186498248137</v>
      </c>
      <c r="G45" s="774">
        <v>0.24999996726497573</v>
      </c>
      <c r="H45" s="773">
        <v>0.314</v>
      </c>
      <c r="I45" s="771">
        <v>0.52</v>
      </c>
      <c r="J45" s="601">
        <v>5.1050000000000004</v>
      </c>
      <c r="K45" s="426" t="str">
        <f t="shared" si="82"/>
        <v>1613</v>
      </c>
      <c r="L45" s="327"/>
      <c r="M45" s="173">
        <f t="shared" si="241"/>
        <v>5.1050000000000004</v>
      </c>
      <c r="N45" s="21">
        <f t="shared" si="242"/>
        <v>-0.53323381811828408</v>
      </c>
      <c r="O45" s="5">
        <f t="shared" si="243"/>
        <v>-1.1976614974970892</v>
      </c>
      <c r="P45" s="10">
        <f t="shared" si="244"/>
        <v>-0.23600071177814663</v>
      </c>
      <c r="Q45" s="624">
        <f t="shared" si="116"/>
        <v>245.99997747639</v>
      </c>
      <c r="R45" s="5">
        <f t="shared" si="389"/>
        <v>1.311003953987925</v>
      </c>
      <c r="S45" s="6">
        <f t="shared" si="390"/>
        <v>-0.23600071177814663</v>
      </c>
      <c r="T45" s="4">
        <f t="shared" si="391"/>
        <v>-1.205970196546972</v>
      </c>
      <c r="U45" s="5">
        <f t="shared" si="392"/>
        <v>0.51416656096291491</v>
      </c>
      <c r="V45" s="8">
        <f t="shared" si="393"/>
        <v>-0.23600071177814663</v>
      </c>
      <c r="W45" s="624">
        <f t="shared" si="226"/>
        <v>156.90897734514664</v>
      </c>
      <c r="X45" s="5">
        <f t="shared" si="394"/>
        <v>1.311003953987925</v>
      </c>
      <c r="Y45" s="7">
        <f t="shared" si="225"/>
        <v>-0.23600071177814663</v>
      </c>
      <c r="Z45" s="21">
        <f t="shared" si="245"/>
        <v>-0.90966321064955358</v>
      </c>
      <c r="AA45" s="5">
        <f t="shared" si="246"/>
        <v>0.33168186498248137</v>
      </c>
      <c r="AB45" s="5">
        <f t="shared" si="247"/>
        <v>-0.24999996726497573</v>
      </c>
      <c r="AC45" s="8">
        <f t="shared" si="395"/>
        <v>1</v>
      </c>
      <c r="AD45" s="9">
        <f t="shared" si="396"/>
        <v>-0.90966321064955358</v>
      </c>
      <c r="AE45" s="5">
        <f t="shared" si="397"/>
        <v>0.33168186498248137</v>
      </c>
      <c r="AF45" s="10">
        <f t="shared" si="398"/>
        <v>-0.24999996726497573</v>
      </c>
      <c r="AG45" s="622">
        <f t="shared" si="399"/>
        <v>52.993416882614419</v>
      </c>
      <c r="AH45" s="623">
        <f t="shared" si="400"/>
        <v>155.45885115311449</v>
      </c>
      <c r="AI45" s="624">
        <f t="shared" si="401"/>
        <v>-75.522489751159455</v>
      </c>
      <c r="AJ45" s="625">
        <f t="shared" si="402"/>
        <v>-110.03289287852346</v>
      </c>
      <c r="AK45" s="4">
        <f t="shared" si="403"/>
        <v>0.96592583607220739</v>
      </c>
      <c r="AL45" s="5">
        <f t="shared" si="404"/>
        <v>6.6987279208207406E-2</v>
      </c>
      <c r="AM45" s="6">
        <f t="shared" si="405"/>
        <v>-0.24999996726497573</v>
      </c>
      <c r="AN45" s="612">
        <f t="shared" si="406"/>
        <v>14.999997834268306</v>
      </c>
      <c r="AO45" s="613">
        <f t="shared" si="98"/>
        <v>14.999997834268255</v>
      </c>
      <c r="AP45" s="624">
        <f t="shared" si="407"/>
        <v>3.9671296450865841</v>
      </c>
      <c r="AQ45" s="625">
        <f t="shared" si="248"/>
        <v>9.3751316227394934</v>
      </c>
      <c r="AS45" s="56">
        <f t="shared" si="410"/>
        <v>-203.09102265485336</v>
      </c>
      <c r="AT45" s="77">
        <f t="shared" si="249"/>
        <v>0.53466603997771345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5.1050000000000004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-0.88493660014283981</v>
      </c>
      <c r="C46" s="771">
        <v>-1.9553819808126494</v>
      </c>
      <c r="D46" s="772">
        <v>-4.4800135117207492E-2</v>
      </c>
      <c r="E46" s="773">
        <v>0.86130086298768205</v>
      </c>
      <c r="F46" s="771">
        <v>-0.43737790659161929</v>
      </c>
      <c r="G46" s="774">
        <v>0.25857569538184966</v>
      </c>
      <c r="H46" s="773">
        <v>0.314</v>
      </c>
      <c r="I46" s="771">
        <v>0.52</v>
      </c>
      <c r="J46" s="601">
        <v>5.1100000000000003</v>
      </c>
      <c r="K46" s="426" t="str">
        <f t="shared" si="82"/>
        <v>1613</v>
      </c>
      <c r="L46" s="327"/>
      <c r="M46" s="173">
        <f t="shared" si="241"/>
        <v>5.1100000000000003</v>
      </c>
      <c r="N46" s="21">
        <f t="shared" si="242"/>
        <v>-0.88493660014283981</v>
      </c>
      <c r="O46" s="5">
        <f t="shared" si="243"/>
        <v>-1.9553819808126494</v>
      </c>
      <c r="P46" s="10">
        <f t="shared" si="244"/>
        <v>-4.4800135117207492E-2</v>
      </c>
      <c r="Q46" s="624">
        <f t="shared" si="116"/>
        <v>245.65017752689488</v>
      </c>
      <c r="R46" s="5">
        <f t="shared" si="389"/>
        <v>2.1463064732603234</v>
      </c>
      <c r="S46" s="6">
        <f t="shared" si="390"/>
        <v>-4.4800135117207492E-2</v>
      </c>
      <c r="T46" s="4">
        <f t="shared" si="391"/>
        <v>-1.9691748677752763</v>
      </c>
      <c r="U46" s="5">
        <f t="shared" si="392"/>
        <v>0.85380432025224029</v>
      </c>
      <c r="V46" s="8">
        <f t="shared" si="393"/>
        <v>-4.4800135117207492E-2</v>
      </c>
      <c r="W46" s="624">
        <f t="shared" si="226"/>
        <v>156.55917739565155</v>
      </c>
      <c r="X46" s="5">
        <f t="shared" si="394"/>
        <v>2.1463064732603234</v>
      </c>
      <c r="Y46" s="7">
        <f t="shared" si="225"/>
        <v>-4.4800135117207492E-2</v>
      </c>
      <c r="Z46" s="21">
        <f t="shared" si="245"/>
        <v>-0.86130086298768205</v>
      </c>
      <c r="AA46" s="5">
        <f t="shared" si="246"/>
        <v>0.43737790659161929</v>
      </c>
      <c r="AB46" s="5">
        <f t="shared" si="247"/>
        <v>-0.25857569538184966</v>
      </c>
      <c r="AC46" s="8">
        <f t="shared" si="395"/>
        <v>1</v>
      </c>
      <c r="AD46" s="9">
        <f t="shared" si="396"/>
        <v>-0.86130086298768205</v>
      </c>
      <c r="AE46" s="5">
        <f t="shared" si="397"/>
        <v>0.43737790659161929</v>
      </c>
      <c r="AF46" s="10">
        <f t="shared" si="398"/>
        <v>-0.25857569538184966</v>
      </c>
      <c r="AG46" s="622">
        <f t="shared" si="399"/>
        <v>59.408626653949213</v>
      </c>
      <c r="AH46" s="623">
        <f t="shared" si="400"/>
        <v>149.46295897083425</v>
      </c>
      <c r="AI46" s="624">
        <f t="shared" si="401"/>
        <v>-75.014434277589345</v>
      </c>
      <c r="AJ46" s="625">
        <f t="shared" si="402"/>
        <v>-116.9219535650227</v>
      </c>
      <c r="AK46" s="4">
        <f t="shared" si="403"/>
        <v>0.96501777867491967</v>
      </c>
      <c r="AL46" s="5">
        <f t="shared" si="404"/>
        <v>-4.3350854652672355E-2</v>
      </c>
      <c r="AM46" s="6">
        <f t="shared" si="405"/>
        <v>-0.25857569538184966</v>
      </c>
      <c r="AN46" s="612">
        <f t="shared" si="406"/>
        <v>-9.5172693651475839</v>
      </c>
      <c r="AO46" s="613">
        <f t="shared" si="98"/>
        <v>15.199719362739849</v>
      </c>
      <c r="AP46" s="624">
        <f t="shared" si="407"/>
        <v>-2.5721310919175795</v>
      </c>
      <c r="AQ46" s="625">
        <f t="shared" si="248"/>
        <v>5.7586950462322868</v>
      </c>
      <c r="AS46" s="56">
        <f t="shared" si="410"/>
        <v>-203.44082260434845</v>
      </c>
      <c r="AT46" s="77">
        <f t="shared" si="249"/>
        <v>0.72718808311452299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5.1100000000000003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0.02</v>
      </c>
      <c r="B47" s="770">
        <v>-1.2559161208794649</v>
      </c>
      <c r="C47" s="771">
        <v>-2.650069684670743</v>
      </c>
      <c r="D47" s="772">
        <v>-0.23680071419095389</v>
      </c>
      <c r="E47" s="773">
        <v>0.78882117556782572</v>
      </c>
      <c r="F47" s="771">
        <v>-0.57976471765471949</v>
      </c>
      <c r="G47" s="774">
        <v>0.20404417447831483</v>
      </c>
      <c r="H47" s="773">
        <v>0.314</v>
      </c>
      <c r="I47" s="771">
        <v>0.52</v>
      </c>
      <c r="J47" s="601">
        <v>5.117</v>
      </c>
      <c r="K47" s="426" t="str">
        <f t="shared" si="82"/>
        <v>1613</v>
      </c>
      <c r="L47" s="327"/>
      <c r="M47" s="173">
        <f t="shared" si="241"/>
        <v>5.117</v>
      </c>
      <c r="N47" s="21">
        <f t="shared" si="242"/>
        <v>-1.2559161208794649</v>
      </c>
      <c r="O47" s="5">
        <f t="shared" si="243"/>
        <v>-2.650069684670743</v>
      </c>
      <c r="P47" s="10">
        <f t="shared" si="244"/>
        <v>-0.23680071419095389</v>
      </c>
      <c r="Q47" s="624">
        <f t="shared" si="116"/>
        <v>244.642877672331</v>
      </c>
      <c r="R47" s="5">
        <f t="shared" si="389"/>
        <v>2.9326088447482754</v>
      </c>
      <c r="S47" s="6">
        <f t="shared" si="390"/>
        <v>-0.23680071419095389</v>
      </c>
      <c r="T47" s="4">
        <f t="shared" si="391"/>
        <v>-2.6696605054529634</v>
      </c>
      <c r="U47" s="5">
        <f t="shared" si="392"/>
        <v>1.2137163679873659</v>
      </c>
      <c r="V47" s="8">
        <f t="shared" si="393"/>
        <v>-0.23680071419095389</v>
      </c>
      <c r="W47" s="624">
        <f t="shared" si="226"/>
        <v>155.55187754108766</v>
      </c>
      <c r="X47" s="5">
        <f t="shared" si="394"/>
        <v>2.9326088447482754</v>
      </c>
      <c r="Y47" s="7">
        <f t="shared" si="225"/>
        <v>-0.23680071419095389</v>
      </c>
      <c r="Z47" s="21">
        <f t="shared" si="245"/>
        <v>-0.78882117556782572</v>
      </c>
      <c r="AA47" s="5">
        <f t="shared" si="246"/>
        <v>0.57976471765471949</v>
      </c>
      <c r="AB47" s="5">
        <f t="shared" si="247"/>
        <v>-0.20404417447831483</v>
      </c>
      <c r="AC47" s="8">
        <f t="shared" si="395"/>
        <v>1</v>
      </c>
      <c r="AD47" s="9">
        <f t="shared" si="396"/>
        <v>-0.78882117556782572</v>
      </c>
      <c r="AE47" s="5">
        <f t="shared" si="397"/>
        <v>0.57976471765471949</v>
      </c>
      <c r="AF47" s="10">
        <f t="shared" si="398"/>
        <v>-0.20404417447831483</v>
      </c>
      <c r="AG47" s="622">
        <f t="shared" si="399"/>
        <v>70.61083380098971</v>
      </c>
      <c r="AH47" s="623">
        <f t="shared" si="400"/>
        <v>142.07548459040495</v>
      </c>
      <c r="AI47" s="624">
        <f t="shared" si="401"/>
        <v>-78.226448340880523</v>
      </c>
      <c r="AJ47" s="625">
        <f t="shared" si="402"/>
        <v>-126.31499764660302</v>
      </c>
      <c r="AK47" s="4">
        <f t="shared" si="403"/>
        <v>0.96111247303431702</v>
      </c>
      <c r="AL47" s="5">
        <f t="shared" si="404"/>
        <v>-0.18608812170399947</v>
      </c>
      <c r="AM47" s="6">
        <f t="shared" si="405"/>
        <v>-0.20404417447831483</v>
      </c>
      <c r="AN47" s="612">
        <f t="shared" si="406"/>
        <v>-42.364790059114377</v>
      </c>
      <c r="AO47" s="613">
        <f t="shared" si="98"/>
        <v>16.030989221929691</v>
      </c>
      <c r="AP47" s="624">
        <f t="shared" si="407"/>
        <v>-10.957875318934004</v>
      </c>
      <c r="AQ47" s="625">
        <f t="shared" si="248"/>
        <v>4.2212469381539961</v>
      </c>
      <c r="AS47" s="56">
        <f t="shared" si="410"/>
        <v>-204.44812245891234</v>
      </c>
      <c r="AT47" s="77">
        <f t="shared" si="249"/>
        <v>0.53899285904690686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5.117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-1.5377764063259014</v>
      </c>
      <c r="C48" s="771">
        <v>-3.1219245328177023</v>
      </c>
      <c r="D48" s="772">
        <v>-0.79910241009286886</v>
      </c>
      <c r="E48" s="773">
        <v>0.67768127441908177</v>
      </c>
      <c r="F48" s="771">
        <v>-0.71650085077548265</v>
      </c>
      <c r="G48" s="774">
        <v>0.16545277616207865</v>
      </c>
      <c r="H48" s="773">
        <v>0.314</v>
      </c>
      <c r="I48" s="771">
        <v>0.52</v>
      </c>
      <c r="J48" s="601">
        <v>5.1239999999999997</v>
      </c>
      <c r="K48" s="426" t="str">
        <f t="shared" si="82"/>
        <v>1613</v>
      </c>
      <c r="L48" s="327"/>
      <c r="M48" s="173">
        <f t="shared" si="241"/>
        <v>5.1239999999999997</v>
      </c>
      <c r="N48" s="21">
        <f t="shared" si="242"/>
        <v>-1.5377764063259014</v>
      </c>
      <c r="O48" s="5">
        <f t="shared" si="243"/>
        <v>-3.1219245328177023</v>
      </c>
      <c r="P48" s="10">
        <f t="shared" si="244"/>
        <v>-0.79910241009286886</v>
      </c>
      <c r="Q48" s="624">
        <f t="shared" si="116"/>
        <v>243.77637779743804</v>
      </c>
      <c r="R48" s="5">
        <f t="shared" si="83"/>
        <v>3.4801104960132561</v>
      </c>
      <c r="S48" s="6">
        <f t="shared" si="84"/>
        <v>-0.79910241009286886</v>
      </c>
      <c r="T48" s="4">
        <f t="shared" si="85"/>
        <v>-3.1459275093164081</v>
      </c>
      <c r="U48" s="5">
        <f t="shared" si="86"/>
        <v>1.4880554998345634</v>
      </c>
      <c r="V48" s="8">
        <f t="shared" si="117"/>
        <v>-0.79910241009286886</v>
      </c>
      <c r="W48" s="624">
        <f t="shared" si="226"/>
        <v>154.68537766619471</v>
      </c>
      <c r="X48" s="5">
        <f t="shared" si="87"/>
        <v>3.4801104960132561</v>
      </c>
      <c r="Y48" s="7">
        <f t="shared" si="225"/>
        <v>-0.79910241009286886</v>
      </c>
      <c r="Z48" s="21">
        <f t="shared" si="245"/>
        <v>-0.67768127441908177</v>
      </c>
      <c r="AA48" s="5">
        <f t="shared" si="246"/>
        <v>0.71650085077548265</v>
      </c>
      <c r="AB48" s="5">
        <f t="shared" si="247"/>
        <v>-0.16545277616207865</v>
      </c>
      <c r="AC48" s="8">
        <f t="shared" si="88"/>
        <v>1</v>
      </c>
      <c r="AD48" s="9">
        <f t="shared" si="118"/>
        <v>-0.67768127441908177</v>
      </c>
      <c r="AE48" s="5">
        <f t="shared" si="89"/>
        <v>0.71650085077548265</v>
      </c>
      <c r="AF48" s="10">
        <f t="shared" si="90"/>
        <v>-0.16545277616207865</v>
      </c>
      <c r="AG48" s="622">
        <f t="shared" si="91"/>
        <v>76.997303304870158</v>
      </c>
      <c r="AH48" s="623">
        <f t="shared" si="92"/>
        <v>132.66271428700728</v>
      </c>
      <c r="AI48" s="624">
        <f t="shared" si="93"/>
        <v>-80.476461841409105</v>
      </c>
      <c r="AJ48" s="625">
        <f t="shared" si="94"/>
        <v>-136.59493033043506</v>
      </c>
      <c r="AK48" s="4">
        <f t="shared" si="213"/>
        <v>0.92453613273514135</v>
      </c>
      <c r="AL48" s="5">
        <f t="shared" si="95"/>
        <v>-0.3433049928669995</v>
      </c>
      <c r="AM48" s="6">
        <f t="shared" si="96"/>
        <v>-0.16545277616207865</v>
      </c>
      <c r="AN48" s="612">
        <f t="shared" si="97"/>
        <v>-64.268673168490636</v>
      </c>
      <c r="AO48" s="613">
        <f t="shared" si="98"/>
        <v>22.401488597991872</v>
      </c>
      <c r="AP48" s="624">
        <f t="shared" si="99"/>
        <v>-20.371308127873089</v>
      </c>
      <c r="AQ48" s="625">
        <f t="shared" si="248"/>
        <v>3.5590129359726626</v>
      </c>
      <c r="AS48" s="56">
        <f t="shared" si="410"/>
        <v>-205.31462233380529</v>
      </c>
      <c r="AT48" s="77">
        <f t="shared" si="249"/>
        <v>-2.0035392883190339E-2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5.1239999999999997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0.02</v>
      </c>
      <c r="B49" s="770">
        <v>-1.6274054132031213</v>
      </c>
      <c r="C49" s="771">
        <v>-3.2635535972179688</v>
      </c>
      <c r="D49" s="772">
        <v>-1.5625047125142126</v>
      </c>
      <c r="E49" s="773">
        <v>0.55148672689532452</v>
      </c>
      <c r="F49" s="771">
        <v>-0.83157559148437588</v>
      </c>
      <c r="G49" s="774">
        <v>6.5912257628550991E-2</v>
      </c>
      <c r="H49" s="773">
        <v>0.314</v>
      </c>
      <c r="I49" s="771">
        <v>0.52</v>
      </c>
      <c r="J49" s="601">
        <v>5.1310000000000002</v>
      </c>
      <c r="K49" s="426" t="str">
        <f t="shared" si="82"/>
        <v>1613</v>
      </c>
      <c r="L49" s="327"/>
      <c r="M49" s="173">
        <f t="shared" si="241"/>
        <v>5.1310000000000002</v>
      </c>
      <c r="N49" s="21">
        <f t="shared" si="242"/>
        <v>-1.6274054132031213</v>
      </c>
      <c r="O49" s="5">
        <f t="shared" si="243"/>
        <v>-3.2635535972179688</v>
      </c>
      <c r="P49" s="10">
        <f t="shared" si="244"/>
        <v>-1.5625047125142126</v>
      </c>
      <c r="Q49" s="624">
        <f t="shared" si="116"/>
        <v>243.49637783786505</v>
      </c>
      <c r="R49" s="5">
        <f t="shared" si="83"/>
        <v>3.6468109987819721</v>
      </c>
      <c r="S49" s="6">
        <f t="shared" si="84"/>
        <v>-1.5625047125142126</v>
      </c>
      <c r="T49" s="4">
        <f t="shared" si="85"/>
        <v>-3.288960658290478</v>
      </c>
      <c r="U49" s="5">
        <f t="shared" si="86"/>
        <v>1.5754263705596121</v>
      </c>
      <c r="V49" s="8">
        <f t="shared" si="117"/>
        <v>-1.5625047125142126</v>
      </c>
      <c r="W49" s="624">
        <f t="shared" si="226"/>
        <v>154.40537770662172</v>
      </c>
      <c r="X49" s="5">
        <f t="shared" si="87"/>
        <v>3.6468109987819721</v>
      </c>
      <c r="Y49" s="7">
        <f t="shared" si="225"/>
        <v>-1.5625047125142126</v>
      </c>
      <c r="Z49" s="21">
        <f t="shared" si="245"/>
        <v>-0.55148672689532452</v>
      </c>
      <c r="AA49" s="5">
        <f t="shared" si="246"/>
        <v>0.83157559148437588</v>
      </c>
      <c r="AB49" s="5">
        <f t="shared" si="247"/>
        <v>-6.5912257628550991E-2</v>
      </c>
      <c r="AC49" s="8">
        <f t="shared" si="88"/>
        <v>1</v>
      </c>
      <c r="AD49" s="9">
        <f t="shared" si="118"/>
        <v>-0.55148672689532452</v>
      </c>
      <c r="AE49" s="5">
        <f t="shared" si="89"/>
        <v>0.83157559148437588</v>
      </c>
      <c r="AF49" s="10">
        <f t="shared" si="90"/>
        <v>-6.5912257628550991E-2</v>
      </c>
      <c r="AG49" s="622">
        <f t="shared" si="91"/>
        <v>85.468102534634454</v>
      </c>
      <c r="AH49" s="623">
        <f t="shared" si="92"/>
        <v>123.46906854718735</v>
      </c>
      <c r="AI49" s="624">
        <f t="shared" si="93"/>
        <v>-86.22076601028138</v>
      </c>
      <c r="AJ49" s="625">
        <f t="shared" si="94"/>
        <v>-146.44834222200282</v>
      </c>
      <c r="AK49" s="4">
        <f t="shared" si="213"/>
        <v>0.86462312181782808</v>
      </c>
      <c r="AL49" s="5">
        <f t="shared" si="95"/>
        <v>-0.49807874027336391</v>
      </c>
      <c r="AM49" s="6">
        <f t="shared" si="96"/>
        <v>-6.5912257628550991E-2</v>
      </c>
      <c r="AN49" s="612">
        <f t="shared" si="97"/>
        <v>-82.461677321515651</v>
      </c>
      <c r="AO49" s="613">
        <f t="shared" si="98"/>
        <v>30.160301482682215</v>
      </c>
      <c r="AP49" s="624">
        <f t="shared" si="99"/>
        <v>-29.944720059867887</v>
      </c>
      <c r="AQ49" s="625">
        <f t="shared" si="248"/>
        <v>3.3967158014133125</v>
      </c>
      <c r="AS49" s="56">
        <f t="shared" si="410"/>
        <v>-205.59462229337828</v>
      </c>
      <c r="AT49" s="77">
        <f t="shared" si="249"/>
        <v>-0.78237991767948056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5.1310000000000002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0.02</v>
      </c>
      <c r="B50" s="770">
        <v>-1.6810827155248282</v>
      </c>
      <c r="C50" s="771">
        <v>-3.2993074031233118</v>
      </c>
      <c r="D50" s="772">
        <v>-2.3234999999999992</v>
      </c>
      <c r="E50" s="773">
        <v>0.46947129356355372</v>
      </c>
      <c r="F50" s="771">
        <v>-0.88294773600692056</v>
      </c>
      <c r="G50" s="774">
        <v>1.3008419237961695E-7</v>
      </c>
      <c r="H50" s="773">
        <v>0.314</v>
      </c>
      <c r="I50" s="771">
        <v>0.52</v>
      </c>
      <c r="J50" s="601">
        <v>5.1379999999999999</v>
      </c>
      <c r="K50" s="426" t="str">
        <f t="shared" si="82"/>
        <v>1613</v>
      </c>
      <c r="L50" s="327"/>
      <c r="M50" s="173">
        <f t="shared" si="241"/>
        <v>5.1379999999999999</v>
      </c>
      <c r="N50" s="21">
        <f t="shared" si="242"/>
        <v>-1.6810827155248282</v>
      </c>
      <c r="O50" s="5">
        <f t="shared" si="243"/>
        <v>-3.2993074031233118</v>
      </c>
      <c r="P50" s="10">
        <f t="shared" si="244"/>
        <v>-2.3234999999999992</v>
      </c>
      <c r="Q50" s="624">
        <f t="shared" si="116"/>
        <v>242.99997755618094</v>
      </c>
      <c r="R50" s="5">
        <f t="shared" si="83"/>
        <v>3.7029000036107678</v>
      </c>
      <c r="S50" s="6">
        <f t="shared" si="84"/>
        <v>-2.3234999999999992</v>
      </c>
      <c r="T50" s="4">
        <f t="shared" si="85"/>
        <v>-3.3255615215398007</v>
      </c>
      <c r="U50" s="5">
        <f t="shared" si="86"/>
        <v>1.6285297059601067</v>
      </c>
      <c r="V50" s="8">
        <f t="shared" si="117"/>
        <v>-2.3234999999999992</v>
      </c>
      <c r="W50" s="624">
        <f t="shared" si="226"/>
        <v>153.90897742493758</v>
      </c>
      <c r="X50" s="5">
        <f t="shared" si="87"/>
        <v>3.7029000036107678</v>
      </c>
      <c r="Y50" s="7">
        <f t="shared" si="225"/>
        <v>-2.3234999999999992</v>
      </c>
      <c r="Z50" s="21">
        <f t="shared" si="245"/>
        <v>-0.46947129356355372</v>
      </c>
      <c r="AA50" s="5">
        <f t="shared" si="246"/>
        <v>0.88294773600692056</v>
      </c>
      <c r="AB50" s="5">
        <f t="shared" si="247"/>
        <v>-1.3008419237961695E-7</v>
      </c>
      <c r="AC50" s="8">
        <f t="shared" si="88"/>
        <v>1</v>
      </c>
      <c r="AD50" s="9">
        <f t="shared" si="118"/>
        <v>-0.46947129356355372</v>
      </c>
      <c r="AE50" s="5">
        <f t="shared" si="89"/>
        <v>0.88294773600692056</v>
      </c>
      <c r="AF50" s="10">
        <f t="shared" si="90"/>
        <v>-1.3008419237961695E-7</v>
      </c>
      <c r="AG50" s="622">
        <f t="shared" si="91"/>
        <v>89.999991558645092</v>
      </c>
      <c r="AH50" s="623">
        <f t="shared" si="92"/>
        <v>117.99998252976445</v>
      </c>
      <c r="AI50" s="624">
        <f t="shared" si="93"/>
        <v>-89.999992546724798</v>
      </c>
      <c r="AJ50" s="625">
        <f t="shared" si="94"/>
        <v>-152.00001747023529</v>
      </c>
      <c r="AK50" s="4">
        <f t="shared" si="213"/>
        <v>0.8191520940785213</v>
      </c>
      <c r="AL50" s="5">
        <f t="shared" si="95"/>
        <v>-0.57357636524420741</v>
      </c>
      <c r="AM50" s="6">
        <f t="shared" si="96"/>
        <v>-1.3008419237961695E-7</v>
      </c>
      <c r="AN50" s="612">
        <f t="shared" si="97"/>
        <v>-89.999987005609626</v>
      </c>
      <c r="AO50" s="613">
        <f t="shared" si="98"/>
        <v>34.999995026416876</v>
      </c>
      <c r="AP50" s="624">
        <f t="shared" si="99"/>
        <v>-34.999995026416187</v>
      </c>
      <c r="AQ50" s="625">
        <f t="shared" si="248"/>
        <v>3.3453824182366683</v>
      </c>
      <c r="AS50" s="56">
        <f t="shared" si="410"/>
        <v>-206.09102257506242</v>
      </c>
      <c r="AT50" s="77">
        <f t="shared" si="249"/>
        <v>-1.5414999152122382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5.1379999999999999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0.02</v>
      </c>
      <c r="B51" s="770">
        <v>-1.9773338177457647</v>
      </c>
      <c r="C51" s="771">
        <v>-2.1960501482073829</v>
      </c>
      <c r="D51" s="772">
        <v>-0.19736424839452604</v>
      </c>
      <c r="E51" s="773">
        <v>0.50620653932333259</v>
      </c>
      <c r="F51" s="771">
        <v>-0.78550685956694544</v>
      </c>
      <c r="G51" s="774">
        <v>0.35599706897609518</v>
      </c>
      <c r="H51" s="773">
        <v>0.26600000000000001</v>
      </c>
      <c r="I51" s="771">
        <v>0.52</v>
      </c>
      <c r="J51" s="601">
        <v>5.2169999999999996</v>
      </c>
      <c r="K51" s="426" t="str">
        <f t="shared" si="82"/>
        <v>1313</v>
      </c>
      <c r="L51" s="327"/>
      <c r="M51" s="173">
        <f t="shared" si="241"/>
        <v>5.2169999999999996</v>
      </c>
      <c r="N51" s="21">
        <f t="shared" si="242"/>
        <v>-1.9773338177457647</v>
      </c>
      <c r="O51" s="5">
        <f t="shared" si="243"/>
        <v>-2.1960501482073829</v>
      </c>
      <c r="P51" s="10">
        <f t="shared" si="244"/>
        <v>-0.19736424839452604</v>
      </c>
      <c r="Q51" s="624">
        <f t="shared" si="116"/>
        <v>227.99998007526807</v>
      </c>
      <c r="R51" s="5">
        <f t="shared" si="83"/>
        <v>2.9550778805714595</v>
      </c>
      <c r="S51" s="6">
        <f t="shared" si="84"/>
        <v>-0.19736424839452604</v>
      </c>
      <c r="T51" s="4">
        <f t="shared" si="85"/>
        <v>-2.2271429469726844</v>
      </c>
      <c r="U51" s="5">
        <f t="shared" si="86"/>
        <v>1.9422460127369381</v>
      </c>
      <c r="V51" s="8">
        <f t="shared" si="117"/>
        <v>-0.19736424839452604</v>
      </c>
      <c r="W51" s="624">
        <f t="shared" si="226"/>
        <v>138.90897994402474</v>
      </c>
      <c r="X51" s="5">
        <f t="shared" si="87"/>
        <v>2.9550778805714595</v>
      </c>
      <c r="Y51" s="7">
        <f t="shared" si="225"/>
        <v>-0.19736424839452604</v>
      </c>
      <c r="Z51" s="21">
        <f t="shared" si="245"/>
        <v>-0.50620653932333259</v>
      </c>
      <c r="AA51" s="5">
        <f t="shared" si="246"/>
        <v>0.78550685956694544</v>
      </c>
      <c r="AB51" s="5">
        <f t="shared" si="247"/>
        <v>-0.35599706897609518</v>
      </c>
      <c r="AC51" s="8">
        <f t="shared" si="88"/>
        <v>1</v>
      </c>
      <c r="AD51" s="9">
        <f t="shared" si="118"/>
        <v>-0.50620653932333259</v>
      </c>
      <c r="AE51" s="5">
        <f t="shared" si="89"/>
        <v>0.78550685956694544</v>
      </c>
      <c r="AF51" s="10">
        <f t="shared" si="90"/>
        <v>-0.35599706897609518</v>
      </c>
      <c r="AG51" s="622">
        <f t="shared" si="91"/>
        <v>65.619641950548242</v>
      </c>
      <c r="AH51" s="623">
        <f t="shared" si="92"/>
        <v>120.41147793024281</v>
      </c>
      <c r="AI51" s="624">
        <f t="shared" si="93"/>
        <v>-69.14543519177019</v>
      </c>
      <c r="AJ51" s="625">
        <f t="shared" si="94"/>
        <v>-147.20093217350683</v>
      </c>
      <c r="AK51" s="4">
        <f t="shared" si="213"/>
        <v>0.90179153677066815</v>
      </c>
      <c r="AL51" s="5">
        <f t="shared" si="95"/>
        <v>-0.2450267558639796</v>
      </c>
      <c r="AM51" s="6">
        <f t="shared" si="96"/>
        <v>-0.35599706897609518</v>
      </c>
      <c r="AN51" s="612">
        <f t="shared" si="97"/>
        <v>-34.538978334635928</v>
      </c>
      <c r="AO51" s="613">
        <f t="shared" si="98"/>
        <v>25.605434802262167</v>
      </c>
      <c r="AP51" s="624">
        <f t="shared" si="99"/>
        <v>-15.200912248774895</v>
      </c>
      <c r="AQ51" s="625">
        <f t="shared" si="248"/>
        <v>4.1892652475055714</v>
      </c>
      <c r="AS51" s="56">
        <f t="shared" si="410"/>
        <v>-221.09102005597526</v>
      </c>
      <c r="AT51" s="77">
        <f t="shared" si="249"/>
        <v>0.64130249354335012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5.2169999999999996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5.117</v>
      </c>
      <c r="II51" s="800" cm="1">
        <f t="array" ref="II51">IFERROR(IF($IH51&lt;1,$IH51+LARGE((IF($M$9:$M$150="",0,$M$9:$M$150)-MOD(IF($M$9:$M$150="",0,$M$9:$M$150),1)),1),$IH51),"")</f>
        <v>5.117</v>
      </c>
      <c r="IJ51" s="839" t="str">
        <f t="shared" si="385"/>
        <v>1613</v>
      </c>
      <c r="IK51" s="839" t="str">
        <f t="shared" si="386"/>
        <v>1313</v>
      </c>
      <c r="IL51" s="791">
        <f t="shared" si="227"/>
        <v>16.642897597062927</v>
      </c>
      <c r="IM51" s="830">
        <v>1.6910851831653102E-2</v>
      </c>
      <c r="IN51" s="5">
        <f t="shared" si="228"/>
        <v>0.36</v>
      </c>
      <c r="IO51" s="852">
        <v>180</v>
      </c>
      <c r="IP51" s="9">
        <f t="shared" si="229"/>
        <v>-2.9326088447482754</v>
      </c>
      <c r="IQ51" s="5">
        <f t="shared" si="230"/>
        <v>-0.23680071419095389</v>
      </c>
      <c r="IR51" s="5">
        <f t="shared" si="387"/>
        <v>0.314</v>
      </c>
      <c r="IS51" s="5">
        <f t="shared" si="231"/>
        <v>0.30178931653277552</v>
      </c>
      <c r="IT51" s="791">
        <f t="shared" si="232"/>
        <v>42.364790059114377</v>
      </c>
      <c r="IU51" s="9">
        <f t="shared" si="233"/>
        <v>-2.9550778805714595</v>
      </c>
      <c r="IV51" s="5">
        <f t="shared" si="234"/>
        <v>-0.19736424839452604</v>
      </c>
      <c r="IW51" s="5">
        <f t="shared" si="388"/>
        <v>0.26600000000000001</v>
      </c>
      <c r="IX51" s="5">
        <f t="shared" si="235"/>
        <v>0.23987654878099773</v>
      </c>
      <c r="IY51" s="833">
        <f t="shared" si="236"/>
        <v>34.538978334635928</v>
      </c>
    </row>
    <row r="52" spans="1:259" ht="15" customHeight="1" x14ac:dyDescent="0.25">
      <c r="A52" s="84">
        <f t="shared" si="81"/>
        <v>0.02</v>
      </c>
      <c r="B52" s="770">
        <v>-2.3582669089647852</v>
      </c>
      <c r="C52" s="771">
        <v>-2.6191189107607498</v>
      </c>
      <c r="D52" s="772">
        <v>-0.76899941885283729</v>
      </c>
      <c r="E52" s="773">
        <v>0.33044167300088145</v>
      </c>
      <c r="F52" s="771">
        <v>-0.90161340632133258</v>
      </c>
      <c r="G52" s="774">
        <v>0.27910852062597846</v>
      </c>
      <c r="H52" s="773">
        <v>0.26600000000000001</v>
      </c>
      <c r="I52" s="771">
        <v>0.52</v>
      </c>
      <c r="J52" s="601">
        <v>5.2240000000000002</v>
      </c>
      <c r="K52" s="426" t="str">
        <f t="shared" si="82"/>
        <v>1313</v>
      </c>
      <c r="L52" s="327"/>
      <c r="M52" s="173">
        <f t="shared" si="241"/>
        <v>5.2240000000000002</v>
      </c>
      <c r="N52" s="21">
        <f t="shared" si="242"/>
        <v>-2.3582669089647852</v>
      </c>
      <c r="O52" s="5">
        <f t="shared" si="243"/>
        <v>-2.6191189107607498</v>
      </c>
      <c r="P52" s="10">
        <f t="shared" si="244"/>
        <v>-0.76899941885283729</v>
      </c>
      <c r="Q52" s="624">
        <f t="shared" si="116"/>
        <v>227.99998007526807</v>
      </c>
      <c r="R52" s="5">
        <f t="shared" si="83"/>
        <v>3.5243732325936903</v>
      </c>
      <c r="S52" s="6">
        <f t="shared" si="84"/>
        <v>-0.76899941885283729</v>
      </c>
      <c r="T52" s="4">
        <f t="shared" si="85"/>
        <v>-2.6562017329818888</v>
      </c>
      <c r="U52" s="5">
        <f t="shared" si="86"/>
        <v>2.3164194430903282</v>
      </c>
      <c r="V52" s="8">
        <f t="shared" si="117"/>
        <v>-0.76899941885283729</v>
      </c>
      <c r="W52" s="624">
        <f t="shared" si="226"/>
        <v>138.90897994402474</v>
      </c>
      <c r="X52" s="5">
        <f t="shared" si="87"/>
        <v>3.5243732325936903</v>
      </c>
      <c r="Y52" s="7">
        <f t="shared" si="225"/>
        <v>-0.76899941885283729</v>
      </c>
      <c r="Z52" s="21">
        <f t="shared" si="245"/>
        <v>-0.33044167300088145</v>
      </c>
      <c r="AA52" s="5">
        <f t="shared" si="246"/>
        <v>0.90161340632133258</v>
      </c>
      <c r="AB52" s="5">
        <f t="shared" si="247"/>
        <v>-0.27910852062597846</v>
      </c>
      <c r="AC52" s="8">
        <f t="shared" si="88"/>
        <v>1</v>
      </c>
      <c r="AD52" s="9">
        <f t="shared" si="118"/>
        <v>-0.33044167300088145</v>
      </c>
      <c r="AE52" s="5">
        <f t="shared" si="89"/>
        <v>0.90161340632133258</v>
      </c>
      <c r="AF52" s="10">
        <f t="shared" si="90"/>
        <v>-0.27910852062597846</v>
      </c>
      <c r="AG52" s="622">
        <f t="shared" si="91"/>
        <v>72.799272248555539</v>
      </c>
      <c r="AH52" s="623">
        <f t="shared" si="92"/>
        <v>109.29558542890685</v>
      </c>
      <c r="AI52" s="624">
        <f t="shared" si="93"/>
        <v>-73.79299435174687</v>
      </c>
      <c r="AJ52" s="625">
        <f t="shared" si="94"/>
        <v>-159.87209447759008</v>
      </c>
      <c r="AK52" s="4">
        <f t="shared" si="213"/>
        <v>0.84886330079886574</v>
      </c>
      <c r="AL52" s="5">
        <f t="shared" si="95"/>
        <v>-0.44892040527339838</v>
      </c>
      <c r="AM52" s="6">
        <f t="shared" si="96"/>
        <v>-0.27910852062597846</v>
      </c>
      <c r="AN52" s="612">
        <f t="shared" si="97"/>
        <v>-58.129429742760792</v>
      </c>
      <c r="AO52" s="613">
        <f t="shared" si="98"/>
        <v>31.911749876430946</v>
      </c>
      <c r="AP52" s="624">
        <f t="shared" si="99"/>
        <v>-27.872074552858134</v>
      </c>
      <c r="AQ52" s="625">
        <f t="shared" si="248"/>
        <v>3.5144278969623137</v>
      </c>
      <c r="AS52" s="56">
        <f t="shared" si="410"/>
        <v>-221.09102005597526</v>
      </c>
      <c r="AT52" s="77">
        <f t="shared" si="249"/>
        <v>6.9667323085038868E-2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5.2240000000000002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5.1239999999999997</v>
      </c>
      <c r="II52" s="800" cm="1">
        <f t="array" ref="II52">IFERROR(IF($IH52&lt;1,$IH52+LARGE((IF($M$9:$M$150="",0,$M$9:$M$150)-MOD(IF($M$9:$M$150="",0,$M$9:$M$150),1)),1),$IH52),"")</f>
        <v>5.1239999999999997</v>
      </c>
      <c r="IJ52" s="839" t="str">
        <f t="shared" si="385"/>
        <v>1613</v>
      </c>
      <c r="IK52" s="839" t="str">
        <f t="shared" si="386"/>
        <v>1313</v>
      </c>
      <c r="IL52" s="791">
        <f t="shared" si="227"/>
        <v>15.776397722169975</v>
      </c>
      <c r="IM52" s="830">
        <v>1.10119731250318E-2</v>
      </c>
      <c r="IN52" s="5">
        <f t="shared" si="228"/>
        <v>0.34</v>
      </c>
      <c r="IO52" s="852">
        <v>170</v>
      </c>
      <c r="IP52" s="9">
        <f t="shared" si="229"/>
        <v>-3.4801104960132561</v>
      </c>
      <c r="IQ52" s="5">
        <f t="shared" si="230"/>
        <v>-0.79910241009286886</v>
      </c>
      <c r="IR52" s="5">
        <f t="shared" si="387"/>
        <v>0.314</v>
      </c>
      <c r="IS52" s="5">
        <f t="shared" si="231"/>
        <v>0.2903043456788344</v>
      </c>
      <c r="IT52" s="791">
        <f t="shared" si="232"/>
        <v>64.268673168490636</v>
      </c>
      <c r="IU52" s="9">
        <f t="shared" si="233"/>
        <v>-3.5243732325936903</v>
      </c>
      <c r="IV52" s="5">
        <f t="shared" si="234"/>
        <v>-0.76899941885283729</v>
      </c>
      <c r="IW52" s="5">
        <f t="shared" si="388"/>
        <v>0.26600000000000001</v>
      </c>
      <c r="IX52" s="5">
        <f t="shared" si="235"/>
        <v>0.2257976380124983</v>
      </c>
      <c r="IY52" s="833">
        <f t="shared" si="236"/>
        <v>58.129429742760792</v>
      </c>
    </row>
    <row r="53" spans="1:259" ht="15" customHeight="1" x14ac:dyDescent="0.25">
      <c r="A53" s="84">
        <f t="shared" si="81"/>
        <v>0</v>
      </c>
      <c r="B53" s="770">
        <v>-2.4493609178328342</v>
      </c>
      <c r="C53" s="771">
        <v>-2.7202889862837312</v>
      </c>
      <c r="D53" s="772">
        <v>-1.5978264781856737</v>
      </c>
      <c r="E53" s="773">
        <v>-0.60643829844400021</v>
      </c>
      <c r="F53" s="771">
        <v>-0.67351783164839119</v>
      </c>
      <c r="G53" s="774">
        <v>0.42261841019055879</v>
      </c>
      <c r="H53" s="773">
        <v>0.25700000000000001</v>
      </c>
      <c r="I53" s="771">
        <v>0.41499999999999992</v>
      </c>
      <c r="J53" s="601">
        <v>5.2309999999999999</v>
      </c>
      <c r="K53" s="426" t="str">
        <f t="shared" si="82"/>
        <v/>
      </c>
      <c r="L53" s="327"/>
      <c r="M53" s="173">
        <f t="shared" si="241"/>
        <v>5.2309999999999999</v>
      </c>
      <c r="N53" s="21">
        <f t="shared" si="242"/>
        <v>-2.4493609178328342</v>
      </c>
      <c r="O53" s="5">
        <f t="shared" si="243"/>
        <v>-2.7202889862837312</v>
      </c>
      <c r="P53" s="10">
        <f t="shared" si="244"/>
        <v>-1.5978264781856737</v>
      </c>
      <c r="Q53" s="624">
        <f t="shared" si="116"/>
        <v>227.99998007526807</v>
      </c>
      <c r="R53" s="5">
        <f t="shared" ref="R53:R58" si="414">IF(M53="","",SQRT(N53^2+O53^2))</f>
        <v>3.6605110401012961</v>
      </c>
      <c r="S53" s="6">
        <f t="shared" ref="S53:S58" si="415">IF(M53="","",P53)</f>
        <v>-1.5978264781856737</v>
      </c>
      <c r="T53" s="4">
        <f t="shared" ref="T53:T58" si="416">IF(M53="","",X53*COS(RADIANS(W53)))</f>
        <v>-2.7588042260668617</v>
      </c>
      <c r="U53" s="5">
        <f t="shared" ref="U53:U58" si="417">IF(M53="","",X53*SIN(RADIANS(W53)))</f>
        <v>2.4058969880148848</v>
      </c>
      <c r="V53" s="8">
        <f t="shared" ref="V53:V58" si="418">IF(M53="","",Y53)</f>
        <v>-1.5978264781856737</v>
      </c>
      <c r="W53" s="624">
        <f t="shared" si="226"/>
        <v>138.90897994402474</v>
      </c>
      <c r="X53" s="5">
        <f t="shared" ref="X53:X58" si="419">IF(M53="","",R53)</f>
        <v>3.6605110401012961</v>
      </c>
      <c r="Y53" s="7">
        <f t="shared" si="225"/>
        <v>-1.5978264781856737</v>
      </c>
      <c r="Z53" s="21">
        <f t="shared" si="245"/>
        <v>0.60643829844400021</v>
      </c>
      <c r="AA53" s="5">
        <f t="shared" si="246"/>
        <v>0.67351783164839119</v>
      </c>
      <c r="AB53" s="5">
        <f t="shared" si="247"/>
        <v>-0.42261841019055879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0.60643829844400021</v>
      </c>
      <c r="AE53" s="5">
        <f t="shared" ref="AE53:AE58" si="422">IF(M53="","",AA53*(1/SQRT(Z53^2+AA53^2+AB53^2)))</f>
        <v>0.67351783164839119</v>
      </c>
      <c r="AF53" s="10">
        <f t="shared" ref="AF53:AF58" si="423">IF(M53="","",AB53*(1/SQRT(Z53^2+AA53^2+AB53^2)))</f>
        <v>-0.42261841019055879</v>
      </c>
      <c r="AG53" s="622">
        <f t="shared" ref="AG53:AG58" si="424">IF(M53="","",DEGREES(ATAN2(-AF53,AE53)))</f>
        <v>57.892585152133456</v>
      </c>
      <c r="AH53" s="623">
        <f t="shared" ref="AH53:AH58" si="425">IF(M53="","",DEGREES(ACOS(AD53)))</f>
        <v>52.667588078927203</v>
      </c>
      <c r="AI53" s="624">
        <f t="shared" ref="AI53:AI58" si="426">IF(M53="","",DEGREES(-ACOS(-AF53)))</f>
        <v>-64.999990615163128</v>
      </c>
      <c r="AJ53" s="625">
        <f t="shared" ref="AJ53:AJ58" si="427">IF(M53="","",DEGREES(ATAN2(-AE53,AD53)))</f>
        <v>137.99999441299261</v>
      </c>
      <c r="AK53" s="4">
        <f t="shared" ref="AK53:AK58" si="428">IF(M53="","",(COS(RADIANS((90-$Q$8)-W53))*AD53)+(-SIN(RADIANS((90-$Q$8)-W53))*AE53))</f>
        <v>2.2679489691812549E-7</v>
      </c>
      <c r="AL53" s="5">
        <f t="shared" ref="AL53:AL58" si="429">IF(M53="","",(SIN(RADIANS((90-$Q$8)-W53))*AD53)+(COS(RADIANS((90-$Q$8)-W53))*AE53))</f>
        <v>-0.90630771781330066</v>
      </c>
      <c r="AM53" s="6">
        <f t="shared" ref="AM53:AM58" si="430">IF(M53="","",AF53)</f>
        <v>-0.42261841019055879</v>
      </c>
      <c r="AN53" s="612">
        <f t="shared" ref="AN53:AN58" si="431">IF(M53="","",DEGREES(ATAN2(-AM53,AL53)))</f>
        <v>-64.999990615162446</v>
      </c>
      <c r="AO53" s="613">
        <f t="shared" si="98"/>
        <v>0</v>
      </c>
      <c r="AP53" s="624">
        <f t="shared" ref="AP53:AP58" si="432">IF(M53="","",DEGREES(ATAN2(AK53,AL53)))</f>
        <v>-89.999985662275449</v>
      </c>
      <c r="AQ53" s="625">
        <f t="shared" si="248"/>
        <v>3.3840326547451416</v>
      </c>
      <c r="AS53" s="56">
        <f t="shared" si="410"/>
        <v>-221.09102005597526</v>
      </c>
      <c r="AT53" s="77">
        <f t="shared" si="249"/>
        <v>-0.75915973624779753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>
        <f>IFERROR(IF((((($IW53*COS(RADIANS(180-$IY53)))*COS(RADIANS($IY53)))-(($IX53*SIN(RADIANS(180-$IY53)))*SIN(RADIANS($IY53))))+$IU53)&lt;(((Settings!$C$19/2)*-1)+$IF$8),1,""),"")</f>
        <v>1</v>
      </c>
      <c r="IG53" s="836">
        <f t="shared" si="384"/>
        <v>5.2309999999999999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5.1310000000000002</v>
      </c>
      <c r="II53" s="800" cm="1">
        <f t="array" ref="II53">IFERROR(IF($IH53&lt;1,$IH53+LARGE((IF($M$9:$M$150="",0,$M$9:$M$150)-MOD(IF($M$9:$M$150="",0,$M$9:$M$150),1)),1),$IH53),"")</f>
        <v>5.1310000000000002</v>
      </c>
      <c r="IJ53" s="839" t="str">
        <f t="shared" si="385"/>
        <v>1613</v>
      </c>
      <c r="IK53" s="839" t="str">
        <f t="shared" si="386"/>
        <v/>
      </c>
      <c r="IL53" s="791">
        <f t="shared" si="227"/>
        <v>15.496397762596985</v>
      </c>
      <c r="IM53" s="830">
        <v>9.5679082886035495E-5</v>
      </c>
      <c r="IN53" s="5">
        <f t="shared" si="228"/>
        <v>0</v>
      </c>
      <c r="IO53" s="852">
        <v>0</v>
      </c>
      <c r="IP53" s="9">
        <f t="shared" si="229"/>
        <v>-3.6468109987819721</v>
      </c>
      <c r="IQ53" s="5">
        <f t="shared" si="230"/>
        <v>-1.5625047125142126</v>
      </c>
      <c r="IR53" s="5">
        <f t="shared" si="387"/>
        <v>0.314</v>
      </c>
      <c r="IS53" s="5">
        <f t="shared" si="231"/>
        <v>0.27149166025079802</v>
      </c>
      <c r="IT53" s="791">
        <f t="shared" si="232"/>
        <v>82.461677321515651</v>
      </c>
      <c r="IU53" s="9">
        <f t="shared" si="233"/>
        <v>-3.6605110401012961</v>
      </c>
      <c r="IV53" s="5">
        <f t="shared" si="234"/>
        <v>-1.5978264781856737</v>
      </c>
      <c r="IW53" s="5">
        <f t="shared" si="388"/>
        <v>0.25700000000000001</v>
      </c>
      <c r="IX53" s="5">
        <f t="shared" si="235"/>
        <v>0.25700000000000001</v>
      </c>
      <c r="IY53" s="833">
        <f t="shared" si="236"/>
        <v>64.999990615162446</v>
      </c>
    </row>
    <row r="54" spans="1:259" ht="15" customHeight="1" x14ac:dyDescent="0.25">
      <c r="A54" s="84">
        <f t="shared" si="81"/>
        <v>0</v>
      </c>
      <c r="B54" s="770">
        <v>-2.5092407429589265</v>
      </c>
      <c r="C54" s="771">
        <v>-2.7867922229464717</v>
      </c>
      <c r="D54" s="772">
        <v>-2.3171718774792711</v>
      </c>
      <c r="E54" s="773">
        <v>-0.66913069624761135</v>
      </c>
      <c r="F54" s="771">
        <v>-0.74314474454115298</v>
      </c>
      <c r="G54" s="774">
        <v>2.267948968127656E-7</v>
      </c>
      <c r="H54" s="773">
        <v>0.25700000000000001</v>
      </c>
      <c r="I54" s="771">
        <v>0.41499999999999992</v>
      </c>
      <c r="J54" s="601">
        <v>5.2380000000000004</v>
      </c>
      <c r="K54" s="426" t="str">
        <f t="shared" si="82"/>
        <v/>
      </c>
      <c r="L54" s="327"/>
      <c r="M54" s="173">
        <f t="shared" si="241"/>
        <v>5.2380000000000004</v>
      </c>
      <c r="N54" s="21">
        <f t="shared" si="242"/>
        <v>-2.5092407429589265</v>
      </c>
      <c r="O54" s="5">
        <f t="shared" si="243"/>
        <v>-2.7867922229464717</v>
      </c>
      <c r="P54" s="10">
        <f t="shared" si="244"/>
        <v>-2.3171718774792711</v>
      </c>
      <c r="Q54" s="624">
        <f t="shared" si="116"/>
        <v>227.99998007526807</v>
      </c>
      <c r="R54" s="5">
        <f t="shared" si="414"/>
        <v>3.7500000000000004</v>
      </c>
      <c r="S54" s="6">
        <f t="shared" si="415"/>
        <v>-2.3171718774792711</v>
      </c>
      <c r="T54" s="4">
        <f t="shared" si="416"/>
        <v>-2.8262490494945878</v>
      </c>
      <c r="U54" s="5">
        <f t="shared" si="417"/>
        <v>2.4647142451470803</v>
      </c>
      <c r="V54" s="8">
        <f t="shared" si="418"/>
        <v>-2.3171718774792711</v>
      </c>
      <c r="W54" s="624">
        <f t="shared" si="226"/>
        <v>138.90897994402474</v>
      </c>
      <c r="X54" s="5">
        <f t="shared" si="419"/>
        <v>3.7500000000000004</v>
      </c>
      <c r="Y54" s="7">
        <f t="shared" si="225"/>
        <v>-2.3171718774792711</v>
      </c>
      <c r="Z54" s="21">
        <f t="shared" si="245"/>
        <v>0.66913069624761135</v>
      </c>
      <c r="AA54" s="5">
        <f t="shared" si="246"/>
        <v>0.74314474454115298</v>
      </c>
      <c r="AB54" s="5">
        <f t="shared" si="247"/>
        <v>-2.267948968127656E-7</v>
      </c>
      <c r="AC54" s="8">
        <f t="shared" si="420"/>
        <v>1</v>
      </c>
      <c r="AD54" s="9">
        <f t="shared" si="421"/>
        <v>0.66913069624761135</v>
      </c>
      <c r="AE54" s="5">
        <f t="shared" si="422"/>
        <v>0.74314474454115298</v>
      </c>
      <c r="AF54" s="10">
        <f t="shared" si="423"/>
        <v>-2.267948968127656E-7</v>
      </c>
      <c r="AG54" s="622">
        <f t="shared" si="424"/>
        <v>89.999982514321076</v>
      </c>
      <c r="AH54" s="623">
        <f t="shared" si="425"/>
        <v>47.999993069659794</v>
      </c>
      <c r="AI54" s="624">
        <f t="shared" si="426"/>
        <v>-89.999987005609597</v>
      </c>
      <c r="AJ54" s="625">
        <f t="shared" si="427"/>
        <v>137.99999306965847</v>
      </c>
      <c r="AK54" s="4">
        <f t="shared" si="428"/>
        <v>2.2679489691812549E-7</v>
      </c>
      <c r="AL54" s="5">
        <f t="shared" si="429"/>
        <v>-0.99999999999994849</v>
      </c>
      <c r="AM54" s="6">
        <f t="shared" si="430"/>
        <v>-2.267948968127656E-7</v>
      </c>
      <c r="AN54" s="612">
        <f t="shared" si="431"/>
        <v>-89.999987005609611</v>
      </c>
      <c r="AO54" s="613">
        <f t="shared" si="98"/>
        <v>0</v>
      </c>
      <c r="AP54" s="624">
        <f t="shared" si="432"/>
        <v>-89.999987005609597</v>
      </c>
      <c r="AQ54" s="625">
        <f t="shared" si="248"/>
        <v>3.3034580647038339</v>
      </c>
      <c r="AS54" s="56">
        <f t="shared" si="410"/>
        <v>-221.09102005597526</v>
      </c>
      <c r="AT54" s="77">
        <f t="shared" si="249"/>
        <v>-1.478505135541395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>
        <f>IFERROR(IF((((($IW54*COS(RADIANS(180-$IY54)))*COS(RADIANS($IY54)))-(($IX54*SIN(RADIANS(180-$IY54)))*SIN(RADIANS($IY54))))+$IU54)&lt;(((Settings!$C$19/2)*-1)+$IF$8),1,""),"")</f>
        <v>1</v>
      </c>
      <c r="IG54" s="836">
        <f t="shared" si="384"/>
        <v>5.2380000000000004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5.1379999999999999</v>
      </c>
      <c r="II54" s="800" cm="1">
        <f t="array" ref="II54">IFERROR(IF($IH54&lt;1,$IH54+LARGE((IF($M$9:$M$150="",0,$M$9:$M$150)-MOD(IF($M$9:$M$150="",0,$M$9:$M$150),1)),1),$IH54),"")</f>
        <v>5.1379999999999999</v>
      </c>
      <c r="IJ54" s="839" t="str">
        <f t="shared" si="385"/>
        <v>1613</v>
      </c>
      <c r="IK54" s="839" t="str">
        <f t="shared" si="386"/>
        <v/>
      </c>
      <c r="IL54" s="791">
        <f t="shared" si="227"/>
        <v>14.999997480912839</v>
      </c>
      <c r="IM54" s="830">
        <v>4.8309074747461198E-4</v>
      </c>
      <c r="IN54" s="5">
        <f t="shared" si="228"/>
        <v>0</v>
      </c>
      <c r="IO54" s="852">
        <v>0</v>
      </c>
      <c r="IP54" s="9">
        <f t="shared" si="229"/>
        <v>-3.7029000036107678</v>
      </c>
      <c r="IQ54" s="5">
        <f t="shared" si="230"/>
        <v>-2.3234999999999992</v>
      </c>
      <c r="IR54" s="5">
        <f t="shared" si="387"/>
        <v>0.314</v>
      </c>
      <c r="IS54" s="5">
        <f t="shared" si="231"/>
        <v>0.25721375754065567</v>
      </c>
      <c r="IT54" s="791">
        <f t="shared" si="232"/>
        <v>89.999987005609626</v>
      </c>
      <c r="IU54" s="9">
        <f t="shared" si="233"/>
        <v>-3.7500000000000004</v>
      </c>
      <c r="IV54" s="5">
        <f t="shared" si="234"/>
        <v>-2.3171718774792711</v>
      </c>
      <c r="IW54" s="5">
        <f t="shared" si="388"/>
        <v>0.25700000000000001</v>
      </c>
      <c r="IX54" s="5">
        <f t="shared" si="235"/>
        <v>0.25700000000000001</v>
      </c>
      <c r="IY54" s="833">
        <f t="shared" si="236"/>
        <v>89.999987005609611</v>
      </c>
    </row>
    <row r="55" spans="1:259" ht="15" customHeight="1" x14ac:dyDescent="0.25">
      <c r="A55" s="84">
        <f t="shared" si="81"/>
        <v>0.02</v>
      </c>
      <c r="B55" s="770">
        <v>-1.9839828706538511</v>
      </c>
      <c r="C55" s="771">
        <v>-0.42170804440719301</v>
      </c>
      <c r="D55" s="772">
        <v>-5.5700167991706691E-2</v>
      </c>
      <c r="E55" s="773">
        <v>0.22289165501894914</v>
      </c>
      <c r="F55" s="771">
        <v>-0.94012811595735712</v>
      </c>
      <c r="G55" s="774">
        <v>0.25783412440827963</v>
      </c>
      <c r="H55" s="773">
        <v>0.314</v>
      </c>
      <c r="I55" s="771">
        <v>0.52</v>
      </c>
      <c r="J55" s="601">
        <v>6.109</v>
      </c>
      <c r="K55" s="426" t="str">
        <f t="shared" si="82"/>
        <v>1613</v>
      </c>
      <c r="L55" s="327"/>
      <c r="M55" s="173">
        <f t="shared" si="241"/>
        <v>6.109</v>
      </c>
      <c r="N55" s="21">
        <f t="shared" si="242"/>
        <v>-1.9839828706538511</v>
      </c>
      <c r="O55" s="5">
        <f t="shared" si="243"/>
        <v>-0.42170804440719301</v>
      </c>
      <c r="P55" s="10">
        <f t="shared" si="244"/>
        <v>-5.5700167991706691E-2</v>
      </c>
      <c r="Q55" s="624">
        <f t="shared" si="116"/>
        <v>191.99998527302421</v>
      </c>
      <c r="R55" s="5">
        <f t="shared" si="414"/>
        <v>2.0283061173712502</v>
      </c>
      <c r="S55" s="6">
        <f t="shared" si="415"/>
        <v>-5.5700167991706691E-2</v>
      </c>
      <c r="T55" s="4">
        <f t="shared" si="416"/>
        <v>-0.45312962208028812</v>
      </c>
      <c r="U55" s="5">
        <f t="shared" si="417"/>
        <v>1.9770430575379512</v>
      </c>
      <c r="V55" s="8">
        <f t="shared" si="418"/>
        <v>-5.5700167991706691E-2</v>
      </c>
      <c r="W55" s="624">
        <f t="shared" si="226"/>
        <v>102.90898514178086</v>
      </c>
      <c r="X55" s="5">
        <f t="shared" si="419"/>
        <v>2.0283061173712502</v>
      </c>
      <c r="Y55" s="7">
        <f t="shared" si="225"/>
        <v>-5.5700167991706691E-2</v>
      </c>
      <c r="Z55" s="21">
        <f t="shared" si="245"/>
        <v>-0.22289165501894914</v>
      </c>
      <c r="AA55" s="5">
        <f t="shared" si="246"/>
        <v>0.94012811595735712</v>
      </c>
      <c r="AB55" s="5">
        <f t="shared" si="247"/>
        <v>-0.25783412440827963</v>
      </c>
      <c r="AC55" s="8">
        <f t="shared" si="420"/>
        <v>1</v>
      </c>
      <c r="AD55" s="9">
        <f t="shared" si="421"/>
        <v>-0.22289165501894914</v>
      </c>
      <c r="AE55" s="5">
        <f t="shared" si="422"/>
        <v>0.94012811595735712</v>
      </c>
      <c r="AF55" s="10">
        <f t="shared" si="423"/>
        <v>-0.25783412440827963</v>
      </c>
      <c r="AG55" s="622">
        <f t="shared" si="424"/>
        <v>74.663480899391459</v>
      </c>
      <c r="AH55" s="623">
        <f t="shared" si="425"/>
        <v>102.87893080099171</v>
      </c>
      <c r="AI55" s="624">
        <f t="shared" si="426"/>
        <v>-75.058414528502141</v>
      </c>
      <c r="AJ55" s="625">
        <f t="shared" si="427"/>
        <v>-166.662212137426</v>
      </c>
      <c r="AK55" s="4">
        <f t="shared" si="428"/>
        <v>0.9659258360722075</v>
      </c>
      <c r="AL55" s="5">
        <f t="shared" si="429"/>
        <v>2.2557559682354622E-2</v>
      </c>
      <c r="AM55" s="6">
        <f t="shared" si="430"/>
        <v>-0.25783412440827963</v>
      </c>
      <c r="AN55" s="612">
        <f t="shared" si="431"/>
        <v>4.9999992780894695</v>
      </c>
      <c r="AO55" s="613">
        <f>IF(ROUND(IF(M55="",0,DEGREES(ACOS(AK55))),4)=90,0,IF(M55="","",DEGREES(ACOS(AK55))))</f>
        <v>14.99999783426823</v>
      </c>
      <c r="AP55" s="624">
        <f t="shared" si="432"/>
        <v>1.3378025895497925</v>
      </c>
      <c r="AQ55" s="625">
        <f t="shared" si="248"/>
        <v>6.0912672679157609</v>
      </c>
      <c r="AS55" s="56">
        <f t="shared" si="410"/>
        <v>-257.09101485821913</v>
      </c>
      <c r="AT55" s="77">
        <f t="shared" si="249"/>
        <v>0.9189665543102018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6.109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5"/>
        <v/>
      </c>
      <c r="IK55" s="839" t="str">
        <f t="shared" si="386"/>
        <v/>
      </c>
      <c r="IL55" s="791" t="str">
        <f t="shared" si="227"/>
        <v/>
      </c>
      <c r="IM55" s="830"/>
      <c r="IN55" s="5" t="str">
        <f t="shared" si="228"/>
        <v/>
      </c>
      <c r="IO55" s="852"/>
      <c r="IP55" s="9" t="str">
        <f t="shared" si="229"/>
        <v/>
      </c>
      <c r="IQ55" s="5" t="str">
        <f t="shared" si="230"/>
        <v/>
      </c>
      <c r="IR55" s="5" t="str">
        <f t="shared" si="387"/>
        <v/>
      </c>
      <c r="IS55" s="5" t="str">
        <f t="shared" si="231"/>
        <v/>
      </c>
      <c r="IT55" s="791" t="str">
        <f t="shared" si="232"/>
        <v/>
      </c>
      <c r="IU55" s="9" t="str">
        <f t="shared" si="233"/>
        <v/>
      </c>
      <c r="IV55" s="5" t="str">
        <f t="shared" si="234"/>
        <v/>
      </c>
      <c r="IW55" s="5" t="str">
        <f t="shared" si="388"/>
        <v/>
      </c>
      <c r="IX55" s="5" t="str">
        <f t="shared" si="235"/>
        <v/>
      </c>
      <c r="IY55" s="833" t="str">
        <f t="shared" si="236"/>
        <v/>
      </c>
    </row>
    <row r="56" spans="1:259" ht="15" customHeight="1" x14ac:dyDescent="0.25">
      <c r="A56" s="84">
        <f t="shared" si="81"/>
        <v>0.02</v>
      </c>
      <c r="B56" s="770">
        <v>-2.7813334726030452</v>
      </c>
      <c r="C56" s="771">
        <v>-0.53014944297890665</v>
      </c>
      <c r="D56" s="772">
        <v>-0.18300055192966475</v>
      </c>
      <c r="E56" s="773">
        <v>1.5102583857571268E-2</v>
      </c>
      <c r="F56" s="771">
        <v>-0.97622526396484077</v>
      </c>
      <c r="G56" s="774">
        <v>0.21623169508099888</v>
      </c>
      <c r="H56" s="773">
        <v>0.314</v>
      </c>
      <c r="I56" s="771">
        <v>0.52</v>
      </c>
      <c r="J56" s="601">
        <v>6.1159999999999997</v>
      </c>
      <c r="K56" s="426" t="str">
        <f t="shared" si="82"/>
        <v>1613</v>
      </c>
      <c r="L56" s="327"/>
      <c r="M56" s="173">
        <f t="shared" si="241"/>
        <v>6.1159999999999997</v>
      </c>
      <c r="N56" s="21">
        <f t="shared" si="242"/>
        <v>-2.7813334726030452</v>
      </c>
      <c r="O56" s="5">
        <f t="shared" si="243"/>
        <v>-0.53014944297890665</v>
      </c>
      <c r="P56" s="10">
        <f t="shared" si="244"/>
        <v>-0.18300055192966475</v>
      </c>
      <c r="Q56" s="624">
        <f t="shared" si="116"/>
        <v>190.79168544748114</v>
      </c>
      <c r="R56" s="5">
        <f t="shared" si="414"/>
        <v>2.8314085395281552</v>
      </c>
      <c r="S56" s="6">
        <f t="shared" si="415"/>
        <v>-0.18300055192966475</v>
      </c>
      <c r="T56" s="4">
        <f t="shared" si="416"/>
        <v>-0.57420684263516675</v>
      </c>
      <c r="U56" s="5">
        <f t="shared" si="417"/>
        <v>2.7725729601912938</v>
      </c>
      <c r="V56" s="8">
        <f t="shared" si="418"/>
        <v>-0.18300055192966475</v>
      </c>
      <c r="W56" s="624">
        <f t="shared" si="226"/>
        <v>101.7006853162378</v>
      </c>
      <c r="X56" s="5">
        <f t="shared" si="419"/>
        <v>2.8314085395281552</v>
      </c>
      <c r="Y56" s="7">
        <f t="shared" si="225"/>
        <v>-0.18300055192966475</v>
      </c>
      <c r="Z56" s="21">
        <f t="shared" si="245"/>
        <v>-1.5102583857571268E-2</v>
      </c>
      <c r="AA56" s="5">
        <f t="shared" si="246"/>
        <v>0.97622526396484077</v>
      </c>
      <c r="AB56" s="5">
        <f t="shared" si="247"/>
        <v>-0.21623169508099888</v>
      </c>
      <c r="AC56" s="8">
        <f t="shared" si="420"/>
        <v>1</v>
      </c>
      <c r="AD56" s="9">
        <f t="shared" si="421"/>
        <v>-1.5102583857571268E-2</v>
      </c>
      <c r="AE56" s="5">
        <f t="shared" si="422"/>
        <v>0.97622526396484077</v>
      </c>
      <c r="AF56" s="10">
        <f t="shared" si="423"/>
        <v>-0.21623169508099888</v>
      </c>
      <c r="AG56" s="622">
        <f t="shared" si="424"/>
        <v>77.510754425676708</v>
      </c>
      <c r="AH56" s="623">
        <f t="shared" si="425"/>
        <v>90.865347212798866</v>
      </c>
      <c r="AI56" s="624">
        <f t="shared" si="426"/>
        <v>-77.512201823816298</v>
      </c>
      <c r="AJ56" s="625">
        <f t="shared" si="427"/>
        <v>-179.11368274936186</v>
      </c>
      <c r="AK56" s="4">
        <f t="shared" si="428"/>
        <v>0.96178795531202421</v>
      </c>
      <c r="AL56" s="5">
        <f t="shared" si="429"/>
        <v>-0.16795172836000788</v>
      </c>
      <c r="AM56" s="6">
        <f t="shared" si="430"/>
        <v>-0.21623169508099888</v>
      </c>
      <c r="AN56" s="612">
        <f t="shared" si="431"/>
        <v>-37.837242644959026</v>
      </c>
      <c r="AO56" s="613">
        <f t="shared" ref="AO56:AO119" si="465">IF(ROUND(IF(M56="",0,DEGREES(ACOS(AK56))),4)=90,0,IF(M56="","",DEGREES(ACOS(AK56))))</f>
        <v>15.890241596609888</v>
      </c>
      <c r="AP56" s="624">
        <f t="shared" si="432"/>
        <v>-9.9053681968429821</v>
      </c>
      <c r="AQ56" s="625">
        <f t="shared" si="248"/>
        <v>4.3715480727303762</v>
      </c>
      <c r="AS56" s="56">
        <f t="shared" si="410"/>
        <v>-258.29931468376219</v>
      </c>
      <c r="AT56" s="77">
        <f t="shared" si="249"/>
        <v>0.79623085860207321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6.1159999999999997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5"/>
        <v/>
      </c>
      <c r="IK56" s="839" t="str">
        <f t="shared" si="386"/>
        <v/>
      </c>
      <c r="IL56" s="791" t="str">
        <f t="shared" si="227"/>
        <v/>
      </c>
      <c r="IM56" s="830"/>
      <c r="IN56" s="5" t="str">
        <f t="shared" si="228"/>
        <v/>
      </c>
      <c r="IO56" s="852"/>
      <c r="IP56" s="9" t="str">
        <f t="shared" si="229"/>
        <v/>
      </c>
      <c r="IQ56" s="5" t="str">
        <f t="shared" si="230"/>
        <v/>
      </c>
      <c r="IR56" s="5" t="str">
        <f t="shared" si="387"/>
        <v/>
      </c>
      <c r="IS56" s="5" t="str">
        <f t="shared" si="231"/>
        <v/>
      </c>
      <c r="IT56" s="791" t="str">
        <f t="shared" si="232"/>
        <v/>
      </c>
      <c r="IU56" s="9" t="str">
        <f t="shared" si="233"/>
        <v/>
      </c>
      <c r="IV56" s="5" t="str">
        <f t="shared" si="234"/>
        <v/>
      </c>
      <c r="IW56" s="5" t="str">
        <f t="shared" si="388"/>
        <v/>
      </c>
      <c r="IX56" s="5" t="str">
        <f t="shared" si="235"/>
        <v/>
      </c>
      <c r="IY56" s="833" t="str">
        <f t="shared" si="236"/>
        <v/>
      </c>
    </row>
    <row r="57" spans="1:259" ht="15" customHeight="1" x14ac:dyDescent="0.25">
      <c r="A57" s="84">
        <f t="shared" si="81"/>
        <v>0.02</v>
      </c>
      <c r="B57" s="770">
        <v>-3.3718382395523787</v>
      </c>
      <c r="C57" s="771">
        <v>-0.58675701315081308</v>
      </c>
      <c r="D57" s="772">
        <v>-0.70270211934959181</v>
      </c>
      <c r="E57" s="773">
        <v>-0.15607972186656807</v>
      </c>
      <c r="F57" s="771">
        <v>-0.97227633636901445</v>
      </c>
      <c r="G57" s="774">
        <v>0.17412020606150766</v>
      </c>
      <c r="H57" s="773">
        <v>0.314</v>
      </c>
      <c r="I57" s="771">
        <v>0.52</v>
      </c>
      <c r="J57" s="601">
        <v>6.1230000000000002</v>
      </c>
      <c r="K57" s="426" t="str">
        <f t="shared" si="82"/>
        <v>1613</v>
      </c>
      <c r="L57" s="327"/>
      <c r="M57" s="173">
        <f t="shared" si="241"/>
        <v>6.1230000000000002</v>
      </c>
      <c r="N57" s="21">
        <f t="shared" si="242"/>
        <v>-3.3718382395523787</v>
      </c>
      <c r="O57" s="5">
        <f t="shared" si="243"/>
        <v>-0.58675701315081308</v>
      </c>
      <c r="P57" s="10">
        <f t="shared" si="244"/>
        <v>-0.70270211934959181</v>
      </c>
      <c r="Q57" s="624">
        <f t="shared" si="116"/>
        <v>189.87158558032712</v>
      </c>
      <c r="R57" s="5">
        <f t="shared" si="414"/>
        <v>3.4225103222911319</v>
      </c>
      <c r="S57" s="6">
        <f t="shared" si="415"/>
        <v>-0.70270211934959181</v>
      </c>
      <c r="T57" s="4">
        <f t="shared" si="416"/>
        <v>-0.64017527801768592</v>
      </c>
      <c r="U57" s="5">
        <f t="shared" si="417"/>
        <v>3.3621053700924257</v>
      </c>
      <c r="V57" s="8">
        <f t="shared" si="418"/>
        <v>-0.70270211934959181</v>
      </c>
      <c r="W57" s="624">
        <f t="shared" si="226"/>
        <v>100.78058544908377</v>
      </c>
      <c r="X57" s="5">
        <f t="shared" si="419"/>
        <v>3.4225103222911319</v>
      </c>
      <c r="Y57" s="7">
        <f t="shared" si="225"/>
        <v>-0.70270211934959181</v>
      </c>
      <c r="Z57" s="21">
        <f t="shared" si="245"/>
        <v>0.15607972186656807</v>
      </c>
      <c r="AA57" s="5">
        <f t="shared" si="246"/>
        <v>0.97227633636901445</v>
      </c>
      <c r="AB57" s="5">
        <f t="shared" si="247"/>
        <v>-0.17412020606150766</v>
      </c>
      <c r="AC57" s="8">
        <f t="shared" si="420"/>
        <v>1</v>
      </c>
      <c r="AD57" s="9">
        <f t="shared" si="421"/>
        <v>0.15607972186656807</v>
      </c>
      <c r="AE57" s="5">
        <f t="shared" si="422"/>
        <v>0.97227633636901445</v>
      </c>
      <c r="AF57" s="10">
        <f t="shared" si="423"/>
        <v>-0.17412020606150766</v>
      </c>
      <c r="AG57" s="622">
        <f t="shared" si="424"/>
        <v>79.846809105717298</v>
      </c>
      <c r="AH57" s="623">
        <f t="shared" si="425"/>
        <v>81.020578059072506</v>
      </c>
      <c r="AI57" s="624">
        <f t="shared" si="426"/>
        <v>-79.972536387190729</v>
      </c>
      <c r="AJ57" s="625">
        <f t="shared" si="427"/>
        <v>170.88010517023372</v>
      </c>
      <c r="AK57" s="4">
        <f t="shared" si="428"/>
        <v>0.93112287732466836</v>
      </c>
      <c r="AL57" s="5">
        <f t="shared" si="429"/>
        <v>-0.3204564575160388</v>
      </c>
      <c r="AM57" s="6">
        <f t="shared" si="430"/>
        <v>-0.17412020606150766</v>
      </c>
      <c r="AN57" s="612">
        <f t="shared" si="431"/>
        <v>-61.482528628382759</v>
      </c>
      <c r="AO57" s="613">
        <f t="shared" si="465"/>
        <v>21.389467019136085</v>
      </c>
      <c r="AP57" s="624">
        <f t="shared" si="432"/>
        <v>-18.991480410093406</v>
      </c>
      <c r="AQ57" s="625">
        <f t="shared" si="248"/>
        <v>3.6187525699800567</v>
      </c>
      <c r="AS57" s="56">
        <f t="shared" si="410"/>
        <v>-259.21941455091621</v>
      </c>
      <c r="AT57" s="77">
        <f t="shared" si="249"/>
        <v>0.28000522401361683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4"/>
        <v>6.1230000000000002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5"/>
        <v/>
      </c>
      <c r="IK57" s="839" t="str">
        <f t="shared" si="386"/>
        <v/>
      </c>
      <c r="IL57" s="791" t="str">
        <f t="shared" si="227"/>
        <v/>
      </c>
      <c r="IM57" s="830"/>
      <c r="IN57" s="5" t="str">
        <f t="shared" si="228"/>
        <v/>
      </c>
      <c r="IO57" s="852"/>
      <c r="IP57" s="9" t="str">
        <f t="shared" si="229"/>
        <v/>
      </c>
      <c r="IQ57" s="5" t="str">
        <f t="shared" si="230"/>
        <v/>
      </c>
      <c r="IR57" s="5" t="str">
        <f t="shared" si="387"/>
        <v/>
      </c>
      <c r="IS57" s="5" t="str">
        <f t="shared" si="231"/>
        <v/>
      </c>
      <c r="IT57" s="791" t="str">
        <f t="shared" si="232"/>
        <v/>
      </c>
      <c r="IU57" s="9" t="str">
        <f t="shared" si="233"/>
        <v/>
      </c>
      <c r="IV57" s="5" t="str">
        <f t="shared" si="234"/>
        <v/>
      </c>
      <c r="IW57" s="5" t="str">
        <f t="shared" si="388"/>
        <v/>
      </c>
      <c r="IX57" s="5" t="str">
        <f t="shared" si="235"/>
        <v/>
      </c>
      <c r="IY57" s="833" t="str">
        <f t="shared" si="236"/>
        <v/>
      </c>
    </row>
    <row r="58" spans="1:259" ht="15" customHeight="1" x14ac:dyDescent="0.25">
      <c r="A58" s="84">
        <f t="shared" si="81"/>
        <v>0.02</v>
      </c>
      <c r="B58" s="770">
        <v>-3.5926171365438395</v>
      </c>
      <c r="C58" s="771">
        <v>-0.6014290534845339</v>
      </c>
      <c r="D58" s="772">
        <v>-1.4464043623555574</v>
      </c>
      <c r="E58" s="773">
        <v>-0.31466626907074574</v>
      </c>
      <c r="F58" s="771">
        <v>-0.9457990315579895</v>
      </c>
      <c r="G58" s="774">
        <v>8.0307726982316072E-2</v>
      </c>
      <c r="H58" s="773">
        <v>0.314</v>
      </c>
      <c r="I58" s="771">
        <v>0.52</v>
      </c>
      <c r="J58" s="601">
        <v>6.13</v>
      </c>
      <c r="K58" s="426" t="str">
        <f t="shared" si="82"/>
        <v>1613</v>
      </c>
      <c r="L58" s="327"/>
      <c r="M58" s="173">
        <f t="shared" si="241"/>
        <v>6.13</v>
      </c>
      <c r="N58" s="21">
        <f t="shared" si="242"/>
        <v>-3.5926171365438395</v>
      </c>
      <c r="O58" s="5">
        <f t="shared" si="243"/>
        <v>-0.6014290534845339</v>
      </c>
      <c r="P58" s="10">
        <f t="shared" si="244"/>
        <v>-1.4464043623555574</v>
      </c>
      <c r="Q58" s="624">
        <f t="shared" si="116"/>
        <v>189.50358563345975</v>
      </c>
      <c r="R58" s="5">
        <f t="shared" si="414"/>
        <v>3.6426109861147347</v>
      </c>
      <c r="S58" s="6">
        <f t="shared" si="415"/>
        <v>-1.4464043623555574</v>
      </c>
      <c r="T58" s="4">
        <f t="shared" si="416"/>
        <v>-0.65834799114931686</v>
      </c>
      <c r="U58" s="5">
        <f t="shared" si="417"/>
        <v>3.5826237199451216</v>
      </c>
      <c r="V58" s="8">
        <f t="shared" si="418"/>
        <v>-1.4464043623555574</v>
      </c>
      <c r="W58" s="624">
        <f t="shared" si="226"/>
        <v>100.4125855022164</v>
      </c>
      <c r="X58" s="5">
        <f t="shared" si="419"/>
        <v>3.6426109861147347</v>
      </c>
      <c r="Y58" s="7">
        <f t="shared" si="225"/>
        <v>-1.4464043623555574</v>
      </c>
      <c r="Z58" s="21">
        <f t="shared" si="245"/>
        <v>0.31466626907074574</v>
      </c>
      <c r="AA58" s="5">
        <f t="shared" si="246"/>
        <v>0.9457990315579895</v>
      </c>
      <c r="AB58" s="5">
        <f t="shared" si="247"/>
        <v>-8.0307726982316072E-2</v>
      </c>
      <c r="AC58" s="8">
        <f t="shared" si="420"/>
        <v>1</v>
      </c>
      <c r="AD58" s="9">
        <f t="shared" si="421"/>
        <v>0.31466626907074574</v>
      </c>
      <c r="AE58" s="5">
        <f t="shared" si="422"/>
        <v>0.9457990315579895</v>
      </c>
      <c r="AF58" s="10">
        <f t="shared" si="423"/>
        <v>-8.0307726982316072E-2</v>
      </c>
      <c r="AG58" s="622">
        <f t="shared" si="424"/>
        <v>85.146660887911949</v>
      </c>
      <c r="AH58" s="623">
        <f t="shared" si="425"/>
        <v>71.659332056115929</v>
      </c>
      <c r="AI58" s="624">
        <f t="shared" si="426"/>
        <v>-85.393745894536352</v>
      </c>
      <c r="AJ58" s="625">
        <f t="shared" si="427"/>
        <v>161.5977742648052</v>
      </c>
      <c r="AK58" s="4">
        <f t="shared" si="428"/>
        <v>0.88086385956724478</v>
      </c>
      <c r="AL58" s="5">
        <f t="shared" si="429"/>
        <v>-0.46650780260916441</v>
      </c>
      <c r="AM58" s="6">
        <f t="shared" si="430"/>
        <v>-8.0307726982316072E-2</v>
      </c>
      <c r="AN58" s="612">
        <f t="shared" si="431"/>
        <v>-80.232461332931237</v>
      </c>
      <c r="AO58" s="613">
        <f t="shared" si="465"/>
        <v>28.253253511865797</v>
      </c>
      <c r="AP58" s="624">
        <f t="shared" si="432"/>
        <v>-27.905811368654557</v>
      </c>
      <c r="AQ58" s="625">
        <f t="shared" si="248"/>
        <v>3.4006231054713232</v>
      </c>
      <c r="AS58" s="56">
        <f t="shared" si="410"/>
        <v>-259.58741449778358</v>
      </c>
      <c r="AT58" s="77">
        <f t="shared" si="249"/>
        <v>-0.46230679697084975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4"/>
        <v>6.13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5"/>
        <v/>
      </c>
      <c r="IK58" s="839" t="str">
        <f t="shared" si="386"/>
        <v/>
      </c>
      <c r="IL58" s="791" t="str">
        <f t="shared" si="227"/>
        <v/>
      </c>
      <c r="IM58" s="830"/>
      <c r="IN58" s="5" t="str">
        <f t="shared" si="228"/>
        <v/>
      </c>
      <c r="IO58" s="852"/>
      <c r="IP58" s="9" t="str">
        <f t="shared" si="229"/>
        <v/>
      </c>
      <c r="IQ58" s="5" t="str">
        <f t="shared" si="230"/>
        <v/>
      </c>
      <c r="IR58" s="5" t="str">
        <f t="shared" si="387"/>
        <v/>
      </c>
      <c r="IS58" s="5" t="str">
        <f t="shared" si="231"/>
        <v/>
      </c>
      <c r="IT58" s="791" t="str">
        <f t="shared" si="232"/>
        <v/>
      </c>
      <c r="IU58" s="9" t="str">
        <f t="shared" si="233"/>
        <v/>
      </c>
      <c r="IV58" s="5" t="str">
        <f t="shared" si="234"/>
        <v/>
      </c>
      <c r="IW58" s="5" t="str">
        <f t="shared" si="388"/>
        <v/>
      </c>
      <c r="IX58" s="5" t="str">
        <f t="shared" si="235"/>
        <v/>
      </c>
      <c r="IY58" s="833" t="str">
        <f t="shared" si="236"/>
        <v/>
      </c>
    </row>
    <row r="59" spans="1:259" ht="15" customHeight="1" x14ac:dyDescent="0.25">
      <c r="A59" s="84">
        <f t="shared" si="81"/>
        <v>0.02</v>
      </c>
      <c r="B59" s="770">
        <v>-3.6573113086094571</v>
      </c>
      <c r="C59" s="771">
        <v>-0.57926024737064818</v>
      </c>
      <c r="D59" s="772">
        <v>-2.2149999999999985</v>
      </c>
      <c r="E59" s="773">
        <v>-0.4383712985380287</v>
      </c>
      <c r="F59" s="771">
        <v>-0.89879397228623303</v>
      </c>
      <c r="G59" s="774">
        <v>1.300841922877809E-7</v>
      </c>
      <c r="H59" s="773">
        <v>0.314</v>
      </c>
      <c r="I59" s="771">
        <v>0.52</v>
      </c>
      <c r="J59" s="601">
        <v>6.1369999999999996</v>
      </c>
      <c r="K59" s="426" t="str">
        <f t="shared" si="82"/>
        <v>1613</v>
      </c>
      <c r="L59" s="327"/>
      <c r="M59" s="173">
        <f t="shared" si="241"/>
        <v>6.1369999999999996</v>
      </c>
      <c r="N59" s="21">
        <f t="shared" si="242"/>
        <v>-3.6573113086094571</v>
      </c>
      <c r="O59" s="5">
        <f t="shared" si="243"/>
        <v>-0.57926024737064818</v>
      </c>
      <c r="P59" s="10">
        <f t="shared" si="244"/>
        <v>-2.2149999999999985</v>
      </c>
      <c r="Q59" s="624">
        <f t="shared" si="116"/>
        <v>188.9999853693038</v>
      </c>
      <c r="R59" s="5">
        <f t="shared" si="83"/>
        <v>3.702900004356926</v>
      </c>
      <c r="S59" s="6">
        <f t="shared" si="84"/>
        <v>-2.2149999999999985</v>
      </c>
      <c r="T59" s="4">
        <f t="shared" si="85"/>
        <v>-0.63720830752698665</v>
      </c>
      <c r="U59" s="5">
        <f t="shared" si="86"/>
        <v>3.6476614446909839</v>
      </c>
      <c r="V59" s="8">
        <f t="shared" si="117"/>
        <v>-2.2149999999999985</v>
      </c>
      <c r="W59" s="624">
        <f t="shared" si="226"/>
        <v>99.908985238060453</v>
      </c>
      <c r="X59" s="5">
        <f t="shared" si="87"/>
        <v>3.702900004356926</v>
      </c>
      <c r="Y59" s="7">
        <f t="shared" si="225"/>
        <v>-2.2149999999999985</v>
      </c>
      <c r="Z59" s="21">
        <f t="shared" si="245"/>
        <v>0.4383712985380287</v>
      </c>
      <c r="AA59" s="5">
        <f t="shared" si="246"/>
        <v>0.89879397228623303</v>
      </c>
      <c r="AB59" s="5">
        <f t="shared" si="247"/>
        <v>-1.300841922877809E-7</v>
      </c>
      <c r="AC59" s="8">
        <f t="shared" si="88"/>
        <v>1</v>
      </c>
      <c r="AD59" s="9">
        <f t="shared" si="118"/>
        <v>0.4383712985380287</v>
      </c>
      <c r="AE59" s="5">
        <f t="shared" si="89"/>
        <v>0.89879397228623303</v>
      </c>
      <c r="AF59" s="10">
        <f t="shared" si="90"/>
        <v>-1.300841922877809E-7</v>
      </c>
      <c r="AG59" s="622">
        <f t="shared" si="91"/>
        <v>89.999991707470869</v>
      </c>
      <c r="AH59" s="623">
        <f t="shared" si="92"/>
        <v>63.999990326399185</v>
      </c>
      <c r="AI59" s="624">
        <f t="shared" si="93"/>
        <v>-89.999992546724798</v>
      </c>
      <c r="AJ59" s="625">
        <f t="shared" si="94"/>
        <v>153.99999032639894</v>
      </c>
      <c r="AK59" s="4">
        <f t="shared" si="213"/>
        <v>0.81915209391345689</v>
      </c>
      <c r="AL59" s="5">
        <f t="shared" si="95"/>
        <v>-0.57357636547994406</v>
      </c>
      <c r="AM59" s="6">
        <f t="shared" si="96"/>
        <v>-1.300841922877809E-7</v>
      </c>
      <c r="AN59" s="612">
        <f t="shared" si="97"/>
        <v>-89.999987005609626</v>
      </c>
      <c r="AO59" s="613">
        <f t="shared" si="465"/>
        <v>34.999995042905518</v>
      </c>
      <c r="AP59" s="624">
        <f t="shared" si="99"/>
        <v>-34.999995042904835</v>
      </c>
      <c r="AQ59" s="625">
        <f t="shared" si="248"/>
        <v>3.3453824175640832</v>
      </c>
      <c r="AS59" s="56">
        <f t="shared" si="410"/>
        <v>-260.09101476193956</v>
      </c>
      <c r="AT59" s="77">
        <f t="shared" si="249"/>
        <v>-1.2289999447284794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4"/>
        <v>6.1369999999999996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>
        <v>3.4888470286087901E-2</v>
      </c>
      <c r="IN59" s="5" t="str">
        <f t="shared" si="228"/>
        <v/>
      </c>
      <c r="IO59" s="852">
        <v>770</v>
      </c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</v>
      </c>
      <c r="B60" s="770">
        <v>-3.4270954615711902</v>
      </c>
      <c r="C60" s="771">
        <v>0.36020298111593702</v>
      </c>
      <c r="D60" s="772">
        <v>-0.71717665286935928</v>
      </c>
      <c r="E60" s="773">
        <v>-0.6366030444868882</v>
      </c>
      <c r="F60" s="771">
        <v>6.6909584356151672E-2</v>
      </c>
      <c r="G60" s="774">
        <v>0.7682835877924975</v>
      </c>
      <c r="H60" s="773">
        <v>0.25700000000000001</v>
      </c>
      <c r="I60" s="771">
        <v>0.41499999999999992</v>
      </c>
      <c r="J60" s="601">
        <v>6.2229999999999999</v>
      </c>
      <c r="K60" s="426" t="str">
        <f t="shared" si="82"/>
        <v/>
      </c>
      <c r="L60" s="327"/>
      <c r="M60" s="173">
        <f t="shared" si="241"/>
        <v>6.2229999999999999</v>
      </c>
      <c r="N60" s="21">
        <f t="shared" si="242"/>
        <v>-3.4270954615711902</v>
      </c>
      <c r="O60" s="5">
        <f t="shared" si="243"/>
        <v>0.36020298111593702</v>
      </c>
      <c r="P60" s="10">
        <f t="shared" si="244"/>
        <v>-0.71717665286935928</v>
      </c>
      <c r="Q60" s="624">
        <f t="shared" si="116"/>
        <v>173.99998787190228</v>
      </c>
      <c r="R60" s="5">
        <f t="shared" si="83"/>
        <v>3.4459729381303412</v>
      </c>
      <c r="S60" s="6">
        <f t="shared" si="84"/>
        <v>-0.71717665286935928</v>
      </c>
      <c r="T60" s="4">
        <f t="shared" si="85"/>
        <v>0.30578892276771924</v>
      </c>
      <c r="U60" s="5">
        <f t="shared" si="86"/>
        <v>3.4323785666850934</v>
      </c>
      <c r="V60" s="8">
        <f t="shared" si="117"/>
        <v>-0.71717665286935928</v>
      </c>
      <c r="W60" s="624">
        <f t="shared" si="226"/>
        <v>84.90898774065893</v>
      </c>
      <c r="X60" s="5">
        <f t="shared" si="87"/>
        <v>3.4459729381303412</v>
      </c>
      <c r="Y60" s="7">
        <f t="shared" si="225"/>
        <v>-0.71717665286935928</v>
      </c>
      <c r="Z60" s="21">
        <f t="shared" si="245"/>
        <v>0.6366030444868882</v>
      </c>
      <c r="AA60" s="5">
        <f t="shared" si="246"/>
        <v>-6.6909584356151672E-2</v>
      </c>
      <c r="AB60" s="5">
        <f t="shared" si="247"/>
        <v>-0.7682835877924975</v>
      </c>
      <c r="AC60" s="8">
        <f t="shared" si="88"/>
        <v>1</v>
      </c>
      <c r="AD60" s="9">
        <f t="shared" si="118"/>
        <v>0.6366030444868882</v>
      </c>
      <c r="AE60" s="5">
        <f t="shared" si="89"/>
        <v>-6.6909584356151672E-2</v>
      </c>
      <c r="AF60" s="10">
        <f t="shared" si="90"/>
        <v>-0.7682835877924975</v>
      </c>
      <c r="AG60" s="622">
        <f t="shared" si="91"/>
        <v>-4.9773137196652657</v>
      </c>
      <c r="AH60" s="623">
        <f t="shared" si="92"/>
        <v>50.461019063289442</v>
      </c>
      <c r="AI60" s="624">
        <f t="shared" si="93"/>
        <v>-39.799994253593574</v>
      </c>
      <c r="AJ60" s="625">
        <f t="shared" si="94"/>
        <v>84.000008172160165</v>
      </c>
      <c r="AK60" s="4">
        <f t="shared" si="213"/>
        <v>2.2679489697363664E-7</v>
      </c>
      <c r="AL60" s="5">
        <f t="shared" si="95"/>
        <v>-0.64010962243090563</v>
      </c>
      <c r="AM60" s="6">
        <f t="shared" si="96"/>
        <v>-0.7682835877924975</v>
      </c>
      <c r="AN60" s="612">
        <f t="shared" si="97"/>
        <v>-39.799994253591819</v>
      </c>
      <c r="AO60" s="613">
        <f t="shared" si="465"/>
        <v>0</v>
      </c>
      <c r="AP60" s="624">
        <f t="shared" si="99"/>
        <v>-89.999979699742113</v>
      </c>
      <c r="AQ60" s="625">
        <f t="shared" si="248"/>
        <v>3.5941783558044555</v>
      </c>
      <c r="AS60" s="56">
        <f t="shared" si="410"/>
        <v>-275.09101225934108</v>
      </c>
      <c r="AT60" s="77">
        <f t="shared" si="249"/>
        <v>0.32549005961456556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4"/>
        <v>6.2229999999999999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6.1230000000000002</v>
      </c>
      <c r="II60" s="800" cm="1">
        <f t="array" ref="II60">IFERROR(IF($IH60&lt;1,$IH60+LARGE((IF($M$9:$M$150="",0,$M$9:$M$150)-MOD(IF($M$9:$M$150="",0,$M$9:$M$150),1)),1),$IH60),"")</f>
        <v>6.1230000000000002</v>
      </c>
      <c r="IJ60" s="839" t="str">
        <f t="shared" si="385"/>
        <v>1613</v>
      </c>
      <c r="IK60" s="839" t="str">
        <f t="shared" si="386"/>
        <v/>
      </c>
      <c r="IL60" s="791">
        <f t="shared" si="227"/>
        <v>15.871597708424844</v>
      </c>
      <c r="IM60" s="830">
        <v>1.68159138115807E-2</v>
      </c>
      <c r="IN60" s="5">
        <f t="shared" si="228"/>
        <v>0.92</v>
      </c>
      <c r="IO60" s="852">
        <v>460</v>
      </c>
      <c r="IP60" s="9">
        <f t="shared" si="229"/>
        <v>-3.4225103222911319</v>
      </c>
      <c r="IQ60" s="5">
        <f t="shared" si="230"/>
        <v>-0.70270211934959181</v>
      </c>
      <c r="IR60" s="5">
        <f t="shared" si="387"/>
        <v>0.314</v>
      </c>
      <c r="IS60" s="5">
        <f t="shared" si="231"/>
        <v>0.29237258347994588</v>
      </c>
      <c r="IT60" s="791">
        <f t="shared" si="232"/>
        <v>61.482528628382759</v>
      </c>
      <c r="IU60" s="9">
        <f t="shared" si="233"/>
        <v>-3.4459729381303412</v>
      </c>
      <c r="IV60" s="5">
        <f t="shared" si="234"/>
        <v>-0.71717665286935928</v>
      </c>
      <c r="IW60" s="5">
        <f t="shared" si="388"/>
        <v>0.25700000000000001</v>
      </c>
      <c r="IX60" s="5">
        <f t="shared" si="235"/>
        <v>0.25700000000000001</v>
      </c>
      <c r="IY60" s="833">
        <f t="shared" si="236"/>
        <v>39.799994253591819</v>
      </c>
    </row>
    <row r="61" spans="1:259" ht="15" customHeight="1" x14ac:dyDescent="0.25">
      <c r="A61" s="84">
        <f t="shared" si="81"/>
        <v>0</v>
      </c>
      <c r="B61" s="770">
        <v>-3.6404582966251642</v>
      </c>
      <c r="C61" s="771">
        <v>0.38262836439094922</v>
      </c>
      <c r="D61" s="772">
        <v>-1.4784664487203403</v>
      </c>
      <c r="E61" s="773">
        <v>-0.87565393735809993</v>
      </c>
      <c r="F61" s="771">
        <v>9.2034896801098914E-2</v>
      </c>
      <c r="G61" s="774">
        <v>0.47408834594415827</v>
      </c>
      <c r="H61" s="773">
        <v>0.25700000000000001</v>
      </c>
      <c r="I61" s="771">
        <v>0.41499999999999992</v>
      </c>
      <c r="J61" s="601">
        <v>6.23</v>
      </c>
      <c r="K61" s="426" t="str">
        <f t="shared" si="82"/>
        <v/>
      </c>
      <c r="L61" s="327"/>
      <c r="M61" s="173">
        <f t="shared" si="241"/>
        <v>6.23</v>
      </c>
      <c r="N61" s="21">
        <f t="shared" si="242"/>
        <v>-3.6404582966251642</v>
      </c>
      <c r="O61" s="5">
        <f t="shared" si="243"/>
        <v>0.38262836439094922</v>
      </c>
      <c r="P61" s="10">
        <f t="shared" si="244"/>
        <v>-1.4784664487203403</v>
      </c>
      <c r="Q61" s="624">
        <f t="shared" si="116"/>
        <v>173.99998787190228</v>
      </c>
      <c r="R61" s="5">
        <f t="shared" si="83"/>
        <v>3.6605110401012979</v>
      </c>
      <c r="S61" s="6">
        <f t="shared" si="84"/>
        <v>-1.4784664487203403</v>
      </c>
      <c r="T61" s="4">
        <f t="shared" si="85"/>
        <v>0.3248266158292103</v>
      </c>
      <c r="U61" s="5">
        <f t="shared" si="86"/>
        <v>3.646070315332993</v>
      </c>
      <c r="V61" s="8">
        <f t="shared" si="117"/>
        <v>-1.4784664487203403</v>
      </c>
      <c r="W61" s="624">
        <f t="shared" si="226"/>
        <v>84.90898774065893</v>
      </c>
      <c r="X61" s="5">
        <f t="shared" si="87"/>
        <v>3.6605110401012979</v>
      </c>
      <c r="Y61" s="7">
        <f t="shared" si="225"/>
        <v>-1.4784664487203403</v>
      </c>
      <c r="Z61" s="21">
        <f t="shared" si="245"/>
        <v>0.87565393735809993</v>
      </c>
      <c r="AA61" s="5">
        <f t="shared" si="246"/>
        <v>-9.2034896801098914E-2</v>
      </c>
      <c r="AB61" s="5">
        <f t="shared" si="247"/>
        <v>-0.47408834594415827</v>
      </c>
      <c r="AC61" s="8">
        <f t="shared" si="88"/>
        <v>1</v>
      </c>
      <c r="AD61" s="9">
        <f t="shared" si="118"/>
        <v>0.87565393735809993</v>
      </c>
      <c r="AE61" s="5">
        <f t="shared" si="89"/>
        <v>-9.2034896801098914E-2</v>
      </c>
      <c r="AF61" s="10">
        <f t="shared" si="90"/>
        <v>-0.47408834594415827</v>
      </c>
      <c r="AG61" s="622">
        <f t="shared" si="91"/>
        <v>-10.986194545546804</v>
      </c>
      <c r="AH61" s="623">
        <f t="shared" si="92"/>
        <v>28.877536384620065</v>
      </c>
      <c r="AI61" s="624">
        <f t="shared" si="93"/>
        <v>-61.699991091624291</v>
      </c>
      <c r="AJ61" s="625">
        <f t="shared" si="94"/>
        <v>84.000002630250634</v>
      </c>
      <c r="AK61" s="4">
        <f t="shared" si="213"/>
        <v>2.2679489711241452E-7</v>
      </c>
      <c r="AL61" s="5">
        <f t="shared" si="95"/>
        <v>-0.88047727979765655</v>
      </c>
      <c r="AM61" s="6">
        <f t="shared" si="96"/>
        <v>-0.47408834594415827</v>
      </c>
      <c r="AN61" s="612">
        <f t="shared" si="97"/>
        <v>-61.699991091623502</v>
      </c>
      <c r="AO61" s="613">
        <f t="shared" si="465"/>
        <v>0</v>
      </c>
      <c r="AP61" s="624">
        <f t="shared" si="99"/>
        <v>-89.999985241651643</v>
      </c>
      <c r="AQ61" s="625">
        <f t="shared" si="248"/>
        <v>3.3840326547451398</v>
      </c>
      <c r="AS61" s="56">
        <f t="shared" si="410"/>
        <v>-275.09101225934108</v>
      </c>
      <c r="AT61" s="77">
        <f t="shared" si="249"/>
        <v>-0.43579973623641544</v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>
        <f>IFERROR(IF((((($IW61*COS(RADIANS(180-$IY61)))*COS(RADIANS($IY61)))-(($IX61*SIN(RADIANS(180-$IY61)))*SIN(RADIANS($IY61))))+$IU61)&lt;(((Settings!$C$19/2)*-1)+$IF$8),1,""),"")</f>
        <v>1</v>
      </c>
      <c r="IG61" s="836">
        <f t="shared" si="384"/>
        <v>6.23</v>
      </c>
      <c r="IH61" s="797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6.13</v>
      </c>
      <c r="II61" s="800" cm="1">
        <f t="array" ref="II61">IFERROR(IF($IH61&lt;1,$IH61+LARGE((IF($M$9:$M$150="",0,$M$9:$M$150)-MOD(IF($M$9:$M$150="",0,$M$9:$M$150),1)),1),$IH61),"")</f>
        <v>6.13</v>
      </c>
      <c r="IJ61" s="839" t="str">
        <f t="shared" si="385"/>
        <v>1613</v>
      </c>
      <c r="IK61" s="839" t="str">
        <f t="shared" si="386"/>
        <v/>
      </c>
      <c r="IL61" s="791">
        <f t="shared" si="227"/>
        <v>15.503597761557472</v>
      </c>
      <c r="IM61" s="830">
        <v>8.6041584802036498E-4</v>
      </c>
      <c r="IN61" s="5">
        <f t="shared" si="228"/>
        <v>0</v>
      </c>
      <c r="IO61" s="852">
        <v>0</v>
      </c>
      <c r="IP61" s="9">
        <f t="shared" si="229"/>
        <v>-3.6426109861147347</v>
      </c>
      <c r="IQ61" s="5">
        <f t="shared" si="230"/>
        <v>-1.4464043623555574</v>
      </c>
      <c r="IR61" s="5">
        <f t="shared" si="387"/>
        <v>0.314</v>
      </c>
      <c r="IS61" s="5">
        <f t="shared" si="231"/>
        <v>0.27659125190411488</v>
      </c>
      <c r="IT61" s="791">
        <f t="shared" si="232"/>
        <v>80.232461332931237</v>
      </c>
      <c r="IU61" s="9">
        <f t="shared" si="233"/>
        <v>-3.6605110401012979</v>
      </c>
      <c r="IV61" s="5">
        <f t="shared" si="234"/>
        <v>-1.4784664487203403</v>
      </c>
      <c r="IW61" s="5">
        <f t="shared" si="388"/>
        <v>0.25700000000000001</v>
      </c>
      <c r="IX61" s="5">
        <f t="shared" si="235"/>
        <v>0.25700000000000001</v>
      </c>
      <c r="IY61" s="833">
        <f t="shared" si="236"/>
        <v>61.699991091623502</v>
      </c>
    </row>
    <row r="62" spans="1:259" ht="15" customHeight="1" x14ac:dyDescent="0.25">
      <c r="A62" s="84">
        <f t="shared" si="81"/>
        <v>0</v>
      </c>
      <c r="B62" s="770">
        <v>-3.7294570246581147</v>
      </c>
      <c r="C62" s="771">
        <v>0.39198252668740829</v>
      </c>
      <c r="D62" s="772">
        <v>-2.1993615221632399</v>
      </c>
      <c r="E62" s="773">
        <v>-0.99452189694868243</v>
      </c>
      <c r="F62" s="771">
        <v>0.10452844823081799</v>
      </c>
      <c r="G62" s="774">
        <v>2.267948967329994E-7</v>
      </c>
      <c r="H62" s="773">
        <v>0.25700000000000001</v>
      </c>
      <c r="I62" s="771">
        <v>0.41499999999999992</v>
      </c>
      <c r="J62" s="601">
        <v>6.2370000000000001</v>
      </c>
      <c r="K62" s="426" t="str">
        <f t="shared" si="82"/>
        <v/>
      </c>
      <c r="L62" s="327"/>
      <c r="M62" s="173">
        <f t="shared" si="241"/>
        <v>6.2370000000000001</v>
      </c>
      <c r="N62" s="21">
        <f t="shared" si="242"/>
        <v>-3.7294570246581147</v>
      </c>
      <c r="O62" s="5">
        <f t="shared" si="243"/>
        <v>0.39198252668740829</v>
      </c>
      <c r="P62" s="10">
        <f t="shared" si="244"/>
        <v>-2.1993615221632399</v>
      </c>
      <c r="Q62" s="624">
        <f t="shared" si="116"/>
        <v>173.99998787190228</v>
      </c>
      <c r="R62" s="5">
        <f t="shared" si="83"/>
        <v>3.7500000000000004</v>
      </c>
      <c r="S62" s="6">
        <f t="shared" si="84"/>
        <v>-2.1993615221632399</v>
      </c>
      <c r="T62" s="4">
        <f t="shared" si="85"/>
        <v>0.33276769172804627</v>
      </c>
      <c r="U62" s="5">
        <f t="shared" si="86"/>
        <v>3.7352062410718356</v>
      </c>
      <c r="V62" s="8">
        <f t="shared" si="117"/>
        <v>-2.1993615221632399</v>
      </c>
      <c r="W62" s="624">
        <f t="shared" si="226"/>
        <v>84.90898774065893</v>
      </c>
      <c r="X62" s="5">
        <f t="shared" si="87"/>
        <v>3.7500000000000004</v>
      </c>
      <c r="Y62" s="7">
        <f t="shared" si="225"/>
        <v>-2.1993615221632399</v>
      </c>
      <c r="Z62" s="21">
        <f t="shared" si="245"/>
        <v>0.99452189694868243</v>
      </c>
      <c r="AA62" s="5">
        <f t="shared" si="246"/>
        <v>-0.10452844823081799</v>
      </c>
      <c r="AB62" s="5">
        <f t="shared" si="247"/>
        <v>-2.267948967329994E-7</v>
      </c>
      <c r="AC62" s="8">
        <f t="shared" si="88"/>
        <v>1</v>
      </c>
      <c r="AD62" s="9">
        <f t="shared" si="118"/>
        <v>0.99452189694868243</v>
      </c>
      <c r="AE62" s="5">
        <f t="shared" si="89"/>
        <v>-0.10452844823081799</v>
      </c>
      <c r="AF62" s="10">
        <f t="shared" si="90"/>
        <v>-2.267948967329994E-7</v>
      </c>
      <c r="AG62" s="622">
        <f t="shared" si="91"/>
        <v>-89.99987568560887</v>
      </c>
      <c r="AH62" s="623">
        <f t="shared" si="92"/>
        <v>5.999999133721337</v>
      </c>
      <c r="AI62" s="624">
        <f t="shared" si="93"/>
        <v>-89.999987005609611</v>
      </c>
      <c r="AJ62" s="625">
        <f t="shared" si="94"/>
        <v>84.000000866292694</v>
      </c>
      <c r="AK62" s="4">
        <f t="shared" si="213"/>
        <v>2.2679489718180346E-7</v>
      </c>
      <c r="AL62" s="5">
        <f t="shared" si="95"/>
        <v>-0.99999999999994849</v>
      </c>
      <c r="AM62" s="6">
        <f t="shared" si="96"/>
        <v>-2.267948967329994E-7</v>
      </c>
      <c r="AN62" s="612">
        <f t="shared" si="97"/>
        <v>-89.999987005609611</v>
      </c>
      <c r="AO62" s="613">
        <f t="shared" si="465"/>
        <v>0</v>
      </c>
      <c r="AP62" s="624">
        <f t="shared" si="99"/>
        <v>-89.999987005609583</v>
      </c>
      <c r="AQ62" s="625">
        <f t="shared" si="248"/>
        <v>3.3034580647038339</v>
      </c>
      <c r="AS62" s="56">
        <f t="shared" si="410"/>
        <v>-275.09101225934108</v>
      </c>
      <c r="AT62" s="77">
        <f t="shared" si="249"/>
        <v>-1.156694809679315</v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>
        <f>IFERROR(IF((((($IW62*COS(RADIANS(180-$IY62)))*COS(RADIANS($IY62)))-(($IX62*SIN(RADIANS(180-$IY62)))*SIN(RADIANS($IY62))))+$IU62)&lt;(((Settings!$C$19/2)*-1)+$IF$8),1,""),"")</f>
        <v>1</v>
      </c>
      <c r="IG62" s="836">
        <f t="shared" si="384"/>
        <v>6.2370000000000001</v>
      </c>
      <c r="IH62" s="797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6.1369999999999996</v>
      </c>
      <c r="II62" s="800" cm="1">
        <f t="array" ref="II62">IFERROR(IF($IH62&lt;1,$IH62+LARGE((IF($M$9:$M$150="",0,$M$9:$M$150)-MOD(IF($M$9:$M$150="",0,$M$9:$M$150),1)),1),$IH62),"")</f>
        <v>6.1369999999999996</v>
      </c>
      <c r="IJ62" s="839" t="str">
        <f t="shared" si="385"/>
        <v>1613</v>
      </c>
      <c r="IK62" s="839" t="str">
        <f t="shared" si="386"/>
        <v/>
      </c>
      <c r="IL62" s="791">
        <f t="shared" si="227"/>
        <v>14.999997497401523</v>
      </c>
      <c r="IM62" s="830">
        <v>8.8439699527824E-4</v>
      </c>
      <c r="IN62" s="5">
        <f t="shared" si="228"/>
        <v>0</v>
      </c>
      <c r="IO62" s="852">
        <v>0</v>
      </c>
      <c r="IP62" s="9">
        <f t="shared" si="229"/>
        <v>-3.702900004356926</v>
      </c>
      <c r="IQ62" s="5">
        <f t="shared" si="230"/>
        <v>-2.2149999999999985</v>
      </c>
      <c r="IR62" s="5">
        <f t="shared" si="387"/>
        <v>0.314</v>
      </c>
      <c r="IS62" s="5">
        <f t="shared" si="231"/>
        <v>0.25721375748882552</v>
      </c>
      <c r="IT62" s="791">
        <f t="shared" si="232"/>
        <v>89.999987005609626</v>
      </c>
      <c r="IU62" s="9">
        <f t="shared" si="233"/>
        <v>-3.7500000000000004</v>
      </c>
      <c r="IV62" s="5">
        <f t="shared" si="234"/>
        <v>-2.1993615221632399</v>
      </c>
      <c r="IW62" s="5">
        <f t="shared" si="388"/>
        <v>0.25700000000000001</v>
      </c>
      <c r="IX62" s="5">
        <f t="shared" si="235"/>
        <v>0.25700000000000001</v>
      </c>
      <c r="IY62" s="833">
        <f t="shared" si="236"/>
        <v>89.999987005609611</v>
      </c>
    </row>
    <row r="63" spans="1:259" ht="15" customHeight="1" x14ac:dyDescent="0.25">
      <c r="A63" s="84">
        <f t="shared" si="81"/>
        <v>0.02</v>
      </c>
      <c r="B63" s="770">
        <v>-1.5062869442714215</v>
      </c>
      <c r="C63" s="771">
        <v>1.1768406568152316</v>
      </c>
      <c r="D63" s="772">
        <v>-7.6300230121494103E-2</v>
      </c>
      <c r="E63" s="773">
        <v>-0.55926751245483508</v>
      </c>
      <c r="F63" s="771">
        <v>-0.78882981900527471</v>
      </c>
      <c r="G63" s="774">
        <v>0.25488696742024014</v>
      </c>
      <c r="H63" s="773">
        <v>0.314</v>
      </c>
      <c r="I63" s="771">
        <v>0.52</v>
      </c>
      <c r="J63" s="601">
        <v>7.1079999999999997</v>
      </c>
      <c r="K63" s="426" t="str">
        <f t="shared" si="82"/>
        <v>1613</v>
      </c>
      <c r="L63" s="327"/>
      <c r="M63" s="173">
        <f t="shared" si="241"/>
        <v>7.1079999999999997</v>
      </c>
      <c r="N63" s="21">
        <f t="shared" si="242"/>
        <v>-1.5062869442714215</v>
      </c>
      <c r="O63" s="5">
        <f t="shared" si="243"/>
        <v>1.1768406568152316</v>
      </c>
      <c r="P63" s="10">
        <f t="shared" si="244"/>
        <v>-7.6300230121494103E-2</v>
      </c>
      <c r="Q63" s="624">
        <f t="shared" si="116"/>
        <v>141.99999249212999</v>
      </c>
      <c r="R63" s="5">
        <f t="shared" si="83"/>
        <v>1.9115057651013878</v>
      </c>
      <c r="S63" s="6">
        <f t="shared" si="84"/>
        <v>-7.6300230121494103E-2</v>
      </c>
      <c r="T63" s="4">
        <f t="shared" si="85"/>
        <v>1.1527962537474281</v>
      </c>
      <c r="U63" s="5">
        <f t="shared" si="86"/>
        <v>1.5247672239924812</v>
      </c>
      <c r="V63" s="8">
        <f t="shared" si="117"/>
        <v>-7.6300230121494103E-2</v>
      </c>
      <c r="W63" s="624">
        <f t="shared" si="226"/>
        <v>52.908992360886643</v>
      </c>
      <c r="X63" s="5">
        <f t="shared" si="87"/>
        <v>1.9115057651013878</v>
      </c>
      <c r="Y63" s="7">
        <f t="shared" si="225"/>
        <v>-7.6300230121494103E-2</v>
      </c>
      <c r="Z63" s="21">
        <f t="shared" si="245"/>
        <v>0.55926751245483508</v>
      </c>
      <c r="AA63" s="5">
        <f t="shared" si="246"/>
        <v>0.78882981900527471</v>
      </c>
      <c r="AB63" s="5">
        <f t="shared" si="247"/>
        <v>-0.25488696742024014</v>
      </c>
      <c r="AC63" s="8">
        <f t="shared" si="88"/>
        <v>1</v>
      </c>
      <c r="AD63" s="9">
        <f t="shared" si="118"/>
        <v>0.55926751245483508</v>
      </c>
      <c r="AE63" s="5">
        <f t="shared" si="89"/>
        <v>0.78882981900527471</v>
      </c>
      <c r="AF63" s="10">
        <f t="shared" si="90"/>
        <v>-0.25488696742024014</v>
      </c>
      <c r="AG63" s="622">
        <f t="shared" si="91"/>
        <v>72.093299495518636</v>
      </c>
      <c r="AH63" s="623">
        <f t="shared" si="92"/>
        <v>55.994843527239979</v>
      </c>
      <c r="AI63" s="624">
        <f t="shared" si="93"/>
        <v>-75.233112454846449</v>
      </c>
      <c r="AJ63" s="625">
        <f t="shared" si="94"/>
        <v>144.66397932637651</v>
      </c>
      <c r="AK63" s="4">
        <f t="shared" si="213"/>
        <v>0.96592583607220739</v>
      </c>
      <c r="AL63" s="5">
        <f t="shared" si="95"/>
        <v>4.4943442764442065E-2</v>
      </c>
      <c r="AM63" s="6">
        <f t="shared" si="96"/>
        <v>-0.25488696742024014</v>
      </c>
      <c r="AN63" s="612">
        <f t="shared" si="97"/>
        <v>9.9999985561789071</v>
      </c>
      <c r="AO63" s="613">
        <f t="shared" si="465"/>
        <v>14.999997834268255</v>
      </c>
      <c r="AP63" s="624">
        <f t="shared" si="99"/>
        <v>2.6639868342465323</v>
      </c>
      <c r="AQ63" s="625">
        <f t="shared" si="248"/>
        <v>6.4604098663670406</v>
      </c>
      <c r="AS63" s="56">
        <f t="shared" si="410"/>
        <v>-307.09100763911334</v>
      </c>
      <c r="AT63" s="77">
        <f t="shared" si="249"/>
        <v>1.0872553537971259</v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4"/>
        <v>7.1079999999999997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0.02</v>
      </c>
      <c r="B64" s="770">
        <v>-2.1168400116021084</v>
      </c>
      <c r="C64" s="771">
        <v>1.7177468972530048</v>
      </c>
      <c r="D64" s="772">
        <v>-0.13750041470125074</v>
      </c>
      <c r="E64" s="773">
        <v>-0.72196365138122598</v>
      </c>
      <c r="F64" s="771">
        <v>-0.65359472561077614</v>
      </c>
      <c r="G64" s="774">
        <v>0.22711763634306795</v>
      </c>
      <c r="H64" s="773">
        <v>0.314</v>
      </c>
      <c r="I64" s="771">
        <v>0.52</v>
      </c>
      <c r="J64" s="601">
        <v>7.1150000000000002</v>
      </c>
      <c r="K64" s="426" t="str">
        <f t="shared" si="82"/>
        <v>1613</v>
      </c>
      <c r="L64" s="327"/>
      <c r="M64" s="173">
        <f t="shared" si="241"/>
        <v>7.1150000000000002</v>
      </c>
      <c r="N64" s="21">
        <f t="shared" si="242"/>
        <v>-2.1168400116021084</v>
      </c>
      <c r="O64" s="5">
        <f t="shared" si="243"/>
        <v>1.7177468972530048</v>
      </c>
      <c r="P64" s="10">
        <f t="shared" si="244"/>
        <v>-0.13750041470125074</v>
      </c>
      <c r="Q64" s="624">
        <f t="shared" si="116"/>
        <v>140.94179264491515</v>
      </c>
      <c r="R64" s="5">
        <f t="shared" si="83"/>
        <v>2.7261082219423973</v>
      </c>
      <c r="S64" s="6">
        <f t="shared" si="84"/>
        <v>-0.13750041470125074</v>
      </c>
      <c r="T64" s="4">
        <f t="shared" si="85"/>
        <v>1.6839483798271002</v>
      </c>
      <c r="U64" s="5">
        <f t="shared" si="86"/>
        <v>2.1438245944618752</v>
      </c>
      <c r="V64" s="8">
        <f t="shared" si="117"/>
        <v>-0.13750041470125074</v>
      </c>
      <c r="W64" s="624">
        <f t="shared" si="226"/>
        <v>51.850792513671806</v>
      </c>
      <c r="X64" s="5">
        <f t="shared" si="87"/>
        <v>2.7261082219423973</v>
      </c>
      <c r="Y64" s="7">
        <f t="shared" si="225"/>
        <v>-0.13750041470125074</v>
      </c>
      <c r="Z64" s="21">
        <f t="shared" si="245"/>
        <v>0.72196365138122598</v>
      </c>
      <c r="AA64" s="5">
        <f t="shared" si="246"/>
        <v>0.65359472561077614</v>
      </c>
      <c r="AB64" s="5">
        <f t="shared" si="247"/>
        <v>-0.22711763634306795</v>
      </c>
      <c r="AC64" s="8">
        <f t="shared" si="88"/>
        <v>1</v>
      </c>
      <c r="AD64" s="9">
        <f t="shared" si="118"/>
        <v>0.72196365138122598</v>
      </c>
      <c r="AE64" s="5">
        <f t="shared" si="89"/>
        <v>0.65359472561077614</v>
      </c>
      <c r="AF64" s="10">
        <f t="shared" si="90"/>
        <v>-0.22711763634306795</v>
      </c>
      <c r="AG64" s="622">
        <f t="shared" si="91"/>
        <v>70.83817146879781</v>
      </c>
      <c r="AH64" s="623">
        <f t="shared" si="92"/>
        <v>43.783157989886817</v>
      </c>
      <c r="AI64" s="624">
        <f t="shared" si="93"/>
        <v>-76.872565885871879</v>
      </c>
      <c r="AJ64" s="625">
        <f t="shared" si="94"/>
        <v>132.15458822599174</v>
      </c>
      <c r="AK64" s="4">
        <f t="shared" si="213"/>
        <v>0.9624365854284056</v>
      </c>
      <c r="AL64" s="5">
        <f t="shared" si="95"/>
        <v>-0.14877297567384157</v>
      </c>
      <c r="AM64" s="6">
        <f t="shared" si="96"/>
        <v>-0.22711763634306795</v>
      </c>
      <c r="AN64" s="612">
        <f t="shared" si="97"/>
        <v>-33.226727208926732</v>
      </c>
      <c r="AO64" s="613">
        <f t="shared" si="465"/>
        <v>15.753936387842909</v>
      </c>
      <c r="AP64" s="624">
        <f t="shared" si="99"/>
        <v>-8.7872044189234089</v>
      </c>
      <c r="AQ64" s="625">
        <f t="shared" si="248"/>
        <v>4.5397133684067343</v>
      </c>
      <c r="AS64" s="56">
        <f t="shared" si="410"/>
        <v>-308.14920748632818</v>
      </c>
      <c r="AT64" s="77">
        <f t="shared" si="249"/>
        <v>1.0300528130846254</v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4"/>
        <v>7.1150000000000002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0.02</v>
      </c>
      <c r="B65" s="770">
        <v>-2.5705363605383664</v>
      </c>
      <c r="C65" s="771">
        <v>2.1585120663492758</v>
      </c>
      <c r="D65" s="772">
        <v>-0.61160184459116351</v>
      </c>
      <c r="E65" s="773">
        <v>-0.82646958802139503</v>
      </c>
      <c r="F65" s="771">
        <v>-0.53734850383720778</v>
      </c>
      <c r="G65" s="774">
        <v>0.16794226835332446</v>
      </c>
      <c r="H65" s="773">
        <v>0.314</v>
      </c>
      <c r="I65" s="771">
        <v>0.52</v>
      </c>
      <c r="J65" s="601">
        <v>7.1219999999999999</v>
      </c>
      <c r="K65" s="426" t="str">
        <f t="shared" si="82"/>
        <v>1613</v>
      </c>
      <c r="L65" s="327"/>
      <c r="M65" s="173">
        <f t="shared" si="241"/>
        <v>7.1219999999999999</v>
      </c>
      <c r="N65" s="21">
        <f t="shared" si="242"/>
        <v>-2.5705363605383664</v>
      </c>
      <c r="O65" s="5">
        <f t="shared" si="243"/>
        <v>2.1585120663492758</v>
      </c>
      <c r="P65" s="10">
        <f t="shared" si="244"/>
        <v>-0.61160184459116351</v>
      </c>
      <c r="Q65" s="624">
        <f t="shared" si="116"/>
        <v>139.97939278386849</v>
      </c>
      <c r="R65" s="5">
        <f t="shared" si="83"/>
        <v>3.3566101235361328</v>
      </c>
      <c r="S65" s="6">
        <f t="shared" si="84"/>
        <v>-0.61160184459116351</v>
      </c>
      <c r="T65" s="4">
        <f t="shared" si="85"/>
        <v>2.1174604708450211</v>
      </c>
      <c r="U65" s="5">
        <f t="shared" si="86"/>
        <v>2.6044563109858525</v>
      </c>
      <c r="V65" s="8">
        <f t="shared" si="117"/>
        <v>-0.61160184459116351</v>
      </c>
      <c r="W65" s="624">
        <f t="shared" si="226"/>
        <v>50.888392652625143</v>
      </c>
      <c r="X65" s="5">
        <f t="shared" si="87"/>
        <v>3.3566101235361328</v>
      </c>
      <c r="Y65" s="7">
        <f t="shared" si="225"/>
        <v>-0.61160184459116351</v>
      </c>
      <c r="Z65" s="21">
        <f t="shared" si="245"/>
        <v>0.82646958802139503</v>
      </c>
      <c r="AA65" s="5">
        <f t="shared" si="246"/>
        <v>0.53734850383720778</v>
      </c>
      <c r="AB65" s="5">
        <f t="shared" si="247"/>
        <v>-0.16794226835332446</v>
      </c>
      <c r="AC65" s="8">
        <f t="shared" si="88"/>
        <v>1</v>
      </c>
      <c r="AD65" s="9">
        <f t="shared" si="118"/>
        <v>0.82646958802139503</v>
      </c>
      <c r="AE65" s="5">
        <f t="shared" si="89"/>
        <v>0.53734850383720778</v>
      </c>
      <c r="AF65" s="10">
        <f t="shared" si="90"/>
        <v>-0.16794226835332446</v>
      </c>
      <c r="AG65" s="622">
        <f t="shared" si="91"/>
        <v>72.643948947942263</v>
      </c>
      <c r="AH65" s="623">
        <f t="shared" si="92"/>
        <v>34.262230961110916</v>
      </c>
      <c r="AI65" s="624">
        <f t="shared" si="93"/>
        <v>-80.331800312206127</v>
      </c>
      <c r="AJ65" s="625">
        <f t="shared" si="94"/>
        <v>123.03084938562384</v>
      </c>
      <c r="AK65" s="4">
        <f t="shared" si="213"/>
        <v>0.94298066475317199</v>
      </c>
      <c r="AL65" s="5">
        <f t="shared" si="95"/>
        <v>-0.28737233757271435</v>
      </c>
      <c r="AM65" s="6">
        <f t="shared" si="96"/>
        <v>-0.16794226835332446</v>
      </c>
      <c r="AN65" s="612">
        <f t="shared" si="97"/>
        <v>-59.697706321968482</v>
      </c>
      <c r="AO65" s="613">
        <f t="shared" si="465"/>
        <v>19.44169927184533</v>
      </c>
      <c r="AP65" s="624">
        <f t="shared" si="99"/>
        <v>-16.948543398244656</v>
      </c>
      <c r="AQ65" s="625">
        <f t="shared" si="248"/>
        <v>3.6896050334666941</v>
      </c>
      <c r="AS65" s="56">
        <f t="shared" si="410"/>
        <v>-309.11160734737484</v>
      </c>
      <c r="AT65" s="77">
        <f t="shared" si="249"/>
        <v>0.55958711600311117</v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4"/>
        <v>7.1219999999999999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0.02</v>
      </c>
      <c r="B66" s="770">
        <v>-2.7662760284887766</v>
      </c>
      <c r="C66" s="771">
        <v>2.3615716320382028</v>
      </c>
      <c r="D66" s="772">
        <v>-1.3375040339121664</v>
      </c>
      <c r="E66" s="773">
        <v>-0.91778202287635946</v>
      </c>
      <c r="F66" s="771">
        <v>-0.38487509336752307</v>
      </c>
      <c r="G66" s="774">
        <v>9.7710393461075837E-2</v>
      </c>
      <c r="H66" s="773">
        <v>0.314</v>
      </c>
      <c r="I66" s="771">
        <v>0.52</v>
      </c>
      <c r="J66" s="601">
        <v>7.1289999999999996</v>
      </c>
      <c r="K66" s="426" t="str">
        <f t="shared" si="82"/>
        <v>1613</v>
      </c>
      <c r="L66" s="327"/>
      <c r="M66" s="173">
        <f t="shared" si="241"/>
        <v>7.1289999999999996</v>
      </c>
      <c r="N66" s="21">
        <f t="shared" si="242"/>
        <v>-2.7662760284887766</v>
      </c>
      <c r="O66" s="5">
        <f t="shared" si="243"/>
        <v>2.3615716320382028</v>
      </c>
      <c r="P66" s="10">
        <f t="shared" si="244"/>
        <v>-1.3375040339121664</v>
      </c>
      <c r="Q66" s="624">
        <f t="shared" si="116"/>
        <v>139.51259285126608</v>
      </c>
      <c r="R66" s="5">
        <f t="shared" si="83"/>
        <v>3.6372109698282857</v>
      </c>
      <c r="S66" s="6">
        <f t="shared" si="84"/>
        <v>-1.3375040339121664</v>
      </c>
      <c r="T66" s="4">
        <f t="shared" si="85"/>
        <v>2.3173891945623675</v>
      </c>
      <c r="U66" s="5">
        <f t="shared" si="86"/>
        <v>2.8033927587772638</v>
      </c>
      <c r="V66" s="8">
        <f t="shared" si="117"/>
        <v>-1.3375040339121664</v>
      </c>
      <c r="W66" s="624">
        <f t="shared" si="226"/>
        <v>50.42159272002273</v>
      </c>
      <c r="X66" s="5">
        <f t="shared" si="87"/>
        <v>3.6372109698282857</v>
      </c>
      <c r="Y66" s="7">
        <f t="shared" si="225"/>
        <v>-1.3375040339121664</v>
      </c>
      <c r="Z66" s="21">
        <f t="shared" si="245"/>
        <v>0.91778202287635946</v>
      </c>
      <c r="AA66" s="5">
        <f t="shared" si="246"/>
        <v>0.38487509336752307</v>
      </c>
      <c r="AB66" s="5">
        <f t="shared" si="247"/>
        <v>-9.7710393461075837E-2</v>
      </c>
      <c r="AC66" s="8">
        <f t="shared" si="88"/>
        <v>1</v>
      </c>
      <c r="AD66" s="9">
        <f t="shared" si="118"/>
        <v>0.91778202287635946</v>
      </c>
      <c r="AE66" s="5">
        <f t="shared" si="89"/>
        <v>0.38487509336752307</v>
      </c>
      <c r="AF66" s="10">
        <f t="shared" si="90"/>
        <v>-9.7710393461075837E-2</v>
      </c>
      <c r="AG66" s="622">
        <f t="shared" si="91"/>
        <v>75.754954682362097</v>
      </c>
      <c r="AH66" s="623">
        <f t="shared" si="92"/>
        <v>23.396047143464632</v>
      </c>
      <c r="AI66" s="624">
        <f t="shared" si="93"/>
        <v>-84.392660072529139</v>
      </c>
      <c r="AJ66" s="625">
        <f t="shared" si="94"/>
        <v>112.75091057220466</v>
      </c>
      <c r="AK66" s="4">
        <f t="shared" si="213"/>
        <v>0.88861458990843023</v>
      </c>
      <c r="AL66" s="5">
        <f t="shared" si="95"/>
        <v>-0.44812586358249207</v>
      </c>
      <c r="AM66" s="6">
        <f t="shared" si="96"/>
        <v>-9.7710393461075837E-2</v>
      </c>
      <c r="AN66" s="612">
        <f t="shared" si="97"/>
        <v>-77.69961503116555</v>
      </c>
      <c r="AO66" s="613">
        <f t="shared" si="465"/>
        <v>27.30033013741139</v>
      </c>
      <c r="AP66" s="624">
        <f t="shared" si="99"/>
        <v>-26.761682279061414</v>
      </c>
      <c r="AQ66" s="625">
        <f t="shared" si="248"/>
        <v>3.4056599948459745</v>
      </c>
      <c r="AS66" s="56">
        <f t="shared" si="410"/>
        <v>-309.57840727997728</v>
      </c>
      <c r="AT66" s="77">
        <f t="shared" si="249"/>
        <v>-0.16455160690583814</v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4"/>
        <v>7.1289999999999996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0.02</v>
      </c>
      <c r="B67" s="770">
        <v>-2.7946137961580826</v>
      </c>
      <c r="C67" s="771">
        <v>2.4293213421829969</v>
      </c>
      <c r="D67" s="772">
        <v>-2.1140999999999988</v>
      </c>
      <c r="E67" s="773">
        <v>-0.97029573663968538</v>
      </c>
      <c r="F67" s="771">
        <v>-0.24192185403314367</v>
      </c>
      <c r="G67" s="774">
        <v>1.300841922288031E-7</v>
      </c>
      <c r="H67" s="773">
        <v>0.314</v>
      </c>
      <c r="I67" s="771">
        <v>0.52</v>
      </c>
      <c r="J67" s="601">
        <v>7.1360000000000001</v>
      </c>
      <c r="K67" s="426" t="str">
        <f t="shared" si="82"/>
        <v>1613</v>
      </c>
      <c r="L67" s="327"/>
      <c r="M67" s="173">
        <f t="shared" si="241"/>
        <v>7.1360000000000001</v>
      </c>
      <c r="N67" s="21">
        <f t="shared" si="242"/>
        <v>-2.7946137961580826</v>
      </c>
      <c r="O67" s="5">
        <f t="shared" si="243"/>
        <v>2.4293213421829969</v>
      </c>
      <c r="P67" s="10">
        <f t="shared" si="244"/>
        <v>-2.1140999999999988</v>
      </c>
      <c r="Q67" s="624">
        <f t="shared" si="116"/>
        <v>138.99999262122142</v>
      </c>
      <c r="R67" s="5">
        <f>IF(M67="","",SQRT(N67^2+O67^2))</f>
        <v>3.7029000058417574</v>
      </c>
      <c r="S67" s="6">
        <f>IF(M67="","",P67)</f>
        <v>-2.1140999999999988</v>
      </c>
      <c r="T67" s="4">
        <f>IF(M67="","",X67*COS(RADIANS(W67)))</f>
        <v>2.3846808176261858</v>
      </c>
      <c r="U67" s="5">
        <f>IF(M67="","",X67*SIN(RADIANS(W67)))</f>
        <v>2.8328017670335837</v>
      </c>
      <c r="V67" s="8">
        <f>IF(M67="","",Y67)</f>
        <v>-2.1140999999999988</v>
      </c>
      <c r="W67" s="624">
        <f t="shared" si="226"/>
        <v>49.908992489978075</v>
      </c>
      <c r="X67" s="5">
        <f>IF(M67="","",R67)</f>
        <v>3.7029000058417574</v>
      </c>
      <c r="Y67" s="7">
        <f t="shared" si="225"/>
        <v>-2.1140999999999988</v>
      </c>
      <c r="Z67" s="21">
        <f t="shared" si="245"/>
        <v>0.97029573663968538</v>
      </c>
      <c r="AA67" s="5">
        <f t="shared" si="246"/>
        <v>0.24192185403314367</v>
      </c>
      <c r="AB67" s="5">
        <f t="shared" si="247"/>
        <v>-1.300841922288031E-7</v>
      </c>
      <c r="AC67" s="8">
        <f>IF(M67="","",SQRT(Z67^2+AA67^2+AB67^2))</f>
        <v>1</v>
      </c>
      <c r="AD67" s="9">
        <f>IF(M67="","",Z67*(1/SQRT(Z67^2+AA67^2+AB67^2)))</f>
        <v>0.97029573663968538</v>
      </c>
      <c r="AE67" s="5">
        <f>IF(M67="","",AA67*(1/SQRT(Z67^2+AA67^2+AB67^2)))</f>
        <v>0.24192185403314367</v>
      </c>
      <c r="AF67" s="10">
        <f>IF(M67="","",AB67*(1/SQRT(Z67^2+AA67^2+AB67^2)))</f>
        <v>-1.300841922288031E-7</v>
      </c>
      <c r="AG67" s="622">
        <f>IF(M67="","",DEGREES(ATAN2(-AF67,AE67)))</f>
        <v>89.999969191393532</v>
      </c>
      <c r="AH67" s="623">
        <f>IF(M67="","",DEGREES(ACOS(AD67)))</f>
        <v>13.999997545506636</v>
      </c>
      <c r="AI67" s="624">
        <f>IF(M67="","",DEGREES(-ACOS(-AF67)))</f>
        <v>-89.999992546724798</v>
      </c>
      <c r="AJ67" s="625">
        <f>IF(M67="","",DEGREES(ATAN2(-AE67,AD67)))</f>
        <v>103.99999754550473</v>
      </c>
      <c r="AK67" s="4">
        <f>IF(M67="","",(COS(RADIANS((90-$Q$8)-W67))*AD67)+(-SIN(RADIANS((90-$Q$8)-W67))*AE67))</f>
        <v>0.81915209358498409</v>
      </c>
      <c r="AL67" s="5">
        <f>IF(M67="","",(SIN(RADIANS((90-$Q$8)-W67))*AD67)+(COS(RADIANS((90-$Q$8)-W67))*AE67))</f>
        <v>-0.57357636594905193</v>
      </c>
      <c r="AM67" s="6">
        <f>IF(M67="","",AF67)</f>
        <v>-1.300841922288031E-7</v>
      </c>
      <c r="AN67" s="612">
        <f>IF(M67="","",DEGREES(ATAN2(-AM67,AL67)))</f>
        <v>-89.99998700560964</v>
      </c>
      <c r="AO67" s="613">
        <f t="shared" si="465"/>
        <v>34.999995075717372</v>
      </c>
      <c r="AP67" s="624">
        <f>IF(M67="","",DEGREES(ATAN2(AK67,AL67)))</f>
        <v>-34.999995075716697</v>
      </c>
      <c r="AQ67" s="625">
        <f t="shared" si="248"/>
        <v>3.34538241622566</v>
      </c>
      <c r="AS67" s="56">
        <f t="shared" si="410"/>
        <v>-310.09100751002194</v>
      </c>
      <c r="AT67" s="77">
        <f t="shared" si="249"/>
        <v>-0.93921108323572389</v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4"/>
        <v>7.1360000000000001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</v>
      </c>
      <c r="B68" s="770">
        <v>-1.8904284332454271</v>
      </c>
      <c r="C68" s="771">
        <v>2.8026759268688339</v>
      </c>
      <c r="D68" s="772">
        <v>-0.62212124606947239</v>
      </c>
      <c r="E68" s="773">
        <v>-0.33418784523233702</v>
      </c>
      <c r="F68" s="771">
        <v>0.49545354148396775</v>
      </c>
      <c r="G68" s="774">
        <v>0.80177569951325034</v>
      </c>
      <c r="H68" s="773">
        <v>0.25700000000000001</v>
      </c>
      <c r="I68" s="771">
        <v>0.41499999999999992</v>
      </c>
      <c r="J68" s="601">
        <v>7.2220000000000004</v>
      </c>
      <c r="K68" s="426" t="str">
        <f t="shared" si="82"/>
        <v/>
      </c>
      <c r="L68" s="327"/>
      <c r="M68" s="173">
        <f t="shared" si="241"/>
        <v>7.2220000000000004</v>
      </c>
      <c r="N68" s="21">
        <f t="shared" si="242"/>
        <v>-1.8904284332454271</v>
      </c>
      <c r="O68" s="5">
        <f t="shared" si="243"/>
        <v>2.8026759268688339</v>
      </c>
      <c r="P68" s="10">
        <f t="shared" si="244"/>
        <v>-0.62212124606947239</v>
      </c>
      <c r="Q68" s="624">
        <f t="shared" si="116"/>
        <v>123.99999509100806</v>
      </c>
      <c r="R68" s="5">
        <f>IF(M68="","",SQRT(N68^2+O68^2))</f>
        <v>3.3806378114599673</v>
      </c>
      <c r="S68" s="6">
        <f>IF(M68="","",P68)</f>
        <v>-0.62212124606947239</v>
      </c>
      <c r="T68" s="4">
        <f>IF(M68="","",X68*COS(RADIANS(W68)))</f>
        <v>2.7723327524540662</v>
      </c>
      <c r="U68" s="5">
        <f>IF(M68="","",X68*SIN(RADIANS(W68)))</f>
        <v>1.9346532304119257</v>
      </c>
      <c r="V68" s="8">
        <f>IF(M68="","",Y68)</f>
        <v>-0.62212124606947239</v>
      </c>
      <c r="W68" s="624">
        <f t="shared" si="226"/>
        <v>34.908994959764712</v>
      </c>
      <c r="X68" s="5">
        <f>IF(M68="","",R68)</f>
        <v>3.3806378114599673</v>
      </c>
      <c r="Y68" s="7">
        <f t="shared" si="225"/>
        <v>-0.62212124606947239</v>
      </c>
      <c r="Z68" s="21">
        <f t="shared" si="245"/>
        <v>0.33418784523233702</v>
      </c>
      <c r="AA68" s="5">
        <f t="shared" si="246"/>
        <v>-0.49545354148396775</v>
      </c>
      <c r="AB68" s="5">
        <f t="shared" si="247"/>
        <v>-0.80177569951325034</v>
      </c>
      <c r="AC68" s="8">
        <f>IF(M68="","",SQRT(Z68^2+AA68^2+AB68^2))</f>
        <v>1</v>
      </c>
      <c r="AD68" s="9">
        <f>IF(M68="","",Z68*(1/SQRT(Z68^2+AA68^2+AB68^2)))</f>
        <v>0.33418784523233702</v>
      </c>
      <c r="AE68" s="5">
        <f>IF(M68="","",AA68*(1/SQRT(Z68^2+AA68^2+AB68^2)))</f>
        <v>-0.49545354148396775</v>
      </c>
      <c r="AF68" s="10">
        <f>IF(M68="","",AB68*(1/SQRT(Z68^2+AA68^2+AB68^2)))</f>
        <v>-0.80177569951325034</v>
      </c>
      <c r="AG68" s="622">
        <f>IF(M68="","",DEGREES(ATAN2(-AF68,AE68)))</f>
        <v>-31.713798107886277</v>
      </c>
      <c r="AH68" s="623">
        <f>IF(M68="","",DEGREES(ACOS(AD68)))</f>
        <v>70.47684119263775</v>
      </c>
      <c r="AI68" s="624">
        <f>IF(M68="","",DEGREES(-ACOS(-AF68)))</f>
        <v>-36.699994701178348</v>
      </c>
      <c r="AJ68" s="625">
        <f>IF(M68="","",DEGREES(ATAN2(-AE68,AD68)))</f>
        <v>34.000016834390316</v>
      </c>
      <c r="AK68" s="4">
        <f>IF(M68="","",(COS(RADIANS((90-$Q$8)-W68))*AD68)+(-SIN(RADIANS((90-$Q$8)-W68))*AE68))</f>
        <v>2.2679489680710319E-7</v>
      </c>
      <c r="AL68" s="5">
        <f>IF(M68="","",(SIN(RADIANS((90-$Q$8)-W68))*AD68)+(COS(RADIANS((90-$Q$8)-W68))*AE68))</f>
        <v>-0.59762507282575317</v>
      </c>
      <c r="AM68" s="6">
        <f>IF(M68="","",AF68)</f>
        <v>-0.80177569951325034</v>
      </c>
      <c r="AN68" s="612">
        <f>IF(M68="","",DEGREES(ATAN2(-AM68,AL68)))</f>
        <v>-36.699994701176372</v>
      </c>
      <c r="AO68" s="613">
        <f t="shared" si="465"/>
        <v>0</v>
      </c>
      <c r="AP68" s="624">
        <f>IF(M68="","",DEGREES(ATAN2(AK68,AL68)))</f>
        <v>-89.999978256617752</v>
      </c>
      <c r="AQ68" s="625">
        <f t="shared" si="248"/>
        <v>3.6634530472598654</v>
      </c>
      <c r="AS68" s="56">
        <f t="shared" si="410"/>
        <v>-325.0910050402353</v>
      </c>
      <c r="AT68" s="77">
        <f t="shared" si="249"/>
        <v>0.60943432803116393</v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4"/>
        <v>7.2220000000000004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0.122</v>
      </c>
      <c r="II68" s="800" cm="1">
        <f t="array" ref="II68">IFERROR(IF($IH68&lt;1,$IH68+LARGE((IF($M$9:$M$150="",0,$M$9:$M$150)-MOD(IF($M$9:$M$150="",0,$M$9:$M$150),1)),1),$IH68),"")</f>
        <v>7.1219999999999999</v>
      </c>
      <c r="IJ68" s="839" t="str">
        <f t="shared" si="385"/>
        <v>1613</v>
      </c>
      <c r="IK68" s="839" t="str">
        <f t="shared" si="386"/>
        <v/>
      </c>
      <c r="IL68" s="791">
        <f t="shared" si="227"/>
        <v>15.979397692860431</v>
      </c>
      <c r="IM68" s="830">
        <v>1.9417914049508399E-2</v>
      </c>
      <c r="IN68" s="5">
        <f t="shared" si="228"/>
        <v>0.94</v>
      </c>
      <c r="IO68" s="852">
        <v>470</v>
      </c>
      <c r="IP68" s="9">
        <f t="shared" si="229"/>
        <v>-3.3566101235361328</v>
      </c>
      <c r="IQ68" s="5">
        <f t="shared" si="230"/>
        <v>-0.61160184459116351</v>
      </c>
      <c r="IR68" s="5">
        <f t="shared" si="387"/>
        <v>0.314</v>
      </c>
      <c r="IS68" s="5">
        <f t="shared" si="231"/>
        <v>0.29609592873249602</v>
      </c>
      <c r="IT68" s="791">
        <f t="shared" si="232"/>
        <v>59.697706321968482</v>
      </c>
      <c r="IU68" s="9">
        <f t="shared" si="233"/>
        <v>-3.3806378114599673</v>
      </c>
      <c r="IV68" s="5">
        <f t="shared" si="234"/>
        <v>-0.62212124606947239</v>
      </c>
      <c r="IW68" s="5">
        <f t="shared" si="388"/>
        <v>0.25700000000000001</v>
      </c>
      <c r="IX68" s="5">
        <f t="shared" si="235"/>
        <v>0.25700000000000001</v>
      </c>
      <c r="IY68" s="833">
        <f t="shared" si="236"/>
        <v>36.699994701176372</v>
      </c>
    </row>
    <row r="69" spans="1:259" ht="15" customHeight="1" x14ac:dyDescent="0.25">
      <c r="A69" s="84">
        <f t="shared" si="81"/>
        <v>0</v>
      </c>
      <c r="B69" s="770">
        <v>-2.0452969760122284</v>
      </c>
      <c r="C69" s="771">
        <v>3.0322780260589166</v>
      </c>
      <c r="D69" s="772">
        <v>-1.3673022104003323</v>
      </c>
      <c r="E69" s="773">
        <v>-0.4772996329591303</v>
      </c>
      <c r="F69" s="771">
        <v>0.7076255313140497</v>
      </c>
      <c r="G69" s="774">
        <v>0.52100975788327464</v>
      </c>
      <c r="H69" s="773">
        <v>0.25700000000000001</v>
      </c>
      <c r="I69" s="771">
        <v>0.41499999999999992</v>
      </c>
      <c r="J69" s="601">
        <v>7.2290000000000001</v>
      </c>
      <c r="K69" s="426" t="str">
        <f t="shared" si="82"/>
        <v/>
      </c>
      <c r="L69" s="327"/>
      <c r="M69" s="173">
        <f t="shared" si="241"/>
        <v>7.2290000000000001</v>
      </c>
      <c r="N69" s="21">
        <f t="shared" si="242"/>
        <v>-2.0452969760122284</v>
      </c>
      <c r="O69" s="5">
        <f t="shared" si="243"/>
        <v>3.0322780260589166</v>
      </c>
      <c r="P69" s="10">
        <f t="shared" si="244"/>
        <v>-1.3673022104003323</v>
      </c>
      <c r="Q69" s="624">
        <f t="shared" si="116"/>
        <v>123.99999509100806</v>
      </c>
      <c r="R69" s="5">
        <f t="shared" si="83"/>
        <v>3.6575879685121073</v>
      </c>
      <c r="S69" s="6">
        <f t="shared" si="84"/>
        <v>-1.3673022104003323</v>
      </c>
      <c r="T69" s="4">
        <f t="shared" si="85"/>
        <v>2.9994490642311513</v>
      </c>
      <c r="U69" s="5">
        <f t="shared" si="86"/>
        <v>2.0931447772400729</v>
      </c>
      <c r="V69" s="8">
        <f t="shared" si="117"/>
        <v>-1.3673022104003323</v>
      </c>
      <c r="W69" s="624">
        <f t="shared" si="226"/>
        <v>34.908994959764712</v>
      </c>
      <c r="X69" s="5">
        <f t="shared" si="87"/>
        <v>3.6575879685121073</v>
      </c>
      <c r="Y69" s="7">
        <f t="shared" si="225"/>
        <v>-1.3673022104003323</v>
      </c>
      <c r="Z69" s="21">
        <f t="shared" si="245"/>
        <v>0.4772996329591303</v>
      </c>
      <c r="AA69" s="5">
        <f t="shared" si="246"/>
        <v>-0.7076255313140497</v>
      </c>
      <c r="AB69" s="5">
        <f t="shared" si="247"/>
        <v>-0.52100975788327464</v>
      </c>
      <c r="AC69" s="8">
        <f t="shared" si="88"/>
        <v>1</v>
      </c>
      <c r="AD69" s="9">
        <f t="shared" si="118"/>
        <v>0.4772996329591303</v>
      </c>
      <c r="AE69" s="5">
        <f t="shared" si="89"/>
        <v>-0.7076255313140497</v>
      </c>
      <c r="AF69" s="10">
        <f t="shared" si="90"/>
        <v>-0.52100975788327464</v>
      </c>
      <c r="AG69" s="622">
        <f t="shared" si="91"/>
        <v>-53.636567485074536</v>
      </c>
      <c r="AH69" s="623">
        <f t="shared" si="92"/>
        <v>61.490815196555999</v>
      </c>
      <c r="AI69" s="624">
        <f t="shared" si="93"/>
        <v>-58.599991539208908</v>
      </c>
      <c r="AJ69" s="625">
        <f t="shared" si="94"/>
        <v>34.000010314931011</v>
      </c>
      <c r="AK69" s="4">
        <f t="shared" si="213"/>
        <v>2.2679489675159203E-7</v>
      </c>
      <c r="AL69" s="5">
        <f t="shared" si="95"/>
        <v>-0.85355072033849289</v>
      </c>
      <c r="AM69" s="6">
        <f t="shared" si="96"/>
        <v>-0.52100975788327464</v>
      </c>
      <c r="AN69" s="612">
        <f t="shared" si="97"/>
        <v>-58.59999153920802</v>
      </c>
      <c r="AO69" s="613">
        <f t="shared" si="465"/>
        <v>0</v>
      </c>
      <c r="AP69" s="624">
        <f t="shared" si="99"/>
        <v>-89.999984776077056</v>
      </c>
      <c r="AQ69" s="625">
        <f t="shared" si="248"/>
        <v>3.3867308138000838</v>
      </c>
      <c r="AS69" s="56">
        <f t="shared" si="410"/>
        <v>-325.0910050402353</v>
      </c>
      <c r="AT69" s="77">
        <f t="shared" si="249"/>
        <v>-0.13574663629969597</v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>
        <f>IFERROR(IF((((($IW69*COS(RADIANS(180-$IY69)))*COS(RADIANS($IY69)))-(($IX69*SIN(RADIANS(180-$IY69)))*SIN(RADIANS($IY69))))+$IU69)&lt;(((Settings!$C$19/2)*-1)+$IF$8),1,""),"")</f>
        <v>1</v>
      </c>
      <c r="IG69" s="836">
        <f t="shared" si="384"/>
        <v>7.2290000000000001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0.129</v>
      </c>
      <c r="II69" s="800" cm="1">
        <f t="array" ref="II69">IFERROR(IF($IH69&lt;1,$IH69+LARGE((IF($M$9:$M$150="",0,$M$9:$M$150)-MOD(IF($M$9:$M$150="",0,$M$9:$M$150),1)),1),$IH69),"")</f>
        <v>7.1289999999999996</v>
      </c>
      <c r="IJ69" s="839" t="str">
        <f t="shared" si="385"/>
        <v>1613</v>
      </c>
      <c r="IK69" s="839" t="str">
        <f t="shared" si="386"/>
        <v/>
      </c>
      <c r="IL69" s="791">
        <f t="shared" si="227"/>
        <v>15.512597760258018</v>
      </c>
      <c r="IM69" s="830">
        <v>2.0907091356980999E-3</v>
      </c>
      <c r="IN69" s="5">
        <f t="shared" si="228"/>
        <v>0.74</v>
      </c>
      <c r="IO69" s="852">
        <v>370</v>
      </c>
      <c r="IP69" s="9">
        <f t="shared" si="229"/>
        <v>-3.6372109698282857</v>
      </c>
      <c r="IQ69" s="5">
        <f t="shared" si="230"/>
        <v>-1.3375040339121664</v>
      </c>
      <c r="IR69" s="5">
        <f t="shared" si="387"/>
        <v>0.314</v>
      </c>
      <c r="IS69" s="5">
        <f t="shared" si="231"/>
        <v>0.27902498123124708</v>
      </c>
      <c r="IT69" s="791">
        <f t="shared" si="232"/>
        <v>77.69961503116555</v>
      </c>
      <c r="IU69" s="9">
        <f t="shared" si="233"/>
        <v>-3.6575879685121073</v>
      </c>
      <c r="IV69" s="5">
        <f t="shared" si="234"/>
        <v>-1.3673022104003323</v>
      </c>
      <c r="IW69" s="5">
        <f t="shared" si="388"/>
        <v>0.25700000000000001</v>
      </c>
      <c r="IX69" s="5">
        <f t="shared" si="235"/>
        <v>0.25700000000000001</v>
      </c>
      <c r="IY69" s="833">
        <f t="shared" si="236"/>
        <v>58.59999153920802</v>
      </c>
    </row>
    <row r="70" spans="1:259" ht="15" customHeight="1" x14ac:dyDescent="0.25">
      <c r="A70" s="84">
        <f t="shared" si="81"/>
        <v>0</v>
      </c>
      <c r="B70" s="770">
        <v>-2.0969731216515148</v>
      </c>
      <c r="C70" s="771">
        <v>3.108891076746032</v>
      </c>
      <c r="D70" s="772">
        <v>-2.0785611578293408</v>
      </c>
      <c r="E70" s="773">
        <v>-0.55919302046187669</v>
      </c>
      <c r="F70" s="771">
        <v>0.82903749364348533</v>
      </c>
      <c r="G70" s="774">
        <v>2.2679489664470489E-7</v>
      </c>
      <c r="H70" s="773">
        <v>0.25700000000000001</v>
      </c>
      <c r="I70" s="771">
        <v>0.41499999999999992</v>
      </c>
      <c r="J70" s="601">
        <v>7.2359999999999998</v>
      </c>
      <c r="K70" s="426" t="str">
        <f t="shared" si="82"/>
        <v/>
      </c>
      <c r="L70" s="327"/>
      <c r="M70" s="173">
        <f t="shared" si="241"/>
        <v>7.2359999999999998</v>
      </c>
      <c r="N70" s="21">
        <f t="shared" si="242"/>
        <v>-2.0969731216515148</v>
      </c>
      <c r="O70" s="5">
        <f t="shared" si="243"/>
        <v>3.108891076746032</v>
      </c>
      <c r="P70" s="10">
        <f t="shared" si="244"/>
        <v>-2.0785611578293408</v>
      </c>
      <c r="Q70" s="624">
        <f t="shared" si="116"/>
        <v>123.99999509100806</v>
      </c>
      <c r="R70" s="5">
        <f t="shared" si="83"/>
        <v>3.75</v>
      </c>
      <c r="S70" s="6">
        <f t="shared" si="84"/>
        <v>-2.0785611578293408</v>
      </c>
      <c r="T70" s="4">
        <f t="shared" si="85"/>
        <v>3.0752326636295324</v>
      </c>
      <c r="U70" s="5">
        <f t="shared" si="86"/>
        <v>2.1460298377576237</v>
      </c>
      <c r="V70" s="8">
        <f t="shared" si="117"/>
        <v>-2.0785611578293408</v>
      </c>
      <c r="W70" s="624">
        <f t="shared" si="226"/>
        <v>34.908994959764712</v>
      </c>
      <c r="X70" s="5">
        <f t="shared" si="87"/>
        <v>3.75</v>
      </c>
      <c r="Y70" s="7">
        <f t="shared" si="225"/>
        <v>-2.0785611578293408</v>
      </c>
      <c r="Z70" s="21">
        <f t="shared" si="245"/>
        <v>0.55919302046187669</v>
      </c>
      <c r="AA70" s="5">
        <f t="shared" si="246"/>
        <v>-0.82903749364348533</v>
      </c>
      <c r="AB70" s="5">
        <f t="shared" si="247"/>
        <v>-2.2679489664470489E-7</v>
      </c>
      <c r="AC70" s="8">
        <f t="shared" si="88"/>
        <v>1</v>
      </c>
      <c r="AD70" s="9">
        <f t="shared" si="118"/>
        <v>0.55919302046187669</v>
      </c>
      <c r="AE70" s="5">
        <f t="shared" si="89"/>
        <v>-0.82903749364348533</v>
      </c>
      <c r="AF70" s="10">
        <f t="shared" si="90"/>
        <v>-2.2679489664470489E-7</v>
      </c>
      <c r="AG70" s="622">
        <f t="shared" si="91"/>
        <v>-89.999984325931592</v>
      </c>
      <c r="AH70" s="623">
        <f t="shared" si="92"/>
        <v>55.999991914602518</v>
      </c>
      <c r="AI70" s="624">
        <f t="shared" si="93"/>
        <v>-89.999987005609611</v>
      </c>
      <c r="AJ70" s="625">
        <f t="shared" si="94"/>
        <v>34.00000808539847</v>
      </c>
      <c r="AK70" s="4">
        <f t="shared" si="213"/>
        <v>2.2679489691812549E-7</v>
      </c>
      <c r="AL70" s="5">
        <f t="shared" si="95"/>
        <v>-0.99999999999994871</v>
      </c>
      <c r="AM70" s="6">
        <f t="shared" si="96"/>
        <v>-2.2679489664470489E-7</v>
      </c>
      <c r="AN70" s="612">
        <f t="shared" si="97"/>
        <v>-89.999987005609611</v>
      </c>
      <c r="AO70" s="613">
        <f t="shared" si="465"/>
        <v>0</v>
      </c>
      <c r="AP70" s="624">
        <f t="shared" si="99"/>
        <v>-89.999987005609597</v>
      </c>
      <c r="AQ70" s="625">
        <f t="shared" si="248"/>
        <v>3.3034580647038347</v>
      </c>
      <c r="AS70" s="56">
        <f t="shared" si="410"/>
        <v>-325.0910050402353</v>
      </c>
      <c r="AT70" s="77">
        <f t="shared" si="249"/>
        <v>-0.84700558372870449</v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>
        <f>IFERROR(IF((((($IW70*COS(RADIANS(180-$IY70)))*COS(RADIANS($IY70)))-(($IX70*SIN(RADIANS(180-$IY70)))*SIN(RADIANS($IY70))))+$IU70)&lt;(((Settings!$C$19/2)*-1)+$IF$8),1,""),"")</f>
        <v>1</v>
      </c>
      <c r="IG70" s="836">
        <f t="shared" si="384"/>
        <v>7.2359999999999998</v>
      </c>
      <c r="IH70" s="797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0.13600000000000001</v>
      </c>
      <c r="II70" s="800" cm="1">
        <f t="array" ref="II70">IFERROR(IF($IH70&lt;1,$IH70+LARGE((IF($M$9:$M$150="",0,$M$9:$M$150)-MOD(IF($M$9:$M$150="",0,$M$9:$M$150),1)),1),$IH70),"")</f>
        <v>7.1360000000000001</v>
      </c>
      <c r="IJ70" s="839" t="str">
        <f t="shared" si="385"/>
        <v>1613</v>
      </c>
      <c r="IK70" s="839" t="str">
        <f t="shared" si="386"/>
        <v/>
      </c>
      <c r="IL70" s="791">
        <f t="shared" si="227"/>
        <v>14.999997530213363</v>
      </c>
      <c r="IM70" s="830">
        <v>3.7478655733369802E-4</v>
      </c>
      <c r="IN70" s="5">
        <f t="shared" si="228"/>
        <v>0</v>
      </c>
      <c r="IO70" s="852">
        <v>0</v>
      </c>
      <c r="IP70" s="9">
        <f t="shared" si="229"/>
        <v>-3.7029000058417574</v>
      </c>
      <c r="IQ70" s="5">
        <f t="shared" si="230"/>
        <v>-2.1140999999999988</v>
      </c>
      <c r="IR70" s="5">
        <f t="shared" si="387"/>
        <v>0.314</v>
      </c>
      <c r="IS70" s="5">
        <f t="shared" si="231"/>
        <v>0.25721375738568503</v>
      </c>
      <c r="IT70" s="791">
        <f t="shared" si="232"/>
        <v>89.99998700560964</v>
      </c>
      <c r="IU70" s="9">
        <f t="shared" si="233"/>
        <v>-3.75</v>
      </c>
      <c r="IV70" s="5">
        <f t="shared" si="234"/>
        <v>-2.0785611578293408</v>
      </c>
      <c r="IW70" s="5">
        <f t="shared" si="388"/>
        <v>0.25700000000000001</v>
      </c>
      <c r="IX70" s="5">
        <f t="shared" si="235"/>
        <v>0.25700000000000001</v>
      </c>
      <c r="IY70" s="833">
        <f t="shared" si="236"/>
        <v>89.999987005609611</v>
      </c>
    </row>
    <row r="71" spans="1:259" ht="15" customHeight="1" x14ac:dyDescent="0.25">
      <c r="A71" s="84">
        <f t="shared" si="81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82"/>
        <v/>
      </c>
      <c r="L71" s="327"/>
      <c r="M71" s="173" t="str">
        <f t="shared" si="241"/>
        <v/>
      </c>
      <c r="N71" s="21" t="str">
        <f t="shared" si="242"/>
        <v/>
      </c>
      <c r="O71" s="5" t="str">
        <f t="shared" si="243"/>
        <v/>
      </c>
      <c r="P71" s="10" t="str">
        <f t="shared" si="244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6"/>
        <v/>
      </c>
      <c r="X71" s="5" t="str">
        <f t="shared" si="87"/>
        <v/>
      </c>
      <c r="Y71" s="7" t="str">
        <f t="shared" si="225"/>
        <v/>
      </c>
      <c r="Z71" s="21" t="str">
        <f t="shared" si="245"/>
        <v/>
      </c>
      <c r="AA71" s="5" t="str">
        <f t="shared" si="246"/>
        <v/>
      </c>
      <c r="AB71" s="5" t="str">
        <f t="shared" si="247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5"/>
        <v/>
      </c>
      <c r="AP71" s="624" t="str">
        <f t="shared" si="99"/>
        <v/>
      </c>
      <c r="AQ71" s="625" t="str">
        <f t="shared" si="248"/>
        <v/>
      </c>
      <c r="AS71" s="56" t="str">
        <f t="shared" si="410"/>
        <v/>
      </c>
      <c r="AT71" s="77" t="str">
        <f t="shared" si="249"/>
        <v/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4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82"/>
        <v/>
      </c>
      <c r="L72" s="327"/>
      <c r="M72" s="173" t="str">
        <f t="shared" si="241"/>
        <v/>
      </c>
      <c r="N72" s="21" t="str">
        <f t="shared" si="242"/>
        <v/>
      </c>
      <c r="O72" s="5" t="str">
        <f t="shared" si="243"/>
        <v/>
      </c>
      <c r="P72" s="10" t="str">
        <f t="shared" si="244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6"/>
        <v/>
      </c>
      <c r="X72" s="5" t="str">
        <f t="shared" si="87"/>
        <v/>
      </c>
      <c r="Y72" s="7" t="str">
        <f t="shared" si="225"/>
        <v/>
      </c>
      <c r="Z72" s="21" t="str">
        <f t="shared" si="245"/>
        <v/>
      </c>
      <c r="AA72" s="5" t="str">
        <f t="shared" si="246"/>
        <v/>
      </c>
      <c r="AB72" s="5" t="str">
        <f t="shared" si="247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5"/>
        <v/>
      </c>
      <c r="AP72" s="624" t="str">
        <f t="shared" si="99"/>
        <v/>
      </c>
      <c r="AQ72" s="625" t="str">
        <f t="shared" si="248"/>
        <v/>
      </c>
      <c r="AS72" s="56" t="str">
        <f t="shared" si="410"/>
        <v/>
      </c>
      <c r="AT72" s="77" t="str">
        <f t="shared" si="249"/>
        <v/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4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82"/>
        <v/>
      </c>
      <c r="L73" s="327"/>
      <c r="M73" s="173" t="str">
        <f t="shared" ref="M73:M104" si="468">IF(J73="","",VALUE(J73))</f>
        <v/>
      </c>
      <c r="N73" s="21" t="str">
        <f t="shared" ref="N73:N104" si="469">IF(M73="","",B73)</f>
        <v/>
      </c>
      <c r="O73" s="5" t="str">
        <f t="shared" ref="O73:O104" si="470">IF(M73="","",C73)</f>
        <v/>
      </c>
      <c r="P73" s="10" t="str">
        <f t="shared" ref="P73:P104" si="471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6"/>
        <v/>
      </c>
      <c r="X73" s="5" t="str">
        <f>IF(M73="","",R73)</f>
        <v/>
      </c>
      <c r="Y73" s="7" t="str">
        <f t="shared" si="225"/>
        <v/>
      </c>
      <c r="Z73" s="21" t="str">
        <f t="shared" ref="Z73:Z104" si="472">IF(M73="","",-E73)</f>
        <v/>
      </c>
      <c r="AA73" s="5" t="str">
        <f t="shared" ref="AA73:AA104" si="473">IF(M73="","",-F73)</f>
        <v/>
      </c>
      <c r="AB73" s="5" t="str">
        <f t="shared" ref="AB73:AB104" si="474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5"/>
        <v/>
      </c>
      <c r="AP73" s="624" t="str">
        <f>IF(M73="","",DEGREES(ATAN2(AK73,AL73)))</f>
        <v/>
      </c>
      <c r="AQ73" s="625" t="str">
        <f t="shared" ref="AQ73:AQ104" si="475">IF(M73="","",DEGREES(ATAN(($AS$5*SIN(RADIANS(90)))/(($X73*2*PI())-($AS$5*COS(RADIANS(90)))))))</f>
        <v/>
      </c>
      <c r="AS73" s="56" t="str">
        <f t="shared" si="410"/>
        <v/>
      </c>
      <c r="AT73" s="77" t="str">
        <f t="shared" ref="AT73:AT104" si="476">IF(M73="","",Y73+(((AS73-$AS$9)*$AS$6)*-1))</f>
        <v/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1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/>
      </c>
      <c r="L74" s="327"/>
      <c r="M74" s="173" t="str">
        <f t="shared" si="468"/>
        <v/>
      </c>
      <c r="N74" s="21" t="str">
        <f t="shared" si="469"/>
        <v/>
      </c>
      <c r="O74" s="5" t="str">
        <f t="shared" si="470"/>
        <v/>
      </c>
      <c r="P74" s="10" t="str">
        <f t="shared" si="471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6"/>
        <v/>
      </c>
      <c r="X74" s="5" t="str">
        <f>IF(M74="","",R74)</f>
        <v/>
      </c>
      <c r="Y74" s="7" t="str">
        <f t="shared" si="225"/>
        <v/>
      </c>
      <c r="Z74" s="21" t="str">
        <f t="shared" si="472"/>
        <v/>
      </c>
      <c r="AA74" s="5" t="str">
        <f t="shared" si="473"/>
        <v/>
      </c>
      <c r="AB74" s="5" t="str">
        <f t="shared" si="474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5"/>
        <v/>
      </c>
      <c r="AP74" s="624" t="str">
        <f>IF(M74="","",DEGREES(ATAN2(AK74,AL74)))</f>
        <v/>
      </c>
      <c r="AQ74" s="625" t="str">
        <f t="shared" si="475"/>
        <v/>
      </c>
      <c r="AS74" s="56" t="str">
        <f t="shared" si="410"/>
        <v/>
      </c>
      <c r="AT74" s="77" t="str">
        <f t="shared" si="476"/>
        <v/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1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527"/>
        <v/>
      </c>
      <c r="L75" s="327"/>
      <c r="M75" s="173" t="str">
        <f t="shared" si="468"/>
        <v/>
      </c>
      <c r="N75" s="21" t="str">
        <f t="shared" si="469"/>
        <v/>
      </c>
      <c r="O75" s="5" t="str">
        <f t="shared" si="470"/>
        <v/>
      </c>
      <c r="P75" s="10" t="str">
        <f t="shared" si="471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6"/>
        <v/>
      </c>
      <c r="X75" s="5" t="str">
        <f>IF(M75="","",R75)</f>
        <v/>
      </c>
      <c r="Y75" s="7" t="str">
        <f t="shared" si="225"/>
        <v/>
      </c>
      <c r="Z75" s="21" t="str">
        <f t="shared" si="472"/>
        <v/>
      </c>
      <c r="AA75" s="5" t="str">
        <f t="shared" si="473"/>
        <v/>
      </c>
      <c r="AB75" s="5" t="str">
        <f t="shared" si="474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5"/>
        <v/>
      </c>
      <c r="AP75" s="624" t="str">
        <f>IF(M75="","",DEGREES(ATAN2(AK75,AL75)))</f>
        <v/>
      </c>
      <c r="AQ75" s="625" t="str">
        <f t="shared" si="475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6"/>
        <v/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1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527"/>
        <v/>
      </c>
      <c r="L76" s="327"/>
      <c r="M76" s="173" t="str">
        <f t="shared" si="468"/>
        <v/>
      </c>
      <c r="N76" s="21" t="str">
        <f t="shared" si="469"/>
        <v/>
      </c>
      <c r="O76" s="5" t="str">
        <f t="shared" si="470"/>
        <v/>
      </c>
      <c r="P76" s="10" t="str">
        <f t="shared" si="471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6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2"/>
        <v/>
      </c>
      <c r="AA76" s="5" t="str">
        <f t="shared" si="473"/>
        <v/>
      </c>
      <c r="AB76" s="5" t="str">
        <f t="shared" si="474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5"/>
        <v/>
      </c>
      <c r="AP76" s="624" t="str">
        <f t="shared" si="99"/>
        <v/>
      </c>
      <c r="AQ76" s="625" t="str">
        <f t="shared" si="475"/>
        <v/>
      </c>
      <c r="AS76" s="56" t="str">
        <f t="shared" si="550"/>
        <v/>
      </c>
      <c r="AT76" s="77" t="str">
        <f t="shared" si="476"/>
        <v/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1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si="527"/>
        <v/>
      </c>
      <c r="L77" s="327"/>
      <c r="M77" s="173" t="str">
        <f t="shared" si="468"/>
        <v/>
      </c>
      <c r="N77" s="21" t="str">
        <f t="shared" si="469"/>
        <v/>
      </c>
      <c r="O77" s="5" t="str">
        <f t="shared" si="470"/>
        <v/>
      </c>
      <c r="P77" s="10" t="str">
        <f t="shared" si="471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6"/>
        <v/>
      </c>
      <c r="X77" s="5" t="str">
        <f t="shared" si="87"/>
        <v/>
      </c>
      <c r="Y77" s="7" t="str">
        <f t="shared" si="650"/>
        <v/>
      </c>
      <c r="Z77" s="21" t="str">
        <f t="shared" si="472"/>
        <v/>
      </c>
      <c r="AA77" s="5" t="str">
        <f t="shared" si="473"/>
        <v/>
      </c>
      <c r="AB77" s="5" t="str">
        <f t="shared" si="474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5"/>
        <v/>
      </c>
      <c r="AP77" s="624" t="str">
        <f t="shared" si="99"/>
        <v/>
      </c>
      <c r="AQ77" s="625" t="str">
        <f t="shared" si="475"/>
        <v/>
      </c>
      <c r="AS77" s="56" t="str">
        <f t="shared" si="550"/>
        <v/>
      </c>
      <c r="AT77" s="77" t="str">
        <f t="shared" si="476"/>
        <v/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1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527"/>
        <v/>
      </c>
      <c r="L78" s="327"/>
      <c r="M78" s="173" t="str">
        <f t="shared" si="468"/>
        <v/>
      </c>
      <c r="N78" s="21" t="str">
        <f t="shared" si="469"/>
        <v/>
      </c>
      <c r="O78" s="5" t="str">
        <f t="shared" si="470"/>
        <v/>
      </c>
      <c r="P78" s="10" t="str">
        <f t="shared" si="471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6"/>
        <v/>
      </c>
      <c r="X78" s="5" t="str">
        <f>IF(M78="","",R78)</f>
        <v/>
      </c>
      <c r="Y78" s="7" t="str">
        <f t="shared" si="650"/>
        <v/>
      </c>
      <c r="Z78" s="21" t="str">
        <f t="shared" si="472"/>
        <v/>
      </c>
      <c r="AA78" s="5" t="str">
        <f t="shared" si="473"/>
        <v/>
      </c>
      <c r="AB78" s="5" t="str">
        <f t="shared" si="474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5"/>
        <v/>
      </c>
      <c r="AP78" s="624" t="str">
        <f>IF(M78="","",DEGREES(ATAN2(AK78,AL78)))</f>
        <v/>
      </c>
      <c r="AQ78" s="625" t="str">
        <f t="shared" si="475"/>
        <v/>
      </c>
      <c r="AS78" s="56" t="str">
        <f t="shared" si="550"/>
        <v/>
      </c>
      <c r="AT78" s="77" t="str">
        <f t="shared" si="476"/>
        <v/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1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527"/>
        <v/>
      </c>
      <c r="L79" s="327"/>
      <c r="M79" s="173" t="str">
        <f t="shared" si="468"/>
        <v/>
      </c>
      <c r="N79" s="21" t="str">
        <f t="shared" si="469"/>
        <v/>
      </c>
      <c r="O79" s="5" t="str">
        <f t="shared" si="470"/>
        <v/>
      </c>
      <c r="P79" s="10" t="str">
        <f t="shared" si="471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1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2"/>
        <v/>
      </c>
      <c r="AA79" s="5" t="str">
        <f t="shared" si="473"/>
        <v/>
      </c>
      <c r="AB79" s="5" t="str">
        <f t="shared" si="474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5"/>
        <v/>
      </c>
      <c r="AP79" s="624" t="str">
        <f>IF(M79="","",DEGREES(ATAN2(AK79,AL79)))</f>
        <v/>
      </c>
      <c r="AQ79" s="625" t="str">
        <f t="shared" si="475"/>
        <v/>
      </c>
      <c r="AS79" s="56" t="str">
        <f t="shared" si="550"/>
        <v/>
      </c>
      <c r="AT79" s="77" t="str">
        <f t="shared" si="476"/>
        <v/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1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527"/>
        <v/>
      </c>
      <c r="L80" s="327"/>
      <c r="M80" s="173" t="str">
        <f t="shared" si="468"/>
        <v/>
      </c>
      <c r="N80" s="21" t="str">
        <f t="shared" si="469"/>
        <v/>
      </c>
      <c r="O80" s="5" t="str">
        <f t="shared" si="470"/>
        <v/>
      </c>
      <c r="P80" s="10" t="str">
        <f t="shared" si="471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1"/>
        <v/>
      </c>
      <c r="X80" s="5" t="str">
        <f t="shared" si="87"/>
        <v/>
      </c>
      <c r="Y80" s="7" t="str">
        <f t="shared" si="650"/>
        <v/>
      </c>
      <c r="Z80" s="21" t="str">
        <f t="shared" si="472"/>
        <v/>
      </c>
      <c r="AA80" s="5" t="str">
        <f t="shared" si="473"/>
        <v/>
      </c>
      <c r="AB80" s="5" t="str">
        <f t="shared" si="474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5"/>
        <v/>
      </c>
      <c r="AP80" s="624" t="str">
        <f t="shared" si="99"/>
        <v/>
      </c>
      <c r="AQ80" s="625" t="str">
        <f t="shared" si="475"/>
        <v/>
      </c>
      <c r="AS80" s="56" t="str">
        <f t="shared" si="550"/>
        <v/>
      </c>
      <c r="AT80" s="77" t="str">
        <f t="shared" si="476"/>
        <v/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1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527"/>
        <v/>
      </c>
      <c r="L81" s="327"/>
      <c r="M81" s="173" t="str">
        <f t="shared" si="468"/>
        <v/>
      </c>
      <c r="N81" s="21" t="str">
        <f t="shared" si="469"/>
        <v/>
      </c>
      <c r="O81" s="5" t="str">
        <f t="shared" si="470"/>
        <v/>
      </c>
      <c r="P81" s="10" t="str">
        <f t="shared" si="471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1"/>
        <v/>
      </c>
      <c r="X81" s="5" t="str">
        <f t="shared" si="87"/>
        <v/>
      </c>
      <c r="Y81" s="7" t="str">
        <f t="shared" si="650"/>
        <v/>
      </c>
      <c r="Z81" s="21" t="str">
        <f t="shared" si="472"/>
        <v/>
      </c>
      <c r="AA81" s="5" t="str">
        <f t="shared" si="473"/>
        <v/>
      </c>
      <c r="AB81" s="5" t="str">
        <f t="shared" si="474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5"/>
        <v/>
      </c>
      <c r="AP81" s="624" t="str">
        <f t="shared" si="99"/>
        <v/>
      </c>
      <c r="AQ81" s="625" t="str">
        <f t="shared" si="475"/>
        <v/>
      </c>
      <c r="AS81" s="56" t="str">
        <f t="shared" si="550"/>
        <v/>
      </c>
      <c r="AT81" s="77" t="str">
        <f t="shared" si="476"/>
        <v/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1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527"/>
        <v/>
      </c>
      <c r="L82" s="327"/>
      <c r="M82" s="173" t="str">
        <f t="shared" si="468"/>
        <v/>
      </c>
      <c r="N82" s="21" t="str">
        <f t="shared" si="469"/>
        <v/>
      </c>
      <c r="O82" s="5" t="str">
        <f t="shared" si="470"/>
        <v/>
      </c>
      <c r="P82" s="10" t="str">
        <f t="shared" si="471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1"/>
        <v/>
      </c>
      <c r="X82" s="5" t="str">
        <f t="shared" si="87"/>
        <v/>
      </c>
      <c r="Y82" s="7" t="str">
        <f t="shared" si="650"/>
        <v/>
      </c>
      <c r="Z82" s="21" t="str">
        <f t="shared" si="472"/>
        <v/>
      </c>
      <c r="AA82" s="5" t="str">
        <f t="shared" si="473"/>
        <v/>
      </c>
      <c r="AB82" s="5" t="str">
        <f t="shared" si="474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5"/>
        <v/>
      </c>
      <c r="AP82" s="624" t="str">
        <f t="shared" si="99"/>
        <v/>
      </c>
      <c r="AQ82" s="625" t="str">
        <f t="shared" si="475"/>
        <v/>
      </c>
      <c r="AS82" s="56" t="str">
        <f t="shared" si="550"/>
        <v/>
      </c>
      <c r="AT82" s="77" t="str">
        <f t="shared" si="476"/>
        <v/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1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527"/>
        <v/>
      </c>
      <c r="L83" s="327"/>
      <c r="M83" s="173" t="str">
        <f t="shared" si="468"/>
        <v/>
      </c>
      <c r="N83" s="21" t="str">
        <f t="shared" si="469"/>
        <v/>
      </c>
      <c r="O83" s="5" t="str">
        <f t="shared" si="470"/>
        <v/>
      </c>
      <c r="P83" s="10" t="str">
        <f t="shared" si="471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1"/>
        <v/>
      </c>
      <c r="X83" s="5" t="str">
        <f t="shared" si="87"/>
        <v/>
      </c>
      <c r="Y83" s="7" t="str">
        <f t="shared" si="650"/>
        <v/>
      </c>
      <c r="Z83" s="21" t="str">
        <f t="shared" si="472"/>
        <v/>
      </c>
      <c r="AA83" s="5" t="str">
        <f t="shared" si="473"/>
        <v/>
      </c>
      <c r="AB83" s="5" t="str">
        <f t="shared" si="474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5"/>
        <v/>
      </c>
      <c r="AP83" s="624" t="str">
        <f t="shared" si="99"/>
        <v/>
      </c>
      <c r="AQ83" s="625" t="str">
        <f t="shared" si="475"/>
        <v/>
      </c>
      <c r="AS83" s="56" t="str">
        <f t="shared" si="550"/>
        <v/>
      </c>
      <c r="AT83" s="77" t="str">
        <f t="shared" si="476"/>
        <v/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1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527"/>
        <v/>
      </c>
      <c r="L84" s="327"/>
      <c r="M84" s="173" t="str">
        <f t="shared" si="468"/>
        <v/>
      </c>
      <c r="N84" s="21" t="str">
        <f t="shared" si="469"/>
        <v/>
      </c>
      <c r="O84" s="5" t="str">
        <f t="shared" si="470"/>
        <v/>
      </c>
      <c r="P84" s="10" t="str">
        <f t="shared" si="471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1"/>
        <v/>
      </c>
      <c r="X84" s="5" t="str">
        <f t="shared" si="87"/>
        <v/>
      </c>
      <c r="Y84" s="7" t="str">
        <f t="shared" si="650"/>
        <v/>
      </c>
      <c r="Z84" s="21" t="str">
        <f t="shared" si="472"/>
        <v/>
      </c>
      <c r="AA84" s="5" t="str">
        <f t="shared" si="473"/>
        <v/>
      </c>
      <c r="AB84" s="5" t="str">
        <f t="shared" si="474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5"/>
        <v/>
      </c>
      <c r="AP84" s="624" t="str">
        <f t="shared" si="99"/>
        <v/>
      </c>
      <c r="AQ84" s="625" t="str">
        <f t="shared" si="475"/>
        <v/>
      </c>
      <c r="AS84" s="56" t="str">
        <f t="shared" si="550"/>
        <v/>
      </c>
      <c r="AT84" s="77" t="str">
        <f t="shared" si="476"/>
        <v/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1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527"/>
        <v/>
      </c>
      <c r="L85" s="327"/>
      <c r="M85" s="173" t="str">
        <f t="shared" si="468"/>
        <v/>
      </c>
      <c r="N85" s="21" t="str">
        <f t="shared" si="469"/>
        <v/>
      </c>
      <c r="O85" s="5" t="str">
        <f t="shared" si="470"/>
        <v/>
      </c>
      <c r="P85" s="10" t="str">
        <f t="shared" si="471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1"/>
        <v/>
      </c>
      <c r="X85" s="5" t="str">
        <f t="shared" si="87"/>
        <v/>
      </c>
      <c r="Y85" s="7" t="str">
        <f t="shared" si="650"/>
        <v/>
      </c>
      <c r="Z85" s="21" t="str">
        <f t="shared" si="472"/>
        <v/>
      </c>
      <c r="AA85" s="5" t="str">
        <f t="shared" si="473"/>
        <v/>
      </c>
      <c r="AB85" s="5" t="str">
        <f t="shared" si="474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5"/>
        <v/>
      </c>
      <c r="AP85" s="624" t="str">
        <f t="shared" si="99"/>
        <v/>
      </c>
      <c r="AQ85" s="625" t="str">
        <f t="shared" si="475"/>
        <v/>
      </c>
      <c r="AS85" s="56" t="str">
        <f t="shared" si="550"/>
        <v/>
      </c>
      <c r="AT85" s="77" t="str">
        <f t="shared" si="476"/>
        <v/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1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527"/>
        <v/>
      </c>
      <c r="L86" s="327"/>
      <c r="M86" s="173" t="str">
        <f t="shared" si="468"/>
        <v/>
      </c>
      <c r="N86" s="21" t="str">
        <f t="shared" si="469"/>
        <v/>
      </c>
      <c r="O86" s="5" t="str">
        <f t="shared" si="470"/>
        <v/>
      </c>
      <c r="P86" s="10" t="str">
        <f t="shared" si="471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1"/>
        <v/>
      </c>
      <c r="X86" s="5" t="str">
        <f t="shared" si="87"/>
        <v/>
      </c>
      <c r="Y86" s="7" t="str">
        <f t="shared" si="650"/>
        <v/>
      </c>
      <c r="Z86" s="21" t="str">
        <f t="shared" si="472"/>
        <v/>
      </c>
      <c r="AA86" s="5" t="str">
        <f t="shared" si="473"/>
        <v/>
      </c>
      <c r="AB86" s="5" t="str">
        <f t="shared" si="474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5"/>
        <v/>
      </c>
      <c r="AP86" s="624" t="str">
        <f t="shared" si="99"/>
        <v/>
      </c>
      <c r="AQ86" s="625" t="str">
        <f t="shared" si="475"/>
        <v/>
      </c>
      <c r="AS86" s="56" t="str">
        <f t="shared" si="550"/>
        <v/>
      </c>
      <c r="AT86" s="77" t="str">
        <f t="shared" si="476"/>
        <v/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1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527"/>
        <v/>
      </c>
      <c r="L87" s="327"/>
      <c r="M87" s="173" t="str">
        <f t="shared" si="468"/>
        <v/>
      </c>
      <c r="N87" s="21" t="str">
        <f t="shared" si="469"/>
        <v/>
      </c>
      <c r="O87" s="5" t="str">
        <f t="shared" si="470"/>
        <v/>
      </c>
      <c r="P87" s="10" t="str">
        <f t="shared" si="471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1"/>
        <v/>
      </c>
      <c r="X87" s="5" t="str">
        <f t="shared" si="87"/>
        <v/>
      </c>
      <c r="Y87" s="7" t="str">
        <f t="shared" si="650"/>
        <v/>
      </c>
      <c r="Z87" s="21" t="str">
        <f t="shared" si="472"/>
        <v/>
      </c>
      <c r="AA87" s="5" t="str">
        <f t="shared" si="473"/>
        <v/>
      </c>
      <c r="AB87" s="5" t="str">
        <f t="shared" si="474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5"/>
        <v/>
      </c>
      <c r="AP87" s="624" t="str">
        <f t="shared" si="99"/>
        <v/>
      </c>
      <c r="AQ87" s="625" t="str">
        <f t="shared" si="475"/>
        <v/>
      </c>
      <c r="AS87" s="56" t="str">
        <f t="shared" si="550"/>
        <v/>
      </c>
      <c r="AT87" s="77" t="str">
        <f t="shared" si="476"/>
        <v/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1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527"/>
        <v/>
      </c>
      <c r="L88" s="327"/>
      <c r="M88" s="173" t="str">
        <f t="shared" si="468"/>
        <v/>
      </c>
      <c r="N88" s="21" t="str">
        <f t="shared" si="469"/>
        <v/>
      </c>
      <c r="O88" s="5" t="str">
        <f t="shared" si="470"/>
        <v/>
      </c>
      <c r="P88" s="10" t="str">
        <f t="shared" si="471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1"/>
        <v/>
      </c>
      <c r="X88" s="5" t="str">
        <f t="shared" si="87"/>
        <v/>
      </c>
      <c r="Y88" s="7" t="str">
        <f t="shared" si="650"/>
        <v/>
      </c>
      <c r="Z88" s="21" t="str">
        <f t="shared" si="472"/>
        <v/>
      </c>
      <c r="AA88" s="5" t="str">
        <f t="shared" si="473"/>
        <v/>
      </c>
      <c r="AB88" s="5" t="str">
        <f t="shared" si="474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5"/>
        <v/>
      </c>
      <c r="AP88" s="624" t="str">
        <f t="shared" si="99"/>
        <v/>
      </c>
      <c r="AQ88" s="625" t="str">
        <f t="shared" si="475"/>
        <v/>
      </c>
      <c r="AS88" s="56" t="str">
        <f t="shared" si="550"/>
        <v/>
      </c>
      <c r="AT88" s="77" t="str">
        <f t="shared" si="476"/>
        <v/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1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527"/>
        <v/>
      </c>
      <c r="L89" s="327"/>
      <c r="M89" s="173" t="str">
        <f t="shared" si="468"/>
        <v/>
      </c>
      <c r="N89" s="21" t="str">
        <f t="shared" si="469"/>
        <v/>
      </c>
      <c r="O89" s="5" t="str">
        <f t="shared" si="470"/>
        <v/>
      </c>
      <c r="P89" s="10" t="str">
        <f t="shared" si="471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1"/>
        <v/>
      </c>
      <c r="X89" s="5" t="str">
        <f t="shared" si="87"/>
        <v/>
      </c>
      <c r="Y89" s="7" t="str">
        <f t="shared" si="650"/>
        <v/>
      </c>
      <c r="Z89" s="21" t="str">
        <f t="shared" si="472"/>
        <v/>
      </c>
      <c r="AA89" s="5" t="str">
        <f t="shared" si="473"/>
        <v/>
      </c>
      <c r="AB89" s="5" t="str">
        <f t="shared" si="474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5"/>
        <v/>
      </c>
      <c r="AP89" s="624" t="str">
        <f t="shared" si="99"/>
        <v/>
      </c>
      <c r="AQ89" s="625" t="str">
        <f t="shared" si="475"/>
        <v/>
      </c>
      <c r="AS89" s="56" t="str">
        <f t="shared" si="550"/>
        <v/>
      </c>
      <c r="AT89" s="77" t="str">
        <f t="shared" si="476"/>
        <v/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1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527"/>
        <v/>
      </c>
      <c r="L90" s="327"/>
      <c r="M90" s="173" t="str">
        <f t="shared" si="468"/>
        <v/>
      </c>
      <c r="N90" s="21" t="str">
        <f t="shared" si="469"/>
        <v/>
      </c>
      <c r="O90" s="5" t="str">
        <f t="shared" si="470"/>
        <v/>
      </c>
      <c r="P90" s="10" t="str">
        <f t="shared" si="471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1"/>
        <v/>
      </c>
      <c r="X90" s="5" t="str">
        <f t="shared" si="87"/>
        <v/>
      </c>
      <c r="Y90" s="7" t="str">
        <f t="shared" si="650"/>
        <v/>
      </c>
      <c r="Z90" s="21" t="str">
        <f t="shared" si="472"/>
        <v/>
      </c>
      <c r="AA90" s="5" t="str">
        <f t="shared" si="473"/>
        <v/>
      </c>
      <c r="AB90" s="5" t="str">
        <f t="shared" si="474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5"/>
        <v/>
      </c>
      <c r="AP90" s="624" t="str">
        <f t="shared" si="99"/>
        <v/>
      </c>
      <c r="AQ90" s="625" t="str">
        <f t="shared" si="475"/>
        <v/>
      </c>
      <c r="AS90" s="56" t="str">
        <f t="shared" si="550"/>
        <v/>
      </c>
      <c r="AT90" s="77" t="str">
        <f t="shared" si="476"/>
        <v/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1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8.852130215629557E-2</v>
      </c>
      <c r="G154" s="175">
        <f>G9*-1</f>
        <v>-0.33036604714967333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0.96592583607220739</v>
      </c>
      <c r="F155" s="175">
        <f t="shared" si="939"/>
        <v>6.6987279208207212E-2</v>
      </c>
      <c r="G155" s="175">
        <f t="shared" si="939"/>
        <v>-0.24999996726497561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0.96592583607220739</v>
      </c>
      <c r="F156" s="175">
        <f t="shared" si="941"/>
        <v>6.6987279208207212E-2</v>
      </c>
      <c r="G156" s="175">
        <f t="shared" si="941"/>
        <v>-0.24999996726497564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0.96089198209416138</v>
      </c>
      <c r="F157" s="175">
        <f t="shared" si="942"/>
        <v>-0.14353494016811438</v>
      </c>
      <c r="G157" s="175">
        <f t="shared" si="942"/>
        <v>-0.23682128218994525</v>
      </c>
      <c r="H157" s="144"/>
      <c r="I157" s="91"/>
      <c r="J157" s="84">
        <f t="shared" si="940"/>
        <v>1.1140000000000001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0.93948851336091665</v>
      </c>
      <c r="F158" s="175">
        <f t="shared" si="945"/>
        <v>-0.29625628196016235</v>
      </c>
      <c r="G158" s="175">
        <f t="shared" si="945"/>
        <v>-0.1720277554990351</v>
      </c>
      <c r="H158" s="144"/>
      <c r="I158" s="91"/>
      <c r="J158" s="84">
        <f t="shared" si="940"/>
        <v>1.121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0.87691222519662104</v>
      </c>
      <c r="F159" s="175">
        <f t="shared" si="946"/>
        <v>-0.4666214331930808</v>
      </c>
      <c r="G159" s="175">
        <f t="shared" si="946"/>
        <v>-0.11527960524544595</v>
      </c>
      <c r="H159" s="144"/>
      <c r="I159" s="91"/>
      <c r="J159" s="84">
        <f t="shared" si="940"/>
        <v>1.1279999999999999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0.78801080790683986</v>
      </c>
      <c r="F160" s="175">
        <f t="shared" si="947"/>
        <v>-0.61566140582465689</v>
      </c>
      <c r="G160" s="175">
        <f t="shared" si="947"/>
        <v>-1.3008419220637057E-7</v>
      </c>
      <c r="H160" s="144"/>
      <c r="I160" s="91"/>
      <c r="J160" s="84">
        <f t="shared" si="940"/>
        <v>1.135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0.78565336189541879</v>
      </c>
      <c r="F161" s="175">
        <f t="shared" si="948"/>
        <v>-0.47475545718627421</v>
      </c>
      <c r="G161" s="175">
        <f t="shared" si="948"/>
        <v>-0.3966812962748279</v>
      </c>
      <c r="H161" s="144"/>
      <c r="I161" s="91"/>
      <c r="J161" s="84">
        <f t="shared" si="940"/>
        <v>1.214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0.73141724041092682</v>
      </c>
      <c r="F162" s="175">
        <f t="shared" si="949"/>
        <v>-0.6097039117797457</v>
      </c>
      <c r="G162" s="175">
        <f t="shared" si="949"/>
        <v>-0.30543405244036054</v>
      </c>
      <c r="H162" s="144"/>
      <c r="I162" s="91"/>
      <c r="J162" s="84">
        <f t="shared" si="940"/>
        <v>1.2210000000000001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-0.25405620482684121</v>
      </c>
      <c r="F163" s="175">
        <f t="shared" si="950"/>
        <v>-0.7819054537146839</v>
      </c>
      <c r="G163" s="175">
        <f t="shared" si="950"/>
        <v>-0.56927963799895076</v>
      </c>
      <c r="H163" s="144"/>
      <c r="I163" s="91"/>
      <c r="J163" s="84">
        <f t="shared" si="940"/>
        <v>1.228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-0.30901673554121095</v>
      </c>
      <c r="F164" s="175">
        <f t="shared" si="951"/>
        <v>-0.95105660039526674</v>
      </c>
      <c r="G164" s="175">
        <f t="shared" si="951"/>
        <v>-2.2679489667692386E-7</v>
      </c>
      <c r="H164" s="144"/>
      <c r="I164" s="91"/>
      <c r="J164" s="84">
        <f t="shared" si="940"/>
        <v>1.2350000000000001</v>
      </c>
    </row>
    <row r="165" spans="5:16" x14ac:dyDescent="0.25">
      <c r="E165" s="175">
        <f t="shared" ref="E165:G165" si="952">E20*-1</f>
        <v>0.4689295107615965</v>
      </c>
      <c r="F165" s="175">
        <f t="shared" si="952"/>
        <v>-0.84857319267626918</v>
      </c>
      <c r="G165" s="175">
        <f t="shared" si="952"/>
        <v>-0.24500745010732472</v>
      </c>
      <c r="H165" s="144"/>
      <c r="I165" s="91"/>
      <c r="J165" s="84">
        <f t="shared" si="940"/>
        <v>2.113</v>
      </c>
    </row>
    <row r="166" spans="5:16" x14ac:dyDescent="0.25">
      <c r="E166" s="175">
        <f t="shared" ref="E166:G166" si="953">E21*-1</f>
        <v>0.33639370929163537</v>
      </c>
      <c r="F166" s="175">
        <f t="shared" si="953"/>
        <v>-0.92531601221074533</v>
      </c>
      <c r="G166" s="175">
        <f t="shared" si="953"/>
        <v>-0.17501299921839739</v>
      </c>
      <c r="H166" s="144"/>
      <c r="I166" s="91"/>
      <c r="J166" s="84">
        <f t="shared" si="940"/>
        <v>2.12</v>
      </c>
    </row>
    <row r="167" spans="5:16" x14ac:dyDescent="0.25">
      <c r="E167" s="175">
        <f t="shared" ref="E167:G167" si="954">E22*-1</f>
        <v>0.16066965547527057</v>
      </c>
      <c r="F167" s="175">
        <f t="shared" si="954"/>
        <v>-0.97827243340859382</v>
      </c>
      <c r="G167" s="175">
        <f t="shared" si="954"/>
        <v>-0.13102788955900344</v>
      </c>
      <c r="H167" s="144"/>
      <c r="I167" s="91"/>
      <c r="J167" s="84">
        <f t="shared" si="940"/>
        <v>2.1269999999999998</v>
      </c>
    </row>
    <row r="168" spans="5:16" x14ac:dyDescent="0.25">
      <c r="E168" s="175">
        <f t="shared" ref="E168:G168" si="955">E23*-1</f>
        <v>-3.4900179191106731E-2</v>
      </c>
      <c r="F168" s="175">
        <f t="shared" si="955"/>
        <v>-0.99939080318582674</v>
      </c>
      <c r="G168" s="175">
        <f t="shared" si="955"/>
        <v>-1.300841922044553E-7</v>
      </c>
      <c r="H168" s="144"/>
      <c r="I168" s="91"/>
      <c r="J168" s="84">
        <f t="shared" si="940"/>
        <v>2.1339999999999999</v>
      </c>
    </row>
    <row r="169" spans="5:16" x14ac:dyDescent="0.25">
      <c r="E169" s="175">
        <f t="shared" ref="E169:G169" si="956">E24*-1</f>
        <v>-0.48269764812212018</v>
      </c>
      <c r="F169" s="175">
        <f t="shared" si="956"/>
        <v>-0.15683782436800334</v>
      </c>
      <c r="G169" s="175">
        <f t="shared" si="956"/>
        <v>-0.86162919945002181</v>
      </c>
      <c r="H169" s="144"/>
      <c r="I169" s="91"/>
      <c r="J169" s="84">
        <f t="shared" si="940"/>
        <v>2.2200000000000002</v>
      </c>
    </row>
    <row r="170" spans="5:16" x14ac:dyDescent="0.25">
      <c r="E170" s="175">
        <f t="shared" ref="E170:G170" si="957">E25*-1</f>
        <v>-0.75148210384892178</v>
      </c>
      <c r="F170" s="175">
        <f t="shared" si="957"/>
        <v>-0.2441709724123747</v>
      </c>
      <c r="G170" s="175">
        <f t="shared" si="957"/>
        <v>-0.6129071575907673</v>
      </c>
      <c r="H170" s="144"/>
      <c r="I170" s="91"/>
      <c r="J170" s="84">
        <f t="shared" si="940"/>
        <v>2.2269999999999999</v>
      </c>
    </row>
    <row r="171" spans="5:16" x14ac:dyDescent="0.25">
      <c r="E171" s="175">
        <f t="shared" ref="E171:G171" si="958">E26*-1</f>
        <v>-0.95105667047866083</v>
      </c>
      <c r="F171" s="175">
        <f t="shared" si="958"/>
        <v>-0.30901651984641942</v>
      </c>
      <c r="G171" s="175">
        <f t="shared" si="958"/>
        <v>-2.2679489664145123E-7</v>
      </c>
      <c r="H171" s="144"/>
      <c r="I171" s="91"/>
      <c r="J171" s="84">
        <f t="shared" si="940"/>
        <v>2.234</v>
      </c>
    </row>
    <row r="172" spans="5:16" x14ac:dyDescent="0.25">
      <c r="E172" s="175">
        <f t="shared" ref="E172:G172" si="959">E27*-1</f>
        <v>-0.13530445066904165</v>
      </c>
      <c r="F172" s="175">
        <f t="shared" si="959"/>
        <v>-0.95874538955692512</v>
      </c>
      <c r="G172" s="175">
        <f t="shared" si="959"/>
        <v>-0.24999996726497564</v>
      </c>
      <c r="H172" s="144"/>
      <c r="I172" s="91"/>
      <c r="J172" s="84">
        <f t="shared" si="940"/>
        <v>3.1030000000000002</v>
      </c>
    </row>
    <row r="173" spans="5:16" x14ac:dyDescent="0.25">
      <c r="E173" s="175">
        <f t="shared" ref="E173:G173" si="960">E28*-1</f>
        <v>-0.13530445066904162</v>
      </c>
      <c r="F173" s="175">
        <f t="shared" si="960"/>
        <v>-0.95874538955692512</v>
      </c>
      <c r="G173" s="175">
        <f t="shared" si="960"/>
        <v>-0.24999996726497559</v>
      </c>
      <c r="H173" s="144"/>
      <c r="I173" s="91"/>
      <c r="J173" s="84">
        <f t="shared" si="940"/>
        <v>3.1059999999999999</v>
      </c>
    </row>
    <row r="174" spans="5:16" x14ac:dyDescent="0.25">
      <c r="E174" s="175">
        <f t="shared" ref="E174:G174" si="961">E29*-1</f>
        <v>-0.29293237467838579</v>
      </c>
      <c r="F174" s="175">
        <f t="shared" si="961"/>
        <v>-0.92245913032790172</v>
      </c>
      <c r="G174" s="175">
        <f t="shared" si="961"/>
        <v>-0.25151496325263262</v>
      </c>
      <c r="H174" s="144"/>
      <c r="I174" s="91"/>
      <c r="J174" s="84">
        <f t="shared" si="940"/>
        <v>3.1120000000000001</v>
      </c>
    </row>
    <row r="175" spans="5:16" x14ac:dyDescent="0.25">
      <c r="E175" s="175">
        <f t="shared" ref="E175:G175" si="962">E30*-1</f>
        <v>-0.43897182483099051</v>
      </c>
      <c r="F175" s="175">
        <f t="shared" si="962"/>
        <v>-0.88104431497757874</v>
      </c>
      <c r="G175" s="175">
        <f t="shared" si="962"/>
        <v>-0.17625167247501278</v>
      </c>
      <c r="H175" s="144"/>
      <c r="I175" s="91"/>
      <c r="J175" s="84">
        <f t="shared" si="940"/>
        <v>3.1190000000000002</v>
      </c>
    </row>
    <row r="176" spans="5:16" x14ac:dyDescent="0.25">
      <c r="E176" s="175">
        <f t="shared" ref="E176:G176" si="963">E31*-1</f>
        <v>-0.60132532085675849</v>
      </c>
      <c r="F176" s="175">
        <f t="shared" si="963"/>
        <v>-0.78605441019587774</v>
      </c>
      <c r="G176" s="175">
        <f t="shared" si="963"/>
        <v>-0.14327010402776738</v>
      </c>
      <c r="H176" s="144"/>
      <c r="I176" s="91"/>
      <c r="J176" s="84">
        <f t="shared" si="940"/>
        <v>3.1259999999999999</v>
      </c>
    </row>
    <row r="177" spans="5:10" x14ac:dyDescent="0.25">
      <c r="E177" s="175">
        <f t="shared" ref="E177:G177" si="964">E32*-1</f>
        <v>-0.76604480433163968</v>
      </c>
      <c r="F177" s="175">
        <f t="shared" si="964"/>
        <v>-0.64278717920979345</v>
      </c>
      <c r="G177" s="175">
        <f t="shared" si="964"/>
        <v>-1.3008419223321922E-7</v>
      </c>
      <c r="H177" s="144"/>
      <c r="I177" s="91"/>
      <c r="J177" s="84">
        <f t="shared" si="940"/>
        <v>3.133</v>
      </c>
    </row>
    <row r="178" spans="5:10" x14ac:dyDescent="0.25">
      <c r="E178" s="175">
        <f t="shared" ref="E178:G178" si="965">E33*-1</f>
        <v>-0.57644133149671706</v>
      </c>
      <c r="F178" s="175">
        <f t="shared" si="965"/>
        <v>-0.70432923790006974</v>
      </c>
      <c r="G178" s="175">
        <f t="shared" si="965"/>
        <v>-0.41428941089701904</v>
      </c>
      <c r="H178" s="144"/>
      <c r="I178" s="91"/>
      <c r="J178" s="84">
        <f t="shared" si="940"/>
        <v>3.2120000000000002</v>
      </c>
    </row>
    <row r="179" spans="5:10" x14ac:dyDescent="0.25">
      <c r="E179" s="175">
        <f t="shared" ref="E179:G179" si="966">E34*-1</f>
        <v>-0.70457017589521187</v>
      </c>
      <c r="F179" s="175">
        <f t="shared" si="966"/>
        <v>-0.63301312048843372</v>
      </c>
      <c r="G179" s="175">
        <f t="shared" si="966"/>
        <v>-0.32074172869847456</v>
      </c>
      <c r="H179" s="144"/>
      <c r="I179" s="91"/>
      <c r="J179" s="84">
        <f t="shared" si="940"/>
        <v>3.2189999999999999</v>
      </c>
    </row>
    <row r="180" spans="5:10" x14ac:dyDescent="0.25">
      <c r="E180" s="175">
        <f t="shared" ref="E180:G180" si="967">E35*-1</f>
        <v>-0.65458812051306892</v>
      </c>
      <c r="F180" s="175">
        <f t="shared" si="967"/>
        <v>0.37792689355443726</v>
      </c>
      <c r="G180" s="175">
        <f t="shared" si="967"/>
        <v>-0.654740907238475</v>
      </c>
      <c r="H180" s="144"/>
      <c r="I180" s="91"/>
      <c r="J180" s="84">
        <f t="shared" si="940"/>
        <v>3.226</v>
      </c>
    </row>
    <row r="181" spans="5:10" x14ac:dyDescent="0.25">
      <c r="E181" s="175">
        <f t="shared" ref="E181:G181" si="968">E36*-1</f>
        <v>-0.86602521478860761</v>
      </c>
      <c r="F181" s="175">
        <f t="shared" si="968"/>
        <v>0.50000032735018773</v>
      </c>
      <c r="G181" s="175">
        <f t="shared" si="968"/>
        <v>-2.2679489661303812E-7</v>
      </c>
      <c r="H181" s="144"/>
      <c r="I181" s="91"/>
      <c r="J181" s="84">
        <f t="shared" si="940"/>
        <v>3.2330000000000001</v>
      </c>
    </row>
    <row r="182" spans="5:10" x14ac:dyDescent="0.25">
      <c r="E182" s="175">
        <f t="shared" ref="E182:G182" si="969">E37*-1</f>
        <v>-0.91984664607816302</v>
      </c>
      <c r="F182" s="175">
        <f t="shared" si="969"/>
        <v>-0.29688948959251282</v>
      </c>
      <c r="G182" s="175">
        <f t="shared" si="969"/>
        <v>-0.25639574619765465</v>
      </c>
      <c r="H182" s="144"/>
      <c r="I182" s="91"/>
      <c r="J182" s="84">
        <f t="shared" si="940"/>
        <v>4.1109999999999998</v>
      </c>
    </row>
    <row r="183" spans="5:10" x14ac:dyDescent="0.25">
      <c r="E183" s="175">
        <f t="shared" ref="E183:G183" si="970">E38*-1</f>
        <v>-0.97072421023574773</v>
      </c>
      <c r="F183" s="175">
        <f t="shared" si="970"/>
        <v>-0.14608250533153921</v>
      </c>
      <c r="G183" s="175">
        <f t="shared" si="970"/>
        <v>-0.19066832274461556</v>
      </c>
      <c r="H183" s="144"/>
      <c r="I183" s="91"/>
      <c r="J183" s="84">
        <f t="shared" si="940"/>
        <v>4.1180000000000003</v>
      </c>
    </row>
    <row r="184" spans="5:10" x14ac:dyDescent="0.25">
      <c r="E184" s="175">
        <f t="shared" ref="E184:G184" si="971">E39*-1</f>
        <v>-0.98726774874964096</v>
      </c>
      <c r="F184" s="175">
        <f t="shared" si="971"/>
        <v>3.4915030258279925E-2</v>
      </c>
      <c r="G184" s="175">
        <f t="shared" si="971"/>
        <v>-0.15518805669535016</v>
      </c>
      <c r="H184" s="144"/>
      <c r="I184" s="91"/>
      <c r="J184" s="84">
        <f t="shared" si="940"/>
        <v>4.125</v>
      </c>
    </row>
    <row r="185" spans="5:10" x14ac:dyDescent="0.25">
      <c r="E185" s="175">
        <f t="shared" ref="E185:G185" si="972">E40*-1</f>
        <v>-0.96126157994161443</v>
      </c>
      <c r="F185" s="175">
        <f t="shared" si="972"/>
        <v>0.27563776034523019</v>
      </c>
      <c r="G185" s="175">
        <f t="shared" si="972"/>
        <v>-1.3008419221378574E-7</v>
      </c>
      <c r="H185" s="144"/>
      <c r="I185" s="91"/>
      <c r="J185" s="84">
        <f t="shared" si="940"/>
        <v>4.1319999999999997</v>
      </c>
    </row>
    <row r="186" spans="5:10" x14ac:dyDescent="0.25">
      <c r="E186" s="175">
        <f t="shared" ref="E186:G186" si="973">E41*-1</f>
        <v>-2.8705822558874747E-2</v>
      </c>
      <c r="F186" s="175">
        <f t="shared" si="973"/>
        <v>0.41051187212633655</v>
      </c>
      <c r="G186" s="175">
        <f t="shared" si="973"/>
        <v>-0.91140330183434637</v>
      </c>
      <c r="H186" s="144"/>
      <c r="I186" s="91"/>
      <c r="J186" s="84">
        <f t="shared" si="940"/>
        <v>4.218</v>
      </c>
    </row>
    <row r="187" spans="5:10" x14ac:dyDescent="0.25">
      <c r="E187" s="175">
        <f t="shared" ref="E187:G187" si="974">E42*-1</f>
        <v>-5.0178495797404819E-2</v>
      </c>
      <c r="F187" s="175">
        <f t="shared" si="974"/>
        <v>0.71758745185796513</v>
      </c>
      <c r="G187" s="175">
        <f t="shared" si="974"/>
        <v>-0.69465845384296776</v>
      </c>
      <c r="H187" s="144"/>
      <c r="I187" s="91"/>
      <c r="J187" s="84">
        <f t="shared" si="940"/>
        <v>4.2249999999999996</v>
      </c>
    </row>
    <row r="188" spans="5:10" x14ac:dyDescent="0.25">
      <c r="E188" s="175">
        <f t="shared" ref="E188:G188" si="975">E43*-1</f>
        <v>-6.9756237446466765E-2</v>
      </c>
      <c r="F188" s="175">
        <f t="shared" si="975"/>
        <v>0.99756406678331233</v>
      </c>
      <c r="G188" s="175">
        <f t="shared" si="975"/>
        <v>-2.2679489678254405E-7</v>
      </c>
      <c r="H188" s="144"/>
      <c r="I188" s="91"/>
      <c r="J188" s="84">
        <f t="shared" si="940"/>
        <v>4.2320000000000002</v>
      </c>
    </row>
    <row r="189" spans="5:10" x14ac:dyDescent="0.25">
      <c r="E189" s="175">
        <f t="shared" ref="E189:G189" si="976">E44*-1</f>
        <v>-0.90291932413584053</v>
      </c>
      <c r="F189" s="175">
        <f t="shared" si="976"/>
        <v>0.31681224107988654</v>
      </c>
      <c r="G189" s="175">
        <f t="shared" si="976"/>
        <v>-0.29045946017304536</v>
      </c>
      <c r="H189" s="144"/>
      <c r="I189" s="91"/>
      <c r="J189" s="84">
        <f t="shared" si="940"/>
        <v>5.1020000000000003</v>
      </c>
    </row>
    <row r="190" spans="5:10" x14ac:dyDescent="0.25">
      <c r="E190" s="175">
        <f t="shared" ref="E190:G190" si="977">E45*-1</f>
        <v>-0.90966321064955358</v>
      </c>
      <c r="F190" s="175">
        <f t="shared" si="977"/>
        <v>0.33168186498248137</v>
      </c>
      <c r="G190" s="175">
        <f t="shared" si="977"/>
        <v>-0.24999996726497573</v>
      </c>
      <c r="H190" s="144"/>
      <c r="I190" s="91"/>
      <c r="J190" s="84">
        <f t="shared" si="940"/>
        <v>5.1050000000000004</v>
      </c>
    </row>
    <row r="191" spans="5:10" x14ac:dyDescent="0.25">
      <c r="E191" s="175">
        <f t="shared" ref="E191:G191" si="978">E46*-1</f>
        <v>-0.86130086298768205</v>
      </c>
      <c r="F191" s="175">
        <f t="shared" si="978"/>
        <v>0.43737790659161929</v>
      </c>
      <c r="G191" s="175">
        <f t="shared" si="978"/>
        <v>-0.25857569538184966</v>
      </c>
      <c r="H191" s="144"/>
      <c r="I191" s="91"/>
      <c r="J191" s="84">
        <f t="shared" si="940"/>
        <v>5.1100000000000003</v>
      </c>
    </row>
    <row r="192" spans="5:10" x14ac:dyDescent="0.25">
      <c r="E192" s="175">
        <f t="shared" ref="E192:G192" si="979">E47*-1</f>
        <v>-0.78882117556782572</v>
      </c>
      <c r="F192" s="175">
        <f t="shared" si="979"/>
        <v>0.57976471765471949</v>
      </c>
      <c r="G192" s="175">
        <f t="shared" si="979"/>
        <v>-0.20404417447831483</v>
      </c>
      <c r="H192" s="144"/>
      <c r="I192" s="91"/>
      <c r="J192" s="84">
        <f t="shared" si="940"/>
        <v>5.117</v>
      </c>
    </row>
    <row r="193" spans="5:10" x14ac:dyDescent="0.25">
      <c r="E193" s="175">
        <f t="shared" ref="E193:G193" si="980">E48*-1</f>
        <v>-0.67768127441908177</v>
      </c>
      <c r="F193" s="175">
        <f t="shared" si="980"/>
        <v>0.71650085077548265</v>
      </c>
      <c r="G193" s="175">
        <f t="shared" si="980"/>
        <v>-0.16545277616207865</v>
      </c>
      <c r="H193" s="144"/>
      <c r="I193" s="91"/>
      <c r="J193" s="84">
        <f t="shared" si="940"/>
        <v>5.1239999999999997</v>
      </c>
    </row>
    <row r="194" spans="5:10" x14ac:dyDescent="0.25">
      <c r="E194" s="175">
        <f t="shared" ref="E194:G194" si="981">E49*-1</f>
        <v>-0.55148672689532452</v>
      </c>
      <c r="F194" s="175">
        <f t="shared" si="981"/>
        <v>0.83157559148437588</v>
      </c>
      <c r="G194" s="175">
        <f t="shared" si="981"/>
        <v>-6.5912257628550991E-2</v>
      </c>
      <c r="H194" s="144"/>
      <c r="I194" s="91"/>
      <c r="J194" s="84">
        <f t="shared" si="940"/>
        <v>5.1310000000000002</v>
      </c>
    </row>
    <row r="195" spans="5:10" x14ac:dyDescent="0.25">
      <c r="E195" s="175">
        <f t="shared" ref="E195:G195" si="982">E50*-1</f>
        <v>-0.46947129356355372</v>
      </c>
      <c r="F195" s="175">
        <f t="shared" si="982"/>
        <v>0.88294773600692056</v>
      </c>
      <c r="G195" s="175">
        <f t="shared" si="982"/>
        <v>-1.3008419237961695E-7</v>
      </c>
      <c r="H195" s="144"/>
      <c r="I195" s="91"/>
      <c r="J195" s="84">
        <f t="shared" si="940"/>
        <v>5.1379999999999999</v>
      </c>
    </row>
    <row r="196" spans="5:10" x14ac:dyDescent="0.25">
      <c r="E196" s="175">
        <f t="shared" ref="E196:G196" si="983">E51*-1</f>
        <v>-0.50620653932333259</v>
      </c>
      <c r="F196" s="175">
        <f t="shared" si="983"/>
        <v>0.78550685956694544</v>
      </c>
      <c r="G196" s="175">
        <f t="shared" si="983"/>
        <v>-0.35599706897609518</v>
      </c>
      <c r="H196" s="144"/>
      <c r="I196" s="91"/>
      <c r="J196" s="84">
        <f t="shared" si="940"/>
        <v>5.2169999999999996</v>
      </c>
    </row>
    <row r="197" spans="5:10" x14ac:dyDescent="0.25">
      <c r="E197" s="175">
        <f t="shared" ref="E197:G197" si="984">E52*-1</f>
        <v>-0.33044167300088145</v>
      </c>
      <c r="F197" s="175">
        <f t="shared" si="984"/>
        <v>0.90161340632133258</v>
      </c>
      <c r="G197" s="175">
        <f t="shared" si="984"/>
        <v>-0.27910852062597846</v>
      </c>
      <c r="H197" s="144"/>
      <c r="I197" s="91"/>
      <c r="J197" s="84">
        <f t="shared" si="940"/>
        <v>5.2240000000000002</v>
      </c>
    </row>
    <row r="198" spans="5:10" x14ac:dyDescent="0.25">
      <c r="E198" s="175">
        <f t="shared" ref="E198:G198" si="985">E53*-1</f>
        <v>0.60643829844400021</v>
      </c>
      <c r="F198" s="175">
        <f t="shared" si="985"/>
        <v>0.67351783164839119</v>
      </c>
      <c r="G198" s="175">
        <f t="shared" si="985"/>
        <v>-0.42261841019055879</v>
      </c>
      <c r="H198" s="144"/>
      <c r="I198" s="91"/>
      <c r="J198" s="84">
        <f t="shared" si="940"/>
        <v>5.2309999999999999</v>
      </c>
    </row>
    <row r="199" spans="5:10" x14ac:dyDescent="0.25">
      <c r="E199" s="175">
        <f t="shared" ref="E199:G199" si="986">E54*-1</f>
        <v>0.66913069624761135</v>
      </c>
      <c r="F199" s="175">
        <f t="shared" si="986"/>
        <v>0.74314474454115298</v>
      </c>
      <c r="G199" s="175">
        <f t="shared" si="986"/>
        <v>-2.267948968127656E-7</v>
      </c>
      <c r="H199" s="144"/>
      <c r="I199" s="91"/>
      <c r="J199" s="84">
        <f t="shared" si="940"/>
        <v>5.2380000000000004</v>
      </c>
    </row>
    <row r="200" spans="5:10" x14ac:dyDescent="0.25">
      <c r="E200" s="175">
        <f t="shared" ref="E200:G200" si="987">E55*-1</f>
        <v>-0.22289165501894914</v>
      </c>
      <c r="F200" s="175">
        <f t="shared" si="987"/>
        <v>0.94012811595735712</v>
      </c>
      <c r="G200" s="175">
        <f t="shared" si="987"/>
        <v>-0.25783412440827963</v>
      </c>
      <c r="H200" s="144"/>
      <c r="I200" s="91"/>
      <c r="J200" s="84">
        <f t="shared" si="940"/>
        <v>6.109</v>
      </c>
    </row>
    <row r="201" spans="5:10" x14ac:dyDescent="0.25">
      <c r="E201" s="175">
        <f t="shared" ref="E201:G201" si="988">E56*-1</f>
        <v>-1.5102583857571268E-2</v>
      </c>
      <c r="F201" s="175">
        <f t="shared" si="988"/>
        <v>0.97622526396484077</v>
      </c>
      <c r="G201" s="175">
        <f t="shared" si="988"/>
        <v>-0.21623169508099888</v>
      </c>
      <c r="H201" s="144"/>
      <c r="I201" s="91"/>
      <c r="J201" s="84">
        <f t="shared" si="940"/>
        <v>6.1159999999999997</v>
      </c>
    </row>
    <row r="202" spans="5:10" x14ac:dyDescent="0.25">
      <c r="E202" s="175">
        <f t="shared" ref="E202:G202" si="989">E57*-1</f>
        <v>0.15607972186656807</v>
      </c>
      <c r="F202" s="175">
        <f t="shared" si="989"/>
        <v>0.97227633636901445</v>
      </c>
      <c r="G202" s="175">
        <f t="shared" si="989"/>
        <v>-0.17412020606150766</v>
      </c>
      <c r="H202" s="144"/>
      <c r="I202" s="91"/>
      <c r="J202" s="84">
        <f t="shared" si="940"/>
        <v>6.1230000000000002</v>
      </c>
    </row>
    <row r="203" spans="5:10" x14ac:dyDescent="0.25">
      <c r="E203" s="175">
        <f t="shared" ref="E203:G203" si="990">E58*-1</f>
        <v>0.31466626907074574</v>
      </c>
      <c r="F203" s="175">
        <f t="shared" si="990"/>
        <v>0.9457990315579895</v>
      </c>
      <c r="G203" s="175">
        <f t="shared" si="990"/>
        <v>-8.0307726982316072E-2</v>
      </c>
      <c r="H203" s="144"/>
      <c r="I203" s="91"/>
      <c r="J203" s="84">
        <f t="shared" si="940"/>
        <v>6.13</v>
      </c>
    </row>
    <row r="204" spans="5:10" x14ac:dyDescent="0.25">
      <c r="E204" s="175">
        <f t="shared" ref="E204:G204" si="991">E59*-1</f>
        <v>0.4383712985380287</v>
      </c>
      <c r="F204" s="175">
        <f t="shared" si="991"/>
        <v>0.89879397228623303</v>
      </c>
      <c r="G204" s="175">
        <f t="shared" si="991"/>
        <v>-1.300841922877809E-7</v>
      </c>
      <c r="H204" s="144"/>
      <c r="I204" s="91"/>
      <c r="J204" s="84">
        <f t="shared" si="940"/>
        <v>6.1369999999999996</v>
      </c>
    </row>
    <row r="205" spans="5:10" x14ac:dyDescent="0.25">
      <c r="E205" s="175">
        <f t="shared" ref="E205:G205" si="992">E60*-1</f>
        <v>0.6366030444868882</v>
      </c>
      <c r="F205" s="175">
        <f t="shared" si="992"/>
        <v>-6.6909584356151672E-2</v>
      </c>
      <c r="G205" s="175">
        <f t="shared" si="992"/>
        <v>-0.7682835877924975</v>
      </c>
      <c r="H205" s="144"/>
      <c r="I205" s="91"/>
      <c r="J205" s="84">
        <f t="shared" si="940"/>
        <v>6.2229999999999999</v>
      </c>
    </row>
    <row r="206" spans="5:10" x14ac:dyDescent="0.25">
      <c r="E206" s="175">
        <f t="shared" ref="E206:G206" si="993">E61*-1</f>
        <v>0.87565393735809993</v>
      </c>
      <c r="F206" s="175">
        <f t="shared" si="993"/>
        <v>-9.2034896801098914E-2</v>
      </c>
      <c r="G206" s="175">
        <f t="shared" si="993"/>
        <v>-0.47408834594415827</v>
      </c>
      <c r="H206" s="144"/>
      <c r="I206" s="91"/>
      <c r="J206" s="84">
        <f t="shared" si="940"/>
        <v>6.23</v>
      </c>
    </row>
    <row r="207" spans="5:10" x14ac:dyDescent="0.25">
      <c r="E207" s="175">
        <f t="shared" ref="E207:G207" si="994">E62*-1</f>
        <v>0.99452189694868243</v>
      </c>
      <c r="F207" s="175">
        <f t="shared" si="994"/>
        <v>-0.10452844823081799</v>
      </c>
      <c r="G207" s="175">
        <f t="shared" si="994"/>
        <v>-2.267948967329994E-7</v>
      </c>
      <c r="H207" s="144"/>
      <c r="I207" s="91"/>
      <c r="J207" s="84">
        <f t="shared" si="940"/>
        <v>6.2370000000000001</v>
      </c>
    </row>
    <row r="208" spans="5:10" x14ac:dyDescent="0.25">
      <c r="E208" s="175">
        <f t="shared" ref="E208:G208" si="995">E63*-1</f>
        <v>0.55926751245483508</v>
      </c>
      <c r="F208" s="175">
        <f t="shared" si="995"/>
        <v>0.78882981900527471</v>
      </c>
      <c r="G208" s="175">
        <f t="shared" si="995"/>
        <v>-0.25488696742024014</v>
      </c>
      <c r="H208" s="144"/>
      <c r="I208" s="91"/>
      <c r="J208" s="84">
        <f t="shared" si="940"/>
        <v>7.1079999999999997</v>
      </c>
    </row>
    <row r="209" spans="5:10" x14ac:dyDescent="0.25">
      <c r="E209" s="175">
        <f t="shared" ref="E209:G209" si="996">E64*-1</f>
        <v>0.72196365138122598</v>
      </c>
      <c r="F209" s="175">
        <f t="shared" si="996"/>
        <v>0.65359472561077614</v>
      </c>
      <c r="G209" s="175">
        <f t="shared" si="996"/>
        <v>-0.22711763634306795</v>
      </c>
      <c r="H209" s="144"/>
      <c r="I209" s="91"/>
      <c r="J209" s="84">
        <f t="shared" si="940"/>
        <v>7.1150000000000002</v>
      </c>
    </row>
    <row r="210" spans="5:10" x14ac:dyDescent="0.25">
      <c r="E210" s="175">
        <f t="shared" ref="E210:G210" si="997">E65*-1</f>
        <v>0.82646958802139503</v>
      </c>
      <c r="F210" s="175">
        <f t="shared" si="997"/>
        <v>0.53734850383720778</v>
      </c>
      <c r="G210" s="175">
        <f t="shared" si="997"/>
        <v>-0.16794226835332446</v>
      </c>
      <c r="H210" s="144"/>
      <c r="I210" s="91"/>
      <c r="J210" s="84">
        <f t="shared" si="940"/>
        <v>7.1219999999999999</v>
      </c>
    </row>
    <row r="211" spans="5:10" x14ac:dyDescent="0.25">
      <c r="E211" s="175">
        <f t="shared" ref="E211:G211" si="998">E66*-1</f>
        <v>0.91778202287635946</v>
      </c>
      <c r="F211" s="175">
        <f t="shared" si="998"/>
        <v>0.38487509336752307</v>
      </c>
      <c r="G211" s="175">
        <f t="shared" si="998"/>
        <v>-9.7710393461075837E-2</v>
      </c>
      <c r="H211" s="144"/>
      <c r="I211" s="91"/>
      <c r="J211" s="84">
        <f t="shared" si="940"/>
        <v>7.1289999999999996</v>
      </c>
    </row>
    <row r="212" spans="5:10" x14ac:dyDescent="0.25">
      <c r="E212" s="175">
        <f t="shared" ref="E212:G212" si="999">E67*-1</f>
        <v>0.97029573663968538</v>
      </c>
      <c r="F212" s="175">
        <f t="shared" si="999"/>
        <v>0.24192185403314367</v>
      </c>
      <c r="G212" s="175">
        <f t="shared" si="999"/>
        <v>-1.300841922288031E-7</v>
      </c>
      <c r="H212" s="144"/>
      <c r="I212" s="91"/>
      <c r="J212" s="84">
        <f t="shared" si="940"/>
        <v>7.1360000000000001</v>
      </c>
    </row>
    <row r="213" spans="5:10" x14ac:dyDescent="0.25">
      <c r="E213" s="175">
        <f t="shared" ref="E213:G213" si="1000">E68*-1</f>
        <v>0.33418784523233702</v>
      </c>
      <c r="F213" s="175">
        <f t="shared" si="1000"/>
        <v>-0.49545354148396775</v>
      </c>
      <c r="G213" s="175">
        <f t="shared" si="1000"/>
        <v>-0.80177569951325034</v>
      </c>
      <c r="H213" s="144"/>
      <c r="I213" s="91"/>
      <c r="J213" s="84">
        <f t="shared" si="940"/>
        <v>7.2220000000000004</v>
      </c>
    </row>
    <row r="214" spans="5:10" x14ac:dyDescent="0.25">
      <c r="E214" s="175">
        <f t="shared" ref="E214:G214" si="1001">E69*-1</f>
        <v>0.4772996329591303</v>
      </c>
      <c r="F214" s="175">
        <f t="shared" si="1001"/>
        <v>-0.7076255313140497</v>
      </c>
      <c r="G214" s="175">
        <f t="shared" si="1001"/>
        <v>-0.52100975788327464</v>
      </c>
      <c r="H214" s="144"/>
      <c r="I214" s="91"/>
      <c r="J214" s="84">
        <f t="shared" si="940"/>
        <v>7.2290000000000001</v>
      </c>
    </row>
    <row r="215" spans="5:10" x14ac:dyDescent="0.25">
      <c r="E215" s="175">
        <f t="shared" ref="E215:G215" si="1002">E70*-1</f>
        <v>0.55919302046187669</v>
      </c>
      <c r="F215" s="175">
        <f t="shared" si="1002"/>
        <v>-0.82903749364348533</v>
      </c>
      <c r="G215" s="175">
        <f t="shared" si="1002"/>
        <v>-2.2679489664470489E-7</v>
      </c>
      <c r="H215" s="144"/>
      <c r="I215" s="91"/>
      <c r="J215" s="84">
        <f t="shared" si="940"/>
        <v>7.2359999999999998</v>
      </c>
    </row>
    <row r="216" spans="5:10" x14ac:dyDescent="0.25">
      <c r="E216" s="175">
        <f t="shared" ref="E216:G216" si="1003">E71*-1</f>
        <v>0</v>
      </c>
      <c r="F216" s="175">
        <f t="shared" si="1003"/>
        <v>0</v>
      </c>
      <c r="G216" s="175">
        <f t="shared" si="1003"/>
        <v>0</v>
      </c>
      <c r="H216" s="144"/>
      <c r="I216" s="91"/>
      <c r="J216" s="84">
        <f t="shared" si="940"/>
        <v>0</v>
      </c>
    </row>
    <row r="217" spans="5:10" x14ac:dyDescent="0.25">
      <c r="E217" s="175">
        <f t="shared" ref="E217:G217" si="1004">E72*-1</f>
        <v>0</v>
      </c>
      <c r="F217" s="175">
        <f t="shared" si="1004"/>
        <v>0</v>
      </c>
      <c r="G217" s="175">
        <f t="shared" si="1004"/>
        <v>0</v>
      </c>
      <c r="H217" s="144"/>
      <c r="I217" s="91"/>
      <c r="J217" s="84">
        <f t="shared" si="940"/>
        <v>0</v>
      </c>
    </row>
    <row r="218" spans="5:10" x14ac:dyDescent="0.25">
      <c r="E218" s="175">
        <f t="shared" ref="E218:G218" si="1005">E73*-1</f>
        <v>0</v>
      </c>
      <c r="F218" s="175">
        <f t="shared" si="1005"/>
        <v>0</v>
      </c>
      <c r="G218" s="175">
        <f t="shared" si="1005"/>
        <v>0</v>
      </c>
      <c r="H218" s="144"/>
      <c r="I218" s="91"/>
      <c r="J218" s="84">
        <f t="shared" si="940"/>
        <v>0</v>
      </c>
    </row>
    <row r="219" spans="5:10" x14ac:dyDescent="0.25">
      <c r="E219" s="175">
        <f t="shared" ref="E219:G219" si="1006">E74*-1</f>
        <v>0</v>
      </c>
      <c r="F219" s="175">
        <f t="shared" si="1006"/>
        <v>0</v>
      </c>
      <c r="G219" s="175">
        <f t="shared" si="1006"/>
        <v>0</v>
      </c>
      <c r="H219" s="144"/>
      <c r="I219" s="91"/>
      <c r="J219" s="84">
        <f t="shared" ref="J219:J282" si="1007">J74</f>
        <v>0</v>
      </c>
    </row>
    <row r="220" spans="5:10" x14ac:dyDescent="0.25">
      <c r="E220" s="175">
        <f t="shared" ref="E220:G220" si="1008">E75*-1</f>
        <v>0</v>
      </c>
      <c r="F220" s="175">
        <f t="shared" si="1008"/>
        <v>0</v>
      </c>
      <c r="G220" s="175">
        <f t="shared" si="1008"/>
        <v>0</v>
      </c>
      <c r="H220" s="144"/>
      <c r="I220" s="91"/>
      <c r="J220" s="84">
        <f t="shared" si="1007"/>
        <v>0</v>
      </c>
    </row>
    <row r="221" spans="5:10" x14ac:dyDescent="0.25">
      <c r="E221" s="175">
        <f t="shared" ref="E221:G221" si="1009">E76*-1</f>
        <v>0</v>
      </c>
      <c r="F221" s="175">
        <f t="shared" si="1009"/>
        <v>0</v>
      </c>
      <c r="G221" s="175">
        <f t="shared" si="1009"/>
        <v>0</v>
      </c>
      <c r="H221" s="144"/>
      <c r="I221" s="91"/>
      <c r="J221" s="84">
        <f t="shared" si="1007"/>
        <v>0</v>
      </c>
    </row>
    <row r="222" spans="5:10" x14ac:dyDescent="0.25">
      <c r="E222" s="175">
        <f t="shared" ref="E222:G222" si="1010">E77*-1</f>
        <v>0</v>
      </c>
      <c r="F222" s="175">
        <f t="shared" si="1010"/>
        <v>0</v>
      </c>
      <c r="G222" s="175">
        <f t="shared" si="1010"/>
        <v>0</v>
      </c>
      <c r="H222" s="144"/>
      <c r="I222" s="91"/>
      <c r="J222" s="84">
        <f t="shared" si="1007"/>
        <v>0</v>
      </c>
    </row>
    <row r="223" spans="5:10" x14ac:dyDescent="0.25">
      <c r="E223" s="175">
        <f t="shared" ref="E223:G223" si="1011">E78*-1</f>
        <v>0</v>
      </c>
      <c r="F223" s="175">
        <f t="shared" si="1011"/>
        <v>0</v>
      </c>
      <c r="G223" s="175">
        <f t="shared" si="1011"/>
        <v>0</v>
      </c>
      <c r="H223" s="144"/>
      <c r="I223" s="91"/>
      <c r="J223" s="84">
        <f t="shared" si="1007"/>
        <v>0</v>
      </c>
    </row>
    <row r="224" spans="5:10" x14ac:dyDescent="0.25">
      <c r="E224" s="175">
        <f t="shared" ref="E224:G224" si="1012">E79*-1</f>
        <v>0</v>
      </c>
      <c r="F224" s="175">
        <f t="shared" si="1012"/>
        <v>0</v>
      </c>
      <c r="G224" s="175">
        <f t="shared" si="1012"/>
        <v>0</v>
      </c>
      <c r="H224" s="144"/>
      <c r="I224" s="91"/>
      <c r="J224" s="84">
        <f t="shared" si="1007"/>
        <v>0</v>
      </c>
    </row>
    <row r="225" spans="5:10" x14ac:dyDescent="0.25">
      <c r="E225" s="175">
        <f t="shared" ref="E225:G225" si="1013">E80*-1</f>
        <v>0</v>
      </c>
      <c r="F225" s="175">
        <f t="shared" si="1013"/>
        <v>0</v>
      </c>
      <c r="G225" s="175">
        <f t="shared" si="1013"/>
        <v>0</v>
      </c>
      <c r="H225" s="144"/>
      <c r="I225" s="91"/>
      <c r="J225" s="84">
        <f t="shared" si="1007"/>
        <v>0</v>
      </c>
    </row>
    <row r="226" spans="5:10" x14ac:dyDescent="0.25">
      <c r="E226" s="175">
        <f t="shared" ref="E226:G226" si="1014">E81*-1</f>
        <v>0</v>
      </c>
      <c r="F226" s="175">
        <f t="shared" si="1014"/>
        <v>0</v>
      </c>
      <c r="G226" s="175">
        <f t="shared" si="1014"/>
        <v>0</v>
      </c>
      <c r="H226" s="144"/>
      <c r="I226" s="91"/>
      <c r="J226" s="84">
        <f t="shared" si="1007"/>
        <v>0</v>
      </c>
    </row>
    <row r="227" spans="5:10" x14ac:dyDescent="0.25">
      <c r="E227" s="175">
        <f t="shared" ref="E227:G227" si="1015">E82*-1</f>
        <v>0</v>
      </c>
      <c r="F227" s="175">
        <f t="shared" si="1015"/>
        <v>0</v>
      </c>
      <c r="G227" s="175">
        <f t="shared" si="1015"/>
        <v>0</v>
      </c>
      <c r="H227" s="144"/>
      <c r="I227" s="91"/>
      <c r="J227" s="84">
        <f t="shared" si="1007"/>
        <v>0</v>
      </c>
    </row>
    <row r="228" spans="5:10" x14ac:dyDescent="0.25">
      <c r="E228" s="175">
        <f t="shared" ref="E228:G228" si="1016">E83*-1</f>
        <v>0</v>
      </c>
      <c r="F228" s="175">
        <f t="shared" si="1016"/>
        <v>0</v>
      </c>
      <c r="G228" s="175">
        <f t="shared" si="1016"/>
        <v>0</v>
      </c>
      <c r="H228" s="144"/>
      <c r="I228" s="91"/>
      <c r="J228" s="84">
        <f t="shared" si="1007"/>
        <v>0</v>
      </c>
    </row>
    <row r="229" spans="5:10" x14ac:dyDescent="0.25">
      <c r="E229" s="175">
        <f t="shared" ref="E229:G229" si="1017">E84*-1</f>
        <v>0</v>
      </c>
      <c r="F229" s="175">
        <f t="shared" si="1017"/>
        <v>0</v>
      </c>
      <c r="G229" s="175">
        <f t="shared" si="1017"/>
        <v>0</v>
      </c>
      <c r="H229" s="144"/>
      <c r="I229" s="91"/>
      <c r="J229" s="84">
        <f t="shared" si="1007"/>
        <v>0</v>
      </c>
    </row>
    <row r="230" spans="5:10" x14ac:dyDescent="0.25">
      <c r="E230" s="175">
        <f t="shared" ref="E230:G230" si="1018">E85*-1</f>
        <v>0</v>
      </c>
      <c r="F230" s="175">
        <f t="shared" si="1018"/>
        <v>0</v>
      </c>
      <c r="G230" s="175">
        <f t="shared" si="1018"/>
        <v>0</v>
      </c>
      <c r="H230" s="144"/>
      <c r="I230" s="91"/>
      <c r="J230" s="84">
        <f t="shared" si="1007"/>
        <v>0</v>
      </c>
    </row>
    <row r="231" spans="5:10" x14ac:dyDescent="0.25">
      <c r="E231" s="175">
        <f t="shared" ref="E231:G231" si="1019">E86*-1</f>
        <v>0</v>
      </c>
      <c r="F231" s="175">
        <f t="shared" si="1019"/>
        <v>0</v>
      </c>
      <c r="G231" s="175">
        <f t="shared" si="1019"/>
        <v>0</v>
      </c>
      <c r="H231" s="144"/>
      <c r="I231" s="91"/>
      <c r="J231" s="84">
        <f t="shared" si="1007"/>
        <v>0</v>
      </c>
    </row>
    <row r="232" spans="5:10" x14ac:dyDescent="0.25">
      <c r="E232" s="175">
        <f t="shared" ref="E232:G232" si="1020">E87*-1</f>
        <v>0</v>
      </c>
      <c r="F232" s="175">
        <f t="shared" si="1020"/>
        <v>0</v>
      </c>
      <c r="G232" s="175">
        <f t="shared" si="1020"/>
        <v>0</v>
      </c>
      <c r="H232" s="144"/>
      <c r="I232" s="91"/>
      <c r="J232" s="84">
        <f t="shared" si="1007"/>
        <v>0</v>
      </c>
    </row>
    <row r="233" spans="5:10" x14ac:dyDescent="0.25">
      <c r="E233" s="175">
        <f t="shared" ref="E233:G233" si="1021">E88*-1</f>
        <v>0</v>
      </c>
      <c r="F233" s="175">
        <f t="shared" si="1021"/>
        <v>0</v>
      </c>
      <c r="G233" s="175">
        <f t="shared" si="1021"/>
        <v>0</v>
      </c>
      <c r="H233" s="144"/>
      <c r="I233" s="91"/>
      <c r="J233" s="84">
        <f t="shared" si="1007"/>
        <v>0</v>
      </c>
    </row>
    <row r="234" spans="5:10" x14ac:dyDescent="0.25">
      <c r="E234" s="175">
        <f t="shared" ref="E234:G234" si="1022">E89*-1</f>
        <v>0</v>
      </c>
      <c r="F234" s="175">
        <f t="shared" si="1022"/>
        <v>0</v>
      </c>
      <c r="G234" s="175">
        <f t="shared" si="1022"/>
        <v>0</v>
      </c>
      <c r="H234" s="144"/>
      <c r="I234" s="91"/>
      <c r="J234" s="84">
        <f t="shared" si="1007"/>
        <v>0</v>
      </c>
    </row>
    <row r="235" spans="5:10" x14ac:dyDescent="0.25">
      <c r="E235" s="175">
        <f t="shared" ref="E235:G235" si="1023">E90*-1</f>
        <v>0</v>
      </c>
      <c r="F235" s="175">
        <f t="shared" si="1023"/>
        <v>0</v>
      </c>
      <c r="G235" s="175">
        <f t="shared" si="1023"/>
        <v>0</v>
      </c>
      <c r="H235" s="144"/>
      <c r="I235" s="91"/>
      <c r="J235" s="84">
        <f t="shared" si="1007"/>
        <v>0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9"/>
      <c r="C3" s="970"/>
      <c r="D3" s="970"/>
      <c r="E3" s="970"/>
      <c r="F3" s="970"/>
      <c r="G3" s="970"/>
      <c r="H3" s="970"/>
      <c r="I3" s="970"/>
      <c r="J3" s="970"/>
      <c r="K3" s="971"/>
      <c r="L3" s="36"/>
      <c r="M3" s="1274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70"/>
      <c r="AA3" s="1071"/>
      <c r="AB3" s="1071"/>
      <c r="AC3" s="1071"/>
      <c r="AD3" s="1071"/>
      <c r="AE3" s="1071"/>
      <c r="AF3" s="1071"/>
      <c r="AG3" s="1071"/>
      <c r="AH3" s="1071"/>
      <c r="AI3" s="1071"/>
      <c r="AJ3" s="1071"/>
      <c r="AK3" s="1071"/>
      <c r="AL3" s="1071"/>
      <c r="AM3" s="1071"/>
      <c r="AN3" s="1071"/>
      <c r="AO3" s="1071"/>
      <c r="AP3" s="1071"/>
      <c r="AQ3" s="1072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9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Q4</f>
        <v>Polar XY; Cartesian Z</v>
      </c>
      <c r="X4" s="967"/>
      <c r="Y4" s="968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9" t="str">
        <f>CONCATENATE(B7," ; ",E7," ; ",H8)</f>
        <v>Absolute-Point ; Incremental-Vector Point ; Radius</v>
      </c>
      <c r="C5" s="970"/>
      <c r="D5" s="970"/>
      <c r="E5" s="970"/>
      <c r="F5" s="970"/>
      <c r="G5" s="970"/>
      <c r="H5" s="970"/>
      <c r="I5" s="970"/>
      <c r="J5" s="970"/>
      <c r="K5" s="971"/>
      <c r="L5" s="36"/>
      <c r="M5" s="1274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&amp; Z; Z Axis")</f>
        <v>Relative to 's θ &amp; Z; Z Axis</v>
      </c>
      <c r="U5" s="992"/>
      <c r="V5" s="1045"/>
      <c r="W5" s="992" t="str">
        <f>CONCATENATE("Relative to ",M8,"'s θ &amp; Z; Z Axis")</f>
        <v>Relative to 's θ &amp; Z;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57">
        <f>((AS4*12)/60)/AS3</f>
        <v>0.25</v>
      </c>
      <c r="AT5" s="486" t="s">
        <v>47</v>
      </c>
      <c r="AV5" s="1265"/>
      <c r="AW5" s="1000" t="str">
        <f>W4</f>
        <v>Polar XY; Cartesian Z</v>
      </c>
      <c r="AX5" s="967"/>
      <c r="AY5" s="967"/>
      <c r="AZ5" s="1203" t="s">
        <v>104</v>
      </c>
      <c r="BA5" s="967" t="str">
        <f>AK4</f>
        <v>Polar Z Projection → XZ Plane</v>
      </c>
      <c r="BB5" s="967"/>
      <c r="BC5" s="1076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2"/>
      <c r="C6" s="973"/>
      <c r="D6" s="973"/>
      <c r="E6" s="973"/>
      <c r="F6" s="973"/>
      <c r="G6" s="973"/>
      <c r="H6" s="973"/>
      <c r="I6" s="973"/>
      <c r="J6" s="973"/>
      <c r="K6" s="974"/>
      <c r="L6" s="36"/>
      <c r="M6" s="1274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Q6</f>
        <v>Projected XY</v>
      </c>
      <c r="X6" s="989"/>
      <c r="Y6" s="1039" t="str">
        <f>S6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00" t="str">
        <f>AD6</f>
        <v>Unit Vector</v>
      </c>
      <c r="AL6" s="967"/>
      <c r="AM6" s="1076"/>
      <c r="AN6" s="37" t="s">
        <v>15</v>
      </c>
      <c r="AO6" s="38" t="s">
        <v>16</v>
      </c>
      <c r="AP6" s="189" t="s">
        <v>17</v>
      </c>
      <c r="AQ6" s="1031" t="s">
        <v>108</v>
      </c>
      <c r="AS6" s="177">
        <f>AS5/360</f>
        <v>6.9444444444444447E-4</v>
      </c>
      <c r="AT6" s="487" t="s">
        <v>48</v>
      </c>
      <c r="AV6" s="1265"/>
      <c r="AW6" s="1018" t="str">
        <f>W5</f>
        <v>Relative to 's θ &amp; Z; Z Axis</v>
      </c>
      <c r="AX6" s="992"/>
      <c r="AY6" s="992"/>
      <c r="AZ6" s="1261"/>
      <c r="BA6" s="992" t="str">
        <f>AK5</f>
        <v>Vector Along X Axis</v>
      </c>
      <c r="BB6" s="992"/>
      <c r="BC6" s="1019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3" t="s">
        <v>40</v>
      </c>
      <c r="C7" s="994"/>
      <c r="D7" s="995"/>
      <c r="E7" s="996" t="s">
        <v>41</v>
      </c>
      <c r="F7" s="994"/>
      <c r="G7" s="997"/>
      <c r="H7" s="908" t="s">
        <v>314</v>
      </c>
      <c r="I7" s="911"/>
      <c r="J7" s="898"/>
      <c r="K7" s="564"/>
      <c r="L7" s="36"/>
      <c r="M7" s="1275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Q7</f>
        <v>&lt; θ°</v>
      </c>
      <c r="X7" s="30" t="str">
        <f>R7</f>
        <v>r</v>
      </c>
      <c r="Y7" s="104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2"/>
      <c r="AS7" s="1037" t="s">
        <v>54</v>
      </c>
      <c r="AT7" s="1035" t="s">
        <v>53</v>
      </c>
      <c r="AV7" s="1265"/>
      <c r="AW7" s="1260" t="str">
        <f>$W$6</f>
        <v>Projected XY</v>
      </c>
      <c r="AX7" s="989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8"/>
      <c r="AT8" s="1036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5" t="s">
        <v>42</v>
      </c>
      <c r="C157" s="976"/>
      <c r="D157" s="976"/>
      <c r="E157" s="976"/>
      <c r="F157" s="976"/>
      <c r="G157" s="976"/>
      <c r="H157" s="976"/>
      <c r="I157" s="976"/>
      <c r="J157" s="976"/>
      <c r="K157" s="977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8"/>
      <c r="C158" s="979"/>
      <c r="D158" s="979"/>
      <c r="E158" s="979"/>
      <c r="F158" s="979"/>
      <c r="G158" s="979"/>
      <c r="H158" s="979"/>
      <c r="I158" s="979"/>
      <c r="J158" s="979"/>
      <c r="K158" s="980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1"/>
      <c r="C159" s="982"/>
      <c r="D159" s="982"/>
      <c r="E159" s="982"/>
      <c r="F159" s="982"/>
      <c r="G159" s="982"/>
      <c r="H159" s="982"/>
      <c r="I159" s="982"/>
      <c r="J159" s="982"/>
      <c r="K159" s="983"/>
      <c r="AQ159" s="171"/>
    </row>
    <row r="160" spans="2:60" ht="15" customHeight="1" x14ac:dyDescent="0.25">
      <c r="B160" s="969" t="str">
        <f>CONCATENATE(B162," ; ",E162," ; ",H163)</f>
        <v>Absolute-Point ; Incremental-Vector Point ; Radius</v>
      </c>
      <c r="C160" s="970"/>
      <c r="D160" s="970"/>
      <c r="E160" s="970"/>
      <c r="F160" s="970"/>
      <c r="G160" s="970"/>
      <c r="H160" s="970"/>
      <c r="I160" s="970"/>
      <c r="J160" s="970"/>
      <c r="K160" s="971"/>
      <c r="AQ160" s="171"/>
    </row>
    <row r="161" spans="2:43" ht="15" customHeight="1" x14ac:dyDescent="0.25">
      <c r="B161" s="972"/>
      <c r="C161" s="973"/>
      <c r="D161" s="973"/>
      <c r="E161" s="973"/>
      <c r="F161" s="973"/>
      <c r="G161" s="973"/>
      <c r="H161" s="973"/>
      <c r="I161" s="973"/>
      <c r="J161" s="973"/>
      <c r="K161" s="974"/>
      <c r="AQ161" s="171"/>
    </row>
    <row r="162" spans="2:43" ht="15" customHeight="1" x14ac:dyDescent="0.25">
      <c r="B162" s="993" t="s">
        <v>40</v>
      </c>
      <c r="C162" s="994"/>
      <c r="D162" s="995"/>
      <c r="E162" s="996" t="s">
        <v>41</v>
      </c>
      <c r="F162" s="994"/>
      <c r="G162" s="997"/>
      <c r="H162" s="908" t="s">
        <v>314</v>
      </c>
      <c r="I162" s="911"/>
      <c r="J162" s="898"/>
      <c r="K162" s="564"/>
      <c r="M162" s="1197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1.1140000000000001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1.121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1.1279999999999999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1.135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1.214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1.2210000000000001</v>
      </c>
      <c r="N172" s="594" t="str">
        <f>Assy.Model!K17</f>
        <v>1313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1.228</v>
      </c>
      <c r="N173" s="594" t="str">
        <f>Assy.Model!K18</f>
        <v/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1.2350000000000001</v>
      </c>
      <c r="N174" s="594" t="str">
        <f>Assy.Model!K19</f>
        <v/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2.113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2.12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2.1269999999999998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2.1339999999999999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2.2200000000000002</v>
      </c>
      <c r="N179" s="594" t="str">
        <f>Assy.Model!K24</f>
        <v/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2.2269999999999999</v>
      </c>
      <c r="N180" s="594" t="str">
        <f>Assy.Model!K25</f>
        <v/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2.234</v>
      </c>
      <c r="N181" s="594" t="str">
        <f>Assy.Model!K26</f>
        <v/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3.1030000000000002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3.1059999999999999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3.1120000000000001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3.1190000000000002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3.1259999999999999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3.133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3.2120000000000002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3.2189999999999999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3.226</v>
      </c>
      <c r="N190" s="594" t="str">
        <f>Assy.Model!K35</f>
        <v/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3.2330000000000001</v>
      </c>
      <c r="N191" s="594" t="str">
        <f>Assy.Model!K36</f>
        <v/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4.1109999999999998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4.1180000000000003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4.125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4.1319999999999997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4.218</v>
      </c>
      <c r="N196" s="594" t="str">
        <f>Assy.Model!K41</f>
        <v/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4.2249999999999996</v>
      </c>
      <c r="N197" s="594" t="str">
        <f>Assy.Model!K42</f>
        <v/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4.2320000000000002</v>
      </c>
      <c r="N198" s="594" t="str">
        <f>Assy.Model!K43</f>
        <v/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5.1020000000000003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5.1050000000000004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5.1100000000000003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5.117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5.1239999999999997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5.1310000000000002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5.1379999999999999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5.2169999999999996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5.2240000000000002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5.2309999999999999</v>
      </c>
      <c r="N208" s="594" t="str">
        <f>Assy.Model!K53</f>
        <v/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5.2380000000000004</v>
      </c>
      <c r="N209" s="594" t="str">
        <f>Assy.Model!K54</f>
        <v/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6.109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6.1159999999999997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6.1230000000000002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6.13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6.1369999999999996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6.2229999999999999</v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6.23</v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6.2370000000000001</v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7.1079999999999997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7.1150000000000002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7.1219999999999999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7.1289999999999996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7.1360000000000001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7.2220000000000004</v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7.2290000000000001</v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7.2359999999999998</v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2023-03-21T12:15:33Z</dcterms:modified>
</cp:coreProperties>
</file>