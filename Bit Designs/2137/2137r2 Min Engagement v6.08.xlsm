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37\"/>
    </mc:Choice>
  </mc:AlternateContent>
  <xr:revisionPtr revIDLastSave="0" documentId="13_ncr:1_{3AA323A4-D2AC-41C3-9F93-E8D11BB16FC7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54" i="1" l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9" i="1" l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59" i="1" l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<sst xmlns="http://schemas.openxmlformats.org/spreadsheetml/2006/main" count="742" uniqueCount="394">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</sst>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11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11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1.111's θ about Z Axis</v>
      </c>
      <c r="U5" s="1138"/>
      <c r="V5" s="1139"/>
      <c r="W5" s="1138" t="str">
        <f>CONCATENATE("Relative to ",M8,"'s θ about Z Axis")</f>
        <v>Relative to 1.111's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1.111's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89.910000012994388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-6.4900195738990404E-2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0.40390121816607399</v>
      </c>
      <c r="D9" s="704">
        <v>-0.73560221857629127</v>
      </c>
      <c r="E9" s="705">
        <v>-0.93969263802333458</v>
      </c>
      <c r="F9" s="703">
        <v>-8.8521302156295598E-2</v>
      </c>
      <c r="G9" s="706">
        <v>0.33036604714967338</v>
      </c>
      <c r="H9" s="705">
        <v>0.3765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1913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0.40390121816607399</v>
      </c>
      <c r="P9" s="625">
        <f t="shared" ref="P9:P40" si="4">IF(M9="","",D9)</f>
        <v>-0.73560221857629127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0.40390121816607399</v>
      </c>
      <c r="S9" s="626">
        <f>IF(M9="","",P9)</f>
        <v>-0.73560221857629127</v>
      </c>
      <c r="T9" s="627">
        <f>IF(M9="","",X9*COS(RADIANS(W9)))</f>
        <v>0.40390071987316528</v>
      </c>
      <c r="U9" s="624">
        <f>IF(M9="","",X9*SIN(RADIANS(W9)))</f>
        <v>6.3444619737499481E-4</v>
      </c>
      <c r="V9" s="628">
        <f>IF(M9="","",Y9)</f>
        <v>-0.73560221857629127</v>
      </c>
      <c r="W9" s="583">
        <f t="shared" ref="W9:W14" si="5">IF(M9="","",IF(Q9-$Q$8&lt;0,360+Q9-$Q$8,Q9-$Q$8))</f>
        <v>8.999998700561207E-2</v>
      </c>
      <c r="X9" s="629">
        <f>IF(M9="","",R9)</f>
        <v>0.40390121816607399</v>
      </c>
      <c r="Y9" s="630">
        <f>IF(M9="","",S9)</f>
        <v>-0.73560221857629127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5.6261152287046752</v>
      </c>
      <c r="AS9" s="51">
        <f>IF(M9="","",W9)</f>
        <v>8.999998700561207E-2</v>
      </c>
      <c r="AT9" s="71">
        <f t="shared" ref="AT9:AT40" si="10">IF(M9="","",Y9+(((AS9-$AS$9)*$AS$6)*-1))</f>
        <v>-0.73560221857629127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1913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1913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-4.0337443031448884E-16</v>
      </c>
      <c r="C10" s="708">
        <v>1.3112039545911272</v>
      </c>
      <c r="D10" s="709">
        <v>-0.49250148538448002</v>
      </c>
      <c r="E10" s="710">
        <v>-0.9659258360722075</v>
      </c>
      <c r="F10" s="708">
        <v>-6.6987279208207198E-2</v>
      </c>
      <c r="G10" s="711">
        <v>0.24999996726497573</v>
      </c>
      <c r="H10" s="710">
        <v>0.3765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1913</v>
      </c>
      <c r="M10" s="168">
        <f t="shared" si="1"/>
        <v>1.1040000000000001</v>
      </c>
      <c r="N10" s="632">
        <f t="shared" si="2"/>
        <v>-4.0337443031448884E-16</v>
      </c>
      <c r="O10" s="629">
        <f t="shared" si="3"/>
        <v>1.3112039545911272</v>
      </c>
      <c r="P10" s="633">
        <f t="shared" si="4"/>
        <v>-0.49250148538448002</v>
      </c>
      <c r="Q10" s="585">
        <f>IF(M10="","",IF(DEGREES(ATAN2(N10,O10))&lt;0,DEGREES(ATAN2(N10,O10))+360,IF(DEGREES(ATAN2(N10,O10))&gt;360,DEGREES(ATAN2(N10,O10))-360,DEGREES(ATAN2(N10,O10)))))</f>
        <v>90.000000000000014</v>
      </c>
      <c r="R10" s="629">
        <f t="shared" ref="R10:R105" si="79">IF(M10="","",SQRT(N10^2+O10^2))</f>
        <v>1.3112039545911272</v>
      </c>
      <c r="S10" s="634">
        <f t="shared" ref="S10:S105" si="80">IF(M10="","",P10)</f>
        <v>-0.49250148538448002</v>
      </c>
      <c r="T10" s="635">
        <f t="shared" ref="T10:T105" si="81">IF(M10="","",X10*COS(RADIANS(W10)))</f>
        <v>1.3112023369588868</v>
      </c>
      <c r="U10" s="629">
        <f t="shared" ref="U10:U105" si="82">IF(M10="","",X10*SIN(RADIANS(W10)))</f>
        <v>2.0596332111864932E-3</v>
      </c>
      <c r="V10" s="636">
        <f>IF(M10="","",Y10)</f>
        <v>-0.49250148538448002</v>
      </c>
      <c r="W10" s="585">
        <f t="shared" si="5"/>
        <v>8.9999987005626281E-2</v>
      </c>
      <c r="X10" s="629">
        <f t="shared" ref="X10:X105" si="83">IF(M10="","",R10)</f>
        <v>1.3112039545911272</v>
      </c>
      <c r="Y10" s="630">
        <f>IF(M10="","",S10)</f>
        <v>-0.49250148538448002</v>
      </c>
      <c r="Z10" s="632">
        <f t="shared" si="6"/>
        <v>0.9659258360722075</v>
      </c>
      <c r="AA10" s="629">
        <f t="shared" si="7"/>
        <v>6.6987279208207198E-2</v>
      </c>
      <c r="AB10" s="629">
        <f t="shared" si="8"/>
        <v>-0.24999996726497573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0.9659258360722075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-0.24999996726497573</v>
      </c>
      <c r="AG10" s="602">
        <f t="shared" ref="AG10:AG105" si="87">IF(M10="","",DEGREES(ATAN2(-AF10,AE10)))</f>
        <v>14.999997834268262</v>
      </c>
      <c r="AH10" s="603">
        <f t="shared" ref="AH10:AH105" si="88">IF(M10="","",DEGREES(ACOS(AD10)))</f>
        <v>14.99999783426823</v>
      </c>
      <c r="AI10" s="585">
        <f t="shared" ref="AI10:AI105" si="89">IF(M10="","",DEGREES(-ACOS(-AF10)))</f>
        <v>-75.522489751159455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0.9659258360722075</v>
      </c>
      <c r="AL10" s="629">
        <f t="shared" ref="AL10:AL105" si="91">IF(M10="","",(SIN(RADIANS((90-$Q$8)-W10))*AD10)+(COS(RADIANS((90-$Q$8)-W10))*AE10))</f>
        <v>6.6987279208206962E-2</v>
      </c>
      <c r="AM10" s="634">
        <f t="shared" ref="AM10:AM105" si="92">IF(M10="","",AF10)</f>
        <v>-0.24999996726497573</v>
      </c>
      <c r="AN10" s="581">
        <f t="shared" ref="AN10:AN105" si="93">IF(M10="","",DEGREES(ATAN2(-AM10,AL10)))</f>
        <v>14.999997834268214</v>
      </c>
      <c r="AO10" s="582">
        <f t="shared" ref="AO10:AO54" si="94">IF(ROUND(IF(M10="",0,DEGREES(ACOS(AK10))),4)=90,0,IF(M10="","",DEGREES(ACOS(AK10))))</f>
        <v>14.99999783426823</v>
      </c>
      <c r="AP10" s="585">
        <f t="shared" ref="AP10:AP105" si="95">IF(M10="","",DEGREES(ATAN2(AK10,AL10)))</f>
        <v>3.967129645086557</v>
      </c>
      <c r="AQ10" s="586">
        <f t="shared" si="9"/>
        <v>1.73811805777496</v>
      </c>
      <c r="AS10" s="52">
        <f>IF($M10="","",IF(AND($W10&lt;($AS$9+180),$W10&gt;($AS$9-180)),$W10,IF($W10&gt;($AS$9+180),$W10-360,IF($W10&lt;($AS$9-180),$W10+360,"Error"))))</f>
        <v>8.9999987005626281E-2</v>
      </c>
      <c r="AT10" s="72">
        <f t="shared" si="10"/>
        <v>-0.49250148538448002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1913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-2.1022424013744525E-16</v>
      </c>
      <c r="C11" s="708">
        <v>2.1760065628357936</v>
      </c>
      <c r="D11" s="709">
        <v>-0.26080078657517219</v>
      </c>
      <c r="E11" s="710">
        <v>-0.96592583607220739</v>
      </c>
      <c r="F11" s="708">
        <v>-6.6987279208207198E-2</v>
      </c>
      <c r="G11" s="711">
        <v>0.24999996726497564</v>
      </c>
      <c r="H11" s="710">
        <v>0.3765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1913</v>
      </c>
      <c r="L11" s="779" t="s">
        <v>332</v>
      </c>
      <c r="M11" s="168">
        <f t="shared" si="1"/>
        <v>1.107</v>
      </c>
      <c r="N11" s="632">
        <f t="shared" si="2"/>
        <v>-2.1022424013744525E-16</v>
      </c>
      <c r="O11" s="629">
        <f t="shared" si="3"/>
        <v>2.1760065628357936</v>
      </c>
      <c r="P11" s="633">
        <f t="shared" si="4"/>
        <v>-0.26080078657517219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2.1760065628357936</v>
      </c>
      <c r="S11" s="634">
        <f t="shared" si="80"/>
        <v>-0.26080078657517219</v>
      </c>
      <c r="T11" s="635">
        <f t="shared" si="81"/>
        <v>2.1760038782966271</v>
      </c>
      <c r="U11" s="629">
        <f t="shared" si="82"/>
        <v>3.4180612168556298E-3</v>
      </c>
      <c r="V11" s="636">
        <f t="shared" ref="V11:V105" si="114">IF(M11="","",Y11)</f>
        <v>-0.26080078657517219</v>
      </c>
      <c r="W11" s="585">
        <f t="shared" si="5"/>
        <v>8.999998700561207E-2</v>
      </c>
      <c r="X11" s="629">
        <f>IF(M11="","",R11)</f>
        <v>2.1760065628357936</v>
      </c>
      <c r="Y11" s="630">
        <f>IF(M11="","",S11)</f>
        <v>-0.26080078657517219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1.047548590687112</v>
      </c>
      <c r="AS11" s="52">
        <f t="shared" ref="AS11:AS42" si="116">IF(G11="","",IF(AND(W11&lt;(AS10+180),W11&gt;(AS10-180)),W11,IF(W11&gt;(AS10+180),W11-360,IF(W11&lt;(AS10-180),W11+360,"Error"))))</f>
        <v>8.999998700561207E-2</v>
      </c>
      <c r="AT11" s="72">
        <f t="shared" si="10"/>
        <v>-0.26080078657517219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1913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4.8515734716821392E-3</v>
      </c>
      <c r="C12" s="708">
        <v>3.0886055048285677</v>
      </c>
      <c r="D12" s="709">
        <v>-6.4900195738990404E-2</v>
      </c>
      <c r="E12" s="710">
        <v>-0.96546711357076564</v>
      </c>
      <c r="F12" s="708">
        <v>2.213607039476196E-2</v>
      </c>
      <c r="G12" s="711">
        <v>0.25958283263885651</v>
      </c>
      <c r="H12" s="710">
        <v>0.3765</v>
      </c>
      <c r="I12" s="708">
        <v>0.52</v>
      </c>
      <c r="J12" s="570">
        <v>1.111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1913</v>
      </c>
      <c r="L12" s="773" t="s">
        <v>366</v>
      </c>
      <c r="M12" s="168">
        <f t="shared" si="1"/>
        <v>1.111</v>
      </c>
      <c r="N12" s="632">
        <f t="shared" si="2"/>
        <v>4.8515734716821392E-3</v>
      </c>
      <c r="O12" s="629">
        <f t="shared" si="3"/>
        <v>3.0886055048285677</v>
      </c>
      <c r="P12" s="633">
        <f t="shared" si="4"/>
        <v>-6.4900195738990404E-2</v>
      </c>
      <c r="Q12" s="585">
        <f>IF(M12="","",IF(DEGREES(ATAN2(N12,O12))&lt;0,DEGREES(ATAN2(N12,O12))+360,IF(DEGREES(ATAN2(N12,O12))&gt;360,DEGREES(ATAN2(N12,O12))-360,DEGREES(ATAN2(N12,O12)))))</f>
        <v>89.910000012994388</v>
      </c>
      <c r="R12" s="629">
        <f t="shared" si="79"/>
        <v>3.0886093152456948</v>
      </c>
      <c r="S12" s="634">
        <f t="shared" si="80"/>
        <v>-6.4900195738990404E-2</v>
      </c>
      <c r="T12" s="635">
        <f>IF(M12="","",X12*COS(RADIANS(W12)))</f>
        <v>3.0886093152456948</v>
      </c>
      <c r="U12" s="629">
        <f t="shared" si="82"/>
        <v>0</v>
      </c>
      <c r="V12" s="636">
        <f t="shared" si="114"/>
        <v>-6.4900195738990404E-2</v>
      </c>
      <c r="W12" s="585">
        <f>IF(M12="","",IF(Q12-$Q$8&lt;0,360+Q12-$Q$8,Q12-$Q$8))</f>
        <v>0</v>
      </c>
      <c r="X12" s="629">
        <f t="shared" si="83"/>
        <v>3.0886093152456948</v>
      </c>
      <c r="Y12" s="630">
        <f>IF(M12="","",S12)</f>
        <v>-6.4900195738990404E-2</v>
      </c>
      <c r="Z12" s="632">
        <f t="shared" si="6"/>
        <v>0.96546711357076564</v>
      </c>
      <c r="AA12" s="629">
        <f t="shared" si="7"/>
        <v>-2.213607039476196E-2</v>
      </c>
      <c r="AB12" s="629">
        <f t="shared" si="8"/>
        <v>-0.25958283263885651</v>
      </c>
      <c r="AC12" s="636">
        <f t="shared" si="84"/>
        <v>1</v>
      </c>
      <c r="AD12" s="637">
        <f t="shared" si="115"/>
        <v>0.96546711357076564</v>
      </c>
      <c r="AE12" s="629">
        <f t="shared" si="85"/>
        <v>-2.213607039476196E-2</v>
      </c>
      <c r="AF12" s="633">
        <f t="shared" si="86"/>
        <v>-0.25958283263885651</v>
      </c>
      <c r="AG12" s="602">
        <f t="shared" si="87"/>
        <v>-4.8741375014318615</v>
      </c>
      <c r="AH12" s="603">
        <f t="shared" si="88"/>
        <v>15.101213438051145</v>
      </c>
      <c r="AI12" s="585">
        <f t="shared" si="89"/>
        <v>-74.954689643176664</v>
      </c>
      <c r="AJ12" s="586">
        <f t="shared" si="90"/>
        <v>88.686561957498427</v>
      </c>
      <c r="AK12" s="635">
        <f t="shared" ref="AK12:AK105" si="211">IF(M12="","",(COS(RADIANS((90-$Q$8)-W12))*AD12)+(-SIN(RADIANS((90-$Q$8)-W12))*AE12))</f>
        <v>0.96550069371279168</v>
      </c>
      <c r="AL12" s="629">
        <f>IF(M12="","",(SIN(RADIANS((90-$Q$8)-W12))*AD12)+(COS(RADIANS((90-$Q$8)-W12))*AE12))</f>
        <v>-2.0619491732474727E-2</v>
      </c>
      <c r="AM12" s="634">
        <f t="shared" si="92"/>
        <v>-0.25958283263885651</v>
      </c>
      <c r="AN12" s="581">
        <f>IF(M12="","",DEGREES(ATAN2(-AM12,AL12)))</f>
        <v>-4.5416503511914641</v>
      </c>
      <c r="AO12" s="582">
        <f t="shared" si="94"/>
        <v>15.093826582753687</v>
      </c>
      <c r="AP12" s="585">
        <f t="shared" si="95"/>
        <v>-1.2234380554959723</v>
      </c>
      <c r="AQ12" s="586">
        <f t="shared" si="9"/>
        <v>0.73806697448631087</v>
      </c>
      <c r="AS12" s="52">
        <f t="shared" si="116"/>
        <v>0</v>
      </c>
      <c r="AT12" s="72">
        <f>IF(M12="","",Y12+(((AS12-$AS$9)*$AS$6)*-1))</f>
        <v>-6.483769574801429E-2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1913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7.080751090022111E-2</v>
      </c>
      <c r="C13" s="708">
        <v>4.0163880080161212</v>
      </c>
      <c r="D13" s="709">
        <v>-0.23670071388935326</v>
      </c>
      <c r="E13" s="710">
        <v>-0.95661080083625394</v>
      </c>
      <c r="F13" s="708">
        <v>0.19857017362410689</v>
      </c>
      <c r="G13" s="711">
        <v>0.21322678506771406</v>
      </c>
      <c r="H13" s="710">
        <v>0.3765</v>
      </c>
      <c r="I13" s="708">
        <v>0.52</v>
      </c>
      <c r="J13" s="570">
        <v>1.1160000000000001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1913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7.080751090022111E-2</v>
      </c>
      <c r="O13" s="629">
        <f t="shared" si="3"/>
        <v>4.0163880080161212</v>
      </c>
      <c r="P13" s="633">
        <f t="shared" si="4"/>
        <v>-0.23670071388935326</v>
      </c>
      <c r="Q13" s="585">
        <f t="shared" si="113"/>
        <v>88.990000145825931</v>
      </c>
      <c r="R13" s="629">
        <f t="shared" si="79"/>
        <v>4.0170121153085399</v>
      </c>
      <c r="S13" s="634">
        <f t="shared" si="80"/>
        <v>-0.23670071388935326</v>
      </c>
      <c r="T13" s="635">
        <f>IF(M13="","",X13*COS(RADIANS(W13)))</f>
        <v>4.0164942771147096</v>
      </c>
      <c r="U13" s="629">
        <f t="shared" si="82"/>
        <v>-6.4498499520360408E-2</v>
      </c>
      <c r="V13" s="636">
        <f t="shared" si="114"/>
        <v>-0.23670071388935326</v>
      </c>
      <c r="W13" s="585">
        <f t="shared" si="5"/>
        <v>359.08000013283157</v>
      </c>
      <c r="X13" s="629">
        <f t="shared" si="83"/>
        <v>4.0170121153085399</v>
      </c>
      <c r="Y13" s="630">
        <f>IF(M13="","",S13)</f>
        <v>-0.23670071388935326</v>
      </c>
      <c r="Z13" s="632">
        <f t="shared" si="6"/>
        <v>0.95661080083625394</v>
      </c>
      <c r="AA13" s="629">
        <f t="shared" si="7"/>
        <v>-0.19857017362410689</v>
      </c>
      <c r="AB13" s="629">
        <f t="shared" si="8"/>
        <v>-0.21322678506771406</v>
      </c>
      <c r="AC13" s="636">
        <f t="shared" si="84"/>
        <v>1</v>
      </c>
      <c r="AD13" s="637">
        <f>IF(M13="","",Z13*(1/SQRT(Z13^2+AA13^2+AB13^2)))</f>
        <v>0.95661080083625394</v>
      </c>
      <c r="AE13" s="629">
        <f t="shared" si="85"/>
        <v>-0.19857017362410689</v>
      </c>
      <c r="AF13" s="633">
        <f t="shared" si="86"/>
        <v>-0.21322678506771406</v>
      </c>
      <c r="AG13" s="602">
        <f>IF(M13="","",DEGREES(ATAN2(-AF13,AE13)))</f>
        <v>-42.961598230374612</v>
      </c>
      <c r="AH13" s="603">
        <f t="shared" si="88"/>
        <v>16.939921667501366</v>
      </c>
      <c r="AI13" s="585">
        <f t="shared" si="89"/>
        <v>-77.688482555061725</v>
      </c>
      <c r="AJ13" s="586">
        <f t="shared" si="90"/>
        <v>78.273262443421203</v>
      </c>
      <c r="AK13" s="635">
        <f t="shared" si="211"/>
        <v>0.95996235457074031</v>
      </c>
      <c r="AL13" s="629">
        <f t="shared" si="91"/>
        <v>-0.1816772300996671</v>
      </c>
      <c r="AM13" s="634">
        <f t="shared" si="92"/>
        <v>-0.21322678506771406</v>
      </c>
      <c r="AN13" s="581">
        <f t="shared" si="93"/>
        <v>-40.432244197692313</v>
      </c>
      <c r="AO13" s="582">
        <f t="shared" si="94"/>
        <v>16.267906234445448</v>
      </c>
      <c r="AP13" s="585">
        <f t="shared" si="95"/>
        <v>-10.716737702404739</v>
      </c>
      <c r="AQ13" s="586">
        <f t="shared" si="9"/>
        <v>0.56749942895855177</v>
      </c>
      <c r="AS13" s="52">
        <f t="shared" si="116"/>
        <v>-0.91999986716842841</v>
      </c>
      <c r="AT13" s="72">
        <f t="shared" si="10"/>
        <v>-0.23599932510173241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1913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0.18202473688668327</v>
      </c>
      <c r="C14" s="708">
        <v>4.7817511601254292</v>
      </c>
      <c r="D14" s="709">
        <v>-0.82070247523866513</v>
      </c>
      <c r="E14" s="710">
        <v>-0.91701090974718069</v>
      </c>
      <c r="F14" s="708">
        <v>0.3694145067123174</v>
      </c>
      <c r="G14" s="711">
        <v>0.15041247832258944</v>
      </c>
      <c r="H14" s="710">
        <v>0.3765</v>
      </c>
      <c r="I14" s="708">
        <v>0.52</v>
      </c>
      <c r="J14" s="570">
        <v>1.121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1913</v>
      </c>
      <c r="L14" s="776" t="s">
        <v>367</v>
      </c>
      <c r="M14" s="168">
        <f t="shared" si="1"/>
        <v>1.121</v>
      </c>
      <c r="N14" s="632">
        <f t="shared" si="2"/>
        <v>0.18202473688668327</v>
      </c>
      <c r="O14" s="629">
        <f t="shared" si="3"/>
        <v>4.7817511601254292</v>
      </c>
      <c r="P14" s="633">
        <f t="shared" si="4"/>
        <v>-0.82070247523866513</v>
      </c>
      <c r="Q14" s="585">
        <f t="shared" si="113"/>
        <v>87.820000314753017</v>
      </c>
      <c r="R14" s="629">
        <f t="shared" si="79"/>
        <v>4.785214432206728</v>
      </c>
      <c r="S14" s="634">
        <f t="shared" si="80"/>
        <v>-0.82070247523866513</v>
      </c>
      <c r="T14" s="635">
        <f t="shared" si="81"/>
        <v>4.7820311845085328</v>
      </c>
      <c r="U14" s="629">
        <f t="shared" si="82"/>
        <v>-0.17451335933811413</v>
      </c>
      <c r="V14" s="636">
        <f t="shared" si="114"/>
        <v>-0.82070247523866513</v>
      </c>
      <c r="W14" s="585">
        <f t="shared" si="5"/>
        <v>357.91000030175866</v>
      </c>
      <c r="X14" s="629">
        <f t="shared" si="83"/>
        <v>4.785214432206728</v>
      </c>
      <c r="Y14" s="630">
        <f t="shared" ref="Y14:Y75" si="223">IF(M14="","",S14)</f>
        <v>-0.82070247523866513</v>
      </c>
      <c r="Z14" s="632">
        <f t="shared" si="6"/>
        <v>0.91701090974718069</v>
      </c>
      <c r="AA14" s="629">
        <f t="shared" si="7"/>
        <v>-0.3694145067123174</v>
      </c>
      <c r="AB14" s="629">
        <f t="shared" si="8"/>
        <v>-0.15041247832258944</v>
      </c>
      <c r="AC14" s="636">
        <f t="shared" si="84"/>
        <v>1</v>
      </c>
      <c r="AD14" s="637">
        <f>IF(M14="","",Z14*(1/SQRT(Z14^2+AA14^2+AB14^2)))</f>
        <v>0.91701090974718069</v>
      </c>
      <c r="AE14" s="629">
        <f t="shared" si="85"/>
        <v>-0.3694145067123174</v>
      </c>
      <c r="AF14" s="633">
        <f t="shared" si="86"/>
        <v>-0.15041247832258944</v>
      </c>
      <c r="AG14" s="602">
        <f t="shared" si="87"/>
        <v>-67.84559083425971</v>
      </c>
      <c r="AH14" s="603">
        <f t="shared" si="88"/>
        <v>23.507063407053916</v>
      </c>
      <c r="AI14" s="585">
        <f t="shared" si="89"/>
        <v>-81.34916897035454</v>
      </c>
      <c r="AJ14" s="586">
        <f t="shared" si="90"/>
        <v>68.058138655679841</v>
      </c>
      <c r="AK14" s="635">
        <f>IF(M14="","",(COS(RADIANS((90-$Q$8)-W14))*AD14)+(-SIN(RADIANS((90-$Q$8)-W14))*AE14))</f>
        <v>0.93039938397589261</v>
      </c>
      <c r="AL14" s="629">
        <f t="shared" si="91"/>
        <v>-0.33426497372913039</v>
      </c>
      <c r="AM14" s="634">
        <f t="shared" si="92"/>
        <v>-0.15041247832258944</v>
      </c>
      <c r="AN14" s="581">
        <f t="shared" si="93"/>
        <v>-65.773218261157197</v>
      </c>
      <c r="AO14" s="582">
        <f t="shared" si="94"/>
        <v>21.502842558562907</v>
      </c>
      <c r="AP14" s="585">
        <f>IF(M14="","",DEGREES(ATAN2(AK14,AL14)))</f>
        <v>-19.761861659073169</v>
      </c>
      <c r="AQ14" s="586">
        <f t="shared" si="9"/>
        <v>0.47639956950075291</v>
      </c>
      <c r="AS14" s="52">
        <f t="shared" si="116"/>
        <v>-2.0899996982413427</v>
      </c>
      <c r="AT14" s="72">
        <f t="shared" si="10"/>
        <v>-0.81918858656835469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1913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0.24882010495801613</v>
      </c>
      <c r="C15" s="708">
        <v>5.1426841479298213</v>
      </c>
      <c r="D15" s="709">
        <v>-1.6912000000000005</v>
      </c>
      <c r="E15" s="710">
        <v>-0.86343348849038726</v>
      </c>
      <c r="F15" s="708">
        <v>0.50095396259089331</v>
      </c>
      <c r="G15" s="711">
        <v>5.9394766754338336E-2</v>
      </c>
      <c r="H15" s="710">
        <v>0.3765</v>
      </c>
      <c r="I15" s="708">
        <v>0.52</v>
      </c>
      <c r="J15" s="570">
        <v>1.1259999999999999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1913</v>
      </c>
      <c r="L15" s="873" t="str">
        <f>IF($L14=$JH$22,$JH$29,IF($L14=$JI$22,$JI$29,""))</f>
        <v/>
      </c>
      <c r="M15" s="168">
        <f t="shared" si="1"/>
        <v>1.1259999999999999</v>
      </c>
      <c r="N15" s="632">
        <f t="shared" si="2"/>
        <v>0.24882010495801613</v>
      </c>
      <c r="O15" s="629">
        <f t="shared" si="3"/>
        <v>5.1426841479298213</v>
      </c>
      <c r="P15" s="633">
        <f t="shared" si="4"/>
        <v>-1.6912000000000005</v>
      </c>
      <c r="Q15" s="585">
        <f t="shared" si="113"/>
        <v>87.230000399938476</v>
      </c>
      <c r="R15" s="629">
        <f t="shared" si="79"/>
        <v>5.1486999999999989</v>
      </c>
      <c r="S15" s="634">
        <f t="shared" si="80"/>
        <v>-1.6912000000000005</v>
      </c>
      <c r="T15" s="635">
        <f t="shared" si="81"/>
        <v>5.143068648890436</v>
      </c>
      <c r="U15" s="629">
        <f t="shared" si="82"/>
        <v>-0.24074169310755353</v>
      </c>
      <c r="V15" s="636">
        <f t="shared" si="114"/>
        <v>-1.6912000000000005</v>
      </c>
      <c r="W15" s="585">
        <f t="shared" ref="W15:W78" si="224">IF(M15="","",IF(Q15-$Q$8&lt;0,360+Q15-$Q$8,Q15-$Q$8))</f>
        <v>357.32000038694412</v>
      </c>
      <c r="X15" s="629">
        <f>IF(M15="","",R15)</f>
        <v>5.1486999999999989</v>
      </c>
      <c r="Y15" s="630">
        <f>IF(M15="","",S15)</f>
        <v>-1.6912000000000005</v>
      </c>
      <c r="Z15" s="632">
        <f t="shared" si="6"/>
        <v>0.86343348849038726</v>
      </c>
      <c r="AA15" s="629">
        <f t="shared" si="7"/>
        <v>-0.50095396259089331</v>
      </c>
      <c r="AB15" s="629">
        <f t="shared" si="8"/>
        <v>-5.9394766754338336E-2</v>
      </c>
      <c r="AC15" s="636">
        <f t="shared" si="84"/>
        <v>1</v>
      </c>
      <c r="AD15" s="637">
        <f t="shared" si="115"/>
        <v>0.86343348849038726</v>
      </c>
      <c r="AE15" s="629">
        <f t="shared" si="85"/>
        <v>-0.50095396259089331</v>
      </c>
      <c r="AF15" s="633">
        <f t="shared" si="86"/>
        <v>-5.9394766754338336E-2</v>
      </c>
      <c r="AG15" s="602">
        <f t="shared" si="87"/>
        <v>-83.238387306807198</v>
      </c>
      <c r="AH15" s="603">
        <f t="shared" si="88"/>
        <v>30.295691374688889</v>
      </c>
      <c r="AI15" s="585">
        <f t="shared" si="89"/>
        <v>-86.594926500380453</v>
      </c>
      <c r="AJ15" s="586">
        <f t="shared" si="90"/>
        <v>59.878196727228641</v>
      </c>
      <c r="AK15" s="635">
        <f t="shared" si="211"/>
        <v>0.88663412737239711</v>
      </c>
      <c r="AL15" s="629">
        <f t="shared" si="91"/>
        <v>-0.45864167479720558</v>
      </c>
      <c r="AM15" s="634">
        <f t="shared" si="92"/>
        <v>-5.9394766754338336E-2</v>
      </c>
      <c r="AN15" s="581">
        <f>IF(M15="","",DEGREES(ATAN2(-AM15,AL15)))</f>
        <v>-82.62117915367736</v>
      </c>
      <c r="AO15" s="582">
        <f t="shared" si="94"/>
        <v>27.546706732264148</v>
      </c>
      <c r="AP15" s="585">
        <f t="shared" si="95"/>
        <v>-27.351803672709828</v>
      </c>
      <c r="AQ15" s="586">
        <f t="shared" si="9"/>
        <v>0.44276832040437669</v>
      </c>
      <c r="AS15" s="52">
        <f t="shared" si="116"/>
        <v>-2.6799996130558839</v>
      </c>
      <c r="AT15" s="72">
        <f t="shared" si="10"/>
        <v>-1.6892763891666245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1913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0.2660690455824834</v>
      </c>
      <c r="C16" s="708">
        <v>5.1984110779521711</v>
      </c>
      <c r="D16" s="709">
        <v>-2.6690080497282795</v>
      </c>
      <c r="E16" s="710">
        <v>-0.83933538908723349</v>
      </c>
      <c r="F16" s="708">
        <v>0.54361392975692746</v>
      </c>
      <c r="G16" s="711">
        <v>1.1339743351898601E-7</v>
      </c>
      <c r="H16" s="710">
        <v>0.3765</v>
      </c>
      <c r="I16" s="708">
        <v>0.52</v>
      </c>
      <c r="J16" s="570">
        <v>1.131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1913</v>
      </c>
      <c r="L16" s="320"/>
      <c r="M16" s="168">
        <f t="shared" si="1"/>
        <v>1.131</v>
      </c>
      <c r="N16" s="632">
        <f t="shared" si="2"/>
        <v>0.2660690455824834</v>
      </c>
      <c r="O16" s="629">
        <f t="shared" si="3"/>
        <v>5.1984110779521711</v>
      </c>
      <c r="P16" s="633">
        <f t="shared" si="4"/>
        <v>-2.6690080497282795</v>
      </c>
      <c r="Q16" s="585">
        <f>IF(M16="","",IF(DEGREES(ATAN2(N16,O16))&lt;0,DEGREES(ATAN2(N16,O16))+360,IF(DEGREES(ATAN2(N16,O16))&gt;360,DEGREES(ATAN2(N16,O16))-360,DEGREES(ATAN2(N16,O16)))))</f>
        <v>87.070000423039616</v>
      </c>
      <c r="R16" s="629">
        <f t="shared" si="79"/>
        <v>5.2052156989305471</v>
      </c>
      <c r="S16" s="634">
        <f t="shared" si="80"/>
        <v>-2.6690080497282795</v>
      </c>
      <c r="T16" s="635">
        <f t="shared" si="81"/>
        <v>5.1988226047199957</v>
      </c>
      <c r="U16" s="629">
        <f t="shared" si="82"/>
        <v>-0.25790307684365482</v>
      </c>
      <c r="V16" s="636">
        <f t="shared" si="114"/>
        <v>-2.6690080497282795</v>
      </c>
      <c r="W16" s="585">
        <f>IF(M16="","",IF(Q16-$Q$8&lt;0,360+Q16-$Q$8,Q16-$Q$8))</f>
        <v>357.16000041004526</v>
      </c>
      <c r="X16" s="629">
        <f t="shared" si="83"/>
        <v>5.2052156989305471</v>
      </c>
      <c r="Y16" s="630">
        <f t="shared" si="223"/>
        <v>-2.6690080497282795</v>
      </c>
      <c r="Z16" s="632">
        <f t="shared" si="6"/>
        <v>0.83933538908723349</v>
      </c>
      <c r="AA16" s="629">
        <f t="shared" si="7"/>
        <v>-0.54361392975692746</v>
      </c>
      <c r="AB16" s="629">
        <f t="shared" si="8"/>
        <v>-1.1339743351898601E-7</v>
      </c>
      <c r="AC16" s="636">
        <f t="shared" si="84"/>
        <v>1</v>
      </c>
      <c r="AD16" s="637">
        <f t="shared" si="115"/>
        <v>0.83933538908723349</v>
      </c>
      <c r="AE16" s="629">
        <f t="shared" si="85"/>
        <v>-0.54361392975692746</v>
      </c>
      <c r="AF16" s="633">
        <f t="shared" si="86"/>
        <v>-1.1339743351898601E-7</v>
      </c>
      <c r="AG16" s="602">
        <f t="shared" si="87"/>
        <v>-89.999988048145951</v>
      </c>
      <c r="AH16" s="603">
        <f t="shared" si="88"/>
        <v>32.929995245496862</v>
      </c>
      <c r="AI16" s="585">
        <f t="shared" si="89"/>
        <v>-89.999993502805651</v>
      </c>
      <c r="AJ16" s="586">
        <f t="shared" si="90"/>
        <v>57.070004754503699</v>
      </c>
      <c r="AK16" s="635">
        <f t="shared" si="211"/>
        <v>0.8660254415835853</v>
      </c>
      <c r="AL16" s="629">
        <f t="shared" si="91"/>
        <v>-0.49999993452993918</v>
      </c>
      <c r="AM16" s="634">
        <f t="shared" si="92"/>
        <v>-1.1339743351898601E-7</v>
      </c>
      <c r="AN16" s="581">
        <f t="shared" si="93"/>
        <v>-89.999987005609611</v>
      </c>
      <c r="AO16" s="582">
        <f t="shared" si="94"/>
        <v>29.999995668536574</v>
      </c>
      <c r="AP16" s="585">
        <f t="shared" si="95"/>
        <v>-29.999995668535945</v>
      </c>
      <c r="AQ16" s="586">
        <f t="shared" si="9"/>
        <v>0.4379611457394792</v>
      </c>
      <c r="AS16" s="52">
        <f t="shared" si="116"/>
        <v>-2.8399995899547434</v>
      </c>
      <c r="AT16" s="72">
        <f t="shared" si="10"/>
        <v>-2.6669733277998349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1913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1.0064454543394161</v>
      </c>
      <c r="C17" s="708">
        <v>7.0376823704240379E-2</v>
      </c>
      <c r="D17" s="709">
        <v>-0.57350172968121682</v>
      </c>
      <c r="E17" s="710">
        <v>-0.15385468159005244</v>
      </c>
      <c r="F17" s="708">
        <v>0.93122874827716906</v>
      </c>
      <c r="G17" s="711">
        <v>0.33036609289538277</v>
      </c>
      <c r="H17" s="710">
        <v>0.3765</v>
      </c>
      <c r="I17" s="708">
        <v>0.52</v>
      </c>
      <c r="J17" s="570">
        <v>2.1030000000000002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1913</v>
      </c>
      <c r="M17" s="168">
        <f t="shared" si="1"/>
        <v>2.1030000000000002</v>
      </c>
      <c r="N17" s="632">
        <f t="shared" si="2"/>
        <v>1.0064454543394161</v>
      </c>
      <c r="O17" s="629">
        <f t="shared" si="3"/>
        <v>7.0376823704240379E-2</v>
      </c>
      <c r="P17" s="633">
        <f t="shared" si="4"/>
        <v>-0.57350172968121682</v>
      </c>
      <c r="Q17" s="585">
        <f>IF(M17="","",IF(DEGREES(ATAN2(N17,O17))&lt;0,DEGREES(ATAN2(N17,O17))+360,IF(DEGREES(ATAN2(N17,O17))&gt;360,DEGREES(ATAN2(N17,O17))-360,DEGREES(ATAN2(N17,O17)))))</f>
        <v>3.9999604393003438</v>
      </c>
      <c r="R17" s="629">
        <f>IF(M17="","",SQRT(N17^2+O17^2))</f>
        <v>1.0089030428515773</v>
      </c>
      <c r="S17" s="634">
        <f>IF(M17="","",P17)</f>
        <v>-0.57350172968121682</v>
      </c>
      <c r="T17" s="635">
        <f>IF(M17="","",X17*COS(RADIANS(W17)))</f>
        <v>7.1957656824770039E-2</v>
      </c>
      <c r="U17" s="629">
        <f>IF(M17="","",X17*SIN(RADIANS(W17)))</f>
        <v>-1.0063336650929751</v>
      </c>
      <c r="V17" s="636">
        <f>IF(M17="","",Y17)</f>
        <v>-0.57350172968121682</v>
      </c>
      <c r="W17" s="585">
        <f t="shared" si="224"/>
        <v>274.08996042630599</v>
      </c>
      <c r="X17" s="629">
        <f>IF(M17="","",R17)</f>
        <v>1.0089030428515773</v>
      </c>
      <c r="Y17" s="630">
        <f t="shared" si="223"/>
        <v>-0.57350172968121682</v>
      </c>
      <c r="Z17" s="632">
        <f t="shared" si="6"/>
        <v>0.15385468159005244</v>
      </c>
      <c r="AA17" s="629">
        <f t="shared" si="7"/>
        <v>-0.93122874827716906</v>
      </c>
      <c r="AB17" s="629">
        <f t="shared" si="8"/>
        <v>-0.33036609289538277</v>
      </c>
      <c r="AC17" s="636">
        <f>IF(M17="","",SQRT(Z17^2+AA17^2+AB17^2))</f>
        <v>1</v>
      </c>
      <c r="AD17" s="637">
        <f>IF(M17="","",Z17*(1/SQRT(Z17^2+AA17^2+AB17^2)))</f>
        <v>0.15385468159005244</v>
      </c>
      <c r="AE17" s="629">
        <f>IF(M17="","",AA17*(1/SQRT(Z17^2+AA17^2+AB17^2)))</f>
        <v>-0.93122874827716906</v>
      </c>
      <c r="AF17" s="633">
        <f>IF(M17="","",AB17*(1/SQRT(Z17^2+AA17^2+AB17^2)))</f>
        <v>-0.33036609289538277</v>
      </c>
      <c r="AG17" s="602">
        <f>IF(M17="","",DEGREES(ATAN2(-AF17,AE17)))</f>
        <v>-70.467165738442134</v>
      </c>
      <c r="AH17" s="603">
        <f>IF(M17="","",DEGREES(ACOS(AD17)))</f>
        <v>81.149622410500214</v>
      </c>
      <c r="AI17" s="585">
        <f>IF(M17="","",DEGREES(-ACOS(-AF17)))</f>
        <v>-70.709002660911167</v>
      </c>
      <c r="AJ17" s="586">
        <f>IF(M17="","",DEGREES(ATAN2(-AE17,AD17)))</f>
        <v>9.3814800404799232</v>
      </c>
      <c r="AK17" s="635">
        <f>IF(M17="","",(COS(RADIANS((90-$Q$8)-W17))*AD17)+(-SIN(RADIANS((90-$Q$8)-W17))*AE17))</f>
        <v>0.93969262078590843</v>
      </c>
      <c r="AL17" s="629">
        <f>IF(M17="","",(SIN(RADIANS((90-$Q$8)-W17))*AD17)+(COS(RADIANS((90-$Q$8)-W17))*AE17))</f>
        <v>8.8521314413819649E-2</v>
      </c>
      <c r="AM17" s="634">
        <f>IF(M17="","",AF17)</f>
        <v>-0.33036609289538277</v>
      </c>
      <c r="AN17" s="581">
        <f>IF(M17="","",DEGREES(ATAN2(-AM17,AL17)))</f>
        <v>14.999997834268271</v>
      </c>
      <c r="AO17" s="582">
        <f t="shared" si="94"/>
        <v>19.999999999999989</v>
      </c>
      <c r="AP17" s="585">
        <f>IF(M17="","",DEGREES(ATAN2(AK17,AL17)))</f>
        <v>5.3815196011795834</v>
      </c>
      <c r="AQ17" s="586">
        <f t="shared" si="9"/>
        <v>2.2584388498272552</v>
      </c>
      <c r="AS17" s="52">
        <f t="shared" si="116"/>
        <v>-85.910039573694007</v>
      </c>
      <c r="AT17" s="72">
        <f t="shared" si="10"/>
        <v>-0.51377947998628648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2.1030000000000002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1913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1.8831074280468985</v>
      </c>
      <c r="C18" s="708">
        <v>0.13167839241400942</v>
      </c>
      <c r="D18" s="709">
        <v>-0.3380010194110748</v>
      </c>
      <c r="E18" s="710">
        <v>-0.13420301969909798</v>
      </c>
      <c r="F18" s="708">
        <v>0.95890018556216505</v>
      </c>
      <c r="G18" s="711">
        <v>0.24999996726497561</v>
      </c>
      <c r="H18" s="710">
        <v>0.3765</v>
      </c>
      <c r="I18" s="708">
        <v>0.52</v>
      </c>
      <c r="J18" s="570">
        <v>2.1059999999999999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1913</v>
      </c>
      <c r="L18" s="779" t="s">
        <v>331</v>
      </c>
      <c r="M18" s="168">
        <f t="shared" si="1"/>
        <v>2.1059999999999999</v>
      </c>
      <c r="N18" s="632">
        <f t="shared" si="2"/>
        <v>1.8831074280468985</v>
      </c>
      <c r="O18" s="629">
        <f t="shared" si="3"/>
        <v>0.13167839241400942</v>
      </c>
      <c r="P18" s="633">
        <f t="shared" si="4"/>
        <v>-0.3380010194110748</v>
      </c>
      <c r="Q18" s="585">
        <f t="shared" si="113"/>
        <v>3.9999604393003292</v>
      </c>
      <c r="R18" s="629">
        <f>IF(M18="","",SQRT(N18^2+O18^2))</f>
        <v>1.8877056933203711</v>
      </c>
      <c r="S18" s="634">
        <f>IF(M18="","",P18)</f>
        <v>-0.3380010194110748</v>
      </c>
      <c r="T18" s="635">
        <f>IF(M18="","",X18*COS(RADIANS(W18)))</f>
        <v>0.13463620654982161</v>
      </c>
      <c r="U18" s="629">
        <f>IF(M18="","",X18*SIN(RADIANS(W18)))</f>
        <v>-1.8828982650371784</v>
      </c>
      <c r="V18" s="636">
        <f>IF(M18="","",Y18)</f>
        <v>-0.3380010194110748</v>
      </c>
      <c r="W18" s="585">
        <f t="shared" si="224"/>
        <v>274.08996042630594</v>
      </c>
      <c r="X18" s="629">
        <f>IF(M18="","",R18)</f>
        <v>1.8877056933203711</v>
      </c>
      <c r="Y18" s="630">
        <f t="shared" si="223"/>
        <v>-0.3380010194110748</v>
      </c>
      <c r="Z18" s="632">
        <f t="shared" si="6"/>
        <v>0.13420301969909798</v>
      </c>
      <c r="AA18" s="629">
        <f t="shared" si="7"/>
        <v>-0.95890018556216505</v>
      </c>
      <c r="AB18" s="629">
        <f t="shared" si="8"/>
        <v>-0.24999996726497561</v>
      </c>
      <c r="AC18" s="636">
        <f>IF(M18="","",SQRT(Z18^2+AA18^2+AB18^2))</f>
        <v>1</v>
      </c>
      <c r="AD18" s="637">
        <f>IF(M18="","",Z18*(1/SQRT(Z18^2+AA18^2+AB18^2)))</f>
        <v>0.13420301969909798</v>
      </c>
      <c r="AE18" s="629">
        <f>IF(M18="","",AA18*(1/SQRT(Z18^2+AA18^2+AB18^2)))</f>
        <v>-0.95890018556216505</v>
      </c>
      <c r="AF18" s="633">
        <f>IF(M18="","",AB18*(1/SQRT(Z18^2+AA18^2+AB18^2)))</f>
        <v>-0.24999996726497561</v>
      </c>
      <c r="AG18" s="602">
        <f>IF(M18="","",DEGREES(ATAN2(-AF18,AE18)))</f>
        <v>-75.387400901100847</v>
      </c>
      <c r="AH18" s="603">
        <f>IF(M18="","",DEGREES(ACOS(AD18)))</f>
        <v>82.287463084114179</v>
      </c>
      <c r="AI18" s="585">
        <f>IF(M18="","",DEGREES(-ACOS(-AF18)))</f>
        <v>-75.522489751159469</v>
      </c>
      <c r="AJ18" s="586">
        <f>IF(M18="","",DEGREES(ATAN2(-AE18,AD18)))</f>
        <v>7.9670900843869141</v>
      </c>
      <c r="AK18" s="635">
        <f>IF(M18="","",(COS(RADIANS((90-$Q$8)-W18))*AD18)+(-SIN(RADIANS((90-$Q$8)-W18))*AE18))</f>
        <v>0.96592583607220739</v>
      </c>
      <c r="AL18" s="629">
        <f>IF(M18="","",(SIN(RADIANS((90-$Q$8)-W18))*AD18)+(COS(RADIANS((90-$Q$8)-W18))*AE18))</f>
        <v>6.6987279208208114E-2</v>
      </c>
      <c r="AM18" s="634">
        <f>IF(M18="","",AF18)</f>
        <v>-0.24999996726497561</v>
      </c>
      <c r="AN18" s="581">
        <f>IF(M18="","",DEGREES(ATAN2(-AM18,AL18)))</f>
        <v>14.999997834268465</v>
      </c>
      <c r="AO18" s="582">
        <f t="shared" si="94"/>
        <v>14.999997834268255</v>
      </c>
      <c r="AP18" s="585">
        <f>IF(M18="","",DEGREES(ATAN2(AK18,AL18)))</f>
        <v>3.9671296450866254</v>
      </c>
      <c r="AQ18" s="586">
        <f t="shared" si="9"/>
        <v>1.2074917830660501</v>
      </c>
      <c r="AS18" s="52">
        <f t="shared" si="116"/>
        <v>-85.910039573694064</v>
      </c>
      <c r="AT18" s="72">
        <f t="shared" si="10"/>
        <v>-0.27827876971614446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1913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2.8491514145493184</v>
      </c>
      <c r="C19" s="708">
        <v>0.19923009830675009</v>
      </c>
      <c r="D19" s="709">
        <v>-8.9300269329612339E-2</v>
      </c>
      <c r="E19" s="710">
        <v>-0.10331181102512518</v>
      </c>
      <c r="F19" s="708">
        <v>0.96106028786824194</v>
      </c>
      <c r="G19" s="711">
        <v>0.25630020051751989</v>
      </c>
      <c r="H19" s="710">
        <v>0.3765</v>
      </c>
      <c r="I19" s="708">
        <v>0.52</v>
      </c>
      <c r="J19" s="570">
        <v>2.11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1913</v>
      </c>
      <c r="L19" s="775" t="s">
        <v>366</v>
      </c>
      <c r="M19" s="168">
        <f>IF(J19="","",VALUE(J19))</f>
        <v>2.11</v>
      </c>
      <c r="N19" s="632">
        <f t="shared" si="2"/>
        <v>2.8491514145493184</v>
      </c>
      <c r="O19" s="629">
        <f t="shared" si="3"/>
        <v>0.19923009830675009</v>
      </c>
      <c r="P19" s="633">
        <f t="shared" si="4"/>
        <v>-8.9300269329612339E-2</v>
      </c>
      <c r="Q19" s="585">
        <f t="shared" si="113"/>
        <v>3.999960439300327</v>
      </c>
      <c r="R19" s="629">
        <f>IF(M19="","",SQRT(N19^2+O19^2))</f>
        <v>2.8561086140235807</v>
      </c>
      <c r="S19" s="634">
        <f>IF(M19="","",P19)</f>
        <v>-8.9300269329612339E-2</v>
      </c>
      <c r="T19" s="635">
        <f>IF(M19="","",X19*COS(RADIANS(W19)))</f>
        <v>0.20370528660642348</v>
      </c>
      <c r="U19" s="629">
        <f>IF(M19="","",X19*SIN(RADIANS(W19)))</f>
        <v>-2.8488349498186611</v>
      </c>
      <c r="V19" s="636">
        <f>IF(M19="","",Y19)</f>
        <v>-8.9300269329612339E-2</v>
      </c>
      <c r="W19" s="585">
        <f t="shared" si="224"/>
        <v>274.08996042630594</v>
      </c>
      <c r="X19" s="629">
        <f>IF(M19="","",R19)</f>
        <v>2.8561086140235807</v>
      </c>
      <c r="Y19" s="630">
        <f t="shared" si="223"/>
        <v>-8.9300269329612339E-2</v>
      </c>
      <c r="Z19" s="632">
        <f t="shared" si="6"/>
        <v>0.10331181102512518</v>
      </c>
      <c r="AA19" s="629">
        <f t="shared" si="7"/>
        <v>-0.96106028786824194</v>
      </c>
      <c r="AB19" s="629">
        <f t="shared" si="8"/>
        <v>-0.25630020051751989</v>
      </c>
      <c r="AC19" s="636">
        <f>IF(M19="","",SQRT(Z19^2+AA19^2+AB19^2))</f>
        <v>1</v>
      </c>
      <c r="AD19" s="637">
        <f>IF(M19="","",Z19*(1/SQRT(Z19^2+AA19^2+AB19^2)))</f>
        <v>0.10331181102512518</v>
      </c>
      <c r="AE19" s="629">
        <f>IF(M19="","",AA19*(1/SQRT(Z19^2+AA19^2+AB19^2)))</f>
        <v>-0.96106028786824194</v>
      </c>
      <c r="AF19" s="633">
        <f>IF(M19="","",AB19*(1/SQRT(Z19^2+AA19^2+AB19^2)))</f>
        <v>-0.25630020051751989</v>
      </c>
      <c r="AG19" s="602">
        <f>IF(M19="","",DEGREES(ATAN2(-AF19,AE19)))</f>
        <v>-75.06761117766159</v>
      </c>
      <c r="AH19" s="603">
        <f>IF(M19="","",DEGREES(ACOS(AD19)))</f>
        <v>84.070088527294018</v>
      </c>
      <c r="AI19" s="585">
        <f>IF(M19="","",DEGREES(-ACOS(-AF19)))</f>
        <v>-75.149358199573626</v>
      </c>
      <c r="AJ19" s="586">
        <f>IF(M19="","",DEGREES(ATAN2(-AE19,AD19)))</f>
        <v>6.1356054533245947</v>
      </c>
      <c r="AK19" s="635">
        <f>IF(M19="","",(COS(RADIANS((90-$Q$8)-W19))*AD19)+(-SIN(RADIANS((90-$Q$8)-W19))*AE19))</f>
        <v>0.96592583607220739</v>
      </c>
      <c r="AL19" s="629">
        <f>IF(M19="","",(SIN(RADIANS((90-$Q$8)-W19))*AD19)+(COS(RADIANS((90-$Q$8)-W19))*AE19))</f>
        <v>3.6020638846172515E-2</v>
      </c>
      <c r="AM19" s="634">
        <f>IF(M19="","",AF19)</f>
        <v>-0.25630020051751989</v>
      </c>
      <c r="AN19" s="581">
        <f>IF(M19="","",DEGREES(ATAN2(-AM19,AL19)))</f>
        <v>7.9999988449432609</v>
      </c>
      <c r="AO19" s="582">
        <f t="shared" si="94"/>
        <v>14.999997834268255</v>
      </c>
      <c r="AP19" s="585">
        <f>IF(M19="","",DEGREES(ATAN2(AK19,AL19)))</f>
        <v>2.1356450140243051</v>
      </c>
      <c r="AQ19" s="586">
        <f t="shared" si="9"/>
        <v>0.79814162465379968</v>
      </c>
      <c r="AS19" s="52">
        <f t="shared" si="116"/>
        <v>-85.910039573694064</v>
      </c>
      <c r="AT19" s="72">
        <f t="shared" si="10"/>
        <v>-2.9578019634682005E-2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1913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3.8434718990063819</v>
      </c>
      <c r="C20" s="708">
        <v>0.21555370108390715</v>
      </c>
      <c r="D20" s="709">
        <v>-0.1716005175471608</v>
      </c>
      <c r="E20" s="710">
        <v>9.9766438391786352E-2</v>
      </c>
      <c r="F20" s="708">
        <v>0.96853631942985874</v>
      </c>
      <c r="G20" s="711">
        <v>0.22800012218391594</v>
      </c>
      <c r="H20" s="710">
        <v>0.3765</v>
      </c>
      <c r="I20" s="708">
        <v>0.52</v>
      </c>
      <c r="J20" s="570">
        <v>2.1150000000000002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1913</v>
      </c>
      <c r="L20" s="774" t="str">
        <f>IF($L19=$JH$22,$JH$30,IF($L19=$JI$22,$JI$30,""))</f>
        <v/>
      </c>
      <c r="M20" s="168">
        <f t="shared" si="1"/>
        <v>2.1150000000000002</v>
      </c>
      <c r="N20" s="632">
        <f t="shared" si="2"/>
        <v>3.8434718990063819</v>
      </c>
      <c r="O20" s="629">
        <f t="shared" si="3"/>
        <v>0.21555370108390715</v>
      </c>
      <c r="P20" s="633">
        <f t="shared" si="4"/>
        <v>-0.1716005175471608</v>
      </c>
      <c r="Q20" s="585">
        <f t="shared" si="113"/>
        <v>3.2099605533622175</v>
      </c>
      <c r="R20" s="629">
        <f>IF(M20="","",SQRT(N20^2+O20^2))</f>
        <v>3.8495116101270166</v>
      </c>
      <c r="S20" s="634">
        <f>IF(M20="","",P20)</f>
        <v>-0.1716005175471608</v>
      </c>
      <c r="T20" s="635">
        <f>IF(M20="","",X20*COS(RADIANS(W20)))</f>
        <v>0.22159074334199771</v>
      </c>
      <c r="U20" s="629">
        <f>IF(M20="","",X20*SIN(RADIANS(W20)))</f>
        <v>-3.8431285665415666</v>
      </c>
      <c r="V20" s="636">
        <f>IF(M20="","",Y20)</f>
        <v>-0.1716005175471608</v>
      </c>
      <c r="W20" s="585">
        <f t="shared" si="224"/>
        <v>273.29996054036786</v>
      </c>
      <c r="X20" s="629">
        <f>IF(M20="","",R20)</f>
        <v>3.8495116101270166</v>
      </c>
      <c r="Y20" s="630">
        <f t="shared" si="223"/>
        <v>-0.1716005175471608</v>
      </c>
      <c r="Z20" s="632">
        <f t="shared" si="6"/>
        <v>-9.9766438391786352E-2</v>
      </c>
      <c r="AA20" s="629">
        <f t="shared" si="7"/>
        <v>-0.96853631942985874</v>
      </c>
      <c r="AB20" s="629">
        <f t="shared" si="8"/>
        <v>-0.22800012218391594</v>
      </c>
      <c r="AC20" s="636">
        <f>IF(M20="","",SQRT(Z20^2+AA20^2+AB20^2))</f>
        <v>1</v>
      </c>
      <c r="AD20" s="637">
        <f>IF(M20="","",Z20*(1/SQRT(Z20^2+AA20^2+AB20^2)))</f>
        <v>-9.9766438391786352E-2</v>
      </c>
      <c r="AE20" s="629">
        <f>IF(M20="","",AA20*(1/SQRT(Z20^2+AA20^2+AB20^2)))</f>
        <v>-0.96853631942985874</v>
      </c>
      <c r="AF20" s="633">
        <f>IF(M20="","",AB20*(1/SQRT(Z20^2+AA20^2+AB20^2)))</f>
        <v>-0.22800012218391594</v>
      </c>
      <c r="AG20" s="602">
        <f>IF(M20="","",DEGREES(ATAN2(-AF20,AE20)))</f>
        <v>-76.753357851567799</v>
      </c>
      <c r="AH20" s="603">
        <f>IF(M20="","",DEGREES(ACOS(AD20)))</f>
        <v>95.72572112486418</v>
      </c>
      <c r="AI20" s="585">
        <f>IF(M20="","",DEGREES(-ACOS(-AF20)))</f>
        <v>-76.820640882061809</v>
      </c>
      <c r="AJ20" s="586">
        <f>IF(M20="","",DEGREES(ATAN2(-AE20,AD20)))</f>
        <v>-5.8811488985082363</v>
      </c>
      <c r="AK20" s="635">
        <f>IF(M20="","",(COS(RADIANS((90-$Q$8)-W20))*AD20)+(-SIN(RADIANS((90-$Q$8)-W20))*AE20))</f>
        <v>0.96143029991648832</v>
      </c>
      <c r="AL20" s="629">
        <f>IF(M20="","",(SIN(RADIANS((90-$Q$8)-W20))*AD20)+(COS(RADIANS((90-$Q$8)-W20))*AE20))</f>
        <v>-0.15384317562573491</v>
      </c>
      <c r="AM20" s="634">
        <f>IF(M20="","",AF20)</f>
        <v>-0.22800012218391594</v>
      </c>
      <c r="AN20" s="581">
        <f>IF(M20="","",DEGREES(ATAN2(-AM20,AL20)))</f>
        <v>-34.009524530887028</v>
      </c>
      <c r="AO20" s="582">
        <f t="shared" si="94"/>
        <v>15.96491541327277</v>
      </c>
      <c r="AP20" s="585">
        <f>IF(M20="","",DEGREES(ATAN2(AK20,AL20)))</f>
        <v>-9.0911094518704925</v>
      </c>
      <c r="AQ20" s="586">
        <f t="shared" si="9"/>
        <v>0.59219082419261126</v>
      </c>
      <c r="AS20" s="52">
        <f t="shared" si="116"/>
        <v>-86.700039459632137</v>
      </c>
      <c r="AT20" s="72">
        <f t="shared" si="10"/>
        <v>-0.11132965682032903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2.1150000000000002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1913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4.652192680990904</v>
      </c>
      <c r="C21" s="708">
        <v>0.16489385282859884</v>
      </c>
      <c r="D21" s="709">
        <v>-0.67580203821894691</v>
      </c>
      <c r="E21" s="710">
        <v>0.26729549170331474</v>
      </c>
      <c r="F21" s="708">
        <v>0.95042576317885219</v>
      </c>
      <c r="G21" s="711">
        <v>0.15888356995290484</v>
      </c>
      <c r="H21" s="710">
        <v>0.3765</v>
      </c>
      <c r="I21" s="708">
        <v>0.52</v>
      </c>
      <c r="J21" s="570">
        <v>2.12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1913</v>
      </c>
      <c r="L21" s="776" t="s">
        <v>367</v>
      </c>
      <c r="M21" s="168">
        <f t="shared" si="1"/>
        <v>2.12</v>
      </c>
      <c r="N21" s="632">
        <f t="shared" si="2"/>
        <v>4.652192680990904</v>
      </c>
      <c r="O21" s="629">
        <f t="shared" si="3"/>
        <v>0.16489385282859884</v>
      </c>
      <c r="P21" s="633">
        <f t="shared" si="4"/>
        <v>-0.67580203821894691</v>
      </c>
      <c r="Q21" s="585">
        <f t="shared" si="113"/>
        <v>2.0299607237331023</v>
      </c>
      <c r="R21" s="629">
        <f>IF(M21="","",SQRT(N21^2+O21^2))</f>
        <v>4.6551140398239435</v>
      </c>
      <c r="S21" s="634">
        <f>IF(M21="","",P21)</f>
        <v>-0.67580203821894691</v>
      </c>
      <c r="T21" s="635">
        <f>IF(M21="","",X21*COS(RADIANS(W21)))</f>
        <v>0.17220129251366384</v>
      </c>
      <c r="U21" s="629">
        <f>IF(M21="","",X21*SIN(RADIANS(W21)))</f>
        <v>-4.6519279270666498</v>
      </c>
      <c r="V21" s="636">
        <f>IF(M21="","",Y21)</f>
        <v>-0.67580203821894691</v>
      </c>
      <c r="W21" s="585">
        <f t="shared" si="224"/>
        <v>272.11996071073872</v>
      </c>
      <c r="X21" s="629">
        <f>IF(M21="","",R21)</f>
        <v>4.6551140398239435</v>
      </c>
      <c r="Y21" s="630">
        <f t="shared" si="223"/>
        <v>-0.67580203821894691</v>
      </c>
      <c r="Z21" s="632">
        <f t="shared" si="6"/>
        <v>-0.26729549170331474</v>
      </c>
      <c r="AA21" s="629">
        <f t="shared" si="7"/>
        <v>-0.95042576317885219</v>
      </c>
      <c r="AB21" s="629">
        <f t="shared" si="8"/>
        <v>-0.15888356995290484</v>
      </c>
      <c r="AC21" s="636">
        <f>IF(M21="","",SQRT(Z21^2+AA21^2+AB21^2))</f>
        <v>1</v>
      </c>
      <c r="AD21" s="637">
        <f>IF(M21="","",Z21*(1/SQRT(Z21^2+AA21^2+AB21^2)))</f>
        <v>-0.26729549170331474</v>
      </c>
      <c r="AE21" s="629">
        <f>IF(M21="","",AA21*(1/SQRT(Z21^2+AA21^2+AB21^2)))</f>
        <v>-0.95042576317885219</v>
      </c>
      <c r="AF21" s="633">
        <f>IF(M21="","",AB21*(1/SQRT(Z21^2+AA21^2+AB21^2)))</f>
        <v>-0.15888356995290484</v>
      </c>
      <c r="AG21" s="602">
        <f>IF(M21="","",DEGREES(ATAN2(-AF21,AE21)))</f>
        <v>-80.509568142843676</v>
      </c>
      <c r="AH21" s="603">
        <f>IF(M21="","",DEGREES(ACOS(AD21)))</f>
        <v>105.50339602297444</v>
      </c>
      <c r="AI21" s="585">
        <f>IF(M21="","",DEGREES(-ACOS(-AF21)))</f>
        <v>-80.857899421265614</v>
      </c>
      <c r="AJ21" s="586">
        <f>IF(M21="","",DEGREES(ATAN2(-AE21,AD21)))</f>
        <v>-15.707981175544372</v>
      </c>
      <c r="AK21" s="635">
        <f>IF(M21="","",(COS(RADIANS((90-$Q$8)-W21))*AD21)+(-SIN(RADIANS((90-$Q$8)-W21))*AE21))</f>
        <v>0.94036115084749528</v>
      </c>
      <c r="AL21" s="629">
        <f>IF(M21="","",(SIN(RADIANS((90-$Q$8)-W21))*AD21)+(COS(RADIANS((90-$Q$8)-W21))*AE21))</f>
        <v>-0.30079381173121678</v>
      </c>
      <c r="AM21" s="634">
        <f>IF(M21="","",AF21)</f>
        <v>-0.15888356995290484</v>
      </c>
      <c r="AN21" s="581">
        <f>IF(M21="","",DEGREES(ATAN2(-AM21,AL21)))</f>
        <v>-62.1563486094959</v>
      </c>
      <c r="AO21" s="582">
        <f>IF(ROUND(IF(M21="",0,DEGREES(ACOS(AK21))),4)=90,0,IF(M21="","",DEGREES(ACOS(AK21))))</f>
        <v>19.887704319353073</v>
      </c>
      <c r="AP21" s="585">
        <f>IF(M21="","",DEGREES(ATAN2(AK21,AL21)))</f>
        <v>-17.737941899277466</v>
      </c>
      <c r="AQ21" s="586">
        <f t="shared" si="9"/>
        <v>0.48971326985814967</v>
      </c>
      <c r="AS21" s="52">
        <f t="shared" si="116"/>
        <v>-87.880039289261276</v>
      </c>
      <c r="AT21" s="72">
        <f t="shared" si="10"/>
        <v>-0.61471173316598382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1913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5.1321897346334389</v>
      </c>
      <c r="C22" s="708">
        <v>0.10750054083675523</v>
      </c>
      <c r="D22" s="709">
        <v>-1.4993045219024386</v>
      </c>
      <c r="E22" s="710">
        <v>0.42312451561446857</v>
      </c>
      <c r="F22" s="708">
        <v>0.9025416457793114</v>
      </c>
      <c r="G22" s="711">
        <v>7.9901326146650492E-2</v>
      </c>
      <c r="H22" s="710">
        <v>0.3765</v>
      </c>
      <c r="I22" s="708">
        <v>0.52</v>
      </c>
      <c r="J22" s="570">
        <v>2.125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1913</v>
      </c>
      <c r="L22" s="873" t="str">
        <f>IF($L21=$JH$22,$JH$30,IF($L21=$JI$22,$JI$30,""))</f>
        <v/>
      </c>
      <c r="M22" s="168">
        <f t="shared" si="1"/>
        <v>2.125</v>
      </c>
      <c r="N22" s="632">
        <f t="shared" si="2"/>
        <v>5.1321897346334389</v>
      </c>
      <c r="O22" s="629">
        <f t="shared" si="3"/>
        <v>0.10750054083675523</v>
      </c>
      <c r="P22" s="633">
        <f t="shared" si="4"/>
        <v>-1.4993045219024386</v>
      </c>
      <c r="Q22" s="585">
        <f t="shared" si="113"/>
        <v>1.1999608435702629</v>
      </c>
      <c r="R22" s="629">
        <f t="shared" si="79"/>
        <v>5.133315482079496</v>
      </c>
      <c r="S22" s="634">
        <f t="shared" si="80"/>
        <v>-1.4993045219024386</v>
      </c>
      <c r="T22" s="635">
        <f t="shared" si="81"/>
        <v>0.11556202851775677</v>
      </c>
      <c r="U22" s="629">
        <f t="shared" si="82"/>
        <v>-5.1320145416904177</v>
      </c>
      <c r="V22" s="636">
        <f t="shared" si="114"/>
        <v>-1.4993045219024386</v>
      </c>
      <c r="W22" s="585">
        <f t="shared" si="224"/>
        <v>271.28996083057586</v>
      </c>
      <c r="X22" s="629">
        <f t="shared" si="83"/>
        <v>5.133315482079496</v>
      </c>
      <c r="Y22" s="630">
        <f t="shared" si="223"/>
        <v>-1.4993045219024386</v>
      </c>
      <c r="Z22" s="632">
        <f t="shared" si="6"/>
        <v>-0.42312451561446857</v>
      </c>
      <c r="AA22" s="629">
        <f t="shared" si="7"/>
        <v>-0.9025416457793114</v>
      </c>
      <c r="AB22" s="629">
        <f t="shared" si="8"/>
        <v>-7.9901326146650492E-2</v>
      </c>
      <c r="AC22" s="636">
        <f t="shared" si="84"/>
        <v>1</v>
      </c>
      <c r="AD22" s="637">
        <f t="shared" si="115"/>
        <v>-0.42312451561446857</v>
      </c>
      <c r="AE22" s="629">
        <f t="shared" si="85"/>
        <v>-0.9025416457793114</v>
      </c>
      <c r="AF22" s="633">
        <f t="shared" si="86"/>
        <v>-7.9901326146650492E-2</v>
      </c>
      <c r="AG22" s="602">
        <f t="shared" si="87"/>
        <v>-84.94083760052186</v>
      </c>
      <c r="AH22" s="603">
        <f t="shared" si="88"/>
        <v>115.03200898295988</v>
      </c>
      <c r="AI22" s="585">
        <f t="shared" si="89"/>
        <v>-85.417106015848475</v>
      </c>
      <c r="AJ22" s="586">
        <f t="shared" si="90"/>
        <v>-25.117859719452785</v>
      </c>
      <c r="AK22" s="635">
        <f t="shared" si="211"/>
        <v>0.8934827542335102</v>
      </c>
      <c r="AL22" s="629">
        <f t="shared" si="91"/>
        <v>-0.44193251291040736</v>
      </c>
      <c r="AM22" s="634">
        <f t="shared" si="92"/>
        <v>-7.9901326146650492E-2</v>
      </c>
      <c r="AN22" s="581">
        <f t="shared" si="93"/>
        <v>-79.751643417335387</v>
      </c>
      <c r="AO22" s="582">
        <f t="shared" si="94"/>
        <v>26.68579546050832</v>
      </c>
      <c r="AP22" s="585">
        <f t="shared" si="95"/>
        <v>-26.31782056302302</v>
      </c>
      <c r="AQ22" s="586">
        <f t="shared" si="9"/>
        <v>0.44409524152865837</v>
      </c>
      <c r="AS22" s="52">
        <f t="shared" si="116"/>
        <v>-88.710039169424135</v>
      </c>
      <c r="AT22" s="72">
        <f t="shared" si="10"/>
        <v>-1.4376378280438069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2.125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1913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5.2042924198674099</v>
      </c>
      <c r="C23" s="708">
        <v>9.7197986144849619E-2</v>
      </c>
      <c r="D23" s="709">
        <v>-2.4685999999999999</v>
      </c>
      <c r="E23" s="710">
        <v>0.48374124727893225</v>
      </c>
      <c r="F23" s="708">
        <v>0.87521106350469713</v>
      </c>
      <c r="G23" s="711">
        <v>0</v>
      </c>
      <c r="H23" s="710">
        <v>0.3765</v>
      </c>
      <c r="I23" s="708">
        <v>0.52</v>
      </c>
      <c r="J23" s="570">
        <v>2.13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1913</v>
      </c>
      <c r="M23" s="168">
        <f t="shared" si="1"/>
        <v>2.13</v>
      </c>
      <c r="N23" s="632">
        <f t="shared" si="2"/>
        <v>5.2042924198674099</v>
      </c>
      <c r="O23" s="629">
        <f t="shared" si="3"/>
        <v>9.7197986144849619E-2</v>
      </c>
      <c r="P23" s="633">
        <f t="shared" si="4"/>
        <v>-2.4685999999999999</v>
      </c>
      <c r="Q23" s="585">
        <f t="shared" si="113"/>
        <v>1.0699604393003428</v>
      </c>
      <c r="R23" s="629">
        <f t="shared" si="79"/>
        <v>5.2051999999999996</v>
      </c>
      <c r="S23" s="634">
        <f t="shared" si="80"/>
        <v>-2.4685999999999999</v>
      </c>
      <c r="T23" s="635">
        <f t="shared" si="81"/>
        <v>0.10537274510630656</v>
      </c>
      <c r="U23" s="629">
        <f t="shared" si="82"/>
        <v>-5.2041333211773848</v>
      </c>
      <c r="V23" s="636">
        <f t="shared" si="114"/>
        <v>-2.4685999999999999</v>
      </c>
      <c r="W23" s="585">
        <f t="shared" si="224"/>
        <v>271.15996042630599</v>
      </c>
      <c r="X23" s="629">
        <f t="shared" si="83"/>
        <v>5.2051999999999996</v>
      </c>
      <c r="Y23" s="630">
        <f t="shared" si="223"/>
        <v>-2.4685999999999999</v>
      </c>
      <c r="Z23" s="632">
        <f t="shared" si="6"/>
        <v>-0.48374124727893225</v>
      </c>
      <c r="AA23" s="629">
        <f t="shared" si="7"/>
        <v>-0.87521106350469713</v>
      </c>
      <c r="AB23" s="629">
        <f t="shared" si="8"/>
        <v>0</v>
      </c>
      <c r="AC23" s="636">
        <f t="shared" si="84"/>
        <v>1</v>
      </c>
      <c r="AD23" s="637">
        <f t="shared" si="115"/>
        <v>-0.48374124727893225</v>
      </c>
      <c r="AE23" s="629">
        <f t="shared" si="85"/>
        <v>-0.87521106350469713</v>
      </c>
      <c r="AF23" s="633">
        <f t="shared" si="86"/>
        <v>0</v>
      </c>
      <c r="AG23" s="602">
        <f t="shared" si="87"/>
        <v>-90</v>
      </c>
      <c r="AH23" s="603">
        <f t="shared" si="88"/>
        <v>118.93003522923621</v>
      </c>
      <c r="AI23" s="585">
        <f t="shared" si="89"/>
        <v>-90</v>
      </c>
      <c r="AJ23" s="586">
        <f t="shared" si="90"/>
        <v>-28.930035229236193</v>
      </c>
      <c r="AK23" s="635">
        <f t="shared" si="211"/>
        <v>0.86602544158358541</v>
      </c>
      <c r="AL23" s="629">
        <f t="shared" si="91"/>
        <v>-0.49999993452995167</v>
      </c>
      <c r="AM23" s="634">
        <f t="shared" si="92"/>
        <v>0</v>
      </c>
      <c r="AN23" s="581">
        <f t="shared" si="93"/>
        <v>-90</v>
      </c>
      <c r="AO23" s="582">
        <f t="shared" si="94"/>
        <v>29.99999566853656</v>
      </c>
      <c r="AP23" s="585">
        <f t="shared" si="95"/>
        <v>-29.99999566853656</v>
      </c>
      <c r="AQ23" s="586">
        <f t="shared" si="9"/>
        <v>0.43796246658282684</v>
      </c>
      <c r="AS23" s="52">
        <f t="shared" si="116"/>
        <v>-88.840039573694014</v>
      </c>
      <c r="AT23" s="72">
        <f t="shared" si="10"/>
        <v>-2.4068430280828474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1913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1.0688245401689973</v>
      </c>
      <c r="C24" s="708">
        <v>-2.4006225433184332</v>
      </c>
      <c r="D24" s="709">
        <v>-0.13970042133647059</v>
      </c>
      <c r="E24" s="710">
        <v>0.86413723799744857</v>
      </c>
      <c r="F24" s="708">
        <v>0.43393486578685347</v>
      </c>
      <c r="G24" s="711">
        <v>0.25488696742024014</v>
      </c>
      <c r="H24" s="710">
        <v>0.3765</v>
      </c>
      <c r="I24" s="708">
        <v>0.52</v>
      </c>
      <c r="J24" s="570">
        <v>3.109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1913</v>
      </c>
      <c r="L24" s="86"/>
      <c r="M24" s="168">
        <f t="shared" si="1"/>
        <v>3.109</v>
      </c>
      <c r="N24" s="632">
        <f t="shared" si="2"/>
        <v>1.0688245401689973</v>
      </c>
      <c r="O24" s="629">
        <f t="shared" si="3"/>
        <v>-2.4006225433184332</v>
      </c>
      <c r="P24" s="633">
        <f t="shared" si="4"/>
        <v>-0.13970042133647059</v>
      </c>
      <c r="Q24" s="585">
        <f t="shared" si="113"/>
        <v>293.99997054604847</v>
      </c>
      <c r="R24" s="629">
        <f t="shared" si="79"/>
        <v>2.6278079254687037</v>
      </c>
      <c r="S24" s="634">
        <f t="shared" si="80"/>
        <v>-0.13970042133647059</v>
      </c>
      <c r="T24" s="635">
        <f t="shared" si="81"/>
        <v>-2.3989406769416846</v>
      </c>
      <c r="U24" s="629">
        <f t="shared" si="82"/>
        <v>-1.0725941085381288</v>
      </c>
      <c r="V24" s="636">
        <f t="shared" si="114"/>
        <v>-0.13970042133647059</v>
      </c>
      <c r="W24" s="585">
        <f t="shared" si="224"/>
        <v>204.0899705330541</v>
      </c>
      <c r="X24" s="629">
        <f t="shared" si="83"/>
        <v>2.6278079254687037</v>
      </c>
      <c r="Y24" s="630">
        <f t="shared" si="223"/>
        <v>-0.13970042133647059</v>
      </c>
      <c r="Z24" s="632">
        <f t="shared" si="6"/>
        <v>-0.86413723799744857</v>
      </c>
      <c r="AA24" s="629">
        <f t="shared" si="7"/>
        <v>-0.43393486578685347</v>
      </c>
      <c r="AB24" s="629">
        <f t="shared" si="8"/>
        <v>-0.25488696742024014</v>
      </c>
      <c r="AC24" s="636">
        <f t="shared" si="84"/>
        <v>1</v>
      </c>
      <c r="AD24" s="637">
        <f t="shared" si="115"/>
        <v>-0.86413723799744857</v>
      </c>
      <c r="AE24" s="629">
        <f t="shared" si="85"/>
        <v>-0.43393486578685347</v>
      </c>
      <c r="AF24" s="633">
        <f t="shared" si="86"/>
        <v>-0.25488696742024014</v>
      </c>
      <c r="AG24" s="602">
        <f t="shared" si="87"/>
        <v>-59.57064944087913</v>
      </c>
      <c r="AH24" s="603">
        <f t="shared" si="88"/>
        <v>149.78433465039964</v>
      </c>
      <c r="AI24" s="585">
        <f t="shared" si="89"/>
        <v>-75.233112454846449</v>
      </c>
      <c r="AJ24" s="586">
        <f t="shared" si="90"/>
        <v>-63.33604261970504</v>
      </c>
      <c r="AK24" s="635">
        <f>IF(M24="","",(COS(RADIANS((90-$Q$8)-W24))*AD24)+(-SIN(RADIANS((90-$Q$8)-W24))*AE24))</f>
        <v>0.96592583607220739</v>
      </c>
      <c r="AL24" s="629">
        <f t="shared" si="91"/>
        <v>4.4943442764441344E-2</v>
      </c>
      <c r="AM24" s="634">
        <f t="shared" si="92"/>
        <v>-0.25488696742024014</v>
      </c>
      <c r="AN24" s="581">
        <f t="shared" si="93"/>
        <v>9.999998556178749</v>
      </c>
      <c r="AO24" s="582">
        <f t="shared" si="94"/>
        <v>14.999997834268255</v>
      </c>
      <c r="AP24" s="585">
        <f t="shared" si="95"/>
        <v>2.6639868342464896</v>
      </c>
      <c r="AQ24" s="586">
        <f t="shared" si="9"/>
        <v>0.86747300485820844</v>
      </c>
      <c r="AS24" s="52">
        <f t="shared" si="116"/>
        <v>-155.9100294669459</v>
      </c>
      <c r="AT24" s="72">
        <f t="shared" si="10"/>
        <v>-3.1367067549004257E-2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1913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1.4609044240624454</v>
      </c>
      <c r="C25" s="708">
        <v>-3.3743397604195486</v>
      </c>
      <c r="D25" s="709">
        <v>-0.12140036614350412</v>
      </c>
      <c r="E25" s="710">
        <v>0.93290479832840434</v>
      </c>
      <c r="F25" s="708">
        <v>0.26835534442544645</v>
      </c>
      <c r="G25" s="711">
        <v>0.24015421373388235</v>
      </c>
      <c r="H25" s="710">
        <v>0.3765</v>
      </c>
      <c r="I25" s="708">
        <v>0.52</v>
      </c>
      <c r="J25" s="570">
        <v>3.1139999999999999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1913</v>
      </c>
      <c r="L25" s="86"/>
      <c r="M25" s="168">
        <f t="shared" si="1"/>
        <v>3.1139999999999999</v>
      </c>
      <c r="N25" s="632">
        <f t="shared" si="2"/>
        <v>1.4609044240624454</v>
      </c>
      <c r="O25" s="629">
        <f t="shared" si="3"/>
        <v>-3.3743397604195486</v>
      </c>
      <c r="P25" s="633">
        <f t="shared" si="4"/>
        <v>-0.12140036614350412</v>
      </c>
      <c r="Q25" s="585">
        <f t="shared" si="113"/>
        <v>293.40997063123393</v>
      </c>
      <c r="R25" s="629">
        <f>IF(M25="","",SQRT(N25^2+O25^2))</f>
        <v>3.6770110898654469</v>
      </c>
      <c r="S25" s="634">
        <f>IF(M25="","",P25)</f>
        <v>-0.12140036614350412</v>
      </c>
      <c r="T25" s="635">
        <f>IF(M25="","",X25*COS(RADIANS(W25)))</f>
        <v>-3.3720408154686878</v>
      </c>
      <c r="U25" s="629">
        <f>IF(M25="","",X25*SIN(RADIANS(W25)))</f>
        <v>-1.4662030193007882</v>
      </c>
      <c r="V25" s="636">
        <f>IF(M25="","",Y25)</f>
        <v>-0.12140036614350412</v>
      </c>
      <c r="W25" s="585">
        <f t="shared" si="224"/>
        <v>203.49997061823956</v>
      </c>
      <c r="X25" s="629">
        <f>IF(M25="","",R25)</f>
        <v>3.6770110898654469</v>
      </c>
      <c r="Y25" s="630">
        <f t="shared" si="223"/>
        <v>-0.12140036614350412</v>
      </c>
      <c r="Z25" s="632">
        <f t="shared" si="6"/>
        <v>-0.93290479832840434</v>
      </c>
      <c r="AA25" s="629">
        <f t="shared" si="7"/>
        <v>-0.26835534442544645</v>
      </c>
      <c r="AB25" s="629">
        <f t="shared" si="8"/>
        <v>-0.24015421373388235</v>
      </c>
      <c r="AC25" s="636">
        <f>IF(M25="","",SQRT(Z25^2+AA25^2+AB25^2))</f>
        <v>1</v>
      </c>
      <c r="AD25" s="637">
        <f>IF(M25="","",Z25*(1/SQRT(Z25^2+AA25^2+AB25^2)))</f>
        <v>-0.93290479832840434</v>
      </c>
      <c r="AE25" s="629">
        <f>IF(M25="","",AA25*(1/SQRT(Z25^2+AA25^2+AB25^2)))</f>
        <v>-0.26835534442544645</v>
      </c>
      <c r="AF25" s="633">
        <f>IF(M25="","",AB25*(1/SQRT(Z25^2+AA25^2+AB25^2)))</f>
        <v>-0.24015421373388235</v>
      </c>
      <c r="AG25" s="602">
        <f>IF(M25="","",DEGREES(ATAN2(-AF25,AE25)))</f>
        <v>-48.174281087794114</v>
      </c>
      <c r="AH25" s="603">
        <f>IF(M25="","",DEGREES(ACOS(AD25)))</f>
        <v>158.89224463701464</v>
      </c>
      <c r="AI25" s="585">
        <f>IF(M25="","",DEGREES(-ACOS(-AF25)))</f>
        <v>-76.104357642708763</v>
      </c>
      <c r="AJ25" s="586">
        <f>IF(M25="","",DEGREES(ATAN2(-AE25,AD25)))</f>
        <v>-73.951819335552415</v>
      </c>
      <c r="AK25" s="635">
        <f>IF(M25="","",(COS(RADIANS((90-$Q$8)-W25))*AD25)+(-SIN(RADIANS((90-$Q$8)-W25))*AE25))</f>
        <v>0.96273282213766442</v>
      </c>
      <c r="AL25" s="629">
        <f>IF(M25="","",(SIN(RADIANS((90-$Q$8)-W25))*AD25)+(COS(RADIANS((90-$Q$8)-W25))*AE25))</f>
        <v>-0.12438435112468474</v>
      </c>
      <c r="AM25" s="634">
        <f>IF(M25="","",AF25)</f>
        <v>-0.24015421373388235</v>
      </c>
      <c r="AN25" s="581">
        <f>IF(M25="","",DEGREES(ATAN2(-AM25,AL25)))</f>
        <v>-27.381234974603956</v>
      </c>
      <c r="AO25" s="582">
        <f>IF(ROUND(IF(M25="",0,DEGREES(ACOS(AK25))),4)=90,0,IF(M25="","",DEGREES(ACOS(AK25))))</f>
        <v>15.691300455169349</v>
      </c>
      <c r="AP25" s="585">
        <f>IF(M25="","",DEGREES(ATAN2(AK25,AL25)))</f>
        <v>-7.361789966786346</v>
      </c>
      <c r="AQ25" s="586">
        <f t="shared" si="9"/>
        <v>0.61997029723008934</v>
      </c>
      <c r="AS25" s="52">
        <f t="shared" si="116"/>
        <v>-156.50002938176044</v>
      </c>
      <c r="AT25" s="72">
        <f t="shared" si="10"/>
        <v>-1.2657290192972126E-2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3.1139999999999999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1913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1.7098853015320785</v>
      </c>
      <c r="C26" s="708">
        <v>-4.1753630573929108</v>
      </c>
      <c r="D26" s="709">
        <v>-0.5439016404073479</v>
      </c>
      <c r="E26" s="710">
        <v>0.97998993151979208</v>
      </c>
      <c r="F26" s="708">
        <v>0.11306625216999634</v>
      </c>
      <c r="G26" s="711">
        <v>0.16381622856134875</v>
      </c>
      <c r="H26" s="710">
        <v>0.3765</v>
      </c>
      <c r="I26" s="708">
        <v>0.52</v>
      </c>
      <c r="J26" s="570">
        <v>3.1190000000000002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1913</v>
      </c>
      <c r="L26" s="320"/>
      <c r="M26" s="168">
        <f t="shared" si="1"/>
        <v>3.1190000000000002</v>
      </c>
      <c r="N26" s="632">
        <f t="shared" si="2"/>
        <v>1.7098853015320785</v>
      </c>
      <c r="O26" s="629">
        <f t="shared" si="3"/>
        <v>-4.1753630573929108</v>
      </c>
      <c r="P26" s="633">
        <f t="shared" si="4"/>
        <v>-0.5439016404073479</v>
      </c>
      <c r="Q26" s="585">
        <f t="shared" si="113"/>
        <v>292.26997079582952</v>
      </c>
      <c r="R26" s="629">
        <f>IF(M26="","",SQRT(N26^2+O26^2))</f>
        <v>4.5119136079314419</v>
      </c>
      <c r="S26" s="634">
        <f>IF(M26="","",P26)</f>
        <v>-0.5439016404073479</v>
      </c>
      <c r="T26" s="635">
        <f>IF(M26="","",X26*COS(RADIANS(W26)))</f>
        <v>-4.1726720261891854</v>
      </c>
      <c r="U26" s="629">
        <f>IF(M26="","",X26*SIN(RADIANS(W26)))</f>
        <v>-1.7164418333561904</v>
      </c>
      <c r="V26" s="636">
        <f>IF(M26="","",Y26)</f>
        <v>-0.5439016404073479</v>
      </c>
      <c r="W26" s="585">
        <f t="shared" si="224"/>
        <v>202.35997078283515</v>
      </c>
      <c r="X26" s="629">
        <f>IF(M26="","",R26)</f>
        <v>4.5119136079314419</v>
      </c>
      <c r="Y26" s="630">
        <f t="shared" si="223"/>
        <v>-0.5439016404073479</v>
      </c>
      <c r="Z26" s="632">
        <f t="shared" si="6"/>
        <v>-0.97998993151979208</v>
      </c>
      <c r="AA26" s="629">
        <f t="shared" si="7"/>
        <v>-0.11306625216999634</v>
      </c>
      <c r="AB26" s="629">
        <f t="shared" si="8"/>
        <v>-0.16381622856134875</v>
      </c>
      <c r="AC26" s="636">
        <f>IF(M26="","",SQRT(Z26^2+AA26^2+AB26^2))</f>
        <v>1</v>
      </c>
      <c r="AD26" s="637">
        <f>IF(M26="","",Z26*(1/SQRT(Z26^2+AA26^2+AB26^2)))</f>
        <v>-0.97998993151979208</v>
      </c>
      <c r="AE26" s="629">
        <f>IF(M26="","",AA26*(1/SQRT(Z26^2+AA26^2+AB26^2)))</f>
        <v>-0.11306625216999634</v>
      </c>
      <c r="AF26" s="633">
        <f>IF(M26="","",AB26*(1/SQRT(Z26^2+AA26^2+AB26^2)))</f>
        <v>-0.16381622856134875</v>
      </c>
      <c r="AG26" s="602">
        <f>IF(M26="","",DEGREES(ATAN2(-AF26,AE26)))</f>
        <v>-34.613506945510629</v>
      </c>
      <c r="AH26" s="603">
        <f>IF(M26="","",DEGREES(ACOS(AD26)))</f>
        <v>168.51876046831842</v>
      </c>
      <c r="AI26" s="585">
        <f>IF(M26="","",DEGREES(-ACOS(-AF26)))</f>
        <v>-80.571526312255074</v>
      </c>
      <c r="AJ26" s="586">
        <f>IF(M26="","",DEGREES(ATAN2(-AE26,AD26)))</f>
        <v>-83.41860400032779</v>
      </c>
      <c r="AK26" s="635">
        <f>IF(M26="","",(COS(RADIANS((90-$Q$8)-W26))*AD26)+(-SIN(RADIANS((90-$Q$8)-W26))*AE26))</f>
        <v>0.94973983363438907</v>
      </c>
      <c r="AL26" s="629">
        <f>IF(M26="","",(SIN(RADIANS((90-$Q$8)-W26))*AD26)+(COS(RADIANS((90-$Q$8)-W26))*AE26))</f>
        <v>-0.26675549041783353</v>
      </c>
      <c r="AM26" s="634">
        <f>IF(M26="","",AF26)</f>
        <v>-0.16381622856134875</v>
      </c>
      <c r="AN26" s="581">
        <f>IF(M26="","",DEGREES(ATAN2(-AM26,AL26)))</f>
        <v>-58.44565194005196</v>
      </c>
      <c r="AO26" s="582">
        <f t="shared" si="94"/>
        <v>18.242550786756627</v>
      </c>
      <c r="AP26" s="585">
        <f>IF(M26="","",DEGREES(ATAN2(AK26,AL26)))</f>
        <v>-15.688574796157324</v>
      </c>
      <c r="AQ26" s="586">
        <f t="shared" si="9"/>
        <v>0.50525513928465726</v>
      </c>
      <c r="AS26" s="52">
        <f t="shared" si="116"/>
        <v>-157.64002921716485</v>
      </c>
      <c r="AT26" s="72">
        <f t="shared" si="10"/>
        <v>-0.43436689790445171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3.1190000000000002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1913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1.845800443181242</v>
      </c>
      <c r="C27" s="708">
        <v>-4.7366829711905529</v>
      </c>
      <c r="D27" s="709">
        <v>-1.3133039609247459</v>
      </c>
      <c r="E27" s="710">
        <v>0.9926262601368695</v>
      </c>
      <c r="F27" s="708">
        <v>-6.5456327402064585E-2</v>
      </c>
      <c r="G27" s="711">
        <v>0.1020224332670307</v>
      </c>
      <c r="H27" s="710">
        <v>0.3765</v>
      </c>
      <c r="I27" s="708">
        <v>0.52</v>
      </c>
      <c r="J27" s="570">
        <v>3.1240000000000001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1913</v>
      </c>
      <c r="L27" s="320"/>
      <c r="M27" s="168">
        <f t="shared" si="1"/>
        <v>3.1240000000000001</v>
      </c>
      <c r="N27" s="632">
        <f t="shared" si="2"/>
        <v>1.845800443181242</v>
      </c>
      <c r="O27" s="629">
        <f t="shared" si="3"/>
        <v>-4.7366829711905529</v>
      </c>
      <c r="P27" s="633">
        <f t="shared" si="4"/>
        <v>-1.3133039609247459</v>
      </c>
      <c r="Q27" s="585">
        <f t="shared" si="113"/>
        <v>291.28997093732397</v>
      </c>
      <c r="R27" s="629">
        <f t="shared" si="79"/>
        <v>5.0836153321838422</v>
      </c>
      <c r="S27" s="634">
        <f t="shared" si="80"/>
        <v>-1.3133039609247459</v>
      </c>
      <c r="T27" s="635">
        <f t="shared" si="81"/>
        <v>-4.7337777525998472</v>
      </c>
      <c r="U27" s="629">
        <f t="shared" si="82"/>
        <v>-1.8532385260957021</v>
      </c>
      <c r="V27" s="636">
        <f t="shared" si="114"/>
        <v>-1.3133039609247459</v>
      </c>
      <c r="W27" s="585">
        <f t="shared" si="224"/>
        <v>201.3799709243296</v>
      </c>
      <c r="X27" s="629">
        <f t="shared" si="83"/>
        <v>5.0836153321838422</v>
      </c>
      <c r="Y27" s="630">
        <f t="shared" si="223"/>
        <v>-1.3133039609247459</v>
      </c>
      <c r="Z27" s="632">
        <f t="shared" si="6"/>
        <v>-0.9926262601368695</v>
      </c>
      <c r="AA27" s="629">
        <f t="shared" si="7"/>
        <v>6.5456327402064585E-2</v>
      </c>
      <c r="AB27" s="629">
        <f t="shared" si="8"/>
        <v>-0.1020224332670307</v>
      </c>
      <c r="AC27" s="636">
        <f t="shared" si="84"/>
        <v>1</v>
      </c>
      <c r="AD27" s="637">
        <f t="shared" si="115"/>
        <v>-0.9926262601368695</v>
      </c>
      <c r="AE27" s="629">
        <f t="shared" si="85"/>
        <v>6.5456327402064585E-2</v>
      </c>
      <c r="AF27" s="633">
        <f t="shared" si="86"/>
        <v>-0.1020224332670307</v>
      </c>
      <c r="AG27" s="602">
        <f t="shared" si="87"/>
        <v>32.683727198696104</v>
      </c>
      <c r="AH27" s="603">
        <f t="shared" si="88"/>
        <v>173.03776365040329</v>
      </c>
      <c r="AI27" s="585">
        <f t="shared" si="89"/>
        <v>-84.1443568875046</v>
      </c>
      <c r="AJ27" s="586">
        <f t="shared" si="90"/>
        <v>-93.772768790784099</v>
      </c>
      <c r="AK27" s="635">
        <f t="shared" si="211"/>
        <v>0.90111786311165054</v>
      </c>
      <c r="AL27" s="629">
        <f t="shared" si="91"/>
        <v>-0.42140007106236593</v>
      </c>
      <c r="AM27" s="634">
        <f t="shared" si="92"/>
        <v>-0.1020224332670307</v>
      </c>
      <c r="AN27" s="581">
        <f t="shared" si="93"/>
        <v>-76.390363382905377</v>
      </c>
      <c r="AO27" s="582">
        <f t="shared" si="94"/>
        <v>25.694603384859366</v>
      </c>
      <c r="AP27" s="585">
        <f t="shared" si="95"/>
        <v>-25.062739728108074</v>
      </c>
      <c r="AQ27" s="586">
        <f t="shared" si="9"/>
        <v>0.44843677833678652</v>
      </c>
      <c r="AS27" s="52">
        <f t="shared" si="116"/>
        <v>-158.6200290756704</v>
      </c>
      <c r="AT27" s="72">
        <f t="shared" si="10"/>
        <v>-1.2030886629645541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3.1240000000000001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1913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1.8713099264765856</v>
      </c>
      <c r="C28" s="708">
        <v>-4.8571911841176476</v>
      </c>
      <c r="D28" s="709">
        <v>-2.2397</v>
      </c>
      <c r="E28" s="710">
        <v>0.98787864437908146</v>
      </c>
      <c r="F28" s="708">
        <v>-0.15522816748177015</v>
      </c>
      <c r="G28" s="711">
        <v>0</v>
      </c>
      <c r="H28" s="710">
        <v>0.3765</v>
      </c>
      <c r="I28" s="708">
        <v>0.52</v>
      </c>
      <c r="J28" s="570">
        <v>3.129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1913</v>
      </c>
      <c r="L28" s="320"/>
      <c r="M28" s="168">
        <f t="shared" si="1"/>
        <v>3.129</v>
      </c>
      <c r="N28" s="632">
        <f t="shared" si="2"/>
        <v>1.8713099264765856</v>
      </c>
      <c r="O28" s="629">
        <f t="shared" si="3"/>
        <v>-4.8571911841176476</v>
      </c>
      <c r="P28" s="633">
        <f t="shared" si="4"/>
        <v>-2.2397</v>
      </c>
      <c r="Q28" s="585">
        <f t="shared" si="113"/>
        <v>291.06997054604847</v>
      </c>
      <c r="R28" s="629">
        <f t="shared" si="79"/>
        <v>5.2052000000000005</v>
      </c>
      <c r="S28" s="634">
        <f t="shared" si="80"/>
        <v>-2.2397</v>
      </c>
      <c r="T28" s="635">
        <f t="shared" si="81"/>
        <v>-4.8542457466755717</v>
      </c>
      <c r="U28" s="629">
        <f t="shared" si="82"/>
        <v>-1.8789372716730399</v>
      </c>
      <c r="V28" s="636">
        <f t="shared" si="114"/>
        <v>-2.2397</v>
      </c>
      <c r="W28" s="585">
        <f t="shared" si="224"/>
        <v>201.15997053305409</v>
      </c>
      <c r="X28" s="629">
        <f t="shared" si="83"/>
        <v>5.2052000000000005</v>
      </c>
      <c r="Y28" s="630">
        <f t="shared" si="223"/>
        <v>-2.2397</v>
      </c>
      <c r="Z28" s="632">
        <f t="shared" si="6"/>
        <v>-0.98787864437908146</v>
      </c>
      <c r="AA28" s="629">
        <f t="shared" si="7"/>
        <v>0.15522816748177015</v>
      </c>
      <c r="AB28" s="629">
        <f t="shared" si="8"/>
        <v>0</v>
      </c>
      <c r="AC28" s="636">
        <f t="shared" si="84"/>
        <v>1</v>
      </c>
      <c r="AD28" s="637">
        <f t="shared" si="115"/>
        <v>-0.98787864437908146</v>
      </c>
      <c r="AE28" s="629">
        <f t="shared" si="85"/>
        <v>0.15522816748177015</v>
      </c>
      <c r="AF28" s="633">
        <f t="shared" si="86"/>
        <v>0</v>
      </c>
      <c r="AG28" s="602">
        <f t="shared" si="87"/>
        <v>90</v>
      </c>
      <c r="AH28" s="603">
        <f t="shared" si="88"/>
        <v>171.06997054604849</v>
      </c>
      <c r="AI28" s="585">
        <f t="shared" si="89"/>
        <v>-90</v>
      </c>
      <c r="AJ28" s="586">
        <f t="shared" si="90"/>
        <v>-98.930029453951548</v>
      </c>
      <c r="AK28" s="635">
        <f t="shared" si="211"/>
        <v>0.86602540378443871</v>
      </c>
      <c r="AL28" s="629">
        <f t="shared" si="91"/>
        <v>-0.5</v>
      </c>
      <c r="AM28" s="634">
        <f t="shared" si="92"/>
        <v>0</v>
      </c>
      <c r="AN28" s="581">
        <f t="shared" si="93"/>
        <v>-90</v>
      </c>
      <c r="AO28" s="582">
        <f t="shared" si="94"/>
        <v>29.999999999999993</v>
      </c>
      <c r="AP28" s="585">
        <f t="shared" si="95"/>
        <v>-29.999999999999996</v>
      </c>
      <c r="AQ28" s="586">
        <f t="shared" si="9"/>
        <v>0.43796246658282673</v>
      </c>
      <c r="AS28" s="52">
        <f t="shared" si="116"/>
        <v>-158.84002946694591</v>
      </c>
      <c r="AT28" s="72">
        <f t="shared" si="10"/>
        <v>-2.1293319239903115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1913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-0.44461639232506422</v>
      </c>
      <c r="C29" s="708">
        <v>-0.54905511974256072</v>
      </c>
      <c r="D29" s="709">
        <v>-0.6545019739779534</v>
      </c>
      <c r="E29" s="710">
        <v>0.79282162582830429</v>
      </c>
      <c r="F29" s="708">
        <v>-0.55581821307553025</v>
      </c>
      <c r="G29" s="711">
        <v>0.24999996726497559</v>
      </c>
      <c r="H29" s="710">
        <v>0.3765</v>
      </c>
      <c r="I29" s="708">
        <v>0.52</v>
      </c>
      <c r="J29" s="570">
        <v>4.1020000000000003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1913</v>
      </c>
      <c r="L29" s="86"/>
      <c r="M29" s="168">
        <f t="shared" si="1"/>
        <v>4.1020000000000003</v>
      </c>
      <c r="N29" s="632">
        <f t="shared" si="2"/>
        <v>-0.44461639232506422</v>
      </c>
      <c r="O29" s="629">
        <f t="shared" si="3"/>
        <v>-0.54905511974256072</v>
      </c>
      <c r="P29" s="633">
        <f t="shared" si="4"/>
        <v>-0.6545019739779534</v>
      </c>
      <c r="Q29" s="585">
        <f t="shared" si="113"/>
        <v>230.99997964212176</v>
      </c>
      <c r="R29" s="629">
        <f>IF(M29="","",SQRT(N29^2+O29^2))</f>
        <v>0.70650213081042657</v>
      </c>
      <c r="S29" s="634">
        <f>IF(M29="","",P29)</f>
        <v>-0.6545019739779534</v>
      </c>
      <c r="T29" s="635">
        <f>IF(M29="","",X29*COS(RADIANS(W29)))</f>
        <v>-0.54975284378114642</v>
      </c>
      <c r="U29" s="629">
        <f>IF(M29="","",X29*SIN(RADIANS(W29)))</f>
        <v>0.44375339051574064</v>
      </c>
      <c r="V29" s="636">
        <f>IF(M29="","",Y29)</f>
        <v>-0.6545019739779534</v>
      </c>
      <c r="W29" s="585">
        <f t="shared" si="224"/>
        <v>141.08997962912736</v>
      </c>
      <c r="X29" s="629">
        <f>IF(M29="","",R29)</f>
        <v>0.70650213081042657</v>
      </c>
      <c r="Y29" s="630">
        <f t="shared" si="223"/>
        <v>-0.6545019739779534</v>
      </c>
      <c r="Z29" s="632">
        <f t="shared" si="6"/>
        <v>-0.79282162582830429</v>
      </c>
      <c r="AA29" s="629">
        <f t="shared" si="7"/>
        <v>0.55581821307553025</v>
      </c>
      <c r="AB29" s="629">
        <f t="shared" si="8"/>
        <v>-0.24999996726497559</v>
      </c>
      <c r="AC29" s="636">
        <f>IF(M29="","",SQRT(Z29^2+AA29^2+AB29^2))</f>
        <v>1</v>
      </c>
      <c r="AD29" s="637">
        <f>IF(M29="","",Z29*(1/SQRT(Z29^2+AA29^2+AB29^2)))</f>
        <v>-0.79282162582830429</v>
      </c>
      <c r="AE29" s="629">
        <f>IF(M29="","",AA29*(1/SQRT(Z29^2+AA29^2+AB29^2)))</f>
        <v>0.55581821307553025</v>
      </c>
      <c r="AF29" s="633">
        <f>IF(M29="","",AB29*(1/SQRT(Z29^2+AA29^2+AB29^2)))</f>
        <v>-0.24999996726497559</v>
      </c>
      <c r="AG29" s="602">
        <f>IF(M29="","",DEGREES(ATAN2(-AF29,AE29)))</f>
        <v>65.782390573651384</v>
      </c>
      <c r="AH29" s="603">
        <f>IF(M29="","",DEGREES(ACOS(AD29)))</f>
        <v>142.44998421740311</v>
      </c>
      <c r="AI29" s="585">
        <f>IF(M29="","",DEGREES(-ACOS(-AF29)))</f>
        <v>-75.522489751159469</v>
      </c>
      <c r="AJ29" s="586">
        <f>IF(M29="","",DEGREES(ATAN2(-AE29,AD29)))</f>
        <v>-125.0328907127917</v>
      </c>
      <c r="AK29" s="635">
        <f>IF(M29="","",(COS(RADIANS((90-$Q$8)-W29))*AD29)+(-SIN(RADIANS((90-$Q$8)-W29))*AE29))</f>
        <v>0.9659258360722075</v>
      </c>
      <c r="AL29" s="629">
        <f>IF(M29="","",(SIN(RADIANS((90-$Q$8)-W29))*AD29)+(COS(RADIANS((90-$Q$8)-W29))*AE29))</f>
        <v>6.6987279208207295E-2</v>
      </c>
      <c r="AM29" s="634">
        <f>IF(M29="","",AF29)</f>
        <v>-0.24999996726497559</v>
      </c>
      <c r="AN29" s="581">
        <f>IF(M29="","",DEGREES(ATAN2(-AM29,AL29)))</f>
        <v>14.999997834268294</v>
      </c>
      <c r="AO29" s="582">
        <f t="shared" si="94"/>
        <v>14.99999783426823</v>
      </c>
      <c r="AP29" s="585">
        <f>IF(M29="","",DEGREES(ATAN2(AK29,AL29)))</f>
        <v>3.9671296450865765</v>
      </c>
      <c r="AQ29" s="586">
        <f t="shared" si="9"/>
        <v>3.2233745648760381</v>
      </c>
      <c r="AS29" s="52">
        <f t="shared" si="116"/>
        <v>-218.91002037087264</v>
      </c>
      <c r="AT29" s="72">
        <f t="shared" si="10"/>
        <v>-0.50241862650720459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4.1020000000000003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1913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-1.0065385108063807</v>
      </c>
      <c r="C30" s="708">
        <v>-1.2429706419196764</v>
      </c>
      <c r="D30" s="709">
        <v>-0.41530125254857758</v>
      </c>
      <c r="E30" s="710">
        <v>0.79282162417232505</v>
      </c>
      <c r="F30" s="708">
        <v>-0.55581819957493794</v>
      </c>
      <c r="G30" s="711">
        <v>0.25000000253206273</v>
      </c>
      <c r="H30" s="710">
        <v>0.3765</v>
      </c>
      <c r="I30" s="708">
        <v>0.52</v>
      </c>
      <c r="J30" s="570">
        <v>4.1050000000000004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1913</v>
      </c>
      <c r="L30" s="86"/>
      <c r="M30" s="168">
        <f t="shared" si="1"/>
        <v>4.1050000000000004</v>
      </c>
      <c r="N30" s="632">
        <f t="shared" si="2"/>
        <v>-1.0065385108063807</v>
      </c>
      <c r="O30" s="629">
        <f t="shared" si="3"/>
        <v>-1.2429706419196764</v>
      </c>
      <c r="P30" s="633">
        <f t="shared" si="4"/>
        <v>-0.41530125254857758</v>
      </c>
      <c r="Q30" s="585">
        <f t="shared" si="113"/>
        <v>230.99997964212173</v>
      </c>
      <c r="R30" s="629">
        <f>IF(M30="","",SQRT(N30^2+O30^2))</f>
        <v>1.5994048238049487</v>
      </c>
      <c r="S30" s="634">
        <f>IF(M30="","",P30)</f>
        <v>-0.41530125254857758</v>
      </c>
      <c r="T30" s="635">
        <f>IF(M30="","",X30*COS(RADIANS(W30)))</f>
        <v>-1.2445501745839571</v>
      </c>
      <c r="U30" s="629">
        <f>IF(M30="","",X30*SIN(RADIANS(W30)))</f>
        <v>1.0045848164060518</v>
      </c>
      <c r="V30" s="636">
        <f>IF(M30="","",Y30)</f>
        <v>-0.41530125254857758</v>
      </c>
      <c r="W30" s="585">
        <f t="shared" si="224"/>
        <v>141.08997962912736</v>
      </c>
      <c r="X30" s="629">
        <f>IF(M30="","",R30)</f>
        <v>1.5994048238049487</v>
      </c>
      <c r="Y30" s="630">
        <f t="shared" si="223"/>
        <v>-0.41530125254857758</v>
      </c>
      <c r="Z30" s="632">
        <f t="shared" si="6"/>
        <v>-0.79282162417232505</v>
      </c>
      <c r="AA30" s="629">
        <f t="shared" si="7"/>
        <v>0.55581819957493794</v>
      </c>
      <c r="AB30" s="629">
        <f t="shared" si="8"/>
        <v>-0.25000000253206273</v>
      </c>
      <c r="AC30" s="636">
        <f>IF(M30="","",SQRT(Z30^2+AA30^2+AB30^2))</f>
        <v>1</v>
      </c>
      <c r="AD30" s="637">
        <f>IF(M30="","",Z30*(1/SQRT(Z30^2+AA30^2+AB30^2)))</f>
        <v>-0.79282162417232505</v>
      </c>
      <c r="AE30" s="629">
        <f>IF(M30="","",AA30*(1/SQRT(Z30^2+AA30^2+AB30^2)))</f>
        <v>0.55581819957493794</v>
      </c>
      <c r="AF30" s="633">
        <f>IF(M30="","",AB30*(1/SQRT(Z30^2+AA30^2+AB30^2)))</f>
        <v>-0.25000000253206273</v>
      </c>
      <c r="AG30" s="602">
        <f>IF(M30="","",DEGREES(ATAN2(-AF30,AE30)))</f>
        <v>65.782387029282361</v>
      </c>
      <c r="AH30" s="603">
        <f>IF(M30="","",DEGREES(ACOS(AD30)))</f>
        <v>142.44998406172169</v>
      </c>
      <c r="AI30" s="585">
        <f>IF(M30="","",DEGREES(-ACOS(-AF30)))</f>
        <v>-75.522487664235697</v>
      </c>
      <c r="AJ30" s="586">
        <f>IF(M30="","",DEGREES(ATAN2(-AE30,AD30)))</f>
        <v>-125.03289011489035</v>
      </c>
      <c r="AK30" s="635">
        <f>IF(M30="","",(COS(RADIANS((90-$Q$8)-W30))*AD30)+(-SIN(RADIANS((90-$Q$8)-W30))*AE30))</f>
        <v>0.96592582628906853</v>
      </c>
      <c r="AL30" s="629">
        <f>IF(M30="","",(SIN(RADIANS((90-$Q$8)-W30))*AD30)+(COS(RADIANS((90-$Q$8)-W30))*AE30))</f>
        <v>6.6987288657993083E-2</v>
      </c>
      <c r="AM30" s="634">
        <f>IF(M30="","",AF30)</f>
        <v>-0.25000000253206273</v>
      </c>
      <c r="AN30" s="581">
        <f>IF(M30="","",DEGREES(ATAN2(-AM30,AL30)))</f>
        <v>14.999997834268227</v>
      </c>
      <c r="AO30" s="582">
        <f>IF(ROUND(IF(M30="",0,DEGREES(ACOS(AK30))),4)=90,0,IF(M30="","",DEGREES(ACOS(AK30))))</f>
        <v>14.999999999999945</v>
      </c>
      <c r="AP30" s="585">
        <f>IF(M30="","",DEGREES(ATAN2(AK30,AL30)))</f>
        <v>3.9671302429879298</v>
      </c>
      <c r="AQ30" s="586">
        <f t="shared" si="9"/>
        <v>1.4250654264591822</v>
      </c>
      <c r="AS30" s="52">
        <f t="shared" si="116"/>
        <v>-218.91002037087264</v>
      </c>
      <c r="AT30" s="72">
        <f t="shared" si="10"/>
        <v>-0.26321790507782877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4.1050000000000004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1913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-1.5110034790834814</v>
      </c>
      <c r="C31" s="708">
        <v>-1.8659325442348029</v>
      </c>
      <c r="D31" s="709">
        <v>-0.20050060470982384</v>
      </c>
      <c r="E31" s="710">
        <v>0.78591885598215383</v>
      </c>
      <c r="F31" s="708">
        <v>-0.56434240219236786</v>
      </c>
      <c r="G31" s="711">
        <v>0.25268400206473407</v>
      </c>
      <c r="H31" s="710">
        <v>0.3765</v>
      </c>
      <c r="I31" s="708">
        <v>0.52</v>
      </c>
      <c r="J31" s="570">
        <v>4.1079999999999997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1913</v>
      </c>
      <c r="L31" s="320"/>
      <c r="M31" s="168">
        <f t="shared" si="1"/>
        <v>4.1079999999999997</v>
      </c>
      <c r="N31" s="632">
        <f t="shared" si="2"/>
        <v>-1.5110034790834814</v>
      </c>
      <c r="O31" s="629">
        <f t="shared" si="3"/>
        <v>-1.8659325442348029</v>
      </c>
      <c r="P31" s="633">
        <f t="shared" si="4"/>
        <v>-0.20050060470982384</v>
      </c>
      <c r="Q31" s="585">
        <f t="shared" si="113"/>
        <v>230.99997964212173</v>
      </c>
      <c r="R31" s="629">
        <f>IF(M31="","",SQRT(N31^2+O31^2))</f>
        <v>2.4010072414378407</v>
      </c>
      <c r="S31" s="634">
        <f>IF(M31="","",P31)</f>
        <v>-0.20050060470982384</v>
      </c>
      <c r="T31" s="635">
        <f>IF(M31="","",X31*COS(RADIANS(W31)))</f>
        <v>-1.8683037196299119</v>
      </c>
      <c r="U31" s="629">
        <f>IF(M31="","",X31*SIN(RADIANS(W31)))</f>
        <v>1.5080706166005571</v>
      </c>
      <c r="V31" s="636">
        <f>IF(M31="","",Y31)</f>
        <v>-0.20050060470982384</v>
      </c>
      <c r="W31" s="585">
        <f t="shared" si="224"/>
        <v>141.08997962912736</v>
      </c>
      <c r="X31" s="629">
        <f>IF(M31="","",R31)</f>
        <v>2.4010072414378407</v>
      </c>
      <c r="Y31" s="630">
        <f t="shared" si="223"/>
        <v>-0.20050060470982384</v>
      </c>
      <c r="Z31" s="632">
        <f t="shared" si="6"/>
        <v>-0.78591885598215383</v>
      </c>
      <c r="AA31" s="629">
        <f t="shared" si="7"/>
        <v>0.56434240219236786</v>
      </c>
      <c r="AB31" s="629">
        <f t="shared" si="8"/>
        <v>-0.25268400206473407</v>
      </c>
      <c r="AC31" s="636">
        <f>IF(M31="","",SQRT(Z31^2+AA31^2+AB31^2))</f>
        <v>1</v>
      </c>
      <c r="AD31" s="637">
        <f>IF(M31="","",Z31*(1/SQRT(Z31^2+AA31^2+AB31^2)))</f>
        <v>-0.78591885598215383</v>
      </c>
      <c r="AE31" s="629">
        <f>IF(M31="","",AA31*(1/SQRT(Z31^2+AA31^2+AB31^2)))</f>
        <v>0.56434240219236786</v>
      </c>
      <c r="AF31" s="633">
        <f>IF(M31="","",AB31*(1/SQRT(Z31^2+AA31^2+AB31^2)))</f>
        <v>-0.25268400206473407</v>
      </c>
      <c r="AG31" s="602">
        <f>IF(M31="","",DEGREES(ATAN2(-AF31,AE31)))</f>
        <v>65.879577231949582</v>
      </c>
      <c r="AH31" s="603">
        <f>IF(M31="","",DEGREES(ACOS(AD31)))</f>
        <v>141.80574124380487</v>
      </c>
      <c r="AI31" s="585">
        <f>IF(M31="","",DEGREES(-ACOS(-AF31)))</f>
        <v>-75.363605374418427</v>
      </c>
      <c r="AJ31" s="586">
        <f>IF(M31="","",DEGREES(ATAN2(-AE31,AD31)))</f>
        <v>-125.6808802886988</v>
      </c>
      <c r="AK31" s="635">
        <f>IF(M31="","",(COS(RADIANS((90-$Q$8)-W31))*AD31)+(-SIN(RADIANS((90-$Q$8)-W31))*AE31))</f>
        <v>0.96592582628906842</v>
      </c>
      <c r="AL31" s="629">
        <f>IF(M31="","",(SIN(RADIANS((90-$Q$8)-W31))*AD31)+(COS(RADIANS((90-$Q$8)-W31))*AE31))</f>
        <v>5.6018686242450877E-2</v>
      </c>
      <c r="AM31" s="634">
        <f>IF(M31="","",AF31)</f>
        <v>-0.25268400206473407</v>
      </c>
      <c r="AN31" s="581">
        <f>IF(M31="","",DEGREES(ATAN2(-AM31,AL31)))</f>
        <v>12.499998195223506</v>
      </c>
      <c r="AO31" s="582">
        <f t="shared" si="94"/>
        <v>14.99999999999997</v>
      </c>
      <c r="AP31" s="585">
        <f>IF(M31="","",DEGREES(ATAN2(AK31,AL31)))</f>
        <v>3.3191400691794635</v>
      </c>
      <c r="AQ31" s="586">
        <f t="shared" si="9"/>
        <v>0.94940070993898318</v>
      </c>
      <c r="AS31" s="52">
        <f t="shared" si="116"/>
        <v>-218.91002037087264</v>
      </c>
      <c r="AT31" s="72">
        <f t="shared" si="10"/>
        <v>-4.8417257239075029E-2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4.1079999999999997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1913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-2.2220087675762894</v>
      </c>
      <c r="C32" s="708">
        <v>-2.705115792107295</v>
      </c>
      <c r="D32" s="709">
        <v>-8.6400260583185881E-2</v>
      </c>
      <c r="E32" s="710">
        <v>0.68523453978792759</v>
      </c>
      <c r="F32" s="708">
        <v>-0.68426530802449403</v>
      </c>
      <c r="G32" s="711">
        <v>0.24946866279308816</v>
      </c>
      <c r="H32" s="710">
        <v>0.3765</v>
      </c>
      <c r="I32" s="708">
        <v>0.52</v>
      </c>
      <c r="J32" s="570">
        <v>4.1130000000000004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1913</v>
      </c>
      <c r="L32" s="320"/>
      <c r="M32" s="168">
        <f t="shared" si="1"/>
        <v>4.1130000000000004</v>
      </c>
      <c r="N32" s="632">
        <f t="shared" si="2"/>
        <v>-2.2220087675762894</v>
      </c>
      <c r="O32" s="629">
        <f t="shared" si="3"/>
        <v>-2.705115792107295</v>
      </c>
      <c r="P32" s="633">
        <f t="shared" si="4"/>
        <v>-8.6400260583185881E-2</v>
      </c>
      <c r="Q32" s="585">
        <f t="shared" si="113"/>
        <v>230.59997969987458</v>
      </c>
      <c r="R32" s="629">
        <f t="shared" si="79"/>
        <v>3.5007105581430435</v>
      </c>
      <c r="S32" s="634">
        <f t="shared" si="80"/>
        <v>-8.6400260583185881E-2</v>
      </c>
      <c r="T32" s="635">
        <f t="shared" si="81"/>
        <v>-2.7086027760770417</v>
      </c>
      <c r="U32" s="629">
        <f t="shared" si="82"/>
        <v>2.217756842695322</v>
      </c>
      <c r="V32" s="636">
        <f t="shared" si="114"/>
        <v>-8.6400260583185881E-2</v>
      </c>
      <c r="W32" s="585">
        <f t="shared" si="224"/>
        <v>140.68997968688018</v>
      </c>
      <c r="X32" s="629">
        <f t="shared" si="83"/>
        <v>3.5007105581430435</v>
      </c>
      <c r="Y32" s="630">
        <f t="shared" si="223"/>
        <v>-8.6400260583185881E-2</v>
      </c>
      <c r="Z32" s="632">
        <f t="shared" si="6"/>
        <v>-0.68523453978792759</v>
      </c>
      <c r="AA32" s="629">
        <f t="shared" si="7"/>
        <v>0.68426530802449403</v>
      </c>
      <c r="AB32" s="629">
        <f t="shared" si="8"/>
        <v>-0.24946866279308816</v>
      </c>
      <c r="AC32" s="636">
        <f t="shared" si="84"/>
        <v>1</v>
      </c>
      <c r="AD32" s="637">
        <f t="shared" si="115"/>
        <v>-0.68523453978792759</v>
      </c>
      <c r="AE32" s="629">
        <f t="shared" si="85"/>
        <v>0.68426530802449403</v>
      </c>
      <c r="AF32" s="633">
        <f t="shared" si="86"/>
        <v>-0.24946866279308816</v>
      </c>
      <c r="AG32" s="602">
        <f t="shared" si="87"/>
        <v>69.969213783920651</v>
      </c>
      <c r="AH32" s="603">
        <f t="shared" si="88"/>
        <v>133.25405516561651</v>
      </c>
      <c r="AI32" s="585">
        <f t="shared" si="89"/>
        <v>-75.553927375572044</v>
      </c>
      <c r="AJ32" s="586">
        <f t="shared" si="90"/>
        <v>-134.95945024730617</v>
      </c>
      <c r="AK32" s="635">
        <f t="shared" si="211"/>
        <v>0.96382783798218385</v>
      </c>
      <c r="AL32" s="629">
        <f t="shared" si="91"/>
        <v>-9.3815164098442705E-2</v>
      </c>
      <c r="AM32" s="634">
        <f t="shared" si="92"/>
        <v>-0.24946866279308816</v>
      </c>
      <c r="AN32" s="581">
        <f t="shared" si="93"/>
        <v>-20.609268214085393</v>
      </c>
      <c r="AO32" s="582">
        <f t="shared" si="94"/>
        <v>15.45762428966235</v>
      </c>
      <c r="AP32" s="585">
        <f t="shared" si="95"/>
        <v>-5.5594299471806989</v>
      </c>
      <c r="AQ32" s="586">
        <f t="shared" si="9"/>
        <v>0.65119021804967658</v>
      </c>
      <c r="AS32" s="52">
        <f t="shared" si="116"/>
        <v>-219.31002031311982</v>
      </c>
      <c r="AT32" s="72">
        <f t="shared" si="10"/>
        <v>6.596086462523458E-2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4.1130000000000004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1913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-2.82894669430044</v>
      </c>
      <c r="C33" s="708">
        <v>-3.3134395028394055</v>
      </c>
      <c r="D33" s="709">
        <v>-0.42600128481987487</v>
      </c>
      <c r="E33" s="710">
        <v>0.57435820873076626</v>
      </c>
      <c r="F33" s="708">
        <v>-0.80007750536291089</v>
      </c>
      <c r="G33" s="711">
        <v>0.17317226531938382</v>
      </c>
      <c r="H33" s="710">
        <v>0.3765</v>
      </c>
      <c r="I33" s="708">
        <v>0.52</v>
      </c>
      <c r="J33" s="570">
        <v>4.1180000000000003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1913</v>
      </c>
      <c r="L33" s="320"/>
      <c r="M33" s="168">
        <f t="shared" si="1"/>
        <v>4.1180000000000003</v>
      </c>
      <c r="N33" s="632">
        <f t="shared" si="2"/>
        <v>-2.82894669430044</v>
      </c>
      <c r="O33" s="629">
        <f t="shared" si="3"/>
        <v>-3.3134395028394055</v>
      </c>
      <c r="P33" s="633">
        <f t="shared" si="4"/>
        <v>-0.42600128481987487</v>
      </c>
      <c r="Q33" s="585">
        <f t="shared" si="113"/>
        <v>229.5099798572511</v>
      </c>
      <c r="R33" s="629">
        <f t="shared" si="79"/>
        <v>4.3568131401484314</v>
      </c>
      <c r="S33" s="634">
        <f t="shared" si="80"/>
        <v>-0.42600128481987487</v>
      </c>
      <c r="T33" s="635">
        <f t="shared" si="81"/>
        <v>-3.3178791116564086</v>
      </c>
      <c r="U33" s="629">
        <f t="shared" si="82"/>
        <v>2.8237384685207867</v>
      </c>
      <c r="V33" s="636">
        <f t="shared" si="114"/>
        <v>-0.42600128481987487</v>
      </c>
      <c r="W33" s="585">
        <f t="shared" si="224"/>
        <v>139.59997984425672</v>
      </c>
      <c r="X33" s="629">
        <f t="shared" si="83"/>
        <v>4.3568131401484314</v>
      </c>
      <c r="Y33" s="630">
        <f t="shared" si="223"/>
        <v>-0.42600128481987487</v>
      </c>
      <c r="Z33" s="632">
        <f t="shared" si="6"/>
        <v>-0.57435820873076626</v>
      </c>
      <c r="AA33" s="629">
        <f t="shared" si="7"/>
        <v>0.80007750536291089</v>
      </c>
      <c r="AB33" s="629">
        <f t="shared" si="8"/>
        <v>-0.17317226531938382</v>
      </c>
      <c r="AC33" s="636">
        <f t="shared" si="84"/>
        <v>1</v>
      </c>
      <c r="AD33" s="637">
        <f t="shared" si="115"/>
        <v>-0.57435820873076626</v>
      </c>
      <c r="AE33" s="629">
        <f t="shared" si="85"/>
        <v>0.80007750536291089</v>
      </c>
      <c r="AF33" s="633">
        <f t="shared" si="86"/>
        <v>-0.17317226531938382</v>
      </c>
      <c r="AG33" s="602">
        <f t="shared" si="87"/>
        <v>77.78704386893844</v>
      </c>
      <c r="AH33" s="603">
        <f t="shared" si="88"/>
        <v>125.05469954127274</v>
      </c>
      <c r="AI33" s="585">
        <f t="shared" si="89"/>
        <v>-80.027687239723733</v>
      </c>
      <c r="AJ33" s="586">
        <f t="shared" si="90"/>
        <v>-144.32625755223788</v>
      </c>
      <c r="AK33" s="635">
        <f t="shared" si="211"/>
        <v>0.95631317147267048</v>
      </c>
      <c r="AL33" s="629">
        <f t="shared" si="91"/>
        <v>-0.2355344658262053</v>
      </c>
      <c r="AM33" s="634">
        <f t="shared" si="92"/>
        <v>-0.17317226531938382</v>
      </c>
      <c r="AN33" s="581">
        <f t="shared" si="93"/>
        <v>-53.675517547088688</v>
      </c>
      <c r="AO33" s="582">
        <f t="shared" si="94"/>
        <v>16.99835074367147</v>
      </c>
      <c r="AP33" s="585">
        <f t="shared" si="95"/>
        <v>-13.836237409488975</v>
      </c>
      <c r="AQ33" s="586">
        <f t="shared" si="9"/>
        <v>0.52324099818019254</v>
      </c>
      <c r="AS33" s="52">
        <f t="shared" si="116"/>
        <v>-220.40002015574328</v>
      </c>
      <c r="AT33" s="72">
        <f t="shared" si="10"/>
        <v>-0.27288321527629922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4.1180000000000003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1913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-3.3167658935969757</v>
      </c>
      <c r="C34" s="708">
        <v>-3.7410179020725001</v>
      </c>
      <c r="D34" s="709">
        <v>-1.140003438250369</v>
      </c>
      <c r="E34" s="710">
        <v>0.41645003707752193</v>
      </c>
      <c r="F34" s="708">
        <v>-0.90056374500396785</v>
      </c>
      <c r="G34" s="711">
        <v>0.12471691065192003</v>
      </c>
      <c r="H34" s="710">
        <v>0.3765</v>
      </c>
      <c r="I34" s="708">
        <v>0.52</v>
      </c>
      <c r="J34" s="570">
        <v>4.1230000000000002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1913</v>
      </c>
      <c r="L34" s="320"/>
      <c r="M34" s="168">
        <f t="shared" si="1"/>
        <v>4.1230000000000002</v>
      </c>
      <c r="N34" s="632">
        <f t="shared" si="2"/>
        <v>-3.3167658935969757</v>
      </c>
      <c r="O34" s="629">
        <f t="shared" si="3"/>
        <v>-3.7410179020725001</v>
      </c>
      <c r="P34" s="633">
        <f t="shared" si="4"/>
        <v>-1.140003438250369</v>
      </c>
      <c r="Q34" s="585">
        <f t="shared" si="113"/>
        <v>228.43998001173992</v>
      </c>
      <c r="R34" s="629">
        <f>IF(M34="","",SQRT(N34^2+O34^2))</f>
        <v>4.9996150788390779</v>
      </c>
      <c r="S34" s="634">
        <f>IF(M34="","",P34)</f>
        <v>-1.140003438250369</v>
      </c>
      <c r="T34" s="635">
        <f>IF(M34="","",X34*COS(RADIANS(W34)))</f>
        <v>-3.7462232475667028</v>
      </c>
      <c r="U34" s="629">
        <f>IF(M34="","",X34*SIN(RADIANS(W34)))</f>
        <v>3.310885427789048</v>
      </c>
      <c r="V34" s="636">
        <f>IF(M34="","",Y34)</f>
        <v>-1.140003438250369</v>
      </c>
      <c r="W34" s="585">
        <f t="shared" si="224"/>
        <v>138.52997999874555</v>
      </c>
      <c r="X34" s="629">
        <f>IF(M34="","",R34)</f>
        <v>4.9996150788390779</v>
      </c>
      <c r="Y34" s="630">
        <f t="shared" si="223"/>
        <v>-1.140003438250369</v>
      </c>
      <c r="Z34" s="632">
        <f t="shared" si="6"/>
        <v>-0.41645003707752193</v>
      </c>
      <c r="AA34" s="629">
        <f t="shared" si="7"/>
        <v>0.90056374500396785</v>
      </c>
      <c r="AB34" s="629">
        <f t="shared" si="8"/>
        <v>-0.12471691065192003</v>
      </c>
      <c r="AC34" s="636">
        <f>IF(M34="","",SQRT(Z34^2+AA34^2+AB34^2))</f>
        <v>1</v>
      </c>
      <c r="AD34" s="637">
        <f>IF(M34="","",Z34*(1/SQRT(Z34^2+AA34^2+AB34^2)))</f>
        <v>-0.41645003707752193</v>
      </c>
      <c r="AE34" s="629">
        <f>IF(M34="","",AA34*(1/SQRT(Z34^2+AA34^2+AB34^2)))</f>
        <v>0.90056374500396785</v>
      </c>
      <c r="AF34" s="633">
        <f>IF(M34="","",AB34*(1/SQRT(Z34^2+AA34^2+AB34^2)))</f>
        <v>-0.12471691065192003</v>
      </c>
      <c r="AG34" s="602">
        <f>IF(M34="","",DEGREES(ATAN2(-AF34,AE34)))</f>
        <v>82.115395626093303</v>
      </c>
      <c r="AH34" s="603">
        <f>IF(M34="","",DEGREES(ACOS(AD34)))</f>
        <v>114.61066546622655</v>
      </c>
      <c r="AI34" s="585">
        <f>IF(M34="","",DEGREES(-ACOS(-AF34)))</f>
        <v>-82.835591971760351</v>
      </c>
      <c r="AJ34" s="586">
        <f>IF(M34="","",DEGREES(ATAN2(-AE34,AD34)))</f>
        <v>-155.18263983539475</v>
      </c>
      <c r="AK34" s="635">
        <f>IF(M34="","",(COS(RADIANS((90-$Q$8)-W34))*AD34)+(-SIN(RADIANS((90-$Q$8)-W34))*AE34))</f>
        <v>0.90905121430272762</v>
      </c>
      <c r="AL34" s="629">
        <f>IF(M34="","",(SIN(RADIANS((90-$Q$8)-W34))*AD34)+(COS(RADIANS((90-$Q$8)-W34))*AE34))</f>
        <v>-0.39758217008836971</v>
      </c>
      <c r="AM34" s="634">
        <f>IF(M34="","",AF34)</f>
        <v>-0.12471691065192003</v>
      </c>
      <c r="AN34" s="581">
        <f>IF(M34="","",DEGREES(ATAN2(-AM34,AL34)))</f>
        <v>-72.58396446515458</v>
      </c>
      <c r="AO34" s="582">
        <f t="shared" si="94"/>
        <v>24.625436088856073</v>
      </c>
      <c r="AP34" s="585">
        <f>IF(M34="","",DEGREES(ATAN2(AK34,AL34)))</f>
        <v>-23.622619847134668</v>
      </c>
      <c r="AQ34" s="586">
        <f t="shared" si="9"/>
        <v>0.45597080347811947</v>
      </c>
      <c r="AS34" s="52">
        <f t="shared" si="116"/>
        <v>-221.47002000125445</v>
      </c>
      <c r="AT34" s="72">
        <f t="shared" si="10"/>
        <v>-0.98614231325852164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4.1230000000000002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1913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-3.4399923876075702</v>
      </c>
      <c r="C35" s="708">
        <v>-3.8420178777827103</v>
      </c>
      <c r="D35" s="709">
        <v>-2.0916000000000006</v>
      </c>
      <c r="E35" s="710">
        <v>0.30627237877218899</v>
      </c>
      <c r="F35" s="708">
        <v>-0.95193850706833061</v>
      </c>
      <c r="G35" s="711">
        <v>3.2107260460399883E-3</v>
      </c>
      <c r="H35" s="710">
        <v>0.3765</v>
      </c>
      <c r="I35" s="708">
        <v>0.52</v>
      </c>
      <c r="J35" s="570">
        <v>4.1280000000000001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1913</v>
      </c>
      <c r="L35" s="320"/>
      <c r="M35" s="168">
        <f t="shared" si="1"/>
        <v>4.1280000000000001</v>
      </c>
      <c r="N35" s="632">
        <f t="shared" si="2"/>
        <v>-3.4399923876075702</v>
      </c>
      <c r="O35" s="629">
        <f t="shared" si="3"/>
        <v>-3.8420178777827103</v>
      </c>
      <c r="P35" s="633">
        <f t="shared" si="4"/>
        <v>-2.0916000000000006</v>
      </c>
      <c r="Q35" s="585">
        <f t="shared" si="113"/>
        <v>228.15997964212173</v>
      </c>
      <c r="R35" s="629">
        <f>IF(M35="","",SQRT(N35^2+O35^2))</f>
        <v>5.1569999999999991</v>
      </c>
      <c r="S35" s="634">
        <f>IF(M35="","",P35)</f>
        <v>-2.0916000000000006</v>
      </c>
      <c r="T35" s="635">
        <f>IF(M35="","",X35*COS(RADIANS(W35)))</f>
        <v>-3.8474166622898558</v>
      </c>
      <c r="U35" s="629">
        <f>IF(M35="","",X35*SIN(RADIANS(W35)))</f>
        <v>3.4339531194724211</v>
      </c>
      <c r="V35" s="636">
        <f>IF(M35="","",Y35)</f>
        <v>-2.0916000000000006</v>
      </c>
      <c r="W35" s="585">
        <f t="shared" si="224"/>
        <v>138.24997962912732</v>
      </c>
      <c r="X35" s="629">
        <f>IF(M35="","",R35)</f>
        <v>5.1569999999999991</v>
      </c>
      <c r="Y35" s="630">
        <f t="shared" si="223"/>
        <v>-2.0916000000000006</v>
      </c>
      <c r="Z35" s="632">
        <f t="shared" si="6"/>
        <v>-0.30627237877218899</v>
      </c>
      <c r="AA35" s="629">
        <f t="shared" si="7"/>
        <v>0.95193850706833061</v>
      </c>
      <c r="AB35" s="629">
        <f t="shared" si="8"/>
        <v>-3.2107260460399883E-3</v>
      </c>
      <c r="AC35" s="636">
        <f>IF(M35="","",SQRT(Z35^2+AA35^2+AB35^2))</f>
        <v>1</v>
      </c>
      <c r="AD35" s="637">
        <f>IF(M35="","",Z35*(1/SQRT(Z35^2+AA35^2+AB35^2)))</f>
        <v>-0.30627237877218899</v>
      </c>
      <c r="AE35" s="629">
        <f>IF(M35="","",AA35*(1/SQRT(Z35^2+AA35^2+AB35^2)))</f>
        <v>0.95193850706833061</v>
      </c>
      <c r="AF35" s="633">
        <f>IF(M35="","",AB35*(1/SQRT(Z35^2+AA35^2+AB35^2)))</f>
        <v>-3.2107260460399883E-3</v>
      </c>
      <c r="AG35" s="602">
        <f>IF(M35="","",DEGREES(ATAN2(-AF35,AE35)))</f>
        <v>89.806751851437127</v>
      </c>
      <c r="AH35" s="603">
        <f>IF(M35="","",DEGREES(ACOS(AD35)))</f>
        <v>107.83472964246224</v>
      </c>
      <c r="AI35" s="585">
        <f>IF(M35="","",DEGREES(-ACOS(-AF35)))</f>
        <v>-89.816038632319277</v>
      </c>
      <c r="AJ35" s="586">
        <f>IF(M35="","",DEGREES(ATAN2(-AE35,AD35)))</f>
        <v>-162.16517534102678</v>
      </c>
      <c r="AK35" s="635">
        <f>IF(M35="","",(COS(RADIANS((90-$Q$8)-W35))*AD35)+(-SIN(RADIANS((90-$Q$8)-W35))*AE35))</f>
        <v>0.8631695118284588</v>
      </c>
      <c r="AL35" s="629">
        <f>IF(M35="","",(SIN(RADIANS((90-$Q$8)-W35))*AD35)+(COS(RADIANS((90-$Q$8)-W35))*AE35))</f>
        <v>-0.50490403552366003</v>
      </c>
      <c r="AM35" s="634">
        <f>IF(M35="","",AF35)</f>
        <v>-3.2107260460399883E-3</v>
      </c>
      <c r="AN35" s="581">
        <f>IF(M35="","",DEGREES(ATAN2(-AM35,AL35)))</f>
        <v>-89.635656364258011</v>
      </c>
      <c r="AO35" s="582">
        <f t="shared" si="94"/>
        <v>30.325659858580032</v>
      </c>
      <c r="AP35" s="585">
        <f>IF(M35="","",DEGREES(ATAN2(AK35,AL35)))</f>
        <v>-30.325154983148465</v>
      </c>
      <c r="AQ35" s="586">
        <f t="shared" si="9"/>
        <v>0.44205572953661204</v>
      </c>
      <c r="AS35" s="52">
        <f t="shared" si="116"/>
        <v>-221.75002037087268</v>
      </c>
      <c r="AT35" s="72">
        <f t="shared" si="10"/>
        <v>-1.9375444303070295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4.1280000000000001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1913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-3.4782314908111376</v>
      </c>
      <c r="C36" s="708">
        <v>-3.8724685584688383</v>
      </c>
      <c r="D36" s="709">
        <v>-3.0664999999999996</v>
      </c>
      <c r="E36" s="710">
        <v>0.31017836040593094</v>
      </c>
      <c r="F36" s="708">
        <v>-0.95067838133402849</v>
      </c>
      <c r="G36" s="711">
        <v>0</v>
      </c>
      <c r="H36" s="710">
        <v>0.3765</v>
      </c>
      <c r="I36" s="708">
        <v>0.52</v>
      </c>
      <c r="J36" s="570">
        <v>4.133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1913</v>
      </c>
      <c r="L36" s="320"/>
      <c r="M36" s="168">
        <f t="shared" si="1"/>
        <v>4.133</v>
      </c>
      <c r="N36" s="632">
        <f t="shared" si="2"/>
        <v>-3.4782314908111376</v>
      </c>
      <c r="O36" s="629">
        <f t="shared" si="3"/>
        <v>-3.8724685584688383</v>
      </c>
      <c r="P36" s="633">
        <f t="shared" si="4"/>
        <v>-3.0664999999999996</v>
      </c>
      <c r="Q36" s="585">
        <f t="shared" si="113"/>
        <v>228.06997964212172</v>
      </c>
      <c r="R36" s="629">
        <f>IF(M36="","",SQRT(N36^2+O36^2))</f>
        <v>5.2051999999999987</v>
      </c>
      <c r="S36" s="634">
        <f>IF(M36="","",P36)</f>
        <v>-3.0664999999999996</v>
      </c>
      <c r="T36" s="635">
        <f>IF(M36="","",X36*COS(RADIANS(W36)))</f>
        <v>-3.8779273712184623</v>
      </c>
      <c r="U36" s="629">
        <f>IF(M36="","",X36*SIN(RADIANS(W36)))</f>
        <v>3.4721443437096124</v>
      </c>
      <c r="V36" s="636">
        <f>IF(M36="","",Y36)</f>
        <v>-3.0664999999999996</v>
      </c>
      <c r="W36" s="585">
        <f t="shared" si="224"/>
        <v>138.15997962912735</v>
      </c>
      <c r="X36" s="629">
        <f>IF(M36="","",R36)</f>
        <v>5.2051999999999987</v>
      </c>
      <c r="Y36" s="630">
        <f t="shared" si="223"/>
        <v>-3.0664999999999996</v>
      </c>
      <c r="Z36" s="632">
        <f t="shared" si="6"/>
        <v>-0.31017836040593094</v>
      </c>
      <c r="AA36" s="629">
        <f t="shared" si="7"/>
        <v>0.95067838133402849</v>
      </c>
      <c r="AB36" s="629">
        <f t="shared" si="8"/>
        <v>0</v>
      </c>
      <c r="AC36" s="636">
        <f>IF(M36="","",SQRT(Z36^2+AA36^2+AB36^2))</f>
        <v>1</v>
      </c>
      <c r="AD36" s="637">
        <f>IF(M36="","",Z36*(1/SQRT(Z36^2+AA36^2+AB36^2)))</f>
        <v>-0.31017836040593094</v>
      </c>
      <c r="AE36" s="629">
        <f>IF(M36="","",AA36*(1/SQRT(Z36^2+AA36^2+AB36^2)))</f>
        <v>0.95067838133402849</v>
      </c>
      <c r="AF36" s="633">
        <f>IF(M36="","",AB36*(1/SQRT(Z36^2+AA36^2+AB36^2)))</f>
        <v>0</v>
      </c>
      <c r="AG36" s="602">
        <f>IF(M36="","",DEGREES(ATAN2(-AF36,AE36)))</f>
        <v>90</v>
      </c>
      <c r="AH36" s="603">
        <f>IF(M36="","",DEGREES(ACOS(AD36)))</f>
        <v>108.06997964212172</v>
      </c>
      <c r="AI36" s="585">
        <f>IF(M36="","",DEGREES(-ACOS(-AF36)))</f>
        <v>-90</v>
      </c>
      <c r="AJ36" s="586">
        <f>IF(M36="","",DEGREES(ATAN2(-AE36,AD36)))</f>
        <v>-161.93002035787825</v>
      </c>
      <c r="AK36" s="635">
        <f>IF(M36="","",(COS(RADIANS((90-$Q$8)-W36))*AD36)+(-SIN(RADIANS((90-$Q$8)-W36))*AE36))</f>
        <v>0.86602540378443871</v>
      </c>
      <c r="AL36" s="629">
        <f>IF(M36="","",(SIN(RADIANS((90-$Q$8)-W36))*AD36)+(COS(RADIANS((90-$Q$8)-W36))*AE36))</f>
        <v>-0.49999999999999989</v>
      </c>
      <c r="AM36" s="634">
        <f>IF(M36="","",AF36)</f>
        <v>0</v>
      </c>
      <c r="AN36" s="581">
        <f>IF(M36="","",DEGREES(ATAN2(-AM36,AL36)))</f>
        <v>-90</v>
      </c>
      <c r="AO36" s="582">
        <f t="shared" si="94"/>
        <v>29.999999999999993</v>
      </c>
      <c r="AP36" s="585">
        <f>IF(M36="","",DEGREES(ATAN2(AK36,AL36)))</f>
        <v>-29.999999999999996</v>
      </c>
      <c r="AQ36" s="586">
        <f t="shared" si="9"/>
        <v>0.43796246658282689</v>
      </c>
      <c r="AS36" s="52">
        <f t="shared" si="116"/>
        <v>-221.84002037087265</v>
      </c>
      <c r="AT36" s="72">
        <f t="shared" si="10"/>
        <v>-2.9123819303070286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4.133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1913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-3.0747471670762705</v>
      </c>
      <c r="C37" s="708">
        <v>1.2579128905100019</v>
      </c>
      <c r="D37" s="709">
        <v>-6.6900201771008541E-2</v>
      </c>
      <c r="E37" s="710">
        <v>-0.42284832070708428</v>
      </c>
      <c r="F37" s="708">
        <v>-0.86933347581026232</v>
      </c>
      <c r="G37" s="711">
        <v>0.25584879423371737</v>
      </c>
      <c r="H37" s="710">
        <v>0.3765</v>
      </c>
      <c r="I37" s="708">
        <v>0.52</v>
      </c>
      <c r="J37" s="570">
        <v>5.1120000000000001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1913</v>
      </c>
      <c r="L37" s="320"/>
      <c r="M37" s="168">
        <f t="shared" si="1"/>
        <v>5.1120000000000001</v>
      </c>
      <c r="N37" s="632">
        <f t="shared" si="2"/>
        <v>-3.0747471670762705</v>
      </c>
      <c r="O37" s="629">
        <f t="shared" si="3"/>
        <v>1.2579128905100019</v>
      </c>
      <c r="P37" s="633">
        <f t="shared" si="4"/>
        <v>-6.6900201771008541E-2</v>
      </c>
      <c r="Q37" s="585">
        <f t="shared" si="113"/>
        <v>157.74999021811166</v>
      </c>
      <c r="R37" s="629">
        <f t="shared" si="79"/>
        <v>3.3221100194838189</v>
      </c>
      <c r="S37" s="634">
        <f t="shared" si="80"/>
        <v>-6.6900201771008541E-2</v>
      </c>
      <c r="T37" s="635">
        <f t="shared" si="81"/>
        <v>1.2530815397505906</v>
      </c>
      <c r="U37" s="629">
        <f t="shared" si="82"/>
        <v>3.0767192976108606</v>
      </c>
      <c r="V37" s="636">
        <f t="shared" si="114"/>
        <v>-6.6900201771008541E-2</v>
      </c>
      <c r="W37" s="585">
        <f t="shared" si="224"/>
        <v>67.839990205117275</v>
      </c>
      <c r="X37" s="629">
        <f t="shared" si="83"/>
        <v>3.3221100194838189</v>
      </c>
      <c r="Y37" s="630">
        <f t="shared" si="223"/>
        <v>-6.6900201771008541E-2</v>
      </c>
      <c r="Z37" s="632">
        <f t="shared" si="6"/>
        <v>0.42284832070708428</v>
      </c>
      <c r="AA37" s="629">
        <f t="shared" si="7"/>
        <v>0.86933347581026232</v>
      </c>
      <c r="AB37" s="629">
        <f t="shared" si="8"/>
        <v>-0.25584879423371737</v>
      </c>
      <c r="AC37" s="636">
        <f t="shared" si="84"/>
        <v>1</v>
      </c>
      <c r="AD37" s="637">
        <f t="shared" si="115"/>
        <v>0.42284832070708428</v>
      </c>
      <c r="AE37" s="629">
        <f t="shared" si="85"/>
        <v>0.86933347581026232</v>
      </c>
      <c r="AF37" s="633">
        <f t="shared" si="86"/>
        <v>-0.25584879423371737</v>
      </c>
      <c r="AG37" s="602">
        <f t="shared" si="87"/>
        <v>73.60060421440258</v>
      </c>
      <c r="AH37" s="603">
        <f t="shared" si="88"/>
        <v>64.98545506464032</v>
      </c>
      <c r="AI37" s="585">
        <f t="shared" si="89"/>
        <v>-75.176113991815825</v>
      </c>
      <c r="AJ37" s="586">
        <f t="shared" si="90"/>
        <v>154.06147082380386</v>
      </c>
      <c r="AK37" s="635">
        <f t="shared" si="211"/>
        <v>0.96471428596398145</v>
      </c>
      <c r="AL37" s="629">
        <f t="shared" si="91"/>
        <v>-6.2191164534512455E-2</v>
      </c>
      <c r="AM37" s="634">
        <f t="shared" si="92"/>
        <v>-0.25584879423371737</v>
      </c>
      <c r="AN37" s="581">
        <f t="shared" si="93"/>
        <v>-13.662357648853263</v>
      </c>
      <c r="AO37" s="582">
        <f t="shared" si="94"/>
        <v>15.265901658363921</v>
      </c>
      <c r="AP37" s="585">
        <f t="shared" si="95"/>
        <v>-3.6885193943078058</v>
      </c>
      <c r="AQ37" s="586">
        <f t="shared" si="9"/>
        <v>0.68619570728161172</v>
      </c>
      <c r="AS37" s="52">
        <f t="shared" si="116"/>
        <v>-292.16000979488274</v>
      </c>
      <c r="AT37" s="72">
        <f t="shared" si="10"/>
        <v>0.1360511939108584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5.1120000000000001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1913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-3.8510328146308779</v>
      </c>
      <c r="C38" s="708">
        <v>1.6545350374924142</v>
      </c>
      <c r="D38" s="709">
        <v>-0.32330097507574057</v>
      </c>
      <c r="E38" s="710">
        <v>-0.57103284631497508</v>
      </c>
      <c r="F38" s="708">
        <v>-0.79756038299999854</v>
      </c>
      <c r="G38" s="711">
        <v>0.1944708818777606</v>
      </c>
      <c r="H38" s="710">
        <v>0.3765</v>
      </c>
      <c r="I38" s="708">
        <v>0.52</v>
      </c>
      <c r="J38" s="570">
        <v>5.117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1913</v>
      </c>
      <c r="L38" s="320"/>
      <c r="M38" s="168">
        <f t="shared" si="1"/>
        <v>5.117</v>
      </c>
      <c r="N38" s="632">
        <f t="shared" si="2"/>
        <v>-3.8510328146308779</v>
      </c>
      <c r="O38" s="629">
        <f t="shared" si="3"/>
        <v>1.6545350374924142</v>
      </c>
      <c r="P38" s="633">
        <f t="shared" si="4"/>
        <v>-0.32330097507574057</v>
      </c>
      <c r="Q38" s="585">
        <f t="shared" si="113"/>
        <v>156.74999036249378</v>
      </c>
      <c r="R38" s="629">
        <f t="shared" si="79"/>
        <v>4.1914126413005253</v>
      </c>
      <c r="S38" s="634">
        <f t="shared" si="80"/>
        <v>-0.32330097507574057</v>
      </c>
      <c r="T38" s="635">
        <f t="shared" si="81"/>
        <v>1.6484838114540714</v>
      </c>
      <c r="U38" s="629">
        <f t="shared" si="82"/>
        <v>3.8536269997273611</v>
      </c>
      <c r="V38" s="636">
        <f t="shared" si="114"/>
        <v>-0.32330097507574057</v>
      </c>
      <c r="W38" s="585">
        <f t="shared" si="224"/>
        <v>66.839990349499388</v>
      </c>
      <c r="X38" s="629">
        <f t="shared" si="83"/>
        <v>4.1914126413005253</v>
      </c>
      <c r="Y38" s="630">
        <f t="shared" si="223"/>
        <v>-0.32330097507574057</v>
      </c>
      <c r="Z38" s="632">
        <f t="shared" si="6"/>
        <v>0.57103284631497508</v>
      </c>
      <c r="AA38" s="629">
        <f t="shared" si="7"/>
        <v>0.79756038299999854</v>
      </c>
      <c r="AB38" s="629">
        <f t="shared" si="8"/>
        <v>-0.1944708818777606</v>
      </c>
      <c r="AC38" s="636">
        <f t="shared" si="84"/>
        <v>1</v>
      </c>
      <c r="AD38" s="637">
        <f t="shared" si="115"/>
        <v>0.57103284631497508</v>
      </c>
      <c r="AE38" s="629">
        <f t="shared" si="85"/>
        <v>0.79756038299999854</v>
      </c>
      <c r="AF38" s="633">
        <f t="shared" si="86"/>
        <v>-0.1944708818777606</v>
      </c>
      <c r="AG38" s="602">
        <f t="shared" si="87"/>
        <v>76.296838914086621</v>
      </c>
      <c r="AH38" s="603">
        <f t="shared" si="88"/>
        <v>55.177719285721523</v>
      </c>
      <c r="AI38" s="585">
        <f t="shared" si="89"/>
        <v>-78.786184351032531</v>
      </c>
      <c r="AJ38" s="586">
        <f t="shared" si="90"/>
        <v>144.39830474560122</v>
      </c>
      <c r="AK38" s="635">
        <f t="shared" si="211"/>
        <v>0.95820321263418839</v>
      </c>
      <c r="AL38" s="629">
        <f t="shared" si="91"/>
        <v>-0.2098277374400403</v>
      </c>
      <c r="AM38" s="634">
        <f t="shared" si="92"/>
        <v>-0.1944708818777606</v>
      </c>
      <c r="AN38" s="581">
        <f t="shared" si="93"/>
        <v>-47.175273857129646</v>
      </c>
      <c r="AO38" s="582">
        <f t="shared" si="94"/>
        <v>16.623921672922769</v>
      </c>
      <c r="AP38" s="585">
        <f t="shared" si="95"/>
        <v>-12.351685616892544</v>
      </c>
      <c r="AQ38" s="586">
        <f t="shared" si="9"/>
        <v>0.54388778943695737</v>
      </c>
      <c r="AS38" s="52">
        <f t="shared" si="116"/>
        <v>-293.16000965050063</v>
      </c>
      <c r="AT38" s="72">
        <f t="shared" si="10"/>
        <v>-0.11965513504969455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1913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-4.4629782923599244</v>
      </c>
      <c r="C39" s="708">
        <v>2.0226194884327557</v>
      </c>
      <c r="D39" s="709">
        <v>-0.97530294151367192</v>
      </c>
      <c r="E39" s="710">
        <v>-0.71695268543759427</v>
      </c>
      <c r="F39" s="708">
        <v>-0.68176811868238174</v>
      </c>
      <c r="G39" s="711">
        <v>0.14550284942951486</v>
      </c>
      <c r="H39" s="710">
        <v>0.3765</v>
      </c>
      <c r="I39" s="708">
        <v>0.52</v>
      </c>
      <c r="J39" s="570">
        <v>5.1219999999999999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1913</v>
      </c>
      <c r="L39" s="320"/>
      <c r="M39" s="168">
        <f t="shared" si="1"/>
        <v>5.1219999999999999</v>
      </c>
      <c r="N39" s="632">
        <f t="shared" si="2"/>
        <v>-4.4629782923599244</v>
      </c>
      <c r="O39" s="629">
        <f t="shared" si="3"/>
        <v>2.0226194884327557</v>
      </c>
      <c r="P39" s="633">
        <f t="shared" si="4"/>
        <v>-0.97530294151367192</v>
      </c>
      <c r="Q39" s="585">
        <f t="shared" si="113"/>
        <v>155.61999052564559</v>
      </c>
      <c r="R39" s="629">
        <f t="shared" si="79"/>
        <v>4.8999147781429722</v>
      </c>
      <c r="S39" s="634">
        <f t="shared" si="80"/>
        <v>-0.97530294151367192</v>
      </c>
      <c r="T39" s="635">
        <f t="shared" si="81"/>
        <v>2.0156065671141121</v>
      </c>
      <c r="U39" s="629">
        <f t="shared" si="82"/>
        <v>4.4661499078815474</v>
      </c>
      <c r="V39" s="636">
        <f t="shared" si="114"/>
        <v>-0.97530294151367192</v>
      </c>
      <c r="W39" s="585">
        <f t="shared" si="224"/>
        <v>65.709990512651203</v>
      </c>
      <c r="X39" s="629">
        <f t="shared" si="83"/>
        <v>4.8999147781429722</v>
      </c>
      <c r="Y39" s="630">
        <f t="shared" si="223"/>
        <v>-0.97530294151367192</v>
      </c>
      <c r="Z39" s="632">
        <f t="shared" si="6"/>
        <v>0.71695268543759427</v>
      </c>
      <c r="AA39" s="629">
        <f t="shared" si="7"/>
        <v>0.68176811868238174</v>
      </c>
      <c r="AB39" s="629">
        <f t="shared" si="8"/>
        <v>-0.14550284942951486</v>
      </c>
      <c r="AC39" s="636">
        <f t="shared" si="84"/>
        <v>1</v>
      </c>
      <c r="AD39" s="637">
        <f t="shared" si="115"/>
        <v>0.71695268543759427</v>
      </c>
      <c r="AE39" s="629">
        <f t="shared" si="85"/>
        <v>0.68176811868238174</v>
      </c>
      <c r="AF39" s="633">
        <f t="shared" si="86"/>
        <v>-0.14550284942951486</v>
      </c>
      <c r="AG39" s="602">
        <f t="shared" si="87"/>
        <v>77.952683696601056</v>
      </c>
      <c r="AH39" s="603">
        <f t="shared" si="88"/>
        <v>44.196541774072493</v>
      </c>
      <c r="AI39" s="585">
        <f t="shared" si="89"/>
        <v>-81.633600836885449</v>
      </c>
      <c r="AJ39" s="586">
        <f t="shared" si="90"/>
        <v>133.55903899343434</v>
      </c>
      <c r="AK39" s="635">
        <f t="shared" si="211"/>
        <v>0.91692182239454412</v>
      </c>
      <c r="AL39" s="629">
        <f t="shared" si="91"/>
        <v>-0.37159560334395836</v>
      </c>
      <c r="AM39" s="634">
        <f t="shared" si="92"/>
        <v>-0.14550284942951486</v>
      </c>
      <c r="AN39" s="581">
        <f t="shared" si="93"/>
        <v>-68.616559099175078</v>
      </c>
      <c r="AO39" s="582">
        <f t="shared" si="94"/>
        <v>23.519857350656899</v>
      </c>
      <c r="AP39" s="585">
        <f t="shared" si="95"/>
        <v>-22.060951532211238</v>
      </c>
      <c r="AQ39" s="586">
        <f t="shared" si="9"/>
        <v>0.46524819908541049</v>
      </c>
      <c r="AS39" s="52">
        <f t="shared" si="116"/>
        <v>-294.29000948734881</v>
      </c>
      <c r="AT39" s="72">
        <f t="shared" si="10"/>
        <v>-0.77087237937870356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5.1219999999999999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1913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-4.6798968061355879</v>
      </c>
      <c r="C40" s="708">
        <v>2.1663829033487878</v>
      </c>
      <c r="D40" s="709">
        <v>-1.9095</v>
      </c>
      <c r="E40" s="710">
        <v>-0.80229971172680081</v>
      </c>
      <c r="F40" s="708">
        <v>-0.59684359144489163</v>
      </c>
      <c r="G40" s="711">
        <v>-9.638460159994866E-3</v>
      </c>
      <c r="H40" s="710">
        <v>0.3765</v>
      </c>
      <c r="I40" s="708">
        <v>0.52</v>
      </c>
      <c r="J40" s="570">
        <v>5.1269999999999998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1913</v>
      </c>
      <c r="L40" s="320"/>
      <c r="M40" s="168">
        <f t="shared" si="1"/>
        <v>5.1269999999999998</v>
      </c>
      <c r="N40" s="632">
        <f t="shared" si="2"/>
        <v>-4.6798968061355879</v>
      </c>
      <c r="O40" s="629">
        <f t="shared" si="3"/>
        <v>2.1663829033487878</v>
      </c>
      <c r="P40" s="633">
        <f t="shared" si="4"/>
        <v>-1.9095</v>
      </c>
      <c r="Q40" s="585">
        <f t="shared" si="113"/>
        <v>155.15999018201614</v>
      </c>
      <c r="R40" s="629">
        <f t="shared" si="79"/>
        <v>5.157</v>
      </c>
      <c r="S40" s="634">
        <f t="shared" si="80"/>
        <v>-1.9095</v>
      </c>
      <c r="T40" s="635">
        <f t="shared" si="81"/>
        <v>2.1590290700538932</v>
      </c>
      <c r="U40" s="629">
        <f t="shared" si="82"/>
        <v>4.6832939769634603</v>
      </c>
      <c r="V40" s="636">
        <f t="shared" si="114"/>
        <v>-1.9095</v>
      </c>
      <c r="W40" s="585">
        <f t="shared" si="224"/>
        <v>65.249990169021757</v>
      </c>
      <c r="X40" s="629">
        <f t="shared" si="83"/>
        <v>5.157</v>
      </c>
      <c r="Y40" s="630">
        <f t="shared" si="223"/>
        <v>-1.9095</v>
      </c>
      <c r="Z40" s="632">
        <f t="shared" si="6"/>
        <v>0.80229971172680081</v>
      </c>
      <c r="AA40" s="629">
        <f t="shared" si="7"/>
        <v>0.59684359144489163</v>
      </c>
      <c r="AB40" s="629">
        <f t="shared" si="8"/>
        <v>9.638460159994866E-3</v>
      </c>
      <c r="AC40" s="636">
        <f t="shared" si="84"/>
        <v>1</v>
      </c>
      <c r="AD40" s="637">
        <f t="shared" si="115"/>
        <v>0.80229971172680081</v>
      </c>
      <c r="AE40" s="629">
        <f t="shared" si="85"/>
        <v>0.59684359144489163</v>
      </c>
      <c r="AF40" s="633">
        <f t="shared" si="86"/>
        <v>9.638460159994866E-3</v>
      </c>
      <c r="AG40" s="602">
        <f t="shared" si="87"/>
        <v>90.925192289472307</v>
      </c>
      <c r="AH40" s="603">
        <f t="shared" si="88"/>
        <v>36.649726776579946</v>
      </c>
      <c r="AI40" s="585">
        <f t="shared" si="89"/>
        <v>-90.552251639086094</v>
      </c>
      <c r="AJ40" s="586">
        <f t="shared" si="90"/>
        <v>126.64614930730232</v>
      </c>
      <c r="AK40" s="635">
        <f t="shared" si="211"/>
        <v>0.87866100372543043</v>
      </c>
      <c r="AL40" s="629">
        <f t="shared" si="91"/>
        <v>-0.47734886678189953</v>
      </c>
      <c r="AM40" s="634">
        <f t="shared" si="92"/>
        <v>9.638460159994866E-3</v>
      </c>
      <c r="AN40" s="581">
        <f t="shared" si="93"/>
        <v>-91.156739011296949</v>
      </c>
      <c r="AO40" s="582">
        <f t="shared" si="94"/>
        <v>28.518739444749844</v>
      </c>
      <c r="AP40" s="585">
        <f t="shared" si="95"/>
        <v>-28.513840874713839</v>
      </c>
      <c r="AQ40" s="586">
        <f t="shared" si="9"/>
        <v>0.44205572953661193</v>
      </c>
      <c r="AS40" s="52">
        <f t="shared" si="116"/>
        <v>-294.75000983097823</v>
      </c>
      <c r="AT40" s="72">
        <f t="shared" si="10"/>
        <v>-1.7047499931819556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5.1269999999999998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1913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-4.7201969737779352</v>
      </c>
      <c r="C41" s="708">
        <v>2.1940482147704969</v>
      </c>
      <c r="D41" s="709">
        <v>-2.8956999999999997</v>
      </c>
      <c r="E41" s="710">
        <v>-0.81845077576425784</v>
      </c>
      <c r="F41" s="708">
        <v>-0.57457665080551668</v>
      </c>
      <c r="G41" s="711">
        <v>0</v>
      </c>
      <c r="H41" s="710">
        <v>0.3765</v>
      </c>
      <c r="I41" s="708">
        <v>0.52</v>
      </c>
      <c r="J41" s="570">
        <v>5.1319999999999997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1913</v>
      </c>
      <c r="L41" s="320"/>
      <c r="M41" s="168">
        <f t="shared" ref="M41:M72" si="239">IF(J41="","",VALUE(J41))</f>
        <v>5.1319999999999997</v>
      </c>
      <c r="N41" s="632">
        <f t="shared" ref="N41:N72" si="240">IF(M41="","",B41)</f>
        <v>-4.7201969737779352</v>
      </c>
      <c r="O41" s="629">
        <f t="shared" ref="O41:O72" si="241">IF(M41="","",C41)</f>
        <v>2.1940482147704969</v>
      </c>
      <c r="P41" s="633">
        <f t="shared" ref="P41:P72" si="242">IF(M41="","",D41)</f>
        <v>-2.8956999999999997</v>
      </c>
      <c r="Q41" s="585">
        <f t="shared" si="113"/>
        <v>155.06999018201617</v>
      </c>
      <c r="R41" s="629">
        <f t="shared" si="79"/>
        <v>5.2051999999999987</v>
      </c>
      <c r="S41" s="634">
        <f t="shared" si="80"/>
        <v>-2.8956999999999997</v>
      </c>
      <c r="T41" s="635">
        <f t="shared" si="81"/>
        <v>2.1866310440247778</v>
      </c>
      <c r="U41" s="629">
        <f t="shared" si="82"/>
        <v>4.7236375514329101</v>
      </c>
      <c r="V41" s="636">
        <f t="shared" si="114"/>
        <v>-2.8956999999999997</v>
      </c>
      <c r="W41" s="585">
        <f t="shared" si="224"/>
        <v>65.159990169021782</v>
      </c>
      <c r="X41" s="629">
        <f t="shared" si="83"/>
        <v>5.2051999999999987</v>
      </c>
      <c r="Y41" s="630">
        <f t="shared" si="223"/>
        <v>-2.8956999999999997</v>
      </c>
      <c r="Z41" s="632">
        <f t="shared" ref="Z41:Z72" si="243">IF(M41="","",-E41)</f>
        <v>0.81845077576425784</v>
      </c>
      <c r="AA41" s="629">
        <f t="shared" ref="AA41:AA72" si="244">IF(M41="","",-F41)</f>
        <v>0.57457665080551668</v>
      </c>
      <c r="AB41" s="629">
        <f t="shared" ref="AB41:AB72" si="245">IF(M41="","",-G41)</f>
        <v>0</v>
      </c>
      <c r="AC41" s="636">
        <f t="shared" si="84"/>
        <v>1</v>
      </c>
      <c r="AD41" s="637">
        <f t="shared" si="115"/>
        <v>0.81845077576425784</v>
      </c>
      <c r="AE41" s="629">
        <f t="shared" si="85"/>
        <v>0.57457665080551668</v>
      </c>
      <c r="AF41" s="633">
        <f t="shared" si="86"/>
        <v>0</v>
      </c>
      <c r="AG41" s="602">
        <f t="shared" si="87"/>
        <v>90</v>
      </c>
      <c r="AH41" s="603">
        <f t="shared" si="88"/>
        <v>35.069990182016156</v>
      </c>
      <c r="AI41" s="585">
        <f t="shared" si="89"/>
        <v>-90</v>
      </c>
      <c r="AJ41" s="586">
        <f t="shared" si="90"/>
        <v>125.06999018201617</v>
      </c>
      <c r="AK41" s="635">
        <f t="shared" si="211"/>
        <v>0.8660254037844386</v>
      </c>
      <c r="AL41" s="629">
        <f t="shared" si="91"/>
        <v>-0.50000000000000011</v>
      </c>
      <c r="AM41" s="634">
        <f t="shared" si="92"/>
        <v>0</v>
      </c>
      <c r="AN41" s="581">
        <f t="shared" si="93"/>
        <v>-90</v>
      </c>
      <c r="AO41" s="582">
        <f t="shared" si="94"/>
        <v>30.000000000000004</v>
      </c>
      <c r="AP41" s="585">
        <f t="shared" si="95"/>
        <v>-30.000000000000011</v>
      </c>
      <c r="AQ41" s="586">
        <f t="shared" ref="AQ41:AQ72" si="246">IF(M41="","",DEGREES(ATAN(($AS$5*SIN(RADIANS(90)))/(($X41*2*PI())-($AS$5*COS(RADIANS(90)))))))</f>
        <v>0.43796246658282689</v>
      </c>
      <c r="AS41" s="52">
        <f t="shared" si="116"/>
        <v>-294.8400098309782</v>
      </c>
      <c r="AT41" s="72">
        <f t="shared" ref="AT41:AT72" si="247">IF(M41="","",Y41+(((AS41-$AS$9)*$AS$6)*-1))</f>
        <v>-2.6908874931819553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5.1319999999999997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1913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0.9659258360722075</v>
      </c>
      <c r="F155" s="170">
        <f t="shared" si="929"/>
        <v>6.6987279208207198E-2</v>
      </c>
      <c r="G155" s="170">
        <f t="shared" si="929"/>
        <v>-0.24999996726497573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0.96546711357076564</v>
      </c>
      <c r="F157" s="170">
        <f t="shared" si="929"/>
        <v>-2.213607039476196E-2</v>
      </c>
      <c r="G157" s="170">
        <f t="shared" si="929"/>
        <v>-0.25958283263885651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0.95661080083625394</v>
      </c>
      <c r="F158" s="170">
        <f t="shared" si="929"/>
        <v>-0.19857017362410689</v>
      </c>
      <c r="G158" s="170">
        <f t="shared" si="929"/>
        <v>-0.21322678506771406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0.91701090974718069</v>
      </c>
      <c r="F159" s="170">
        <f t="shared" si="929"/>
        <v>-0.3694145067123174</v>
      </c>
      <c r="G159" s="170">
        <f t="shared" si="929"/>
        <v>-0.15041247832258944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0.86343348849038726</v>
      </c>
      <c r="F160" s="170">
        <f t="shared" si="929"/>
        <v>-0.50095396259089331</v>
      </c>
      <c r="G160" s="170">
        <f t="shared" si="929"/>
        <v>-5.9394766754338336E-2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0.83933538908723349</v>
      </c>
      <c r="F161" s="170">
        <f t="shared" si="929"/>
        <v>-0.54361392975692746</v>
      </c>
      <c r="G161" s="170">
        <f t="shared" si="929"/>
        <v>-1.1339743351898601E-7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0.15385468159005244</v>
      </c>
      <c r="F162" s="170">
        <f t="shared" si="929"/>
        <v>-0.93122874827716906</v>
      </c>
      <c r="G162" s="170">
        <f t="shared" si="929"/>
        <v>-0.33036609289538277</v>
      </c>
      <c r="H162" s="139"/>
      <c r="I162" s="86"/>
      <c r="J162" s="79">
        <f t="shared" si="930"/>
        <v>2.1030000000000002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0.13420301969909798</v>
      </c>
      <c r="F163" s="170">
        <f t="shared" si="929"/>
        <v>-0.95890018556216505</v>
      </c>
      <c r="G163" s="170">
        <f t="shared" si="929"/>
        <v>-0.24999996726497561</v>
      </c>
      <c r="H163" s="139"/>
      <c r="I163" s="86"/>
      <c r="J163" s="79">
        <f t="shared" si="930"/>
        <v>2.1059999999999999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0.10331181102512518</v>
      </c>
      <c r="F164" s="170">
        <f t="shared" si="929"/>
        <v>-0.96106028786824194</v>
      </c>
      <c r="G164" s="170">
        <f t="shared" si="929"/>
        <v>-0.25630020051751989</v>
      </c>
      <c r="H164" s="139"/>
      <c r="I164" s="86"/>
      <c r="J164" s="79">
        <f t="shared" si="930"/>
        <v>2.11</v>
      </c>
    </row>
    <row r="165" spans="5:16" x14ac:dyDescent="0.25">
      <c r="E165" s="170">
        <f t="shared" si="929"/>
        <v>-9.9766438391786352E-2</v>
      </c>
      <c r="F165" s="170">
        <f t="shared" si="929"/>
        <v>-0.96853631942985874</v>
      </c>
      <c r="G165" s="170">
        <f t="shared" si="929"/>
        <v>-0.22800012218391594</v>
      </c>
      <c r="H165" s="139"/>
      <c r="I165" s="86"/>
      <c r="J165" s="79">
        <f t="shared" si="930"/>
        <v>2.1150000000000002</v>
      </c>
    </row>
    <row r="166" spans="5:16" x14ac:dyDescent="0.25">
      <c r="E166" s="170">
        <f t="shared" si="929"/>
        <v>-0.26729549170331474</v>
      </c>
      <c r="F166" s="170">
        <f t="shared" si="929"/>
        <v>-0.95042576317885219</v>
      </c>
      <c r="G166" s="170">
        <f t="shared" si="929"/>
        <v>-0.15888356995290484</v>
      </c>
      <c r="H166" s="139"/>
      <c r="I166" s="86"/>
      <c r="J166" s="79">
        <f t="shared" si="930"/>
        <v>2.12</v>
      </c>
    </row>
    <row r="167" spans="5:16" x14ac:dyDescent="0.25">
      <c r="E167" s="170">
        <f t="shared" si="929"/>
        <v>-0.42312451561446857</v>
      </c>
      <c r="F167" s="170">
        <f t="shared" si="929"/>
        <v>-0.9025416457793114</v>
      </c>
      <c r="G167" s="170">
        <f t="shared" si="929"/>
        <v>-7.9901326146650492E-2</v>
      </c>
      <c r="H167" s="139"/>
      <c r="I167" s="86"/>
      <c r="J167" s="79">
        <f t="shared" si="930"/>
        <v>2.125</v>
      </c>
    </row>
    <row r="168" spans="5:16" x14ac:dyDescent="0.25">
      <c r="E168" s="170">
        <f t="shared" si="929"/>
        <v>-0.48374124727893225</v>
      </c>
      <c r="F168" s="170">
        <f t="shared" si="929"/>
        <v>-0.87521106350469713</v>
      </c>
      <c r="G168" s="170">
        <f t="shared" si="929"/>
        <v>0</v>
      </c>
      <c r="H168" s="139"/>
      <c r="I168" s="86"/>
      <c r="J168" s="79">
        <f t="shared" si="930"/>
        <v>2.13</v>
      </c>
    </row>
    <row r="169" spans="5:16" x14ac:dyDescent="0.25">
      <c r="E169" s="170">
        <f t="shared" si="929"/>
        <v>-0.86413723799744857</v>
      </c>
      <c r="F169" s="170">
        <f t="shared" si="929"/>
        <v>-0.43393486578685347</v>
      </c>
      <c r="G169" s="170">
        <f t="shared" si="929"/>
        <v>-0.25488696742024014</v>
      </c>
      <c r="H169" s="139"/>
      <c r="I169" s="86"/>
      <c r="J169" s="79">
        <f t="shared" si="930"/>
        <v>3.109</v>
      </c>
    </row>
    <row r="170" spans="5:16" x14ac:dyDescent="0.25">
      <c r="E170" s="170">
        <f t="shared" si="929"/>
        <v>-0.93290479832840434</v>
      </c>
      <c r="F170" s="170">
        <f t="shared" si="929"/>
        <v>-0.26835534442544645</v>
      </c>
      <c r="G170" s="170">
        <f t="shared" si="929"/>
        <v>-0.24015421373388235</v>
      </c>
      <c r="H170" s="139"/>
      <c r="I170" s="86"/>
      <c r="J170" s="79">
        <f t="shared" si="930"/>
        <v>3.1139999999999999</v>
      </c>
    </row>
    <row r="171" spans="5:16" x14ac:dyDescent="0.25">
      <c r="E171" s="170">
        <f t="shared" si="929"/>
        <v>-0.97998993151979208</v>
      </c>
      <c r="F171" s="170">
        <f t="shared" si="929"/>
        <v>-0.11306625216999634</v>
      </c>
      <c r="G171" s="170">
        <f t="shared" si="929"/>
        <v>-0.16381622856134875</v>
      </c>
      <c r="H171" s="139"/>
      <c r="I171" s="86"/>
      <c r="J171" s="79">
        <f t="shared" si="930"/>
        <v>3.1190000000000002</v>
      </c>
    </row>
    <row r="172" spans="5:16" x14ac:dyDescent="0.25">
      <c r="E172" s="170">
        <f t="shared" si="929"/>
        <v>-0.9926262601368695</v>
      </c>
      <c r="F172" s="170">
        <f t="shared" si="929"/>
        <v>6.5456327402064585E-2</v>
      </c>
      <c r="G172" s="170">
        <f t="shared" si="929"/>
        <v>-0.1020224332670307</v>
      </c>
      <c r="H172" s="139"/>
      <c r="I172" s="86"/>
      <c r="J172" s="79">
        <f t="shared" si="930"/>
        <v>3.1240000000000001</v>
      </c>
    </row>
    <row r="173" spans="5:16" x14ac:dyDescent="0.25">
      <c r="E173" s="170">
        <f t="shared" si="929"/>
        <v>-0.98787864437908146</v>
      </c>
      <c r="F173" s="170">
        <f t="shared" si="929"/>
        <v>0.15522816748177015</v>
      </c>
      <c r="G173" s="170">
        <f t="shared" si="929"/>
        <v>0</v>
      </c>
      <c r="H173" s="139"/>
      <c r="I173" s="86"/>
      <c r="J173" s="79">
        <f t="shared" si="930"/>
        <v>3.129</v>
      </c>
    </row>
    <row r="174" spans="5:16" x14ac:dyDescent="0.25">
      <c r="E174" s="170">
        <f t="shared" ref="E174:G193" si="933">E29*-1</f>
        <v>-0.79282162582830429</v>
      </c>
      <c r="F174" s="170">
        <f t="shared" si="933"/>
        <v>0.55581821307553025</v>
      </c>
      <c r="G174" s="170">
        <f t="shared" si="933"/>
        <v>-0.24999996726497559</v>
      </c>
      <c r="H174" s="139"/>
      <c r="I174" s="86"/>
      <c r="J174" s="79">
        <f t="shared" si="930"/>
        <v>4.1020000000000003</v>
      </c>
    </row>
    <row r="175" spans="5:16" x14ac:dyDescent="0.25">
      <c r="E175" s="170">
        <f t="shared" si="933"/>
        <v>-0.79282162417232505</v>
      </c>
      <c r="F175" s="170">
        <f t="shared" si="933"/>
        <v>0.55581819957493794</v>
      </c>
      <c r="G175" s="170">
        <f t="shared" si="933"/>
        <v>-0.25000000253206273</v>
      </c>
      <c r="H175" s="139"/>
      <c r="I175" s="86"/>
      <c r="J175" s="79">
        <f t="shared" si="930"/>
        <v>4.1050000000000004</v>
      </c>
    </row>
    <row r="176" spans="5:16" x14ac:dyDescent="0.25">
      <c r="E176" s="170">
        <f t="shared" si="933"/>
        <v>-0.78591885598215383</v>
      </c>
      <c r="F176" s="170">
        <f t="shared" si="933"/>
        <v>0.56434240219236786</v>
      </c>
      <c r="G176" s="170">
        <f t="shared" si="933"/>
        <v>-0.25268400206473407</v>
      </c>
      <c r="H176" s="139"/>
      <c r="I176" s="86"/>
      <c r="J176" s="79">
        <f t="shared" si="930"/>
        <v>4.1079999999999997</v>
      </c>
    </row>
    <row r="177" spans="5:10" x14ac:dyDescent="0.25">
      <c r="E177" s="170">
        <f t="shared" si="933"/>
        <v>-0.68523453978792759</v>
      </c>
      <c r="F177" s="170">
        <f t="shared" si="933"/>
        <v>0.68426530802449403</v>
      </c>
      <c r="G177" s="170">
        <f t="shared" si="933"/>
        <v>-0.24946866279308816</v>
      </c>
      <c r="H177" s="139"/>
      <c r="I177" s="86"/>
      <c r="J177" s="79">
        <f t="shared" si="930"/>
        <v>4.1130000000000004</v>
      </c>
    </row>
    <row r="178" spans="5:10" x14ac:dyDescent="0.25">
      <c r="E178" s="170">
        <f t="shared" si="933"/>
        <v>-0.57435820873076626</v>
      </c>
      <c r="F178" s="170">
        <f t="shared" si="933"/>
        <v>0.80007750536291089</v>
      </c>
      <c r="G178" s="170">
        <f t="shared" si="933"/>
        <v>-0.17317226531938382</v>
      </c>
      <c r="H178" s="139"/>
      <c r="I178" s="86"/>
      <c r="J178" s="79">
        <f t="shared" si="930"/>
        <v>4.1180000000000003</v>
      </c>
    </row>
    <row r="179" spans="5:10" x14ac:dyDescent="0.25">
      <c r="E179" s="170">
        <f t="shared" si="933"/>
        <v>-0.41645003707752193</v>
      </c>
      <c r="F179" s="170">
        <f t="shared" si="933"/>
        <v>0.90056374500396785</v>
      </c>
      <c r="G179" s="170">
        <f t="shared" si="933"/>
        <v>-0.12471691065192003</v>
      </c>
      <c r="H179" s="139"/>
      <c r="I179" s="86"/>
      <c r="J179" s="79">
        <f t="shared" si="930"/>
        <v>4.1230000000000002</v>
      </c>
    </row>
    <row r="180" spans="5:10" x14ac:dyDescent="0.25">
      <c r="E180" s="170">
        <f t="shared" si="933"/>
        <v>-0.30627237877218899</v>
      </c>
      <c r="F180" s="170">
        <f t="shared" si="933"/>
        <v>0.95193850706833061</v>
      </c>
      <c r="G180" s="170">
        <f t="shared" si="933"/>
        <v>-3.2107260460399883E-3</v>
      </c>
      <c r="H180" s="139"/>
      <c r="I180" s="86"/>
      <c r="J180" s="79">
        <f t="shared" si="930"/>
        <v>4.1280000000000001</v>
      </c>
    </row>
    <row r="181" spans="5:10" x14ac:dyDescent="0.25">
      <c r="E181" s="170">
        <f t="shared" si="933"/>
        <v>-0.31017836040593094</v>
      </c>
      <c r="F181" s="170">
        <f t="shared" si="933"/>
        <v>0.95067838133402849</v>
      </c>
      <c r="G181" s="170">
        <f t="shared" si="933"/>
        <v>0</v>
      </c>
      <c r="H181" s="139"/>
      <c r="I181" s="86"/>
      <c r="J181" s="79">
        <f t="shared" si="930"/>
        <v>4.133</v>
      </c>
    </row>
    <row r="182" spans="5:10" x14ac:dyDescent="0.25">
      <c r="E182" s="170">
        <f t="shared" si="933"/>
        <v>0.42284832070708428</v>
      </c>
      <c r="F182" s="170">
        <f t="shared" si="933"/>
        <v>0.86933347581026232</v>
      </c>
      <c r="G182" s="170">
        <f t="shared" si="933"/>
        <v>-0.25584879423371737</v>
      </c>
      <c r="H182" s="139"/>
      <c r="I182" s="86"/>
      <c r="J182" s="79">
        <f t="shared" si="930"/>
        <v>5.1120000000000001</v>
      </c>
    </row>
    <row r="183" spans="5:10" x14ac:dyDescent="0.25">
      <c r="E183" s="170">
        <f t="shared" si="933"/>
        <v>0.57103284631497508</v>
      </c>
      <c r="F183" s="170">
        <f t="shared" si="933"/>
        <v>0.79756038299999854</v>
      </c>
      <c r="G183" s="170">
        <f t="shared" si="933"/>
        <v>-0.1944708818777606</v>
      </c>
      <c r="H183" s="139"/>
      <c r="I183" s="86"/>
      <c r="J183" s="79">
        <f t="shared" si="930"/>
        <v>5.117</v>
      </c>
    </row>
    <row r="184" spans="5:10" x14ac:dyDescent="0.25">
      <c r="E184" s="170">
        <f t="shared" si="933"/>
        <v>0.71695268543759427</v>
      </c>
      <c r="F184" s="170">
        <f t="shared" si="933"/>
        <v>0.68176811868238174</v>
      </c>
      <c r="G184" s="170">
        <f t="shared" si="933"/>
        <v>-0.14550284942951486</v>
      </c>
      <c r="H184" s="139"/>
      <c r="I184" s="86"/>
      <c r="J184" s="79">
        <f t="shared" si="930"/>
        <v>5.1219999999999999</v>
      </c>
    </row>
    <row r="185" spans="5:10" x14ac:dyDescent="0.25">
      <c r="E185" s="170">
        <f t="shared" si="933"/>
        <v>0.80229971172680081</v>
      </c>
      <c r="F185" s="170">
        <f t="shared" si="933"/>
        <v>0.59684359144489163</v>
      </c>
      <c r="G185" s="170">
        <f t="shared" si="933"/>
        <v>9.638460159994866E-3</v>
      </c>
      <c r="H185" s="139"/>
      <c r="I185" s="86"/>
      <c r="J185" s="79">
        <f t="shared" si="930"/>
        <v>5.1269999999999998</v>
      </c>
    </row>
    <row r="186" spans="5:10" x14ac:dyDescent="0.25">
      <c r="E186" s="170">
        <f t="shared" si="933"/>
        <v>0.81845077576425784</v>
      </c>
      <c r="F186" s="170">
        <f t="shared" si="933"/>
        <v>0.57457665080551668</v>
      </c>
      <c r="G186" s="170">
        <f t="shared" si="933"/>
        <v>0</v>
      </c>
      <c r="H186" s="139"/>
      <c r="I186" s="86"/>
      <c r="J186" s="79">
        <f t="shared" si="930"/>
        <v>5.1319999999999997</v>
      </c>
    </row>
    <row r="187" spans="5:10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11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1913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1913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1913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1913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1913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1913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1913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1913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2.1030000000000002</v>
      </c>
      <c r="N172" s="869">
        <f>Assy.Model!K17</f>
        <v>1913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2.1059999999999999</v>
      </c>
      <c r="N173" s="869">
        <f>Assy.Model!K18</f>
        <v>1913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</v>
      </c>
      <c r="N174" s="869">
        <f>Assy.Model!K19</f>
        <v>1913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2.1150000000000002</v>
      </c>
      <c r="N175" s="869">
        <f>Assy.Model!K20</f>
        <v>1913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</v>
      </c>
      <c r="N176" s="869">
        <f>Assy.Model!K21</f>
        <v>1913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2.125</v>
      </c>
      <c r="N177" s="869">
        <f>Assy.Model!K22</f>
        <v>1913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</v>
      </c>
      <c r="N178" s="869">
        <f>Assy.Model!K23</f>
        <v>1913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3.109</v>
      </c>
      <c r="N179" s="869">
        <f>Assy.Model!K24</f>
        <v>1913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3.1139999999999999</v>
      </c>
      <c r="N180" s="869">
        <f>Assy.Model!K25</f>
        <v>1913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3.1190000000000002</v>
      </c>
      <c r="N181" s="869">
        <f>Assy.Model!K26</f>
        <v>1913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3.1240000000000001</v>
      </c>
      <c r="N182" s="869">
        <f>Assy.Model!K27</f>
        <v>1913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3.129</v>
      </c>
      <c r="N183" s="869">
        <f>Assy.Model!K28</f>
        <v>1913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4.1020000000000003</v>
      </c>
      <c r="N184" s="869">
        <f>Assy.Model!K29</f>
        <v>1913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4.1050000000000004</v>
      </c>
      <c r="N185" s="869">
        <f>Assy.Model!K30</f>
        <v>1913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4.1079999999999997</v>
      </c>
      <c r="N186" s="869">
        <f>Assy.Model!K31</f>
        <v>1913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4.1130000000000004</v>
      </c>
      <c r="N187" s="869">
        <f>Assy.Model!K32</f>
        <v>1913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4.1180000000000003</v>
      </c>
      <c r="N188" s="869">
        <f>Assy.Model!K33</f>
        <v>1913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4.1230000000000002</v>
      </c>
      <c r="N189" s="869">
        <f>Assy.Model!K34</f>
        <v>1913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4.1280000000000001</v>
      </c>
      <c r="N190" s="869">
        <f>Assy.Model!K35</f>
        <v>1913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4.133</v>
      </c>
      <c r="N191" s="869">
        <f>Assy.Model!K36</f>
        <v>1913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5.1120000000000001</v>
      </c>
      <c r="N192" s="869">
        <f>Assy.Model!K37</f>
        <v>1913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5.117</v>
      </c>
      <c r="N193" s="869">
        <f>Assy.Model!K38</f>
        <v>1913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5.1219999999999999</v>
      </c>
      <c r="N194" s="869">
        <f>Assy.Model!K39</f>
        <v>1913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5.1269999999999998</v>
      </c>
      <c r="N195" s="869">
        <f>Assy.Model!K40</f>
        <v>1913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5.1319999999999997</v>
      </c>
      <c r="N196" s="869">
        <f>Assy.Model!K41</f>
        <v>1913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2023-03-30T19:39:10Z</dcterms:modified>
</cp:coreProperties>
</file>