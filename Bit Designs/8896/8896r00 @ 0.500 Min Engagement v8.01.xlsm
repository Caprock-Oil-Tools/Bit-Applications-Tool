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rtis.stephens\Documents\GitHub\Bit Applications Tool\Bit Designs\8896\"/>
    </mc:Choice>
  </mc:AlternateContent>
  <xr:revisionPtr revIDLastSave="0" documentId="8_{B5CCBB3D-1EBF-4541-A6D9-E441205EEC4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Z253" i="1"/>
  <c r="W253" i="1" s="1"/>
  <c r="H98" i="1" s="1"/>
  <c r="X253" i="1"/>
  <c r="I98" i="1" s="1"/>
  <c r="V253" i="1"/>
  <c r="G98" i="1" s="1"/>
  <c r="U253" i="1"/>
  <c r="F98" i="1" s="1"/>
  <c r="T253" i="1"/>
  <c r="E98" i="1" s="1"/>
  <c r="S253" i="1"/>
  <c r="R253" i="1"/>
  <c r="Q253" i="1"/>
  <c r="Z252" i="1"/>
  <c r="W252" i="1" s="1"/>
  <c r="H97" i="1" s="1"/>
  <c r="X252" i="1"/>
  <c r="I97" i="1" s="1"/>
  <c r="V252" i="1"/>
  <c r="G97" i="1" s="1"/>
  <c r="U252" i="1"/>
  <c r="F97" i="1" s="1"/>
  <c r="T252" i="1"/>
  <c r="E97" i="1" s="1"/>
  <c r="S252" i="1"/>
  <c r="R252" i="1"/>
  <c r="Q252" i="1"/>
  <c r="Z251" i="1"/>
  <c r="W251" i="1" s="1"/>
  <c r="H96" i="1" s="1"/>
  <c r="X251" i="1"/>
  <c r="I96" i="1" s="1"/>
  <c r="V251" i="1"/>
  <c r="G96" i="1" s="1"/>
  <c r="U251" i="1"/>
  <c r="F96" i="1" s="1"/>
  <c r="T251" i="1"/>
  <c r="E96" i="1" s="1"/>
  <c r="S251" i="1"/>
  <c r="R251" i="1"/>
  <c r="Q251" i="1"/>
  <c r="Z250" i="1"/>
  <c r="W250" i="1" s="1"/>
  <c r="H95" i="1" s="1"/>
  <c r="X250" i="1"/>
  <c r="I95" i="1" s="1"/>
  <c r="V250" i="1"/>
  <c r="G95" i="1" s="1"/>
  <c r="U250" i="1"/>
  <c r="F95" i="1" s="1"/>
  <c r="T250" i="1"/>
  <c r="E95" i="1" s="1"/>
  <c r="S250" i="1"/>
  <c r="R250" i="1"/>
  <c r="Q250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98" i="1"/>
  <c r="A98" i="1" s="1"/>
  <c r="D98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95" i="1"/>
  <c r="A95" i="1" s="1"/>
  <c r="B95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97" i="1"/>
  <c r="A97" i="1" s="1"/>
  <c r="B97" i="1" s="1"/>
  <c r="K126" i="1"/>
  <c r="A126" i="1" s="1"/>
  <c r="B126" i="1" s="1"/>
  <c r="K96" i="1"/>
  <c r="A96" i="1" s="1"/>
  <c r="D9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C95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D97" i="1"/>
  <c r="B138" i="1"/>
  <c r="C138" i="1"/>
  <c r="C124" i="1"/>
  <c r="D134" i="1"/>
  <c r="C142" i="1"/>
  <c r="B99" i="1"/>
  <c r="C99" i="1"/>
  <c r="C134" i="1"/>
  <c r="C121" i="1"/>
  <c r="D95" i="1"/>
  <c r="C110" i="1"/>
  <c r="C135" i="1"/>
  <c r="B135" i="1"/>
  <c r="C98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B98" i="1"/>
  <c r="C97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B96" i="1"/>
  <c r="C96" i="1"/>
  <c r="C112" i="1"/>
  <c r="D112" i="1"/>
  <c r="B111" i="1"/>
  <c r="M248" i="1" l="1"/>
  <c r="M247" i="1"/>
  <c r="M246" i="1"/>
  <c r="M243" i="1"/>
  <c r="M242" i="1"/>
  <c r="M241" i="1"/>
  <c r="M240" i="1"/>
  <c r="M245" i="1" s="1"/>
  <c r="M239" i="1"/>
  <c r="M244" i="1" s="1"/>
  <c r="M238" i="1"/>
  <c r="M230" i="1"/>
  <c r="M236" i="1" s="1"/>
  <c r="M229" i="1"/>
  <c r="M235" i="1" s="1"/>
  <c r="M228" i="1"/>
  <c r="M234" i="1" s="1"/>
  <c r="M227" i="1"/>
  <c r="M233" i="1" s="1"/>
  <c r="M226" i="1"/>
  <c r="M232" i="1" s="1"/>
  <c r="M225" i="1"/>
  <c r="M231" i="1" s="1"/>
  <c r="M224" i="1"/>
  <c r="M223" i="1"/>
  <c r="M222" i="1"/>
  <c r="M220" i="1"/>
  <c r="M215" i="1"/>
  <c r="M214" i="1"/>
  <c r="M219" i="1" s="1"/>
  <c r="M213" i="1"/>
  <c r="M218" i="1" s="1"/>
  <c r="M212" i="1"/>
  <c r="M217" i="1" s="1"/>
  <c r="M211" i="1"/>
  <c r="M216" i="1" s="1"/>
  <c r="M210" i="1"/>
  <c r="M202" i="1"/>
  <c r="M208" i="1" s="1"/>
  <c r="M201" i="1"/>
  <c r="M207" i="1" s="1"/>
  <c r="M200" i="1"/>
  <c r="M206" i="1" s="1"/>
  <c r="M199" i="1"/>
  <c r="M205" i="1" s="1"/>
  <c r="M198" i="1"/>
  <c r="M197" i="1"/>
  <c r="M203" i="1" s="1"/>
  <c r="M196" i="1"/>
  <c r="M195" i="1"/>
  <c r="M194" i="1"/>
  <c r="M186" i="1"/>
  <c r="M192" i="1" s="1"/>
  <c r="M185" i="1"/>
  <c r="M191" i="1" s="1"/>
  <c r="M184" i="1"/>
  <c r="M190" i="1" s="1"/>
  <c r="M183" i="1"/>
  <c r="M189" i="1" s="1"/>
  <c r="M182" i="1"/>
  <c r="M188" i="1" s="1"/>
  <c r="M181" i="1"/>
  <c r="M187" i="1" s="1"/>
  <c r="M180" i="1"/>
  <c r="M168" i="1"/>
  <c r="M174" i="1" s="1"/>
  <c r="M172" i="1"/>
  <c r="M178" i="1" s="1"/>
  <c r="M166" i="1"/>
  <c r="M165" i="1"/>
  <c r="M164" i="1"/>
  <c r="M171" i="1"/>
  <c r="M177" i="1" s="1"/>
  <c r="M170" i="1"/>
  <c r="M176" i="1" s="1"/>
  <c r="M169" i="1"/>
  <c r="M175" i="1" s="1"/>
  <c r="M167" i="1"/>
  <c r="M173" i="1" s="1"/>
  <c r="M204" i="1"/>
  <c r="P223" i="1"/>
  <c r="P222" i="1"/>
  <c r="P195" i="1"/>
  <c r="P165" i="1"/>
  <c r="P164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49" i="1" l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46" i="1" l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AJ164" i="1" s="1"/>
  <c r="AF164" i="1" s="1" a="1"/>
  <c r="AF164" i="1" s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94" i="1" l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Y36" i="1" l="1"/>
  <c r="V36" i="1" s="1"/>
  <c r="Y15" i="1"/>
  <c r="V15" i="1" s="1"/>
  <c r="G317" i="1"/>
  <c r="Y52" i="1"/>
  <c r="V52" i="1" s="1"/>
  <c r="DD40" i="1"/>
  <c r="DF37" i="1"/>
  <c r="GL43" i="1"/>
  <c r="HI51" i="1"/>
  <c r="BP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JD15" i="1" a="1"/>
  <c r="JD15" i="1" s="1"/>
  <c r="JD16" i="1" a="1"/>
  <c r="JD16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BP53" i="1" s="1"/>
  <c r="Z51" i="1"/>
  <c r="AA51" i="1"/>
  <c r="N51" i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BP52" i="1" s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BP61" i="1" s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BP55" i="1" s="1"/>
  <c r="N210" i="7"/>
  <c r="AV63" i="1"/>
  <c r="BP63" i="1" s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BP56" i="1" s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BP57" i="1" s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BP50" i="1" s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BP75" i="1" s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BF51" i="1"/>
  <c r="BI51" i="1" s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36" i="1" l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IS59" i="1" s="1"/>
  <c r="G356" i="1"/>
  <c r="Y22" i="1"/>
  <c r="IX22" i="1" s="1"/>
  <c r="G324" i="1"/>
  <c r="Y16" i="1"/>
  <c r="V16" i="1" s="1"/>
  <c r="G318" i="1"/>
  <c r="Y49" i="1"/>
  <c r="V49" i="1" s="1"/>
  <c r="G351" i="1"/>
  <c r="Y29" i="1"/>
  <c r="IS35" i="1" s="1"/>
  <c r="G331" i="1"/>
  <c r="Y21" i="1"/>
  <c r="IX21" i="1" s="1"/>
  <c r="G323" i="1"/>
  <c r="Y25" i="1"/>
  <c r="V25" i="1" s="1"/>
  <c r="G327" i="1"/>
  <c r="Y12" i="1"/>
  <c r="V12" i="1" s="1"/>
  <c r="G314" i="1"/>
  <c r="Y38" i="1"/>
  <c r="G340" i="1"/>
  <c r="Y46" i="1"/>
  <c r="IX46" i="1" s="1"/>
  <c r="G348" i="1"/>
  <c r="Y43" i="1"/>
  <c r="V43" i="1" s="1"/>
  <c r="G345" i="1"/>
  <c r="Y50" i="1"/>
  <c r="V50" i="1" s="1"/>
  <c r="G352" i="1"/>
  <c r="Y13" i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IS32" i="1" s="1"/>
  <c r="G328" i="1"/>
  <c r="Y18" i="1"/>
  <c r="V18" i="1" s="1"/>
  <c r="G320" i="1"/>
  <c r="Y40" i="1"/>
  <c r="V40" i="1" s="1"/>
  <c r="G342" i="1"/>
  <c r="Y32" i="1"/>
  <c r="IX32" i="1" s="1"/>
  <c r="G334" i="1"/>
  <c r="Y24" i="1"/>
  <c r="G326" i="1"/>
  <c r="Y28" i="1"/>
  <c r="V28" i="1" s="1"/>
  <c r="G330" i="1"/>
  <c r="Y34" i="1"/>
  <c r="V34" i="1" s="1"/>
  <c r="G336" i="1"/>
  <c r="Y17" i="1"/>
  <c r="V17" i="1" s="1"/>
  <c r="G319" i="1"/>
  <c r="Y14" i="1"/>
  <c r="IS20" i="1" s="1"/>
  <c r="G316" i="1"/>
  <c r="Y53" i="1"/>
  <c r="V53" i="1" s="1"/>
  <c r="G355" i="1"/>
  <c r="Y44" i="1"/>
  <c r="V44" i="1" s="1"/>
  <c r="G346" i="1"/>
  <c r="Y31" i="1"/>
  <c r="V31" i="1" s="1"/>
  <c r="G333" i="1"/>
  <c r="Y45" i="1"/>
  <c r="IS51" i="1" s="1"/>
  <c r="G347" i="1"/>
  <c r="Y37" i="1"/>
  <c r="V37" i="1" s="1"/>
  <c r="G339" i="1"/>
  <c r="Y30" i="1"/>
  <c r="V30" i="1" s="1"/>
  <c r="G332" i="1"/>
  <c r="Y27" i="1"/>
  <c r="IS33" i="1" s="1"/>
  <c r="G329" i="1"/>
  <c r="Y41" i="1"/>
  <c r="IS47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GM114" i="1"/>
  <c r="BP114" i="1"/>
  <c r="FX82" i="1"/>
  <c r="BP82" i="1"/>
  <c r="GL18" i="1"/>
  <c r="GS97" i="1"/>
  <c r="BP97" i="1"/>
  <c r="DG65" i="1"/>
  <c r="BP65" i="1"/>
  <c r="DV96" i="1"/>
  <c r="BP96" i="1"/>
  <c r="EV64" i="1"/>
  <c r="BP64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BM68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CW66" i="1"/>
  <c r="BP66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BP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EH54" i="1"/>
  <c r="BP54" i="1"/>
  <c r="GW99" i="1"/>
  <c r="BP99" i="1"/>
  <c r="CR101" i="1"/>
  <c r="BP101" i="1"/>
  <c r="CW108" i="1"/>
  <c r="BP108" i="1"/>
  <c r="CS60" i="1"/>
  <c r="BP60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T51" i="1" s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25" i="1"/>
  <c r="IX83" i="1"/>
  <c r="IX16" i="1"/>
  <c r="IS109" i="1"/>
  <c r="IX26" i="1"/>
  <c r="IX94" i="1"/>
  <c r="IX64" i="1"/>
  <c r="V97" i="1"/>
  <c r="IX17" i="1"/>
  <c r="IX60" i="1"/>
  <c r="IX73" i="1"/>
  <c r="IX24" i="1"/>
  <c r="IX41" i="1"/>
  <c r="IX91" i="1"/>
  <c r="IS87" i="1"/>
  <c r="IX68" i="1"/>
  <c r="IX42" i="1"/>
  <c r="IX27" i="1"/>
  <c r="IX82" i="1"/>
  <c r="V102" i="1"/>
  <c r="IS37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IS52" i="1"/>
  <c r="AC25" i="1"/>
  <c r="AC86" i="1"/>
  <c r="Q90" i="1"/>
  <c r="Q96" i="1"/>
  <c r="IS60" i="1"/>
  <c r="Y16" i="4"/>
  <c r="Y15" i="4"/>
  <c r="X14" i="4"/>
  <c r="X15" i="4"/>
  <c r="V15" i="4"/>
  <c r="IS24" i="1"/>
  <c r="IX30" i="1"/>
  <c r="IS81" i="1"/>
  <c r="IX67" i="1"/>
  <c r="IS40" i="1"/>
  <c r="V93" i="1"/>
  <c r="IX93" i="1"/>
  <c r="IS16" i="1"/>
  <c r="IS21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9" i="1"/>
  <c r="IS100" i="1"/>
  <c r="IX79" i="1"/>
  <c r="AQ97" i="1"/>
  <c r="IW97" i="1"/>
  <c r="IG97" i="1" s="1"/>
  <c r="AQ82" i="1"/>
  <c r="IX44" i="1"/>
  <c r="IS29" i="1"/>
  <c r="IX117" i="1"/>
  <c r="IS118" i="1"/>
  <c r="IX102" i="1"/>
  <c r="IS27" i="1"/>
  <c r="IS66" i="1"/>
  <c r="IX28" i="1"/>
  <c r="IS44" i="1"/>
  <c r="IS26" i="1"/>
  <c r="IS43" i="1"/>
  <c r="IX40" i="1"/>
  <c r="V65" i="1"/>
  <c r="IS79" i="1"/>
  <c r="IX65" i="1"/>
  <c r="IS67" i="1"/>
  <c r="AQ111" i="1"/>
  <c r="IW111" i="1"/>
  <c r="IG111" i="1" s="1"/>
  <c r="IS62" i="1"/>
  <c r="DY118" i="1"/>
  <c r="GF118" i="1"/>
  <c r="Q15" i="1"/>
  <c r="E317" i="1" s="1"/>
  <c r="BD118" i="1"/>
  <c r="CO13" i="1"/>
  <c r="EP118" i="1"/>
  <c r="CZ118" i="1"/>
  <c r="GB118" i="1"/>
  <c r="AE54" i="1"/>
  <c r="Q17" i="1"/>
  <c r="E319" i="1" s="1"/>
  <c r="CQ122" i="1"/>
  <c r="BG70" i="1"/>
  <c r="DB70" i="1"/>
  <c r="DC102" i="1"/>
  <c r="GM70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EQ112" i="1"/>
  <c r="BZ70" i="1"/>
  <c r="EU70" i="1"/>
  <c r="EY70" i="1" s="1"/>
  <c r="BI70" i="1"/>
  <c r="CV102" i="1"/>
  <c r="AZ70" i="1"/>
  <c r="DR102" i="1"/>
  <c r="GJ70" i="1"/>
  <c r="DD70" i="1"/>
  <c r="DI70" i="1"/>
  <c r="BE78" i="1"/>
  <c r="BW102" i="1"/>
  <c r="BJ70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FX54" i="1"/>
  <c r="AF46" i="1"/>
  <c r="AI46" i="1" s="1"/>
  <c r="DV54" i="1"/>
  <c r="Q108" i="1"/>
  <c r="BM86" i="1"/>
  <c r="GJ86" i="1"/>
  <c r="AZ54" i="1"/>
  <c r="BQ54" i="1"/>
  <c r="V68" i="1"/>
  <c r="V101" i="1"/>
  <c r="AD46" i="1"/>
  <c r="AH46" i="1" s="1"/>
  <c r="DK86" i="1"/>
  <c r="GU86" i="1"/>
  <c r="BT86" i="1"/>
  <c r="DE86" i="1"/>
  <c r="FV54" i="1"/>
  <c r="BZ86" i="1"/>
  <c r="CI86" i="1"/>
  <c r="AJ102" i="1"/>
  <c r="Q100" i="1"/>
  <c r="AC46" i="1"/>
  <c r="EY86" i="1"/>
  <c r="DD86" i="1"/>
  <c r="DB86" i="1"/>
  <c r="DJ86" i="1"/>
  <c r="AC32" i="1"/>
  <c r="FE54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BZ52" i="1"/>
  <c r="GW52" i="1"/>
  <c r="GV52" i="1" s="1"/>
  <c r="BY52" i="1"/>
  <c r="HI52" i="1"/>
  <c r="BG52" i="1"/>
  <c r="AZ52" i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GM52" i="1"/>
  <c r="CO52" i="1"/>
  <c r="CI52" i="1"/>
  <c r="V4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DH74" i="1"/>
  <c r="DJ74" i="1"/>
  <c r="EU74" i="1"/>
  <c r="EY74" i="1" s="1"/>
  <c r="CD71" i="1"/>
  <c r="GX74" i="1"/>
  <c r="FB115" i="1"/>
  <c r="DO115" i="1"/>
  <c r="BN83" i="1"/>
  <c r="BP83" i="1" s="1"/>
  <c r="AZ74" i="1"/>
  <c r="BM74" i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J71" i="1"/>
  <c r="GM71" i="1"/>
  <c r="EY71" i="1"/>
  <c r="DG71" i="1"/>
  <c r="BG71" i="1"/>
  <c r="BJ71" i="1"/>
  <c r="DF71" i="1"/>
  <c r="ES71" i="1"/>
  <c r="BH71" i="1"/>
  <c r="GU71" i="1"/>
  <c r="GL71" i="1"/>
  <c r="BD71" i="1"/>
  <c r="GW71" i="1"/>
  <c r="DC71" i="1"/>
  <c r="DH71" i="1"/>
  <c r="BF71" i="1"/>
  <c r="DE71" i="1"/>
  <c r="BI71" i="1"/>
  <c r="BV71" i="1"/>
  <c r="DT71" i="1"/>
  <c r="BZ71" i="1"/>
  <c r="BW71" i="1"/>
  <c r="DK71" i="1"/>
  <c r="BL71" i="1"/>
  <c r="BM71" i="1"/>
  <c r="CO71" i="1"/>
  <c r="BK71" i="1"/>
  <c r="GK71" i="1"/>
  <c r="EU71" i="1"/>
  <c r="BT71" i="1"/>
  <c r="BS71" i="1"/>
  <c r="DI71" i="1"/>
  <c r="BN71" i="1"/>
  <c r="BP71" i="1" s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Z68" i="1"/>
  <c r="DE68" i="1"/>
  <c r="CO68" i="1"/>
  <c r="GV68" i="1"/>
  <c r="GK68" i="1"/>
  <c r="BY68" i="1"/>
  <c r="DG68" i="1"/>
  <c r="BG68" i="1"/>
  <c r="DC68" i="1"/>
  <c r="DK68" i="1"/>
  <c r="BD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22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CD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U74" i="1"/>
  <c r="DT74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DJ71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V74" i="1"/>
  <c r="GW74" i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V24" i="1"/>
  <c r="V13" i="1"/>
  <c r="R49" i="1"/>
  <c r="AD43" i="1"/>
  <c r="V23" i="1"/>
  <c r="V38" i="1"/>
  <c r="V59" i="1"/>
  <c r="V41" i="1"/>
  <c r="V29" i="1"/>
  <c r="V14" i="1"/>
  <c r="V60" i="1"/>
  <c r="Q12" i="1"/>
  <c r="E314" i="1" s="1"/>
  <c r="V26" i="1"/>
  <c r="V54" i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GV58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EY67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BM67" i="1"/>
  <c r="BK67" i="1"/>
  <c r="AZ67" i="1"/>
  <c r="CI67" i="1"/>
  <c r="EU67" i="1"/>
  <c r="GJ67" i="1"/>
  <c r="FK67" i="1"/>
  <c r="HI67" i="1"/>
  <c r="DJ67" i="1"/>
  <c r="GL67" i="1"/>
  <c r="DF67" i="1"/>
  <c r="DD67" i="1"/>
  <c r="GK67" i="1"/>
  <c r="GM67" i="1"/>
  <c r="BL67" i="1"/>
  <c r="BS67" i="1"/>
  <c r="BV67" i="1"/>
  <c r="DB67" i="1"/>
  <c r="BW67" i="1"/>
  <c r="GX67" i="1"/>
  <c r="DC67" i="1"/>
  <c r="GV67" i="1"/>
  <c r="BH67" i="1"/>
  <c r="ES67" i="1"/>
  <c r="DK67" i="1"/>
  <c r="BD67" i="1"/>
  <c r="BY67" i="1"/>
  <c r="GW67" i="1"/>
  <c r="BF67" i="1"/>
  <c r="BZ67" i="1"/>
  <c r="BN67" i="1"/>
  <c r="BP67" i="1" s="1"/>
  <c r="ET67" i="1"/>
  <c r="CD67" i="1"/>
  <c r="CO67" i="1"/>
  <c r="BJ67" i="1"/>
  <c r="DE67" i="1"/>
  <c r="DH67" i="1"/>
  <c r="BI67" i="1"/>
  <c r="DI67" i="1"/>
  <c r="GU67" i="1"/>
  <c r="EU58" i="1"/>
  <c r="GL58" i="1"/>
  <c r="BI58" i="1"/>
  <c r="BG58" i="1"/>
  <c r="DE58" i="1"/>
  <c r="DF58" i="1"/>
  <c r="DH58" i="1"/>
  <c r="BV58" i="1"/>
  <c r="BM58" i="1"/>
  <c r="BT58" i="1"/>
  <c r="ET58" i="1"/>
  <c r="BY58" i="1"/>
  <c r="CO58" i="1"/>
  <c r="GM58" i="1"/>
  <c r="GU58" i="1"/>
  <c r="DC58" i="1"/>
  <c r="DT58" i="1"/>
  <c r="EY58" i="1"/>
  <c r="GK58" i="1"/>
  <c r="GX58" i="1"/>
  <c r="BN58" i="1"/>
  <c r="BP58" i="1" s="1"/>
  <c r="BH58" i="1"/>
  <c r="GW58" i="1"/>
  <c r="AZ58" i="1"/>
  <c r="BD58" i="1"/>
  <c r="DJ58" i="1"/>
  <c r="DI58" i="1"/>
  <c r="DB58" i="1"/>
  <c r="BL58" i="1"/>
  <c r="ES58" i="1"/>
  <c r="GJ58" i="1"/>
  <c r="DG58" i="1"/>
  <c r="BJ58" i="1"/>
  <c r="BO58" i="1" s="1"/>
  <c r="HI58" i="1"/>
  <c r="FK58" i="1"/>
  <c r="CI58" i="1"/>
  <c r="DD58" i="1"/>
  <c r="C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EP77" i="1"/>
  <c r="EJ77" i="1"/>
  <c r="DB109" i="1"/>
  <c r="CT109" i="1"/>
  <c r="ET77" i="1"/>
  <c r="BV77" i="1"/>
  <c r="CH7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K58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GA66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I73" i="1"/>
  <c r="DC73" i="1"/>
  <c r="BT73" i="1"/>
  <c r="BI73" i="1"/>
  <c r="BV73" i="1"/>
  <c r="BS73" i="1"/>
  <c r="GV73" i="1"/>
  <c r="GX73" i="1" s="1"/>
  <c r="BF73" i="1"/>
  <c r="DE73" i="1"/>
  <c r="CI73" i="1"/>
  <c r="GW73" i="1"/>
  <c r="DJ73" i="1"/>
  <c r="BG73" i="1"/>
  <c r="CO73" i="1"/>
  <c r="BH73" i="1"/>
  <c r="GU73" i="1"/>
  <c r="BZ73" i="1"/>
  <c r="GK73" i="1"/>
  <c r="BL73" i="1"/>
  <c r="DB73" i="1"/>
  <c r="GJ73" i="1"/>
  <c r="DF73" i="1"/>
  <c r="DK73" i="1"/>
  <c r="DT73" i="1" s="1"/>
  <c r="BN73" i="1"/>
  <c r="BP73" i="1" s="1"/>
  <c r="CF73" i="1" s="1"/>
  <c r="CL73" i="1" s="1"/>
  <c r="BJ73" i="1"/>
  <c r="BO73" i="1" s="1"/>
  <c r="AZ73" i="1"/>
  <c r="DD73" i="1"/>
  <c r="BY73" i="1"/>
  <c r="BK73" i="1"/>
  <c r="CD73" i="1"/>
  <c r="BD73" i="1"/>
  <c r="BW73" i="1"/>
  <c r="GL73" i="1"/>
  <c r="HI73" i="1"/>
  <c r="BM73" i="1"/>
  <c r="FK73" i="1"/>
  <c r="EY73" i="1"/>
  <c r="GM73" i="1"/>
  <c r="ET73" i="1"/>
  <c r="BQ73" i="1"/>
  <c r="CG73" i="1" s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BO72" i="1"/>
  <c r="EY72" i="1"/>
  <c r="DK72" i="1"/>
  <c r="BK72" i="1"/>
  <c r="BL72" i="1"/>
  <c r="GV72" i="1"/>
  <c r="DI72" i="1"/>
  <c r="ES72" i="1"/>
  <c r="CD72" i="1"/>
  <c r="CO72" i="1"/>
  <c r="ET72" i="1"/>
  <c r="BT72" i="1"/>
  <c r="BG72" i="1"/>
  <c r="HI72" i="1"/>
  <c r="DE72" i="1"/>
  <c r="BD72" i="1"/>
  <c r="GJ72" i="1"/>
  <c r="BH72" i="1"/>
  <c r="GL72" i="1"/>
  <c r="DJ72" i="1"/>
  <c r="DT72" i="1" s="1"/>
  <c r="BN72" i="1"/>
  <c r="BP72" i="1" s="1"/>
  <c r="CF72" i="1" s="1"/>
  <c r="CL72" i="1" s="1"/>
  <c r="BW72" i="1"/>
  <c r="GM72" i="1"/>
  <c r="DF72" i="1"/>
  <c r="GX72" i="1"/>
  <c r="GU72" i="1"/>
  <c r="GW72" i="1"/>
  <c r="AZ72" i="1"/>
  <c r="DC72" i="1"/>
  <c r="DG72" i="1"/>
  <c r="DB72" i="1"/>
  <c r="BM72" i="1"/>
  <c r="DH72" i="1"/>
  <c r="FK72" i="1"/>
  <c r="BJ72" i="1"/>
  <c r="BQ72" i="1" s="1"/>
  <c r="CG72" i="1" s="1"/>
  <c r="BI72" i="1"/>
  <c r="CI72" i="1"/>
  <c r="GK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ES73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EU72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ES70" i="1"/>
  <c r="DK70" i="1"/>
  <c r="CD70" i="1"/>
  <c r="BD70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GX70" i="1"/>
  <c r="GK70" i="1"/>
  <c r="EU112" i="1"/>
  <c r="EM112" i="1"/>
  <c r="CR112" i="1"/>
  <c r="DC70" i="1"/>
  <c r="DT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BL70" i="1"/>
  <c r="DJ70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BN70" i="1"/>
  <c r="BP70" i="1" s="1"/>
  <c r="CF70" i="1" s="1"/>
  <c r="CL70" i="1" s="1"/>
  <c r="FK70" i="1"/>
  <c r="EZ112" i="1"/>
  <c r="BK112" i="1"/>
  <c r="ES112" i="1"/>
  <c r="DH70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CH78" i="1"/>
  <c r="EO112" i="1"/>
  <c r="CH112" i="1"/>
  <c r="BM70" i="1"/>
  <c r="BQ70" i="1" s="1"/>
  <c r="ET70" i="1"/>
  <c r="BK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GX71" i="1"/>
  <c r="ET71" i="1"/>
  <c r="FK71" i="1" s="1"/>
  <c r="GV71" i="1"/>
  <c r="Q69" i="1"/>
  <c r="GL68" i="1"/>
  <c r="GU68" i="1"/>
  <c r="DJ68" i="1"/>
  <c r="BT68" i="1"/>
  <c r="BN68" i="1"/>
  <c r="BP68" i="1" s="1"/>
  <c r="GX68" i="1"/>
  <c r="EU68" i="1"/>
  <c r="DF68" i="1"/>
  <c r="BK68" i="1"/>
  <c r="DH68" i="1"/>
  <c r="BV68" i="1"/>
  <c r="DI68" i="1"/>
  <c r="DT68" i="1" s="1"/>
  <c r="ES68" i="1"/>
  <c r="CD68" i="1"/>
  <c r="BH68" i="1"/>
  <c r="DB68" i="1"/>
  <c r="ET68" i="1"/>
  <c r="GJ68" i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EU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BR81" i="1"/>
  <c r="BQ100" i="1"/>
  <c r="HG80" i="1"/>
  <c r="DS81" i="1"/>
  <c r="EJ81" i="1"/>
  <c r="EK95" i="1"/>
  <c r="DD34" i="1"/>
  <c r="DE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BN85" i="1"/>
  <c r="BP85" i="1" s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EL66" i="1"/>
  <c r="BS31" i="1"/>
  <c r="FS63" i="1"/>
  <c r="CU80" i="1"/>
  <c r="DI85" i="1"/>
  <c r="BS85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GD98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K80" i="1"/>
  <c r="EF81" i="1"/>
  <c r="BN75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CI53" i="1"/>
  <c r="DG53" i="1"/>
  <c r="BG53" i="1"/>
  <c r="BM53" i="1" s="1"/>
  <c r="BQ53" i="1" s="1"/>
  <c r="BE53" i="1"/>
  <c r="DF53" i="1"/>
  <c r="AZ53" i="1"/>
  <c r="CO53" i="1"/>
  <c r="CA53" i="1"/>
  <c r="ES53" i="1"/>
  <c r="FK53" i="1" s="1"/>
  <c r="BY53" i="1"/>
  <c r="EY53" i="1"/>
  <c r="BU53" i="1"/>
  <c r="BD53" i="1"/>
  <c r="DH53" i="1" s="1"/>
  <c r="BZ53" i="1"/>
  <c r="CB53" i="1" s="1"/>
  <c r="BF53" i="1"/>
  <c r="BI53" i="1" s="1"/>
  <c r="ET53" i="1"/>
  <c r="BS53" i="1"/>
  <c r="CC53" i="1" s="1"/>
  <c r="BH53" i="1"/>
  <c r="BN53" i="1" s="1"/>
  <c r="GW53" i="1"/>
  <c r="DD53" i="1"/>
  <c r="DC53" i="1"/>
  <c r="HI53" i="1"/>
  <c r="CE53" i="1"/>
  <c r="DK53" i="1"/>
  <c r="DJ53" i="1"/>
  <c r="BL53" i="1"/>
  <c r="DB53" i="1"/>
  <c r="BV53" i="1"/>
  <c r="BJ53" i="1"/>
  <c r="GV53" i="1"/>
  <c r="DE53" i="1"/>
  <c r="DI53" i="1" s="1"/>
  <c r="DT53" i="1" s="1"/>
  <c r="BX53" i="1"/>
  <c r="GJ53" i="1"/>
  <c r="GX53" i="1" s="1"/>
  <c r="GL53" i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CJ101" i="1"/>
  <c r="DC101" i="1"/>
  <c r="DG69" i="1"/>
  <c r="BL69" i="1"/>
  <c r="BY69" i="1"/>
  <c r="BN69" i="1"/>
  <c r="BP69" i="1" s="1"/>
  <c r="ES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CC123" i="1"/>
  <c r="CT123" i="1"/>
  <c r="ET59" i="1"/>
  <c r="BL59" i="1"/>
  <c r="EU59" i="1"/>
  <c r="GW59" i="1"/>
  <c r="BZ59" i="1"/>
  <c r="DH59" i="1"/>
  <c r="GM59" i="1"/>
  <c r="DG59" i="1"/>
  <c r="DI59" i="1"/>
  <c r="AZ59" i="1"/>
  <c r="GJ59" i="1"/>
  <c r="DF59" i="1"/>
  <c r="EY59" i="1"/>
  <c r="DB59" i="1"/>
  <c r="GL59" i="1"/>
  <c r="GV59" i="1"/>
  <c r="BW59" i="1"/>
  <c r="ES59" i="1"/>
  <c r="CO59" i="1"/>
  <c r="BY59" i="1"/>
  <c r="FK59" i="1"/>
  <c r="GX59" i="1"/>
  <c r="CI59" i="1"/>
  <c r="BM59" i="1"/>
  <c r="BS59" i="1"/>
  <c r="BJ59" i="1"/>
  <c r="BO59" i="1" s="1"/>
  <c r="BV59" i="1"/>
  <c r="HI59" i="1"/>
  <c r="BD59" i="1"/>
  <c r="BN59" i="1"/>
  <c r="BP59" i="1" s="1"/>
  <c r="CF59" i="1" s="1"/>
  <c r="CL59" i="1" s="1"/>
  <c r="CD59" i="1"/>
  <c r="BH59" i="1"/>
  <c r="DC59" i="1"/>
  <c r="BG59" i="1"/>
  <c r="BF59" i="1"/>
  <c r="BQ59" i="1"/>
  <c r="DT59" i="1"/>
  <c r="DE59" i="1"/>
  <c r="DJ59" i="1"/>
  <c r="GK59" i="1"/>
  <c r="GU59" i="1" s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DK69" i="1"/>
  <c r="BT69" i="1"/>
  <c r="BF69" i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BI59" i="1"/>
  <c r="EA123" i="1"/>
  <c r="HC123" i="1"/>
  <c r="BY123" i="1"/>
  <c r="BI123" i="1"/>
  <c r="DC123" i="1"/>
  <c r="EU64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DH69" i="1"/>
  <c r="BZ69" i="1"/>
  <c r="DY96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DI69" i="1"/>
  <c r="BI69" i="1"/>
  <c r="BJ69" i="1"/>
  <c r="BQ69" i="1" s="1"/>
  <c r="CG69" i="1" s="1"/>
  <c r="DJ69" i="1"/>
  <c r="ET96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BK59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X69" i="1"/>
  <c r="GM69" i="1"/>
  <c r="HI69" i="1"/>
  <c r="EY69" i="1"/>
  <c r="FK69" i="1"/>
  <c r="DT69" i="1"/>
  <c r="GU69" i="1"/>
  <c r="GW69" i="1"/>
  <c r="GL69" i="1"/>
  <c r="BM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K69" i="1"/>
  <c r="BS69" i="1"/>
  <c r="EZ96" i="1"/>
  <c r="GJ18" i="1"/>
  <c r="GK18" i="1" s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EC123" i="1"/>
  <c r="FY123" i="1"/>
  <c r="GR123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BO69" i="1"/>
  <c r="CH69" i="1" s="1"/>
  <c r="EU69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E327" i="1" s="1"/>
  <c r="Q20" i="1"/>
  <c r="E322" i="1" s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N74" i="1"/>
  <c r="BP74" i="1" s="1"/>
  <c r="BZ74" i="1"/>
  <c r="BJ74" i="1"/>
  <c r="BO74" i="1" s="1"/>
  <c r="BS74" i="1"/>
  <c r="ET74" i="1"/>
  <c r="DI74" i="1"/>
  <c r="DE74" i="1"/>
  <c r="DF74" i="1"/>
  <c r="CI74" i="1"/>
  <c r="BW74" i="1"/>
  <c r="BI74" i="1"/>
  <c r="BF74" i="1"/>
  <c r="ES74" i="1"/>
  <c r="BK74" i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DT61" i="1"/>
  <c r="BN61" i="1"/>
  <c r="FA61" i="1"/>
  <c r="FK61" i="1"/>
  <c r="BY61" i="1"/>
  <c r="BL61" i="1"/>
  <c r="FE61" i="1"/>
  <c r="CW61" i="1"/>
  <c r="DL61" i="1"/>
  <c r="GW68" i="1"/>
  <c r="GM68" i="1"/>
  <c r="BL68" i="1"/>
  <c r="FK68" i="1"/>
  <c r="BI68" i="1"/>
  <c r="HI68" i="1"/>
  <c r="EY68" i="1"/>
  <c r="AZ68" i="1"/>
  <c r="BJ68" i="1"/>
  <c r="BR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V69" i="1"/>
  <c r="AZ69" i="1"/>
  <c r="GK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V21" i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48" i="1" l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AQ11" i="1" s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H74" i="1"/>
  <c r="CH59" i="1"/>
  <c r="CF69" i="1"/>
  <c r="CL69" i="1" s="1"/>
  <c r="CF74" i="1"/>
  <c r="CL74" i="1" s="1"/>
  <c r="CH58" i="1"/>
  <c r="CF86" i="1"/>
  <c r="CL86" i="1" s="1"/>
  <c r="BO83" i="1"/>
  <c r="CH83" i="1" s="1"/>
  <c r="BR69" i="1"/>
  <c r="CJ69" i="1" s="1"/>
  <c r="BQ85" i="1"/>
  <c r="CG85" i="1" s="1"/>
  <c r="BQ84" i="1"/>
  <c r="CG84" i="1" s="1"/>
  <c r="BQ86" i="1"/>
  <c r="CG86" i="1" s="1"/>
  <c r="BO85" i="1"/>
  <c r="CH85" i="1" s="1"/>
  <c r="BQ87" i="1"/>
  <c r="CG87" i="1" s="1"/>
  <c r="BO68" i="1"/>
  <c r="CH68" i="1" s="1"/>
  <c r="BO70" i="1"/>
  <c r="CH70" i="1" s="1"/>
  <c r="BR58" i="1"/>
  <c r="CJ58" i="1" s="1"/>
  <c r="BR59" i="1"/>
  <c r="CJ59" i="1" s="1"/>
  <c r="CH72" i="1"/>
  <c r="CH73" i="1"/>
  <c r="BR70" i="1"/>
  <c r="CJ70" i="1" s="1"/>
  <c r="BO67" i="1"/>
  <c r="CH67" i="1" s="1"/>
  <c r="BR71" i="1"/>
  <c r="CJ71" i="1" s="1"/>
  <c r="BR74" i="1"/>
  <c r="CJ74" i="1" s="1"/>
  <c r="BQ74" i="1"/>
  <c r="CG74" i="1" s="1"/>
  <c r="BR83" i="1"/>
  <c r="CJ83" i="1" s="1"/>
  <c r="CG59" i="1"/>
  <c r="CJ85" i="1"/>
  <c r="BR84" i="1"/>
  <c r="CJ84" i="1" s="1"/>
  <c r="BR86" i="1"/>
  <c r="CJ86" i="1" s="1"/>
  <c r="CM86" i="1" s="1"/>
  <c r="CM58" i="1"/>
  <c r="BQ58" i="1"/>
  <c r="CG58" i="1" s="1"/>
  <c r="BR72" i="1"/>
  <c r="CJ72" i="1" s="1"/>
  <c r="BQ67" i="1"/>
  <c r="CG67" i="1" s="1"/>
  <c r="BQ71" i="1"/>
  <c r="CG71" i="1" s="1"/>
  <c r="BQ83" i="1"/>
  <c r="CG83" i="1" s="1"/>
  <c r="CM85" i="1"/>
  <c r="BR67" i="1"/>
  <c r="CJ67" i="1" s="1"/>
  <c r="BR73" i="1"/>
  <c r="CJ73" i="1" s="1"/>
  <c r="BQ68" i="1"/>
  <c r="CG68" i="1" s="1"/>
  <c r="CM84" i="1"/>
  <c r="CM74" i="1"/>
  <c r="BO71" i="1"/>
  <c r="CH71" i="1" s="1"/>
  <c r="CM71" i="1"/>
  <c r="CM59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EY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GU53" i="1"/>
  <c r="BO53" i="1"/>
  <c r="CD53" i="1"/>
  <c r="GK53" i="1"/>
  <c r="BK53" i="1"/>
  <c r="CF53" i="1" s="1"/>
  <c r="CL53" i="1" s="1"/>
  <c r="GM53" i="1"/>
  <c r="FK52" i="1"/>
  <c r="DK52" i="1"/>
  <c r="BL50" i="1"/>
  <c r="GX52" i="1"/>
  <c r="DI52" i="1"/>
  <c r="DJ52" i="1"/>
  <c r="GU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71" i="1"/>
  <c r="IS19" i="1"/>
  <c r="IR28" i="1"/>
  <c r="IR54" i="1"/>
  <c r="IR52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R25" i="1"/>
  <c r="IW30" i="1"/>
  <c r="IG30" i="1" s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IW27" i="1"/>
  <c r="IG27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IW45" i="1"/>
  <c r="IG45" i="1" s="1"/>
  <c r="AQ88" i="1"/>
  <c r="IR97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R40" i="1"/>
  <c r="IR24" i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BN51" i="1" s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19" i="1" l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68" i="1"/>
  <c r="CM69" i="1"/>
  <c r="CG70" i="1"/>
  <c r="CM70" i="1" s="1"/>
  <c r="CJ87" i="1"/>
  <c r="CF84" i="1"/>
  <c r="CL84" i="1" s="1"/>
  <c r="CF68" i="1"/>
  <c r="CL68" i="1" s="1"/>
  <c r="CF67" i="1"/>
  <c r="CL67" i="1" s="1"/>
  <c r="CF83" i="1"/>
  <c r="CL83" i="1" s="1"/>
  <c r="CM83" i="1"/>
  <c r="CF71" i="1"/>
  <c r="CL71" i="1" s="1"/>
  <c r="CF58" i="1"/>
  <c r="CL58" i="1" s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CM73" i="1"/>
  <c r="CM67" i="1"/>
  <c r="GX15" i="1"/>
  <c r="GU15" i="1"/>
  <c r="CM72" i="1"/>
  <c r="GX18" i="1"/>
  <c r="BP44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N52" i="1"/>
  <c r="BM50" i="1"/>
  <c r="BJ50" i="1"/>
  <c r="BJ52" i="1"/>
  <c r="BQ52" i="1" s="1"/>
  <c r="BK52" i="1"/>
  <c r="BJ51" i="1"/>
  <c r="BM51" i="1"/>
  <c r="BK51" i="1"/>
  <c r="CH53" i="1"/>
  <c r="DT52" i="1"/>
  <c r="BR53" i="1"/>
  <c r="CK53" i="1" s="1"/>
  <c r="CG53" i="1"/>
  <c r="BA51" i="1"/>
  <c r="GN51" i="1" s="1"/>
  <c r="BA52" i="1"/>
  <c r="GN52" i="1" s="1"/>
  <c r="DT50" i="1"/>
  <c r="BA46" i="1"/>
  <c r="GN46" i="1" s="1"/>
  <c r="BA50" i="1"/>
  <c r="GN50" i="1" s="1"/>
  <c r="BQ50" i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JJ22" i="1" l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68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CN53" i="1"/>
  <c r="CJ53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CM53" i="1"/>
  <c r="CR53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CQ53" i="1" l="1"/>
  <c r="CP53" i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CU53" i="1" l="1"/>
  <c r="CS53" i="1"/>
  <c r="CT53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H317" i="1" s="1"/>
  <c r="U15" i="1"/>
  <c r="AK14" i="1"/>
  <c r="U14" i="1"/>
  <c r="AL14" i="1"/>
  <c r="AN14" i="1" s="1"/>
  <c r="H316" i="1" s="1"/>
  <c r="T14" i="1"/>
  <c r="AK13" i="1"/>
  <c r="U13" i="1"/>
  <c r="AL13" i="1"/>
  <c r="AN13" i="1" s="1"/>
  <c r="H315" i="1" s="1"/>
  <c r="AK12" i="1"/>
  <c r="U12" i="1"/>
  <c r="AL12" i="1"/>
  <c r="AN12" i="1" s="1"/>
  <c r="H314" i="1" s="1"/>
  <c r="AL11" i="1"/>
  <c r="AN11" i="1" s="1"/>
  <c r="H313" i="1" s="1"/>
  <c r="T11" i="1"/>
  <c r="U11" i="1"/>
  <c r="AL10" i="1"/>
  <c r="T10" i="1"/>
  <c r="U10" i="1"/>
  <c r="AL9" i="1"/>
  <c r="AN9" i="1" s="1"/>
  <c r="H311" i="1" s="1"/>
  <c r="U9" i="1"/>
  <c r="T9" i="1"/>
  <c r="AK9" i="1"/>
  <c r="DH3" i="7"/>
  <c r="DE3" i="7"/>
  <c r="DI3" i="7"/>
  <c r="DG3" i="7"/>
  <c r="DF3" i="7"/>
  <c r="H323" i="1" l="1"/>
  <c r="H357" i="1"/>
  <c r="H325" i="1"/>
  <c r="H351" i="1"/>
  <c r="H355" i="1"/>
  <c r="H342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CV53" i="1"/>
  <c r="CX53" i="1"/>
  <c r="CW53" i="1"/>
  <c r="CY53" i="1"/>
  <c r="DO53" i="1" s="1"/>
  <c r="DA53" i="1"/>
  <c r="DQ53" i="1" s="1"/>
  <c r="CZ53" i="1"/>
  <c r="DP53" i="1" s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H343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AO9" i="1"/>
  <c r="I311" i="1" s="1"/>
  <c r="AP9" i="1"/>
  <c r="H340" i="1" l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DU53" i="1"/>
  <c r="DY53" i="1" s="1"/>
  <c r="DS53" i="1"/>
  <c r="DM53" i="1"/>
  <c r="DN53" i="1"/>
  <c r="DL53" i="1"/>
  <c r="IV59" i="1"/>
  <c r="IU94" i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DW53" i="1" l="1"/>
  <c r="DX53" i="1" s="1"/>
  <c r="EA53" i="1" s="1"/>
  <c r="DR53" i="1"/>
  <c r="DV53" i="1"/>
  <c r="DZ53" i="1" s="1"/>
  <c r="AO164" i="1" a="1"/>
  <c r="AO164" i="1" s="1"/>
  <c r="AT12" i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EB53" i="1"/>
  <c r="EC53" i="1"/>
  <c r="ED53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EL53" i="1"/>
  <c r="EH53" i="1"/>
  <c r="EI53" i="1"/>
  <c r="EJ53" i="1"/>
  <c r="EK53" i="1"/>
  <c r="EF53" i="1"/>
  <c r="EG53" i="1"/>
  <c r="EE53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EM53" i="1"/>
  <c r="EN53" i="1"/>
  <c r="EO53" i="1"/>
  <c r="ER53" i="1" s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EP53" i="1"/>
  <c r="EQ53" i="1"/>
  <c r="EZ53" i="1" s="1"/>
  <c r="FC53" i="1" s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FF53" i="1"/>
  <c r="FI53" i="1" s="1"/>
  <c r="FY53" i="1"/>
  <c r="HE53" i="1" s="1"/>
  <c r="FB53" i="1"/>
  <c r="EV53" i="1"/>
  <c r="FA53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FL53" i="1"/>
  <c r="FO53" i="1"/>
  <c r="EX53" i="1"/>
  <c r="FE53" i="1"/>
  <c r="EW53" i="1"/>
  <c r="FD53" i="1"/>
  <c r="FV53" i="1" s="1"/>
  <c r="HB53" i="1"/>
  <c r="HF53" i="1" s="1"/>
  <c r="HH53" i="1" s="1"/>
  <c r="HG53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FG53" i="1"/>
  <c r="FU53" i="1"/>
  <c r="FH53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FM53" i="1"/>
  <c r="FN53" i="1" s="1"/>
  <c r="FW53" i="1"/>
  <c r="FX53" i="1" s="1"/>
  <c r="FZ53" i="1" s="1"/>
  <c r="FJ53" i="1"/>
  <c r="GQ53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GA53" i="1"/>
  <c r="GP53" i="1"/>
  <c r="GD53" i="1"/>
  <c r="FR53" i="1"/>
  <c r="FP53" i="1"/>
  <c r="FQ53" i="1"/>
  <c r="FS53" i="1" s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GB53" i="1"/>
  <c r="GC53" i="1"/>
  <c r="GH53" i="1" s="1"/>
  <c r="GO53" i="1"/>
  <c r="FT53" i="1"/>
  <c r="GI53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GY53" i="1"/>
  <c r="GZ53" i="1" s="1"/>
  <c r="GG53" i="1"/>
  <c r="GS53" i="1" s="1"/>
  <c r="GE53" i="1"/>
  <c r="GF53" i="1" s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GT53" i="1"/>
  <c r="GR53" i="1"/>
  <c r="HA53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D53" i="1"/>
  <c r="HC53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CP36" i="1" s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GH19" i="1" l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FR33" i="1"/>
  <c r="FP33" i="1"/>
  <c r="FQ33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DZ41" i="1" l="1"/>
  <c r="FG35" i="1"/>
  <c r="FW35" i="1" s="1"/>
  <c r="FX35" i="1" s="1"/>
  <c r="FZ35" i="1" s="1"/>
  <c r="EA41" i="1"/>
  <c r="EA42" i="1"/>
  <c r="FS33" i="1"/>
  <c r="DY43" i="1"/>
  <c r="DZ42" i="1"/>
  <c r="GC33" i="1"/>
  <c r="GO33" i="1"/>
  <c r="GB33" i="1"/>
  <c r="FT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ED41" i="1" l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CJ51" i="1" s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FR35" i="1" l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J52" i="1" s="1"/>
  <c r="CC52" i="1"/>
  <c r="CB52" i="1"/>
  <c r="CG52" i="1" s="1"/>
  <c r="CM51" i="1"/>
  <c r="CR51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FS35" i="1" l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S35" i="1" s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R52" i="1"/>
  <c r="CM52" i="1"/>
  <c r="CP51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EP41" i="1" l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GT35" i="1"/>
  <c r="HA35" i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/>
  <c r="CQ52" i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FF41" i="1" l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HC35" i="1"/>
  <c r="HD35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S52" i="1"/>
  <c r="CT52" i="1" s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FD41" i="1" l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CX51" i="1"/>
  <c r="DL50" i="1"/>
  <c r="DQ51" i="1"/>
  <c r="DM50" i="1"/>
  <c r="DP51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BU58" i="1" l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DY50" i="1" s="1"/>
  <c r="CY52" i="1"/>
  <c r="DO52" i="1" s="1"/>
  <c r="CZ52" i="1"/>
  <c r="DP52" i="1" s="1"/>
  <c r="DA52" i="1"/>
  <c r="DQ52" i="1" s="1"/>
  <c r="DW50" i="1"/>
  <c r="DX50" i="1" s="1"/>
  <c r="EA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BU59" i="1" l="1"/>
  <c r="BX59" i="1"/>
  <c r="CA59" i="1"/>
  <c r="CE58" i="1"/>
  <c r="CC58" i="1"/>
  <c r="CK58" i="1" s="1"/>
  <c r="CR58" i="1" s="1"/>
  <c r="CB58" i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ED50" i="1"/>
  <c r="EB50" i="1"/>
  <c r="EC50" i="1"/>
  <c r="DU52" i="1"/>
  <c r="DY52" i="1" s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N58" i="1" l="1"/>
  <c r="CB59" i="1"/>
  <c r="CC59" i="1"/>
  <c r="CK59" i="1" s="1"/>
  <c r="CR59" i="1" s="1"/>
  <c r="CE59" i="1"/>
  <c r="GD41" i="1"/>
  <c r="GP41" i="1"/>
  <c r="HQ14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K50" i="1"/>
  <c r="EG50" i="1"/>
  <c r="EE50" i="1"/>
  <c r="EF50" i="1"/>
  <c r="EA52" i="1"/>
  <c r="DZ52" i="1"/>
  <c r="EL50" i="1"/>
  <c r="EI50" i="1"/>
  <c r="EH50" i="1"/>
  <c r="EJ50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CQ58" i="1" l="1"/>
  <c r="CP58" i="1"/>
  <c r="CN59" i="1"/>
  <c r="FS43" i="1"/>
  <c r="HR14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M50" i="1"/>
  <c r="EN50" i="1"/>
  <c r="EO50" i="1"/>
  <c r="ER50" i="1" s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CP59" i="1" l="1"/>
  <c r="CQ59" i="1"/>
  <c r="CS58" i="1"/>
  <c r="CU58" i="1" s="1"/>
  <c r="CT58" i="1"/>
  <c r="HM14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EP50" i="1"/>
  <c r="EQ50" i="1"/>
  <c r="EZ50" i="1" s="1"/>
  <c r="FC50" i="1" s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Y58" i="1" l="1"/>
  <c r="CZ58" i="1"/>
  <c r="DA58" i="1"/>
  <c r="CV58" i="1"/>
  <c r="CW58" i="1"/>
  <c r="CX58" i="1"/>
  <c r="CU59" i="1"/>
  <c r="CS59" i="1"/>
  <c r="CT59" i="1" s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FF50" i="1"/>
  <c r="FI50" i="1" s="1"/>
  <c r="FY50" i="1"/>
  <c r="HE50" i="1" s="1"/>
  <c r="EV50" i="1"/>
  <c r="FB50" i="1"/>
  <c r="FA50" i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HY14" i="1" s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CV59" i="1" l="1"/>
  <c r="CW59" i="1"/>
  <c r="CX59" i="1"/>
  <c r="CY59" i="1"/>
  <c r="DO59" i="1" s="1"/>
  <c r="CZ59" i="1"/>
  <c r="DP59" i="1" s="1"/>
  <c r="DA59" i="1"/>
  <c r="DQ59" i="1" s="1"/>
  <c r="DN58" i="1"/>
  <c r="DM58" i="1"/>
  <c r="DL58" i="1"/>
  <c r="DQ58" i="1"/>
  <c r="DP58" i="1"/>
  <c r="DO58" i="1"/>
  <c r="GT43" i="1"/>
  <c r="GZ43" i="1"/>
  <c r="HA43" i="1"/>
  <c r="HD43" i="1" s="1"/>
  <c r="GR43" i="1"/>
  <c r="IA14" i="1"/>
  <c r="HC41" i="1"/>
  <c r="HD41" i="1"/>
  <c r="GZ42" i="1"/>
  <c r="GT42" i="1"/>
  <c r="GR42" i="1"/>
  <c r="HA42" i="1"/>
  <c r="FL50" i="1"/>
  <c r="FO50" i="1"/>
  <c r="EW50" i="1"/>
  <c r="HB50" i="1"/>
  <c r="HF50" i="1" s="1"/>
  <c r="HH50" i="1" s="1"/>
  <c r="FD50" i="1"/>
  <c r="FV50" i="1" s="1"/>
  <c r="FE50" i="1"/>
  <c r="EX50" i="1"/>
  <c r="FH50" i="1" s="1"/>
  <c r="HG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DW58" i="1" l="1"/>
  <c r="DX58" i="1" s="1"/>
  <c r="EA58" i="1" s="1"/>
  <c r="DV58" i="1"/>
  <c r="DR58" i="1"/>
  <c r="DS59" i="1"/>
  <c r="DU59" i="1"/>
  <c r="DY59" i="1" s="1"/>
  <c r="DN59" i="1"/>
  <c r="DS58" i="1"/>
  <c r="DU58" i="1"/>
  <c r="DY58" i="1" s="1"/>
  <c r="DM59" i="1"/>
  <c r="DL59" i="1"/>
  <c r="HC43" i="1"/>
  <c r="IE14" i="1"/>
  <c r="IC14" i="1"/>
  <c r="IB14" i="1"/>
  <c r="HD39" i="1"/>
  <c r="HD42" i="1"/>
  <c r="HC42" i="1"/>
  <c r="FF52" i="1"/>
  <c r="FI52" i="1" s="1"/>
  <c r="FY52" i="1"/>
  <c r="HE52" i="1" s="1"/>
  <c r="FA52" i="1"/>
  <c r="FB52" i="1"/>
  <c r="EV52" i="1"/>
  <c r="FU50" i="1"/>
  <c r="FG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DZ58" i="1" l="1"/>
  <c r="DV59" i="1"/>
  <c r="DW59" i="1"/>
  <c r="DX59" i="1" s="1"/>
  <c r="EA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H52" i="1" s="1"/>
  <c r="FJ50" i="1"/>
  <c r="GQ50" i="1" s="1"/>
  <c r="FM50" i="1"/>
  <c r="FN50" i="1" s="1"/>
  <c r="FW50" i="1"/>
  <c r="FX50" i="1" s="1"/>
  <c r="FZ50" i="1" s="1"/>
  <c r="FE51" i="1"/>
  <c r="FD51" i="1"/>
  <c r="FV51" i="1" s="1"/>
  <c r="EX51" i="1"/>
  <c r="FH51" i="1" s="1"/>
  <c r="HB51" i="1"/>
  <c r="HF51" i="1" s="1"/>
  <c r="HG51" i="1" s="1"/>
  <c r="EW51" i="1"/>
  <c r="FL52" i="1"/>
  <c r="FO52" i="1"/>
  <c r="HG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DZ59" i="1" l="1"/>
  <c r="ED58" i="1"/>
  <c r="EB58" i="1"/>
  <c r="EC58" i="1"/>
  <c r="FU51" i="1"/>
  <c r="FG51" i="1"/>
  <c r="FU52" i="1"/>
  <c r="FG52" i="1"/>
  <c r="GP50" i="1"/>
  <c r="GA50" i="1"/>
  <c r="GD50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EK58" i="1" l="1"/>
  <c r="EF58" i="1"/>
  <c r="EE58" i="1"/>
  <c r="EG58" i="1"/>
  <c r="EL58" i="1"/>
  <c r="EI58" i="1"/>
  <c r="EH58" i="1"/>
  <c r="EJ58" i="1"/>
  <c r="EB59" i="1"/>
  <c r="EC59" i="1"/>
  <c r="ED59" i="1"/>
  <c r="HQ17" i="1"/>
  <c r="HQ47" i="1"/>
  <c r="HQ15" i="1"/>
  <c r="HQ19" i="1"/>
  <c r="HQ18" i="1"/>
  <c r="HQ25" i="1"/>
  <c r="HQ23" i="1"/>
  <c r="HQ24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HQ12" i="1" s="1"/>
  <c r="GI50" i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31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EL59" i="1" l="1"/>
  <c r="EH59" i="1"/>
  <c r="EJ59" i="1"/>
  <c r="EI59" i="1"/>
  <c r="EK59" i="1"/>
  <c r="EG59" i="1"/>
  <c r="EE59" i="1"/>
  <c r="EF59" i="1"/>
  <c r="EN58" i="1"/>
  <c r="EO58" i="1"/>
  <c r="ER58" i="1" s="1"/>
  <c r="EM58" i="1"/>
  <c r="HR17" i="1"/>
  <c r="HR47" i="1"/>
  <c r="BU67" i="1"/>
  <c r="BX67" i="1"/>
  <c r="CA67" i="1"/>
  <c r="HQ43" i="1"/>
  <c r="HR15" i="1"/>
  <c r="HQ29" i="1"/>
  <c r="HR19" i="1"/>
  <c r="HR18" i="1"/>
  <c r="HQ30" i="1"/>
  <c r="HQ35" i="1"/>
  <c r="HR25" i="1"/>
  <c r="HR23" i="1"/>
  <c r="HQ37" i="1"/>
  <c r="HQ36" i="1"/>
  <c r="HQ41" i="1"/>
  <c r="HR24" i="1"/>
  <c r="HQ42" i="1"/>
  <c r="HQ11" i="1"/>
  <c r="HQ9" i="1"/>
  <c r="FQ52" i="1"/>
  <c r="FP52" i="1"/>
  <c r="FR52" i="1"/>
  <c r="FT52" i="1" s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31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EN59" i="1" l="1"/>
  <c r="EM59" i="1"/>
  <c r="EO59" i="1"/>
  <c r="ER59" i="1" s="1"/>
  <c r="EP58" i="1"/>
  <c r="EQ58" i="1"/>
  <c r="EZ58" i="1" s="1"/>
  <c r="FC58" i="1" s="1"/>
  <c r="HM17" i="1"/>
  <c r="HM47" i="1"/>
  <c r="CC67" i="1"/>
  <c r="CK67" i="1" s="1"/>
  <c r="CR67" i="1" s="1"/>
  <c r="CE67" i="1"/>
  <c r="CB67" i="1"/>
  <c r="CA68" i="1"/>
  <c r="BU68" i="1"/>
  <c r="BX68" i="1"/>
  <c r="HM15" i="1"/>
  <c r="HR29" i="1"/>
  <c r="HM19" i="1"/>
  <c r="HM18" i="1"/>
  <c r="HR30" i="1"/>
  <c r="HM23" i="1"/>
  <c r="HM25" i="1"/>
  <c r="HM24" i="1"/>
  <c r="HM9" i="1"/>
  <c r="HR11" i="1"/>
  <c r="FS51" i="1"/>
  <c r="FT51" i="1"/>
  <c r="GO52" i="1"/>
  <c r="GC52" i="1"/>
  <c r="GH52" i="1" s="1"/>
  <c r="GB52" i="1"/>
  <c r="FS52" i="1"/>
  <c r="GI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30" i="1" s="1"/>
  <c r="EN55" i="1"/>
  <c r="EO55" i="1"/>
  <c r="ER55" i="1" s="1"/>
  <c r="FS48" i="1"/>
  <c r="EM56" i="1"/>
  <c r="EN56" i="1"/>
  <c r="AS69" i="1"/>
  <c r="AT69" i="1" s="1"/>
  <c r="BB69" i="1" s="1"/>
  <c r="BE69" i="1" s="1"/>
  <c r="FF58" i="1" l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K68" i="1" s="1"/>
  <c r="CR68" i="1" s="1"/>
  <c r="CE68" i="1"/>
  <c r="CB68" i="1"/>
  <c r="BX69" i="1"/>
  <c r="BU69" i="1"/>
  <c r="CA69" i="1"/>
  <c r="CN67" i="1"/>
  <c r="HR12" i="1"/>
  <c r="HR43" i="1"/>
  <c r="HM29" i="1"/>
  <c r="HR35" i="1"/>
  <c r="HR36" i="1"/>
  <c r="HR37" i="1"/>
  <c r="HR41" i="1"/>
  <c r="HM31" i="1"/>
  <c r="HR42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Y52" i="1"/>
  <c r="GZ52" i="1" s="1"/>
  <c r="GS52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FF59" i="1" l="1"/>
  <c r="FI59" i="1" s="1"/>
  <c r="FY59" i="1"/>
  <c r="HE59" i="1" s="1"/>
  <c r="FA59" i="1"/>
  <c r="FB59" i="1"/>
  <c r="EV59" i="1"/>
  <c r="FL58" i="1"/>
  <c r="FO58" i="1"/>
  <c r="EX58" i="1"/>
  <c r="FH58" i="1" s="1"/>
  <c r="FE58" i="1"/>
  <c r="EW58" i="1"/>
  <c r="FD58" i="1"/>
  <c r="FV58" i="1" s="1"/>
  <c r="HB58" i="1"/>
  <c r="HF58" i="1" s="1"/>
  <c r="HH58" i="1"/>
  <c r="HG58" i="1"/>
  <c r="CQ67" i="1"/>
  <c r="CP67" i="1"/>
  <c r="CE69" i="1"/>
  <c r="CB69" i="1"/>
  <c r="CC69" i="1"/>
  <c r="CK69" i="1" s="1"/>
  <c r="CR69" i="1" s="1"/>
  <c r="BU70" i="1"/>
  <c r="CA70" i="1"/>
  <c r="BX70" i="1"/>
  <c r="IA17" i="1"/>
  <c r="IA47" i="1"/>
  <c r="HY17" i="1"/>
  <c r="HY47" i="1"/>
  <c r="CN68" i="1"/>
  <c r="HM12" i="1"/>
  <c r="HM43" i="1"/>
  <c r="IA15" i="1"/>
  <c r="HY15" i="1"/>
  <c r="HM35" i="1"/>
  <c r="IA19" i="1"/>
  <c r="IA18" i="1"/>
  <c r="HY19" i="1"/>
  <c r="HY18" i="1"/>
  <c r="HM36" i="1"/>
  <c r="HM37" i="1"/>
  <c r="HM41" i="1"/>
  <c r="IA25" i="1"/>
  <c r="IA23" i="1"/>
  <c r="HY25" i="1"/>
  <c r="HY23" i="1"/>
  <c r="IA24" i="1"/>
  <c r="HY24" i="1"/>
  <c r="HM42" i="1"/>
  <c r="GT52" i="1"/>
  <c r="GR52" i="1"/>
  <c r="HA52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HY30" i="1" s="1"/>
  <c r="GY48" i="1"/>
  <c r="IA30" i="1" s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S67" i="1" l="1"/>
  <c r="CT67" i="1" s="1"/>
  <c r="CU67" i="1"/>
  <c r="EW59" i="1"/>
  <c r="HB59" i="1"/>
  <c r="HF59" i="1" s="1"/>
  <c r="HH59" i="1" s="1"/>
  <c r="FD59" i="1"/>
  <c r="FV59" i="1" s="1"/>
  <c r="EX59" i="1"/>
  <c r="FE59" i="1"/>
  <c r="CQ68" i="1"/>
  <c r="CP68" i="1"/>
  <c r="FL59" i="1"/>
  <c r="FO59" i="1"/>
  <c r="FG58" i="1"/>
  <c r="FU58" i="1"/>
  <c r="IC17" i="1"/>
  <c r="IC47" i="1"/>
  <c r="IB17" i="1"/>
  <c r="IB47" i="1"/>
  <c r="CB70" i="1"/>
  <c r="CE70" i="1"/>
  <c r="CC70" i="1"/>
  <c r="CK70" i="1" s="1"/>
  <c r="IE17" i="1"/>
  <c r="IE47" i="1"/>
  <c r="CN69" i="1"/>
  <c r="BX71" i="1"/>
  <c r="CA71" i="1"/>
  <c r="BU71" i="1"/>
  <c r="IE15" i="1"/>
  <c r="IB15" i="1"/>
  <c r="IC15" i="1"/>
  <c r="IA29" i="1"/>
  <c r="HY29" i="1"/>
  <c r="IB19" i="1"/>
  <c r="IB18" i="1"/>
  <c r="IE19" i="1"/>
  <c r="IE18" i="1"/>
  <c r="IC19" i="1"/>
  <c r="IC18" i="1"/>
  <c r="IA31" i="1"/>
  <c r="HY31" i="1"/>
  <c r="IE25" i="1"/>
  <c r="IE23" i="1"/>
  <c r="IC25" i="1"/>
  <c r="IC23" i="1"/>
  <c r="IB25" i="1"/>
  <c r="IB23" i="1"/>
  <c r="IB24" i="1"/>
  <c r="IE24" i="1"/>
  <c r="IC24" i="1"/>
  <c r="GZ51" i="1"/>
  <c r="GT51" i="1"/>
  <c r="GR51" i="1"/>
  <c r="HY11" i="1"/>
  <c r="HA51" i="1"/>
  <c r="HC52" i="1"/>
  <c r="HD52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IE31" i="1" s="1"/>
  <c r="HA48" i="1"/>
  <c r="HC48" i="1" s="1"/>
  <c r="EP57" i="1"/>
  <c r="EV57" i="1" s="1"/>
  <c r="EQ57" i="1"/>
  <c r="EZ57" i="1" s="1"/>
  <c r="FC57" i="1" s="1"/>
  <c r="FY57" i="1" s="1"/>
  <c r="HE57" i="1" s="1"/>
  <c r="GT48" i="1"/>
  <c r="IC31" i="1" s="1"/>
  <c r="GR48" i="1"/>
  <c r="IB30" i="1" s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CV67" i="1" l="1"/>
  <c r="CW67" i="1"/>
  <c r="CX67" i="1"/>
  <c r="FW58" i="1"/>
  <c r="FX58" i="1" s="1"/>
  <c r="FZ58" i="1" s="1"/>
  <c r="FJ58" i="1"/>
  <c r="GQ58" i="1" s="1"/>
  <c r="HQ40" i="1" s="1"/>
  <c r="FM58" i="1"/>
  <c r="FN58" i="1" s="1"/>
  <c r="FG59" i="1"/>
  <c r="FU59" i="1"/>
  <c r="CN70" i="1"/>
  <c r="CR70" i="1"/>
  <c r="CS68" i="1"/>
  <c r="CU68" i="1" s="1"/>
  <c r="CT68" i="1"/>
  <c r="CY67" i="1"/>
  <c r="DO67" i="1" s="1"/>
  <c r="CZ67" i="1"/>
  <c r="DP67" i="1" s="1"/>
  <c r="DA67" i="1"/>
  <c r="DQ67" i="1" s="1"/>
  <c r="HG59" i="1"/>
  <c r="CQ69" i="1"/>
  <c r="CP69" i="1"/>
  <c r="FH59" i="1"/>
  <c r="BU72" i="1"/>
  <c r="CA72" i="1"/>
  <c r="BX72" i="1"/>
  <c r="CC71" i="1"/>
  <c r="CK71" i="1" s="1"/>
  <c r="CR71" i="1" s="1"/>
  <c r="CE71" i="1"/>
  <c r="CB71" i="1"/>
  <c r="HY12" i="1"/>
  <c r="HY43" i="1"/>
  <c r="IA11" i="1"/>
  <c r="IA43" i="1"/>
  <c r="IE29" i="1"/>
  <c r="HY35" i="1"/>
  <c r="IB29" i="1"/>
  <c r="IC29" i="1"/>
  <c r="IA35" i="1"/>
  <c r="HY36" i="1"/>
  <c r="IC30" i="1"/>
  <c r="IE30" i="1"/>
  <c r="IA36" i="1"/>
  <c r="HY37" i="1"/>
  <c r="IA37" i="1"/>
  <c r="HY41" i="1"/>
  <c r="IA41" i="1"/>
  <c r="HA49" i="1"/>
  <c r="HC49" i="1" s="1"/>
  <c r="IB31" i="1"/>
  <c r="IC36" i="1"/>
  <c r="HY42" i="1"/>
  <c r="IA42" i="1"/>
  <c r="IA12" i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GP58" i="1" l="1"/>
  <c r="HR40" i="1" s="1"/>
  <c r="GA58" i="1"/>
  <c r="GD58" i="1"/>
  <c r="CY68" i="1"/>
  <c r="CZ68" i="1"/>
  <c r="DA68" i="1"/>
  <c r="DQ68" i="1" s="1"/>
  <c r="FQ58" i="1"/>
  <c r="FS58" i="1" s="1"/>
  <c r="FR58" i="1"/>
  <c r="FP58" i="1"/>
  <c r="CP70" i="1"/>
  <c r="CQ70" i="1"/>
  <c r="DU67" i="1"/>
  <c r="DS67" i="1"/>
  <c r="CV68" i="1"/>
  <c r="CW68" i="1"/>
  <c r="CX68" i="1"/>
  <c r="DN67" i="1"/>
  <c r="FX59" i="1"/>
  <c r="FZ59" i="1" s="1"/>
  <c r="DM67" i="1"/>
  <c r="CS69" i="1"/>
  <c r="CU69" i="1" s="1"/>
  <c r="CT69" i="1"/>
  <c r="FJ59" i="1"/>
  <c r="GQ59" i="1" s="1"/>
  <c r="HQ46" i="1" s="1"/>
  <c r="FM59" i="1"/>
  <c r="FN59" i="1" s="1"/>
  <c r="FW59" i="1"/>
  <c r="DL67" i="1"/>
  <c r="CN71" i="1"/>
  <c r="CA73" i="1"/>
  <c r="BU73" i="1"/>
  <c r="BX73" i="1"/>
  <c r="CE72" i="1"/>
  <c r="CB72" i="1"/>
  <c r="CC72" i="1"/>
  <c r="CK72" i="1" s="1"/>
  <c r="CR72" i="1" s="1"/>
  <c r="HD49" i="1"/>
  <c r="IB11" i="1"/>
  <c r="IB43" i="1"/>
  <c r="IC11" i="1"/>
  <c r="IC43" i="1"/>
  <c r="IE11" i="1"/>
  <c r="IE43" i="1"/>
  <c r="IC42" i="1"/>
  <c r="IE35" i="1"/>
  <c r="IB35" i="1"/>
  <c r="IC35" i="1"/>
  <c r="IB36" i="1"/>
  <c r="IE36" i="1"/>
  <c r="IC37" i="1"/>
  <c r="IE37" i="1"/>
  <c r="IB37" i="1"/>
  <c r="IB41" i="1"/>
  <c r="IE41" i="1"/>
  <c r="IC41" i="1"/>
  <c r="IB42" i="1"/>
  <c r="IE42" i="1"/>
  <c r="IE12" i="1"/>
  <c r="IC12" i="1"/>
  <c r="IB12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CY69" i="1" l="1"/>
  <c r="CZ69" i="1"/>
  <c r="DA69" i="1"/>
  <c r="FQ59" i="1"/>
  <c r="FS59" i="1" s="1"/>
  <c r="FP59" i="1"/>
  <c r="FR59" i="1"/>
  <c r="FT59" i="1" s="1"/>
  <c r="DL68" i="1"/>
  <c r="GA59" i="1"/>
  <c r="GD59" i="1"/>
  <c r="GP59" i="1"/>
  <c r="HR46" i="1" s="1"/>
  <c r="CQ71" i="1"/>
  <c r="CP71" i="1"/>
  <c r="CV69" i="1"/>
  <c r="CW69" i="1"/>
  <c r="CX69" i="1"/>
  <c r="DY67" i="1"/>
  <c r="CS70" i="1"/>
  <c r="CU70" i="1" s="1"/>
  <c r="DP68" i="1"/>
  <c r="DO68" i="1"/>
  <c r="DW67" i="1"/>
  <c r="DX67" i="1" s="1"/>
  <c r="DV67" i="1"/>
  <c r="DR67" i="1"/>
  <c r="GO58" i="1"/>
  <c r="HM40" i="1" s="1"/>
  <c r="GB58" i="1"/>
  <c r="GI58" i="1" s="1"/>
  <c r="GC58" i="1"/>
  <c r="GH58" i="1" s="1"/>
  <c r="DN68" i="1"/>
  <c r="FT58" i="1"/>
  <c r="DM68" i="1"/>
  <c r="HQ28" i="1"/>
  <c r="CC73" i="1"/>
  <c r="CK73" i="1" s="1"/>
  <c r="CR73" i="1" s="1"/>
  <c r="CE73" i="1"/>
  <c r="CB73" i="1"/>
  <c r="BU74" i="1"/>
  <c r="BX74" i="1"/>
  <c r="CA74" i="1"/>
  <c r="HQ22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CY70" i="1" l="1"/>
  <c r="CZ70" i="1"/>
  <c r="DA70" i="1"/>
  <c r="DU68" i="1"/>
  <c r="DS68" i="1"/>
  <c r="DM69" i="1"/>
  <c r="DL69" i="1"/>
  <c r="GY58" i="1"/>
  <c r="CT70" i="1"/>
  <c r="CQ72" i="1"/>
  <c r="CP72" i="1"/>
  <c r="GE58" i="1"/>
  <c r="GF58" i="1" s="1"/>
  <c r="GG58" i="1"/>
  <c r="GS58" i="1" s="1"/>
  <c r="CS71" i="1"/>
  <c r="CU71" i="1" s="1"/>
  <c r="GB59" i="1"/>
  <c r="GC59" i="1"/>
  <c r="GO59" i="1"/>
  <c r="HM46" i="1" s="1"/>
  <c r="DQ69" i="1"/>
  <c r="DZ67" i="1"/>
  <c r="DP69" i="1"/>
  <c r="EA67" i="1"/>
  <c r="DN69" i="1"/>
  <c r="DV68" i="1"/>
  <c r="DZ68" i="1" s="1"/>
  <c r="DW68" i="1"/>
  <c r="DX68" i="1" s="1"/>
  <c r="EA68" i="1" s="1"/>
  <c r="DR68" i="1"/>
  <c r="DO69" i="1"/>
  <c r="HR28" i="1"/>
  <c r="CC74" i="1"/>
  <c r="CK74" i="1" s="1"/>
  <c r="CR74" i="1" s="1"/>
  <c r="CB74" i="1"/>
  <c r="CE74" i="1"/>
  <c r="CN73" i="1"/>
  <c r="HR22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Y71" i="1" l="1"/>
  <c r="CZ71" i="1"/>
  <c r="DA71" i="1"/>
  <c r="GT58" i="1"/>
  <c r="IC40" i="1" s="1"/>
  <c r="GR58" i="1"/>
  <c r="IB40" i="1" s="1"/>
  <c r="HA58" i="1"/>
  <c r="HY40" i="1"/>
  <c r="GE59" i="1"/>
  <c r="GF59" i="1" s="1"/>
  <c r="GG59" i="1"/>
  <c r="CV70" i="1"/>
  <c r="CW70" i="1"/>
  <c r="CX70" i="1"/>
  <c r="CQ73" i="1"/>
  <c r="CP73" i="1"/>
  <c r="DU69" i="1"/>
  <c r="DY69" i="1" s="1"/>
  <c r="DS69" i="1"/>
  <c r="CT71" i="1"/>
  <c r="GZ58" i="1"/>
  <c r="IE40" i="1" s="1"/>
  <c r="IA40" i="1"/>
  <c r="EC67" i="1"/>
  <c r="EB67" i="1"/>
  <c r="ED67" i="1"/>
  <c r="DY68" i="1"/>
  <c r="EB68" i="1" s="1"/>
  <c r="EC68" i="1"/>
  <c r="ED68" i="1"/>
  <c r="GI59" i="1"/>
  <c r="DQ70" i="1"/>
  <c r="DW69" i="1"/>
  <c r="DX69" i="1" s="1"/>
  <c r="EA69" i="1" s="1"/>
  <c r="DV69" i="1"/>
  <c r="DZ69" i="1" s="1"/>
  <c r="DR69" i="1"/>
  <c r="DP70" i="1"/>
  <c r="GH59" i="1"/>
  <c r="CS72" i="1"/>
  <c r="CT72" i="1" s="1"/>
  <c r="DO70" i="1"/>
  <c r="HQ34" i="1"/>
  <c r="CN74" i="1"/>
  <c r="HM28" i="1"/>
  <c r="HM22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V72" i="1" l="1"/>
  <c r="CW72" i="1"/>
  <c r="CX72" i="1"/>
  <c r="CU72" i="1"/>
  <c r="EK67" i="1"/>
  <c r="EE67" i="1"/>
  <c r="EG67" i="1"/>
  <c r="EF67" i="1"/>
  <c r="CS73" i="1"/>
  <c r="CU73" i="1"/>
  <c r="CT73" i="1"/>
  <c r="HD58" i="1"/>
  <c r="HC58" i="1"/>
  <c r="GS59" i="1"/>
  <c r="GY59" i="1"/>
  <c r="EL68" i="1"/>
  <c r="EJ68" i="1"/>
  <c r="EI68" i="1"/>
  <c r="EH68" i="1"/>
  <c r="DN70" i="1"/>
  <c r="CQ74" i="1"/>
  <c r="CP74" i="1"/>
  <c r="EK68" i="1"/>
  <c r="EF68" i="1"/>
  <c r="EG68" i="1"/>
  <c r="EE68" i="1"/>
  <c r="DM70" i="1"/>
  <c r="EL67" i="1"/>
  <c r="EI67" i="1"/>
  <c r="EH67" i="1"/>
  <c r="EJ67" i="1"/>
  <c r="CV71" i="1"/>
  <c r="CW71" i="1"/>
  <c r="CX71" i="1"/>
  <c r="DL70" i="1"/>
  <c r="ED69" i="1"/>
  <c r="EB69" i="1"/>
  <c r="EC69" i="1"/>
  <c r="DP71" i="1"/>
  <c r="DS70" i="1"/>
  <c r="DU70" i="1"/>
  <c r="HM34" i="1"/>
  <c r="HR34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IA28" i="1" s="1"/>
  <c r="GS56" i="1"/>
  <c r="HY28" i="1" s="1"/>
  <c r="GS55" i="1"/>
  <c r="GY55" i="1"/>
  <c r="GE57" i="1"/>
  <c r="GF57" i="1" s="1"/>
  <c r="GG57" i="1"/>
  <c r="GH57" i="1"/>
  <c r="GI57" i="1"/>
  <c r="AS78" i="1"/>
  <c r="AT78" i="1" s="1"/>
  <c r="DY70" i="1" l="1"/>
  <c r="GZ59" i="1"/>
  <c r="IE46" i="1" s="1"/>
  <c r="IA46" i="1"/>
  <c r="DN71" i="1"/>
  <c r="GT59" i="1"/>
  <c r="IC46" i="1" s="1"/>
  <c r="GR59" i="1"/>
  <c r="IB46" i="1" s="1"/>
  <c r="HY46" i="1"/>
  <c r="HA59" i="1"/>
  <c r="CU74" i="1"/>
  <c r="CT74" i="1"/>
  <c r="CS74" i="1"/>
  <c r="EK69" i="1"/>
  <c r="EG69" i="1"/>
  <c r="EF69" i="1"/>
  <c r="EE69" i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EL69" i="1"/>
  <c r="EJ69" i="1"/>
  <c r="EH69" i="1"/>
  <c r="EI69" i="1"/>
  <c r="CV73" i="1"/>
  <c r="CW73" i="1"/>
  <c r="CX73" i="1"/>
  <c r="DN72" i="1"/>
  <c r="DQ71" i="1"/>
  <c r="CY73" i="1"/>
  <c r="DO73" i="1" s="1"/>
  <c r="CZ73" i="1"/>
  <c r="DA73" i="1"/>
  <c r="DQ73" i="1" s="1"/>
  <c r="DM72" i="1"/>
  <c r="DO71" i="1"/>
  <c r="DW70" i="1"/>
  <c r="DX70" i="1" s="1"/>
  <c r="EA70" i="1" s="1"/>
  <c r="DR70" i="1"/>
  <c r="DV70" i="1"/>
  <c r="EO68" i="1"/>
  <c r="ER68" i="1" s="1"/>
  <c r="EM68" i="1"/>
  <c r="EN68" i="1"/>
  <c r="DL72" i="1"/>
  <c r="IA22" i="1"/>
  <c r="HY2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DW71" i="1" l="1"/>
  <c r="DX71" i="1" s="1"/>
  <c r="DR71" i="1"/>
  <c r="DV71" i="1"/>
  <c r="DZ71" i="1" s="1"/>
  <c r="DS71" i="1"/>
  <c r="DU71" i="1"/>
  <c r="DY71" i="1" s="1"/>
  <c r="EQ67" i="1"/>
  <c r="EZ67" i="1" s="1"/>
  <c r="FC67" i="1" s="1"/>
  <c r="EP67" i="1"/>
  <c r="DW72" i="1"/>
  <c r="DX72" i="1" s="1"/>
  <c r="DV72" i="1"/>
  <c r="DR72" i="1"/>
  <c r="EN69" i="1"/>
  <c r="EM69" i="1"/>
  <c r="EO69" i="1"/>
  <c r="ER69" i="1" s="1"/>
  <c r="EQ68" i="1"/>
  <c r="EZ68" i="1" s="1"/>
  <c r="FC68" i="1" s="1"/>
  <c r="EP68" i="1"/>
  <c r="DN73" i="1"/>
  <c r="CV74" i="1"/>
  <c r="CW74" i="1"/>
  <c r="CX74" i="1"/>
  <c r="DM73" i="1"/>
  <c r="DU72" i="1"/>
  <c r="DS72" i="1"/>
  <c r="CY74" i="1"/>
  <c r="DO74" i="1" s="1"/>
  <c r="CZ74" i="1"/>
  <c r="DP74" i="1" s="1"/>
  <c r="DA74" i="1"/>
  <c r="DQ74" i="1" s="1"/>
  <c r="DZ70" i="1"/>
  <c r="DP73" i="1"/>
  <c r="DL73" i="1"/>
  <c r="HC59" i="1"/>
  <c r="HD59" i="1"/>
  <c r="DU73" i="1"/>
  <c r="DY73" i="1" s="1"/>
  <c r="DS73" i="1"/>
  <c r="IE28" i="1"/>
  <c r="IC22" i="1"/>
  <c r="IB22" i="1"/>
  <c r="IE22" i="1"/>
  <c r="IB28" i="1"/>
  <c r="IA34" i="1"/>
  <c r="HY34" i="1"/>
  <c r="IC28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DM74" i="1" l="1"/>
  <c r="FY67" i="1"/>
  <c r="HE67" i="1" s="1"/>
  <c r="FF67" i="1"/>
  <c r="FI67" i="1" s="1"/>
  <c r="DS74" i="1"/>
  <c r="DU74" i="1"/>
  <c r="DL74" i="1"/>
  <c r="EP69" i="1"/>
  <c r="EQ69" i="1"/>
  <c r="EZ69" i="1" s="1"/>
  <c r="FC69" i="1" s="1"/>
  <c r="DY72" i="1"/>
  <c r="DR73" i="1"/>
  <c r="DV73" i="1"/>
  <c r="DW73" i="1"/>
  <c r="DX73" i="1" s="1"/>
  <c r="FA68" i="1"/>
  <c r="EV68" i="1"/>
  <c r="FB68" i="1"/>
  <c r="DZ72" i="1"/>
  <c r="EC70" i="1"/>
  <c r="EB70" i="1"/>
  <c r="ED70" i="1"/>
  <c r="EA72" i="1"/>
  <c r="EA71" i="1"/>
  <c r="ED71" i="1" s="1"/>
  <c r="DN74" i="1"/>
  <c r="FF68" i="1"/>
  <c r="FI68" i="1" s="1"/>
  <c r="FY68" i="1"/>
  <c r="HE68" i="1" s="1"/>
  <c r="EV67" i="1"/>
  <c r="FB67" i="1"/>
  <c r="FA67" i="1"/>
  <c r="IC34" i="1"/>
  <c r="IE34" i="1"/>
  <c r="IB34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EL71" i="1" l="1"/>
  <c r="EI71" i="1"/>
  <c r="EH71" i="1"/>
  <c r="EJ71" i="1"/>
  <c r="FD68" i="1"/>
  <c r="FV68" i="1" s="1"/>
  <c r="EW68" i="1"/>
  <c r="HB68" i="1"/>
  <c r="HF68" i="1" s="1"/>
  <c r="EX68" i="1"/>
  <c r="FH68" i="1" s="1"/>
  <c r="FE68" i="1"/>
  <c r="DY74" i="1"/>
  <c r="FL67" i="1"/>
  <c r="FO67" i="1"/>
  <c r="FL68" i="1"/>
  <c r="FO68" i="1"/>
  <c r="FF69" i="1"/>
  <c r="FI69" i="1" s="1"/>
  <c r="FY69" i="1"/>
  <c r="HE69" i="1" s="1"/>
  <c r="HB67" i="1"/>
  <c r="HF67" i="1" s="1"/>
  <c r="EW67" i="1"/>
  <c r="EX67" i="1"/>
  <c r="FD67" i="1"/>
  <c r="FV67" i="1" s="1"/>
  <c r="FE67" i="1"/>
  <c r="EL70" i="1"/>
  <c r="EJ70" i="1"/>
  <c r="EI70" i="1"/>
  <c r="EH70" i="1"/>
  <c r="EB71" i="1"/>
  <c r="HG67" i="1"/>
  <c r="HH67" i="1"/>
  <c r="HG68" i="1"/>
  <c r="HH68" i="1"/>
  <c r="EC71" i="1"/>
  <c r="FB69" i="1"/>
  <c r="EV69" i="1"/>
  <c r="FA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EA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EL72" i="1" l="1"/>
  <c r="EI72" i="1"/>
  <c r="EJ72" i="1"/>
  <c r="EH72" i="1"/>
  <c r="EK71" i="1"/>
  <c r="EF71" i="1"/>
  <c r="EG71" i="1"/>
  <c r="EE71" i="1"/>
  <c r="FG68" i="1"/>
  <c r="FU68" i="1"/>
  <c r="DZ74" i="1"/>
  <c r="EB73" i="1"/>
  <c r="EC73" i="1"/>
  <c r="ED73" i="1"/>
  <c r="FH67" i="1"/>
  <c r="EN70" i="1"/>
  <c r="EO70" i="1"/>
  <c r="ER70" i="1" s="1"/>
  <c r="EM70" i="1"/>
  <c r="FL69" i="1"/>
  <c r="FO69" i="1"/>
  <c r="FG67" i="1"/>
  <c r="FU67" i="1"/>
  <c r="EK72" i="1"/>
  <c r="EF72" i="1"/>
  <c r="EG72" i="1"/>
  <c r="EE72" i="1"/>
  <c r="EW69" i="1"/>
  <c r="FD69" i="1"/>
  <c r="FV69" i="1" s="1"/>
  <c r="FE69" i="1"/>
  <c r="EX69" i="1"/>
  <c r="FH69" i="1" s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EK73" i="1" l="1"/>
  <c r="EG73" i="1"/>
  <c r="EE73" i="1"/>
  <c r="EF73" i="1"/>
  <c r="EN71" i="1"/>
  <c r="EO71" i="1"/>
  <c r="ER71" i="1" s="1"/>
  <c r="EM71" i="1"/>
  <c r="FX67" i="1"/>
  <c r="FZ67" i="1" s="1"/>
  <c r="ED74" i="1"/>
  <c r="EC74" i="1"/>
  <c r="EB74" i="1"/>
  <c r="HG69" i="1"/>
  <c r="EO72" i="1"/>
  <c r="ER72" i="1" s="1"/>
  <c r="EN72" i="1"/>
  <c r="EM72" i="1"/>
  <c r="FM67" i="1"/>
  <c r="FN67" i="1" s="1"/>
  <c r="FW67" i="1"/>
  <c r="FJ67" i="1"/>
  <c r="GQ67" i="1" s="1"/>
  <c r="FJ68" i="1"/>
  <c r="GQ68" i="1" s="1"/>
  <c r="HQ13" i="1" s="1"/>
  <c r="FW68" i="1"/>
  <c r="FX68" i="1" s="1"/>
  <c r="FZ68" i="1" s="1"/>
  <c r="FM68" i="1"/>
  <c r="FN68" i="1" s="1"/>
  <c r="FG69" i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GP68" i="1" l="1"/>
  <c r="HR13" i="1" s="1"/>
  <c r="GD68" i="1"/>
  <c r="GA68" i="1"/>
  <c r="FR68" i="1"/>
  <c r="FQ68" i="1"/>
  <c r="FS68" i="1" s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S67" i="1" s="1"/>
  <c r="FF70" i="1"/>
  <c r="FI70" i="1" s="1"/>
  <c r="FY70" i="1"/>
  <c r="HE70" i="1" s="1"/>
  <c r="FW69" i="1"/>
  <c r="FJ69" i="1"/>
  <c r="GQ69" i="1" s="1"/>
  <c r="HQ16" i="1" s="1"/>
  <c r="FM69" i="1"/>
  <c r="FN69" i="1" s="1"/>
  <c r="EK74" i="1"/>
  <c r="EF74" i="1"/>
  <c r="EE74" i="1"/>
  <c r="EG74" i="1"/>
  <c r="GA67" i="1"/>
  <c r="GD67" i="1"/>
  <c r="GP67" i="1"/>
  <c r="FA70" i="1"/>
  <c r="EV70" i="1"/>
  <c r="FB70" i="1"/>
  <c r="FX69" i="1"/>
  <c r="FZ69" i="1" s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FY72" i="1" l="1"/>
  <c r="HE72" i="1" s="1"/>
  <c r="FF72" i="1"/>
  <c r="FI72" i="1" s="1"/>
  <c r="GA69" i="1"/>
  <c r="GP69" i="1"/>
  <c r="HR16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H67" i="1" s="1"/>
  <c r="GO68" i="1"/>
  <c r="HM13" i="1" s="1"/>
  <c r="GB68" i="1"/>
  <c r="GC68" i="1"/>
  <c r="GH68" i="1" s="1"/>
  <c r="FL70" i="1"/>
  <c r="FO70" i="1"/>
  <c r="FR69" i="1"/>
  <c r="FT69" i="1" s="1"/>
  <c r="FQ69" i="1"/>
  <c r="FS69" i="1" s="1"/>
  <c r="FP69" i="1"/>
  <c r="FT67" i="1"/>
  <c r="FT68" i="1"/>
  <c r="GI67" i="1"/>
  <c r="FA71" i="1"/>
  <c r="EV71" i="1"/>
  <c r="FB71" i="1"/>
  <c r="FF71" i="1"/>
  <c r="FI71" i="1" s="1"/>
  <c r="FY71" i="1"/>
  <c r="HE71" i="1" s="1"/>
  <c r="GI68" i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EW71" i="1" l="1"/>
  <c r="EX71" i="1"/>
  <c r="HB71" i="1"/>
  <c r="HF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FH72" i="1" s="1"/>
  <c r="EW72" i="1"/>
  <c r="HB72" i="1"/>
  <c r="HF72" i="1" s="1"/>
  <c r="GY68" i="1"/>
  <c r="FL72" i="1"/>
  <c r="FO72" i="1"/>
  <c r="HG71" i="1"/>
  <c r="HH71" i="1"/>
  <c r="GE68" i="1"/>
  <c r="GF68" i="1" s="1"/>
  <c r="GG68" i="1"/>
  <c r="GS68" i="1" s="1"/>
  <c r="CP83" i="1"/>
  <c r="CQ83" i="1"/>
  <c r="HH70" i="1"/>
  <c r="GB69" i="1"/>
  <c r="GO69" i="1"/>
  <c r="HM16" i="1" s="1"/>
  <c r="GC69" i="1"/>
  <c r="GH69" i="1" s="1"/>
  <c r="GY67" i="1"/>
  <c r="FH70" i="1"/>
  <c r="GG67" i="1"/>
  <c r="GS67" i="1" s="1"/>
  <c r="GE67" i="1"/>
  <c r="GF67" i="1" s="1"/>
  <c r="FG70" i="1"/>
  <c r="FU70" i="1"/>
  <c r="HH72" i="1"/>
  <c r="HG72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GR67" i="1" l="1"/>
  <c r="GT67" i="1"/>
  <c r="HA67" i="1"/>
  <c r="GR68" i="1"/>
  <c r="IB13" i="1" s="1"/>
  <c r="GT68" i="1"/>
  <c r="IC13" i="1" s="1"/>
  <c r="HY13" i="1"/>
  <c r="HA68" i="1"/>
  <c r="GZ68" i="1"/>
  <c r="IE13" i="1" s="1"/>
  <c r="IA13" i="1"/>
  <c r="FF74" i="1"/>
  <c r="FI74" i="1" s="1"/>
  <c r="FY74" i="1"/>
  <c r="HE74" i="1" s="1"/>
  <c r="CP84" i="1"/>
  <c r="CQ84" i="1"/>
  <c r="GI69" i="1"/>
  <c r="GY69" i="1" s="1"/>
  <c r="GZ67" i="1"/>
  <c r="FU72" i="1"/>
  <c r="FG72" i="1"/>
  <c r="FD73" i="1"/>
  <c r="FV73" i="1" s="1"/>
  <c r="EX73" i="1"/>
  <c r="FH73" i="1" s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S69" i="1" s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GA70" i="1" l="1"/>
  <c r="GP70" i="1"/>
  <c r="HR21" i="1" s="1"/>
  <c r="GD70" i="1"/>
  <c r="GZ69" i="1"/>
  <c r="IE16" i="1" s="1"/>
  <c r="IA16" i="1"/>
  <c r="CY83" i="1"/>
  <c r="CZ83" i="1"/>
  <c r="DA83" i="1"/>
  <c r="GT69" i="1"/>
  <c r="IC16" i="1" s="1"/>
  <c r="GR69" i="1"/>
  <c r="IB16" i="1" s="1"/>
  <c r="HY16" i="1"/>
  <c r="HA69" i="1"/>
  <c r="HC68" i="1"/>
  <c r="HD68" i="1"/>
  <c r="FR70" i="1"/>
  <c r="FP70" i="1"/>
  <c r="FQ70" i="1"/>
  <c r="FS70" i="1" s="1"/>
  <c r="FX71" i="1"/>
  <c r="FZ71" i="1" s="1"/>
  <c r="CN86" i="1"/>
  <c r="CR86" i="1"/>
  <c r="FJ72" i="1"/>
  <c r="GQ72" i="1" s="1"/>
  <c r="HQ33" i="1" s="1"/>
  <c r="FM72" i="1"/>
  <c r="FN72" i="1" s="1"/>
  <c r="FW72" i="1"/>
  <c r="CU84" i="1"/>
  <c r="CS84" i="1"/>
  <c r="CT84" i="1" s="1"/>
  <c r="FJ71" i="1"/>
  <c r="GQ71" i="1" s="1"/>
  <c r="HQ27" i="1" s="1"/>
  <c r="FW71" i="1"/>
  <c r="FM71" i="1"/>
  <c r="FN71" i="1" s="1"/>
  <c r="CT83" i="1"/>
  <c r="EW74" i="1"/>
  <c r="EX74" i="1"/>
  <c r="FH74" i="1" s="1"/>
  <c r="HB74" i="1"/>
  <c r="HF74" i="1" s="1"/>
  <c r="FE74" i="1"/>
  <c r="FD74" i="1"/>
  <c r="FV74" i="1" s="1"/>
  <c r="FL74" i="1"/>
  <c r="FO74" i="1"/>
  <c r="FX72" i="1"/>
  <c r="FZ72" i="1" s="1"/>
  <c r="HG73" i="1"/>
  <c r="HH74" i="1"/>
  <c r="HG74" i="1"/>
  <c r="HD67" i="1"/>
  <c r="HC67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CV84" i="1" l="1"/>
  <c r="CW84" i="1"/>
  <c r="CX84" i="1"/>
  <c r="FJ73" i="1"/>
  <c r="GQ73" i="1" s="1"/>
  <c r="HQ39" i="1" s="1"/>
  <c r="FW73" i="1"/>
  <c r="FM73" i="1"/>
  <c r="FN73" i="1" s="1"/>
  <c r="CQ86" i="1"/>
  <c r="CP86" i="1"/>
  <c r="HD69" i="1"/>
  <c r="HC69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T72" i="1" s="1"/>
  <c r="FP72" i="1"/>
  <c r="FQ72" i="1"/>
  <c r="GB70" i="1"/>
  <c r="GO70" i="1"/>
  <c r="HM21" i="1" s="1"/>
  <c r="GC70" i="1"/>
  <c r="GH70" i="1" s="1"/>
  <c r="FR71" i="1"/>
  <c r="FP71" i="1"/>
  <c r="FQ71" i="1"/>
  <c r="FS71" i="1" s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CV85" i="1" l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GH71" i="1" s="1"/>
  <c r="FR73" i="1"/>
  <c r="FP73" i="1"/>
  <c r="FQ73" i="1"/>
  <c r="FS73" i="1" s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GP74" i="1" l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FT74" i="1" s="1"/>
  <c r="GH72" i="1"/>
  <c r="GS71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CY87" i="1" l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H74" i="1" s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GI74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DL87" i="1" l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GS74" i="1" s="1"/>
  <c r="DP87" i="1"/>
  <c r="DM87" i="1"/>
  <c r="GY74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AN164" i="1" s="1" a="1"/>
  <c r="AN164" i="1" s="1"/>
  <c r="GR74" i="1" l="1"/>
  <c r="IB45" i="1" s="1"/>
  <c r="GT74" i="1"/>
  <c r="IC45" i="1" s="1"/>
  <c r="HY45" i="1"/>
  <c r="HA74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C73" i="1" l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FF84" i="1" l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EN87" i="1" l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<sst xmlns="http://schemas.openxmlformats.org/spreadsheetml/2006/main" count="912" uniqueCount="427">
  <si>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</si>
  <si>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</si>
  <si>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</si>
  <si>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</si>
  <si>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</si>
  <si>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</si>
  <si>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</si>
  <si>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</si>
  <si>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</si>
  <si>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</si>
  <si>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</si>
  <si>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</si>
  <si>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</si>
  <si>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</si>
  <si>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</si>
  <si>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</si>
  <si>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</si>
  <si>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</si>
  <si>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</si>
  <si>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</si>
  <si>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</si>
  <si>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</si>
  <si>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</si>
  <si>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</si>
  <si>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</si>
  <si>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</si>
  <si>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</si>
  <si>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</si>
  <si>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</si>
  <si>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</si>
  <si>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</si>
  <si>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</si>
  <si>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</si>
  <si>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</si>
  <si>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</si>
  <si>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</si>
  <si>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</si>
  <si>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</si>
  <si>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</si>
  <si>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</si>
  <si>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</si>
  <si>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</si>
  <si>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</si>
  <si>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</si>
  <si>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</si>
  <si>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</si>
  <si>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</si>
  <si>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</si>
  <si>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</si>
  <si>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</si>
  <si>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</si>
  <si>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</si>
  <si>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</si>
  <si>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</si>
  <si>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</si>
  <si>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</si>
  <si>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</si>
  <si>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</si>
  <si>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</si>
  <si>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</si>
  <si>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</si>
  <si>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</si>
  <si>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</si>
  <si>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</si>
  <si>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</si>
  <si>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</si>
  <si>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</si>
  <si>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</si>
  <si>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</si>
  <si>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</si>
  <si>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</si>
  <si>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</si>
  <si>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</si>
  <si>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</si>
  <si>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</si>
  <si>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</si>
  <si>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</si>
  <si>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</si>
  <si>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</si>
  <si>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</si>
  <si>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</si>
  <si>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</si>
  <si>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</si>
  <si>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</si>
  <si>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</si>
  <si>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</si>
  <si>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</si>
  <si>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</si>
  <si>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</si>
  <si>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</si>
  <si>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</si>
  <si>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</si>
  <si>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</si>
  <si>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</si>
  <si>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</si>
  <si>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</si>
  <si>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</si>
  <si>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</si>
  <si>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</si>
  <si>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</si>
  <si>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</si>
  <si>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</si>
  <si>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</si>
  <si>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</si>
  <si>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</si>
  <si>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</si>
  <si>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</si>
  <si>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</si>
  <si>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</si>
  <si>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</si>
  <si>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</si>
  <si>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</si>
  <si>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</si>
  <si>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</si>
  <si>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</si>
  <si>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</si>
  <si>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</si>
  <si>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</si>
  <si>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</si>
  <si>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</si>
  <si>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</si>
  <si>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</si>
  <si>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</si>
  <si>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</si>
  <si>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</si>
  <si>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</si>
  <si>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</si>
  <si>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</si>
  <si>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</si>
  <si>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</si>
  <si>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</si>
  <si>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</si>
  <si>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</si>
  <si>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</si>
  <si>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</si>
  <si>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</si>
  <si>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</si>
  <si>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</si>
  <si>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</si>
  <si>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</si>
  <si>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</si>
  <si>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</si>
  <si>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</si>
  <si>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</si>
  <si>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</si>
  <si>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</si>
  <si>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</si>
  <si>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</si>
  <si>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</si>
  <si>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</si>
  <si>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</si>
  <si>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</si>
  <si>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</si>
  <si>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</si>
  <si>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</si>
  <si>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</si>
  <si>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</si>
  <si>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</si>
  <si>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</si>
  <si>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</si>
  <si>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</si>
  <si>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</si>
  <si>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</si>
  <si>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</si>
  <si>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</si>
  <si>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</si>
  <si>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</si>
  <si>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</si>
  <si>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</si>
  <si>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</si>
  <si>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</si>
  <si>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</si>
  <si>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</si>
  <si>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</si>
  <si>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</si>
  <si>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</si>
  <si>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</si>
  <si>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</si>
  <si>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</si>
  <si>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</si>
  <si>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</si>
  <si>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</si>
  <si>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</si>
  <si>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</si>
  <si>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</si>
  <si>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</si>
  <si>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</si>
  <si>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</si>
  <si>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</si>
  <si>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</si>
  <si>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</si>
  <si>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</si>
  <si>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</si>
  <si>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</si>
  <si>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</si>
  <si>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</si>
  <si>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</si>
  <si>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</si>
  <si>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</si>
  <si>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</si>
  <si>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</si>
  <si>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</si>
  <si>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</si>
  <si>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</si>
  <si>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</si>
  <si>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</si>
  <si>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</si>
  <si>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</si>
  <si>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</si>
  <si>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</si>
  <si>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</si>
  <si>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</si>
  <si>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</si>
  <si>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</si>
  <si>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</si>
  <si>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</si>
  <si>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</si>
  <si>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</si>
  <si>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</si>
  <si>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</si>
  <si>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</si>
  <si>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</si>
  <si>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</si>
  <si>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</si>
  <si>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</si>
  <si>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</si>
  <si>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</si>
  <si>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</si>
  <si>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</si>
  <si>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</si>
  <si>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</si>
  <si>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</si>
  <si>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</si>
  <si>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</si>
  <si>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</si>
  <si>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</si>
  <si>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</si>
  <si>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</si>
  <si>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</si>
  <si>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</si>
  <si>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</si>
  <si>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</si>
  <si>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</si>
  <si>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</si>
  <si>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</si>
  <si>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</si>
  <si>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</si>
  <si>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</si>
  <si>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</si>
  <si>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</si>
  <si>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</si>
  <si>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</si>
  <si>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</si>
  <si>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</si>
  <si>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</si>
  <si>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</si>
  <si>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</si>
  <si>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</si>
  <si>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</si>
  <si>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</si>
  <si>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</si>
  <si>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</si>
  <si>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</si>
  <si>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</si>
  <si>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</si>
  <si>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</si>
  <si>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</si>
  <si>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</si>
  <si>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</si>
  <si>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</si>
  <si>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</si>
  <si>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</si>
  <si>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</si>
  <si>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</si>
  <si>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</si>
  <si>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</si>
  <si>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</si>
  <si>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</si>
  <si>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</si>
  <si>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</si>
  <si>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</si>
  <si>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</si>
  <si>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</si>
  <si>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</si>
  <si>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</si>
  <si>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</si>
  <si>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</si>
  <si>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</si>
  <si>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</si>
  <si>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</si>
  <si>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</si>
  <si>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</si>
  <si>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</si>
  <si>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</si>
  <si>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</si>
  <si>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</si>
  <si>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</si>
  <si>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</si>
  <si>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</si>
  <si>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</si>
  <si>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</si>
  <si>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</si>
  <si>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</si>
  <si>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</si>
  <si>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</si>
  <si>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</si>
  <si>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</si>
  <si>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</si>
  <si>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</si>
  <si>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</si>
  <si>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</si>
  <si>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</si>
  <si>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</si>
  <si>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</si>
  <si>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</si>
  <si>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</si>
  <si>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</si>
  <si>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</si>
  <si>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</si>
  <si>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</si>
  <si>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</si>
  <si>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</si>
  <si>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</si>
  <si>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</si>
  <si>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</si>
  <si>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</si>
  <si>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</si>
  <si>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</si>
  <si>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</si>
  <si>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</si>
  <si>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</si>
  <si>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</si>
  <si>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</si>
  <si>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</si>
  <si>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</si>
  <si>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</si>
  <si>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</si>
  <si>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</si>
  <si>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</si>
  <si>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</si>
  <si>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</si>
  <si>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</si>
  <si>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</si>
  <si>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</si>
  <si>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</si>
  <si>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</si>
  <si>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</si>
  <si>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</si>
  <si>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</si>
  <si>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</si>
  <si>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</si>
  <si>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</si>
  <si>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</si>
  <si>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</si>
  <si>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</si>
  <si>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</si>
  <si>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</si>
  <si>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</si>
  <si>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</si>
  <si>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</si>
  <si>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</si>
  <si>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</si>
  <si>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</si>
  <si>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</si>
  <si>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</si>
  <si>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</si>
  <si>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</si>
  <si>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</si>
  <si>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</si>
  <si>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</si>
  <si>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</si>
  <si>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</si>
  <si>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</si>
  <si>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</si>
  <si>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</si>
  <si>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</si>
  <si>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</si>
  <si>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</si>
  <si>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</si>
  <si>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</si>
  <si>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</si>
  <si>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</si>
  <si>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</si>
  <si>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</si>
  <si>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</si>
  <si>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</si>
  <si>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</si>
  <si>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</si>
  <si>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</si>
  <si>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</si>
  <si>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</si>
  <si>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</si>
  <si>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</si>
  <si>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</si>
  <si>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</si>
  <si>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</si>
  <si>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</si>
  <si>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</si>
  <si>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</si>
  <si>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</si>
  <si>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</si>
  <si>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</si>
  <si>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</si>
  <si>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</si>
  <si>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</si>
  <si>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</si>
  <si>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</si>
  <si>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</si>
  <si>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</si>
  <si>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</si>
  <si>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</si>
  <si>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</si>
  <si>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</si>
  <si>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</si>
  <si>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</si>
  <si>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</si>
  <si>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</si>
  <si>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</si>
  <si>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</si>
  <si>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1613.par</t>
  </si>
  <si>
    <t>1313.par</t>
  </si>
  <si>
    <t>pattern</t>
  </si>
  <si>
    <t>8896r00</t>
  </si>
  <si>
    <t>1613 Ripper.par</t>
  </si>
  <si>
    <t>1310.par</t>
  </si>
  <si>
    <t>32193r1.par</t>
  </si>
  <si>
    <t>perp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</si>
</sst>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48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76" fontId="0" fillId="62" borderId="202" xfId="0" applyNumberFormat="1" applyFill="1" applyBorder="1" applyAlignment="1">
      <alignment horizontal="center"/>
    </xf>
    <xf numFmtId="176" fontId="0" fillId="62" borderId="54" xfId="0" applyNumberFormat="1" applyFill="1" applyBorder="1" applyAlignment="1">
      <alignment horizontal="center"/>
    </xf>
    <xf numFmtId="176" fontId="0" fillId="62" borderId="359" xfId="0" applyNumberFormat="1" applyFill="1" applyBorder="1" applyAlignment="1">
      <alignment horizontal="center"/>
    </xf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0" fillId="0" borderId="134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0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8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247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1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6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191" xfId="0" applyBorder="1" applyAlignment="1">
      <alignment horizontal="center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190" xfId="0" applyBorder="1" applyAlignment="1">
      <alignment horizontal="center"/>
    </xf>
    <xf numFmtId="0" fontId="0" fillId="0" borderId="243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250" xfId="0" applyBorder="1" applyAlignment="1">
      <alignment horizontal="center"/>
    </xf>
    <xf numFmtId="0" fontId="0" fillId="0" borderId="173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10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A30" sqref="A3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169" t="s">
        <v>77</v>
      </c>
      <c r="D1" s="1169"/>
      <c r="E1" s="1169"/>
      <c r="F1" s="1169"/>
      <c r="G1" s="1169"/>
      <c r="H1" s="1169"/>
      <c r="I1" s="1169"/>
      <c r="J1" s="1169"/>
      <c r="K1" s="1169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80" t="s">
        <v>80</v>
      </c>
      <c r="B6" s="1080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325" t="s">
        <v>370</v>
      </c>
      <c r="AQ7" s="1325"/>
      <c r="AR7" s="1325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328">
        <v>9</v>
      </c>
      <c r="D9" s="1096"/>
      <c r="E9" s="1096"/>
      <c r="F9" s="1096"/>
      <c r="G9" s="1096"/>
      <c r="H9" s="1096"/>
      <c r="I9" s="1096"/>
      <c r="J9" s="1096"/>
      <c r="K9" s="1329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320"/>
      <c r="C10" s="1321"/>
      <c r="D10" s="1321"/>
      <c r="E10" s="1321"/>
      <c r="F10" s="1321"/>
      <c r="G10" s="1321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334"/>
      <c r="B11" s="1326" t="s">
        <v>33</v>
      </c>
      <c r="C11" s="1333" t="s">
        <v>34</v>
      </c>
      <c r="D11" s="1333"/>
      <c r="E11" s="1330" t="s">
        <v>39</v>
      </c>
      <c r="F11" s="1326" t="s">
        <v>35</v>
      </c>
      <c r="G11" s="1326" t="s">
        <v>36</v>
      </c>
      <c r="H11" s="1326" t="s">
        <v>43</v>
      </c>
      <c r="I11" s="1331" t="s">
        <v>67</v>
      </c>
      <c r="J11" s="1333" t="s">
        <v>56</v>
      </c>
      <c r="K11" s="1333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311" t="s">
        <v>338</v>
      </c>
      <c r="AN11" s="1096"/>
      <c r="AO11" s="1096"/>
      <c r="AP11" s="1096"/>
      <c r="AQ11" s="1096"/>
      <c r="AR11" s="1164"/>
      <c r="AS11" s="1314" t="s">
        <v>345</v>
      </c>
      <c r="AT11" s="1078"/>
      <c r="AU11" s="1078"/>
      <c r="AV11" s="1315"/>
      <c r="BC11" s="419"/>
    </row>
    <row r="12" spans="1:55" ht="15.75" thickBot="1" x14ac:dyDescent="0.3">
      <c r="A12" s="1335"/>
      <c r="B12" s="1327"/>
      <c r="C12" s="48" t="s">
        <v>8</v>
      </c>
      <c r="D12" s="49" t="s">
        <v>10</v>
      </c>
      <c r="E12" s="1327"/>
      <c r="F12" s="1327"/>
      <c r="G12" s="1327"/>
      <c r="H12" s="1327"/>
      <c r="I12" s="1332"/>
      <c r="J12" s="52" t="s">
        <v>8</v>
      </c>
      <c r="K12" s="53" t="s">
        <v>10</v>
      </c>
      <c r="M12" s="31"/>
      <c r="N12" s="31"/>
      <c r="O12" s="1343" t="s">
        <v>46</v>
      </c>
      <c r="P12" s="1159"/>
      <c r="Q12" s="1161" t="s">
        <v>45</v>
      </c>
      <c r="R12" s="1162"/>
      <c r="S12" s="1162"/>
      <c r="T12" s="1162"/>
      <c r="U12" s="1162"/>
      <c r="V12" s="1162"/>
      <c r="W12" s="1162"/>
      <c r="X12" s="1162"/>
      <c r="Y12" s="1162"/>
      <c r="Z12" s="1162"/>
      <c r="AA12" s="1162"/>
      <c r="AB12" s="1162"/>
      <c r="AC12" s="1162"/>
      <c r="AD12" s="1162"/>
      <c r="AE12" s="1328"/>
      <c r="AF12" s="1337" t="s">
        <v>56</v>
      </c>
      <c r="AG12" s="1338"/>
      <c r="AH12" s="31"/>
      <c r="AK12" s="992" t="s">
        <v>346</v>
      </c>
      <c r="AL12" s="1322"/>
      <c r="AM12" s="1312" t="s">
        <v>343</v>
      </c>
      <c r="AN12" s="993"/>
      <c r="AO12" s="994"/>
      <c r="AP12" s="992" t="s">
        <v>371</v>
      </c>
      <c r="AQ12" s="994"/>
      <c r="AR12" s="743" t="s">
        <v>369</v>
      </c>
      <c r="AS12" s="1059" t="s">
        <v>343</v>
      </c>
      <c r="AT12" s="994"/>
      <c r="AU12" s="1060" t="s">
        <v>344</v>
      </c>
      <c r="AV12" s="1090"/>
      <c r="AW12" s="1165" t="s">
        <v>342</v>
      </c>
      <c r="AX12" s="1300"/>
      <c r="AZ12" s="992" t="s">
        <v>60</v>
      </c>
      <c r="BA12" s="994"/>
      <c r="BC12" s="1313" t="s">
        <v>374</v>
      </c>
    </row>
    <row r="13" spans="1:55" ht="15.75" thickBot="1" x14ac:dyDescent="0.3">
      <c r="A13" s="63" t="s">
        <v>57</v>
      </c>
      <c r="B13" s="1316" t="s">
        <v>97</v>
      </c>
      <c r="C13" s="1318" t="str">
        <f>SUBSTITUTE(ADDRESS(1,COLUMN(Assy.Model!X9),4),"1","")</f>
        <v>X</v>
      </c>
      <c r="D13" s="97" t="str">
        <f>SUBSTITUTE(ADDRESS(1,COLUMN(Assy.Model!Y9),4),"1","")</f>
        <v>Y</v>
      </c>
      <c r="E13" s="1323" t="str">
        <f>SUBSTITUTE(ADDRESS(1,COLUMN(Assy.Model!H9),4),"1","")</f>
        <v>H</v>
      </c>
      <c r="F13" s="1323" t="str">
        <f>SUBSTITUTE(ADDRESS(1,COLUMN(Assy.Model!AN9),4),"1","")</f>
        <v>AN</v>
      </c>
      <c r="G13" s="1323" t="str">
        <f>SUBSTITUTE(ADDRESS(1,COLUMN(Assy.Model!AO9),4),"1","")</f>
        <v>AO</v>
      </c>
      <c r="H13" s="1323" t="str">
        <f>SUBSTITUTE(ADDRESS(1,COLUMN(Assy.Model!AO9),4),"1","")</f>
        <v>AO</v>
      </c>
      <c r="I13" s="1323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344"/>
      <c r="P13" s="1345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313"/>
    </row>
    <row r="14" spans="1:55" x14ac:dyDescent="0.25">
      <c r="A14" s="61" t="s">
        <v>58</v>
      </c>
      <c r="B14" s="1317"/>
      <c r="C14" s="1319"/>
      <c r="D14" s="98" t="str">
        <f>SUBSTITUTE(ADDRESS(1,COLUMN(Assy.Model!AT9),4),"1","")</f>
        <v>AT</v>
      </c>
      <c r="E14" s="1324"/>
      <c r="F14" s="1324"/>
      <c r="G14" s="1324"/>
      <c r="H14" s="1324"/>
      <c r="I14" s="1324"/>
      <c r="J14" s="87">
        <v>0</v>
      </c>
      <c r="K14" s="88">
        <v>0</v>
      </c>
      <c r="L14" s="31"/>
      <c r="M14" s="185">
        <v>6.25E-2</v>
      </c>
      <c r="N14" s="31">
        <v>32</v>
      </c>
      <c r="O14" s="1341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341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341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341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341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9.875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341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342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328" t="s">
        <v>64</v>
      </c>
      <c r="C21" s="1096"/>
      <c r="D21" s="1096"/>
      <c r="E21" s="1096"/>
      <c r="F21" s="1329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334"/>
      <c r="C22" s="1328" t="s">
        <v>63</v>
      </c>
      <c r="D22" s="1329"/>
      <c r="E22" s="1331" t="s">
        <v>60</v>
      </c>
      <c r="F22" s="1331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346"/>
      <c r="C23" s="56" t="s">
        <v>8</v>
      </c>
      <c r="D23" s="56" t="s">
        <v>9</v>
      </c>
      <c r="E23" s="1332"/>
      <c r="F23" s="1332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339">
        <v>0</v>
      </c>
      <c r="E24" s="1339">
        <v>2</v>
      </c>
      <c r="F24" s="1339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4.9375</v>
      </c>
      <c r="D25" s="1340"/>
      <c r="E25" s="1340"/>
      <c r="F25" s="1340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336" t="s">
        <v>302</v>
      </c>
      <c r="C27" s="1336"/>
      <c r="D27" s="1336"/>
      <c r="E27" s="1336"/>
      <c r="F27" s="1336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94" t="s">
        <v>422</v>
      </c>
      <c r="C28" s="1094"/>
      <c r="D28" s="1094"/>
      <c r="E28" s="1094"/>
      <c r="F28" s="1094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1096" t="s">
        <v>95</v>
      </c>
      <c r="D3" s="1096"/>
      <c r="E3" s="1096"/>
      <c r="F3" s="1096"/>
      <c r="G3" s="1096"/>
      <c r="H3" s="1096"/>
      <c r="I3" s="1096"/>
      <c r="J3" s="1096"/>
      <c r="K3" s="1164"/>
      <c r="L3" s="1095"/>
      <c r="M3" s="1096"/>
      <c r="N3" s="1096"/>
      <c r="O3" s="1096"/>
      <c r="P3" s="1096"/>
      <c r="Q3" s="1096"/>
      <c r="R3" s="1329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74" t="s">
        <v>86</v>
      </c>
      <c r="C4" s="1384" t="s">
        <v>82</v>
      </c>
      <c r="D4" s="1096" t="s">
        <v>83</v>
      </c>
      <c r="E4" s="1096"/>
      <c r="F4" s="1096"/>
      <c r="G4" s="1096"/>
      <c r="H4" s="1096"/>
      <c r="I4" s="1096"/>
      <c r="J4" s="1096"/>
      <c r="K4" s="1096"/>
      <c r="L4" s="146" t="s">
        <v>91</v>
      </c>
      <c r="M4" s="1328" t="s">
        <v>94</v>
      </c>
      <c r="N4" s="1096"/>
      <c r="O4" s="1096"/>
      <c r="P4" s="1164"/>
      <c r="Q4" s="1096" t="s">
        <v>52</v>
      </c>
      <c r="R4" s="1329"/>
      <c r="S4" s="103"/>
      <c r="T4" s="1328">
        <v>350</v>
      </c>
      <c r="U4" s="1096"/>
      <c r="V4" s="1096" t="s">
        <v>76</v>
      </c>
      <c r="W4" s="1096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368"/>
      <c r="C5" s="1385"/>
      <c r="D5" s="1373" t="s">
        <v>85</v>
      </c>
      <c r="E5" s="1387" t="s">
        <v>89</v>
      </c>
      <c r="F5" s="1333" t="s">
        <v>34</v>
      </c>
      <c r="G5" s="1333"/>
      <c r="H5" s="1330" t="s">
        <v>39</v>
      </c>
      <c r="I5" s="1326" t="s">
        <v>35</v>
      </c>
      <c r="J5" s="1326" t="s">
        <v>36</v>
      </c>
      <c r="K5" s="1358" t="s">
        <v>67</v>
      </c>
      <c r="L5" s="147" t="s">
        <v>92</v>
      </c>
      <c r="M5" s="1331" t="s">
        <v>90</v>
      </c>
      <c r="N5" s="1331" t="s">
        <v>47</v>
      </c>
      <c r="O5" s="1149" t="s">
        <v>84</v>
      </c>
      <c r="P5" s="1150"/>
      <c r="Q5" s="1039" t="s">
        <v>84</v>
      </c>
      <c r="R5" s="1041"/>
      <c r="S5" s="103"/>
      <c r="T5" s="1343" t="s">
        <v>46</v>
      </c>
      <c r="U5" s="1136"/>
      <c r="V5" s="1300" t="s">
        <v>45</v>
      </c>
      <c r="W5" s="1338"/>
      <c r="X5" s="1338"/>
      <c r="Y5" s="1338"/>
      <c r="Z5" s="1338"/>
      <c r="AA5" s="1338"/>
      <c r="AB5" s="1338"/>
      <c r="AC5" s="1338"/>
      <c r="AD5" s="1338"/>
      <c r="AE5" s="1338"/>
      <c r="AF5" s="1338"/>
      <c r="AG5" s="1338"/>
      <c r="AH5" s="1338"/>
      <c r="AI5" s="1338"/>
      <c r="AJ5" s="1338"/>
      <c r="AK5" s="31"/>
      <c r="AL5" s="31"/>
    </row>
    <row r="6" spans="2:38" ht="15" customHeight="1" thickBot="1" x14ac:dyDescent="0.3">
      <c r="B6" s="1369"/>
      <c r="C6" s="1386"/>
      <c r="D6" s="1374"/>
      <c r="E6" s="1388"/>
      <c r="F6" s="104" t="s">
        <v>8</v>
      </c>
      <c r="G6" s="105" t="s">
        <v>10</v>
      </c>
      <c r="H6" s="1359"/>
      <c r="I6" s="1359"/>
      <c r="J6" s="1359"/>
      <c r="K6" s="1348"/>
      <c r="L6" s="148" t="s">
        <v>93</v>
      </c>
      <c r="M6" s="1347"/>
      <c r="N6" s="1347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348"/>
      <c r="U6" s="1349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375">
        <f>ROW(Assy.Model!B9)</f>
        <v>9</v>
      </c>
      <c r="D7" s="1365" t="str">
        <f>SUBSTITUTE(ADDRESS(1,COLUMN(Assy.Model!B9),4),"1","")</f>
        <v>B</v>
      </c>
      <c r="E7" s="1378" t="str">
        <f>SUBSTITUTE(ADDRESS(1,COLUMN(Assy.Model!M9),4),"1","")</f>
        <v>M</v>
      </c>
      <c r="F7" s="1381" t="str">
        <f>SUBSTITUTE(ADDRESS(1,COLUMN(Assy.Model!X9),4),"1","")</f>
        <v>X</v>
      </c>
      <c r="G7" s="1370" t="str">
        <f>SUBSTITUTE(ADDRESS(1,COLUMN(Assy.Model!AT9),4),"1","")</f>
        <v>AT</v>
      </c>
      <c r="H7" s="1350" t="str">
        <f>SUBSTITUTE(ADDRESS(1,COLUMN(Assy.Model!H9),4),"1","")</f>
        <v>H</v>
      </c>
      <c r="I7" s="1350" t="str">
        <f>SUBSTITUTE(ADDRESS(1,COLUMN(Assy.Model!AN9),4),"1","")</f>
        <v>AN</v>
      </c>
      <c r="J7" s="1350" t="str">
        <f>SUBSTITUTE(ADDRESS(1,COLUMN(Assy.Model!AO9),4),"1","")</f>
        <v>AO</v>
      </c>
      <c r="K7" s="1353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362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360" t="s">
        <v>81</v>
      </c>
      <c r="C8" s="1376"/>
      <c r="D8" s="1366"/>
      <c r="E8" s="1379"/>
      <c r="F8" s="1382"/>
      <c r="G8" s="1371"/>
      <c r="H8" s="1351"/>
      <c r="I8" s="1351"/>
      <c r="J8" s="1351"/>
      <c r="K8" s="1354"/>
      <c r="L8" s="149" t="s">
        <v>93</v>
      </c>
      <c r="M8" s="1356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363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360"/>
      <c r="C9" s="1376"/>
      <c r="D9" s="1366"/>
      <c r="E9" s="1379"/>
      <c r="F9" s="1382"/>
      <c r="G9" s="1371"/>
      <c r="H9" s="1351"/>
      <c r="I9" s="1351"/>
      <c r="J9" s="1351"/>
      <c r="K9" s="1354"/>
      <c r="L9" s="149" t="s">
        <v>92</v>
      </c>
      <c r="M9" s="1356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363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360"/>
      <c r="C10" s="1376"/>
      <c r="D10" s="1366"/>
      <c r="E10" s="1379"/>
      <c r="F10" s="1382"/>
      <c r="G10" s="1371"/>
      <c r="H10" s="1351"/>
      <c r="I10" s="1351"/>
      <c r="J10" s="1351"/>
      <c r="K10" s="1354"/>
      <c r="L10" s="149" t="s">
        <v>92</v>
      </c>
      <c r="M10" s="1356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363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360"/>
      <c r="C11" s="1376"/>
      <c r="D11" s="1366"/>
      <c r="E11" s="1379"/>
      <c r="F11" s="1382"/>
      <c r="G11" s="1371"/>
      <c r="H11" s="1351"/>
      <c r="I11" s="1351"/>
      <c r="J11" s="1351"/>
      <c r="K11" s="1354"/>
      <c r="L11" s="149" t="s">
        <v>92</v>
      </c>
      <c r="M11" s="1356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363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360"/>
      <c r="C12" s="1376"/>
      <c r="D12" s="1366"/>
      <c r="E12" s="1379"/>
      <c r="F12" s="1382"/>
      <c r="G12" s="1371"/>
      <c r="H12" s="1351"/>
      <c r="I12" s="1351"/>
      <c r="J12" s="1351"/>
      <c r="K12" s="1354"/>
      <c r="L12" s="149" t="s">
        <v>92</v>
      </c>
      <c r="M12" s="1356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363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360"/>
      <c r="C13" s="1376"/>
      <c r="D13" s="1366"/>
      <c r="E13" s="1379"/>
      <c r="F13" s="1382"/>
      <c r="G13" s="1371"/>
      <c r="H13" s="1351"/>
      <c r="I13" s="1351"/>
      <c r="J13" s="1351"/>
      <c r="K13" s="1354"/>
      <c r="L13" s="149" t="s">
        <v>92</v>
      </c>
      <c r="M13" s="1356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363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361"/>
      <c r="C14" s="1377"/>
      <c r="D14" s="1367"/>
      <c r="E14" s="1380"/>
      <c r="F14" s="1383"/>
      <c r="G14" s="1372"/>
      <c r="H14" s="1352"/>
      <c r="I14" s="1352"/>
      <c r="J14" s="1352"/>
      <c r="K14" s="1355"/>
      <c r="L14" s="150" t="s">
        <v>93</v>
      </c>
      <c r="M14" s="1357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364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92" t="str">
        <f>CONCATENATE(Settings!$C$19," ",Settings!$B$28)</f>
        <v>9.875 8896r00</v>
      </c>
      <c r="D1" s="1192"/>
      <c r="E1" s="1192"/>
      <c r="F1" s="1192"/>
      <c r="G1" s="1192"/>
      <c r="H1" s="1192"/>
      <c r="I1" s="1192"/>
      <c r="J1" s="1192"/>
      <c r="K1" s="1192"/>
      <c r="L1" s="709"/>
      <c r="M1" s="141">
        <f>LARGE(M9:M150,1)</f>
        <v>6.2439999999999998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-1.2557199555890861</v>
      </c>
      <c r="W1" s="162">
        <f>360-W14</f>
        <v>1.2557199555890861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>
        <f>SQRT((EW14-FD14)^2+(EX14-FE14)^2+(EY14-FF14)^2)</f>
        <v>0.32446458284340124</v>
      </c>
      <c r="FJ1" s="219">
        <f>DEGREES(ACOS((2-SQRT((EW14-FD14)^2+(EX14-FE14)^2+(EY14-FF14)^2)^2)/2))</f>
        <v>18.672980429532981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200" t="s">
        <v>306</v>
      </c>
      <c r="C2" s="1201"/>
      <c r="D2" s="1201"/>
      <c r="E2" s="1201"/>
      <c r="F2" s="1201"/>
      <c r="G2" s="1201"/>
      <c r="H2" s="1201"/>
      <c r="I2" s="1201"/>
      <c r="J2" s="1201"/>
      <c r="K2" s="1202"/>
      <c r="L2" s="1058" t="str" cm="1">
        <f t="array" ref="L2">IF(OR($K$9:$K$150="Undefined"),"Undefined Element","")</f>
        <v/>
      </c>
      <c r="M2" s="1211" t="s">
        <v>0</v>
      </c>
      <c r="N2" s="1170" t="s">
        <v>1</v>
      </c>
      <c r="O2" s="1171"/>
      <c r="P2" s="1171"/>
      <c r="Q2" s="1171"/>
      <c r="R2" s="1171"/>
      <c r="S2" s="1171"/>
      <c r="T2" s="1171"/>
      <c r="U2" s="1171"/>
      <c r="V2" s="1171"/>
      <c r="W2" s="1171"/>
      <c r="X2" s="1171"/>
      <c r="Y2" s="1245"/>
      <c r="Z2" s="1170" t="s">
        <v>2</v>
      </c>
      <c r="AA2" s="1171"/>
      <c r="AB2" s="1171"/>
      <c r="AC2" s="1171"/>
      <c r="AD2" s="1171"/>
      <c r="AE2" s="1171"/>
      <c r="AF2" s="1171"/>
      <c r="AG2" s="1171"/>
      <c r="AH2" s="1171"/>
      <c r="AI2" s="1171"/>
      <c r="AJ2" s="1171"/>
      <c r="AK2" s="1171"/>
      <c r="AL2" s="1171"/>
      <c r="AM2" s="1171"/>
      <c r="AN2" s="1171"/>
      <c r="AO2" s="1171"/>
      <c r="AP2" s="1171"/>
      <c r="AQ2" s="1172"/>
      <c r="AS2" s="1251" t="s">
        <v>44</v>
      </c>
      <c r="AT2" s="1252"/>
      <c r="AV2" s="1243" t="s">
        <v>0</v>
      </c>
      <c r="AW2" s="1170" t="s">
        <v>109</v>
      </c>
      <c r="AX2" s="1171"/>
      <c r="AY2" s="1171"/>
      <c r="AZ2" s="1171"/>
      <c r="BA2" s="1171"/>
      <c r="BB2" s="1171"/>
      <c r="BC2" s="1171"/>
      <c r="BD2" s="1171"/>
      <c r="BE2" s="1172"/>
      <c r="BF2" s="1273" t="s">
        <v>115</v>
      </c>
      <c r="BG2" s="1171"/>
      <c r="BH2" s="1171"/>
      <c r="BI2" s="1171"/>
      <c r="BJ2" s="1171"/>
      <c r="BK2" s="1171"/>
      <c r="BL2" s="1171"/>
      <c r="BM2" s="1171"/>
      <c r="BN2" s="1171"/>
      <c r="BO2" s="1171"/>
      <c r="BP2" s="1171"/>
      <c r="BQ2" s="1171"/>
      <c r="BR2" s="1171"/>
      <c r="BS2" s="1171"/>
      <c r="BT2" s="1171"/>
      <c r="BU2" s="1171"/>
      <c r="BV2" s="1171"/>
      <c r="BW2" s="1171"/>
      <c r="BX2" s="1171"/>
      <c r="BY2" s="1171"/>
      <c r="BZ2" s="1171"/>
      <c r="CA2" s="1171"/>
      <c r="CB2" s="1171"/>
      <c r="CC2" s="1171"/>
      <c r="CD2" s="1171"/>
      <c r="CE2" s="1171"/>
      <c r="CF2" s="1171"/>
      <c r="CG2" s="1171"/>
      <c r="CH2" s="1171"/>
      <c r="CI2" s="1171"/>
      <c r="CJ2" s="1171"/>
      <c r="CK2" s="1171"/>
      <c r="CL2" s="1171"/>
      <c r="CM2" s="1171"/>
      <c r="CN2" s="1171"/>
      <c r="CO2" s="1171"/>
      <c r="CP2" s="1171"/>
      <c r="CQ2" s="1171"/>
      <c r="CR2" s="1171"/>
      <c r="CS2" s="1171"/>
      <c r="CT2" s="1171"/>
      <c r="CU2" s="1171"/>
      <c r="CV2" s="1171"/>
      <c r="CW2" s="1171"/>
      <c r="CX2" s="1171"/>
      <c r="CY2" s="1171"/>
      <c r="CZ2" s="1171"/>
      <c r="DA2" s="1171"/>
      <c r="DB2" s="1171"/>
      <c r="DC2" s="1171"/>
      <c r="DD2" s="1171"/>
      <c r="DE2" s="1171"/>
      <c r="DF2" s="1171"/>
      <c r="DG2" s="1171"/>
      <c r="DH2" s="1171"/>
      <c r="DI2" s="1171"/>
      <c r="DJ2" s="1171"/>
      <c r="DK2" s="1171"/>
      <c r="DL2" s="1171"/>
      <c r="DM2" s="1171"/>
      <c r="DN2" s="1171"/>
      <c r="DO2" s="1171"/>
      <c r="DP2" s="1171"/>
      <c r="DQ2" s="1171"/>
      <c r="DR2" s="1171"/>
      <c r="DS2" s="1171"/>
      <c r="DT2" s="1171"/>
      <c r="DU2" s="1171"/>
      <c r="DV2" s="1171"/>
      <c r="DW2" s="1171"/>
      <c r="DX2" s="1171"/>
      <c r="DY2" s="1171"/>
      <c r="DZ2" s="1171"/>
      <c r="EA2" s="1171"/>
      <c r="EB2" s="1171"/>
      <c r="EC2" s="1171"/>
      <c r="ED2" s="1171"/>
      <c r="EE2" s="1171"/>
      <c r="EF2" s="1171"/>
      <c r="EG2" s="1171"/>
      <c r="EH2" s="1171"/>
      <c r="EI2" s="1171"/>
      <c r="EJ2" s="1171"/>
      <c r="EK2" s="1171"/>
      <c r="EL2" s="1171"/>
      <c r="EM2" s="1171"/>
      <c r="EN2" s="1171"/>
      <c r="EO2" s="1171"/>
      <c r="EP2" s="1171"/>
      <c r="EQ2" s="1171"/>
      <c r="ER2" s="1245"/>
      <c r="ES2" s="1031" t="s">
        <v>196</v>
      </c>
      <c r="ET2" s="1032"/>
      <c r="EU2" s="1032"/>
      <c r="EV2" s="1032"/>
      <c r="EW2" s="1032"/>
      <c r="EX2" s="1032"/>
      <c r="EY2" s="1032"/>
      <c r="EZ2" s="1032"/>
      <c r="FA2" s="1032"/>
      <c r="FB2" s="1032"/>
      <c r="FC2" s="1032"/>
      <c r="FD2" s="1032"/>
      <c r="FE2" s="1032"/>
      <c r="FF2" s="1033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0.45050000000000007</v>
      </c>
      <c r="GM2" s="322">
        <f>SUM(GM9:GM150)</f>
        <v>6.5465541156857165</v>
      </c>
      <c r="GR2" s="309" t="e">
        <f>SUM(GR9:GR150)</f>
        <v>#VALUE!</v>
      </c>
      <c r="GS2" s="309" t="e">
        <f>SUM(GS9:GS150)</f>
        <v>#VALUE!</v>
      </c>
      <c r="GT2" s="309"/>
      <c r="GU2" s="309">
        <f>SUM(GU9:GU150)</f>
        <v>16093.61220106072</v>
      </c>
      <c r="GV2" s="309"/>
      <c r="GW2" s="369">
        <v>29500</v>
      </c>
      <c r="GX2" s="309">
        <f>SUM(GX9:GX150)</f>
        <v>2557.1125345833334</v>
      </c>
      <c r="GY2" s="309" t="e">
        <f>SUM(GY9:GY150)</f>
        <v>#VALUE!</v>
      </c>
      <c r="GZ2" s="309"/>
      <c r="HE2" s="309"/>
      <c r="HF2" s="309"/>
      <c r="HG2" s="309"/>
      <c r="HH2" s="309"/>
      <c r="HM2" t="s">
        <v>396</v>
      </c>
      <c r="HU2" s="838"/>
      <c r="HV2" s="857"/>
      <c r="HW2" s="997" t="str">
        <f>IFERROR(CONCATENATE("Sum of Lateral Forces = ",ROUND(HE3,0)," lbs @ ",ROUND(HF3,1),"° Relative to Blade 1"),"")</f>
        <v/>
      </c>
      <c r="HX2" s="997"/>
      <c r="HY2" s="997"/>
      <c r="HZ2" s="997"/>
      <c r="IA2" s="997"/>
      <c r="IB2" s="997"/>
      <c r="IC2" s="997"/>
      <c r="ID2" s="997"/>
      <c r="IE2" s="997"/>
      <c r="IF2" s="846"/>
      <c r="IN2" s="31"/>
      <c r="IO2" s="323"/>
      <c r="JC2" s="82"/>
      <c r="JD2" s="82"/>
      <c r="JE2" s="82"/>
    </row>
    <row r="3" spans="1:285" ht="15" customHeight="1" x14ac:dyDescent="0.25">
      <c r="B3" s="1203"/>
      <c r="C3" s="1204"/>
      <c r="D3" s="1204"/>
      <c r="E3" s="1204"/>
      <c r="F3" s="1204"/>
      <c r="G3" s="1204"/>
      <c r="H3" s="1204"/>
      <c r="I3" s="1204"/>
      <c r="J3" s="1204"/>
      <c r="K3" s="1205"/>
      <c r="L3" s="1058"/>
      <c r="M3" s="1203"/>
      <c r="N3" s="1246"/>
      <c r="O3" s="1247"/>
      <c r="P3" s="1247"/>
      <c r="Q3" s="1247"/>
      <c r="R3" s="1247"/>
      <c r="S3" s="1247"/>
      <c r="T3" s="1247"/>
      <c r="U3" s="1247"/>
      <c r="V3" s="1247"/>
      <c r="W3" s="1247"/>
      <c r="X3" s="1247"/>
      <c r="Y3" s="1248"/>
      <c r="Z3" s="1246"/>
      <c r="AA3" s="1247"/>
      <c r="AB3" s="1247"/>
      <c r="AC3" s="1247"/>
      <c r="AD3" s="1247"/>
      <c r="AE3" s="1247"/>
      <c r="AF3" s="1247"/>
      <c r="AG3" s="1247"/>
      <c r="AH3" s="1247"/>
      <c r="AI3" s="1247"/>
      <c r="AJ3" s="1247"/>
      <c r="AK3" s="1247"/>
      <c r="AL3" s="1247"/>
      <c r="AM3" s="1247"/>
      <c r="AN3" s="1247"/>
      <c r="AO3" s="1247"/>
      <c r="AP3" s="1247"/>
      <c r="AQ3" s="1267"/>
      <c r="AS3" s="415">
        <v>100</v>
      </c>
      <c r="AT3" s="412" t="s">
        <v>45</v>
      </c>
      <c r="AV3" s="1244"/>
      <c r="AW3" s="1034"/>
      <c r="AX3" s="1035"/>
      <c r="AY3" s="1035"/>
      <c r="AZ3" s="1035"/>
      <c r="BA3" s="1035"/>
      <c r="BB3" s="1035"/>
      <c r="BC3" s="1035"/>
      <c r="BD3" s="1035"/>
      <c r="BE3" s="1173"/>
      <c r="BF3" s="1274"/>
      <c r="BG3" s="1035"/>
      <c r="BH3" s="1035"/>
      <c r="BI3" s="1035"/>
      <c r="BJ3" s="1035"/>
      <c r="BK3" s="1035"/>
      <c r="BL3" s="1035"/>
      <c r="BM3" s="1035"/>
      <c r="BN3" s="1035"/>
      <c r="BO3" s="1035"/>
      <c r="BP3" s="1035"/>
      <c r="BQ3" s="1035"/>
      <c r="BR3" s="1035"/>
      <c r="BS3" s="1035"/>
      <c r="BT3" s="1035"/>
      <c r="BU3" s="1035"/>
      <c r="BV3" s="1035"/>
      <c r="BW3" s="1035"/>
      <c r="BX3" s="1035"/>
      <c r="BY3" s="1035"/>
      <c r="BZ3" s="1035"/>
      <c r="CA3" s="1035"/>
      <c r="CB3" s="1035"/>
      <c r="CC3" s="1035"/>
      <c r="CD3" s="1035"/>
      <c r="CE3" s="1035"/>
      <c r="CF3" s="1035"/>
      <c r="CG3" s="1035"/>
      <c r="CH3" s="1035"/>
      <c r="CI3" s="1035"/>
      <c r="CJ3" s="1035"/>
      <c r="CK3" s="1035"/>
      <c r="CL3" s="1035"/>
      <c r="CM3" s="1035"/>
      <c r="CN3" s="1035"/>
      <c r="CO3" s="1035"/>
      <c r="CP3" s="1035"/>
      <c r="CQ3" s="1035"/>
      <c r="CR3" s="1035"/>
      <c r="CS3" s="1035"/>
      <c r="CT3" s="1035"/>
      <c r="CU3" s="1035"/>
      <c r="CV3" s="1035"/>
      <c r="CW3" s="1035"/>
      <c r="CX3" s="1035"/>
      <c r="CY3" s="1035"/>
      <c r="CZ3" s="1035"/>
      <c r="DA3" s="1035"/>
      <c r="DB3" s="1035"/>
      <c r="DC3" s="1035"/>
      <c r="DD3" s="1035"/>
      <c r="DE3" s="1035"/>
      <c r="DF3" s="1035"/>
      <c r="DG3" s="1035"/>
      <c r="DH3" s="1035"/>
      <c r="DI3" s="1035"/>
      <c r="DJ3" s="1035"/>
      <c r="DK3" s="1035"/>
      <c r="DL3" s="1035"/>
      <c r="DM3" s="1035"/>
      <c r="DN3" s="1035"/>
      <c r="DO3" s="1035"/>
      <c r="DP3" s="1035"/>
      <c r="DQ3" s="1035"/>
      <c r="DR3" s="1035"/>
      <c r="DS3" s="1035"/>
      <c r="DT3" s="1035"/>
      <c r="DU3" s="1035"/>
      <c r="DV3" s="1035"/>
      <c r="DW3" s="1035"/>
      <c r="DX3" s="1035"/>
      <c r="DY3" s="1035"/>
      <c r="DZ3" s="1035"/>
      <c r="EA3" s="1035"/>
      <c r="EB3" s="1035"/>
      <c r="EC3" s="1035"/>
      <c r="ED3" s="1035"/>
      <c r="EE3" s="1035"/>
      <c r="EF3" s="1035"/>
      <c r="EG3" s="1035"/>
      <c r="EH3" s="1035"/>
      <c r="EI3" s="1035"/>
      <c r="EJ3" s="1035"/>
      <c r="EK3" s="1035"/>
      <c r="EL3" s="1035"/>
      <c r="EM3" s="1035"/>
      <c r="EN3" s="1035"/>
      <c r="EO3" s="1035"/>
      <c r="EP3" s="1035"/>
      <c r="EQ3" s="1035"/>
      <c r="ER3" s="1036"/>
      <c r="ES3" s="1034"/>
      <c r="ET3" s="1035"/>
      <c r="EU3" s="1035"/>
      <c r="EV3" s="1035"/>
      <c r="EW3" s="1035"/>
      <c r="EX3" s="1035"/>
      <c r="EY3" s="1035"/>
      <c r="EZ3" s="1035"/>
      <c r="FA3" s="1035"/>
      <c r="FB3" s="1035"/>
      <c r="FC3" s="1035"/>
      <c r="FD3" s="1035"/>
      <c r="FE3" s="1035"/>
      <c r="FF3" s="1036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#VALUE!</v>
      </c>
      <c r="HF3" s="162" t="str">
        <f>IFERROR(IF((DEGREES(ATAN2(HG3,HH3)))&lt;0,(360+(DEGREES(ATAN2(HG3,HH3)))),(DEGREES(ATAN2(HG3,HH3)))),"")</f>
        <v/>
      </c>
      <c r="HG3" s="309" t="e">
        <f>HC8+HG8</f>
        <v>#VALUE!</v>
      </c>
      <c r="HH3" s="309" t="e">
        <f>HD8+HH8</f>
        <v>#VALUE!</v>
      </c>
      <c r="HI3" s="103"/>
      <c r="HJ3" s="31"/>
      <c r="HX3" s="968">
        <f>($HX$6*$AS$3)/5252.113112</f>
        <v>48.68730889936198</v>
      </c>
      <c r="HZ3" s="968">
        <f>($HZ$6*$AS$3)/5252.113112</f>
        <v>306.42166034638745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06"/>
      <c r="C4" s="1207"/>
      <c r="D4" s="1207"/>
      <c r="E4" s="1207"/>
      <c r="F4" s="1207"/>
      <c r="G4" s="1207"/>
      <c r="H4" s="1207"/>
      <c r="I4" s="1207"/>
      <c r="J4" s="1207"/>
      <c r="K4" s="1208"/>
      <c r="L4" s="1058"/>
      <c r="M4" s="1203"/>
      <c r="N4" s="1213" t="s">
        <v>3</v>
      </c>
      <c r="O4" s="1210"/>
      <c r="P4" s="1210"/>
      <c r="Q4" s="1209" t="s">
        <v>4</v>
      </c>
      <c r="R4" s="1210"/>
      <c r="S4" s="1228"/>
      <c r="T4" s="1222" t="str">
        <f>N4</f>
        <v>Cartesian Coordinates</v>
      </c>
      <c r="U4" s="1177"/>
      <c r="V4" s="1223"/>
      <c r="W4" s="1177" t="str">
        <f>$Q$4</f>
        <v>Polar XY; Cartesian Z</v>
      </c>
      <c r="X4" s="1177"/>
      <c r="Y4" s="1193"/>
      <c r="Z4" s="1213" t="s">
        <v>3</v>
      </c>
      <c r="AA4" s="1210"/>
      <c r="AB4" s="1210"/>
      <c r="AC4" s="1210"/>
      <c r="AD4" s="1210"/>
      <c r="AE4" s="1210"/>
      <c r="AF4" s="1210"/>
      <c r="AG4" s="1240" t="s">
        <v>31</v>
      </c>
      <c r="AH4" s="1210"/>
      <c r="AI4" s="1210"/>
      <c r="AJ4" s="1228"/>
      <c r="AK4" s="1268" t="s">
        <v>32</v>
      </c>
      <c r="AL4" s="1269"/>
      <c r="AM4" s="1269"/>
      <c r="AN4" s="1269"/>
      <c r="AO4" s="1269"/>
      <c r="AP4" s="1269"/>
      <c r="AQ4" s="1270"/>
      <c r="AS4" s="416">
        <v>250</v>
      </c>
      <c r="AT4" s="413" t="s">
        <v>46</v>
      </c>
      <c r="AV4" s="1244"/>
      <c r="AW4" s="1135" t="s">
        <v>112</v>
      </c>
      <c r="AX4" s="1105"/>
      <c r="AY4" s="1159"/>
      <c r="AZ4" s="1167"/>
      <c r="BA4" s="1168"/>
      <c r="BB4" s="1174" t="s">
        <v>113</v>
      </c>
      <c r="BC4" s="1177" t="str">
        <f>$Q$4</f>
        <v>Polar XY; Cartesian Z</v>
      </c>
      <c r="BD4" s="1177"/>
      <c r="BE4" s="1178"/>
      <c r="BF4" s="1189" t="s">
        <v>129</v>
      </c>
      <c r="BG4" s="1190"/>
      <c r="BH4" s="1190"/>
      <c r="BI4" s="1190"/>
      <c r="BJ4" s="1190"/>
      <c r="BK4" s="1190"/>
      <c r="BL4" s="1190"/>
      <c r="BM4" s="1190"/>
      <c r="BN4" s="1190"/>
      <c r="BO4" s="1190"/>
      <c r="BP4" s="1190"/>
      <c r="BQ4" s="1190"/>
      <c r="BR4" s="1190"/>
      <c r="BS4" s="1190"/>
      <c r="BT4" s="1190"/>
      <c r="BU4" s="1190"/>
      <c r="BV4" s="1190"/>
      <c r="BW4" s="1190"/>
      <c r="BX4" s="1190"/>
      <c r="BY4" s="1190"/>
      <c r="BZ4" s="1190"/>
      <c r="CA4" s="1190"/>
      <c r="CB4" s="1190"/>
      <c r="CC4" s="1190"/>
      <c r="CD4" s="1190"/>
      <c r="CE4" s="1190"/>
      <c r="CF4" s="1190"/>
      <c r="CG4" s="1190"/>
      <c r="CH4" s="1190"/>
      <c r="CI4" s="1190"/>
      <c r="CJ4" s="1190"/>
      <c r="CK4" s="1190"/>
      <c r="CL4" s="1190"/>
      <c r="CM4" s="1190"/>
      <c r="CN4" s="1191"/>
      <c r="CO4" s="1156" t="s">
        <v>192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28" t="s">
        <v>389</v>
      </c>
      <c r="DC4" s="1029"/>
      <c r="DD4" s="1029"/>
      <c r="DE4" s="1029"/>
      <c r="DF4" s="1029"/>
      <c r="DG4" s="1029"/>
      <c r="DH4" s="1029"/>
      <c r="DI4" s="1029"/>
      <c r="DJ4" s="1029"/>
      <c r="DK4" s="1029"/>
      <c r="DL4" s="1029"/>
      <c r="DM4" s="1029"/>
      <c r="DN4" s="1029"/>
      <c r="DO4" s="1029"/>
      <c r="DP4" s="1029"/>
      <c r="DQ4" s="1029"/>
      <c r="DR4" s="1029"/>
      <c r="DS4" s="1029"/>
      <c r="DT4" s="1029"/>
      <c r="DU4" s="1029"/>
      <c r="DV4" s="1029"/>
      <c r="DW4" s="1029"/>
      <c r="DX4" s="1029"/>
      <c r="DY4" s="1029"/>
      <c r="DZ4" s="1029"/>
      <c r="EA4" s="1029"/>
      <c r="EB4" s="1029"/>
      <c r="EC4" s="1029"/>
      <c r="ED4" s="1029"/>
      <c r="EE4" s="1029"/>
      <c r="EF4" s="1029"/>
      <c r="EG4" s="1029"/>
      <c r="EH4" s="1029"/>
      <c r="EI4" s="1029"/>
      <c r="EJ4" s="1029"/>
      <c r="EK4" s="1029"/>
      <c r="EL4" s="1029"/>
      <c r="EM4" s="1029"/>
      <c r="EN4" s="1029"/>
      <c r="EO4" s="1029"/>
      <c r="EP4" s="1029"/>
      <c r="EQ4" s="1029"/>
      <c r="ER4" s="1030"/>
      <c r="ES4" s="1129" t="s">
        <v>195</v>
      </c>
      <c r="ET4" s="1130"/>
      <c r="EU4" s="1130"/>
      <c r="EV4" s="1130"/>
      <c r="EW4" s="1130"/>
      <c r="EX4" s="1130"/>
      <c r="EY4" s="1131"/>
      <c r="EZ4" s="1140" t="s">
        <v>200</v>
      </c>
      <c r="FA4" s="1141"/>
      <c r="FB4" s="1141"/>
      <c r="FC4" s="1141"/>
      <c r="FD4" s="1141"/>
      <c r="FE4" s="1141"/>
      <c r="FF4" s="1142"/>
      <c r="FG4" s="325"/>
      <c r="FP4" s="1046" t="s">
        <v>228</v>
      </c>
      <c r="FZ4" s="1046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161" t="s">
        <v>235</v>
      </c>
      <c r="GK4" s="1162"/>
      <c r="GL4" s="1162"/>
      <c r="GM4" s="1162"/>
      <c r="GN4" s="1163"/>
      <c r="GO4" s="1097" t="s">
        <v>228</v>
      </c>
      <c r="GP4" s="1101" t="s">
        <v>227</v>
      </c>
      <c r="GR4" s="1066" t="s">
        <v>257</v>
      </c>
      <c r="GS4" s="1095" t="s">
        <v>255</v>
      </c>
      <c r="GT4" s="1096"/>
      <c r="GU4" s="1096"/>
      <c r="GV4" s="1096"/>
      <c r="GW4" s="1096"/>
      <c r="GX4" s="1096"/>
      <c r="GY4" s="1096"/>
      <c r="GZ4" s="1096"/>
      <c r="HA4" s="1084" t="str">
        <f>IFERROR(CONCATENATE("Lateral Forces = ",ROUND(HE3,0)," lbs @ ",ROUND(HF3,1),"° Relative to Blade 1"),"")</f>
        <v/>
      </c>
      <c r="HB4" s="1085"/>
      <c r="HC4" s="1085"/>
      <c r="HD4" s="1085"/>
      <c r="HE4" s="1085"/>
      <c r="HF4" s="1085"/>
      <c r="HG4" s="1085"/>
      <c r="HH4" s="1086"/>
      <c r="HI4" s="1087" t="s">
        <v>0</v>
      </c>
      <c r="HV4" s="847"/>
      <c r="HW4" s="998" t="str">
        <f>CONCATENATE("Yeield Strength of Rock = ",IF(HW6&gt;1000,(ROUNDDOWN(HW6,-3)/1000),""), IF(HW6&gt;1000,",",""),RIGHT(HW6,3)," psi (Tangential Force)")</f>
        <v>Yeield Strength of Rock = 29,500 psi (Tangential Force)</v>
      </c>
      <c r="HX4" s="998"/>
      <c r="HY4" s="998"/>
      <c r="HZ4" s="998"/>
      <c r="IA4" s="998"/>
      <c r="IB4" s="998"/>
      <c r="IC4" s="998"/>
      <c r="ID4" s="998"/>
      <c r="IE4" s="998"/>
      <c r="IF4" s="844"/>
      <c r="IG4" s="1080" t="s">
        <v>372</v>
      </c>
      <c r="IH4" s="1080"/>
      <c r="II4" s="710" cm="1">
        <f t="array" ref="II4">MAX(MOD(IF($II$9:$II$150="",0,($II$9:$II$150*1000)),100))</f>
        <v>46</v>
      </c>
      <c r="IN4" s="31"/>
      <c r="IO4" s="710"/>
    </row>
    <row r="5" spans="1:285" ht="15" customHeight="1" thickBot="1" x14ac:dyDescent="0.3">
      <c r="A5" s="139">
        <v>0.02</v>
      </c>
      <c r="B5" s="1194" t="str">
        <f>CONCATENATE(B7," ; ",E7," ; ",H7)</f>
        <v>Absolute-Point ; Incremental-Vector Point ; Pocket Info.</v>
      </c>
      <c r="C5" s="1195"/>
      <c r="D5" s="1195"/>
      <c r="E5" s="1195"/>
      <c r="F5" s="1195"/>
      <c r="G5" s="1195"/>
      <c r="H5" s="1195"/>
      <c r="I5" s="1195"/>
      <c r="J5" s="1195"/>
      <c r="K5" s="1196"/>
      <c r="L5" s="813" t="str" cm="1">
        <f t="array" ref="L5">IF(OR(IF(LEFT($K$9:$K$150,4)="&lt;&gt;CS",TRUE,FALSE)),"Wrong CS","")</f>
        <v/>
      </c>
      <c r="M5" s="1203"/>
      <c r="N5" s="1233" t="s">
        <v>5</v>
      </c>
      <c r="O5" s="1234"/>
      <c r="P5" s="1234"/>
      <c r="Q5" s="1286" t="s">
        <v>6</v>
      </c>
      <c r="R5" s="1234"/>
      <c r="S5" s="1272"/>
      <c r="T5" s="1239" t="str">
        <f>CONCATENATE("Relative to ",M8,"'s θ about Z Axis")</f>
        <v>Relative to 1.111's θ about Z Axis</v>
      </c>
      <c r="U5" s="1184"/>
      <c r="V5" s="1263"/>
      <c r="W5" s="1184" t="str">
        <f>CONCATENATE("Relative to ",M8,"'s θ about Z Axis")</f>
        <v>Relative to 1.111's θ about Z Axis</v>
      </c>
      <c r="X5" s="1184"/>
      <c r="Y5" s="1224"/>
      <c r="Z5" s="1214" t="str">
        <f>N5</f>
        <v>Relative to World_CS</v>
      </c>
      <c r="AA5" s="1184"/>
      <c r="AB5" s="1184"/>
      <c r="AC5" s="1184"/>
      <c r="AD5" s="1184"/>
      <c r="AE5" s="1184"/>
      <c r="AF5" s="1184"/>
      <c r="AG5" s="1239" t="str">
        <f>N5</f>
        <v>Relative to World_CS</v>
      </c>
      <c r="AH5" s="1184"/>
      <c r="AI5" s="1184"/>
      <c r="AJ5" s="1185"/>
      <c r="AK5" s="1271" t="s">
        <v>7</v>
      </c>
      <c r="AL5" s="1234"/>
      <c r="AM5" s="1234"/>
      <c r="AN5" s="1234"/>
      <c r="AO5" s="1234"/>
      <c r="AP5" s="1234"/>
      <c r="AQ5" s="1272"/>
      <c r="AS5" s="167">
        <f>(((AS4*12)/60)/AS3)</f>
        <v>0.5</v>
      </c>
      <c r="AT5" s="413" t="s">
        <v>47</v>
      </c>
      <c r="AV5" s="1244"/>
      <c r="AW5" s="1002"/>
      <c r="AX5" s="1003"/>
      <c r="AY5" s="1188"/>
      <c r="AZ5" s="1112"/>
      <c r="BA5" s="1169"/>
      <c r="BB5" s="1175"/>
      <c r="BC5" s="1183" t="str">
        <f>$W$5</f>
        <v>Relative to 1.111's θ about Z Axis</v>
      </c>
      <c r="BD5" s="1184"/>
      <c r="BE5" s="1185"/>
      <c r="BF5" s="1095" t="s">
        <v>128</v>
      </c>
      <c r="BG5" s="1096"/>
      <c r="BH5" s="1096"/>
      <c r="BI5" s="1096"/>
      <c r="BJ5" s="1096"/>
      <c r="BK5" s="1096"/>
      <c r="BL5" s="1096"/>
      <c r="BM5" s="1096"/>
      <c r="BN5" s="1096"/>
      <c r="BO5" s="1096"/>
      <c r="BP5" s="1096"/>
      <c r="BQ5" s="1096"/>
      <c r="BR5" s="1164"/>
      <c r="BS5" s="1095" t="s">
        <v>130</v>
      </c>
      <c r="BT5" s="1096"/>
      <c r="BU5" s="1096"/>
      <c r="BV5" s="1096"/>
      <c r="BW5" s="1096"/>
      <c r="BX5" s="1096"/>
      <c r="BY5" s="1096"/>
      <c r="BZ5" s="1096"/>
      <c r="CA5" s="1096"/>
      <c r="CB5" s="1096"/>
      <c r="CC5" s="1096"/>
      <c r="CD5" s="1096"/>
      <c r="CE5" s="1164"/>
      <c r="CF5" s="1095" t="s">
        <v>138</v>
      </c>
      <c r="CG5" s="1096"/>
      <c r="CH5" s="1164"/>
      <c r="CI5" s="1095" t="s">
        <v>139</v>
      </c>
      <c r="CJ5" s="1096"/>
      <c r="CK5" s="1096"/>
      <c r="CL5" s="1096"/>
      <c r="CM5" s="1096"/>
      <c r="CN5" s="1164"/>
      <c r="CO5" s="1071" t="s">
        <v>266</v>
      </c>
      <c r="CP5" s="1071" t="s">
        <v>149</v>
      </c>
      <c r="CQ5" s="1105"/>
      <c r="CR5" s="1105"/>
      <c r="CS5" s="1136"/>
      <c r="CT5" s="1105" t="s">
        <v>150</v>
      </c>
      <c r="CU5" s="1159"/>
      <c r="CV5" s="1095" t="s">
        <v>161</v>
      </c>
      <c r="CW5" s="1096"/>
      <c r="CX5" s="1096"/>
      <c r="CY5" s="1096"/>
      <c r="CZ5" s="1096"/>
      <c r="DA5" s="1164"/>
      <c r="DB5" s="1095" t="s">
        <v>162</v>
      </c>
      <c r="DC5" s="1096"/>
      <c r="DD5" s="1096"/>
      <c r="DE5" s="1096"/>
      <c r="DF5" s="1096"/>
      <c r="DG5" s="1096"/>
      <c r="DH5" s="1164"/>
      <c r="DI5" s="1011" t="s">
        <v>172</v>
      </c>
      <c r="DJ5" s="1011"/>
      <c r="DK5" s="1303"/>
      <c r="DL5" s="1010" t="s">
        <v>173</v>
      </c>
      <c r="DM5" s="1011"/>
      <c r="DN5" s="1012"/>
      <c r="DO5" s="1305" t="s">
        <v>174</v>
      </c>
      <c r="DP5" s="1306"/>
      <c r="DQ5" s="1306"/>
      <c r="DR5" s="1070" t="s">
        <v>186</v>
      </c>
      <c r="DS5" s="1070"/>
      <c r="DT5" s="1070"/>
      <c r="DU5" s="1070"/>
      <c r="DV5" s="1070"/>
      <c r="DW5" s="1070"/>
      <c r="DX5" s="1071" t="s">
        <v>189</v>
      </c>
      <c r="DY5" s="1074" t="s">
        <v>149</v>
      </c>
      <c r="DZ5" s="1070"/>
      <c r="EA5" s="1070"/>
      <c r="EB5" s="1070"/>
      <c r="EC5" s="1070" t="s">
        <v>150</v>
      </c>
      <c r="ED5" s="1070"/>
      <c r="EE5" s="1066" t="s">
        <v>193</v>
      </c>
      <c r="EF5" s="1066"/>
      <c r="EG5" s="1067"/>
      <c r="EH5" s="1016" t="s">
        <v>194</v>
      </c>
      <c r="EI5" s="1017"/>
      <c r="EJ5" s="1018"/>
      <c r="EK5" s="1070" t="s">
        <v>187</v>
      </c>
      <c r="EL5" s="1071"/>
      <c r="EM5" s="1095" t="s">
        <v>188</v>
      </c>
      <c r="EN5" s="1096"/>
      <c r="EO5" s="1096"/>
      <c r="EP5" s="1096"/>
      <c r="EQ5" s="1096"/>
      <c r="ER5" s="1296"/>
      <c r="ES5" s="1135" t="s">
        <v>201</v>
      </c>
      <c r="ET5" s="1105"/>
      <c r="EU5" s="1136"/>
      <c r="EV5" s="1132" t="s">
        <v>221</v>
      </c>
      <c r="EW5" s="1133"/>
      <c r="EX5" s="1133"/>
      <c r="EY5" s="1134"/>
      <c r="EZ5" s="1048" t="s">
        <v>199</v>
      </c>
      <c r="FA5" s="1149" t="s">
        <v>201</v>
      </c>
      <c r="FB5" s="1040"/>
      <c r="FC5" s="1150"/>
      <c r="FD5" s="1154" t="s">
        <v>221</v>
      </c>
      <c r="FE5" s="1118"/>
      <c r="FF5" s="1119"/>
      <c r="FJ5" s="31" t="s">
        <v>390</v>
      </c>
      <c r="FP5" s="1047"/>
      <c r="FQ5" s="31"/>
      <c r="FR5" s="31"/>
      <c r="FS5" s="31"/>
      <c r="FT5" s="31"/>
      <c r="FZ5" s="1047"/>
      <c r="GJ5" s="1064" t="s">
        <v>262</v>
      </c>
      <c r="GK5" s="1022" t="s">
        <v>260</v>
      </c>
      <c r="GL5" s="1024" t="s">
        <v>110</v>
      </c>
      <c r="GM5" s="1024" t="s">
        <v>111</v>
      </c>
      <c r="GN5" s="1025"/>
      <c r="GO5" s="1098"/>
      <c r="GP5" s="1102"/>
      <c r="GQ5" s="31"/>
      <c r="GR5" s="1058"/>
      <c r="GS5" s="1112" t="s">
        <v>244</v>
      </c>
      <c r="GT5" s="1113"/>
      <c r="GU5" s="1108" t="s">
        <v>245</v>
      </c>
      <c r="GV5" s="1109"/>
      <c r="GW5" s="1110"/>
      <c r="GX5" s="1111"/>
      <c r="GY5" s="1093" t="s">
        <v>107</v>
      </c>
      <c r="GZ5" s="1094"/>
      <c r="HA5" s="1081" t="s">
        <v>244</v>
      </c>
      <c r="HB5" s="1082"/>
      <c r="HC5" s="1082"/>
      <c r="HD5" s="1083"/>
      <c r="HE5" s="1091" t="s">
        <v>245</v>
      </c>
      <c r="HF5" s="1082"/>
      <c r="HG5" s="1082"/>
      <c r="HH5" s="1092"/>
      <c r="HI5" s="1088"/>
      <c r="HM5" s="895"/>
      <c r="HS5" s="895"/>
      <c r="HT5" s="895"/>
      <c r="HU5" s="895"/>
      <c r="HV5" s="896"/>
      <c r="HW5" s="1000" t="s">
        <v>245</v>
      </c>
      <c r="HX5" s="1001"/>
      <c r="HY5" s="999" t="s">
        <v>388</v>
      </c>
      <c r="HZ5" s="1000"/>
      <c r="IA5" s="1000"/>
      <c r="IB5" s="1001"/>
      <c r="IC5" s="999" t="s">
        <v>254</v>
      </c>
      <c r="ID5" s="1000"/>
      <c r="IE5" s="1001"/>
      <c r="IF5" s="844"/>
    </row>
    <row r="6" spans="1:285" ht="15" customHeight="1" thickBot="1" x14ac:dyDescent="0.4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1058" t="str" cm="1">
        <f t="array" ref="L6">IF(OR($K$9:$K$150="Inactive"),"Inactive Element","")</f>
        <v/>
      </c>
      <c r="M6" s="1203"/>
      <c r="N6" s="1229" t="s">
        <v>8</v>
      </c>
      <c r="O6" s="1231" t="s">
        <v>9</v>
      </c>
      <c r="P6" s="1284" t="s">
        <v>10</v>
      </c>
      <c r="Q6" s="1235" t="s">
        <v>11</v>
      </c>
      <c r="R6" s="1236"/>
      <c r="S6" s="1225" t="s">
        <v>10</v>
      </c>
      <c r="T6" s="1259" t="str">
        <f>N6</f>
        <v>X</v>
      </c>
      <c r="U6" s="1261" t="str">
        <f>O6</f>
        <v>Y</v>
      </c>
      <c r="V6" s="1220" t="str">
        <f>P6</f>
        <v>Z</v>
      </c>
      <c r="W6" s="1179" t="str">
        <f>$Q$6</f>
        <v>Projected XY</v>
      </c>
      <c r="X6" s="1180"/>
      <c r="Y6" s="1257" t="str">
        <f>$S$6</f>
        <v>Z</v>
      </c>
      <c r="Z6" s="1241" t="s">
        <v>12</v>
      </c>
      <c r="AA6" s="1204"/>
      <c r="AB6" s="1204"/>
      <c r="AC6" s="1242"/>
      <c r="AD6" s="1209" t="s">
        <v>13</v>
      </c>
      <c r="AE6" s="1210"/>
      <c r="AF6" s="1210"/>
      <c r="AG6" s="1240" t="s">
        <v>7</v>
      </c>
      <c r="AH6" s="1210"/>
      <c r="AI6" s="1209" t="s">
        <v>14</v>
      </c>
      <c r="AJ6" s="1228"/>
      <c r="AK6" s="1264" t="str">
        <f>AD6</f>
        <v>Unit Vector</v>
      </c>
      <c r="AL6" s="1265"/>
      <c r="AM6" s="1266"/>
      <c r="AN6" s="34" t="s">
        <v>15</v>
      </c>
      <c r="AO6" s="35" t="s">
        <v>16</v>
      </c>
      <c r="AP6" s="680" t="s">
        <v>17</v>
      </c>
      <c r="AQ6" s="1249" t="s">
        <v>108</v>
      </c>
      <c r="AS6" s="168">
        <f>(AS5/360)</f>
        <v>1.3888888888888889E-3</v>
      </c>
      <c r="AT6" s="414" t="s">
        <v>48</v>
      </c>
      <c r="AV6" s="1244"/>
      <c r="AW6" s="1237" t="s">
        <v>105</v>
      </c>
      <c r="AX6" s="1238"/>
      <c r="AY6" s="188" t="s">
        <v>110</v>
      </c>
      <c r="AZ6" s="1186" t="s">
        <v>111</v>
      </c>
      <c r="BA6" s="1187"/>
      <c r="BB6" s="1176"/>
      <c r="BC6" s="1179" t="str">
        <f>$Q$6</f>
        <v>Projected XY</v>
      </c>
      <c r="BD6" s="1180"/>
      <c r="BE6" s="1181" t="str">
        <f>$S$6</f>
        <v>Z</v>
      </c>
      <c r="BF6" s="1059" t="s">
        <v>125</v>
      </c>
      <c r="BG6" s="993"/>
      <c r="BH6" s="1063"/>
      <c r="BI6" s="992" t="s">
        <v>126</v>
      </c>
      <c r="BJ6" s="993"/>
      <c r="BK6" s="994"/>
      <c r="BL6" s="1060" t="s">
        <v>127</v>
      </c>
      <c r="BM6" s="993"/>
      <c r="BN6" s="1090"/>
      <c r="BO6" s="1059" t="s">
        <v>135</v>
      </c>
      <c r="BP6" s="993"/>
      <c r="BQ6" s="993"/>
      <c r="BR6" s="1090"/>
      <c r="BS6" s="1059" t="s">
        <v>125</v>
      </c>
      <c r="BT6" s="993"/>
      <c r="BU6" s="1063"/>
      <c r="BV6" s="992" t="s">
        <v>126</v>
      </c>
      <c r="BW6" s="993"/>
      <c r="BX6" s="994"/>
      <c r="BY6" s="1060" t="s">
        <v>127</v>
      </c>
      <c r="BZ6" s="993"/>
      <c r="CA6" s="1090"/>
      <c r="CB6" s="1059" t="s">
        <v>135</v>
      </c>
      <c r="CC6" s="993"/>
      <c r="CD6" s="993"/>
      <c r="CE6" s="1090"/>
      <c r="CF6" s="1165" t="s">
        <v>136</v>
      </c>
      <c r="CG6" s="1166"/>
      <c r="CH6" s="1166"/>
      <c r="CI6" s="1299" t="s">
        <v>137</v>
      </c>
      <c r="CJ6" s="1166"/>
      <c r="CK6" s="1300"/>
      <c r="CL6" s="1297" t="s">
        <v>140</v>
      </c>
      <c r="CM6" s="1166"/>
      <c r="CN6" s="1298"/>
      <c r="CO6" s="1073"/>
      <c r="CP6" s="1073"/>
      <c r="CQ6" s="1138"/>
      <c r="CR6" s="1138"/>
      <c r="CS6" s="1139"/>
      <c r="CT6" s="1138"/>
      <c r="CU6" s="1160"/>
      <c r="CV6" s="1227" t="s">
        <v>147</v>
      </c>
      <c r="CW6" s="993"/>
      <c r="CX6" s="994"/>
      <c r="CY6" s="1122" t="s">
        <v>148</v>
      </c>
      <c r="CZ6" s="1115"/>
      <c r="DA6" s="1123"/>
      <c r="DB6" s="1301" t="s">
        <v>175</v>
      </c>
      <c r="DC6" s="1127"/>
      <c r="DD6" s="1128"/>
      <c r="DE6" s="1302" t="s">
        <v>176</v>
      </c>
      <c r="DF6" s="1127"/>
      <c r="DG6" s="1128"/>
      <c r="DH6" s="242" t="s">
        <v>29</v>
      </c>
      <c r="DI6" s="1014"/>
      <c r="DJ6" s="1014"/>
      <c r="DK6" s="1304"/>
      <c r="DL6" s="1013"/>
      <c r="DM6" s="1014"/>
      <c r="DN6" s="1015"/>
      <c r="DO6" s="1307"/>
      <c r="DP6" s="1308"/>
      <c r="DQ6" s="1308"/>
      <c r="DR6" s="1072"/>
      <c r="DS6" s="1072"/>
      <c r="DT6" s="1072"/>
      <c r="DU6" s="1072"/>
      <c r="DV6" s="1072"/>
      <c r="DW6" s="1072"/>
      <c r="DX6" s="1073"/>
      <c r="DY6" s="1075"/>
      <c r="DZ6" s="1072"/>
      <c r="EA6" s="1072"/>
      <c r="EB6" s="1072"/>
      <c r="EC6" s="1072"/>
      <c r="ED6" s="1072"/>
      <c r="EE6" s="1068"/>
      <c r="EF6" s="1068"/>
      <c r="EG6" s="1069"/>
      <c r="EH6" s="1019"/>
      <c r="EI6" s="1020"/>
      <c r="EJ6" s="1021"/>
      <c r="EK6" s="1072"/>
      <c r="EL6" s="1073"/>
      <c r="EM6" s="1007" t="s">
        <v>198</v>
      </c>
      <c r="EN6" s="1008"/>
      <c r="EO6" s="1009"/>
      <c r="EP6" s="1124" t="s">
        <v>197</v>
      </c>
      <c r="EQ6" s="1008"/>
      <c r="ER6" s="1125"/>
      <c r="ES6" s="1137"/>
      <c r="ET6" s="1138"/>
      <c r="EU6" s="1139"/>
      <c r="EV6" s="263" t="s">
        <v>220</v>
      </c>
      <c r="EW6" s="1124" t="s">
        <v>201</v>
      </c>
      <c r="EX6" s="1008"/>
      <c r="EY6" s="1143"/>
      <c r="EZ6" s="1049"/>
      <c r="FA6" s="1151"/>
      <c r="FB6" s="1152"/>
      <c r="FC6" s="1153"/>
      <c r="FD6" s="1007" t="s">
        <v>201</v>
      </c>
      <c r="FE6" s="1008"/>
      <c r="FF6" s="1125"/>
      <c r="FG6" s="1146" t="s">
        <v>223</v>
      </c>
      <c r="FH6" s="1147"/>
      <c r="FI6" s="1148"/>
      <c r="FJ6" s="1144" t="s">
        <v>202</v>
      </c>
      <c r="FK6" s="1071" t="s">
        <v>213</v>
      </c>
      <c r="FL6" s="1105"/>
      <c r="FM6" s="1136"/>
      <c r="FN6" s="1042" t="s">
        <v>203</v>
      </c>
      <c r="FO6" s="1051" t="s">
        <v>226</v>
      </c>
      <c r="FP6" s="1037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9" t="s">
        <v>217</v>
      </c>
      <c r="FV6" s="1040"/>
      <c r="FW6" s="1041"/>
      <c r="FX6" s="1042" t="s">
        <v>218</v>
      </c>
      <c r="FY6" s="1051" t="s">
        <v>226</v>
      </c>
      <c r="FZ6" s="1037" t="s">
        <v>224</v>
      </c>
      <c r="GA6" s="1044" t="s">
        <v>237</v>
      </c>
      <c r="GB6" s="318" t="s">
        <v>206</v>
      </c>
      <c r="GC6" s="319" t="s">
        <v>238</v>
      </c>
      <c r="GD6" s="320" t="s">
        <v>225</v>
      </c>
      <c r="GE6" s="1061"/>
      <c r="GF6" s="1067" t="s">
        <v>256</v>
      </c>
      <c r="GG6" s="318" t="s">
        <v>206</v>
      </c>
      <c r="GH6" s="319" t="s">
        <v>238</v>
      </c>
      <c r="GI6" s="320" t="s">
        <v>225</v>
      </c>
      <c r="GJ6" s="1065"/>
      <c r="GK6" s="1023"/>
      <c r="GL6" s="1026"/>
      <c r="GM6" s="1026"/>
      <c r="GN6" s="1027"/>
      <c r="GO6" s="1099" t="s">
        <v>236</v>
      </c>
      <c r="GP6" s="1103" t="s">
        <v>224</v>
      </c>
      <c r="GQ6" s="1105" t="s">
        <v>202</v>
      </c>
      <c r="GR6" s="1058"/>
      <c r="GS6" s="1116" t="s">
        <v>248</v>
      </c>
      <c r="GT6" s="1117"/>
      <c r="GU6" s="1114" t="s">
        <v>247</v>
      </c>
      <c r="GV6" s="1115"/>
      <c r="GW6" s="1115"/>
      <c r="GX6" s="340" t="s">
        <v>106</v>
      </c>
      <c r="GY6" s="992" t="s">
        <v>246</v>
      </c>
      <c r="GZ6" s="1063"/>
      <c r="HA6" s="1126" t="s">
        <v>248</v>
      </c>
      <c r="HB6" s="1127"/>
      <c r="HC6" s="1127"/>
      <c r="HD6" s="1128"/>
      <c r="HE6" s="992" t="s">
        <v>247</v>
      </c>
      <c r="HF6" s="993"/>
      <c r="HG6" s="993"/>
      <c r="HH6" s="1090"/>
      <c r="HI6" s="1088"/>
      <c r="HM6" s="901" t="s">
        <v>392</v>
      </c>
      <c r="HN6" s="1120" t="s">
        <v>393</v>
      </c>
      <c r="HO6" s="1120"/>
      <c r="HP6" s="1120"/>
      <c r="HQ6" s="1120"/>
      <c r="HR6" s="1121"/>
      <c r="HS6" s="1002" t="s">
        <v>105</v>
      </c>
      <c r="HT6" s="1003"/>
      <c r="HU6" s="1003"/>
      <c r="HV6" s="1004"/>
      <c r="HW6" s="877">
        <f>AVERAGE(HW$9:HW$150)</f>
        <v>29500</v>
      </c>
      <c r="HX6" s="878">
        <f t="shared" ref="HX6:IE6" si="0">SUM(HX$9:HX$150)</f>
        <v>2557.1125345833334</v>
      </c>
      <c r="HY6" s="879" t="e">
        <f t="shared" si="0"/>
        <v>#VALUE!</v>
      </c>
      <c r="HZ6" s="880">
        <f t="shared" si="0"/>
        <v>16093.61220106072</v>
      </c>
      <c r="IA6" s="881" t="e">
        <f t="shared" si="0"/>
        <v>#VALUE!</v>
      </c>
      <c r="IB6" s="882" t="e">
        <f t="shared" si="0"/>
        <v>#VALUE!</v>
      </c>
      <c r="IC6" s="889" t="e">
        <f t="shared" si="0"/>
        <v>#VALUE!</v>
      </c>
      <c r="ID6" s="890">
        <f t="shared" si="0"/>
        <v>13289.749999999998</v>
      </c>
      <c r="IE6" s="890" t="e">
        <f t="shared" si="0"/>
        <v>#VALUE!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15" t="s">
        <v>40</v>
      </c>
      <c r="C7" s="1216"/>
      <c r="D7" s="1217"/>
      <c r="E7" s="1218" t="s">
        <v>41</v>
      </c>
      <c r="F7" s="1216"/>
      <c r="G7" s="1219"/>
      <c r="H7" s="990" t="s">
        <v>98</v>
      </c>
      <c r="I7" s="988"/>
      <c r="J7" s="991"/>
      <c r="K7" s="169"/>
      <c r="L7" s="1058"/>
      <c r="M7" s="1212"/>
      <c r="N7" s="1230"/>
      <c r="O7" s="1232"/>
      <c r="P7" s="1285"/>
      <c r="Q7" s="36" t="s">
        <v>18</v>
      </c>
      <c r="R7" s="2" t="s">
        <v>19</v>
      </c>
      <c r="S7" s="1226"/>
      <c r="T7" s="1260"/>
      <c r="U7" s="1262"/>
      <c r="V7" s="1221"/>
      <c r="W7" s="37" t="str">
        <f>$Q$7</f>
        <v>&lt; θ°</v>
      </c>
      <c r="X7" s="27" t="str">
        <f>$R$7</f>
        <v>r</v>
      </c>
      <c r="Y7" s="125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250"/>
      <c r="AS7" s="1255" t="s">
        <v>54</v>
      </c>
      <c r="AT7" s="1253" t="s">
        <v>53</v>
      </c>
      <c r="AV7" s="1244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176"/>
      <c r="BC7" s="37" t="str">
        <f>$Q$7</f>
        <v>&lt; θ°</v>
      </c>
      <c r="BD7" s="27" t="str">
        <f>$R$7</f>
        <v>r</v>
      </c>
      <c r="BE7" s="1182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050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145"/>
      <c r="FK7" s="358" t="s">
        <v>210</v>
      </c>
      <c r="FL7" s="361" t="s">
        <v>211</v>
      </c>
      <c r="FM7" s="893" t="s">
        <v>212</v>
      </c>
      <c r="FN7" s="1043"/>
      <c r="FO7" s="1052"/>
      <c r="FP7" s="1038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043"/>
      <c r="FY7" s="1052"/>
      <c r="FZ7" s="1038"/>
      <c r="GA7" s="1045"/>
      <c r="GB7" s="212" t="s">
        <v>231</v>
      </c>
      <c r="GC7" s="127" t="s">
        <v>232</v>
      </c>
      <c r="GD7" s="213" t="s">
        <v>233</v>
      </c>
      <c r="GE7" s="1062"/>
      <c r="GF7" s="1155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00"/>
      <c r="GP7" s="1104"/>
      <c r="GQ7" s="1106"/>
      <c r="GR7" s="110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089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309" t="s">
        <v>394</v>
      </c>
      <c r="HP7" s="1310"/>
      <c r="HQ7" s="1118" t="s">
        <v>390</v>
      </c>
      <c r="HR7" s="1119"/>
      <c r="HS7" s="883" t="s">
        <v>29</v>
      </c>
      <c r="HT7" s="884" t="s">
        <v>110</v>
      </c>
      <c r="HU7" s="1005" t="s">
        <v>391</v>
      </c>
      <c r="HV7" s="1006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1078" t="s">
        <v>33</v>
      </c>
      <c r="IJ7" s="1076" t="s">
        <v>376</v>
      </c>
      <c r="IK7" s="1059" t="s">
        <v>324</v>
      </c>
      <c r="IL7" s="1060"/>
      <c r="IM7" s="1060"/>
      <c r="IN7" s="993"/>
      <c r="IO7" s="993"/>
      <c r="IP7" s="993"/>
      <c r="IQ7" s="994"/>
      <c r="IR7" s="992" t="s">
        <v>320</v>
      </c>
      <c r="IS7" s="993"/>
      <c r="IT7" s="993"/>
      <c r="IU7" s="993"/>
      <c r="IV7" s="993"/>
      <c r="IW7" s="992" t="s">
        <v>319</v>
      </c>
      <c r="IX7" s="993"/>
      <c r="IY7" s="993"/>
      <c r="IZ7" s="993"/>
      <c r="JA7" s="994"/>
      <c r="JC7" s="725"/>
      <c r="JD7" s="1287" t="s">
        <v>355</v>
      </c>
      <c r="JE7" s="1287"/>
      <c r="JF7" s="1287"/>
      <c r="JG7" s="1288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58"/>
      <c r="M8" s="411" cm="1">
        <f t="array" ref="M8">IF(AND(ISNUMBER('SN#.Run#'!$P$1),COUNT($M$9:$M$150)&gt;='SN#.Run#'!$P$1),INDEX($M$9:$M$150,'SN#.Run#'!$P$1),"")</f>
        <v>1.111</v>
      </c>
      <c r="N8" s="551"/>
      <c r="O8" s="552"/>
      <c r="P8" s="562"/>
      <c r="Q8" s="554">
        <f>IFERROR(INDEX(Q$9:Q$150,MATCH($M$8,$M$9:$M$150,0)),"")</f>
        <v>89.461808079781534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-0.16172993742794287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256"/>
      <c r="AT8" s="1254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#VALUE!</v>
      </c>
      <c r="HB8" s="360" t="str">
        <f>IFERROR(IF((DEGREES(ATAN2(HC8,HD8)))&lt;0,(360+(DEGREES(ATAN2(HC8,HD8)))),(DEGREES(ATAN2(HC8,HD8)))),"")</f>
        <v/>
      </c>
      <c r="HC8" s="360" t="e">
        <f>SUM(HC9:HC150)</f>
        <v>#VALUE!</v>
      </c>
      <c r="HD8" s="364" t="e">
        <f>SUM(HD9:HD150)</f>
        <v>#VALUE!</v>
      </c>
      <c r="HE8" s="366" t="e">
        <f>SQRT(HG8^2+HH8^2)</f>
        <v>#VALUE!</v>
      </c>
      <c r="HF8" s="360" t="str">
        <f>IFERROR(IF((DEGREES(ATAN2(HG8,HH8)))&lt;0,(360+(DEGREES(ATAN2(HG8,HH8)))),(DEGREES(ATAN2(HG8,HH8)))),"")</f>
        <v/>
      </c>
      <c r="HG8" s="360" t="e">
        <f>SUM(HG9:HG150)</f>
        <v>#VALUE!</v>
      </c>
      <c r="HH8" s="367" t="e">
        <f>SUM(HH9:HH150)</f>
        <v>#VALUE!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079"/>
      <c r="IJ8" s="1077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1.8543677922044467E-2</v>
      </c>
      <c r="C9" s="641">
        <f t="shared" ref="C9:C40" si="3">IFERROR(R164+($A9*-F9),"")</f>
        <v>0.34327409054007424</v>
      </c>
      <c r="D9" s="642">
        <f t="shared" ref="D9:D40" si="4">IFERROR(S164+($A9*-G9),"")</f>
        <v>-0.70380373352539238</v>
      </c>
      <c r="E9" s="643">
        <f t="shared" ref="E9:E40" si="5">T164</f>
        <v>-0.92718389610222329</v>
      </c>
      <c r="F9" s="641">
        <f t="shared" ref="F9:F40" si="6">U164</f>
        <v>-5.8601349176929649E-2</v>
      </c>
      <c r="G9" s="644">
        <f t="shared" ref="G9:G40" si="7">V164</f>
        <v>0.3699944657469153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1.8543677922044467E-2</v>
      </c>
      <c r="O9" s="567">
        <f t="shared" ref="O9:O40" si="14">IF(M9="","",C9)</f>
        <v>0.34327409054007424</v>
      </c>
      <c r="P9" s="568">
        <f t="shared" ref="P9:P40" si="15">IF(M9="","",D9)</f>
        <v>-0.70380373352539238</v>
      </c>
      <c r="Q9" s="526">
        <f>IF(M9="","",IF(DEGREES(ATAN2(N9,O9))&lt;0,DEGREES(ATAN2(N9,O9))+360,IF(DEGREES(ATAN2(N9,O9))&gt;360,DEGREES(ATAN2(N9,O9))-360,DEGREES(ATAN2(N9,O9)))))</f>
        <v>86.907885491498305</v>
      </c>
      <c r="R9" s="567">
        <f>IF(M9="","",SQRT(N9^2+O9^2))</f>
        <v>0.34377459072332789</v>
      </c>
      <c r="S9" s="569">
        <f>IF(M9="","",P9)</f>
        <v>-0.70380373352539238</v>
      </c>
      <c r="T9" s="570">
        <f>IF(M9="","",X9*COS(RADIANS(W9)))</f>
        <v>0.34343312897219175</v>
      </c>
      <c r="U9" s="567">
        <f>IF(M9="","",X9*SIN(RADIANS(W9)))</f>
        <v>-1.5318457864990476E-2</v>
      </c>
      <c r="V9" s="571">
        <f>IF(M9="","",Y9)</f>
        <v>-0.70380373352539238</v>
      </c>
      <c r="W9" s="526">
        <f t="shared" ref="W9:W13" si="16">IF(M9="","",IF(Q9-$Q$8&lt;0,360+Q9-$Q$8,Q9-$Q$8))</f>
        <v>357.44607741171677</v>
      </c>
      <c r="X9" s="572">
        <f>IF(M9="","",R9)</f>
        <v>0.34377459072332789</v>
      </c>
      <c r="Y9" s="573">
        <f t="shared" ref="Y9:Y15" si="17">IF(M9="","",S9)</f>
        <v>-0.70380373352539238</v>
      </c>
      <c r="Z9" s="566">
        <f t="shared" ref="Z9:Z40" si="18">IF(M9="","",-E9)</f>
        <v>0.92718389610222329</v>
      </c>
      <c r="AA9" s="567">
        <f t="shared" ref="AA9:AA40" si="19">IF(M9="","",-F9)</f>
        <v>5.8601349176929649E-2</v>
      </c>
      <c r="AB9" s="567">
        <f t="shared" ref="AB9:AB40" si="20">IF(M9="","",-G9)</f>
        <v>-0.3699944657469153</v>
      </c>
      <c r="AC9" s="571">
        <f>IF(M9="","",SQRT(Z9^2+AA9^2+AB9^2))</f>
        <v>1</v>
      </c>
      <c r="AD9" s="574">
        <f>IF(M9="","",Z9*(1/SQRT(Z9^2+AA9^2+AB9^2)))</f>
        <v>0.92718389610222329</v>
      </c>
      <c r="AE9" s="567">
        <f>IF(M9="","",AA9*(1/SQRT(Z9^2+AA9^2+AB9^2)))</f>
        <v>5.8601349176929649E-2</v>
      </c>
      <c r="AF9" s="568">
        <f>IF(M9="","",AB9*(1/SQRT(Z9^2+AA9^2+AB9^2)))</f>
        <v>-0.3699944657469153</v>
      </c>
      <c r="AG9" s="542">
        <f>IF(M9="","",DEGREES(ATAN2(-AF9,AE9)))</f>
        <v>8.9999974011221102</v>
      </c>
      <c r="AH9" s="543">
        <f>IF(M9="","",DEGREES(ACOS(AD9)))</f>
        <v>21.999993647187349</v>
      </c>
      <c r="AI9" s="526">
        <f>IF(M9="","",DEGREES(-ACOS(-AF9)))</f>
        <v>-68.284724027963065</v>
      </c>
      <c r="AJ9" s="544">
        <f>IF(M9="","",DEGREES(ATAN2(-AE9,AD9)))</f>
        <v>93.616488386781398</v>
      </c>
      <c r="AK9" s="570">
        <f>IF(M9="","",(COS(RADIANS((90-$Q$8)-W9))*AD9)+(-SIN(RADIANS((90-$Q$8)-W9))*AE9))</f>
        <v>0.9226729744207216</v>
      </c>
      <c r="AL9" s="567">
        <f>IF(M9="","",(SIN(RADIANS((90-$Q$8)-W9))*AD9)+(COS(RADIANS((90-$Q$8)-W9))*AE9))</f>
        <v>0.10852961618965332</v>
      </c>
      <c r="AM9" s="569">
        <f>IF(M9="","",AF9)</f>
        <v>-0.3699944657469153</v>
      </c>
      <c r="AN9" s="524">
        <f>IF(M9="","",DEGREES(ATAN2(-AM9,AL9)))</f>
        <v>16.347873003628511</v>
      </c>
      <c r="AO9" s="525">
        <f>IF(ROUND(IF(M9="",0,DEGREES(ACOS(AK9))),4)=90,0,IF(M9="","",DEGREES(ACOS(AK9))))</f>
        <v>22.679965146972126</v>
      </c>
      <c r="AP9" s="722">
        <f>IF(M9="","",DEGREES(ATAN2(AK9,AL9)))</f>
        <v>6.7086028952831231</v>
      </c>
      <c r="AQ9" s="527">
        <f t="shared" ref="AQ9:AQ40" si="21">IF(M9="","",DEGREES(ATAN(($AS$5*SIN(RADIANS(90)))/(($X9*2*PI())-($AS$5*COS(RADIANS(90)))))))</f>
        <v>13.033359488077894</v>
      </c>
      <c r="AS9" s="931">
        <f>IF(M9="","",W9)</f>
        <v>357.44607741171677</v>
      </c>
      <c r="AT9" s="927">
        <f t="shared" ref="AT9:AT40" si="22">IF(M9="","",Y9+(((AS9-$AS$9)*$AS$6)*-1))</f>
        <v>-0.70380373352539238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0.2011</v>
      </c>
      <c r="AX9" s="827">
        <f>IFERROR(INDEX(MassProp!D$9:D$150,MATCH($M9,MassProp!$B$9:$B$150,0)),"")</f>
        <v>-0.20499999999999999</v>
      </c>
      <c r="AY9" s="828">
        <f>IFERROR(INDEX(MassProp!E$9:E$150,MATCH($M9,MassProp!$B$9:$B$150,0)),"")</f>
        <v>7.7100000000000002E-2</v>
      </c>
      <c r="AZ9" s="297">
        <f>IF(ISNUMBER(AV9),$AY9*SQRT((2*PI()*$AW9)^2+$AS$5^2),"")</f>
        <v>0.104769651472516</v>
      </c>
      <c r="BA9" s="296">
        <f t="shared" ref="BA9:BA40" si="24">IF(ISNUMBER(AV9),AZ9/$AZ$151,"")</f>
        <v>1.6003786056161234E-2</v>
      </c>
      <c r="BB9" s="290">
        <f>IF(ISNUMBER($AV9),$AX9-($AT9+$AS$5),"")</f>
        <v>-1.1962664746076046E-3</v>
      </c>
      <c r="BC9" s="180"/>
      <c r="BD9" s="191">
        <f>IF(ISNUMBER(AV9),AW9,"")</f>
        <v>0.2011</v>
      </c>
      <c r="BE9" s="181">
        <f t="shared" ref="BE9:BE40" si="25">IF(ISNUMBER(AV9),Y9+BB9,"")</f>
        <v>-0.70499999999999996</v>
      </c>
      <c r="BF9" s="4">
        <f t="shared" ref="BF9:BF40" si="26">IF(ISNUMBER($AV9),N9,"")</f>
        <v>1.8543677922044467E-2</v>
      </c>
      <c r="BG9" s="5">
        <f t="shared" ref="BG9:BG40" si="27">IF(ISNUMBER($AV9),O9,"")</f>
        <v>0.34327409054007424</v>
      </c>
      <c r="BH9" s="10">
        <f t="shared" ref="BH9:BH40" si="28">IF(ISNUMBER($AV9),P9,"")</f>
        <v>-0.70380373352539238</v>
      </c>
      <c r="BI9" s="9">
        <f>IF(ISNUMBER($AV9),BF9+0,"")</f>
        <v>1.8543677922044467E-2</v>
      </c>
      <c r="BJ9" s="5">
        <f t="shared" ref="BJ9:BJ40" si="29">IF(ISNUMBER($AV9),BG9+COS(RADIANS($AG9)),"")</f>
        <v>1.3309624382309182</v>
      </c>
      <c r="BK9" s="8">
        <f t="shared" ref="BK9:BK40" si="30">IF(ISNUMBER($AV9),BH9+SIN(RADIANS($AG9)),"")</f>
        <v>-0.54736931328569338</v>
      </c>
      <c r="BL9" s="173">
        <f t="shared" ref="BL9:BL40" si="31">IF(ISNUMBER($AV9),BF9+SIN(RADIANS($AH9)),"")</f>
        <v>0.39315016853412865</v>
      </c>
      <c r="BM9" s="5">
        <f t="shared" ref="BM9:BM40" si="32">IF(ISNUMBER($AV9),BG9-SIN(RADIANS($AG9))*COS(RADIANS($AH9)),"")</f>
        <v>0.19823061529773767</v>
      </c>
      <c r="BN9" s="6">
        <f t="shared" ref="BN9:BN40" si="33">IF(ISNUMBER($AV9),BH9+COS(RADIANS($AG9))*COS(RADIANS($AH9)),"")</f>
        <v>0.2119649968213716</v>
      </c>
      <c r="BO9" s="4">
        <f>IF(ISNUMBER($AV9),BJ9*BN9-BM9*BK9-BG9*(BN9-BK9)+BH9*(BM9-BJ9),"")</f>
        <v>0.92718389610222329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5.8601349176929607E-2</v>
      </c>
      <c r="BQ9" s="5">
        <f>IF(ISNUMBER($AV9),BF9*(BJ9-BM9)-BG9*(BI9-BL9)+(BI9*BM9-BL9*BJ9),"")</f>
        <v>-0.36999446574691502</v>
      </c>
      <c r="BR9" s="6">
        <f>IF(ISNUMBER($AV9),-(BF9*(BJ9*BN9-BM9*BK9)-BG9*(BI9*BN9-BL9*BK9)+BH9*(BI9*BM9-BL9*BJ9)),"")</f>
        <v>-0.29771321076336954</v>
      </c>
      <c r="BS9" s="4">
        <f>IF(ISNUMBER($AV9),0,"")</f>
        <v>0</v>
      </c>
      <c r="BT9" s="5">
        <f>IF(ISNUMBER($AV9),0,"")</f>
        <v>0</v>
      </c>
      <c r="BU9" s="10">
        <f>IF(ISNUMBER($AV9),$BE9,"")</f>
        <v>-0.70499999999999996</v>
      </c>
      <c r="BV9" s="9">
        <f>IF(ISNUMBER($AV9),0,"")</f>
        <v>0</v>
      </c>
      <c r="BW9" s="5">
        <f>IF(ISNUMBER($AV9),1,"")</f>
        <v>1</v>
      </c>
      <c r="BX9" s="8">
        <f>IF(ISNUMBER($AV9),$BE9,"")</f>
        <v>-0.70499999999999996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-0.70499999999999996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-0.70499999999999996</v>
      </c>
      <c r="CF9" s="4">
        <f>IF(ISNUMBER($AV9),(BP9*CD9)-(BQ9*CC9),"")</f>
        <v>-5.8601349176929607E-2</v>
      </c>
      <c r="CG9" s="5">
        <f>IF(ISNUMBER($AV9),(BQ9*CB9)-(BO9*CD9),"")</f>
        <v>0.92718389610222329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0.62911712664643649</v>
      </c>
      <c r="CK9" s="8">
        <f>IF(ISNUMBER($AV9),(CC9*BR9-BP9*CE9)/(-CC9*BQ9+BP9*CD9),"")</f>
        <v>-0.70499999999999996</v>
      </c>
      <c r="CL9" s="173">
        <f>IF(ISNUMBER($AV9),CI9+CF9,"")</f>
        <v>-5.8601349176929607E-2</v>
      </c>
      <c r="CM9" s="5">
        <f>IF(ISNUMBER($AV9),CJ9+CG9,"")</f>
        <v>1.5563010227486598</v>
      </c>
      <c r="CN9" s="181">
        <f>IF(ISNUMBER($AV9),CK9+CH9,"")</f>
        <v>-0.70499999999999996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0.3125</v>
      </c>
      <c r="CP9" s="23">
        <f>IF(ISNUMBER($AV9),(CL9-CI9)^2+(CM9-CJ9)^2+(CN9-CK9)^2,"")</f>
        <v>0.86310409531665488</v>
      </c>
      <c r="CQ9" s="20">
        <f>IF(ISNUMBER($AV9),2*((CL9-CI9)*(CI9-BF9)+(CM9-CJ9)*(CJ9-BG9)+(CN9-CK9)*(CK9-BH9)),"")</f>
        <v>0.53223148887143945</v>
      </c>
      <c r="CR9" s="20">
        <f>IF(ISNUMBER($AV9),BF9^2+BG9^2+BH9^2+CI9^2+CJ9^2+CK9^2-2*(BF9*CI9+BG9*CJ9+BH9*CK9)-CO9^2,"")</f>
        <v>-1.560470966514238E-2</v>
      </c>
      <c r="CS9" s="25">
        <f>IF(ISNUMBER($AV9),CQ9^2-(4*CP9*CR9),"")</f>
        <v>0.33714431301915626</v>
      </c>
      <c r="CT9" s="24">
        <f>IF(ISNUMBER($AV9),(-CQ9+SQRT(CS9))/(CP9*2),"")</f>
        <v>2.804401346966414E-2</v>
      </c>
      <c r="CU9" s="22">
        <f>IF(ISNUMBER($AV9),(-CQ9-SQRT(CS9))/(CP9*2),"")</f>
        <v>-0.64469210002077115</v>
      </c>
      <c r="CV9" s="23">
        <f t="shared" ref="CV9:CX10" si="36">IF(ISNUMBER($AV9),CI9+($CT9*(CL9-CI9)),"")</f>
        <v>-1.6434170256583054E-3</v>
      </c>
      <c r="CW9" s="20">
        <f t="shared" si="36"/>
        <v>0.65511908431758292</v>
      </c>
      <c r="CX9" s="25">
        <f t="shared" si="36"/>
        <v>-0.70499999999999996</v>
      </c>
      <c r="CY9" s="24">
        <f t="shared" ref="CY9:DA10" si="37">IF(ISNUMBER($AV9),CI9+($CU9*(CL9-CI9)),"")</f>
        <v>3.7779826864925238E-2</v>
      </c>
      <c r="CZ9" s="20">
        <f t="shared" si="37"/>
        <v>3.1368993562853609E-2</v>
      </c>
      <c r="DA9" s="22">
        <f t="shared" si="37"/>
        <v>-0.70499999999999996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>
        <f t="shared" ref="DL9:DN9" si="39">IF(ISNUMBER($AV9),CV9-DB9,"")</f>
        <v>-1.6434170256583054E-3</v>
      </c>
      <c r="DM9" s="173">
        <f t="shared" si="39"/>
        <v>0.65511908431758292</v>
      </c>
      <c r="DN9" s="178">
        <f t="shared" si="39"/>
        <v>9.2949999999999999</v>
      </c>
      <c r="DO9" s="9">
        <f t="shared" ref="DO9:DQ10" si="40">IF(ISNUMBER($AV9),CY9-CV9,"")</f>
        <v>3.9423243890583541E-2</v>
      </c>
      <c r="DP9" s="173">
        <f t="shared" si="40"/>
        <v>-0.62375009075472931</v>
      </c>
      <c r="DQ9" s="11">
        <f t="shared" si="40"/>
        <v>0</v>
      </c>
      <c r="DR9" s="173">
        <f>IF(ISNUMBER($AV9),SUMPRODUCT(DI9:DK9,DL9:DN9),"")</f>
        <v>185.9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0.3906183678753895</v>
      </c>
      <c r="DV9" s="5">
        <f>IF(ISNUMBER($AV9),SUMPRODUCT(DL9:DN9,DO9:DQ9),"")</f>
        <v>-0.40869537712846399</v>
      </c>
      <c r="DW9" s="5">
        <f>IF(ISNUMBER($AV9),SUMPRODUCT(DL9:DN9,DL9:DN9),"")</f>
        <v>86.82620871545663</v>
      </c>
      <c r="DX9" s="167">
        <f>IF(ISNUMBER($AV9),DW9-DH9*DH9,"")</f>
        <v>86.785767505456633</v>
      </c>
      <c r="DY9" s="9">
        <f>IF(ISNUMBER($AV9),DT9*DU9-DS9*DS9,"")</f>
        <v>156.2473471501558</v>
      </c>
      <c r="DZ9" s="5">
        <f>IF(ISNUMBER($AV9),DT9*DV9-DS9*DR9,"")</f>
        <v>-163.47815085138561</v>
      </c>
      <c r="EA9" s="10">
        <f>IF(ISNUMBER($AV9),DT9*DX9-DR9*DR9,"")</f>
        <v>155.49700218264479</v>
      </c>
      <c r="EB9" s="6">
        <f>IF(ISNUMBER($AV9),DZ9*DZ9-DY9*EA9,"")</f>
        <v>2429.111724948154</v>
      </c>
      <c r="EC9" s="173">
        <f>IF(ISNUMBER($AV9),(-DZ9+SQRT(DZ9^2-DY9*EA9))/DY9,"")</f>
        <v>1.361713810192491</v>
      </c>
      <c r="ED9" s="5">
        <f>IF(ISNUMBER($AV9),(-DZ9-SQRT(DZ9^2-DY9*EA9))/DY9,"")</f>
        <v>0.73084204861874236</v>
      </c>
      <c r="EE9" s="4">
        <f t="shared" ref="EE9:EG10" si="41">IF(ISNUMBER($AV9),CV9+DO9*$EC9,"")</f>
        <v>5.2039758622736056E-2</v>
      </c>
      <c r="EF9" s="5">
        <f t="shared" si="41"/>
        <v>-0.1942500283719516</v>
      </c>
      <c r="EG9" s="10">
        <f t="shared" si="41"/>
        <v>-0.70499999999999996</v>
      </c>
      <c r="EH9" s="9">
        <f t="shared" ref="EH9:EJ10" si="42">IF(ISNUMBER($AV9),CV9+DO9*$ED9,"")</f>
        <v>2.7168747302532086E-2</v>
      </c>
      <c r="EI9" s="5">
        <f t="shared" si="42"/>
        <v>0.1992562901642701</v>
      </c>
      <c r="EJ9" s="6">
        <f t="shared" si="42"/>
        <v>-0.70499999999999996</v>
      </c>
      <c r="EK9" s="236" t="b">
        <f>IF(ISNUMBER($AV9),IF(OR($EC9&lt;0,$EC9&gt;1),FALSE,TRUE),"")</f>
        <v>0</v>
      </c>
      <c r="EL9" s="238" t="b">
        <f>IF(ISNUMBER($AV9),IF(OR($ED9&lt;0,$ED9&gt;1),FALSE,TRUE),"")</f>
        <v>1</v>
      </c>
      <c r="EM9" s="4">
        <f t="shared" ref="EM9:EO10" si="43">IF(ISNUMBER($AV9),IF($EK9=TRUE,EE9,IF($EL9=TRUE,EH9,"")),"")</f>
        <v>2.7168747302532086E-2</v>
      </c>
      <c r="EN9" s="5">
        <f t="shared" si="43"/>
        <v>0.1992562901642701</v>
      </c>
      <c r="EO9" s="10">
        <f t="shared" si="43"/>
        <v>-0.70499999999999996</v>
      </c>
      <c r="EP9" s="9">
        <f>IF(ISNUMBER($AV9),IF(DEGREES(ATAN2(EM9,EN9))&lt;0,DEGREES(ATAN2(EM9,EN9))+360,IF(DEGREES(ATAN2(EM9,EN9))&gt;360,DEGREES(ATAN2(EM9,EN9))-360,DEGREES(ATAN2(EM9,EN9)))),"")</f>
        <v>82.235558077158501</v>
      </c>
      <c r="EQ9" s="5">
        <f>IF(ISNUMBER($AV9),SQRT(EM9^2+EN9^2),"")</f>
        <v>0.20110000000004141</v>
      </c>
      <c r="ER9" s="7">
        <f>IF(ISNUMBER($AV9),EO9,"")</f>
        <v>-0.70499999999999996</v>
      </c>
      <c r="ES9" s="274">
        <f>IF(ISNUMBER($AV9),AD9,"")</f>
        <v>0.92718389610222329</v>
      </c>
      <c r="ET9" s="267">
        <f t="shared" ref="ET9:ET40" si="44">IF(ISNUMBER($AV9),AE9,"")</f>
        <v>5.8601349176929649E-2</v>
      </c>
      <c r="EU9" s="273">
        <f t="shared" ref="EU9:EU40" si="45">IF(ISNUMBER($AV9),AF9,"")</f>
        <v>-0.3699944657469153</v>
      </c>
      <c r="EV9" s="174">
        <f t="shared" ref="EV9:EV14" si="46">IF(ISNUMBER($AV9),IF(($EV$1-EP9)&lt;0,(360+($EV$1-EP9)),($EV$1-EP9)),"")</f>
        <v>7.7644419228414989</v>
      </c>
      <c r="EW9" s="9">
        <f>IF(ISNUMBER($AV9),(COS(RADIANS($EV9))*ES9)+(-SIN(RADIANS($EV9))*ET9),"")</f>
        <v>0.91076627642948749</v>
      </c>
      <c r="EX9" s="5">
        <f t="shared" ref="EX9:EX40" si="47">IF(ISNUMBER($AV9),(SIN(RADIANS($EV9))*ES9)+(COS(RADIANS($EV9))*ET9),"")</f>
        <v>0.18332726211728934</v>
      </c>
      <c r="EY9" s="6">
        <f>IF(ISNUMBER($AV9),EU9,"")</f>
        <v>-0.3699944657469153</v>
      </c>
      <c r="EZ9" s="51">
        <f>IF(ISNUMBER($AV9),DEGREES(ATAN($AS$5/($EQ9*2*PI()))),"")</f>
        <v>21.589247873383929</v>
      </c>
      <c r="FA9" s="266">
        <f>IF(ISNUMBER($AV9),SIN(RADIANS($EP9))*COS(RADIANS($EZ9)),"")</f>
        <v>0.92132061199485138</v>
      </c>
      <c r="FB9" s="267">
        <f>IF(ISNUMBER($AV9),-1*COS(RADIANS($EP9))*COS(RADIANS($EZ9)),"")</f>
        <v>-0.12562276890363788</v>
      </c>
      <c r="FC9" s="268">
        <f t="shared" ref="FC9:FC53" si="48">IF(ISNUMBER($AV9),-1*SIN(RADIANS($EZ9)),"")</f>
        <v>-0.36795006433810534</v>
      </c>
      <c r="FD9" s="4">
        <f>IF(ISNUMBER($AV9),(COS(RADIANS($EV9))*FA9)+(-SIN(RADIANS($EV9))*FB9),"")</f>
        <v>0.92984555177383332</v>
      </c>
      <c r="FE9" s="5">
        <f t="shared" ref="FE9:FE40" si="49">IF(ISNUMBER($AV9),(SIN(RADIANS($EV9))*FA9)+(COS(RADIANS($EV9))*FB9),"")</f>
        <v>4.163336342344337E-17</v>
      </c>
      <c r="FF9" s="7">
        <f>IF(ISNUMBER($AV9),FC9,"")</f>
        <v>-0.36795006433810534</v>
      </c>
      <c r="FG9" s="173">
        <f>IF(ISNUMBER($AV9),EW9-FD9,"")</f>
        <v>-1.9079275344345836E-2</v>
      </c>
      <c r="FH9" s="5">
        <f t="shared" ref="FH9:FH40" si="50">IF(ISNUMBER($AV9),EX9-FE9,"")</f>
        <v>0.18332726211728928</v>
      </c>
      <c r="FI9" s="10">
        <f t="shared" ref="FI9:FI40" si="51">IF(ISNUMBER($AV9),EY9-FF9,"")</f>
        <v>-2.0444014088099594E-3</v>
      </c>
      <c r="FJ9" s="279">
        <f>IF(ISNUMBER($AV9),DEGREES(ACOS((2-SQRT((FG9)^2+(FH9)^2+(FI9)^2)^2)/2)),"")</f>
        <v>10.576267825878402</v>
      </c>
      <c r="FK9" s="23">
        <f t="shared" ref="FK9:FK40" si="52">IF(ISNUMBER($AV9),SQRT(ES9^2+ET9^2),"")</f>
        <v>0.92903395810737455</v>
      </c>
      <c r="FL9" s="20">
        <f>IF(ISNUMBER($AV9),SQRT(FA9^2+FB9^2),"")</f>
        <v>0.92984555177383321</v>
      </c>
      <c r="FM9" s="25">
        <f>IF(ISNUMBER($AV9),SQRT(FG9^2+FH9^2),"")</f>
        <v>0.1843173995668522</v>
      </c>
      <c r="FN9" s="24">
        <f>IF(ISNUMBER($AV9),DEGREES(ACOS((FK9^2+FL9^2-FM9^2)/(2*FK9*FL9))),"")</f>
        <v>11.380930309622919</v>
      </c>
      <c r="FO9" s="10">
        <f t="shared" ref="FO9:FO40" si="53">IF(ISNUMBER($AV9),IF(SQRT((EM9+(ES9/SQRT(ES9^2+(ET9/SQRT(ES9^2+ET9^2))^2)))^2+(EN9+ET9)^2)&gt;SQRT((EM9+(FA9/SQRT(FA9^2+FB9^2)))^2+(EN9+(FB9/SQRT(FA9^2+FB9^2)))^2),-1,1),"")</f>
        <v>-1</v>
      </c>
      <c r="FP9" s="276">
        <f t="shared" ref="FP9:FP40" si="54">IF(ISNUMBER($AV9),FN9*FO9,"")</f>
        <v>-11.380930309622919</v>
      </c>
      <c r="FQ9" s="173">
        <f>IF(ISNUMBER($AV9),SIN(RADIANS(FN9)),"")</f>
        <v>0.19733106687592294</v>
      </c>
      <c r="FR9" s="10">
        <f>IF(ISNUMBER($AV9),COS(RADIANS(FN9)),"")</f>
        <v>0.98033690639780058</v>
      </c>
      <c r="FS9" s="9">
        <f>IF(ISNUMBER($AV9),FQ9/(FQ9+FR9),"")</f>
        <v>0.16756086720043428</v>
      </c>
      <c r="FT9" s="6">
        <f>IF(ISNUMBER($AV9),FR9/(FQ9+FR9),"")</f>
        <v>0.83243913279956583</v>
      </c>
      <c r="FU9" s="4">
        <f>IF(ISNUMBER($AV9),SQRT(EW9^2+EY9^2),"")</f>
        <v>0.98305193909812261</v>
      </c>
      <c r="FV9" s="5">
        <f>IF(ISNUMBER($AV9),SQRT(FD9^2+FF9^2),"")</f>
        <v>1.0000000000000002</v>
      </c>
      <c r="FW9" s="8">
        <f>IF(ISNUMBER($AV9),SQRT(FG9^2+FI9^2),"")</f>
        <v>1.9188494594045334E-2</v>
      </c>
      <c r="FX9" s="9">
        <f>IF(ISNUMBER($AV9),DEGREES(ACOS((FU9^2+FV9^2-FW9^2)/(2*FU9*FV9))),"")</f>
        <v>0.51996644114001955</v>
      </c>
      <c r="FY9" s="10">
        <f t="shared" ref="FY9:FY40" si="55">IF(ISNUMBER($AV9),IF(EU9&lt;FC9,1,-1),"")</f>
        <v>1</v>
      </c>
      <c r="FZ9" s="277">
        <f>IF(ISNUMBER($AV9),FX9*FY9,"")</f>
        <v>0.51996644114001955</v>
      </c>
      <c r="GA9" s="177">
        <f>IF(ISNUMBER($AV9),DEGREES(FZ9*SIN(RADIANS(FU9))),"")</f>
        <v>0.51112893971460571</v>
      </c>
      <c r="GB9" s="4">
        <f>IF(ISNUMBER($AV9),COS(RADIANS(FP9+90))*COS(RADIANS(FZ9)),"")</f>
        <v>0.19732294104366777</v>
      </c>
      <c r="GC9" s="5">
        <f>IF(ISNUMBER($AV9),SIN(RADIANS(FP9+90))*COS(RADIANS(FZ9)),"")</f>
        <v>0.98029653742102918</v>
      </c>
      <c r="GD9" s="10">
        <f>IF(ISNUMBER($AV9),-SIN(RADIANS(FZ9)),"")</f>
        <v>-9.0750018301959268E-3</v>
      </c>
      <c r="GE9" s="311">
        <f>IF(ISNUMBER($AV9),SUM(ABS(GB9),ABS(GC9),ABS(GD9)),"")</f>
        <v>1.1866944802948929</v>
      </c>
      <c r="GF9" s="341">
        <f>IF(ISNUMBER($AV9),1/GE9,"")</f>
        <v>0.84267687817297388</v>
      </c>
      <c r="GG9" s="303">
        <f t="shared" ref="GG9:GG40" si="56">IF(ISNUMBER($AV9),ABS(GB9)/(ABS($GB9)+ABS($GC9)+ABS($GD9)),"")</f>
        <v>0.16627947995058773</v>
      </c>
      <c r="GH9" s="304">
        <f t="shared" ref="GH9:GH40" si="57">IF(ISNUMBER($AV9),ABS(GC9)/(ABS($GB9)+ABS($GC9)+ABS($GD9)),"")</f>
        <v>0.82607322583772869</v>
      </c>
      <c r="GI9" s="305">
        <f t="shared" ref="GI9:GI40" si="58">IF(ISNUMBER($AV9),ABS(GD9)/(ABS($GB9)+ABS($GC9)+ABS($GD9)),"")</f>
        <v>7.6472942116835281E-3</v>
      </c>
      <c r="GJ9" s="167">
        <f>IF(ISNUMBER($AV9),AW9,"")</f>
        <v>0.2011</v>
      </c>
      <c r="GK9" s="174">
        <f t="shared" ref="GK9:GK53" si="59">IF(ISNUMBER($AV9),SQRT((2*PI()*$GJ9)^2+$AS$5^2)/12,"")</f>
        <v>0.11324000375325984</v>
      </c>
      <c r="GL9" s="174">
        <f t="shared" ref="GL9:GN10" si="60">IF(ISNUMBER($AV9),AY9,"")</f>
        <v>7.7100000000000002E-2</v>
      </c>
      <c r="GM9" s="9">
        <f t="shared" si="60"/>
        <v>0.104769651472516</v>
      </c>
      <c r="GN9" s="281">
        <f t="shared" si="60"/>
        <v>1.6003786056161234E-2</v>
      </c>
      <c r="GO9" s="4">
        <f>IF(ISNUMBER($AV9),FP9,"")</f>
        <v>-11.380930309622919</v>
      </c>
      <c r="GP9" s="8">
        <f>IF(ISNUMBER($AV9),FZ9,"")</f>
        <v>0.51996644114001955</v>
      </c>
      <c r="GQ9" s="177">
        <f>IF(ISNUMBER($AV9),FJ9,"")</f>
        <v>10.576267825878402</v>
      </c>
      <c r="GR9" s="371">
        <f>IF(ISNUMBER($AV9),GS9+GU9+GY9,"")</f>
        <v>311.78679865263649</v>
      </c>
      <c r="GS9" s="342">
        <f t="shared" ref="GS9:GS40" si="61">IF(ISNUMBER($AV9),GU9/GH9*GG9,"")</f>
        <v>51.84374673541901</v>
      </c>
      <c r="GT9" s="343">
        <f t="shared" ref="GT9:GT40" si="62">IF(ISNUMBER($AV9),GS9/$GK9,"")</f>
        <v>457.82183872390226</v>
      </c>
      <c r="GU9" s="344">
        <f t="shared" ref="GU9:GU53" si="63">IF(ISNUMBER($AV9),$GV9*$GK9,"")</f>
        <v>257.55872653660185</v>
      </c>
      <c r="GV9" s="343">
        <f>IF(ISNUMBER($AV9),GW9*$GL9,"")</f>
        <v>2274.4500000000003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38.115991250000008</v>
      </c>
      <c r="GY9" s="344">
        <f t="shared" ref="GY9:GY40" si="66">IF(ISNUMBER($AV9),GU9/GH9*GI9,"")</f>
        <v>2.3843253806156453</v>
      </c>
      <c r="GZ9" s="345">
        <f t="shared" ref="GZ9:GZ40" si="67">IF(ISNUMBER($AV9),GY9/$GK9,"")</f>
        <v>21.055504252815851</v>
      </c>
      <c r="HA9" s="342">
        <f t="shared" ref="HA9:HA53" si="68">IF(ISNUMBER($AV9),$FO9*$GS9,"")</f>
        <v>-51.84374673541901</v>
      </c>
      <c r="HB9" s="191">
        <f>IF(ISNUMBER($AV9),$EV9,"")</f>
        <v>7.7644419228414989</v>
      </c>
      <c r="HC9" s="362">
        <f>IF(ISNUMBER($AV9),HA9*COS(RADIANS(HB9)),"")</f>
        <v>-51.368436811106193</v>
      </c>
      <c r="HD9" s="365">
        <f>IF(ISNUMBER($AV9),HA9*SIN(RADIANS(HB9)),"")</f>
        <v>-7.0041255806602782</v>
      </c>
      <c r="HE9" s="344">
        <f t="shared" ref="HE9:HE53" si="69">IF(ISNUMBER($AV9),$FY9*$GV9,"")</f>
        <v>2274.4500000000003</v>
      </c>
      <c r="HF9" s="5">
        <f t="shared" ref="HF9:HF53" si="70">IF(ISNUMBER($AV9),IF(($HB9+90)&lt;0,(360+($HB9+90)),($HB9+90)),"")</f>
        <v>97.764441922841499</v>
      </c>
      <c r="HG9" s="362">
        <f>IF(ISNUMBER($AV9),HE9*COS(RADIANS(HF9)),"")</f>
        <v>-307.27974789771969</v>
      </c>
      <c r="HH9" s="368">
        <f>IF(ISNUMBER($AV9),HE9*SIN(RADIANS(HF9)),"")</f>
        <v>2253.5975592443106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>
        <f>IF(ISNUMBER($HL9),INDEX(GO$9:GO$150,MATCH($HL9,$AV$9:$AV$150,0)),"")</f>
        <v>-11.380930309622919</v>
      </c>
      <c r="HN9" s="904">
        <f t="shared" ref="HN9:HN40" si="73">IF(ISNUMBER($HL9),INDEX(AO$9:AO$150,MATCH($HL9,$AV$9:$AV$150,0)),"")</f>
        <v>22.679965146972126</v>
      </c>
      <c r="HO9" s="905"/>
      <c r="HP9" s="906"/>
      <c r="HQ9" s="907">
        <f t="shared" ref="HQ9:HQ40" si="74">IF(ISNUMBER($HL9),INDEX(GQ$9:GQ$150,MATCH($HL9,$AV$9:$AV$150,0)),"")</f>
        <v>10.576267825878402</v>
      </c>
      <c r="HR9" s="908">
        <f t="shared" ref="HR9:HR40" si="75">IF(ISNUMBER($HL9),INDEX(GP$9:GP$150,MATCH($HL9,$AV$9:$AV$150,0)),"")</f>
        <v>0.51996644114001955</v>
      </c>
      <c r="HS9" s="859">
        <f>IFERROR(SMALL($GJ$9:$GJ$150,$HK9),"")</f>
        <v>0.2011</v>
      </c>
      <c r="HT9" s="873">
        <f t="shared" ref="HT9:HT40" si="76">IF(ISNUMBER($HL9),INDEX(GL$9:GL$150,MATCH($HL9,$AV$9:$AV$150,0)),"")</f>
        <v>7.7100000000000002E-2</v>
      </c>
      <c r="HU9" s="874">
        <f t="shared" ref="HU9:HU40" si="77">IF(ISNUMBER($HL9),INDEX(GM$9:GM$150,MATCH($HL9,$AV$9:$AV$150,0)),"")</f>
        <v>0.104769651472516</v>
      </c>
      <c r="HV9" s="871">
        <f t="shared" ref="HV9:HV40" si="78">IF(ISNUMBER($HL9),INDEX(GN$9:GN$150,MATCH($HL9,$AV$9:$AV$150,0)),"")</f>
        <v>1.6003786056161234E-2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38.115991250000008</v>
      </c>
      <c r="HY9" s="860">
        <f t="shared" ref="HY9:HY40" si="81">IF(ISNUMBER($HL9),INDEX(GS$9:GS$150,MATCH($HL9,$AV$9:$AV$150,0)),"")</f>
        <v>51.84374673541901</v>
      </c>
      <c r="HZ9" s="862">
        <f t="shared" ref="HZ9:HZ40" si="82">IF(ISNUMBER($HL9),INDEX(GU$9:GU$150,MATCH($HL9,$AV$9:$AV$150,0)),"")</f>
        <v>257.55872653660185</v>
      </c>
      <c r="IA9" s="863">
        <f t="shared" ref="IA9:IA40" si="83">IF(ISNUMBER($HL9),INDEX(GY$9:GY$150,MATCH($HL9,$AV$9:$AV$150,0)),"")</f>
        <v>2.3843253806156453</v>
      </c>
      <c r="IB9" s="864">
        <f t="shared" ref="IB9:IB40" si="84">IF(ISNUMBER($HL9),INDEX(GR$9:GR$150,MATCH($HL9,$AV$9:$AV$150,0)),"")</f>
        <v>311.78679865263649</v>
      </c>
      <c r="IC9" s="840">
        <f t="shared" ref="IC9:IC40" si="85">IF(ISNUMBER($HL9),INDEX(GT$9:GT$150,MATCH($HL9,$AV$9:$AV$150,0)),"")</f>
        <v>457.82183872390226</v>
      </c>
      <c r="ID9" s="350">
        <f t="shared" ref="ID9:ID40" si="86">IF(ISNUMBER($HL9),INDEX(GV$9:GV$150,MATCH($HL9,$AV$9:$AV$150,0)),"")</f>
        <v>2274.4500000000003</v>
      </c>
      <c r="IE9" s="842">
        <f t="shared" ref="IE9:IE40" si="87">IF(ISNUMBER($HL9),INDEX(GZ$9:GZ$150,MATCH($HL9,$AV$9:$AV$150,0)),"")</f>
        <v>21.055504252815851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46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1.9225234363304217E-2</v>
      </c>
      <c r="C10" s="572">
        <f t="shared" si="3"/>
        <v>1.0377947729557992</v>
      </c>
      <c r="D10" s="576">
        <f t="shared" si="4"/>
        <v>-0.44870770891536865</v>
      </c>
      <c r="E10" s="580">
        <f t="shared" si="5"/>
        <v>-0.96126171816521044</v>
      </c>
      <c r="F10" s="572">
        <f t="shared" si="6"/>
        <v>-1.4425736374339179E-2</v>
      </c>
      <c r="G10" s="579">
        <f t="shared" si="7"/>
        <v>0.2752595272104596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1.9225234363304217E-2</v>
      </c>
      <c r="O10" s="572">
        <f t="shared" si="14"/>
        <v>1.0377947729557992</v>
      </c>
      <c r="P10" s="576">
        <f t="shared" si="15"/>
        <v>-0.44870770891536865</v>
      </c>
      <c r="Q10" s="528">
        <f>IF(M10="","",IF(DEGREES(ATAN2(N10,O10))&lt;0,DEGREES(ATAN2(N10,O10))+360,IF(DEGREES(ATAN2(N10,O10))&gt;360,DEGREES(ATAN2(N10,O10))-360,DEGREES(ATAN2(N10,O10)))))</f>
        <v>88.938712318473435</v>
      </c>
      <c r="R10" s="572">
        <f t="shared" ref="R10:R105" si="101">IF(M10="","",SQRT(N10^2+O10^2))</f>
        <v>1.0379728322122419</v>
      </c>
      <c r="S10" s="577">
        <f t="shared" ref="S10:S105" si="102">IF(M10="","",P10)</f>
        <v>-0.44870770891536865</v>
      </c>
      <c r="T10" s="578">
        <f t="shared" ref="T10:T105" si="103">IF(M10="","",X10*COS(RADIANS(W10)))</f>
        <v>1.0379295738462</v>
      </c>
      <c r="U10" s="572">
        <f t="shared" ref="U10:U105" si="104">IF(M10="","",X10*SIN(RADIANS(W10)))</f>
        <v>-9.4762939036769443E-3</v>
      </c>
      <c r="V10" s="579">
        <f>IF(M10="","",Y10)</f>
        <v>-0.44870770891536865</v>
      </c>
      <c r="W10" s="528">
        <f t="shared" si="16"/>
        <v>359.47690423869193</v>
      </c>
      <c r="X10" s="572">
        <f t="shared" ref="X10:X105" si="105">IF(M10="","",R10)</f>
        <v>1.0379728322122419</v>
      </c>
      <c r="Y10" s="573">
        <f t="shared" si="17"/>
        <v>-0.44870770891536865</v>
      </c>
      <c r="Z10" s="575">
        <f>IF(M10="","",-E10)</f>
        <v>0.96126171816521044</v>
      </c>
      <c r="AA10" s="572">
        <f t="shared" si="19"/>
        <v>1.4425736374339179E-2</v>
      </c>
      <c r="AB10" s="572">
        <f t="shared" si="20"/>
        <v>-0.2752595272104596</v>
      </c>
      <c r="AC10" s="579">
        <f t="shared" ref="AC10:AC105" si="106">IF(M10="","",SQRT(Z10^2+AA10^2+AB10^2))</f>
        <v>1</v>
      </c>
      <c r="AD10" s="580">
        <f>IF(M10="","",Z10*(1/SQRT(Z10^2+AA10^2+AB10^2)))</f>
        <v>0.96126171816521044</v>
      </c>
      <c r="AE10" s="572">
        <f t="shared" ref="AE10:AE105" si="107">IF(M10="","",AA10*(1/SQRT(Z10^2+AA10^2+AB10^2)))</f>
        <v>1.4425736374339179E-2</v>
      </c>
      <c r="AF10" s="576">
        <f t="shared" ref="AF10:AF105" si="108">IF(M10="","",AB10*(1/SQRT(Z10^2+AA10^2+AB10^2)))</f>
        <v>-0.2752595272104596</v>
      </c>
      <c r="AG10" s="545">
        <f t="shared" ref="AG10:AG105" si="109">IF(M10="","",DEGREES(ATAN2(-AF10,AE10)))</f>
        <v>2.999999133707373</v>
      </c>
      <c r="AH10" s="546">
        <f t="shared" ref="AH10:AH105" si="110">IF(M10="","",DEGREES(ACOS(AD10)))</f>
        <v>15.999995379772621</v>
      </c>
      <c r="AI10" s="528">
        <f t="shared" ref="AI10:AI105" si="111">IF(M10="","",DEGREES(-ACOS(-AF10)))</f>
        <v>-74.022519117722112</v>
      </c>
      <c r="AJ10" s="529">
        <f t="shared" ref="AJ10:AJ105" si="112">IF(M10="","",DEGREES(ATAN2(-AE10,AD10)))</f>
        <v>90.859778096612999</v>
      </c>
      <c r="AK10" s="578">
        <f>IF(M10="","",(COS(RADIANS((90-$Q$8)-W10))*AD10)+(-SIN(RADIANS((90-$Q$8)-W10))*AE10))</f>
        <v>0.96082962621104318</v>
      </c>
      <c r="AL10" s="572">
        <f t="shared" ref="AL10:AL105" si="113">IF(M10="","",(SIN(RADIANS((90-$Q$8)-W10))*AD10)+(COS(RADIANS((90-$Q$8)-W10))*AE10))</f>
        <v>3.2227660092249276E-2</v>
      </c>
      <c r="AM10" s="577">
        <f t="shared" ref="AM10:AM105" si="114">IF(M10="","",AF10)</f>
        <v>-0.2752595272104596</v>
      </c>
      <c r="AN10" s="524">
        <f t="shared" ref="AN10:AN105" si="115">IF(M10="","",DEGREES(ATAN2(-AM10,AL10)))</f>
        <v>6.6778445705640328</v>
      </c>
      <c r="AO10" s="525">
        <f t="shared" ref="AO10:AO54" si="116">IF(ROUND(IF(M10="",0,DEGREES(ACOS(AK10))),4)=90,0,IF(M10="","",DEGREES(ACOS(AK10))))</f>
        <v>16.089568715731136</v>
      </c>
      <c r="AP10" s="528">
        <f t="shared" ref="AP10:AP105" si="117">IF(M10="","",DEGREES(ATAN2(AK10,AL10)))</f>
        <v>1.9210657781395402</v>
      </c>
      <c r="AQ10" s="529">
        <f t="shared" si="21"/>
        <v>4.3840758096736332</v>
      </c>
      <c r="AS10" s="932">
        <f>IF($M10="","",IF(AND($W10&lt;($AS$9+180),$W10&gt;($AS$9-180)),$W10,IF($W10&gt;($AS$9+180),$W10-360,IF($W10&lt;($AS$9-180),$W10+360,"Error"))))</f>
        <v>359.47690423869193</v>
      </c>
      <c r="AT10" s="928">
        <f t="shared" si="22"/>
        <v>-0.45152830173061193</v>
      </c>
      <c r="AU10" s="418"/>
      <c r="AV10" s="164">
        <f t="shared" si="23"/>
        <v>1.1040000000000001</v>
      </c>
      <c r="AW10" s="829">
        <f>IFERROR(INDEX(MassProp!C$9:C$150,MATCH($M10,MassProp!$B$9:$B$150,0)),"")</f>
        <v>0.93310000000000004</v>
      </c>
      <c r="AX10" s="830">
        <f>IFERROR(INDEX(MassProp!D$9:D$150,MATCH($M10,MassProp!$B$9:$B$150,0)),"")</f>
        <v>3.9100000000000003E-2</v>
      </c>
      <c r="AY10" s="831">
        <f>IFERROR(INDEX(MassProp!E$9:E$150,MATCH($M10,MassProp!$B$9:$B$150,0)),"")</f>
        <v>5.7200000000000001E-2</v>
      </c>
      <c r="AZ10" s="297">
        <f>IF(ISNUMBER(AV10),$AY10*SQRT((2*PI()*$AW10)^2+$AS$5^2),"")</f>
        <v>0.33657179598846304</v>
      </c>
      <c r="BA10" s="296">
        <f t="shared" si="24"/>
        <v>5.1412054348107826E-2</v>
      </c>
      <c r="BB10" s="291">
        <f>IF(ISNUMBER($AV10),$AX10-($AT10+$AS$5),"")</f>
        <v>-9.3716982693880721E-3</v>
      </c>
      <c r="BC10" s="9"/>
      <c r="BD10" s="5">
        <f>IF(ISNUMBER(AV10),AW10,"")</f>
        <v>0.93310000000000004</v>
      </c>
      <c r="BE10" s="6">
        <f t="shared" si="25"/>
        <v>-0.4580794071847567</v>
      </c>
      <c r="BF10" s="4">
        <f t="shared" si="26"/>
        <v>1.9225234363304217E-2</v>
      </c>
      <c r="BG10" s="5">
        <f t="shared" si="27"/>
        <v>1.0377947729557992</v>
      </c>
      <c r="BH10" s="10">
        <f t="shared" si="28"/>
        <v>-0.44870770891536865</v>
      </c>
      <c r="BI10" s="9">
        <f>IF(ISNUMBER($AV10),BF10+0,"")</f>
        <v>1.9225234363304217E-2</v>
      </c>
      <c r="BJ10" s="5">
        <f t="shared" si="29"/>
        <v>2.0364243085016747</v>
      </c>
      <c r="BK10" s="8">
        <f t="shared" si="30"/>
        <v>-0.39637176777136252</v>
      </c>
      <c r="BL10" s="173">
        <f t="shared" si="31"/>
        <v>0.29486251266590885</v>
      </c>
      <c r="BM10" s="5">
        <f t="shared" si="32"/>
        <v>0.9874862362499186</v>
      </c>
      <c r="BN10" s="6">
        <f t="shared" si="33"/>
        <v>0.5112366342339858</v>
      </c>
      <c r="BO10" s="4">
        <f>IF(ISNUMBER($AV10),BJ10*BN10-BM10*BK10-BG10*(BN10-BK10)+BH10*(BM10-BJ10),"")</f>
        <v>0.96126171816521033</v>
      </c>
      <c r="BP10" s="5">
        <f t="shared" si="34"/>
        <v>1.4425736374339165E-2</v>
      </c>
      <c r="BQ10" s="5">
        <f>IF(ISNUMBER($AV10),BF10*(BJ10-BM10)-BG10*(BI10-BL10)+(BI10*BM10-BL10*BJ10),"")</f>
        <v>-0.27525952721045926</v>
      </c>
      <c r="BR10" s="6">
        <f>IF(ISNUMBER($AV10),-(BF10*(BJ10*BN10-BM10*BK10)-BG10*(BI10*BN10-BL10*BK10)+BH10*(BI10*BM10-BL10*BJ10)),"")</f>
        <v>-0.15696250743325893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-0.4580794071847567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-0.4580794071847567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-0.4580794071847567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-0.4580794071847567</v>
      </c>
      <c r="CF10" s="4">
        <f>IF(ISNUMBER($AV10),(BP10*CD10)-(BQ10*CC10),"")</f>
        <v>-1.4425736374339165E-2</v>
      </c>
      <c r="CG10" s="5">
        <f>IF(ISNUMBER($AV10),(BQ10*CB10)-(BO10*CD10),"")</f>
        <v>0.96126171816521033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2.1400492554162298</v>
      </c>
      <c r="CK10" s="8">
        <f t="shared" ref="CK10:CK73" si="128">IF(ISNUMBER($AV10),(CC10*BR10-BP10*CE10)/(-CC10*BQ10+BP10*CD10),"")</f>
        <v>-0.4580794071847567</v>
      </c>
      <c r="CL10" s="173">
        <f t="shared" ref="CL10:CL73" si="129">IF(ISNUMBER($AV10),CI10+CF10,"")</f>
        <v>-1.4425736374339165E-2</v>
      </c>
      <c r="CM10" s="5">
        <f t="shared" ref="CM10:CM73" si="130">IF(ISNUMBER($AV10),CJ10+CG10,"")</f>
        <v>3.1013109735814401</v>
      </c>
      <c r="CN10" s="6">
        <f t="shared" ref="CN10:CN73" si="131">IF(ISNUMBER($AV10),CK10+CH10,"")</f>
        <v>-0.4580794071847567</v>
      </c>
      <c r="CO10" s="167">
        <f t="shared" si="35"/>
        <v>0.3125</v>
      </c>
      <c r="CP10" s="4">
        <f>IF(ISNUMBER($AV10),(CL10-CI10)^2+(CM10-CJ10)^2+(CN10-CK10)^2,"")</f>
        <v>0.92423219267987422</v>
      </c>
      <c r="CQ10" s="5">
        <f>IF(ISNUMBER($AV10),2*((CL10-CI10)*(CI10-BF10)+(CM10-CJ10)*(CJ10-BG10)+(CN10-CK10)*(CK10-BH10)),"")</f>
        <v>2.1196647516557561</v>
      </c>
      <c r="CR10" s="5">
        <f>IF(ISNUMBER($AV10),BF10^2+BG10^2+BH10^2+CI10^2+CJ10^2+CK10^2-2*(BF10*CI10+BG10*CJ10+BH10*CK10)-CO10^2,"")</f>
        <v>1.1177661324688879</v>
      </c>
      <c r="CS10" s="8">
        <f>IF(ISNUMBER($AV10),CQ10^2-(4*CP10*CR10),"")</f>
        <v>0.3606768853517659</v>
      </c>
      <c r="CT10" s="9">
        <f>IF(ISNUMBER($AV10),(-CQ10+SQRT(CS10))/(CP10*2),"")</f>
        <v>-0.82181780588189313</v>
      </c>
      <c r="CU10" s="6">
        <f>IF(ISNUMBER($AV10),(-CQ10-SQRT(CS10))/(CP10*2),"")</f>
        <v>-1.4716153470032534</v>
      </c>
      <c r="CV10" s="4">
        <f t="shared" si="36"/>
        <v>1.1855327015390028E-2</v>
      </c>
      <c r="CW10" s="5">
        <f t="shared" si="36"/>
        <v>1.3500672593154379</v>
      </c>
      <c r="CX10" s="8">
        <f t="shared" si="36"/>
        <v>-0.4580794071847567</v>
      </c>
      <c r="CY10" s="9">
        <f t="shared" si="37"/>
        <v>2.1229135040300585E-2</v>
      </c>
      <c r="CZ10" s="5">
        <f t="shared" si="37"/>
        <v>0.72544175847759029</v>
      </c>
      <c r="DA10" s="6">
        <f t="shared" si="37"/>
        <v>-0.4580794071847567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1.1855327015390028E-2</v>
      </c>
      <c r="DM10" s="173">
        <f>IF(ISNUMBER($AV10),CW10-DC10,"")</f>
        <v>1.3500672593154379</v>
      </c>
      <c r="DN10" s="178">
        <f>IF(ISNUMBER($AV10),CX10-DD10,"")</f>
        <v>9.5419205928152433</v>
      </c>
      <c r="DO10" s="9">
        <f t="shared" si="40"/>
        <v>9.3738080249105571E-3</v>
      </c>
      <c r="DP10" s="173">
        <f t="shared" si="40"/>
        <v>-0.62462550083784762</v>
      </c>
      <c r="DQ10" s="11">
        <f t="shared" si="40"/>
        <v>0</v>
      </c>
      <c r="DR10" s="173">
        <f>IF(ISNUMBER($AV10),SUMPRODUCT(DI10:DK10,DL10:DN10),"")</f>
        <v>190.83841185630487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0.39024488457381989</v>
      </c>
      <c r="DV10" s="5">
        <f>IF(ISNUMBER($AV10),SUMPRODUCT(DL10:DN10,DO10:DQ10),"")</f>
        <v>-0.84317530845517097</v>
      </c>
      <c r="DW10" s="5">
        <f>IF(ISNUMBER($AV10),SUMPRODUCT(DL10:DN10,DL10:DN10),"")</f>
        <v>92.871070753045743</v>
      </c>
      <c r="DX10" s="167">
        <f>IF(ISNUMBER($AV10),DW10-DH10*DH10,"")</f>
        <v>92.000395143045736</v>
      </c>
      <c r="DY10" s="9">
        <f>IF(ISNUMBER($AV10),DT10*DU10-DS10*DS10,"")</f>
        <v>156.09795382952797</v>
      </c>
      <c r="DZ10" s="5">
        <f>IF(ISNUMBER($AV10),DT10*DV10-DS10*DR10,"")</f>
        <v>-337.27012338206839</v>
      </c>
      <c r="EA10" s="10">
        <f>IF(ISNUMBER($AV10),DT10*DX10-DR10*DR10,"")</f>
        <v>380.85861738165113</v>
      </c>
      <c r="EB10" s="6">
        <f>IF(ISNUMBER($AV10),DZ10*DZ10-DY10*EA10,"")</f>
        <v>54299.885254536792</v>
      </c>
      <c r="EC10" s="173">
        <f>IF(ISNUMBER($AV10),(-DZ10+SQRT(DZ10^2-DY10*EA10))/DY10,"")</f>
        <v>3.6534334187968285</v>
      </c>
      <c r="ED10" s="5">
        <f>IF(ISNUMBER($AV10),(-DZ10-SQRT(DZ10^2-DY10*EA10))/DY10,"")</f>
        <v>0.66782916162617467</v>
      </c>
      <c r="EE10" s="4">
        <f t="shared" si="41"/>
        <v>4.6101910514984148E-2</v>
      </c>
      <c r="EF10" s="5">
        <f>IF(ISNUMBER($AV10),CW10+DP10*$EC10,"")</f>
        <v>-0.93196041967826093</v>
      </c>
      <c r="EG10" s="10">
        <f>IF(ISNUMBER($AV10),CX10+DQ10*$EC10,"")</f>
        <v>-0.4580794071847567</v>
      </c>
      <c r="EH10" s="9">
        <f>IF(ISNUMBER($AV10),CV10+DO10*$ED10,"")</f>
        <v>1.8115429369910754E-2</v>
      </c>
      <c r="EI10" s="5">
        <f>IF(ISNUMBER($AV10),CW10+DP10*$ED10,"")</f>
        <v>0.93292413476056868</v>
      </c>
      <c r="EJ10" s="6">
        <f t="shared" si="42"/>
        <v>-0.4580794071847567</v>
      </c>
      <c r="EK10" s="236" t="b">
        <f>IF(ISNUMBER($AV10),IF(OR($EC10&lt;0,$EC10&gt;1),FALSE,TRUE),"")</f>
        <v>0</v>
      </c>
      <c r="EL10" s="238" t="b">
        <f>IF(ISNUMBER($AV10),IF(OR($ED10&lt;0,$ED10&gt;1),FALSE,TRUE),"")</f>
        <v>1</v>
      </c>
      <c r="EM10" s="4">
        <f t="shared" si="43"/>
        <v>1.8115429369910754E-2</v>
      </c>
      <c r="EN10" s="5">
        <f t="shared" si="43"/>
        <v>0.93292413476056868</v>
      </c>
      <c r="EO10" s="10">
        <f t="shared" si="43"/>
        <v>-0.4580794071847567</v>
      </c>
      <c r="EP10" s="9">
        <f>IF(ISNUMBER($AV10),IF(DEGREES(ATAN2(EM10,EN10))&lt;0,DEGREES(ATAN2(EM10,EN10))+360,IF(DEGREES(ATAN2(EM10,EN10))&gt;360,DEGREES(ATAN2(EM10,EN10))-360,DEGREES(ATAN2(EM10,EN10)))),"")</f>
        <v>88.887575972541043</v>
      </c>
      <c r="EQ10" s="5">
        <f>IF(ISNUMBER($AV10),SQRT(EM10^2+EN10^2),"")</f>
        <v>0.93310000000000637</v>
      </c>
      <c r="ER10" s="7">
        <f>IF(ISNUMBER($AV10),EO10,"")</f>
        <v>-0.4580794071847567</v>
      </c>
      <c r="ES10" s="21">
        <f t="shared" ref="ES10:ES40" si="132">IF(ISNUMBER($AV10),AD10,"")</f>
        <v>0.96126171816521044</v>
      </c>
      <c r="ET10" s="5">
        <f t="shared" si="44"/>
        <v>1.4425736374339179E-2</v>
      </c>
      <c r="EU10" s="10">
        <f t="shared" si="45"/>
        <v>-0.2752595272104596</v>
      </c>
      <c r="EV10" s="174">
        <f t="shared" si="46"/>
        <v>1.1124240274589567</v>
      </c>
      <c r="EW10" s="9">
        <f t="shared" ref="EW10:EW40" si="133">IF(ISNUMBER($AV10),(COS(RADIANS($EV10))*ES10)+(-SIN(RADIANS($EV10))*ET10),"")</f>
        <v>0.96080048043010624</v>
      </c>
      <c r="EX10" s="5">
        <f t="shared" si="47"/>
        <v>3.3085185282108145E-2</v>
      </c>
      <c r="EY10" s="6">
        <f>IF(ISNUMBER($AV10),EU10,"")</f>
        <v>-0.2752595272104596</v>
      </c>
      <c r="EZ10" s="51">
        <f>IF(ISNUMBER($AV10),DEGREES(ATAN($AS$5/($EQ10*2*PI()))),"")</f>
        <v>4.8745550916544556</v>
      </c>
      <c r="FA10" s="266">
        <f t="shared" ref="FA10:FA53" si="134">IF(ISNUMBER($AV10),SIN(RADIANS($EP10))*COS(RADIANS($EZ10)),"")</f>
        <v>0.99619533890019252</v>
      </c>
      <c r="FB10" s="267">
        <f t="shared" ref="FB10:FB53" si="135">IF(ISNUMBER($AV10),-1*COS(RADIANS($EP10))*COS(RADIANS($EZ10)),"")</f>
        <v>-1.9344023407768515E-2</v>
      </c>
      <c r="FC10" s="269">
        <f t="shared" si="48"/>
        <v>-8.4974440344906865E-2</v>
      </c>
      <c r="FD10" s="4">
        <f t="shared" ref="FD10:FD40" si="136">IF(ISNUMBER($AV10),(COS(RADIANS($EV10))*FA10)+(-SIN(RADIANS($EV10))*FB10),"")</f>
        <v>0.99638313137470857</v>
      </c>
      <c r="FE10" s="5">
        <f t="shared" si="49"/>
        <v>7.2858385991025898E-17</v>
      </c>
      <c r="FF10" s="7">
        <f>IF(ISNUMBER($AV10),FC10,"")</f>
        <v>-8.4974440344906865E-2</v>
      </c>
      <c r="FG10" s="173">
        <f>IF(ISNUMBER($AV10),EW10-FD10,"")</f>
        <v>-3.5582650944602334E-2</v>
      </c>
      <c r="FH10" s="5">
        <f t="shared" si="50"/>
        <v>3.3085185282108076E-2</v>
      </c>
      <c r="FI10" s="10">
        <f t="shared" si="51"/>
        <v>-0.19028508686555273</v>
      </c>
      <c r="FJ10" s="279">
        <f>IF(ISNUMBER($AV10),DEGREES(ACOS((2-SQRT((FG10)^2+(FH10)^2+(FI10)^2)^2)/2)),"")</f>
        <v>11.270500053326444</v>
      </c>
      <c r="FK10" s="4">
        <f t="shared" si="52"/>
        <v>0.96136995619785948</v>
      </c>
      <c r="FL10" s="5">
        <f>IF(ISNUMBER($AV10),SQRT(FA10^2+FB10^2),"")</f>
        <v>0.99638313137470857</v>
      </c>
      <c r="FM10" s="8">
        <f>IF(ISNUMBER($AV10),SQRT(FG10^2+FH10^2),"")</f>
        <v>4.8587596497427513E-2</v>
      </c>
      <c r="FN10" s="9">
        <f>IF(ISNUMBER($AV10),DEGREES(ACOS((FK10^2+FL10^2-FM10^2)/(2*FK10*FL10))),"")</f>
        <v>1.9722021240720735</v>
      </c>
      <c r="FO10" s="10">
        <f t="shared" si="53"/>
        <v>-1</v>
      </c>
      <c r="FP10" s="277">
        <f t="shared" si="54"/>
        <v>-1.9722021240720735</v>
      </c>
      <c r="FQ10" s="173">
        <f>IF(ISNUMBER($AV10),SIN(RADIANS(FN10)),"")</f>
        <v>3.4414623703198748E-2</v>
      </c>
      <c r="FR10" s="10">
        <f>IF(ISNUMBER($AV10),COS(RADIANS(FN10)),"")</f>
        <v>0.99940764139332416</v>
      </c>
      <c r="FS10" s="9">
        <f>IF(ISNUMBER($AV10),FQ10/(FQ10+FR10),"")</f>
        <v>3.3288723666621382E-2</v>
      </c>
      <c r="FT10" s="6">
        <f>IF(ISNUMBER($AV10),FR10/(FQ10+FR10),"")</f>
        <v>0.96671127633337861</v>
      </c>
      <c r="FU10" s="4">
        <f>IF(ISNUMBER($AV10),SQRT(EW10^2+EY10^2),"")</f>
        <v>0.99945253539867951</v>
      </c>
      <c r="FV10" s="5">
        <f>IF(ISNUMBER($AV10),SQRT(FD10^2+FF10^2),"")</f>
        <v>1</v>
      </c>
      <c r="FW10" s="8">
        <f>IF(ISNUMBER($AV10),SQRT(FG10^2+FI10^2),"")</f>
        <v>0.19358341698522721</v>
      </c>
      <c r="FX10" s="9">
        <f>IF(ISNUMBER($AV10),DEGREES(ACOS((FU10^2+FV10^2-FW10^2)/(2*FU10*FV10))),"")</f>
        <v>11.11191203176533</v>
      </c>
      <c r="FY10" s="10">
        <f t="shared" si="55"/>
        <v>1</v>
      </c>
      <c r="FZ10" s="277">
        <f>IF(ISNUMBER($AV10),FX10*FY10,"")</f>
        <v>11.11191203176533</v>
      </c>
      <c r="GA10" s="177">
        <f>IF(ISNUMBER($AV10),DEGREES(FZ10*SIN(RADIANS(FU10))),"")</f>
        <v>11.105265440892877</v>
      </c>
      <c r="GB10" s="4">
        <f>IF(ISNUMBER($AV10),COS(RADIANS(FP10+90))*COS(RADIANS(FZ10)),"")</f>
        <v>3.3769439560276344E-2</v>
      </c>
      <c r="GC10" s="5">
        <f>IF(ISNUMBER($AV10),SIN(RADIANS(FP10+90))*COS(RADIANS(FZ10)),"")</f>
        <v>0.98067136323135862</v>
      </c>
      <c r="GD10" s="10">
        <f>IF(ISNUMBER($AV10),-SIN(RADIANS(FZ10)),"")</f>
        <v>-0.1927259772052887</v>
      </c>
      <c r="GE10" s="311">
        <f>IF(ISNUMBER($AV10),SUM(ABS(GB10),ABS(GC10),ABS(GD10)),"")</f>
        <v>1.2071667799969237</v>
      </c>
      <c r="GF10" s="341">
        <f>IF(ISNUMBER($AV10),1/GE10,"")</f>
        <v>0.82838595011912797</v>
      </c>
      <c r="GG10" s="285">
        <f t="shared" si="56"/>
        <v>2.7974129275129989E-2</v>
      </c>
      <c r="GH10" s="286">
        <f t="shared" si="57"/>
        <v>0.81237437898502951</v>
      </c>
      <c r="GI10" s="281">
        <f t="shared" si="58"/>
        <v>0.15965149173984047</v>
      </c>
      <c r="GJ10" s="167">
        <f>IF(ISNUMBER($AV10),AW10,"")</f>
        <v>0.93310000000000004</v>
      </c>
      <c r="GK10" s="174">
        <f t="shared" si="59"/>
        <v>0.49034352562421768</v>
      </c>
      <c r="GL10" s="174">
        <f t="shared" si="60"/>
        <v>5.7200000000000001E-2</v>
      </c>
      <c r="GM10" s="9">
        <f>IF(ISNUMBER($AV10),AZ10,"")</f>
        <v>0.33657179598846304</v>
      </c>
      <c r="GN10" s="281">
        <f>IF(ISNUMBER($AV10),BA10,"")</f>
        <v>5.1412054348107826E-2</v>
      </c>
      <c r="GO10" s="4">
        <f>IF(ISNUMBER($AV10),FP10,"")</f>
        <v>-1.9722021240720735</v>
      </c>
      <c r="GP10" s="8">
        <f>IF(ISNUMBER($AV10),FZ10,"")</f>
        <v>11.11191203176533</v>
      </c>
      <c r="GQ10" s="177">
        <f>IF(ISNUMBER($AV10),FJ10,"")</f>
        <v>11.270500053326444</v>
      </c>
      <c r="GR10" s="371">
        <f>IF(ISNUMBER($AV10),GS10+GU10+GY10,"")</f>
        <v>1018.5029052393987</v>
      </c>
      <c r="GS10" s="342">
        <f t="shared" si="61"/>
        <v>28.491731938262408</v>
      </c>
      <c r="GT10" s="343">
        <f t="shared" si="62"/>
        <v>58.105655421863339</v>
      </c>
      <c r="GU10" s="344">
        <f t="shared" si="63"/>
        <v>827.40566513830493</v>
      </c>
      <c r="GV10" s="343">
        <f>IF(ISNUMBER($AV10),GW10*$GL10,"")</f>
        <v>1687.4</v>
      </c>
      <c r="GW10" s="345">
        <f t="shared" si="64"/>
        <v>29500</v>
      </c>
      <c r="GX10" s="346">
        <f t="shared" si="65"/>
        <v>131.20941166666668</v>
      </c>
      <c r="GY10" s="344">
        <f t="shared" si="66"/>
        <v>162.6055081628314</v>
      </c>
      <c r="GZ10" s="345">
        <f t="shared" si="67"/>
        <v>331.61548927526093</v>
      </c>
      <c r="HA10" s="342">
        <f t="shared" si="68"/>
        <v>-28.491731938262408</v>
      </c>
      <c r="HB10" s="5">
        <f>IF(ISNUMBER($AV10),$EV10,"")</f>
        <v>1.1124240274589567</v>
      </c>
      <c r="HC10" s="343">
        <f>IF(ISNUMBER($AV10),HA10*COS(RADIANS(HB10)),"")</f>
        <v>-28.486361982995749</v>
      </c>
      <c r="HD10" s="345">
        <f>IF(ISNUMBER($AV10),HA10*SIN(RADIANS(HB10)),"")</f>
        <v>-0.55314538372523647</v>
      </c>
      <c r="HE10" s="344">
        <f t="shared" si="69"/>
        <v>1687.4</v>
      </c>
      <c r="HF10" s="5">
        <f t="shared" si="70"/>
        <v>91.112424027458957</v>
      </c>
      <c r="HG10" s="343">
        <f>IF(ISNUMBER($AV10),HE10*COS(RADIANS(HF10)),"")</f>
        <v>-32.759592239617575</v>
      </c>
      <c r="HH10" s="349">
        <f>IF(ISNUMBER($AV10),HE10*SIN(RADIANS(HF10)),"")</f>
        <v>1687.0819687010746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1.1040000000000001</v>
      </c>
      <c r="HM10" s="909">
        <f t="shared" ref="HM10:HM40" si="138">IF(ISNUMBER($HL10),INDEX(GO$9:GO$150,MATCH($HL10,$AV$9:$AV$150,0)),"")</f>
        <v>-1.9722021240720735</v>
      </c>
      <c r="HN10" s="910">
        <f t="shared" si="73"/>
        <v>16.089568715731136</v>
      </c>
      <c r="HO10" s="911"/>
      <c r="HP10" s="912"/>
      <c r="HQ10" s="910">
        <f t="shared" si="74"/>
        <v>11.270500053326444</v>
      </c>
      <c r="HR10" s="913">
        <f t="shared" si="75"/>
        <v>11.11191203176533</v>
      </c>
      <c r="HS10" s="865">
        <f>IFERROR(SMALL($GJ$9:$GJ$150,($HK9+1)),"")</f>
        <v>0.93310000000000004</v>
      </c>
      <c r="HT10" s="875">
        <f t="shared" si="76"/>
        <v>5.7200000000000001E-2</v>
      </c>
      <c r="HU10" s="876">
        <f t="shared" si="77"/>
        <v>0.33657179598846304</v>
      </c>
      <c r="HV10" s="872">
        <f t="shared" si="78"/>
        <v>5.1412054348107826E-2</v>
      </c>
      <c r="HW10" s="866">
        <f t="shared" si="79"/>
        <v>29500</v>
      </c>
      <c r="HX10" s="867">
        <f t="shared" si="80"/>
        <v>131.20941166666668</v>
      </c>
      <c r="HY10" s="866">
        <f t="shared" si="81"/>
        <v>28.491731938262408</v>
      </c>
      <c r="HZ10" s="868">
        <f t="shared" si="82"/>
        <v>827.40566513830493</v>
      </c>
      <c r="IA10" s="869">
        <f t="shared" si="83"/>
        <v>162.6055081628314</v>
      </c>
      <c r="IB10" s="870">
        <f t="shared" si="84"/>
        <v>1018.5029052393987</v>
      </c>
      <c r="IC10" s="841">
        <f t="shared" si="85"/>
        <v>58.105655421863339</v>
      </c>
      <c r="ID10" s="351">
        <f t="shared" si="86"/>
        <v>1687.4</v>
      </c>
      <c r="IE10" s="843">
        <f t="shared" si="87"/>
        <v>331.61548927526093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1.9225234363304214E-2</v>
      </c>
      <c r="C11" s="572">
        <f t="shared" si="3"/>
        <v>1.7333104553129</v>
      </c>
      <c r="D11" s="576">
        <f t="shared" si="4"/>
        <v>-0.21191399057648458</v>
      </c>
      <c r="E11" s="580">
        <f t="shared" si="5"/>
        <v>-0.96126171816521033</v>
      </c>
      <c r="F11" s="572">
        <f t="shared" si="6"/>
        <v>0</v>
      </c>
      <c r="G11" s="579">
        <f t="shared" si="7"/>
        <v>0.27563727830260493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1.9225234363304214E-2</v>
      </c>
      <c r="O11" s="572">
        <f t="shared" si="14"/>
        <v>1.7333104553129</v>
      </c>
      <c r="P11" s="576">
        <f t="shared" si="15"/>
        <v>-0.21191399057648458</v>
      </c>
      <c r="Q11" s="528">
        <f t="shared" ref="Q11:Q73" si="140">IF(M11="","",IF(DEGREES(ATAN2(N11,O11))&lt;0,DEGREES(ATAN2(N11,O11))+360,IF(DEGREES(ATAN2(N11,O11))&gt;360,DEGREES(ATAN2(N11,O11))-360,DEGREES(ATAN2(N11,O11)))))</f>
        <v>89.364522600252798</v>
      </c>
      <c r="R11" s="572">
        <f t="shared" si="101"/>
        <v>1.7334170716054855</v>
      </c>
      <c r="S11" s="577">
        <f t="shared" si="102"/>
        <v>-0.21191399057648458</v>
      </c>
      <c r="T11" s="578">
        <f t="shared" si="103"/>
        <v>1.7334145728500467</v>
      </c>
      <c r="U11" s="572">
        <f t="shared" si="104"/>
        <v>-2.9432574517114876E-3</v>
      </c>
      <c r="V11" s="579">
        <f t="shared" ref="V11:V105" si="141">IF(M11="","",Y11)</f>
        <v>-0.21191399057648458</v>
      </c>
      <c r="W11" s="528">
        <f t="shared" si="16"/>
        <v>359.90271452047131</v>
      </c>
      <c r="X11" s="572">
        <f>IF(M11="","",R11)</f>
        <v>1.7334170716054855</v>
      </c>
      <c r="Y11" s="573">
        <f t="shared" si="17"/>
        <v>-0.21191399057648458</v>
      </c>
      <c r="Z11" s="575">
        <f t="shared" si="18"/>
        <v>0.96126171816521033</v>
      </c>
      <c r="AA11" s="572">
        <f t="shared" si="19"/>
        <v>0</v>
      </c>
      <c r="AB11" s="572">
        <f t="shared" si="20"/>
        <v>-0.27563727830260493</v>
      </c>
      <c r="AC11" s="579">
        <f t="shared" si="106"/>
        <v>1</v>
      </c>
      <c r="AD11" s="580">
        <f t="shared" ref="AD11:AD105" si="142">IF(M11="","",Z11*(1/SQRT(Z11^2+AA11^2+AB11^2)))</f>
        <v>0.96126171816521033</v>
      </c>
      <c r="AE11" s="572">
        <f t="shared" si="107"/>
        <v>0</v>
      </c>
      <c r="AF11" s="576">
        <f t="shared" si="108"/>
        <v>-0.27563727830260493</v>
      </c>
      <c r="AG11" s="545">
        <f>IF(M11="","",DEGREES(ATAN2(-AF11,AE11)))</f>
        <v>0</v>
      </c>
      <c r="AH11" s="546">
        <f t="shared" si="110"/>
        <v>15.999995379772646</v>
      </c>
      <c r="AI11" s="528">
        <f t="shared" si="111"/>
        <v>-74.000004620227372</v>
      </c>
      <c r="AJ11" s="529">
        <f t="shared" si="112"/>
        <v>90</v>
      </c>
      <c r="AK11" s="578">
        <f>IF(M11="","",(COS(RADIANS((90-$Q$8)-W11))*AD11)+(-SIN(RADIANS((90-$Q$8)-W11))*AE11))</f>
        <v>0.96120259439039935</v>
      </c>
      <c r="AL11" s="572">
        <f t="shared" si="113"/>
        <v>1.0661301379178119E-2</v>
      </c>
      <c r="AM11" s="577">
        <f t="shared" si="114"/>
        <v>-0.27563727830260493</v>
      </c>
      <c r="AN11" s="524">
        <f>IF(M11="","",DEGREES(ATAN2(-AM11,AL11)))</f>
        <v>2.2150241492923901</v>
      </c>
      <c r="AO11" s="525">
        <f>IF(ROUND(IF(M11="",0,DEGREES(ACOS(AK11))),4)=90,0,IF(M11="","",DEGREES(ACOS(AK11))))</f>
        <v>16.012280643730861</v>
      </c>
      <c r="AP11" s="528">
        <f t="shared" si="117"/>
        <v>0.63547739974720419</v>
      </c>
      <c r="AQ11" s="529">
        <f>IF(M11="","",DEGREES(ATAN(($AS$5*SIN(RADIANS(90)))/(($X11*2*PI())-($AS$5*COS(RADIANS(90)))))))</f>
        <v>2.6284812342992283</v>
      </c>
      <c r="AS11" s="932">
        <f t="shared" ref="AS11:AS42" si="143">IF(G11="","",IF(AND(W11&lt;(AS10+180),W11&gt;(AS10-180)),W11,IF(W11&gt;(AS10+180),W11-360,IF(W11&lt;(AS10-180),W11+360,"Error"))))</f>
        <v>359.90271452047131</v>
      </c>
      <c r="AT11" s="928">
        <f t="shared" si="22"/>
        <v>-0.21532598656086588</v>
      </c>
      <c r="AU11" s="418"/>
      <c r="AV11" s="164">
        <f t="shared" si="23"/>
        <v>1.107</v>
      </c>
      <c r="AW11" s="829">
        <f>IFERROR(INDEX(MassProp!C$9:C$150,MATCH($M11,MassProp!$B$9:$B$150,0)),"")</f>
        <v>1.6409</v>
      </c>
      <c r="AX11" s="830">
        <f>IFERROR(INDEX(MassProp!D$9:D$150,MATCH($M11,MassProp!$B$9:$B$150,0)),"")</f>
        <v>0.2258</v>
      </c>
      <c r="AY11" s="831">
        <f>IFERROR(INDEX(MassProp!E$9:E$150,MATCH($M11,MassProp!$B$9:$B$150,0)),"")</f>
        <v>6.1899999999999997E-2</v>
      </c>
      <c r="AZ11" s="297">
        <f t="shared" ref="AZ11:AZ74" si="144">IF(ISNUMBER(AV11),$AY11*SQRT((2*PI()*$AW11)^2+$AS$5^2),"")</f>
        <v>0.63894391438730413</v>
      </c>
      <c r="BA11" s="296">
        <f t="shared" si="24"/>
        <v>9.7600035544864377E-2</v>
      </c>
      <c r="BB11" s="291">
        <f t="shared" ref="BB11:BB73" si="145">IF(ISNUMBER($AV11),$AX11-($AT11+$AS$5),"")</f>
        <v>-5.8874013439134121E-2</v>
      </c>
      <c r="BC11" s="9"/>
      <c r="BD11" s="5">
        <f t="shared" ref="BD11:BD73" si="146">IF(ISNUMBER(AV11),AW11,"")</f>
        <v>1.6409</v>
      </c>
      <c r="BE11" s="6">
        <f t="shared" si="25"/>
        <v>-0.2707880040156187</v>
      </c>
      <c r="BF11" s="4">
        <f t="shared" si="26"/>
        <v>1.9225234363304214E-2</v>
      </c>
      <c r="BG11" s="5">
        <f t="shared" si="27"/>
        <v>1.7333104553129</v>
      </c>
      <c r="BH11" s="10">
        <f t="shared" si="28"/>
        <v>-0.21191399057648458</v>
      </c>
      <c r="BI11" s="9">
        <f t="shared" ref="BI11:BI74" si="147">IF(ISNUMBER($AV11),BF11+0,"")</f>
        <v>1.9225234363304214E-2</v>
      </c>
      <c r="BJ11" s="5">
        <f t="shared" si="29"/>
        <v>2.7333104553128997</v>
      </c>
      <c r="BK11" s="8">
        <f t="shared" si="30"/>
        <v>-0.21191399057648458</v>
      </c>
      <c r="BL11" s="173">
        <f t="shared" si="31"/>
        <v>0.29486251266590929</v>
      </c>
      <c r="BM11" s="5">
        <f t="shared" si="32"/>
        <v>1.7333104553129</v>
      </c>
      <c r="BN11" s="6">
        <f t="shared" si="33"/>
        <v>0.7493477275887257</v>
      </c>
      <c r="BO11" s="4">
        <f t="shared" ref="BO11:BO74" si="148">IF(ISNUMBER($AV11),BJ11*BN11-BM11*BK11-BG11*(BN11-BK11)+BH11*(BM11-BJ11),"")</f>
        <v>0.96126171816521022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1.3877787807814457E-17</v>
      </c>
      <c r="BQ11" s="5">
        <f t="shared" ref="BQ11:BQ74" si="149">IF(ISNUMBER($AV11),BF11*(BJ11-BM11)-BG11*(BI11-BL11)+(BI11*BM11-BL11*BJ11),"")</f>
        <v>-0.27563727830260498</v>
      </c>
      <c r="BR11" s="6">
        <f t="shared" ref="BR11:BR74" si="150">IF(ISNUMBER($AV11),-(BF11*(BJ11*BN11-BM11*BK11)-BG11*(BI11*BN11-BL11*BK11)+BH11*(BI11*BM11-BL11*BJ11)),"")</f>
        <v>-7.6891877412944745E-2</v>
      </c>
      <c r="BS11" s="4">
        <f t="shared" si="118"/>
        <v>0</v>
      </c>
      <c r="BT11" s="5">
        <f t="shared" si="118"/>
        <v>0</v>
      </c>
      <c r="BU11" s="10">
        <f t="shared" si="119"/>
        <v>-0.2707880040156187</v>
      </c>
      <c r="BV11" s="9">
        <f t="shared" si="120"/>
        <v>0</v>
      </c>
      <c r="BW11" s="5">
        <f t="shared" si="121"/>
        <v>1</v>
      </c>
      <c r="BX11" s="8">
        <f t="shared" si="122"/>
        <v>-0.2707880040156187</v>
      </c>
      <c r="BY11" s="173">
        <f t="shared" si="123"/>
        <v>1</v>
      </c>
      <c r="BZ11" s="5">
        <f t="shared" si="124"/>
        <v>0</v>
      </c>
      <c r="CA11" s="6">
        <f t="shared" si="125"/>
        <v>-0.2707880040156187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-0.2707880040156187</v>
      </c>
      <c r="CF11" s="4">
        <f t="shared" ref="CF11:CF74" si="155">IF(ISNUMBER($AV11),(BP11*CD11)-(BQ11*CC11),"")</f>
        <v>-1.3877787807814457E-17</v>
      </c>
      <c r="CG11" s="5">
        <f t="shared" ref="CG11:CG74" si="156">IF(ISNUMBER($AV11),(BQ11*CB11)-(BO11*CD11),"")</f>
        <v>0.96126171816521022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162317584061655</v>
      </c>
      <c r="CK11" s="8">
        <f t="shared" si="128"/>
        <v>-0.2707880040156187</v>
      </c>
      <c r="CL11" s="173">
        <f t="shared" si="129"/>
        <v>-1.3877787807814457E-17</v>
      </c>
      <c r="CM11" s="5">
        <f t="shared" si="130"/>
        <v>162317584061655.97</v>
      </c>
      <c r="CN11" s="6">
        <f t="shared" si="131"/>
        <v>-0.2707880040156187</v>
      </c>
      <c r="CO11" s="167">
        <f t="shared" si="35"/>
        <v>0.3125</v>
      </c>
      <c r="CP11" s="4">
        <f>IF(ISNUMBER($AV11),(CL11-CI11)^2+(CM11-CJ11)^2+(CN11-CK11)^2,"")</f>
        <v>0.9384765625</v>
      </c>
      <c r="CQ11" s="5">
        <f>IF(ISNUMBER($AV11),2*((CL11-CI11)*(CI11-BF11)+(CM11-CJ11)*(CJ11-BG11)+(CN11-CK11)*(CK11-BH11)),"")</f>
        <v>314490319119453.25</v>
      </c>
      <c r="CR11" s="5">
        <f t="shared" ref="CR11:CR74" si="158">IF(ISNUMBER($AV11),BF11^2+BG11^2+BH11^2+CI11^2+CJ11^2+CK11^2-2*(BF11*CI11+BG11*CJ11+BH11*CK11)-CO11^2,"")</f>
        <v>2.6346998095611872E+28</v>
      </c>
      <c r="CS11" s="8">
        <f t="shared" ref="CS11:CS74" si="159">IF(ISNUMBER($AV11),CQ11^2-(4*CP11*CR11),"")</f>
        <v>35184372088832</v>
      </c>
      <c r="CT11" s="9">
        <f t="shared" ref="CT11:CT74" si="160">IF(ISNUMBER($AV11),(-CQ11+SQRT(CS11))/(CP11*2),"")</f>
        <v>-167553632000166.03</v>
      </c>
      <c r="CU11" s="6">
        <f t="shared" ref="CU11:CU74" si="161">IF(ISNUMBER($AV11),(-CQ11-SQRT(CS11))/(CP11*2),"")</f>
        <v>-167553638320666.56</v>
      </c>
      <c r="CV11" s="4">
        <f>IF(ISNUMBER($AV11),CI11+($CT11*(CL11-CI11)),"")</f>
        <v>2.3252737513269344E-3</v>
      </c>
      <c r="CW11" s="5">
        <f t="shared" ref="CW11:CW74" si="162">IF(ISNUMBER($AV11),CJ11+($CT11*(CM11-CJ11)),"")</f>
        <v>3061494.15625</v>
      </c>
      <c r="CX11" s="8">
        <f t="shared" ref="CX11:CX74" si="163">IF(ISNUMBER($AV11),CK11+($CT11*(CN11-CK11)),"")</f>
        <v>-0.2707880040156187</v>
      </c>
      <c r="CY11" s="9">
        <f t="shared" ref="CY11:CY74" si="164">IF(ISNUMBER($AV11),CI11+($CU11*(CL11-CI11)),"")</f>
        <v>2.3252738390414996E-3</v>
      </c>
      <c r="CZ11" s="5">
        <f t="shared" ref="CZ11:CZ74" si="165">IF(ISNUMBER($AV11),CJ11+($CU11*(CM11-CJ11)),"")</f>
        <v>-3061490.71875</v>
      </c>
      <c r="DA11" s="6">
        <f t="shared" ref="DA11:DA74" si="166">IF(ISNUMBER($AV11),CK11+($CU11*(CN11-CK11)),"")</f>
        <v>-0.2707880040156187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>
        <f t="shared" ref="DL11:DL74" si="175">IF(ISNUMBER($AV11),CV11-DB11,"")</f>
        <v>2.3252737513269344E-3</v>
      </c>
      <c r="DM11" s="173">
        <f t="shared" ref="DM11:DM74" si="176">IF(ISNUMBER($AV11),CW11-DC11,"")</f>
        <v>3061494.15625</v>
      </c>
      <c r="DN11" s="178">
        <f t="shared" ref="DN11:DN74" si="177">IF(ISNUMBER($AV11),CX11-DD11,"")</f>
        <v>9.7292119959843806</v>
      </c>
      <c r="DO11" s="9">
        <f t="shared" ref="DO11:DO74" si="178">IF(ISNUMBER($AV11),CY11-CV11,"")</f>
        <v>8.7714565211866047E-11</v>
      </c>
      <c r="DP11" s="173">
        <f t="shared" ref="DP11:DP74" si="179">IF(ISNUMBER($AV11),CZ11-CW11,"")</f>
        <v>-6122984.875</v>
      </c>
      <c r="DQ11" s="11">
        <f t="shared" ref="DQ11:DQ74" si="180">IF(ISNUMBER($AV11),DA11-CX11,"")</f>
        <v>0</v>
      </c>
      <c r="DR11" s="173">
        <f t="shared" ref="DR11:DR74" si="181">IF(ISNUMBER($AV11),SUMPRODUCT(DI11:DK11,DL11:DN11),"")</f>
        <v>194.5842399196876</v>
      </c>
      <c r="DS11" s="5">
        <f t="shared" ref="DS11:DS74" si="182">IF(ISNUMBER($AV11),SUMPRODUCT(DO11:DQ11,DI11:DK11),"")</f>
        <v>0</v>
      </c>
      <c r="DT11" s="5">
        <f t="shared" ref="DT11:DT74" si="183">IF(ISNUMBER($AV11),SUMPRODUCT(DI11:DK11,DI11:DK11),"")</f>
        <v>400</v>
      </c>
      <c r="DU11" s="5">
        <f t="shared" ref="DU11:DU74" si="184">IF(ISNUMBER($AV11),SUMPRODUCT(DO11:DQ11,DO11:DQ11),"")</f>
        <v>37490943779478.766</v>
      </c>
      <c r="DV11" s="5">
        <f t="shared" ref="DV11:DV74" si="185">IF(ISNUMBER($AV11),SUMPRODUCT(DL11:DN11,DO11:DQ11),"")</f>
        <v>-18745482413619.637</v>
      </c>
      <c r="DW11" s="5">
        <f t="shared" ref="DW11:DW74" si="186">IF(ISNUMBER($AV11),SUMPRODUCT(DL11:DN11,DL11:DN11),"")</f>
        <v>9372746468847.5566</v>
      </c>
      <c r="DX11" s="167">
        <f t="shared" ref="DX11:DX74" si="187">IF(ISNUMBER($AV11),DW11-DH11*DH11,"")</f>
        <v>9372746468844.8633</v>
      </c>
      <c r="DY11" s="9">
        <f t="shared" ref="DY11:DY74" si="188">IF(ISNUMBER($AV11),DT11*DU11-DS11*DS11,"")</f>
        <v>1.4996377511791506E+16</v>
      </c>
      <c r="DZ11" s="5">
        <f t="shared" ref="DZ11:DZ74" si="189">IF(ISNUMBER($AV11),DT11*DV11-DS11*DR11,"")</f>
        <v>-7498192965447855</v>
      </c>
      <c r="EA11" s="10">
        <f t="shared" ref="EA11:EA74" si="190">IF(ISNUMBER($AV11),DT11*DX11-DR11*DR11,"")</f>
        <v>3749098587500082.5</v>
      </c>
      <c r="EB11" s="6">
        <f t="shared" ref="EB11:EB74" si="191">IF(ISNUMBER($AV11),DZ11*DZ11-DY11*EA11,"")</f>
        <v>1.615891546300534E+19</v>
      </c>
      <c r="EC11" s="173">
        <f t="shared" ref="EC11:EC74" si="192">IF(ISNUMBER($AV11),(-DZ11+SQRT(DZ11^2-DY11*EA11))/DY11,"")</f>
        <v>0.50000054875702127</v>
      </c>
      <c r="ED11" s="5">
        <f t="shared" ref="ED11:ED74" si="193">IF(ISNUMBER($AV11),(-DZ11-SQRT(DZ11^2-DY11*EA11))/DY11,"")</f>
        <v>0.5000000126521722</v>
      </c>
      <c r="EE11" s="4">
        <f t="shared" ref="EE11:EE74" si="194">IF(ISNUMBER($AV11),CV11+DO11*$EC11,"")</f>
        <v>2.3252737951842649E-3</v>
      </c>
      <c r="EF11" s="5">
        <f t="shared" ref="EF11:EF74" si="195">IF(ISNUMBER($AV11),CW11+DP11*$EC11,"")</f>
        <v>-1.6412809411995113</v>
      </c>
      <c r="EG11" s="10">
        <f t="shared" ref="EG11:EG74" si="196">IF(ISNUMBER($AV11),CX11+DQ11*$EC11,"")</f>
        <v>-0.2707880040156187</v>
      </c>
      <c r="EH11" s="9">
        <f t="shared" ref="EH11:EH74" si="197">IF(ISNUMBER($AV11),CV11+DO11*$ED11,"")</f>
        <v>2.325273795184218E-3</v>
      </c>
      <c r="EI11" s="5">
        <f t="shared" ref="EI11:EI74" si="198">IF(ISNUMBER($AV11),CW11+DP11*$ED11,"")</f>
        <v>1.6412809411995113</v>
      </c>
      <c r="EJ11" s="6">
        <f t="shared" ref="EJ11:EJ74" si="199">IF(ISNUMBER($AV11),CX11+DQ11*$ED11,"")</f>
        <v>-0.2707880040156187</v>
      </c>
      <c r="EK11" s="236" t="b">
        <f t="shared" ref="EK11:EK74" si="200">IF(ISNUMBER($AV11),IF(OR($EC11&lt;0,$EC11&gt;1),FALSE,TRUE),"")</f>
        <v>1</v>
      </c>
      <c r="EL11" s="238" t="b">
        <f t="shared" ref="EL11:EL74" si="201">IF(ISNUMBER($AV11),IF(OR($ED11&lt;0,$ED11&gt;1),FALSE,TRUE),"")</f>
        <v>1</v>
      </c>
      <c r="EM11" s="4">
        <f t="shared" ref="EM11:EM74" si="202">IF(ISNUMBER($AV11),IF($EK11=TRUE,EE11,IF($EL11=TRUE,EH11,"")),"")</f>
        <v>2.3252737951842649E-3</v>
      </c>
      <c r="EN11" s="5">
        <f t="shared" ref="EN11:EN74" si="203">IF(ISNUMBER($AV11),IF($EK11=TRUE,EF11,IF($EL11=TRUE,EI11,"")),"")</f>
        <v>-1.6412809411995113</v>
      </c>
      <c r="EO11" s="10">
        <f t="shared" ref="EO11:EO74" si="204">IF(ISNUMBER($AV11),IF($EK11=TRUE,EG11,IF($EL11=TRUE,EJ11,"")),"")</f>
        <v>-0.2707880040156187</v>
      </c>
      <c r="EP11" s="9">
        <f t="shared" ref="EP11:EP74" si="205">IF(ISNUMBER($AV11),IF(DEGREES(ATAN2(EM11,EN11))&lt;0,DEGREES(ATAN2(EM11,EN11))+360,IF(DEGREES(ATAN2(EM11,EN11))&gt;360,DEGREES(ATAN2(EM11,EN11))-360,DEGREES(ATAN2(EM11,EN11)))),"")</f>
        <v>270.08117335807373</v>
      </c>
      <c r="EQ11" s="5">
        <f t="shared" ref="EQ11:EQ74" si="206">IF(ISNUMBER($AV11),SQRT(EM11^2+EN11^2),"")</f>
        <v>1.6412825883567328</v>
      </c>
      <c r="ER11" s="7">
        <f t="shared" ref="ER11:ER74" si="207">IF(ISNUMBER($AV11),EO11,"")</f>
        <v>-0.2707880040156187</v>
      </c>
      <c r="ES11" s="21">
        <f t="shared" si="132"/>
        <v>0.96126171816521033</v>
      </c>
      <c r="ET11" s="5">
        <f t="shared" si="44"/>
        <v>0</v>
      </c>
      <c r="EU11" s="10">
        <f t="shared" si="45"/>
        <v>-0.27563727830260493</v>
      </c>
      <c r="EV11" s="174">
        <f t="shared" si="46"/>
        <v>179.91882664192627</v>
      </c>
      <c r="EW11" s="9">
        <f t="shared" si="133"/>
        <v>-0.96126075346285378</v>
      </c>
      <c r="EX11" s="5">
        <f t="shared" si="47"/>
        <v>1.3618597427522735E-3</v>
      </c>
      <c r="EY11" s="6">
        <f t="shared" ref="EY11:EY74" si="208">IF(ISNUMBER($AV11),EU11,"")</f>
        <v>-0.27563727830260493</v>
      </c>
      <c r="EZ11" s="51">
        <f t="shared" ref="EZ11:EZ74" si="209">IF(ISNUMBER($AV11),DEGREES(ATAN($AS$5/($EQ11*2*PI()))),"")</f>
        <v>2.7758081131535413</v>
      </c>
      <c r="FA11" s="266">
        <f t="shared" si="134"/>
        <v>-0.99882567165159697</v>
      </c>
      <c r="FB11" s="267">
        <f t="shared" si="135"/>
        <v>-1.4150795893307091E-3</v>
      </c>
      <c r="FC11" s="269">
        <f t="shared" si="48"/>
        <v>-4.8428041458354505E-2</v>
      </c>
      <c r="FD11" s="4">
        <f t="shared" si="136"/>
        <v>0.99882667405336545</v>
      </c>
      <c r="FE11" s="5">
        <f t="shared" si="49"/>
        <v>1.3769367590565906E-16</v>
      </c>
      <c r="FF11" s="7">
        <f t="shared" ref="FF11:FF74" si="210">IF(ISNUMBER($AV11),FC11,"")</f>
        <v>-4.8428041458354505E-2</v>
      </c>
      <c r="FG11" s="173">
        <f t="shared" ref="FG11:FG40" si="211">IF(ISNUMBER($AV11),EW11-FD11,"")</f>
        <v>-1.9600874275162192</v>
      </c>
      <c r="FH11" s="5">
        <f t="shared" si="50"/>
        <v>1.3618597427521358E-3</v>
      </c>
      <c r="FI11" s="10">
        <f t="shared" si="51"/>
        <v>-0.22720923684425043</v>
      </c>
      <c r="FJ11" s="279">
        <f t="shared" ref="FJ11:FJ74" si="212">IF(ISNUMBER($AV11),DEGREES(ACOS((2-SQRT((FG11)^2+(FH11)^2+(FI11)^2)^2)/2)),"")</f>
        <v>161.22402498135847</v>
      </c>
      <c r="FK11" s="4">
        <f t="shared" si="52"/>
        <v>0.96126171816521033</v>
      </c>
      <c r="FL11" s="5">
        <f t="shared" ref="FL11:FL73" si="213">IF(ISNUMBER($AV11),SQRT(FA11^2+FB11^2),"")</f>
        <v>0.99882667405336545</v>
      </c>
      <c r="FM11" s="8">
        <f t="shared" ref="FM11:FM73" si="214">IF(ISNUMBER($AV11),SQRT(FG11^2+FH11^2),"")</f>
        <v>1.9600879006231096</v>
      </c>
      <c r="FN11" s="9">
        <f t="shared" ref="FN11:FN73" si="215">IF(ISNUMBER($AV11),DEGREES(ACOS((FK11^2+FL11^2-FM11^2)/(2*FK11*FL11))),"")</f>
        <v>179.91882664191698</v>
      </c>
      <c r="FO11" s="10">
        <f t="shared" si="53"/>
        <v>-1</v>
      </c>
      <c r="FP11" s="277">
        <f t="shared" si="54"/>
        <v>-179.91882664191698</v>
      </c>
      <c r="FQ11" s="173">
        <f>IF(ISNUMBER($AV11),SIN(RADIANS(FN11)),"")</f>
        <v>1.4167418895111212E-3</v>
      </c>
      <c r="FR11" s="10">
        <f t="shared" ref="FR11:FR74" si="216">IF(ISNUMBER($AV11),COS(RADIANS(FN11)),"")</f>
        <v>-0.99999899642070567</v>
      </c>
      <c r="FS11" s="9">
        <f t="shared" ref="FS11:FS74" si="217">IF(ISNUMBER($AV11),FQ11/(FQ11+FR11),"")</f>
        <v>-1.4187533206027586E-3</v>
      </c>
      <c r="FT11" s="6">
        <f t="shared" ref="FT11:FT74" si="218">IF(ISNUMBER($AV11),FR11/(FQ11+FR11),"")</f>
        <v>1.0014187533206027</v>
      </c>
      <c r="FU11" s="4">
        <f t="shared" ref="FU11:FU74" si="219">IF(ISNUMBER($AV11),SQRT(EW11^2+EY11^2),"")</f>
        <v>0.99999907266859056</v>
      </c>
      <c r="FV11" s="5">
        <f t="shared" ref="FV11:FV74" si="220">IF(ISNUMBER($AV11),SQRT(FD11^2+FF11^2),"")</f>
        <v>1</v>
      </c>
      <c r="FW11" s="8">
        <f>IF(ISNUMBER($AV11),SQRT(FG11^2+FI11^2),"")</f>
        <v>1.9732122949177306</v>
      </c>
      <c r="FX11" s="9">
        <f>IF(ISNUMBER($AV11),DEGREES(ACOS((FU11^2+FV11^2-FW11^2)/(2*FU11*FV11))),"")</f>
        <v>161.2241812716575</v>
      </c>
      <c r="FY11" s="10">
        <f t="shared" si="55"/>
        <v>1</v>
      </c>
      <c r="FZ11" s="277">
        <f>IF(ISNUMBER($AV11),FX11*FY11,"")</f>
        <v>161.2241812716575</v>
      </c>
      <c r="GA11" s="177">
        <f t="shared" ref="GA11:GA74" si="221">IF(ISNUMBER($AV11),DEGREES(FZ11*SIN(RADIANS(FU11))),"")</f>
        <v>161.2158466284981</v>
      </c>
      <c r="GB11" s="4">
        <f t="shared" ref="GB11:GB74" si="222">IF(ISNUMBER($AV11),COS(RADIANS(FP11+90))*COS(RADIANS(FZ11)),"")</f>
        <v>-1.3413502329808903E-3</v>
      </c>
      <c r="GC11" s="5">
        <f t="shared" ref="GC11:GC74" si="223">IF(ISNUMBER($AV11),SIN(RADIANS(FP11+90))*COS(RADIANS(FZ11)),"")</f>
        <v>0.94678423554786018</v>
      </c>
      <c r="GD11" s="10">
        <f t="shared" ref="GD11:GD74" si="224">IF(ISNUMBER($AV11),-SIN(RADIANS(FZ11)),"")</f>
        <v>-0.32186614002968156</v>
      </c>
      <c r="GE11" s="311">
        <f t="shared" ref="GE11:GE74" si="225">IF(ISNUMBER($AV11),SUM(ABS(GB11),ABS(GC11),ABS(GD11)),"")</f>
        <v>1.2699917258105227</v>
      </c>
      <c r="GF11" s="341">
        <f>IF(ISNUMBER($AV11),1/GE11,"")</f>
        <v>0.7874067048443083</v>
      </c>
      <c r="GG11" s="285">
        <f t="shared" si="56"/>
        <v>1.0561881669936281E-3</v>
      </c>
      <c r="GH11" s="286">
        <f t="shared" si="57"/>
        <v>0.74550425511127805</v>
      </c>
      <c r="GI11" s="281">
        <f t="shared" si="58"/>
        <v>0.2534395567217283</v>
      </c>
      <c r="GJ11" s="167">
        <f t="shared" ref="GJ11:GJ74" si="226">IF(ISNUMBER($AV11),AW11,"")</f>
        <v>1.6409</v>
      </c>
      <c r="GK11" s="174">
        <f>IF(ISNUMBER($AV11),SQRT((2*PI()*$GJ11)^2+$AS$5^2)/12,"")</f>
        <v>0.8601829757502748</v>
      </c>
      <c r="GL11" s="174">
        <f t="shared" ref="GL11:GL74" si="227">IF(ISNUMBER($AV11),AY11,"")</f>
        <v>6.1899999999999997E-2</v>
      </c>
      <c r="GM11" s="9">
        <f>IF(ISNUMBER($AV11),AZ11,"")</f>
        <v>0.63894391438730413</v>
      </c>
      <c r="GN11" s="281">
        <f t="shared" ref="GN11:GN74" si="228">IF(ISNUMBER($AV11),BA11,"")</f>
        <v>9.7600035544864377E-2</v>
      </c>
      <c r="GO11" s="4">
        <f t="shared" ref="GO11:GO74" si="229">IF(ISNUMBER($AV11),FP11,"")</f>
        <v>-179.91882664191698</v>
      </c>
      <c r="GP11" s="8">
        <f>IF(ISNUMBER($AV11),FZ11,"")</f>
        <v>161.2241812716575</v>
      </c>
      <c r="GQ11" s="177">
        <f t="shared" ref="GQ11:GQ74" si="230">IF(ISNUMBER($AV11),FJ11,"")</f>
        <v>161.22402498135847</v>
      </c>
      <c r="GR11" s="371">
        <f>IF(ISNUMBER($AV11),GS11+GU11+GY11,"")</f>
        <v>2106.9458854186319</v>
      </c>
      <c r="GS11" s="342">
        <f>IF(ISNUMBER($AV11),GU11/GH11*GG11,"")</f>
        <v>2.2253313126750718</v>
      </c>
      <c r="GT11" s="343">
        <f t="shared" si="62"/>
        <v>2.5870441236459927</v>
      </c>
      <c r="GU11" s="344">
        <f>IF(ISNUMBER($AV11),$GV11*$GK11,"")</f>
        <v>1570.7371228687894</v>
      </c>
      <c r="GV11" s="343">
        <f>IF(ISNUMBER($AV11),GW11*$GL11,"")</f>
        <v>1826.05</v>
      </c>
      <c r="GW11" s="345">
        <f>IF(ISNUMBER($AV11),$GW$2,"")</f>
        <v>29500</v>
      </c>
      <c r="GX11" s="346">
        <f t="shared" si="65"/>
        <v>249.69712041666668</v>
      </c>
      <c r="GY11" s="344">
        <f t="shared" si="66"/>
        <v>533.98343123716745</v>
      </c>
      <c r="GZ11" s="345">
        <f t="shared" si="67"/>
        <v>620.77888808647106</v>
      </c>
      <c r="HA11" s="342">
        <f t="shared" si="68"/>
        <v>-2.2253313126750718</v>
      </c>
      <c r="HB11" s="5">
        <f t="shared" ref="HB11:HB74" si="231">IF(ISNUMBER($AV11),$EV11,"")</f>
        <v>179.91882664192627</v>
      </c>
      <c r="HC11" s="343">
        <f t="shared" ref="HC11:HC74" si="232">IF(ISNUMBER($AV11),HA11*COS(RADIANS(HB11)),"")</f>
        <v>2.225329079378644</v>
      </c>
      <c r="HD11" s="345">
        <f t="shared" ref="HD11:HD74" si="233">IF(ISNUMBER($AV11),HA11*SIN(RADIANS(HB11)),"")</f>
        <v>-3.1527200883468354E-3</v>
      </c>
      <c r="HE11" s="344">
        <f t="shared" si="69"/>
        <v>1826.05</v>
      </c>
      <c r="HF11" s="5">
        <f t="shared" si="70"/>
        <v>269.91882664192627</v>
      </c>
      <c r="HG11" s="343">
        <f t="shared" ref="HG11:HG74" si="234">IF(ISNUMBER($AV11),HE11*COS(RADIANS(HF11)),"")</f>
        <v>-2.5870415270467166</v>
      </c>
      <c r="HH11" s="349">
        <f t="shared" ref="HH11:HH74" si="235">IF(ISNUMBER($AV11),HE11*SIN(RADIANS(HF11)),"")</f>
        <v>-1826.0481674140299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1.107</v>
      </c>
      <c r="HM11" s="909">
        <f>IF(ISNUMBER($HL11),INDEX(GO$9:GO$150,MATCH($HL11,$AV$9:$AV$150,0)),"")</f>
        <v>-179.91882664191698</v>
      </c>
      <c r="HN11" s="910">
        <f t="shared" si="73"/>
        <v>16.012280643730861</v>
      </c>
      <c r="HO11" s="911"/>
      <c r="HP11" s="912"/>
      <c r="HQ11" s="910">
        <f t="shared" si="74"/>
        <v>161.22402498135847</v>
      </c>
      <c r="HR11" s="913">
        <f t="shared" si="75"/>
        <v>161.2241812716575</v>
      </c>
      <c r="HS11" s="865">
        <f>IFERROR(SMALL($GJ$9:$GJ$150,($HK10+1)),"")</f>
        <v>1.6409</v>
      </c>
      <c r="HT11" s="875">
        <f t="shared" si="76"/>
        <v>6.1899999999999997E-2</v>
      </c>
      <c r="HU11" s="876">
        <f t="shared" si="77"/>
        <v>0.63894391438730413</v>
      </c>
      <c r="HV11" s="872">
        <f t="shared" si="78"/>
        <v>9.7600035544864377E-2</v>
      </c>
      <c r="HW11" s="866">
        <f t="shared" si="79"/>
        <v>29500</v>
      </c>
      <c r="HX11" s="867">
        <f t="shared" si="80"/>
        <v>249.69712041666668</v>
      </c>
      <c r="HY11" s="866">
        <f t="shared" si="81"/>
        <v>2.2253313126750718</v>
      </c>
      <c r="HZ11" s="868">
        <f t="shared" si="82"/>
        <v>1570.7371228687894</v>
      </c>
      <c r="IA11" s="869">
        <f t="shared" si="83"/>
        <v>533.98343123716745</v>
      </c>
      <c r="IB11" s="870">
        <f t="shared" si="84"/>
        <v>2106.9458854186319</v>
      </c>
      <c r="IC11" s="841">
        <f t="shared" si="85"/>
        <v>2.5870441236459927</v>
      </c>
      <c r="ID11" s="351">
        <f t="shared" si="86"/>
        <v>1826.05</v>
      </c>
      <c r="IE11" s="843">
        <f t="shared" si="87"/>
        <v>620.77888808647106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2.3085687398636884E-2</v>
      </c>
      <c r="C12" s="572">
        <f t="shared" si="3"/>
        <v>2.4576243214769407</v>
      </c>
      <c r="D12" s="576">
        <f t="shared" si="4"/>
        <v>-0.16172993742794287</v>
      </c>
      <c r="E12" s="580">
        <f t="shared" si="5"/>
        <v>-0.96118534787544574</v>
      </c>
      <c r="F12" s="572">
        <f t="shared" si="6"/>
        <v>4.9373783662916282E-2</v>
      </c>
      <c r="G12" s="579">
        <f t="shared" si="7"/>
        <v>0.27144973110387521</v>
      </c>
      <c r="H12" s="580">
        <f t="shared" si="8"/>
        <v>0.3125</v>
      </c>
      <c r="I12" s="572">
        <f t="shared" si="9"/>
        <v>0.52</v>
      </c>
      <c r="J12" s="483">
        <f t="shared" si="10"/>
        <v>1.111</v>
      </c>
      <c r="K12" s="806">
        <f t="shared" si="11"/>
        <v>1613</v>
      </c>
      <c r="L12" s="716" t="s">
        <v>357</v>
      </c>
      <c r="M12" s="164">
        <f t="shared" si="12"/>
        <v>1.111</v>
      </c>
      <c r="N12" s="575">
        <f t="shared" si="13"/>
        <v>2.3085687398636884E-2</v>
      </c>
      <c r="O12" s="572">
        <f t="shared" si="14"/>
        <v>2.4576243214769407</v>
      </c>
      <c r="P12" s="576">
        <f t="shared" si="15"/>
        <v>-0.16172993742794287</v>
      </c>
      <c r="Q12" s="528">
        <f>IF(M12="","",IF(DEGREES(ATAN2(N12,O12))&lt;0,DEGREES(ATAN2(N12,O12))+360,IF(DEGREES(ATAN2(N12,O12))&gt;360,DEGREES(ATAN2(N12,O12))-360,DEGREES(ATAN2(N12,O12)))))</f>
        <v>89.461808079781534</v>
      </c>
      <c r="R12" s="572">
        <f t="shared" si="101"/>
        <v>2.4577327467561765</v>
      </c>
      <c r="S12" s="577">
        <f t="shared" si="102"/>
        <v>-0.16172993742794287</v>
      </c>
      <c r="T12" s="578">
        <f>IF(M12="","",X12*COS(RADIANS(W12)))</f>
        <v>2.4577327467561765</v>
      </c>
      <c r="U12" s="572">
        <f t="shared" si="104"/>
        <v>0</v>
      </c>
      <c r="V12" s="579">
        <f t="shared" si="141"/>
        <v>-0.16172993742794287</v>
      </c>
      <c r="W12" s="528">
        <f>IF(M12="","",IF(Q12-$Q$8&lt;0,360+Q12-$Q$8,Q12-$Q$8))</f>
        <v>0</v>
      </c>
      <c r="X12" s="572">
        <f t="shared" si="105"/>
        <v>2.4577327467561765</v>
      </c>
      <c r="Y12" s="573">
        <f t="shared" si="17"/>
        <v>-0.16172993742794287</v>
      </c>
      <c r="Z12" s="575">
        <f t="shared" si="18"/>
        <v>0.96118534787544574</v>
      </c>
      <c r="AA12" s="572">
        <f t="shared" si="19"/>
        <v>-4.9373783662916282E-2</v>
      </c>
      <c r="AB12" s="572">
        <f t="shared" si="20"/>
        <v>-0.27144973110387521</v>
      </c>
      <c r="AC12" s="579">
        <f t="shared" si="106"/>
        <v>1</v>
      </c>
      <c r="AD12" s="580">
        <f t="shared" si="142"/>
        <v>0.96118534787544574</v>
      </c>
      <c r="AE12" s="572">
        <f t="shared" si="107"/>
        <v>-4.9373783662916282E-2</v>
      </c>
      <c r="AF12" s="576">
        <f t="shared" si="108"/>
        <v>-0.27144973110387521</v>
      </c>
      <c r="AG12" s="545">
        <f t="shared" si="109"/>
        <v>-10.308787138537729</v>
      </c>
      <c r="AH12" s="546">
        <f t="shared" si="110"/>
        <v>16.015862549103449</v>
      </c>
      <c r="AI12" s="528">
        <f t="shared" si="111"/>
        <v>-74.249447479202203</v>
      </c>
      <c r="AJ12" s="529">
        <f t="shared" si="112"/>
        <v>87.059437899416892</v>
      </c>
      <c r="AK12" s="578">
        <f t="shared" ref="AK12:AK105" si="238">IF(M12="","",(COS(RADIANS((90-$Q$8)-W12))*AD12)+(-SIN(RADIANS((90-$Q$8)-W12))*AE12))</f>
        <v>0.96160671628783967</v>
      </c>
      <c r="AL12" s="572">
        <f>IF(M12="","",(SIN(RADIANS((90-$Q$8)-W12))*AD12)+(COS(RADIANS((90-$Q$8)-W12))*AE12))</f>
        <v>-4.0343111850134027E-2</v>
      </c>
      <c r="AM12" s="577">
        <f t="shared" si="114"/>
        <v>-0.27144973110387521</v>
      </c>
      <c r="AN12" s="524">
        <f>IF(M12="","",DEGREES(ATAN2(-AM12,AL12)))</f>
        <v>-8.4534739187834553</v>
      </c>
      <c r="AO12" s="525">
        <f t="shared" si="116"/>
        <v>15.928124578379785</v>
      </c>
      <c r="AP12" s="528">
        <f t="shared" si="117"/>
        <v>-2.402370180364652</v>
      </c>
      <c r="AQ12" s="529">
        <f t="shared" si="21"/>
        <v>1.8544981969069354</v>
      </c>
      <c r="AS12" s="932">
        <f t="shared" si="143"/>
        <v>360</v>
      </c>
      <c r="AT12" s="928">
        <f>IF(M12="","",Y12+(((AS12-$AS$9)*$AS$6)*-1))</f>
        <v>-0.16527705213389179</v>
      </c>
      <c r="AU12" s="418"/>
      <c r="AV12" s="164">
        <f t="shared" si="23"/>
        <v>1.111</v>
      </c>
      <c r="AW12" s="829">
        <f>IFERROR(INDEX(MassProp!C$9:C$150,MATCH($M12,MassProp!$B$9:$B$150,0)),"")</f>
        <v>2.3776000000000002</v>
      </c>
      <c r="AX12" s="830">
        <f>IFERROR(INDEX(MassProp!D$9:D$150,MATCH($M12,MassProp!$B$9:$B$150,0)),"")</f>
        <v>0.31919999999999998</v>
      </c>
      <c r="AY12" s="831">
        <f>IFERROR(INDEX(MassProp!E$9:E$150,MATCH($M12,MassProp!$B$9:$B$150,0)),"")</f>
        <v>3.3799999999999997E-2</v>
      </c>
      <c r="AZ12" s="297">
        <f t="shared" si="144"/>
        <v>0.50521760635348867</v>
      </c>
      <c r="BA12" s="296">
        <f t="shared" si="24"/>
        <v>7.7173058898722599E-2</v>
      </c>
      <c r="BB12" s="291">
        <f t="shared" si="145"/>
        <v>-1.552294786610825E-2</v>
      </c>
      <c r="BC12" s="9"/>
      <c r="BD12" s="5">
        <f t="shared" si="146"/>
        <v>2.3776000000000002</v>
      </c>
      <c r="BE12" s="6">
        <f t="shared" si="25"/>
        <v>-0.17725288529405112</v>
      </c>
      <c r="BF12" s="4">
        <f t="shared" si="26"/>
        <v>2.3085687398636884E-2</v>
      </c>
      <c r="BG12" s="5">
        <f t="shared" si="27"/>
        <v>2.4576243214769407</v>
      </c>
      <c r="BH12" s="10">
        <f t="shared" si="28"/>
        <v>-0.16172993742794287</v>
      </c>
      <c r="BI12" s="9">
        <f t="shared" si="147"/>
        <v>2.3085687398636884E-2</v>
      </c>
      <c r="BJ12" s="5">
        <f t="shared" si="29"/>
        <v>3.4414819259275751</v>
      </c>
      <c r="BK12" s="8">
        <f t="shared" si="30"/>
        <v>-0.3406830434771505</v>
      </c>
      <c r="BL12" s="173">
        <f t="shared" si="31"/>
        <v>0.29898916151514443</v>
      </c>
      <c r="BM12" s="5">
        <f t="shared" si="32"/>
        <v>2.62963142496824</v>
      </c>
      <c r="BN12" s="6">
        <f t="shared" si="33"/>
        <v>0.78393957636584288</v>
      </c>
      <c r="BO12" s="4">
        <f t="shared" si="148"/>
        <v>0.96118534787544574</v>
      </c>
      <c r="BP12" s="5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>-4.9373783662916199E-2</v>
      </c>
      <c r="BQ12" s="5">
        <f t="shared" si="149"/>
        <v>-0.27144973110387471</v>
      </c>
      <c r="BR12" s="6">
        <f t="shared" si="150"/>
        <v>5.5251039073859476E-2</v>
      </c>
      <c r="BS12" s="4">
        <f t="shared" si="118"/>
        <v>0</v>
      </c>
      <c r="BT12" s="5">
        <f t="shared" si="118"/>
        <v>0</v>
      </c>
      <c r="BU12" s="10">
        <f t="shared" si="119"/>
        <v>-0.17725288529405112</v>
      </c>
      <c r="BV12" s="9">
        <f t="shared" si="120"/>
        <v>0</v>
      </c>
      <c r="BW12" s="5">
        <f t="shared" si="121"/>
        <v>1</v>
      </c>
      <c r="BX12" s="8">
        <f t="shared" si="122"/>
        <v>-0.17725288529405112</v>
      </c>
      <c r="BY12" s="173">
        <f t="shared" si="123"/>
        <v>1</v>
      </c>
      <c r="BZ12" s="5">
        <f t="shared" si="124"/>
        <v>0</v>
      </c>
      <c r="CA12" s="6">
        <f t="shared" si="125"/>
        <v>-0.17725288529405112</v>
      </c>
      <c r="CB12" s="4">
        <f t="shared" si="151"/>
        <v>0</v>
      </c>
      <c r="CC12" s="5">
        <f t="shared" si="152"/>
        <v>0</v>
      </c>
      <c r="CD12" s="5">
        <f t="shared" si="153"/>
        <v>-1</v>
      </c>
      <c r="CE12" s="6">
        <f t="shared" si="154"/>
        <v>-0.17725288529405112</v>
      </c>
      <c r="CF12" s="4">
        <f t="shared" si="155"/>
        <v>4.9373783662916199E-2</v>
      </c>
      <c r="CG12" s="5">
        <f t="shared" si="156"/>
        <v>0.96118534787544574</v>
      </c>
      <c r="CH12" s="5">
        <f t="shared" si="157"/>
        <v>0</v>
      </c>
      <c r="CI12" s="4">
        <f t="shared" si="126"/>
        <v>0</v>
      </c>
      <c r="CJ12" s="5">
        <f t="shared" si="127"/>
        <v>2.0935459965964132</v>
      </c>
      <c r="CK12" s="8">
        <f t="shared" si="128"/>
        <v>-0.17725288529405109</v>
      </c>
      <c r="CL12" s="173">
        <f t="shared" si="129"/>
        <v>4.9373783662916199E-2</v>
      </c>
      <c r="CM12" s="5">
        <f t="shared" si="130"/>
        <v>3.0547313444718589</v>
      </c>
      <c r="CN12" s="6">
        <f t="shared" si="131"/>
        <v>-0.17725288529405109</v>
      </c>
      <c r="CO12" s="167">
        <f t="shared" si="35"/>
        <v>0.3125</v>
      </c>
      <c r="CP12" s="4">
        <f t="shared" ref="CP12:CP74" si="240">IF(ISNUMBER($AV12),(CL12-CI12)^2+(CM12-CJ12)^2+(CN12-CK12)^2,"")</f>
        <v>0.92631504348363414</v>
      </c>
      <c r="CQ12" s="5">
        <f t="shared" ref="CQ12:CQ74" si="241">IF(ISNUMBER($AV12),2*((CL12-CI12)*(CI12-BF12)+(CM12-CJ12)*(CJ12-BG12)+(CN12-CK12)*(CK12-BH12)),"")</f>
        <v>-0.70217315817905879</v>
      </c>
      <c r="CR12" s="5">
        <f t="shared" si="158"/>
        <v>3.56706875209305E-2</v>
      </c>
      <c r="CS12" s="8">
        <f t="shared" si="159"/>
        <v>0.36087796621898605</v>
      </c>
      <c r="CT12" s="9">
        <f t="shared" si="160"/>
        <v>0.70327280136734693</v>
      </c>
      <c r="CU12" s="6">
        <f t="shared" si="161"/>
        <v>5.4755650311862539E-2</v>
      </c>
      <c r="CV12" s="4">
        <f t="shared" ref="CV12:CV74" si="242">IF(ISNUMBER($AV12),CI12+($CT12*(CL12-CI12)),"")</f>
        <v>3.4723239150724422E-2</v>
      </c>
      <c r="CW12" s="5">
        <f t="shared" si="162"/>
        <v>2.7695215088300258</v>
      </c>
      <c r="CX12" s="8">
        <f t="shared" si="163"/>
        <v>-0.17725288529405109</v>
      </c>
      <c r="CY12" s="9">
        <f t="shared" si="164"/>
        <v>2.7034936328201907E-3</v>
      </c>
      <c r="CZ12" s="5">
        <f t="shared" si="165"/>
        <v>2.1461763253895669</v>
      </c>
      <c r="DA12" s="6">
        <f t="shared" si="166"/>
        <v>-0.17725288529405109</v>
      </c>
      <c r="DB12" s="4">
        <f t="shared" si="167"/>
        <v>0</v>
      </c>
      <c r="DC12" s="5">
        <f t="shared" si="167"/>
        <v>0</v>
      </c>
      <c r="DD12" s="10">
        <f t="shared" si="168"/>
        <v>-10</v>
      </c>
      <c r="DE12" s="9">
        <f t="shared" si="169"/>
        <v>0</v>
      </c>
      <c r="DF12" s="5">
        <f t="shared" si="169"/>
        <v>0</v>
      </c>
      <c r="DG12" s="10">
        <f t="shared" si="170"/>
        <v>10</v>
      </c>
      <c r="DH12" s="70">
        <f t="shared" si="171"/>
        <v>2.3776000000000002</v>
      </c>
      <c r="DI12" s="4">
        <f t="shared" si="172"/>
        <v>0</v>
      </c>
      <c r="DJ12" s="5">
        <f t="shared" si="173"/>
        <v>0</v>
      </c>
      <c r="DK12" s="10">
        <f t="shared" si="174"/>
        <v>20</v>
      </c>
      <c r="DL12" s="9">
        <f t="shared" si="175"/>
        <v>3.4723239150724422E-2</v>
      </c>
      <c r="DM12" s="173">
        <f t="shared" si="176"/>
        <v>2.7695215088300258</v>
      </c>
      <c r="DN12" s="178">
        <f t="shared" si="177"/>
        <v>9.8227471147059493</v>
      </c>
      <c r="DO12" s="9">
        <f t="shared" si="178"/>
        <v>-3.2019745517904229E-2</v>
      </c>
      <c r="DP12" s="173">
        <f t="shared" si="179"/>
        <v>-0.62334518344045886</v>
      </c>
      <c r="DQ12" s="11">
        <f t="shared" si="180"/>
        <v>0</v>
      </c>
      <c r="DR12" s="173">
        <f t="shared" si="181"/>
        <v>196.45494229411898</v>
      </c>
      <c r="DS12" s="5">
        <f t="shared" si="182"/>
        <v>0</v>
      </c>
      <c r="DT12" s="5">
        <f t="shared" si="183"/>
        <v>400</v>
      </c>
      <c r="DU12" s="5">
        <f t="shared" si="184"/>
        <v>0.38958448182145061</v>
      </c>
      <c r="DV12" s="5">
        <f t="shared" si="185"/>
        <v>-1.7274797222451124</v>
      </c>
      <c r="DW12" s="5">
        <f t="shared" si="186"/>
        <v>104.15781597067331</v>
      </c>
      <c r="DX12" s="167">
        <f t="shared" si="187"/>
        <v>98.504834210673309</v>
      </c>
      <c r="DY12" s="9">
        <f t="shared" si="188"/>
        <v>155.83379272858025</v>
      </c>
      <c r="DZ12" s="5">
        <f t="shared" si="189"/>
        <v>-690.99188889804498</v>
      </c>
      <c r="EA12" s="10">
        <f t="shared" si="190"/>
        <v>807.38933248370449</v>
      </c>
      <c r="EB12" s="6">
        <f t="shared" si="191"/>
        <v>351651.24863335578</v>
      </c>
      <c r="EC12" s="173">
        <f t="shared" si="192"/>
        <v>8.2395080193696248</v>
      </c>
      <c r="ED12" s="5">
        <f t="shared" si="193"/>
        <v>0.62881093506362007</v>
      </c>
      <c r="EE12" s="4">
        <f t="shared" si="194"/>
        <v>-0.22910371082222206</v>
      </c>
      <c r="EF12" s="5">
        <f t="shared" si="195"/>
        <v>-2.3665361289630646</v>
      </c>
      <c r="EG12" s="10">
        <f t="shared" si="196"/>
        <v>-0.17725288529405109</v>
      </c>
      <c r="EH12" s="9">
        <f t="shared" si="197"/>
        <v>1.4588873031111907E-2</v>
      </c>
      <c r="EI12" s="5">
        <f t="shared" si="198"/>
        <v>2.3775552411634271</v>
      </c>
      <c r="EJ12" s="6">
        <f t="shared" si="199"/>
        <v>-0.17725288529405109</v>
      </c>
      <c r="EK12" s="236" t="b">
        <f t="shared" si="200"/>
        <v>0</v>
      </c>
      <c r="EL12" s="238" t="b">
        <f t="shared" si="201"/>
        <v>1</v>
      </c>
      <c r="EM12" s="4">
        <f t="shared" si="202"/>
        <v>1.4588873031111907E-2</v>
      </c>
      <c r="EN12" s="5">
        <f t="shared" si="203"/>
        <v>2.3775552411634271</v>
      </c>
      <c r="EO12" s="10">
        <f t="shared" si="204"/>
        <v>-0.17725288529405109</v>
      </c>
      <c r="EP12" s="9">
        <f t="shared" si="205"/>
        <v>89.648432832357287</v>
      </c>
      <c r="EQ12" s="5">
        <f t="shared" si="206"/>
        <v>2.3775999999999997</v>
      </c>
      <c r="ER12" s="7">
        <f t="shared" si="207"/>
        <v>-0.17725288529405109</v>
      </c>
      <c r="ES12" s="21">
        <f t="shared" si="132"/>
        <v>0.96118534787544574</v>
      </c>
      <c r="ET12" s="5">
        <f t="shared" si="44"/>
        <v>-4.9373783662916282E-2</v>
      </c>
      <c r="EU12" s="10">
        <f t="shared" si="45"/>
        <v>-0.27144973110387521</v>
      </c>
      <c r="EV12" s="174">
        <f t="shared" si="46"/>
        <v>0.35156716764271323</v>
      </c>
      <c r="EW12" s="9">
        <f t="shared" si="133"/>
        <v>0.96147020921588233</v>
      </c>
      <c r="EX12" s="5">
        <f t="shared" si="47"/>
        <v>-4.3475053467494931E-2</v>
      </c>
      <c r="EY12" s="6">
        <f t="shared" si="208"/>
        <v>-0.27144973110387521</v>
      </c>
      <c r="EZ12" s="51">
        <f t="shared" si="209"/>
        <v>1.9169548618580678</v>
      </c>
      <c r="FA12" s="266">
        <f t="shared" si="134"/>
        <v>0.99942154628074853</v>
      </c>
      <c r="FB12" s="267">
        <f t="shared" si="135"/>
        <v>-6.1325321871859868E-3</v>
      </c>
      <c r="FC12" s="269">
        <f t="shared" si="48"/>
        <v>-3.3450932405106E-2</v>
      </c>
      <c r="FD12" s="4">
        <f t="shared" si="136"/>
        <v>0.99944036096268862</v>
      </c>
      <c r="FE12" s="5">
        <f t="shared" si="49"/>
        <v>-1.0148132334464322E-16</v>
      </c>
      <c r="FF12" s="7">
        <f t="shared" si="210"/>
        <v>-3.3450932405106E-2</v>
      </c>
      <c r="FG12" s="173">
        <f t="shared" si="211"/>
        <v>-3.7970151746806291E-2</v>
      </c>
      <c r="FH12" s="5">
        <f t="shared" si="50"/>
        <v>-4.3475053467494827E-2</v>
      </c>
      <c r="FI12" s="10">
        <f t="shared" si="51"/>
        <v>-0.23799879869876922</v>
      </c>
      <c r="FJ12" s="279">
        <f t="shared" si="212"/>
        <v>14.066949794967901</v>
      </c>
      <c r="FK12" s="4">
        <f t="shared" si="52"/>
        <v>0.96245261882527711</v>
      </c>
      <c r="FL12" s="5">
        <f t="shared" si="213"/>
        <v>0.99944036096268862</v>
      </c>
      <c r="FM12" s="8">
        <f t="shared" si="214"/>
        <v>5.7721856325633106E-2</v>
      </c>
      <c r="FN12" s="9">
        <f t="shared" si="215"/>
        <v>2.5889949329404724</v>
      </c>
      <c r="FO12" s="10">
        <f t="shared" si="53"/>
        <v>1</v>
      </c>
      <c r="FP12" s="277">
        <f t="shared" si="54"/>
        <v>2.5889949329404724</v>
      </c>
      <c r="FQ12" s="173">
        <f t="shared" ref="FQ12:FQ74" si="243">IF(ISNUMBER($AV12),SIN(RADIANS(FN12)),"")</f>
        <v>4.5171110366512994E-2</v>
      </c>
      <c r="FR12" s="10">
        <f t="shared" si="216"/>
        <v>0.99897926444359009</v>
      </c>
      <c r="FS12" s="9">
        <f t="shared" si="217"/>
        <v>4.3261115885466349E-2</v>
      </c>
      <c r="FT12" s="6">
        <f t="shared" si="218"/>
        <v>0.95673888411453367</v>
      </c>
      <c r="FU12" s="4">
        <f t="shared" si="219"/>
        <v>0.99905451289006186</v>
      </c>
      <c r="FV12" s="5">
        <f t="shared" si="220"/>
        <v>1</v>
      </c>
      <c r="FW12" s="8">
        <f t="shared" ref="FW12:FW74" si="244">IF(ISNUMBER($AV12),SQRT(FG12^2+FI12^2),"")</f>
        <v>0.24100863180752008</v>
      </c>
      <c r="FX12" s="9">
        <f t="shared" ref="FX12:FX74" si="245">IF(ISNUMBER($AV12),DEGREES(ACOS((FU12^2+FV12^2-FW12^2)/(2*FU12*FV12))),"")</f>
        <v>13.848891461149039</v>
      </c>
      <c r="FY12" s="10">
        <f t="shared" si="55"/>
        <v>1</v>
      </c>
      <c r="FZ12" s="277">
        <f t="shared" ref="FZ12:FZ74" si="246">IF(ISNUMBER($AV12),FX12*FY12,"")</f>
        <v>13.848891461149039</v>
      </c>
      <c r="GA12" s="177">
        <f t="shared" si="221"/>
        <v>13.835096413617245</v>
      </c>
      <c r="GB12" s="4">
        <f t="shared" si="222"/>
        <v>-4.3858003430906151E-2</v>
      </c>
      <c r="GC12" s="5">
        <f t="shared" si="223"/>
        <v>0.96993931855727622</v>
      </c>
      <c r="GD12" s="10">
        <f t="shared" si="224"/>
        <v>-0.23936205599823282</v>
      </c>
      <c r="GE12" s="311">
        <f t="shared" si="225"/>
        <v>1.2531593779864152</v>
      </c>
      <c r="GF12" s="341">
        <f t="shared" ref="GF12:GF74" si="247">IF(ISNUMBER($AV12),1/GE12,"")</f>
        <v>0.79798309581883087</v>
      </c>
      <c r="GG12" s="285">
        <f t="shared" si="56"/>
        <v>3.4997945354227393E-2</v>
      </c>
      <c r="GH12" s="286">
        <f t="shared" si="57"/>
        <v>0.77399518017874247</v>
      </c>
      <c r="GI12" s="281">
        <f t="shared" si="58"/>
        <v>0.19100687446703019</v>
      </c>
      <c r="GJ12" s="167">
        <f t="shared" si="226"/>
        <v>2.3776000000000002</v>
      </c>
      <c r="GK12" s="174">
        <f t="shared" si="59"/>
        <v>1.2456055383468658</v>
      </c>
      <c r="GL12" s="174">
        <f t="shared" si="227"/>
        <v>3.3799999999999997E-2</v>
      </c>
      <c r="GM12" s="177">
        <f t="shared" ref="GM12:GM74" si="248">IF(ISNUMBER($AV12),AZ12,"")</f>
        <v>0.50521760635348867</v>
      </c>
      <c r="GN12" s="280">
        <f t="shared" si="228"/>
        <v>7.7173058898722599E-2</v>
      </c>
      <c r="GO12" s="4">
        <f t="shared" si="229"/>
        <v>2.5889949329404724</v>
      </c>
      <c r="GP12" s="8">
        <f t="shared" ref="GP12:GP74" si="249">IF(ISNUMBER($AV12),FZ12,"")</f>
        <v>13.848891461149039</v>
      </c>
      <c r="GQ12" s="177">
        <f t="shared" si="230"/>
        <v>14.066949794967901</v>
      </c>
      <c r="GR12" s="371">
        <f t="shared" ref="GR12:GR74" si="250">IF(ISNUMBER($AV12),GS12+GU12+GY12,"")</f>
        <v>1604.6524759997087</v>
      </c>
      <c r="GS12" s="342">
        <f t="shared" si="61"/>
        <v>56.159539667563486</v>
      </c>
      <c r="GT12" s="343">
        <f t="shared" si="62"/>
        <v>45.086135167716833</v>
      </c>
      <c r="GU12" s="344">
        <f>IF(ISNUMBER($AV12),$GV12*$GK12,"")</f>
        <v>1241.9932822856597</v>
      </c>
      <c r="GV12" s="343">
        <f>IF(ISNUMBER($AV12),GW12*$GL12,"")</f>
        <v>997.09999999999991</v>
      </c>
      <c r="GW12" s="345">
        <f t="shared" si="64"/>
        <v>29500</v>
      </c>
      <c r="GX12" s="346">
        <f>IF(ISNUMBER($AV12),($GJ12/12)*$GV12,"")</f>
        <v>197.55874666666668</v>
      </c>
      <c r="GY12" s="344">
        <f t="shared" si="66"/>
        <v>306.49965404648555</v>
      </c>
      <c r="GZ12" s="345">
        <f t="shared" si="67"/>
        <v>246.06478103273662</v>
      </c>
      <c r="HA12" s="342">
        <f t="shared" si="68"/>
        <v>56.159539667563486</v>
      </c>
      <c r="HB12" s="5">
        <f t="shared" si="231"/>
        <v>0.35156716764271323</v>
      </c>
      <c r="HC12" s="343">
        <f t="shared" si="232"/>
        <v>56.158482452027656</v>
      </c>
      <c r="HD12" s="345">
        <f t="shared" si="233"/>
        <v>0.34459303234175953</v>
      </c>
      <c r="HE12" s="344">
        <f t="shared" si="69"/>
        <v>997.09999999999991</v>
      </c>
      <c r="HF12" s="5">
        <f t="shared" si="70"/>
        <v>90.351567167642713</v>
      </c>
      <c r="HG12" s="343">
        <f t="shared" si="234"/>
        <v>-6.118171811625789</v>
      </c>
      <c r="HH12" s="349">
        <f t="shared" si="235"/>
        <v>997.08122937586347</v>
      </c>
      <c r="HI12" s="317">
        <f t="shared" si="71"/>
        <v>1.111</v>
      </c>
      <c r="HJ12" s="336"/>
      <c r="HK12" s="310">
        <f t="shared" si="137"/>
        <v>4</v>
      </c>
      <c r="HL12" s="348">
        <f t="shared" si="72"/>
        <v>2.11</v>
      </c>
      <c r="HM12" s="909">
        <f t="shared" si="138"/>
        <v>2.2177335945859271</v>
      </c>
      <c r="HN12" s="910">
        <f t="shared" si="73"/>
        <v>15.945063753204032</v>
      </c>
      <c r="HO12" s="911"/>
      <c r="HP12" s="912"/>
      <c r="HQ12" s="910">
        <f t="shared" si="74"/>
        <v>13.996481543637707</v>
      </c>
      <c r="HR12" s="913">
        <f t="shared" si="75"/>
        <v>13.836164520618814</v>
      </c>
      <c r="HS12" s="865">
        <f>IFERROR(SMALL($GJ$9:$GJ$150,($HK11+1)),"")</f>
        <v>2.2400000000000002</v>
      </c>
      <c r="HT12" s="875">
        <f t="shared" si="76"/>
        <v>3.6799999999999999E-2</v>
      </c>
      <c r="HU12" s="876">
        <f t="shared" si="77"/>
        <v>0.51826226422762056</v>
      </c>
      <c r="HV12" s="872">
        <f t="shared" si="78"/>
        <v>7.9165658004086537E-2</v>
      </c>
      <c r="HW12" s="866">
        <f t="shared" si="79"/>
        <v>29500</v>
      </c>
      <c r="HX12" s="867">
        <f t="shared" si="80"/>
        <v>202.64533333333333</v>
      </c>
      <c r="HY12" s="866">
        <f t="shared" si="81"/>
        <v>49.339422879156729</v>
      </c>
      <c r="HZ12" s="868">
        <f t="shared" si="82"/>
        <v>1274.061399559567</v>
      </c>
      <c r="IA12" s="869">
        <f t="shared" si="83"/>
        <v>314.02752902064663</v>
      </c>
      <c r="IB12" s="870">
        <f t="shared" si="84"/>
        <v>1637.4283514593703</v>
      </c>
      <c r="IC12" s="841">
        <f t="shared" si="85"/>
        <v>42.041048803557509</v>
      </c>
      <c r="ID12" s="351">
        <f t="shared" si="86"/>
        <v>1085.5999999999999</v>
      </c>
      <c r="IE12" s="843">
        <f t="shared" si="87"/>
        <v>267.57602547464609</v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5.9087576812787389E-2</v>
      </c>
      <c r="C13" s="572">
        <f t="shared" si="3"/>
        <v>3.1762183749130872</v>
      </c>
      <c r="D13" s="576">
        <f t="shared" si="4"/>
        <v>-0.3567684232549026</v>
      </c>
      <c r="E13" s="580">
        <f t="shared" si="5"/>
        <v>-0.95693249916017908</v>
      </c>
      <c r="F13" s="572">
        <f t="shared" si="6"/>
        <v>0.13248958820462695</v>
      </c>
      <c r="G13" s="579">
        <f t="shared" si="7"/>
        <v>0.25831511970541404</v>
      </c>
      <c r="H13" s="580">
        <f t="shared" si="8"/>
        <v>0.3125</v>
      </c>
      <c r="I13" s="572">
        <f t="shared" si="9"/>
        <v>0.52</v>
      </c>
      <c r="J13" s="483">
        <f t="shared" si="10"/>
        <v>1.117</v>
      </c>
      <c r="K13" s="806">
        <f t="shared" si="11"/>
        <v>1613</v>
      </c>
      <c r="L13" s="717">
        <f>IF($L12=$JJ$22,$JJ$29,IF($L12=$JK$22,$JK$29,""))</f>
        <v>270</v>
      </c>
      <c r="M13" s="164">
        <f t="shared" si="12"/>
        <v>1.117</v>
      </c>
      <c r="N13" s="575">
        <f t="shared" si="13"/>
        <v>5.9087576812787389E-2</v>
      </c>
      <c r="O13" s="572">
        <f t="shared" si="14"/>
        <v>3.1762183749130872</v>
      </c>
      <c r="P13" s="576">
        <f t="shared" si="15"/>
        <v>-0.3567684232549026</v>
      </c>
      <c r="Q13" s="528">
        <f t="shared" si="140"/>
        <v>88.934242576794219</v>
      </c>
      <c r="R13" s="572">
        <f t="shared" si="101"/>
        <v>3.1767679340595749</v>
      </c>
      <c r="S13" s="577">
        <f t="shared" si="102"/>
        <v>-0.3567684232549026</v>
      </c>
      <c r="T13" s="578">
        <f>IF(M13="","",X13*COS(RADIANS(W13)))</f>
        <v>3.1766332674454727</v>
      </c>
      <c r="U13" s="572">
        <f t="shared" si="104"/>
        <v>-2.9250487651302857E-2</v>
      </c>
      <c r="V13" s="579">
        <f t="shared" si="141"/>
        <v>-0.3567684232549026</v>
      </c>
      <c r="W13" s="528">
        <f t="shared" si="16"/>
        <v>359.47243449701267</v>
      </c>
      <c r="X13" s="572">
        <f t="shared" si="105"/>
        <v>3.1767679340595749</v>
      </c>
      <c r="Y13" s="573">
        <f t="shared" si="17"/>
        <v>-0.3567684232549026</v>
      </c>
      <c r="Z13" s="575">
        <f t="shared" si="18"/>
        <v>0.95693249916017908</v>
      </c>
      <c r="AA13" s="572">
        <f t="shared" si="19"/>
        <v>-0.13248958820462695</v>
      </c>
      <c r="AB13" s="572">
        <f t="shared" si="20"/>
        <v>-0.25831511970541404</v>
      </c>
      <c r="AC13" s="579">
        <f t="shared" si="106"/>
        <v>1</v>
      </c>
      <c r="AD13" s="580">
        <f>IF(M13="","",Z13*(1/SQRT(Z13^2+AA13^2+AB13^2)))</f>
        <v>0.95693249916017908</v>
      </c>
      <c r="AE13" s="572">
        <f t="shared" si="107"/>
        <v>-0.13248958820462695</v>
      </c>
      <c r="AF13" s="576">
        <f t="shared" si="108"/>
        <v>-0.25831511970541404</v>
      </c>
      <c r="AG13" s="545">
        <f>IF(M13="","",DEGREES(ATAN2(-AF13,AE13)))</f>
        <v>-27.15324598161364</v>
      </c>
      <c r="AH13" s="546">
        <f t="shared" si="110"/>
        <v>16.876546697296856</v>
      </c>
      <c r="AI13" s="528">
        <f t="shared" si="111"/>
        <v>-75.029889232889872</v>
      </c>
      <c r="AJ13" s="529">
        <f t="shared" si="112"/>
        <v>82.117375190180795</v>
      </c>
      <c r="AK13" s="578">
        <f t="shared" si="238"/>
        <v>0.95923124992322872</v>
      </c>
      <c r="AL13" s="572">
        <f t="shared" si="113"/>
        <v>-0.11466781633177724</v>
      </c>
      <c r="AM13" s="577">
        <f t="shared" si="114"/>
        <v>-0.25831511970541404</v>
      </c>
      <c r="AN13" s="524">
        <f t="shared" si="115"/>
        <v>-23.936756233692545</v>
      </c>
      <c r="AO13" s="525">
        <f t="shared" si="116"/>
        <v>16.41677902573819</v>
      </c>
      <c r="AP13" s="528">
        <f t="shared" si="117"/>
        <v>-6.8168673866133993</v>
      </c>
      <c r="AQ13" s="529">
        <f t="shared" si="21"/>
        <v>1.4349489926640255</v>
      </c>
      <c r="AS13" s="932">
        <f t="shared" si="143"/>
        <v>359.47243449701267</v>
      </c>
      <c r="AT13" s="928">
        <f t="shared" si="22"/>
        <v>-0.35958280809559134</v>
      </c>
      <c r="AU13" s="418"/>
      <c r="AV13" s="164">
        <f t="shared" si="23"/>
        <v>1.117</v>
      </c>
      <c r="AW13" s="829">
        <f>IFERROR(INDEX(MassProp!C$9:C$150,MATCH($M13,MassProp!$B$9:$B$150,0)),"")</f>
        <v>3.1920000000000002</v>
      </c>
      <c r="AX13" s="830">
        <f>IFERROR(INDEX(MassProp!D$9:D$150,MATCH($M13,MassProp!$B$9:$B$150,0)),"")</f>
        <v>0.13950000000000001</v>
      </c>
      <c r="AY13" s="831">
        <f>IFERROR(INDEX(MassProp!E$9:E$150,MATCH($M13,MassProp!$B$9:$B$150,0)),"")</f>
        <v>3.1199999999999999E-2</v>
      </c>
      <c r="AZ13" s="297">
        <f t="shared" si="144"/>
        <v>0.62593936403841888</v>
      </c>
      <c r="BA13" s="296">
        <f t="shared" si="24"/>
        <v>9.561356294888812E-2</v>
      </c>
      <c r="BB13" s="291">
        <f t="shared" si="145"/>
        <v>-9.1719190440864296E-4</v>
      </c>
      <c r="BC13" s="9"/>
      <c r="BD13" s="5">
        <f t="shared" si="146"/>
        <v>3.1920000000000002</v>
      </c>
      <c r="BE13" s="6">
        <f t="shared" si="25"/>
        <v>-0.35768561515931124</v>
      </c>
      <c r="BF13" s="4">
        <f t="shared" si="26"/>
        <v>5.9087576812787389E-2</v>
      </c>
      <c r="BG13" s="5">
        <f t="shared" si="27"/>
        <v>3.1762183749130872</v>
      </c>
      <c r="BH13" s="10">
        <f t="shared" si="28"/>
        <v>-0.3567684232549026</v>
      </c>
      <c r="BI13" s="9">
        <f t="shared" si="147"/>
        <v>5.9087576812787389E-2</v>
      </c>
      <c r="BJ13" s="5">
        <f t="shared" si="29"/>
        <v>4.0660074492352507</v>
      </c>
      <c r="BK13" s="8">
        <f t="shared" si="30"/>
        <v>-0.81314042416743326</v>
      </c>
      <c r="BL13" s="173">
        <f t="shared" si="31"/>
        <v>0.34939808652790905</v>
      </c>
      <c r="BM13" s="5">
        <f t="shared" si="32"/>
        <v>3.6129355742930467</v>
      </c>
      <c r="BN13" s="6">
        <f t="shared" si="33"/>
        <v>0.49469965936162791</v>
      </c>
      <c r="BO13" s="4">
        <f t="shared" si="148"/>
        <v>0.95693249916017931</v>
      </c>
      <c r="BP13" s="5">
        <f t="shared" si="239"/>
        <v>-0.13248958820462675</v>
      </c>
      <c r="BQ13" s="5">
        <f t="shared" si="149"/>
        <v>-0.25831511970541365</v>
      </c>
      <c r="BR13" s="6">
        <f t="shared" si="150"/>
        <v>0.2721143640312223</v>
      </c>
      <c r="BS13" s="4">
        <f t="shared" si="118"/>
        <v>0</v>
      </c>
      <c r="BT13" s="5">
        <f t="shared" si="118"/>
        <v>0</v>
      </c>
      <c r="BU13" s="10">
        <f t="shared" si="119"/>
        <v>-0.35768561515931124</v>
      </c>
      <c r="BV13" s="9">
        <f t="shared" si="120"/>
        <v>0</v>
      </c>
      <c r="BW13" s="5">
        <f t="shared" si="121"/>
        <v>1</v>
      </c>
      <c r="BX13" s="8">
        <f t="shared" si="122"/>
        <v>-0.35768561515931124</v>
      </c>
      <c r="BY13" s="173">
        <f t="shared" si="123"/>
        <v>1</v>
      </c>
      <c r="BZ13" s="5">
        <f t="shared" si="124"/>
        <v>0</v>
      </c>
      <c r="CA13" s="6">
        <f t="shared" si="125"/>
        <v>-0.35768561515931124</v>
      </c>
      <c r="CB13" s="4">
        <f t="shared" si="151"/>
        <v>0</v>
      </c>
      <c r="CC13" s="5">
        <f t="shared" si="152"/>
        <v>0</v>
      </c>
      <c r="CD13" s="5">
        <f t="shared" si="153"/>
        <v>-1</v>
      </c>
      <c r="CE13" s="6">
        <f t="shared" si="154"/>
        <v>-0.35768561515931124</v>
      </c>
      <c r="CF13" s="4">
        <f t="shared" si="155"/>
        <v>0.13248958820462675</v>
      </c>
      <c r="CG13" s="5">
        <f t="shared" si="156"/>
        <v>0.95693249916017931</v>
      </c>
      <c r="CH13" s="5">
        <f t="shared" si="157"/>
        <v>0</v>
      </c>
      <c r="CI13" s="4">
        <f t="shared" si="126"/>
        <v>0</v>
      </c>
      <c r="CJ13" s="5">
        <f t="shared" si="127"/>
        <v>2.7512348062024921</v>
      </c>
      <c r="CK13" s="8">
        <f t="shared" si="128"/>
        <v>-0.35768561515931124</v>
      </c>
      <c r="CL13" s="173">
        <f t="shared" si="129"/>
        <v>0.13248958820462675</v>
      </c>
      <c r="CM13" s="5">
        <f t="shared" si="130"/>
        <v>3.7081673053626716</v>
      </c>
      <c r="CN13" s="6">
        <f t="shared" si="131"/>
        <v>-0.35768561515931124</v>
      </c>
      <c r="CO13" s="167">
        <f t="shared" si="35"/>
        <v>0.3125</v>
      </c>
      <c r="CP13" s="4">
        <f t="shared" si="240"/>
        <v>0.93327329893157862</v>
      </c>
      <c r="CQ13" s="5">
        <f t="shared" si="241"/>
        <v>-0.82901815445635441</v>
      </c>
      <c r="CR13" s="5">
        <f t="shared" si="158"/>
        <v>8.6446966648590973E-2</v>
      </c>
      <c r="CS13" s="8">
        <f t="shared" si="159"/>
        <v>0.36455651743118533</v>
      </c>
      <c r="CT13" s="9">
        <f t="shared" si="160"/>
        <v>0.76762257874314577</v>
      </c>
      <c r="CU13" s="6">
        <f t="shared" si="161"/>
        <v>0.1206682953292437</v>
      </c>
      <c r="CV13" s="4">
        <f t="shared" si="242"/>
        <v>0.10170199935425306</v>
      </c>
      <c r="CW13" s="5">
        <f t="shared" si="162"/>
        <v>3.4857977988909523</v>
      </c>
      <c r="CX13" s="8">
        <f t="shared" si="163"/>
        <v>-0.35768561515931124</v>
      </c>
      <c r="CY13" s="9">
        <f t="shared" si="164"/>
        <v>1.5987292757525782E-2</v>
      </c>
      <c r="CZ13" s="5">
        <f t="shared" si="165"/>
        <v>2.866706219621304</v>
      </c>
      <c r="DA13" s="6">
        <f t="shared" si="166"/>
        <v>-0.35768561515931124</v>
      </c>
      <c r="DB13" s="4">
        <f t="shared" si="167"/>
        <v>0</v>
      </c>
      <c r="DC13" s="5">
        <f t="shared" si="167"/>
        <v>0</v>
      </c>
      <c r="DD13" s="10">
        <f t="shared" si="168"/>
        <v>-10</v>
      </c>
      <c r="DE13" s="9">
        <f t="shared" si="169"/>
        <v>0</v>
      </c>
      <c r="DF13" s="5">
        <f t="shared" si="169"/>
        <v>0</v>
      </c>
      <c r="DG13" s="10">
        <f t="shared" si="170"/>
        <v>10</v>
      </c>
      <c r="DH13" s="70">
        <f t="shared" si="171"/>
        <v>3.1920000000000002</v>
      </c>
      <c r="DI13" s="4">
        <f t="shared" si="172"/>
        <v>0</v>
      </c>
      <c r="DJ13" s="5">
        <f t="shared" si="173"/>
        <v>0</v>
      </c>
      <c r="DK13" s="10">
        <f t="shared" si="174"/>
        <v>20</v>
      </c>
      <c r="DL13" s="9">
        <f t="shared" si="175"/>
        <v>0.10170199935425306</v>
      </c>
      <c r="DM13" s="173">
        <f t="shared" si="176"/>
        <v>3.4857977988909523</v>
      </c>
      <c r="DN13" s="178">
        <f t="shared" si="177"/>
        <v>9.642314384840688</v>
      </c>
      <c r="DO13" s="9">
        <f t="shared" si="178"/>
        <v>-8.571470659672728E-2</v>
      </c>
      <c r="DP13" s="173">
        <f t="shared" si="179"/>
        <v>-0.61909157926964831</v>
      </c>
      <c r="DQ13" s="11">
        <f t="shared" si="180"/>
        <v>0</v>
      </c>
      <c r="DR13" s="173">
        <f t="shared" si="181"/>
        <v>192.84628769681376</v>
      </c>
      <c r="DS13" s="5">
        <f t="shared" si="182"/>
        <v>0</v>
      </c>
      <c r="DT13" s="5">
        <f t="shared" si="183"/>
        <v>400</v>
      </c>
      <c r="DU13" s="5">
        <f t="shared" si="184"/>
        <v>0.3906213944495503</v>
      </c>
      <c r="DV13" s="5">
        <f t="shared" si="185"/>
        <v>-2.1667454213650141</v>
      </c>
      <c r="DW13" s="5">
        <f t="shared" si="186"/>
        <v>105.13535628753132</v>
      </c>
      <c r="DX13" s="167">
        <f t="shared" si="187"/>
        <v>94.946492287531328</v>
      </c>
      <c r="DY13" s="9">
        <f t="shared" si="188"/>
        <v>156.24855777982012</v>
      </c>
      <c r="DZ13" s="5">
        <f t="shared" si="189"/>
        <v>-866.6981685460056</v>
      </c>
      <c r="EA13" s="10">
        <f t="shared" si="190"/>
        <v>788.90623657027027</v>
      </c>
      <c r="EB13" s="6">
        <f t="shared" si="191"/>
        <v>627900.25367339002</v>
      </c>
      <c r="EC13" s="173">
        <f t="shared" si="192"/>
        <v>10.618336358511863</v>
      </c>
      <c r="ED13" s="5">
        <f t="shared" si="193"/>
        <v>0.47550259733086042</v>
      </c>
      <c r="EE13" s="4">
        <f t="shared" si="194"/>
        <v>-0.80844558616095286</v>
      </c>
      <c r="EF13" s="5">
        <f t="shared" si="195"/>
        <v>-3.0879248265164838</v>
      </c>
      <c r="EG13" s="10">
        <f t="shared" si="196"/>
        <v>-0.35768561515931124</v>
      </c>
      <c r="EH13" s="9">
        <f t="shared" si="197"/>
        <v>6.0944433738056601E-2</v>
      </c>
      <c r="EI13" s="5">
        <f t="shared" si="198"/>
        <v>3.1914181449625705</v>
      </c>
      <c r="EJ13" s="6">
        <f t="shared" si="199"/>
        <v>-0.35768561515931124</v>
      </c>
      <c r="EK13" s="236" t="b">
        <f t="shared" si="200"/>
        <v>0</v>
      </c>
      <c r="EL13" s="238" t="b">
        <f t="shared" si="201"/>
        <v>1</v>
      </c>
      <c r="EM13" s="4">
        <f t="shared" si="202"/>
        <v>6.0944433738056601E-2</v>
      </c>
      <c r="EN13" s="5">
        <f t="shared" si="203"/>
        <v>3.1914181449625705</v>
      </c>
      <c r="EO13" s="10">
        <f t="shared" si="204"/>
        <v>-0.35768561515931124</v>
      </c>
      <c r="EP13" s="9">
        <f t="shared" si="205"/>
        <v>88.905992786616537</v>
      </c>
      <c r="EQ13" s="5">
        <f t="shared" si="206"/>
        <v>3.191999999999998</v>
      </c>
      <c r="ER13" s="7">
        <f t="shared" si="207"/>
        <v>-0.35768561515931124</v>
      </c>
      <c r="ES13" s="21">
        <f t="shared" si="132"/>
        <v>0.95693249916017908</v>
      </c>
      <c r="ET13" s="5">
        <f t="shared" si="44"/>
        <v>-0.13248958820462695</v>
      </c>
      <c r="EU13" s="10">
        <f t="shared" si="45"/>
        <v>-0.25831511970541404</v>
      </c>
      <c r="EV13" s="174">
        <f t="shared" si="46"/>
        <v>1.0940072133834633</v>
      </c>
      <c r="EW13" s="9">
        <f t="shared" si="133"/>
        <v>0.95928767050548136</v>
      </c>
      <c r="EX13" s="5">
        <f t="shared" si="47"/>
        <v>-0.11419485166917466</v>
      </c>
      <c r="EY13" s="6">
        <f t="shared" si="208"/>
        <v>-0.25831511970541404</v>
      </c>
      <c r="EZ13" s="51">
        <f t="shared" si="209"/>
        <v>1.4281043296295997</v>
      </c>
      <c r="FA13" s="266">
        <f t="shared" si="134"/>
        <v>0.9995071564207445</v>
      </c>
      <c r="FB13" s="267">
        <f t="shared" si="135"/>
        <v>-1.908693718538465E-2</v>
      </c>
      <c r="FC13" s="269">
        <f t="shared" si="48"/>
        <v>-2.4922541856694153E-2</v>
      </c>
      <c r="FD13" s="4">
        <f t="shared" si="136"/>
        <v>0.99968938521292772</v>
      </c>
      <c r="FE13" s="5">
        <f t="shared" si="49"/>
        <v>-8.6736173798840355E-17</v>
      </c>
      <c r="FF13" s="7">
        <f t="shared" si="210"/>
        <v>-2.4922541856694153E-2</v>
      </c>
      <c r="FG13" s="173">
        <f t="shared" si="211"/>
        <v>-4.0401714707446357E-2</v>
      </c>
      <c r="FH13" s="5">
        <f t="shared" si="50"/>
        <v>-0.11419485166917458</v>
      </c>
      <c r="FI13" s="10">
        <f t="shared" si="51"/>
        <v>-0.23339257784871989</v>
      </c>
      <c r="FJ13" s="279">
        <f t="shared" si="212"/>
        <v>15.109907377892112</v>
      </c>
      <c r="FK13" s="4">
        <f t="shared" si="52"/>
        <v>0.96606071182487163</v>
      </c>
      <c r="FL13" s="5">
        <f t="shared" si="213"/>
        <v>0.99968938521292772</v>
      </c>
      <c r="FM13" s="8">
        <f t="shared" si="214"/>
        <v>0.12113117971458327</v>
      </c>
      <c r="FN13" s="9">
        <f t="shared" si="215"/>
        <v>6.7886175964357554</v>
      </c>
      <c r="FO13" s="10">
        <f t="shared" si="53"/>
        <v>1</v>
      </c>
      <c r="FP13" s="277">
        <f t="shared" si="54"/>
        <v>6.7886175964357554</v>
      </c>
      <c r="FQ13" s="173">
        <f t="shared" si="243"/>
        <v>0.11820670302745533</v>
      </c>
      <c r="FR13" s="10">
        <f t="shared" si="216"/>
        <v>0.99298901069416623</v>
      </c>
      <c r="FS13" s="9">
        <f t="shared" si="217"/>
        <v>0.10637793285897128</v>
      </c>
      <c r="FT13" s="6">
        <f t="shared" si="218"/>
        <v>0.89362206714102876</v>
      </c>
      <c r="FU13" s="4">
        <f t="shared" si="219"/>
        <v>0.99345837147424321</v>
      </c>
      <c r="FV13" s="5">
        <f t="shared" si="220"/>
        <v>1</v>
      </c>
      <c r="FW13" s="8">
        <f t="shared" si="244"/>
        <v>0.23686366109256327</v>
      </c>
      <c r="FX13" s="9">
        <f t="shared" si="245"/>
        <v>13.642910054710766</v>
      </c>
      <c r="FY13" s="10">
        <f t="shared" si="55"/>
        <v>1</v>
      </c>
      <c r="FZ13" s="277">
        <f t="shared" si="246"/>
        <v>13.642910054710766</v>
      </c>
      <c r="GA13" s="177">
        <f t="shared" si="221"/>
        <v>13.55298407500052</v>
      </c>
      <c r="GB13" s="4">
        <f t="shared" si="222"/>
        <v>-0.11487145657126548</v>
      </c>
      <c r="GC13" s="5">
        <f t="shared" si="223"/>
        <v>0.9649714533633954</v>
      </c>
      <c r="GD13" s="10">
        <f t="shared" si="224"/>
        <v>-0.23586996981161495</v>
      </c>
      <c r="GE13" s="311">
        <f t="shared" si="225"/>
        <v>1.3157128797462758</v>
      </c>
      <c r="GF13" s="341">
        <f t="shared" si="247"/>
        <v>0.76004424323401132</v>
      </c>
      <c r="GG13" s="285">
        <f t="shared" si="56"/>
        <v>8.7307389278896072E-2</v>
      </c>
      <c r="GH13" s="286">
        <f t="shared" si="57"/>
        <v>0.73342099801400595</v>
      </c>
      <c r="GI13" s="281">
        <f t="shared" si="58"/>
        <v>0.17927161270709799</v>
      </c>
      <c r="GJ13" s="167">
        <f t="shared" si="226"/>
        <v>3.1920000000000002</v>
      </c>
      <c r="GK13" s="174">
        <f t="shared" si="59"/>
        <v>1.6718465919829564</v>
      </c>
      <c r="GL13" s="174">
        <f t="shared" si="227"/>
        <v>3.1199999999999999E-2</v>
      </c>
      <c r="GM13" s="177">
        <f t="shared" si="248"/>
        <v>0.62593936403841888</v>
      </c>
      <c r="GN13" s="280">
        <f t="shared" si="228"/>
        <v>9.561356294888812E-2</v>
      </c>
      <c r="GO13" s="4">
        <f t="shared" si="229"/>
        <v>6.7886175964357554</v>
      </c>
      <c r="GP13" s="8">
        <f t="shared" si="249"/>
        <v>13.642910054710766</v>
      </c>
      <c r="GQ13" s="177">
        <f t="shared" si="230"/>
        <v>15.109907377892112</v>
      </c>
      <c r="GR13" s="371">
        <f t="shared" si="250"/>
        <v>2098.0686501039168</v>
      </c>
      <c r="GS13" s="342">
        <f t="shared" si="61"/>
        <v>183.17689636847066</v>
      </c>
      <c r="GT13" s="343">
        <f t="shared" si="62"/>
        <v>109.56561280614081</v>
      </c>
      <c r="GU13" s="344">
        <f t="shared" si="63"/>
        <v>1538.767603261113</v>
      </c>
      <c r="GV13" s="343">
        <f>IF(ISNUMBER($AV13),GW13*$GL13,"")</f>
        <v>920.4</v>
      </c>
      <c r="GW13" s="345">
        <f t="shared" si="64"/>
        <v>29500</v>
      </c>
      <c r="GX13" s="346">
        <f>IF(ISNUMBER($AV13),($GJ13/12)*$GV13,"")</f>
        <v>244.82640000000001</v>
      </c>
      <c r="GY13" s="344">
        <f t="shared" si="66"/>
        <v>376.12415047433325</v>
      </c>
      <c r="GZ13" s="345">
        <f t="shared" si="67"/>
        <v>224.97527720424222</v>
      </c>
      <c r="HA13" s="342">
        <f t="shared" si="68"/>
        <v>183.17689636847066</v>
      </c>
      <c r="HB13" s="5">
        <f t="shared" si="231"/>
        <v>1.0940072133834633</v>
      </c>
      <c r="HC13" s="343">
        <f t="shared" si="232"/>
        <v>183.14350589231393</v>
      </c>
      <c r="HD13" s="345">
        <f t="shared" si="233"/>
        <v>3.4973722503355478</v>
      </c>
      <c r="HE13" s="344">
        <f t="shared" si="69"/>
        <v>920.4</v>
      </c>
      <c r="HF13" s="5">
        <f t="shared" si="70"/>
        <v>91.094007213383463</v>
      </c>
      <c r="HG13" s="343">
        <f t="shared" si="234"/>
        <v>-17.573075442514703</v>
      </c>
      <c r="HH13" s="349">
        <f t="shared" si="235"/>
        <v>920.23222450612525</v>
      </c>
      <c r="HI13" s="317">
        <f t="shared" si="71"/>
        <v>1.117</v>
      </c>
      <c r="HJ13" s="336"/>
      <c r="HK13" s="310">
        <f t="shared" si="137"/>
        <v>5</v>
      </c>
      <c r="HL13" s="348">
        <f t="shared" si="72"/>
        <v>1.111</v>
      </c>
      <c r="HM13" s="909">
        <f t="shared" si="138"/>
        <v>2.5889949329404724</v>
      </c>
      <c r="HN13" s="910">
        <f t="shared" si="73"/>
        <v>15.928124578379785</v>
      </c>
      <c r="HO13" s="911"/>
      <c r="HP13" s="912"/>
      <c r="HQ13" s="910">
        <f t="shared" si="74"/>
        <v>14.066949794967901</v>
      </c>
      <c r="HR13" s="913">
        <f t="shared" si="75"/>
        <v>13.848891461149039</v>
      </c>
      <c r="HS13" s="865">
        <f t="shared" ref="HS13:HS41" si="251">IFERROR(SMALL($GJ$9:$GJ$150,($HK12+1)),"")</f>
        <v>2.3776000000000002</v>
      </c>
      <c r="HT13" s="875">
        <f t="shared" si="76"/>
        <v>3.3799999999999997E-2</v>
      </c>
      <c r="HU13" s="876">
        <f t="shared" si="77"/>
        <v>0.50521760635348867</v>
      </c>
      <c r="HV13" s="872">
        <f t="shared" si="78"/>
        <v>7.7173058898722599E-2</v>
      </c>
      <c r="HW13" s="866">
        <f t="shared" si="79"/>
        <v>29500</v>
      </c>
      <c r="HX13" s="867">
        <f t="shared" si="80"/>
        <v>197.55874666666668</v>
      </c>
      <c r="HY13" s="866">
        <f t="shared" si="81"/>
        <v>56.159539667563486</v>
      </c>
      <c r="HZ13" s="868">
        <f>IF(ISNUMBER($HL13),INDEX(GU$9:GU$150,MATCH($HL13,$AV$9:$AV$150,0)),"")</f>
        <v>1241.9932822856597</v>
      </c>
      <c r="IA13" s="869">
        <f t="shared" si="83"/>
        <v>306.49965404648555</v>
      </c>
      <c r="IB13" s="870">
        <f t="shared" si="84"/>
        <v>1604.6524759997087</v>
      </c>
      <c r="IC13" s="841">
        <f t="shared" si="85"/>
        <v>45.086135167716833</v>
      </c>
      <c r="ID13" s="351">
        <f t="shared" si="86"/>
        <v>997.09999999999991</v>
      </c>
      <c r="IE13" s="843">
        <f t="shared" si="87"/>
        <v>246.06478103273662</v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0.11879105900944557</v>
      </c>
      <c r="C14" s="572">
        <f t="shared" si="3"/>
        <v>3.7928296446305065</v>
      </c>
      <c r="D14" s="576">
        <f t="shared" si="4"/>
        <v>-0.77352457944554254</v>
      </c>
      <c r="E14" s="580">
        <f t="shared" si="5"/>
        <v>-0.93407177873866454</v>
      </c>
      <c r="F14" s="572">
        <f t="shared" si="6"/>
        <v>0.24370134722468742</v>
      </c>
      <c r="G14" s="579">
        <f t="shared" si="7"/>
        <v>0.26099725194886553</v>
      </c>
      <c r="H14" s="580">
        <f t="shared" si="8"/>
        <v>0.3125</v>
      </c>
      <c r="I14" s="572">
        <f t="shared" si="9"/>
        <v>0.52</v>
      </c>
      <c r="J14" s="483">
        <f t="shared" si="10"/>
        <v>1.123</v>
      </c>
      <c r="K14" s="806">
        <f t="shared" si="11"/>
        <v>1613</v>
      </c>
      <c r="L14" s="719" t="s">
        <v>358</v>
      </c>
      <c r="M14" s="164">
        <f t="shared" si="12"/>
        <v>1.123</v>
      </c>
      <c r="N14" s="575">
        <f t="shared" si="13"/>
        <v>0.11879105900944557</v>
      </c>
      <c r="O14" s="572">
        <f t="shared" si="14"/>
        <v>3.7928296446305065</v>
      </c>
      <c r="P14" s="576">
        <f t="shared" si="15"/>
        <v>-0.77352457944554254</v>
      </c>
      <c r="Q14" s="528">
        <f t="shared" si="140"/>
        <v>88.206088124192405</v>
      </c>
      <c r="R14" s="572">
        <f t="shared" si="101"/>
        <v>3.7946894509153921</v>
      </c>
      <c r="S14" s="577">
        <f>IF(M14="","",P14)</f>
        <v>-0.77352457944554254</v>
      </c>
      <c r="T14" s="578">
        <f t="shared" si="103"/>
        <v>3.7937781345116006</v>
      </c>
      <c r="U14" s="572">
        <f t="shared" si="104"/>
        <v>-8.3159455206487015E-2</v>
      </c>
      <c r="V14" s="579">
        <f t="shared" si="141"/>
        <v>-0.77352457944554254</v>
      </c>
      <c r="W14" s="528">
        <f>IF(M14="","",IF(Q14-$Q$8&lt;0,360+Q14-$Q$8,Q14-$Q$8))</f>
        <v>358.74428004441091</v>
      </c>
      <c r="X14" s="572">
        <f t="shared" si="105"/>
        <v>3.7946894509153921</v>
      </c>
      <c r="Y14" s="573">
        <f t="shared" si="17"/>
        <v>-0.77352457944554254</v>
      </c>
      <c r="Z14" s="575">
        <f t="shared" si="18"/>
        <v>0.93407177873866454</v>
      </c>
      <c r="AA14" s="572">
        <f t="shared" si="19"/>
        <v>-0.24370134722468742</v>
      </c>
      <c r="AB14" s="572">
        <f t="shared" si="20"/>
        <v>-0.26099725194886553</v>
      </c>
      <c r="AC14" s="579">
        <f t="shared" si="106"/>
        <v>1</v>
      </c>
      <c r="AD14" s="580">
        <f>IF(M14="","",Z14*(1/SQRT(Z14^2+AA14^2+AB14^2)))</f>
        <v>0.93407177873866454</v>
      </c>
      <c r="AE14" s="572">
        <f t="shared" si="107"/>
        <v>-0.24370134722468742</v>
      </c>
      <c r="AF14" s="576">
        <f t="shared" si="108"/>
        <v>-0.26099725194886553</v>
      </c>
      <c r="AG14" s="545">
        <f t="shared" si="109"/>
        <v>-43.037254955520709</v>
      </c>
      <c r="AH14" s="546">
        <f t="shared" si="110"/>
        <v>20.921301901293933</v>
      </c>
      <c r="AI14" s="528">
        <f t="shared" si="111"/>
        <v>-74.870756232439845</v>
      </c>
      <c r="AJ14" s="529">
        <f t="shared" si="112"/>
        <v>75.37737732889822</v>
      </c>
      <c r="AK14" s="578">
        <f>IF(M14="","",(COS(RADIANS((90-$Q$8)-W14))*AD14)+(-SIN(RADIANS((90-$Q$8)-W14))*AE14))</f>
        <v>0.94124294489236715</v>
      </c>
      <c r="AL14" s="572">
        <f t="shared" si="113"/>
        <v>-0.21434120734353607</v>
      </c>
      <c r="AM14" s="577">
        <f t="shared" si="114"/>
        <v>-0.26099725194886553</v>
      </c>
      <c r="AN14" s="524">
        <f t="shared" si="115"/>
        <v>-39.394185673437661</v>
      </c>
      <c r="AO14" s="525">
        <f t="shared" si="116"/>
        <v>19.738648552093483</v>
      </c>
      <c r="AP14" s="528">
        <f>IF(M14="","",DEGREES(ATAN2(AK14,AL14)))</f>
        <v>-12.828710795294191</v>
      </c>
      <c r="AQ14" s="529">
        <f t="shared" si="21"/>
        <v>1.2013591956731289</v>
      </c>
      <c r="AS14" s="932">
        <f t="shared" si="143"/>
        <v>358.74428004441091</v>
      </c>
      <c r="AT14" s="928">
        <f>IF(M14="","",Y14+(((AS14-$AS$9)*$AS$6)*-1))</f>
        <v>-0.77532763865761778</v>
      </c>
      <c r="AU14" s="418"/>
      <c r="AV14" s="164">
        <f t="shared" si="23"/>
        <v>1.123</v>
      </c>
      <c r="AW14" s="829">
        <f>IFERROR(INDEX(MassProp!C$9:C$150,MATCH($M14,MassProp!$B$9:$B$150,0)),"")</f>
        <v>3.9011999999999998</v>
      </c>
      <c r="AX14" s="830">
        <f>IFERROR(INDEX(MassProp!D$9:D$150,MATCH($M14,MassProp!$B$9:$B$150,0)),"")</f>
        <v>-0.29699999999999999</v>
      </c>
      <c r="AY14" s="831">
        <f>IFERROR(INDEX(MassProp!E$9:E$150,MATCH($M14,MassProp!$B$9:$B$150,0)),"")</f>
        <v>2.5399999999999999E-2</v>
      </c>
      <c r="AZ14" s="297">
        <f t="shared" si="144"/>
        <v>0.62273336313870287</v>
      </c>
      <c r="BA14" s="296">
        <f t="shared" si="24"/>
        <v>9.5123839524463308E-2</v>
      </c>
      <c r="BB14" s="291">
        <f>IF(ISNUMBER($AV14),$AX14-($AT14+$AS$5),"")</f>
        <v>-2.1672361342382207E-2</v>
      </c>
      <c r="BC14" s="9"/>
      <c r="BD14" s="5">
        <f t="shared" si="146"/>
        <v>3.9011999999999998</v>
      </c>
      <c r="BE14" s="6">
        <f>IF(ISNUMBER(AV14),Y14+BB14,"")</f>
        <v>-0.79519694078792469</v>
      </c>
      <c r="BF14" s="4">
        <f t="shared" si="26"/>
        <v>0.11879105900944557</v>
      </c>
      <c r="BG14" s="5">
        <f t="shared" si="27"/>
        <v>3.7928296446305065</v>
      </c>
      <c r="BH14" s="10">
        <f t="shared" si="28"/>
        <v>-0.77352457944554254</v>
      </c>
      <c r="BI14" s="9">
        <f t="shared" si="147"/>
        <v>0.11879105900944557</v>
      </c>
      <c r="BJ14" s="5">
        <f t="shared" si="29"/>
        <v>4.5237397415872973</v>
      </c>
      <c r="BK14" s="8">
        <f t="shared" si="30"/>
        <v>-1.4559983373048577</v>
      </c>
      <c r="BL14" s="173">
        <f t="shared" si="31"/>
        <v>0.47587635997265709</v>
      </c>
      <c r="BM14" s="5">
        <f t="shared" si="32"/>
        <v>4.4303091215766175</v>
      </c>
      <c r="BN14" s="6">
        <f t="shared" si="33"/>
        <v>-9.0802085083063533E-2</v>
      </c>
      <c r="BO14" s="4">
        <f t="shared" si="148"/>
        <v>0.93407177873866398</v>
      </c>
      <c r="BP14" s="5">
        <f t="shared" si="239"/>
        <v>-0.24370134722468761</v>
      </c>
      <c r="BQ14" s="5">
        <f t="shared" si="149"/>
        <v>-0.26099725194886614</v>
      </c>
      <c r="BR14" s="6">
        <f t="shared" si="150"/>
        <v>0.61147052885279596</v>
      </c>
      <c r="BS14" s="4">
        <f t="shared" si="118"/>
        <v>0</v>
      </c>
      <c r="BT14" s="5">
        <f t="shared" si="118"/>
        <v>0</v>
      </c>
      <c r="BU14" s="10">
        <f t="shared" si="119"/>
        <v>-0.79519694078792469</v>
      </c>
      <c r="BV14" s="9">
        <f t="shared" si="120"/>
        <v>0</v>
      </c>
      <c r="BW14" s="5">
        <f t="shared" si="121"/>
        <v>1</v>
      </c>
      <c r="BX14" s="8">
        <f t="shared" si="122"/>
        <v>-0.79519694078792469</v>
      </c>
      <c r="BY14" s="173">
        <f t="shared" si="123"/>
        <v>1</v>
      </c>
      <c r="BZ14" s="5">
        <f t="shared" si="124"/>
        <v>0</v>
      </c>
      <c r="CA14" s="6">
        <f t="shared" si="125"/>
        <v>-0.79519694078792469</v>
      </c>
      <c r="CB14" s="4">
        <f t="shared" si="151"/>
        <v>0</v>
      </c>
      <c r="CC14" s="5">
        <f t="shared" si="152"/>
        <v>0</v>
      </c>
      <c r="CD14" s="5">
        <f t="shared" si="153"/>
        <v>-1</v>
      </c>
      <c r="CE14" s="6">
        <f t="shared" si="154"/>
        <v>-0.79519694078792469</v>
      </c>
      <c r="CF14" s="4">
        <f t="shared" si="155"/>
        <v>0.24370134722468761</v>
      </c>
      <c r="CG14" s="5">
        <f t="shared" si="156"/>
        <v>0.93407177873866398</v>
      </c>
      <c r="CH14" s="5">
        <f t="shared" si="157"/>
        <v>0</v>
      </c>
      <c r="CI14" s="4">
        <f t="shared" si="126"/>
        <v>0</v>
      </c>
      <c r="CJ14" s="5">
        <f t="shared" si="127"/>
        <v>3.3607312987132354</v>
      </c>
      <c r="CK14" s="8">
        <f t="shared" si="128"/>
        <v>-0.79519694078792469</v>
      </c>
      <c r="CL14" s="173">
        <f t="shared" si="129"/>
        <v>0.24370134722468761</v>
      </c>
      <c r="CM14" s="5">
        <f t="shared" si="130"/>
        <v>4.294803077451899</v>
      </c>
      <c r="CN14" s="6">
        <f t="shared" si="131"/>
        <v>-0.79519694078792469</v>
      </c>
      <c r="CO14" s="167">
        <f t="shared" si="35"/>
        <v>0.3125</v>
      </c>
      <c r="CP14" s="4">
        <f t="shared" si="240"/>
        <v>0.9318804344751388</v>
      </c>
      <c r="CQ14" s="5">
        <f t="shared" si="241"/>
        <v>-0.86512082335965812</v>
      </c>
      <c r="CR14" s="5">
        <f t="shared" si="158"/>
        <v>0.10363373749117599</v>
      </c>
      <c r="CS14" s="8">
        <f t="shared" si="159"/>
        <v>0.36213702973225453</v>
      </c>
      <c r="CT14" s="9">
        <f t="shared" si="160"/>
        <v>0.78706397952851903</v>
      </c>
      <c r="CU14" s="6">
        <f t="shared" si="161"/>
        <v>0.14129634584618253</v>
      </c>
      <c r="CV14" s="4">
        <f>IF(ISNUMBER($AV14),CI14+($CT14*(CL14-CI14)),"")</f>
        <v>0.19180855216312404</v>
      </c>
      <c r="CW14" s="5">
        <f t="shared" si="162"/>
        <v>4.0959055500525707</v>
      </c>
      <c r="CX14" s="8">
        <f t="shared" si="163"/>
        <v>-0.79519694078792469</v>
      </c>
      <c r="CY14" s="9">
        <f t="shared" si="164"/>
        <v>3.4434109840640076E-2</v>
      </c>
      <c r="CZ14" s="5">
        <f t="shared" si="165"/>
        <v>3.4927122278070524</v>
      </c>
      <c r="DA14" s="6">
        <f t="shared" si="166"/>
        <v>-0.79519694078792469</v>
      </c>
      <c r="DB14" s="4">
        <f t="shared" si="167"/>
        <v>0</v>
      </c>
      <c r="DC14" s="5">
        <f t="shared" si="167"/>
        <v>0</v>
      </c>
      <c r="DD14" s="10">
        <f t="shared" si="168"/>
        <v>-10</v>
      </c>
      <c r="DE14" s="9">
        <f t="shared" si="169"/>
        <v>0</v>
      </c>
      <c r="DF14" s="5">
        <f t="shared" si="169"/>
        <v>0</v>
      </c>
      <c r="DG14" s="10">
        <f t="shared" si="170"/>
        <v>10</v>
      </c>
      <c r="DH14" s="70">
        <f t="shared" si="171"/>
        <v>3.9011999999999998</v>
      </c>
      <c r="DI14" s="4">
        <f t="shared" si="172"/>
        <v>0</v>
      </c>
      <c r="DJ14" s="5">
        <f t="shared" si="173"/>
        <v>0</v>
      </c>
      <c r="DK14" s="10">
        <f t="shared" si="174"/>
        <v>20</v>
      </c>
      <c r="DL14" s="9">
        <f t="shared" si="175"/>
        <v>0.19180855216312404</v>
      </c>
      <c r="DM14" s="173">
        <f t="shared" si="176"/>
        <v>4.0959055500525707</v>
      </c>
      <c r="DN14" s="178">
        <f t="shared" si="177"/>
        <v>9.2048030592120753</v>
      </c>
      <c r="DO14" s="9">
        <f t="shared" si="178"/>
        <v>-0.15737444232248396</v>
      </c>
      <c r="DP14" s="173">
        <f t="shared" si="179"/>
        <v>-0.60319332224551836</v>
      </c>
      <c r="DQ14" s="11">
        <f t="shared" si="180"/>
        <v>0</v>
      </c>
      <c r="DR14" s="173">
        <f t="shared" si="181"/>
        <v>184.09606118424151</v>
      </c>
      <c r="DS14" s="5">
        <f t="shared" si="182"/>
        <v>0</v>
      </c>
      <c r="DT14" s="5">
        <f t="shared" si="183"/>
        <v>400</v>
      </c>
      <c r="DU14" s="5">
        <f t="shared" si="184"/>
        <v>0.38860889909789859</v>
      </c>
      <c r="DV14" s="5">
        <f t="shared" si="185"/>
        <v>-2.5008086402694221</v>
      </c>
      <c r="DW14" s="5">
        <f t="shared" si="186"/>
        <v>101.54163215451435</v>
      </c>
      <c r="DX14" s="167">
        <f t="shared" si="187"/>
        <v>86.322270714514346</v>
      </c>
      <c r="DY14" s="9">
        <f t="shared" si="188"/>
        <v>155.44355963915945</v>
      </c>
      <c r="DZ14" s="5">
        <f t="shared" si="189"/>
        <v>-1000.3234561077688</v>
      </c>
      <c r="EA14" s="10">
        <f t="shared" si="190"/>
        <v>637.54854225374584</v>
      </c>
      <c r="EB14" s="6">
        <f t="shared" si="191"/>
        <v>901544.20198871195</v>
      </c>
      <c r="EC14" s="173">
        <f t="shared" si="192"/>
        <v>12.543589942153899</v>
      </c>
      <c r="ED14" s="5">
        <f t="shared" si="193"/>
        <v>0.32697810749550882</v>
      </c>
      <c r="EE14" s="4">
        <f t="shared" si="194"/>
        <v>-1.7822319197052645</v>
      </c>
      <c r="EF14" s="5">
        <f t="shared" si="195"/>
        <v>-3.4703041400407093</v>
      </c>
      <c r="EG14" s="10">
        <f t="shared" si="196"/>
        <v>-0.79519694078792469</v>
      </c>
      <c r="EH14" s="9">
        <f t="shared" si="197"/>
        <v>0.14035055484435713</v>
      </c>
      <c r="EI14" s="5">
        <f t="shared" si="198"/>
        <v>3.8986745390908024</v>
      </c>
      <c r="EJ14" s="6">
        <f t="shared" si="199"/>
        <v>-0.79519694078792469</v>
      </c>
      <c r="EK14" s="236" t="b">
        <f t="shared" si="200"/>
        <v>0</v>
      </c>
      <c r="EL14" s="238" t="b">
        <f t="shared" si="201"/>
        <v>1</v>
      </c>
      <c r="EM14" s="4">
        <f t="shared" si="202"/>
        <v>0.14035055484435713</v>
      </c>
      <c r="EN14" s="5">
        <f t="shared" si="203"/>
        <v>3.8986745390908024</v>
      </c>
      <c r="EO14" s="10">
        <f t="shared" si="204"/>
        <v>-0.79519694078792469</v>
      </c>
      <c r="EP14" s="9">
        <f>IF(ISNUMBER($AV14),IF(DEGREES(ATAN2(EM14,EN14))&lt;0,DEGREES(ATAN2(EM14,EN14))+360,IF(DEGREES(ATAN2(EM14,EN14))&gt;360,DEGREES(ATAN2(EM14,EN14))-360,DEGREES(ATAN2(EM14,EN14)))),"")</f>
        <v>87.938267679702918</v>
      </c>
      <c r="EQ14" s="5">
        <f t="shared" si="206"/>
        <v>3.9012000000000002</v>
      </c>
      <c r="ER14" s="7">
        <f t="shared" si="207"/>
        <v>-0.79519694078792469</v>
      </c>
      <c r="ES14" s="21">
        <f>IF(ISNUMBER($AV14),AD14,"")</f>
        <v>0.93407177873866454</v>
      </c>
      <c r="ET14" s="5">
        <f t="shared" si="44"/>
        <v>-0.24370134722468742</v>
      </c>
      <c r="EU14" s="10">
        <f t="shared" si="45"/>
        <v>-0.26099725194886553</v>
      </c>
      <c r="EV14" s="174">
        <f t="shared" si="46"/>
        <v>2.0617323202970823</v>
      </c>
      <c r="EW14" s="9">
        <f>IF(ISNUMBER($AV14),(COS(RADIANS($EV14))*ES14)+(-SIN(RADIANS($EV14))*ET14),"")</f>
        <v>0.94223456391648497</v>
      </c>
      <c r="EX14" s="5">
        <f t="shared" si="47"/>
        <v>-0.20993918413733931</v>
      </c>
      <c r="EY14" s="6">
        <f t="shared" si="208"/>
        <v>-0.26099725194886553</v>
      </c>
      <c r="EZ14" s="51">
        <f>IF(ISNUMBER($AV14),DEGREES(ATAN($AS$5/($EQ14*2*PI()))),"")</f>
        <v>1.1685689136081521</v>
      </c>
      <c r="FA14" s="266">
        <f>IF(ISNUMBER($AV14),SIN(RADIANS($EP14))*COS(RADIANS($EZ14)),"")</f>
        <v>0.9991448012899764</v>
      </c>
      <c r="FB14" s="267">
        <f>IF(ISNUMBER($AV14),-1*COS(RADIANS($EP14))*COS(RADIANS($EZ14)),"")</f>
        <v>-3.5968769853665761E-2</v>
      </c>
      <c r="FC14" s="269">
        <f>IF(ISNUMBER($AV14),-1*SIN(RADIANS($EZ14)),"")</f>
        <v>-2.0393961126459345E-2</v>
      </c>
      <c r="FD14" s="4">
        <f>IF(ISNUMBER($AV14),(COS(RADIANS($EV14))*FA14)+(-SIN(RADIANS($EV14))*FB14),"")</f>
        <v>0.99979202154726776</v>
      </c>
      <c r="FE14" s="5">
        <f t="shared" si="49"/>
        <v>6.2450045135165055E-17</v>
      </c>
      <c r="FF14" s="7">
        <f t="shared" si="210"/>
        <v>-2.0393961126459345E-2</v>
      </c>
      <c r="FG14" s="173">
        <f>IF(ISNUMBER($AV14),EW14-FD14,"")</f>
        <v>-5.7557457630782793E-2</v>
      </c>
      <c r="FH14" s="5">
        <f>IF(ISNUMBER($AV14),EX14-FE14,"")</f>
        <v>-0.20993918413733936</v>
      </c>
      <c r="FI14" s="10">
        <f>IF(ISNUMBER($AV14),EY14-FF14,"")</f>
        <v>-0.24060329082240617</v>
      </c>
      <c r="FJ14" s="967">
        <f>IF(ISNUMBER($AV14),DEGREES(ACOS((2-SQRT((FG14)^2+(FH14)^2+(FI14)^2)^2)/2)),"")</f>
        <v>18.672980429532981</v>
      </c>
      <c r="FK14" s="4">
        <f t="shared" si="52"/>
        <v>0.9653395436193114</v>
      </c>
      <c r="FL14" s="5">
        <f t="shared" si="213"/>
        <v>0.99979202154726776</v>
      </c>
      <c r="FM14" s="8">
        <f t="shared" si="214"/>
        <v>0.21768629255231264</v>
      </c>
      <c r="FN14" s="9">
        <f>IF(ISNUMBER($AV14),DEGREES(ACOS((FK14^2+FL14^2-FM14^2)/(2*FK14*FL14))),"")</f>
        <v>12.560890350804675</v>
      </c>
      <c r="FO14" s="10">
        <f t="shared" si="53"/>
        <v>1</v>
      </c>
      <c r="FP14" s="277">
        <f>IF(ISNUMBER($AV14),FN14*FO14,"")</f>
        <v>12.560890350804675</v>
      </c>
      <c r="FQ14" s="173">
        <f t="shared" si="243"/>
        <v>0.21747703750974695</v>
      </c>
      <c r="FR14" s="10">
        <f t="shared" si="216"/>
        <v>0.97606543743541296</v>
      </c>
      <c r="FS14" s="9">
        <f t="shared" si="217"/>
        <v>0.18221139345689347</v>
      </c>
      <c r="FT14" s="6">
        <f t="shared" si="218"/>
        <v>0.81778860654310648</v>
      </c>
      <c r="FU14" s="4">
        <f t="shared" si="219"/>
        <v>0.97771444653525919</v>
      </c>
      <c r="FV14" s="5">
        <f t="shared" si="220"/>
        <v>0.99999999999999989</v>
      </c>
      <c r="FW14" s="8">
        <f t="shared" si="244"/>
        <v>0.24739200569842737</v>
      </c>
      <c r="FX14" s="9">
        <f t="shared" si="245"/>
        <v>14.314065361491203</v>
      </c>
      <c r="FY14" s="10">
        <f t="shared" si="55"/>
        <v>1</v>
      </c>
      <c r="FZ14" s="277">
        <f t="shared" si="246"/>
        <v>14.314065361491203</v>
      </c>
      <c r="GA14" s="177">
        <f t="shared" si="221"/>
        <v>13.994389294804932</v>
      </c>
      <c r="GB14" s="4">
        <f>IF(ISNUMBER($AV14),COS(RADIANS(FP14+90))*COS(RADIANS(FZ14)),"")</f>
        <v>-0.21072547749363399</v>
      </c>
      <c r="GC14" s="5">
        <f t="shared" si="223"/>
        <v>0.94576355151698199</v>
      </c>
      <c r="GD14" s="10">
        <f t="shared" si="224"/>
        <v>-0.24723688591523868</v>
      </c>
      <c r="GE14" s="311">
        <f t="shared" si="225"/>
        <v>1.4037259149258547</v>
      </c>
      <c r="GF14" s="341">
        <f>IF(ISNUMBER($AV14),1/GE14,"")</f>
        <v>0.71238978305306866</v>
      </c>
      <c r="GG14" s="285">
        <f>IF(ISNUMBER($AV14),ABS(GB14)/(ABS($GB14)+ABS($GC14)+ABS($GD14)),"")</f>
        <v>0.15011867719544422</v>
      </c>
      <c r="GH14" s="286">
        <f>IF(ISNUMBER($AV14),ABS(GC14)/(ABS($GB14)+ABS($GC14)+ABS($GD14)),"")</f>
        <v>0.6737522912846825</v>
      </c>
      <c r="GI14" s="281">
        <f t="shared" si="58"/>
        <v>0.17612903151987316</v>
      </c>
      <c r="GJ14" s="167">
        <f t="shared" si="226"/>
        <v>3.9011999999999998</v>
      </c>
      <c r="GK14" s="174">
        <f t="shared" si="59"/>
        <v>2.0430884617411511</v>
      </c>
      <c r="GL14" s="174">
        <f t="shared" si="227"/>
        <v>2.5399999999999999E-2</v>
      </c>
      <c r="GM14" s="177">
        <f t="shared" si="248"/>
        <v>0.62273336313870287</v>
      </c>
      <c r="GN14" s="280">
        <f t="shared" si="228"/>
        <v>9.5123839524463308E-2</v>
      </c>
      <c r="GO14" s="4">
        <f t="shared" si="229"/>
        <v>12.560890350804675</v>
      </c>
      <c r="GP14" s="8">
        <f t="shared" si="249"/>
        <v>14.314065361491203</v>
      </c>
      <c r="GQ14" s="177">
        <f t="shared" si="230"/>
        <v>18.672980429532981</v>
      </c>
      <c r="GR14" s="371">
        <f t="shared" si="250"/>
        <v>2272.1795594395899</v>
      </c>
      <c r="GS14" s="342">
        <f>IF(ISNUMBER($AV14),GU14/GH14*GG14,"")</f>
        <v>341.09658981359854</v>
      </c>
      <c r="GT14" s="343">
        <f t="shared" si="62"/>
        <v>166.9514542326331</v>
      </c>
      <c r="GU14" s="344">
        <f t="shared" si="63"/>
        <v>1530.8861843826444</v>
      </c>
      <c r="GV14" s="343">
        <f t="shared" ref="GV14:GV74" si="252">IF(ISNUMBER($AV14),GW14*$GL14,"")</f>
        <v>749.3</v>
      </c>
      <c r="GW14" s="345">
        <f t="shared" si="64"/>
        <v>29500</v>
      </c>
      <c r="GX14" s="346">
        <f t="shared" si="65"/>
        <v>243.59742999999997</v>
      </c>
      <c r="GY14" s="344">
        <f t="shared" si="66"/>
        <v>400.19678524334711</v>
      </c>
      <c r="GZ14" s="345">
        <f t="shared" si="67"/>
        <v>195.87834434848372</v>
      </c>
      <c r="HA14" s="342">
        <f t="shared" si="68"/>
        <v>341.09658981359854</v>
      </c>
      <c r="HB14" s="5">
        <f t="shared" si="231"/>
        <v>2.0617323202970823</v>
      </c>
      <c r="HC14" s="343">
        <f t="shared" si="232"/>
        <v>340.87577926714238</v>
      </c>
      <c r="HD14" s="345">
        <f t="shared" si="233"/>
        <v>12.271376918860058</v>
      </c>
      <c r="HE14" s="344">
        <f t="shared" si="69"/>
        <v>749.3</v>
      </c>
      <c r="HF14" s="5">
        <f t="shared" si="70"/>
        <v>92.061732320297082</v>
      </c>
      <c r="HG14" s="343">
        <f t="shared" si="234"/>
        <v>-26.957005727693364</v>
      </c>
      <c r="HH14" s="349">
        <f t="shared" si="235"/>
        <v>748.81493697855478</v>
      </c>
      <c r="HI14" s="317">
        <f t="shared" si="71"/>
        <v>1.123</v>
      </c>
      <c r="HJ14" s="336"/>
      <c r="HK14" s="310">
        <f t="shared" si="137"/>
        <v>6</v>
      </c>
      <c r="HL14" s="348">
        <f t="shared" si="72"/>
        <v>2.1160000000000001</v>
      </c>
      <c r="HM14" s="909">
        <f t="shared" si="138"/>
        <v>6.1115579283511021</v>
      </c>
      <c r="HN14" s="910">
        <f t="shared" si="73"/>
        <v>15.865725674112454</v>
      </c>
      <c r="HO14" s="911"/>
      <c r="HP14" s="912"/>
      <c r="HQ14" s="910">
        <f t="shared" si="74"/>
        <v>14.573536327068609</v>
      </c>
      <c r="HR14" s="913">
        <f t="shared" si="75"/>
        <v>13.345482364699938</v>
      </c>
      <c r="HS14" s="865">
        <f t="shared" si="251"/>
        <v>3.0628000000000002</v>
      </c>
      <c r="HT14" s="875">
        <f t="shared" si="76"/>
        <v>3.3700000000000001E-2</v>
      </c>
      <c r="HU14" s="876">
        <f t="shared" si="77"/>
        <v>0.64874637748788455</v>
      </c>
      <c r="HV14" s="872">
        <f t="shared" si="78"/>
        <v>9.909738253495394E-2</v>
      </c>
      <c r="HW14" s="866">
        <f t="shared" si="79"/>
        <v>29500</v>
      </c>
      <c r="HX14" s="867">
        <f t="shared" si="80"/>
        <v>253.74021833333336</v>
      </c>
      <c r="HY14" s="866">
        <f t="shared" si="81"/>
        <v>170.76407467279077</v>
      </c>
      <c r="HZ14" s="868">
        <f t="shared" si="82"/>
        <v>1594.8348446577161</v>
      </c>
      <c r="IA14" s="869">
        <f t="shared" si="83"/>
        <v>380.50257576798072</v>
      </c>
      <c r="IB14" s="870">
        <f t="shared" si="84"/>
        <v>2146.1014950984872</v>
      </c>
      <c r="IC14" s="841">
        <f t="shared" si="85"/>
        <v>106.44682451265979</v>
      </c>
      <c r="ID14" s="351">
        <f t="shared" si="86"/>
        <v>994.15</v>
      </c>
      <c r="IE14" s="843">
        <f t="shared" si="87"/>
        <v>237.18859477322485</v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0.1826156790113595</v>
      </c>
      <c r="C15" s="572">
        <f t="shared" si="3"/>
        <v>4.2556740508333961</v>
      </c>
      <c r="D15" s="576">
        <f t="shared" si="4"/>
        <v>-1.356441988823057</v>
      </c>
      <c r="E15" s="580">
        <f t="shared" si="5"/>
        <v>-0.90541672286991637</v>
      </c>
      <c r="F15" s="572">
        <f t="shared" si="6"/>
        <v>0.3589309519346352</v>
      </c>
      <c r="G15" s="579">
        <f t="shared" si="7"/>
        <v>0.22669170626822205</v>
      </c>
      <c r="H15" s="580">
        <f t="shared" si="8"/>
        <v>0.3125</v>
      </c>
      <c r="I15" s="572">
        <f t="shared" si="9"/>
        <v>0.52</v>
      </c>
      <c r="J15" s="483">
        <f t="shared" si="10"/>
        <v>1.129</v>
      </c>
      <c r="K15" s="806">
        <f t="shared" si="11"/>
        <v>1613</v>
      </c>
      <c r="L15" s="814">
        <f>IF($L14=$JJ$22,$JJ$29,IF($L14=$JK$22,$JK$29,""))</f>
        <v>390</v>
      </c>
      <c r="M15" s="164">
        <f t="shared" si="12"/>
        <v>1.129</v>
      </c>
      <c r="N15" s="575">
        <f t="shared" si="13"/>
        <v>0.1826156790113595</v>
      </c>
      <c r="O15" s="572">
        <f t="shared" si="14"/>
        <v>4.2556740508333961</v>
      </c>
      <c r="P15" s="576">
        <f t="shared" si="15"/>
        <v>-1.356441988823057</v>
      </c>
      <c r="Q15" s="528">
        <f t="shared" si="140"/>
        <v>87.542882158054923</v>
      </c>
      <c r="R15" s="572">
        <f t="shared" si="101"/>
        <v>4.2595903691737202</v>
      </c>
      <c r="S15" s="577">
        <f t="shared" si="102"/>
        <v>-1.356441988823057</v>
      </c>
      <c r="T15" s="578">
        <f t="shared" si="103"/>
        <v>4.2572016318274661</v>
      </c>
      <c r="U15" s="572">
        <f t="shared" si="104"/>
        <v>-0.14263372365282398</v>
      </c>
      <c r="V15" s="579">
        <f t="shared" si="141"/>
        <v>-1.356441988823057</v>
      </c>
      <c r="W15" s="528">
        <f t="shared" ref="W15:W78" si="253">IF(M15="","",IF(Q15-$Q$8&lt;0,360+Q15-$Q$8,Q15-$Q$8))</f>
        <v>358.08107407827339</v>
      </c>
      <c r="X15" s="572">
        <f>IF(M15="","",R15)</f>
        <v>4.2595903691737202</v>
      </c>
      <c r="Y15" s="573">
        <f t="shared" si="17"/>
        <v>-1.356441988823057</v>
      </c>
      <c r="Z15" s="575">
        <f t="shared" si="18"/>
        <v>0.90541672286991637</v>
      </c>
      <c r="AA15" s="572">
        <f t="shared" si="19"/>
        <v>-0.3589309519346352</v>
      </c>
      <c r="AB15" s="572">
        <f t="shared" si="20"/>
        <v>-0.22669170626822205</v>
      </c>
      <c r="AC15" s="579">
        <f t="shared" si="106"/>
        <v>1</v>
      </c>
      <c r="AD15" s="580">
        <f t="shared" si="142"/>
        <v>0.90541672286991637</v>
      </c>
      <c r="AE15" s="572">
        <f t="shared" si="107"/>
        <v>-0.3589309519346352</v>
      </c>
      <c r="AF15" s="576">
        <f t="shared" si="108"/>
        <v>-0.22669170626822205</v>
      </c>
      <c r="AG15" s="545">
        <f t="shared" si="109"/>
        <v>-57.724529879932099</v>
      </c>
      <c r="AH15" s="546">
        <f t="shared" si="110"/>
        <v>25.120532770888119</v>
      </c>
      <c r="AI15" s="528">
        <f t="shared" si="111"/>
        <v>-76.897623459115906</v>
      </c>
      <c r="AJ15" s="529">
        <f t="shared" si="112"/>
        <v>68.375325903266827</v>
      </c>
      <c r="AK15" s="578">
        <f t="shared" si="238"/>
        <v>0.91997223502362446</v>
      </c>
      <c r="AL15" s="572">
        <f t="shared" si="113"/>
        <v>-0.31978423521937344</v>
      </c>
      <c r="AM15" s="577">
        <f t="shared" si="114"/>
        <v>-0.22669170626822205</v>
      </c>
      <c r="AN15" s="524">
        <f>IF(M15="","",DEGREES(ATAN2(-AM15,AL15)))</f>
        <v>-54.667570340259566</v>
      </c>
      <c r="AO15" s="525">
        <f t="shared" si="116"/>
        <v>23.077976777541668</v>
      </c>
      <c r="AP15" s="528">
        <f t="shared" si="117"/>
        <v>-19.167556254788096</v>
      </c>
      <c r="AQ15" s="529">
        <f t="shared" si="21"/>
        <v>1.0702726177936464</v>
      </c>
      <c r="AS15" s="932">
        <f t="shared" si="143"/>
        <v>358.08107407827339</v>
      </c>
      <c r="AT15" s="928">
        <f t="shared" si="22"/>
        <v>-1.357323928637719</v>
      </c>
      <c r="AU15" s="418"/>
      <c r="AV15" s="164">
        <f t="shared" si="23"/>
        <v>1.129</v>
      </c>
      <c r="AW15" s="829">
        <f>IFERROR(INDEX(MassProp!C$9:C$150,MATCH($M15,MassProp!$B$9:$B$150,0)),"")</f>
        <v>4.4440999999999997</v>
      </c>
      <c r="AX15" s="830">
        <f>IFERROR(INDEX(MassProp!D$9:D$150,MATCH($M15,MassProp!$B$9:$B$150,0)),"")</f>
        <v>-0.92930000000000001</v>
      </c>
      <c r="AY15" s="831">
        <f>IFERROR(INDEX(MassProp!E$9:E$150,MATCH($M15,MassProp!$B$9:$B$150,0)),"")</f>
        <v>1.7899999999999999E-2</v>
      </c>
      <c r="AZ15" s="297">
        <f>IF(ISNUMBER(AV15),$AY15*SQRT((2*PI()*$AW15)^2+$AS$5^2),"")</f>
        <v>0.49990368279771819</v>
      </c>
      <c r="BA15" s="296">
        <f t="shared" si="24"/>
        <v>7.6361345826185992E-2</v>
      </c>
      <c r="BB15" s="291">
        <f t="shared" si="145"/>
        <v>-7.1976071362281013E-2</v>
      </c>
      <c r="BC15" s="9"/>
      <c r="BD15" s="5">
        <f t="shared" si="146"/>
        <v>4.4440999999999997</v>
      </c>
      <c r="BE15" s="6">
        <f t="shared" si="25"/>
        <v>-1.428418060185338</v>
      </c>
      <c r="BF15" s="4">
        <f t="shared" si="26"/>
        <v>0.1826156790113595</v>
      </c>
      <c r="BG15" s="5">
        <f t="shared" si="27"/>
        <v>4.2556740508333961</v>
      </c>
      <c r="BH15" s="10">
        <f t="shared" si="28"/>
        <v>-1.356441988823057</v>
      </c>
      <c r="BI15" s="9">
        <f t="shared" si="147"/>
        <v>0.1826156790113595</v>
      </c>
      <c r="BJ15" s="5">
        <f t="shared" si="29"/>
        <v>4.7896644717062786</v>
      </c>
      <c r="BK15" s="8">
        <f t="shared" si="30"/>
        <v>-2.2019325153317824</v>
      </c>
      <c r="BL15" s="173">
        <f t="shared" si="31"/>
        <v>0.60713959818141161</v>
      </c>
      <c r="BM15" s="5">
        <f t="shared" si="32"/>
        <v>5.0211953125624866</v>
      </c>
      <c r="BN15" s="6">
        <f t="shared" si="33"/>
        <v>-0.87295813191240401</v>
      </c>
      <c r="BO15" s="4">
        <f t="shared" si="148"/>
        <v>0.90541672286991748</v>
      </c>
      <c r="BP15" s="5">
        <f t="shared" si="239"/>
        <v>-0.35893095193463476</v>
      </c>
      <c r="BQ15" s="5">
        <f t="shared" si="149"/>
        <v>-0.22669170626822166</v>
      </c>
      <c r="BR15" s="6">
        <f t="shared" si="150"/>
        <v>1.054655699653865</v>
      </c>
      <c r="BS15" s="4">
        <f t="shared" si="118"/>
        <v>0</v>
      </c>
      <c r="BT15" s="5">
        <f t="shared" si="118"/>
        <v>0</v>
      </c>
      <c r="BU15" s="10">
        <f t="shared" si="119"/>
        <v>-1.428418060185338</v>
      </c>
      <c r="BV15" s="9">
        <f t="shared" si="120"/>
        <v>0</v>
      </c>
      <c r="BW15" s="5">
        <f t="shared" si="121"/>
        <v>1</v>
      </c>
      <c r="BX15" s="8">
        <f t="shared" si="122"/>
        <v>-1.428418060185338</v>
      </c>
      <c r="BY15" s="173">
        <f t="shared" si="123"/>
        <v>1</v>
      </c>
      <c r="BZ15" s="5">
        <f t="shared" si="124"/>
        <v>0</v>
      </c>
      <c r="CA15" s="6">
        <f t="shared" si="125"/>
        <v>-1.428418060185338</v>
      </c>
      <c r="CB15" s="4">
        <f t="shared" si="151"/>
        <v>0</v>
      </c>
      <c r="CC15" s="5">
        <f t="shared" si="152"/>
        <v>0</v>
      </c>
      <c r="CD15" s="5">
        <f t="shared" si="153"/>
        <v>-1</v>
      </c>
      <c r="CE15" s="6">
        <f t="shared" si="154"/>
        <v>-1.428418060185338</v>
      </c>
      <c r="CF15" s="4">
        <f t="shared" si="155"/>
        <v>0.35893095193463476</v>
      </c>
      <c r="CG15" s="5">
        <f t="shared" si="156"/>
        <v>0.90541672286991748</v>
      </c>
      <c r="CH15" s="5">
        <f t="shared" si="157"/>
        <v>0</v>
      </c>
      <c r="CI15" s="4">
        <f t="shared" si="126"/>
        <v>0</v>
      </c>
      <c r="CJ15" s="5">
        <f t="shared" si="127"/>
        <v>3.8404774499153707</v>
      </c>
      <c r="CK15" s="8">
        <f t="shared" si="128"/>
        <v>-1.4284180601853382</v>
      </c>
      <c r="CL15" s="173">
        <f t="shared" si="129"/>
        <v>0.35893095193463476</v>
      </c>
      <c r="CM15" s="5">
        <f t="shared" si="130"/>
        <v>4.7458941727852881</v>
      </c>
      <c r="CN15" s="6">
        <f t="shared" si="131"/>
        <v>-1.4284180601853382</v>
      </c>
      <c r="CO15" s="167">
        <f t="shared" si="35"/>
        <v>0.3125</v>
      </c>
      <c r="CP15" s="4">
        <f t="shared" si="240"/>
        <v>0.94861087030920399</v>
      </c>
      <c r="CQ15" s="5">
        <f t="shared" si="241"/>
        <v>-0.88294473051132916</v>
      </c>
      <c r="CR15" s="5">
        <f t="shared" si="158"/>
        <v>0.1132610084834127</v>
      </c>
      <c r="CS15" s="8">
        <f t="shared" si="159"/>
        <v>0.34982890181953064</v>
      </c>
      <c r="CT15" s="9">
        <f t="shared" si="160"/>
        <v>0.77714062369359616</v>
      </c>
      <c r="CU15" s="6">
        <f t="shared" si="161"/>
        <v>0.15363590243194711</v>
      </c>
      <c r="CV15" s="4">
        <f t="shared" si="242"/>
        <v>0.27893982384941823</v>
      </c>
      <c r="CW15" s="5">
        <f t="shared" si="162"/>
        <v>4.5441135666291101</v>
      </c>
      <c r="CX15" s="8">
        <f t="shared" si="163"/>
        <v>-1.4284180601853382</v>
      </c>
      <c r="CY15" s="9">
        <f t="shared" si="164"/>
        <v>5.514468071123544E-2</v>
      </c>
      <c r="CZ15" s="5">
        <f t="shared" si="165"/>
        <v>3.9795819652104667</v>
      </c>
      <c r="DA15" s="6">
        <f t="shared" si="166"/>
        <v>-1.4284180601853382</v>
      </c>
      <c r="DB15" s="4">
        <f t="shared" si="167"/>
        <v>0</v>
      </c>
      <c r="DC15" s="5">
        <f t="shared" si="167"/>
        <v>0</v>
      </c>
      <c r="DD15" s="10">
        <f t="shared" si="168"/>
        <v>-10</v>
      </c>
      <c r="DE15" s="9">
        <f t="shared" si="169"/>
        <v>0</v>
      </c>
      <c r="DF15" s="5">
        <f t="shared" si="169"/>
        <v>0</v>
      </c>
      <c r="DG15" s="10">
        <f t="shared" si="170"/>
        <v>10</v>
      </c>
      <c r="DH15" s="70">
        <f t="shared" si="171"/>
        <v>4.4440999999999997</v>
      </c>
      <c r="DI15" s="4">
        <f t="shared" si="172"/>
        <v>0</v>
      </c>
      <c r="DJ15" s="5">
        <f t="shared" si="173"/>
        <v>0</v>
      </c>
      <c r="DK15" s="10">
        <f t="shared" si="174"/>
        <v>20</v>
      </c>
      <c r="DL15" s="9">
        <f t="shared" si="175"/>
        <v>0.27893982384941823</v>
      </c>
      <c r="DM15" s="173">
        <f t="shared" si="176"/>
        <v>4.5441135666291101</v>
      </c>
      <c r="DN15" s="178">
        <f t="shared" si="177"/>
        <v>8.5715819398146618</v>
      </c>
      <c r="DO15" s="9">
        <f t="shared" si="178"/>
        <v>-0.2237951431381828</v>
      </c>
      <c r="DP15" s="173">
        <f t="shared" si="179"/>
        <v>-0.56453160141864345</v>
      </c>
      <c r="DQ15" s="11">
        <f t="shared" si="180"/>
        <v>0</v>
      </c>
      <c r="DR15" s="173">
        <f t="shared" si="181"/>
        <v>171.43163879629324</v>
      </c>
      <c r="DS15" s="5">
        <f t="shared" si="182"/>
        <v>0</v>
      </c>
      <c r="DT15" s="5">
        <f t="shared" si="183"/>
        <v>400</v>
      </c>
      <c r="DU15" s="5">
        <f t="shared" si="184"/>
        <v>0.36878019509253784</v>
      </c>
      <c r="DV15" s="5">
        <f t="shared" si="185"/>
        <v>-2.627721086602635</v>
      </c>
      <c r="DW15" s="5">
        <f t="shared" si="186"/>
        <v>94.198792482708768</v>
      </c>
      <c r="DX15" s="167">
        <f t="shared" si="187"/>
        <v>74.448767672708769</v>
      </c>
      <c r="DY15" s="9">
        <f t="shared" si="188"/>
        <v>147.51207803701513</v>
      </c>
      <c r="DZ15" s="5">
        <f t="shared" si="189"/>
        <v>-1051.0884346410539</v>
      </c>
      <c r="EA15" s="10">
        <f t="shared" si="190"/>
        <v>390.70028870075475</v>
      </c>
      <c r="EB15" s="6">
        <f t="shared" si="191"/>
        <v>1047153.885960271</v>
      </c>
      <c r="EC15" s="173">
        <f t="shared" si="192"/>
        <v>14.062535319314376</v>
      </c>
      <c r="ED15" s="5">
        <f t="shared" si="193"/>
        <v>0.18834431885742017</v>
      </c>
      <c r="EE15" s="4">
        <f t="shared" si="194"/>
        <v>-2.8681872808222937</v>
      </c>
      <c r="EF15" s="5">
        <f t="shared" si="195"/>
        <v>-3.3946320171896689</v>
      </c>
      <c r="EG15" s="10">
        <f t="shared" si="196"/>
        <v>-1.4284180601853382</v>
      </c>
      <c r="EH15" s="9">
        <f t="shared" si="197"/>
        <v>0.23678928005145833</v>
      </c>
      <c r="EI15" s="5">
        <f t="shared" si="198"/>
        <v>4.437787246686427</v>
      </c>
      <c r="EJ15" s="6">
        <f t="shared" si="199"/>
        <v>-1.4284180601853382</v>
      </c>
      <c r="EK15" s="236" t="b">
        <f t="shared" si="200"/>
        <v>0</v>
      </c>
      <c r="EL15" s="238" t="b">
        <f t="shared" si="201"/>
        <v>1</v>
      </c>
      <c r="EM15" s="4">
        <f t="shared" si="202"/>
        <v>0.23678928005145833</v>
      </c>
      <c r="EN15" s="5">
        <f t="shared" si="203"/>
        <v>4.437787246686427</v>
      </c>
      <c r="EO15" s="10">
        <f t="shared" si="204"/>
        <v>-1.4284180601853382</v>
      </c>
      <c r="EP15" s="9">
        <f t="shared" si="205"/>
        <v>86.945736160803037</v>
      </c>
      <c r="EQ15" s="5">
        <f t="shared" si="206"/>
        <v>4.4440999999999988</v>
      </c>
      <c r="ER15" s="7">
        <f t="shared" si="207"/>
        <v>-1.4284180601853382</v>
      </c>
      <c r="ES15" s="21">
        <f t="shared" si="132"/>
        <v>0.90541672286991637</v>
      </c>
      <c r="ET15" s="5">
        <f t="shared" si="44"/>
        <v>-0.3589309519346352</v>
      </c>
      <c r="EU15" s="10">
        <f t="shared" si="45"/>
        <v>-0.22669170626822205</v>
      </c>
      <c r="EV15" s="174">
        <f t="shared" ref="EV15:EV40" si="254">IF(ISNUMBER($AV15),IF(($EV$1-EP15)&lt;0,(360+($EV$1-EP15)),($EV$1-EP15)),"")</f>
        <v>3.0542638391969632</v>
      </c>
      <c r="EW15" s="9">
        <f>IF(ISNUMBER($AV15),(COS(RADIANS($EV15))*ES15)+(-SIN(RADIANS($EV15))*ET15),"")</f>
        <v>0.92325505442846068</v>
      </c>
      <c r="EX15" s="5">
        <f t="shared" si="47"/>
        <v>-0.31017893993871087</v>
      </c>
      <c r="EY15" s="6">
        <f t="shared" si="208"/>
        <v>-0.22669170626822205</v>
      </c>
      <c r="EZ15" s="51">
        <f>IF(ISNUMBER($AV15),DEGREES(ATAN($AS$5/($EQ15*2*PI()))),"")</f>
        <v>1.025846864148185</v>
      </c>
      <c r="FA15" s="266">
        <f t="shared" si="134"/>
        <v>0.99841946850655472</v>
      </c>
      <c r="FB15" s="267">
        <f t="shared" si="135"/>
        <v>-5.3273177373149537E-2</v>
      </c>
      <c r="FC15" s="269">
        <f t="shared" si="48"/>
        <v>-1.790344882020312E-2</v>
      </c>
      <c r="FD15" s="4">
        <f t="shared" si="136"/>
        <v>0.99983972041539848</v>
      </c>
      <c r="FE15" s="5">
        <f t="shared" si="49"/>
        <v>-2.0816681711721685E-17</v>
      </c>
      <c r="FF15" s="7">
        <f t="shared" si="210"/>
        <v>-1.790344882020312E-2</v>
      </c>
      <c r="FG15" s="173">
        <f t="shared" si="211"/>
        <v>-7.6584665986937805E-2</v>
      </c>
      <c r="FH15" s="5">
        <f t="shared" si="50"/>
        <v>-0.31017893993871087</v>
      </c>
      <c r="FI15" s="10">
        <f t="shared" si="51"/>
        <v>-0.20878825744801893</v>
      </c>
      <c r="FJ15" s="279">
        <f t="shared" si="212"/>
        <v>22.002785911251131</v>
      </c>
      <c r="FK15" s="4">
        <f t="shared" si="52"/>
        <v>0.97396656529328685</v>
      </c>
      <c r="FL15" s="5">
        <f t="shared" si="213"/>
        <v>0.99983972041539848</v>
      </c>
      <c r="FM15" s="8">
        <f t="shared" si="214"/>
        <v>0.31949363975802902</v>
      </c>
      <c r="FN15" s="9">
        <f t="shared" si="215"/>
        <v>18.570410257536199</v>
      </c>
      <c r="FO15" s="10">
        <f t="shared" si="53"/>
        <v>1</v>
      </c>
      <c r="FP15" s="277">
        <f t="shared" si="54"/>
        <v>18.570410257536199</v>
      </c>
      <c r="FQ15" s="173">
        <f>IF(ISNUMBER($AV15),SIN(RADIANS(FN15)),"")</f>
        <v>0.31846980275478731</v>
      </c>
      <c r="FR15" s="10">
        <f t="shared" si="216"/>
        <v>0.9479330064584347</v>
      </c>
      <c r="FS15" s="9">
        <f>IF(ISNUMBER($AV15),FQ15/(FQ15+FR15),"")</f>
        <v>0.25147591306485101</v>
      </c>
      <c r="FT15" s="6">
        <f t="shared" si="218"/>
        <v>0.74852408693514905</v>
      </c>
      <c r="FU15" s="4">
        <f t="shared" si="219"/>
        <v>0.95067819224935302</v>
      </c>
      <c r="FV15" s="5">
        <f t="shared" si="220"/>
        <v>1</v>
      </c>
      <c r="FW15" s="8">
        <f t="shared" si="244"/>
        <v>0.2223909789368963</v>
      </c>
      <c r="FX15" s="9">
        <f t="shared" si="245"/>
        <v>12.769383896710355</v>
      </c>
      <c r="FY15" s="10">
        <f t="shared" si="55"/>
        <v>1</v>
      </c>
      <c r="FZ15" s="277">
        <f t="shared" si="246"/>
        <v>12.769383896710355</v>
      </c>
      <c r="GA15" s="177">
        <f t="shared" si="221"/>
        <v>12.139017782581591</v>
      </c>
      <c r="GB15" s="4">
        <f t="shared" si="222"/>
        <v>-0.31059328018022075</v>
      </c>
      <c r="GC15" s="5">
        <f t="shared" si="223"/>
        <v>0.92448834809534508</v>
      </c>
      <c r="GD15" s="10">
        <f t="shared" si="224"/>
        <v>-0.22102739319557407</v>
      </c>
      <c r="GE15" s="311">
        <f t="shared" si="225"/>
        <v>1.4561090214711401</v>
      </c>
      <c r="GF15" s="341">
        <f t="shared" si="247"/>
        <v>0.68676176388885857</v>
      </c>
      <c r="GG15" s="285">
        <f t="shared" si="56"/>
        <v>0.21330358894859486</v>
      </c>
      <c r="GH15" s="286">
        <f t="shared" si="57"/>
        <v>0.63490324863265624</v>
      </c>
      <c r="GI15" s="281">
        <f t="shared" si="58"/>
        <v>0.15179316241874874</v>
      </c>
      <c r="GJ15" s="167">
        <f t="shared" si="226"/>
        <v>4.4440999999999997</v>
      </c>
      <c r="GK15" s="174">
        <f t="shared" si="59"/>
        <v>2.3272983370471052</v>
      </c>
      <c r="GL15" s="174">
        <f t="shared" si="227"/>
        <v>1.7899999999999999E-2</v>
      </c>
      <c r="GM15" s="177">
        <f t="shared" si="248"/>
        <v>0.49990368279771819</v>
      </c>
      <c r="GN15" s="280">
        <f t="shared" si="228"/>
        <v>7.6361345826185992E-2</v>
      </c>
      <c r="GO15" s="4">
        <f t="shared" si="229"/>
        <v>18.570410257536199</v>
      </c>
      <c r="GP15" s="8">
        <f t="shared" si="249"/>
        <v>12.769383896710355</v>
      </c>
      <c r="GQ15" s="177">
        <f t="shared" si="230"/>
        <v>22.002785911251131</v>
      </c>
      <c r="GR15" s="371">
        <f t="shared" si="250"/>
        <v>1935.6175756296386</v>
      </c>
      <c r="GS15" s="342">
        <f t="shared" si="61"/>
        <v>412.87417571378023</v>
      </c>
      <c r="GT15" s="343">
        <f t="shared" si="62"/>
        <v>177.40492017780508</v>
      </c>
      <c r="GU15" s="344">
        <f>IF(ISNUMBER($AV15),$GV15*$GK15,"")</f>
        <v>1228.9298868777239</v>
      </c>
      <c r="GV15" s="343">
        <f t="shared" si="252"/>
        <v>528.04999999999995</v>
      </c>
      <c r="GW15" s="345">
        <f t="shared" si="64"/>
        <v>29500</v>
      </c>
      <c r="GX15" s="346">
        <f t="shared" si="65"/>
        <v>195.55891708333328</v>
      </c>
      <c r="GY15" s="344">
        <f t="shared" si="66"/>
        <v>293.81351303813443</v>
      </c>
      <c r="GZ15" s="345">
        <f t="shared" si="67"/>
        <v>126.24660464069569</v>
      </c>
      <c r="HA15" s="342">
        <f t="shared" si="68"/>
        <v>412.87417571378023</v>
      </c>
      <c r="HB15" s="5">
        <f t="shared" si="231"/>
        <v>3.0542638391969632</v>
      </c>
      <c r="HC15" s="343">
        <f t="shared" si="232"/>
        <v>412.28769637694592</v>
      </c>
      <c r="HD15" s="345">
        <f t="shared" si="233"/>
        <v>21.998645129296232</v>
      </c>
      <c r="HE15" s="344">
        <f t="shared" si="69"/>
        <v>528.04999999999995</v>
      </c>
      <c r="HF15" s="5">
        <f t="shared" si="70"/>
        <v>93.054263839196963</v>
      </c>
      <c r="HG15" s="343">
        <f t="shared" si="234"/>
        <v>-28.135410843854189</v>
      </c>
      <c r="HH15" s="349">
        <f t="shared" si="235"/>
        <v>527.29991575634392</v>
      </c>
      <c r="HI15" s="317">
        <f t="shared" si="71"/>
        <v>1.129</v>
      </c>
      <c r="HJ15" s="336"/>
      <c r="HK15" s="310">
        <f t="shared" si="137"/>
        <v>7</v>
      </c>
      <c r="HL15" s="348">
        <f t="shared" si="72"/>
        <v>1.117</v>
      </c>
      <c r="HM15" s="909">
        <f t="shared" si="138"/>
        <v>6.7886175964357554</v>
      </c>
      <c r="HN15" s="910">
        <f t="shared" si="73"/>
        <v>16.41677902573819</v>
      </c>
      <c r="HO15" s="911"/>
      <c r="HP15" s="912"/>
      <c r="HQ15" s="910">
        <f t="shared" si="74"/>
        <v>15.109907377892112</v>
      </c>
      <c r="HR15" s="913">
        <f t="shared" si="75"/>
        <v>13.642910054710766</v>
      </c>
      <c r="HS15" s="865">
        <f t="shared" si="251"/>
        <v>3.1920000000000002</v>
      </c>
      <c r="HT15" s="875">
        <f t="shared" si="76"/>
        <v>3.1199999999999999E-2</v>
      </c>
      <c r="HU15" s="876">
        <f t="shared" si="77"/>
        <v>0.62593936403841888</v>
      </c>
      <c r="HV15" s="872">
        <f t="shared" si="78"/>
        <v>9.561356294888812E-2</v>
      </c>
      <c r="HW15" s="866">
        <f t="shared" si="79"/>
        <v>29500</v>
      </c>
      <c r="HX15" s="867">
        <f t="shared" si="80"/>
        <v>244.82640000000001</v>
      </c>
      <c r="HY15" s="866">
        <f t="shared" si="81"/>
        <v>183.17689636847066</v>
      </c>
      <c r="HZ15" s="868">
        <f t="shared" si="82"/>
        <v>1538.767603261113</v>
      </c>
      <c r="IA15" s="869">
        <f t="shared" si="83"/>
        <v>376.12415047433325</v>
      </c>
      <c r="IB15" s="870">
        <f t="shared" si="84"/>
        <v>2098.0686501039168</v>
      </c>
      <c r="IC15" s="841">
        <f t="shared" si="85"/>
        <v>109.56561280614081</v>
      </c>
      <c r="ID15" s="351">
        <f t="shared" si="86"/>
        <v>920.4</v>
      </c>
      <c r="IE15" s="843">
        <f t="shared" si="87"/>
        <v>224.97527720424222</v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46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0.22874040678388957</v>
      </c>
      <c r="C16" s="572">
        <f t="shared" si="3"/>
        <v>4.5382748926722769</v>
      </c>
      <c r="D16" s="576">
        <f t="shared" si="4"/>
        <v>-2.0457794456107936</v>
      </c>
      <c r="E16" s="580">
        <f t="shared" si="5"/>
        <v>-0.87332428600470102</v>
      </c>
      <c r="F16" s="572">
        <f t="shared" si="6"/>
        <v>0.46237059548592002</v>
      </c>
      <c r="G16" s="579">
        <f t="shared" si="7"/>
        <v>0.15335619943248119</v>
      </c>
      <c r="H16" s="580">
        <f t="shared" si="8"/>
        <v>0.3125</v>
      </c>
      <c r="I16" s="572">
        <f t="shared" si="9"/>
        <v>0.52</v>
      </c>
      <c r="J16" s="483">
        <f t="shared" si="10"/>
        <v>1.135</v>
      </c>
      <c r="K16" s="806">
        <f t="shared" si="11"/>
        <v>1613</v>
      </c>
      <c r="L16" s="309"/>
      <c r="M16" s="164">
        <f t="shared" si="12"/>
        <v>1.135</v>
      </c>
      <c r="N16" s="575">
        <f t="shared" si="13"/>
        <v>0.22874040678388957</v>
      </c>
      <c r="O16" s="572">
        <f t="shared" si="14"/>
        <v>4.5382748926722769</v>
      </c>
      <c r="P16" s="576">
        <f t="shared" si="15"/>
        <v>-2.0457794456107936</v>
      </c>
      <c r="Q16" s="528">
        <f>IF(M16="","",IF(DEGREES(ATAN2(N16,O16))&lt;0,DEGREES(ATAN2(N16,O16))+360,IF(DEGREES(ATAN2(N16,O16))&gt;360,DEGREES(ATAN2(N16,O16))-360,DEGREES(ATAN2(N16,O16)))))</f>
        <v>87.114591113835786</v>
      </c>
      <c r="R16" s="572">
        <f t="shared" si="101"/>
        <v>4.5440357805760314</v>
      </c>
      <c r="S16" s="577">
        <f t="shared" si="102"/>
        <v>-2.0457794456107936</v>
      </c>
      <c r="T16" s="578">
        <f t="shared" si="103"/>
        <v>4.540223259845348</v>
      </c>
      <c r="U16" s="572">
        <f t="shared" si="104"/>
        <v>-0.18610192345729476</v>
      </c>
      <c r="V16" s="579">
        <f t="shared" si="141"/>
        <v>-2.0457794456107936</v>
      </c>
      <c r="W16" s="528">
        <f>IF(M16="","",IF(Q16-$Q$8&lt;0,360+Q16-$Q$8,Q16-$Q$8))</f>
        <v>357.65278303405427</v>
      </c>
      <c r="X16" s="572">
        <f t="shared" si="105"/>
        <v>4.5440357805760314</v>
      </c>
      <c r="Y16" s="573">
        <f t="shared" ref="Y16:Y75" si="255">IF(M16="","",S16)</f>
        <v>-2.0457794456107936</v>
      </c>
      <c r="Z16" s="575">
        <f t="shared" si="18"/>
        <v>0.87332428600470102</v>
      </c>
      <c r="AA16" s="572">
        <f t="shared" si="19"/>
        <v>-0.46237059548592002</v>
      </c>
      <c r="AB16" s="572">
        <f t="shared" si="20"/>
        <v>-0.15335619943248119</v>
      </c>
      <c r="AC16" s="579">
        <f t="shared" si="106"/>
        <v>1</v>
      </c>
      <c r="AD16" s="580">
        <f t="shared" si="142"/>
        <v>0.87332428600470102</v>
      </c>
      <c r="AE16" s="572">
        <f t="shared" si="107"/>
        <v>-0.46237059548592002</v>
      </c>
      <c r="AF16" s="576">
        <f t="shared" si="108"/>
        <v>-0.15335619943248119</v>
      </c>
      <c r="AG16" s="545">
        <f t="shared" si="109"/>
        <v>-71.650671018828518</v>
      </c>
      <c r="AH16" s="546">
        <f t="shared" si="110"/>
        <v>29.152728438080739</v>
      </c>
      <c r="AI16" s="528">
        <f t="shared" si="111"/>
        <v>-81.17852635908433</v>
      </c>
      <c r="AJ16" s="529">
        <f t="shared" si="112"/>
        <v>62.101578856760376</v>
      </c>
      <c r="AK16" s="578">
        <f t="shared" si="238"/>
        <v>0.89549218248378404</v>
      </c>
      <c r="AL16" s="572">
        <f t="shared" si="113"/>
        <v>-0.41782248288723567</v>
      </c>
      <c r="AM16" s="577">
        <f t="shared" si="114"/>
        <v>-0.15335619943248119</v>
      </c>
      <c r="AN16" s="524">
        <f t="shared" si="115"/>
        <v>-69.845008350277126</v>
      </c>
      <c r="AO16" s="525">
        <f t="shared" si="116"/>
        <v>26.428280775048751</v>
      </c>
      <c r="AP16" s="528">
        <f t="shared" si="117"/>
        <v>-25.01301225707542</v>
      </c>
      <c r="AQ16" s="529">
        <f t="shared" si="21"/>
        <v>1.0032903480366382</v>
      </c>
      <c r="AS16" s="932">
        <f t="shared" si="143"/>
        <v>357.65278303405427</v>
      </c>
      <c r="AT16" s="928">
        <f t="shared" si="22"/>
        <v>-2.0460665367529289</v>
      </c>
      <c r="AU16" s="418"/>
      <c r="AV16" s="164">
        <f t="shared" si="23"/>
        <v>1.135</v>
      </c>
      <c r="AW16" s="829">
        <f>IFERROR(INDEX(MassProp!C$9:C$150,MATCH($M16,MassProp!$B$9:$B$150,0)),"")</f>
        <v>4.7872000000000003</v>
      </c>
      <c r="AX16" s="830">
        <f>IFERROR(INDEX(MassProp!D$9:D$150,MATCH($M16,MassProp!$B$9:$B$150,0)),"")</f>
        <v>-1.696</v>
      </c>
      <c r="AY16" s="831">
        <f>IFERROR(INDEX(MassProp!E$9:E$150,MATCH($M16,MassProp!$B$9:$B$150,0)),"")</f>
        <v>9.4999999999999998E-3</v>
      </c>
      <c r="AZ16" s="297">
        <f t="shared" si="144"/>
        <v>0.28578869149570701</v>
      </c>
      <c r="BA16" s="296">
        <f t="shared" si="24"/>
        <v>4.3654827630760701E-2</v>
      </c>
      <c r="BB16" s="291">
        <f t="shared" si="145"/>
        <v>-0.14993346324707102</v>
      </c>
      <c r="BC16" s="9"/>
      <c r="BD16" s="5">
        <f t="shared" si="146"/>
        <v>4.7872000000000003</v>
      </c>
      <c r="BE16" s="6">
        <f t="shared" si="25"/>
        <v>-2.1957129088578649</v>
      </c>
      <c r="BF16" s="4">
        <f t="shared" si="26"/>
        <v>0.22874040678388957</v>
      </c>
      <c r="BG16" s="5">
        <f t="shared" si="27"/>
        <v>4.5382748926722769</v>
      </c>
      <c r="BH16" s="10">
        <f t="shared" si="28"/>
        <v>-2.0457794456107936</v>
      </c>
      <c r="BI16" s="9">
        <f t="shared" si="147"/>
        <v>0.22874040678388957</v>
      </c>
      <c r="BJ16" s="5">
        <f t="shared" si="29"/>
        <v>4.8530846430111385</v>
      </c>
      <c r="BK16" s="8">
        <f t="shared" si="30"/>
        <v>-2.9949342386195967</v>
      </c>
      <c r="BL16" s="173">
        <f t="shared" si="31"/>
        <v>0.71587970049194083</v>
      </c>
      <c r="BM16" s="5">
        <f t="shared" si="32"/>
        <v>5.3671948245846295</v>
      </c>
      <c r="BN16" s="6">
        <f t="shared" si="33"/>
        <v>-1.7708484451687889</v>
      </c>
      <c r="BO16" s="4">
        <f t="shared" si="148"/>
        <v>0.87332428600470191</v>
      </c>
      <c r="BP16" s="5">
        <f t="shared" si="239"/>
        <v>-0.46237059548592008</v>
      </c>
      <c r="BQ16" s="5">
        <f t="shared" si="149"/>
        <v>-0.15335619943248124</v>
      </c>
      <c r="BR16" s="6">
        <f t="shared" si="150"/>
        <v>1.5848673515127549</v>
      </c>
      <c r="BS16" s="4">
        <f t="shared" si="118"/>
        <v>0</v>
      </c>
      <c r="BT16" s="5">
        <f t="shared" si="118"/>
        <v>0</v>
      </c>
      <c r="BU16" s="10">
        <f t="shared" si="119"/>
        <v>-2.1957129088578649</v>
      </c>
      <c r="BV16" s="9">
        <f t="shared" si="120"/>
        <v>0</v>
      </c>
      <c r="BW16" s="5">
        <f t="shared" si="121"/>
        <v>1</v>
      </c>
      <c r="BX16" s="8">
        <f t="shared" si="122"/>
        <v>-2.1957129088578649</v>
      </c>
      <c r="BY16" s="173">
        <f t="shared" si="123"/>
        <v>1</v>
      </c>
      <c r="BZ16" s="5">
        <f t="shared" si="124"/>
        <v>0</v>
      </c>
      <c r="CA16" s="6">
        <f t="shared" si="125"/>
        <v>-2.1957129088578649</v>
      </c>
      <c r="CB16" s="4">
        <f t="shared" si="151"/>
        <v>0</v>
      </c>
      <c r="CC16" s="5">
        <f t="shared" si="152"/>
        <v>0</v>
      </c>
      <c r="CD16" s="5">
        <f t="shared" si="153"/>
        <v>-1</v>
      </c>
      <c r="CE16" s="6">
        <f t="shared" si="154"/>
        <v>-2.1957129088578649</v>
      </c>
      <c r="CF16" s="4">
        <f t="shared" si="155"/>
        <v>0.46237059548592008</v>
      </c>
      <c r="CG16" s="5">
        <f t="shared" si="156"/>
        <v>0.87332428600470191</v>
      </c>
      <c r="CH16" s="5">
        <f t="shared" si="157"/>
        <v>0</v>
      </c>
      <c r="CI16" s="4">
        <f t="shared" si="126"/>
        <v>0</v>
      </c>
      <c r="CJ16" s="5">
        <f t="shared" si="127"/>
        <v>4.1559596501602156</v>
      </c>
      <c r="CK16" s="8">
        <f t="shared" si="128"/>
        <v>-2.1957129088578649</v>
      </c>
      <c r="CL16" s="173">
        <f t="shared" si="129"/>
        <v>0.46237059548592008</v>
      </c>
      <c r="CM16" s="5">
        <f t="shared" si="130"/>
        <v>5.0292839361649175</v>
      </c>
      <c r="CN16" s="6">
        <f t="shared" si="131"/>
        <v>-2.1957129088578649</v>
      </c>
      <c r="CO16" s="167">
        <f t="shared" si="35"/>
        <v>0.3125</v>
      </c>
      <c r="CP16" s="4">
        <f t="shared" si="240"/>
        <v>0.97648187609562676</v>
      </c>
      <c r="CQ16" s="5">
        <f t="shared" si="241"/>
        <v>-0.87929604858383803</v>
      </c>
      <c r="CR16" s="5">
        <f>IF(ISNUMBER($AV16),BF16^2+BG16^2+BH16^2+CI16^2+CJ16^2+CK16^2-2*(BF16*CI16+BG16*CJ16+BH16*CK16)-CO16^2,"")</f>
        <v>0.12331091175397546</v>
      </c>
      <c r="CS16" s="8">
        <f t="shared" si="159"/>
        <v>0.29151805924481428</v>
      </c>
      <c r="CT16" s="9">
        <f t="shared" si="160"/>
        <v>0.72670072375438066</v>
      </c>
      <c r="CU16" s="6">
        <f t="shared" si="161"/>
        <v>0.17377277207702446</v>
      </c>
      <c r="CV16" s="4">
        <f t="shared" si="242"/>
        <v>0.33600504638236212</v>
      </c>
      <c r="CW16" s="5">
        <f t="shared" si="162"/>
        <v>4.7906050408721104</v>
      </c>
      <c r="CX16" s="8">
        <f t="shared" si="163"/>
        <v>-2.1957129088578649</v>
      </c>
      <c r="CY16" s="9">
        <f t="shared" si="164"/>
        <v>8.0347420104492862E-2</v>
      </c>
      <c r="CZ16" s="5">
        <f t="shared" si="165"/>
        <v>4.3077196322614411</v>
      </c>
      <c r="DA16" s="6">
        <f t="shared" si="166"/>
        <v>-2.1957129088578649</v>
      </c>
      <c r="DB16" s="4">
        <f t="shared" si="167"/>
        <v>0</v>
      </c>
      <c r="DC16" s="5">
        <f t="shared" si="167"/>
        <v>0</v>
      </c>
      <c r="DD16" s="10">
        <f>IF(ISNUMBER($AV16),-10,"")</f>
        <v>-10</v>
      </c>
      <c r="DE16" s="9">
        <f t="shared" si="169"/>
        <v>0</v>
      </c>
      <c r="DF16" s="5">
        <f t="shared" si="169"/>
        <v>0</v>
      </c>
      <c r="DG16" s="10">
        <f t="shared" si="170"/>
        <v>10</v>
      </c>
      <c r="DH16" s="70">
        <f t="shared" si="171"/>
        <v>4.7872000000000003</v>
      </c>
      <c r="DI16" s="4">
        <f t="shared" si="172"/>
        <v>0</v>
      </c>
      <c r="DJ16" s="5">
        <f t="shared" si="173"/>
        <v>0</v>
      </c>
      <c r="DK16" s="10">
        <f t="shared" si="174"/>
        <v>20</v>
      </c>
      <c r="DL16" s="9">
        <f t="shared" si="175"/>
        <v>0.33600504638236212</v>
      </c>
      <c r="DM16" s="173">
        <f t="shared" si="176"/>
        <v>4.7906050408721104</v>
      </c>
      <c r="DN16" s="178">
        <f t="shared" si="177"/>
        <v>7.8042870911421351</v>
      </c>
      <c r="DO16" s="9">
        <f t="shared" si="178"/>
        <v>-0.25565762627786925</v>
      </c>
      <c r="DP16" s="173">
        <f t="shared" si="179"/>
        <v>-0.48288540861066931</v>
      </c>
      <c r="DQ16" s="11">
        <f t="shared" si="180"/>
        <v>0</v>
      </c>
      <c r="DR16" s="173">
        <f t="shared" si="181"/>
        <v>156.08574182284269</v>
      </c>
      <c r="DS16" s="5">
        <f t="shared" si="182"/>
        <v>0</v>
      </c>
      <c r="DT16" s="5">
        <f t="shared" si="183"/>
        <v>400</v>
      </c>
      <c r="DU16" s="5">
        <f t="shared" si="184"/>
        <v>0.29853913972312773</v>
      </c>
      <c r="DV16" s="5">
        <f t="shared" si="185"/>
        <v>-2.3992155252293612</v>
      </c>
      <c r="DW16" s="5">
        <f t="shared" si="186"/>
        <v>83.969693049791459</v>
      </c>
      <c r="DX16" s="167">
        <f t="shared" si="187"/>
        <v>61.052409209791456</v>
      </c>
      <c r="DY16" s="9">
        <f t="shared" si="188"/>
        <v>119.4156558892511</v>
      </c>
      <c r="DZ16" s="5">
        <f t="shared" si="189"/>
        <v>-959.68621009174444</v>
      </c>
      <c r="EA16" s="10">
        <f t="shared" si="190"/>
        <v>58.204883529477229</v>
      </c>
      <c r="EB16" s="6">
        <f t="shared" si="191"/>
        <v>914047.04749762581</v>
      </c>
      <c r="EC16" s="173">
        <f t="shared" si="192"/>
        <v>16.042655992606978</v>
      </c>
      <c r="ED16" s="5">
        <f t="shared" si="193"/>
        <v>3.0382386578078222E-2</v>
      </c>
      <c r="EE16" s="4">
        <f t="shared" si="194"/>
        <v>-3.7654223038799719</v>
      </c>
      <c r="EF16" s="5">
        <f t="shared" si="195"/>
        <v>-2.9561594533183131</v>
      </c>
      <c r="EG16" s="10">
        <f t="shared" si="196"/>
        <v>-2.1957129088578649</v>
      </c>
      <c r="EH16" s="9">
        <f t="shared" si="197"/>
        <v>0.32823755754915407</v>
      </c>
      <c r="EI16" s="5">
        <f t="shared" si="198"/>
        <v>4.7759338297147877</v>
      </c>
      <c r="EJ16" s="6">
        <f t="shared" si="199"/>
        <v>-2.1957129088578649</v>
      </c>
      <c r="EK16" s="236" t="b">
        <f t="shared" si="200"/>
        <v>0</v>
      </c>
      <c r="EL16" s="238" t="b">
        <f t="shared" si="201"/>
        <v>1</v>
      </c>
      <c r="EM16" s="4">
        <f t="shared" si="202"/>
        <v>0.32823755754915407</v>
      </c>
      <c r="EN16" s="5">
        <f t="shared" si="203"/>
        <v>4.7759338297147877</v>
      </c>
      <c r="EO16" s="10">
        <f t="shared" si="204"/>
        <v>-2.1957129088578649</v>
      </c>
      <c r="EP16" s="9">
        <f t="shared" si="205"/>
        <v>86.068392011044381</v>
      </c>
      <c r="EQ16" s="5">
        <f t="shared" si="206"/>
        <v>4.7871999999999995</v>
      </c>
      <c r="ER16" s="7">
        <f t="shared" si="207"/>
        <v>-2.1957129088578649</v>
      </c>
      <c r="ES16" s="21">
        <f t="shared" si="132"/>
        <v>0.87332428600470102</v>
      </c>
      <c r="ET16" s="5">
        <f t="shared" si="44"/>
        <v>-0.46237059548592002</v>
      </c>
      <c r="EU16" s="10">
        <f t="shared" si="45"/>
        <v>-0.15335619943248119</v>
      </c>
      <c r="EV16" s="174">
        <f t="shared" si="254"/>
        <v>3.9316079889556192</v>
      </c>
      <c r="EW16" s="9">
        <f t="shared" si="133"/>
        <v>0.90297175735006074</v>
      </c>
      <c r="EX16" s="5">
        <f t="shared" si="47"/>
        <v>-0.40140239352022811</v>
      </c>
      <c r="EY16" s="6">
        <f t="shared" si="208"/>
        <v>-0.15335619943248119</v>
      </c>
      <c r="EZ16" s="51">
        <f t="shared" si="209"/>
        <v>0.95233818783987967</v>
      </c>
      <c r="FA16" s="266">
        <f>IF(ISNUMBER($AV16),SIN(RADIANS($EP16))*COS(RADIANS($EZ16)),"")</f>
        <v>0.99750879764981282</v>
      </c>
      <c r="FB16" s="267">
        <f t="shared" si="135"/>
        <v>-6.8556195091572403E-2</v>
      </c>
      <c r="FC16" s="269">
        <f t="shared" si="48"/>
        <v>-1.6620671640785876E-2</v>
      </c>
      <c r="FD16" s="4">
        <f t="shared" si="136"/>
        <v>0.99986186709675495</v>
      </c>
      <c r="FE16" s="5">
        <f t="shared" si="49"/>
        <v>-6.9388939039072284E-17</v>
      </c>
      <c r="FF16" s="7">
        <f t="shared" si="210"/>
        <v>-1.6620671640785876E-2</v>
      </c>
      <c r="FG16" s="173">
        <f t="shared" si="211"/>
        <v>-9.6890109746694209E-2</v>
      </c>
      <c r="FH16" s="5">
        <f t="shared" si="50"/>
        <v>-0.40140239352022805</v>
      </c>
      <c r="FI16" s="10">
        <f t="shared" si="51"/>
        <v>-0.13673552779169532</v>
      </c>
      <c r="FJ16" s="279">
        <f t="shared" si="212"/>
        <v>25.123341591515342</v>
      </c>
      <c r="FK16" s="4">
        <f t="shared" si="52"/>
        <v>0.98817097513316243</v>
      </c>
      <c r="FL16" s="5">
        <f t="shared" si="213"/>
        <v>0.99986186709675495</v>
      </c>
      <c r="FM16" s="8">
        <f t="shared" si="214"/>
        <v>0.41293047222322365</v>
      </c>
      <c r="FN16" s="9">
        <f t="shared" si="215"/>
        <v>23.966813154284004</v>
      </c>
      <c r="FO16" s="10">
        <f t="shared" si="53"/>
        <v>1</v>
      </c>
      <c r="FP16" s="277">
        <f t="shared" si="54"/>
        <v>23.966813154284004</v>
      </c>
      <c r="FQ16" s="173">
        <f t="shared" si="243"/>
        <v>0.40620743132648318</v>
      </c>
      <c r="FR16" s="10">
        <f t="shared" si="216"/>
        <v>0.91378089427123632</v>
      </c>
      <c r="FS16" s="9">
        <f t="shared" si="217"/>
        <v>0.30773562420905776</v>
      </c>
      <c r="FT16" s="6">
        <f t="shared" si="218"/>
        <v>0.69226437579094235</v>
      </c>
      <c r="FU16" s="4">
        <f t="shared" si="219"/>
        <v>0.91590180613220318</v>
      </c>
      <c r="FV16" s="5">
        <f t="shared" si="220"/>
        <v>0.99999999999999978</v>
      </c>
      <c r="FW16" s="8">
        <f t="shared" si="244"/>
        <v>0.16758370424119384</v>
      </c>
      <c r="FX16" s="9">
        <f t="shared" si="245"/>
        <v>8.6865180613670514</v>
      </c>
      <c r="FY16" s="10">
        <f t="shared" si="55"/>
        <v>1</v>
      </c>
      <c r="FZ16" s="277">
        <f t="shared" si="246"/>
        <v>8.6865180613670514</v>
      </c>
      <c r="GA16" s="177">
        <f t="shared" si="221"/>
        <v>7.9556587447327782</v>
      </c>
      <c r="GB16" s="4">
        <f t="shared" si="222"/>
        <v>-0.40154800938674901</v>
      </c>
      <c r="GC16" s="5">
        <f t="shared" si="223"/>
        <v>0.90329932643538013</v>
      </c>
      <c r="GD16" s="10">
        <f t="shared" si="224"/>
        <v>-0.15102821928013332</v>
      </c>
      <c r="GE16" s="311">
        <f t="shared" si="225"/>
        <v>1.4558755551022624</v>
      </c>
      <c r="GF16" s="341">
        <f t="shared" si="247"/>
        <v>0.68687189402651849</v>
      </c>
      <c r="GG16" s="285">
        <f t="shared" si="56"/>
        <v>0.27581204175005453</v>
      </c>
      <c r="GH16" s="286">
        <f t="shared" si="57"/>
        <v>0.62045091922154794</v>
      </c>
      <c r="GI16" s="281">
        <f t="shared" si="58"/>
        <v>0.10373703902839754</v>
      </c>
      <c r="GJ16" s="167">
        <f t="shared" si="226"/>
        <v>4.7872000000000003</v>
      </c>
      <c r="GK16" s="174">
        <f t="shared" si="59"/>
        <v>2.50691834645357</v>
      </c>
      <c r="GL16" s="174">
        <f t="shared" si="227"/>
        <v>9.4999999999999998E-3</v>
      </c>
      <c r="GM16" s="177">
        <f t="shared" si="248"/>
        <v>0.28578869149570701</v>
      </c>
      <c r="GN16" s="280">
        <f t="shared" si="228"/>
        <v>4.3654827630760701E-2</v>
      </c>
      <c r="GO16" s="4">
        <f t="shared" si="229"/>
        <v>23.966813154284004</v>
      </c>
      <c r="GP16" s="8">
        <f t="shared" si="249"/>
        <v>8.6865180613670514</v>
      </c>
      <c r="GQ16" s="177">
        <f t="shared" si="230"/>
        <v>25.123341591515342</v>
      </c>
      <c r="GR16" s="371">
        <f t="shared" si="250"/>
        <v>1132.3439853632397</v>
      </c>
      <c r="GS16" s="342">
        <f t="shared" si="61"/>
        <v>312.31410656642896</v>
      </c>
      <c r="GT16" s="343">
        <f t="shared" si="62"/>
        <v>124.58088513662454</v>
      </c>
      <c r="GU16" s="344">
        <f t="shared" si="63"/>
        <v>702.56386659361306</v>
      </c>
      <c r="GV16" s="343">
        <f t="shared" si="252"/>
        <v>280.25</v>
      </c>
      <c r="GW16" s="345">
        <f t="shared" si="64"/>
        <v>29500</v>
      </c>
      <c r="GX16" s="346">
        <f t="shared" si="65"/>
        <v>111.80106666666667</v>
      </c>
      <c r="GY16" s="344">
        <f t="shared" si="66"/>
        <v>117.46601220319761</v>
      </c>
      <c r="GZ16" s="345">
        <f t="shared" si="67"/>
        <v>46.856736426765451</v>
      </c>
      <c r="HA16" s="342">
        <f t="shared" si="68"/>
        <v>312.31410656642896</v>
      </c>
      <c r="HB16" s="5">
        <f t="shared" si="231"/>
        <v>3.9316079889556192</v>
      </c>
      <c r="HC16" s="343">
        <f t="shared" si="232"/>
        <v>311.57910825696808</v>
      </c>
      <c r="HD16" s="345">
        <f t="shared" si="233"/>
        <v>21.414024801034142</v>
      </c>
      <c r="HE16" s="344">
        <f t="shared" si="69"/>
        <v>280.25</v>
      </c>
      <c r="HF16" s="5">
        <f t="shared" si="70"/>
        <v>93.931607988955619</v>
      </c>
      <c r="HG16" s="343">
        <f t="shared" si="234"/>
        <v>-19.215527971079165</v>
      </c>
      <c r="HH16" s="349">
        <f t="shared" si="235"/>
        <v>279.59046118348294</v>
      </c>
      <c r="HI16" s="317">
        <f t="shared" si="71"/>
        <v>1.135</v>
      </c>
      <c r="HJ16" s="336"/>
      <c r="HK16" s="310">
        <f t="shared" si="137"/>
        <v>8</v>
      </c>
      <c r="HL16" s="348">
        <f t="shared" si="72"/>
        <v>2.1219999999999999</v>
      </c>
      <c r="HM16" s="909">
        <f t="shared" si="138"/>
        <v>11.733391857269313</v>
      </c>
      <c r="HN16" s="910">
        <f t="shared" si="73"/>
        <v>19.183527167538802</v>
      </c>
      <c r="HO16" s="911"/>
      <c r="HP16" s="912"/>
      <c r="HQ16" s="910">
        <f t="shared" si="74"/>
        <v>18.205165968795992</v>
      </c>
      <c r="HR16" s="913">
        <f t="shared" si="75"/>
        <v>14.356231064374827</v>
      </c>
      <c r="HS16" s="865">
        <f t="shared" si="251"/>
        <v>3.7938000000000001</v>
      </c>
      <c r="HT16" s="875">
        <f t="shared" si="76"/>
        <v>2.8000000000000001E-2</v>
      </c>
      <c r="HU16" s="876">
        <f t="shared" si="77"/>
        <v>0.66758696921098226</v>
      </c>
      <c r="HV16" s="872">
        <f t="shared" si="78"/>
        <v>0.10197532280553921</v>
      </c>
      <c r="HW16" s="866">
        <f t="shared" si="79"/>
        <v>29500</v>
      </c>
      <c r="HX16" s="867">
        <f t="shared" si="80"/>
        <v>261.13990000000001</v>
      </c>
      <c r="HY16" s="866">
        <f t="shared" si="81"/>
        <v>340.86369444927936</v>
      </c>
      <c r="HZ16" s="868">
        <f t="shared" si="82"/>
        <v>1641.1512993103313</v>
      </c>
      <c r="IA16" s="869">
        <f t="shared" si="83"/>
        <v>429.00422745403182</v>
      </c>
      <c r="IB16" s="870">
        <f t="shared" si="84"/>
        <v>2411.0192212136426</v>
      </c>
      <c r="IC16" s="841">
        <f t="shared" si="85"/>
        <v>171.55847345301024</v>
      </c>
      <c r="ID16" s="351">
        <f t="shared" si="86"/>
        <v>826</v>
      </c>
      <c r="IE16" s="843">
        <f t="shared" si="87"/>
        <v>215.92006296186315</v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0.25333657419163236</v>
      </c>
      <c r="C17" s="572">
        <f t="shared" si="3"/>
        <v>4.6747389359093052</v>
      </c>
      <c r="D17" s="576">
        <f t="shared" si="4"/>
        <v>-2.8419886990595646</v>
      </c>
      <c r="E17" s="580">
        <f t="shared" si="5"/>
        <v>-0.83981067352744754</v>
      </c>
      <c r="F17" s="572">
        <f t="shared" si="6"/>
        <v>0.54112751191674091</v>
      </c>
      <c r="G17" s="579">
        <f t="shared" si="7"/>
        <v>4.3578073341675919E-2</v>
      </c>
      <c r="H17" s="580">
        <f t="shared" si="8"/>
        <v>0.3125</v>
      </c>
      <c r="I17" s="572">
        <f t="shared" si="9"/>
        <v>0.52</v>
      </c>
      <c r="J17" s="483">
        <f t="shared" si="10"/>
        <v>1.141</v>
      </c>
      <c r="K17" s="806">
        <f t="shared" si="11"/>
        <v>1613</v>
      </c>
      <c r="M17" s="164">
        <f t="shared" si="12"/>
        <v>1.141</v>
      </c>
      <c r="N17" s="575">
        <f t="shared" si="13"/>
        <v>0.25333657419163236</v>
      </c>
      <c r="O17" s="572">
        <f t="shared" si="14"/>
        <v>4.6747389359093052</v>
      </c>
      <c r="P17" s="576">
        <f t="shared" si="15"/>
        <v>-2.8419886990595646</v>
      </c>
      <c r="Q17" s="528">
        <f>IF(M17="","",IF(DEGREES(ATAN2(N17,O17))&lt;0,DEGREES(ATAN2(N17,O17))+360,IF(DEGREES(ATAN2(N17,O17))&gt;360,DEGREES(ATAN2(N17,O17))-360,DEGREES(ATAN2(N17,O17)))))</f>
        <v>86.898023155440939</v>
      </c>
      <c r="R17" s="572">
        <f>IF(M17="","",SQRT(N17^2+O17^2))</f>
        <v>4.6815983957116201</v>
      </c>
      <c r="S17" s="577">
        <f>IF(M17="","",P17)</f>
        <v>-2.8419886990595646</v>
      </c>
      <c r="T17" s="578">
        <f>IF(M17="","",X17*COS(RADIANS(W17)))</f>
        <v>4.6769123166770061</v>
      </c>
      <c r="U17" s="572">
        <f>IF(M17="","",X17*SIN(RADIANS(W17)))</f>
        <v>-0.20941518771220011</v>
      </c>
      <c r="V17" s="579">
        <f>IF(M17="","",Y17)</f>
        <v>-2.8419886990595646</v>
      </c>
      <c r="W17" s="528">
        <f t="shared" si="253"/>
        <v>357.43621507565939</v>
      </c>
      <c r="X17" s="572">
        <f>IF(M17="","",R17)</f>
        <v>4.6815983957116201</v>
      </c>
      <c r="Y17" s="573">
        <f t="shared" si="255"/>
        <v>-2.8419886990595646</v>
      </c>
      <c r="Z17" s="575">
        <f t="shared" si="18"/>
        <v>0.83981067352744754</v>
      </c>
      <c r="AA17" s="572">
        <f t="shared" si="19"/>
        <v>-0.54112751191674091</v>
      </c>
      <c r="AB17" s="572">
        <f t="shared" si="20"/>
        <v>-4.3578073341675919E-2</v>
      </c>
      <c r="AC17" s="579">
        <f>IF(M17="","",SQRT(Z17^2+AA17^2+AB17^2))</f>
        <v>1</v>
      </c>
      <c r="AD17" s="580">
        <f>IF(M17="","",Z17*(1/SQRT(Z17^2+AA17^2+AB17^2)))</f>
        <v>0.83981067352744754</v>
      </c>
      <c r="AE17" s="572">
        <f>IF(M17="","",AA17*(1/SQRT(Z17^2+AA17^2+AB17^2)))</f>
        <v>-0.54112751191674091</v>
      </c>
      <c r="AF17" s="576">
        <f>IF(M17="","",AB17*(1/SQRT(Z17^2+AA17^2+AB17^2)))</f>
        <v>-4.3578073341675919E-2</v>
      </c>
      <c r="AG17" s="545">
        <f>IF(M17="","",DEGREES(ATAN2(-AF17,AE17)))</f>
        <v>-85.395793292627104</v>
      </c>
      <c r="AH17" s="546">
        <f>IF(M17="","",DEGREES(ACOS(AD17)))</f>
        <v>32.879867388753041</v>
      </c>
      <c r="AI17" s="528">
        <f>IF(M17="","",DEGREES(-ACOS(-AF17)))</f>
        <v>-87.502369372171458</v>
      </c>
      <c r="AJ17" s="529">
        <f>IF(M17="","",DEGREES(ATAN2(-AE17,AD17)))</f>
        <v>57.204509002706914</v>
      </c>
      <c r="AK17" s="578">
        <f>IF(M17="","",(COS(RADIANS((90-$Q$8)-W17))*AD17)+(-SIN(RADIANS((90-$Q$8)-W17))*AE17))</f>
        <v>0.86786236259020655</v>
      </c>
      <c r="AL17" s="572">
        <f>IF(M17="","",(SIN(RADIANS((90-$Q$8)-W17))*AD17)+(COS(RADIANS((90-$Q$8)-W17))*AE17))</f>
        <v>-0.49488975653489992</v>
      </c>
      <c r="AM17" s="577">
        <f>IF(M17="","",AF17)</f>
        <v>-4.3578073341675919E-2</v>
      </c>
      <c r="AN17" s="524">
        <f>IF(M17="","",DEGREES(ATAN2(-AM17,AL17)))</f>
        <v>-84.967735525253502</v>
      </c>
      <c r="AO17" s="525">
        <f t="shared" si="116"/>
        <v>29.788825501047704</v>
      </c>
      <c r="AP17" s="528">
        <f>IF(M17="","",DEGREES(ATAN2(AK17,AL17)))</f>
        <v>-29.693514152733989</v>
      </c>
      <c r="AQ17" s="529">
        <f t="shared" si="21"/>
        <v>0.97381574291614126</v>
      </c>
      <c r="AS17" s="932">
        <f t="shared" si="143"/>
        <v>357.43621507565939</v>
      </c>
      <c r="AT17" s="928">
        <f t="shared" si="22"/>
        <v>-2.8419750013705962</v>
      </c>
      <c r="AU17" s="418"/>
      <c r="AV17" s="164">
        <f t="shared" si="23"/>
        <v>1.141</v>
      </c>
      <c r="AW17" s="829">
        <f>IFERROR(INDEX(MassProp!C$9:C$150,MATCH($M17,MassProp!$B$9:$B$150,0)),"")</f>
        <v>4.9236000000000004</v>
      </c>
      <c r="AX17" s="830">
        <f>IFERROR(INDEX(MassProp!D$9:D$150,MATCH($M17,MassProp!$B$9:$B$150,0)),"")</f>
        <v>-2.5186000000000002</v>
      </c>
      <c r="AY17" s="831">
        <f>IFERROR(INDEX(MassProp!E$9:E$150,MATCH($M17,MassProp!$B$9:$B$150,0)),"")</f>
        <v>4.5999999999999999E-3</v>
      </c>
      <c r="AZ17" s="297">
        <f t="shared" si="144"/>
        <v>0.14232368503224171</v>
      </c>
      <c r="BA17" s="296">
        <f t="shared" si="24"/>
        <v>2.174024418300162E-2</v>
      </c>
      <c r="BB17" s="190">
        <f t="shared" si="145"/>
        <v>-0.17662499862940395</v>
      </c>
      <c r="BC17" s="9"/>
      <c r="BD17" s="5">
        <f t="shared" si="146"/>
        <v>4.9236000000000004</v>
      </c>
      <c r="BE17" s="6">
        <f t="shared" si="25"/>
        <v>-3.0186136976889686</v>
      </c>
      <c r="BF17" s="4">
        <f t="shared" si="26"/>
        <v>0.25333657419163236</v>
      </c>
      <c r="BG17" s="5">
        <f t="shared" si="27"/>
        <v>4.6747389359093052</v>
      </c>
      <c r="BH17" s="10">
        <f t="shared" si="28"/>
        <v>-2.8419886990595646</v>
      </c>
      <c r="BI17" s="9">
        <f t="shared" si="147"/>
        <v>0.25333657419163236</v>
      </c>
      <c r="BJ17" s="5">
        <f t="shared" si="29"/>
        <v>4.7550110444186373</v>
      </c>
      <c r="BK17" s="8">
        <f t="shared" si="30"/>
        <v>-3.838761686552437</v>
      </c>
      <c r="BL17" s="173">
        <f t="shared" si="31"/>
        <v>0.79621596469137745</v>
      </c>
      <c r="BM17" s="5">
        <f t="shared" si="32"/>
        <v>5.5118395298896603</v>
      </c>
      <c r="BN17" s="6">
        <f t="shared" si="33"/>
        <v>-2.7745753255468739</v>
      </c>
      <c r="BO17" s="4">
        <f t="shared" si="148"/>
        <v>0.83981067352744576</v>
      </c>
      <c r="BP17" s="5">
        <f t="shared" si="239"/>
        <v>-0.54112751191674047</v>
      </c>
      <c r="BQ17" s="5">
        <f t="shared" si="149"/>
        <v>-4.3578073341675516E-2</v>
      </c>
      <c r="BR17" s="6">
        <f t="shared" si="150"/>
        <v>2.1930266982840712</v>
      </c>
      <c r="BS17" s="4">
        <f t="shared" si="118"/>
        <v>0</v>
      </c>
      <c r="BT17" s="5">
        <f t="shared" si="118"/>
        <v>0</v>
      </c>
      <c r="BU17" s="10">
        <f t="shared" si="119"/>
        <v>-3.0186136976889686</v>
      </c>
      <c r="BV17" s="9">
        <f t="shared" si="120"/>
        <v>0</v>
      </c>
      <c r="BW17" s="5">
        <f t="shared" si="121"/>
        <v>1</v>
      </c>
      <c r="BX17" s="8">
        <f t="shared" si="122"/>
        <v>-3.0186136976889686</v>
      </c>
      <c r="BY17" s="173">
        <f t="shared" si="123"/>
        <v>1</v>
      </c>
      <c r="BZ17" s="5">
        <f t="shared" si="124"/>
        <v>0</v>
      </c>
      <c r="CA17" s="6">
        <f t="shared" si="125"/>
        <v>-3.0186136976889686</v>
      </c>
      <c r="CB17" s="4">
        <f t="shared" si="151"/>
        <v>0</v>
      </c>
      <c r="CC17" s="5">
        <f t="shared" si="152"/>
        <v>0</v>
      </c>
      <c r="CD17" s="5">
        <f t="shared" si="153"/>
        <v>-1</v>
      </c>
      <c r="CE17" s="6">
        <f t="shared" si="154"/>
        <v>-3.0186136976889686</v>
      </c>
      <c r="CF17" s="4">
        <f t="shared" si="155"/>
        <v>0.54112751191674047</v>
      </c>
      <c r="CG17" s="5">
        <f t="shared" si="156"/>
        <v>0.83981067352744576</v>
      </c>
      <c r="CH17" s="5">
        <f t="shared" si="157"/>
        <v>0</v>
      </c>
      <c r="CI17" s="4">
        <f t="shared" si="126"/>
        <v>0</v>
      </c>
      <c r="CJ17" s="5">
        <f t="shared" si="127"/>
        <v>4.2957935351655401</v>
      </c>
      <c r="CK17" s="8">
        <f t="shared" si="128"/>
        <v>-3.0186136976889686</v>
      </c>
      <c r="CL17" s="173">
        <f t="shared" si="129"/>
        <v>0.54112751191674047</v>
      </c>
      <c r="CM17" s="5">
        <f t="shared" si="130"/>
        <v>5.1356042086929854</v>
      </c>
      <c r="CN17" s="6">
        <f t="shared" si="131"/>
        <v>-3.0186136976889686</v>
      </c>
      <c r="CO17" s="167">
        <f t="shared" si="35"/>
        <v>0.3125</v>
      </c>
      <c r="CP17" s="4">
        <f t="shared" si="240"/>
        <v>0.9981009515238235</v>
      </c>
      <c r="CQ17" s="5">
        <f t="shared" si="241"/>
        <v>-0.91065956459715558</v>
      </c>
      <c r="CR17" s="5">
        <f t="shared" si="158"/>
        <v>0.14131917670884775</v>
      </c>
      <c r="CS17" s="8">
        <f t="shared" si="159"/>
        <v>0.26509762362562383</v>
      </c>
      <c r="CT17" s="9">
        <f t="shared" si="160"/>
        <v>0.71412409796141618</v>
      </c>
      <c r="CU17" s="6">
        <f t="shared" si="161"/>
        <v>0.19826814373200244</v>
      </c>
      <c r="CV17" s="4">
        <f t="shared" si="242"/>
        <v>0.38643219632964776</v>
      </c>
      <c r="CW17" s="5">
        <f t="shared" si="162"/>
        <v>4.8955225748566962</v>
      </c>
      <c r="CX17" s="8">
        <f t="shared" si="163"/>
        <v>-3.0186136976889686</v>
      </c>
      <c r="CY17" s="9">
        <f t="shared" si="164"/>
        <v>0.10728834731004916</v>
      </c>
      <c r="CZ17" s="5">
        <f t="shared" si="165"/>
        <v>4.4623012384921497</v>
      </c>
      <c r="DA17" s="6">
        <f t="shared" si="166"/>
        <v>-3.0186136976889686</v>
      </c>
      <c r="DB17" s="4">
        <f t="shared" si="167"/>
        <v>0</v>
      </c>
      <c r="DC17" s="5">
        <f t="shared" si="167"/>
        <v>0</v>
      </c>
      <c r="DD17" s="10">
        <f t="shared" si="168"/>
        <v>-10</v>
      </c>
      <c r="DE17" s="9">
        <f t="shared" si="169"/>
        <v>0</v>
      </c>
      <c r="DF17" s="5">
        <f t="shared" si="169"/>
        <v>0</v>
      </c>
      <c r="DG17" s="10">
        <f t="shared" si="170"/>
        <v>10</v>
      </c>
      <c r="DH17" s="70">
        <f t="shared" si="171"/>
        <v>4.9236000000000004</v>
      </c>
      <c r="DI17" s="4">
        <f t="shared" si="172"/>
        <v>0</v>
      </c>
      <c r="DJ17" s="5">
        <f t="shared" si="173"/>
        <v>0</v>
      </c>
      <c r="DK17" s="10">
        <f t="shared" si="174"/>
        <v>20</v>
      </c>
      <c r="DL17" s="9">
        <f t="shared" si="175"/>
        <v>0.38643219632964776</v>
      </c>
      <c r="DM17" s="173">
        <f t="shared" si="176"/>
        <v>4.8955225748566962</v>
      </c>
      <c r="DN17" s="178">
        <f t="shared" si="177"/>
        <v>6.9813863023110319</v>
      </c>
      <c r="DO17" s="9">
        <f t="shared" si="178"/>
        <v>-0.2791438490195986</v>
      </c>
      <c r="DP17" s="173">
        <f t="shared" si="179"/>
        <v>-0.43322133636454652</v>
      </c>
      <c r="DQ17" s="11">
        <f t="shared" si="180"/>
        <v>0</v>
      </c>
      <c r="DR17" s="173">
        <f t="shared" si="181"/>
        <v>139.62772604622063</v>
      </c>
      <c r="DS17" s="5">
        <f t="shared" si="182"/>
        <v>0</v>
      </c>
      <c r="DT17" s="5">
        <f t="shared" si="183"/>
        <v>400</v>
      </c>
      <c r="DU17" s="5">
        <f t="shared" si="184"/>
        <v>0.26560201472695999</v>
      </c>
      <c r="DV17" s="5">
        <f t="shared" si="185"/>
        <v>-2.2287150027507785</v>
      </c>
      <c r="DW17" s="5">
        <f t="shared" si="186"/>
        <v>72.855225825387791</v>
      </c>
      <c r="DX17" s="167">
        <f t="shared" si="187"/>
        <v>48.61338886538779</v>
      </c>
      <c r="DY17" s="9">
        <f t="shared" si="188"/>
        <v>106.240805890784</v>
      </c>
      <c r="DZ17" s="5">
        <f t="shared" si="189"/>
        <v>-891.48600110031134</v>
      </c>
      <c r="EA17" s="10">
        <f t="shared" si="190"/>
        <v>-50.546334683323948</v>
      </c>
      <c r="EB17" s="6">
        <f t="shared" si="191"/>
        <v>800117.37348940596</v>
      </c>
      <c r="EC17" s="173">
        <f t="shared" si="192"/>
        <v>16.810666941899921</v>
      </c>
      <c r="ED17" s="5">
        <f t="shared" si="193"/>
        <v>-2.8301755085304192E-2</v>
      </c>
      <c r="EE17" s="4">
        <f t="shared" si="194"/>
        <v>-4.3061620784188213</v>
      </c>
      <c r="EF17" s="5">
        <f t="shared" si="195"/>
        <v>-2.387217022892492</v>
      </c>
      <c r="EG17" s="10">
        <f t="shared" si="196"/>
        <v>-3.0186136976889686</v>
      </c>
      <c r="EH17" s="9">
        <f t="shared" si="197"/>
        <v>0.39433245717816956</v>
      </c>
      <c r="EI17" s="5">
        <f t="shared" si="198"/>
        <v>4.9077834990162135</v>
      </c>
      <c r="EJ17" s="6">
        <f t="shared" si="199"/>
        <v>-3.0186136976889686</v>
      </c>
      <c r="EK17" s="236" t="b">
        <f t="shared" si="200"/>
        <v>0</v>
      </c>
      <c r="EL17" s="238" t="b">
        <f t="shared" si="201"/>
        <v>0</v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e">
        <f t="shared" si="205"/>
        <v>#VALUE!</v>
      </c>
      <c r="EQ17" s="5" t="e">
        <f t="shared" si="206"/>
        <v>#VALUE!</v>
      </c>
      <c r="ER17" s="7" t="str">
        <f t="shared" si="207"/>
        <v/>
      </c>
      <c r="ES17" s="21">
        <f t="shared" si="132"/>
        <v>0.83981067352744754</v>
      </c>
      <c r="ET17" s="5">
        <f t="shared" si="44"/>
        <v>-0.54112751191674091</v>
      </c>
      <c r="EU17" s="10">
        <f t="shared" si="45"/>
        <v>-4.3578073341675919E-2</v>
      </c>
      <c r="EV17" s="174" t="e">
        <f t="shared" si="254"/>
        <v>#VALUE!</v>
      </c>
      <c r="EW17" s="9" t="e">
        <f t="shared" si="133"/>
        <v>#VALUE!</v>
      </c>
      <c r="EX17" s="5" t="e">
        <f t="shared" si="47"/>
        <v>#VALUE!</v>
      </c>
      <c r="EY17" s="6">
        <f t="shared" si="208"/>
        <v>-4.3578073341675919E-2</v>
      </c>
      <c r="EZ17" s="51" t="e">
        <f t="shared" si="209"/>
        <v>#VALUE!</v>
      </c>
      <c r="FA17" s="266" t="e">
        <f t="shared" si="134"/>
        <v>#VALUE!</v>
      </c>
      <c r="FB17" s="267" t="e">
        <f t="shared" si="135"/>
        <v>#VALUE!</v>
      </c>
      <c r="FC17" s="269" t="e">
        <f t="shared" si="48"/>
        <v>#VALUE!</v>
      </c>
      <c r="FD17" s="4" t="e">
        <f t="shared" si="136"/>
        <v>#VALUE!</v>
      </c>
      <c r="FE17" s="5" t="e">
        <f t="shared" si="49"/>
        <v>#VALUE!</v>
      </c>
      <c r="FF17" s="7" t="e">
        <f t="shared" si="210"/>
        <v>#VALUE!</v>
      </c>
      <c r="FG17" s="173" t="e">
        <f t="shared" si="211"/>
        <v>#VALUE!</v>
      </c>
      <c r="FH17" s="5" t="e">
        <f t="shared" si="50"/>
        <v>#VALUE!</v>
      </c>
      <c r="FI17" s="10" t="e">
        <f t="shared" si="51"/>
        <v>#VALUE!</v>
      </c>
      <c r="FJ17" s="279" t="e">
        <f t="shared" si="212"/>
        <v>#VALUE!</v>
      </c>
      <c r="FK17" s="4">
        <f t="shared" si="52"/>
        <v>0.99905002453522207</v>
      </c>
      <c r="FL17" s="5" t="e">
        <f t="shared" si="213"/>
        <v>#VALUE!</v>
      </c>
      <c r="FM17" s="8" t="e">
        <f t="shared" si="214"/>
        <v>#VALUE!</v>
      </c>
      <c r="FN17" s="9" t="e">
        <f t="shared" si="215"/>
        <v>#VALUE!</v>
      </c>
      <c r="FO17" s="10" t="e">
        <f t="shared" si="53"/>
        <v>#VALUE!</v>
      </c>
      <c r="FP17" s="277" t="e">
        <f t="shared" si="54"/>
        <v>#VALUE!</v>
      </c>
      <c r="FQ17" s="173" t="e">
        <f t="shared" si="243"/>
        <v>#VALUE!</v>
      </c>
      <c r="FR17" s="10" t="e">
        <f t="shared" si="216"/>
        <v>#VALUE!</v>
      </c>
      <c r="FS17" s="9" t="e">
        <f t="shared" si="217"/>
        <v>#VALUE!</v>
      </c>
      <c r="FT17" s="6" t="e">
        <f t="shared" si="218"/>
        <v>#VALUE!</v>
      </c>
      <c r="FU17" s="4" t="e">
        <f t="shared" si="219"/>
        <v>#VALUE!</v>
      </c>
      <c r="FV17" s="5" t="e">
        <f t="shared" si="220"/>
        <v>#VALUE!</v>
      </c>
      <c r="FW17" s="8" t="e">
        <f t="shared" si="244"/>
        <v>#VALUE!</v>
      </c>
      <c r="FX17" s="9" t="e">
        <f t="shared" si="245"/>
        <v>#VALUE!</v>
      </c>
      <c r="FY17" s="10" t="e">
        <f t="shared" si="55"/>
        <v>#VALUE!</v>
      </c>
      <c r="FZ17" s="277" t="e">
        <f t="shared" si="246"/>
        <v>#VALUE!</v>
      </c>
      <c r="GA17" s="177" t="e">
        <f t="shared" si="221"/>
        <v>#VALUE!</v>
      </c>
      <c r="GB17" s="4" t="e">
        <f t="shared" si="222"/>
        <v>#VALUE!</v>
      </c>
      <c r="GC17" s="5" t="e">
        <f t="shared" si="223"/>
        <v>#VALUE!</v>
      </c>
      <c r="GD17" s="10" t="e">
        <f t="shared" si="224"/>
        <v>#VALUE!</v>
      </c>
      <c r="GE17" s="311" t="e">
        <f t="shared" si="225"/>
        <v>#VALUE!</v>
      </c>
      <c r="GF17" s="341" t="e">
        <f t="shared" si="247"/>
        <v>#VALUE!</v>
      </c>
      <c r="GG17" s="285" t="e">
        <f t="shared" si="56"/>
        <v>#VALUE!</v>
      </c>
      <c r="GH17" s="286" t="e">
        <f t="shared" si="57"/>
        <v>#VALUE!</v>
      </c>
      <c r="GI17" s="281" t="e">
        <f t="shared" si="58"/>
        <v>#VALUE!</v>
      </c>
      <c r="GJ17" s="167">
        <f t="shared" si="226"/>
        <v>4.9236000000000004</v>
      </c>
      <c r="GK17" s="174">
        <f t="shared" si="59"/>
        <v>2.5783276273956832</v>
      </c>
      <c r="GL17" s="174">
        <f t="shared" si="227"/>
        <v>4.5999999999999999E-3</v>
      </c>
      <c r="GM17" s="177">
        <f t="shared" si="248"/>
        <v>0.14232368503224171</v>
      </c>
      <c r="GN17" s="280">
        <f t="shared" si="228"/>
        <v>2.174024418300162E-2</v>
      </c>
      <c r="GO17" s="4" t="e">
        <f t="shared" si="229"/>
        <v>#VALUE!</v>
      </c>
      <c r="GP17" s="8" t="e">
        <f t="shared" si="249"/>
        <v>#VALUE!</v>
      </c>
      <c r="GQ17" s="177" t="e">
        <f t="shared" si="230"/>
        <v>#VALUE!</v>
      </c>
      <c r="GR17" s="371" t="e">
        <f t="shared" si="250"/>
        <v>#VALUE!</v>
      </c>
      <c r="GS17" s="342" t="e">
        <f t="shared" si="61"/>
        <v>#VALUE!</v>
      </c>
      <c r="GT17" s="343" t="e">
        <f t="shared" si="62"/>
        <v>#VALUE!</v>
      </c>
      <c r="GU17" s="344">
        <f t="shared" si="63"/>
        <v>349.87905903759417</v>
      </c>
      <c r="GV17" s="343">
        <f t="shared" si="252"/>
        <v>135.69999999999999</v>
      </c>
      <c r="GW17" s="345">
        <f t="shared" si="64"/>
        <v>29500</v>
      </c>
      <c r="GX17" s="346">
        <f t="shared" si="65"/>
        <v>55.677710000000005</v>
      </c>
      <c r="GY17" s="344" t="e">
        <f t="shared" si="66"/>
        <v>#VALUE!</v>
      </c>
      <c r="GZ17" s="345" t="e">
        <f t="shared" si="67"/>
        <v>#VALUE!</v>
      </c>
      <c r="HA17" s="342" t="e">
        <f t="shared" si="68"/>
        <v>#VALUE!</v>
      </c>
      <c r="HB17" s="5" t="e">
        <f t="shared" si="231"/>
        <v>#VALUE!</v>
      </c>
      <c r="HC17" s="343" t="e">
        <f t="shared" si="232"/>
        <v>#VALUE!</v>
      </c>
      <c r="HD17" s="345" t="e">
        <f t="shared" si="233"/>
        <v>#VALUE!</v>
      </c>
      <c r="HE17" s="344" t="e">
        <f t="shared" si="69"/>
        <v>#VALUE!</v>
      </c>
      <c r="HF17" s="5" t="e">
        <f t="shared" si="70"/>
        <v>#VALUE!</v>
      </c>
      <c r="HG17" s="343" t="e">
        <f t="shared" si="234"/>
        <v>#VALUE!</v>
      </c>
      <c r="HH17" s="349" t="e">
        <f t="shared" si="235"/>
        <v>#VALUE!</v>
      </c>
      <c r="HI17" s="317">
        <f t="shared" si="71"/>
        <v>1.141</v>
      </c>
      <c r="HJ17" s="336"/>
      <c r="HK17" s="310">
        <f t="shared" si="137"/>
        <v>9</v>
      </c>
      <c r="HL17" s="348">
        <f t="shared" si="72"/>
        <v>1.123</v>
      </c>
      <c r="HM17" s="909">
        <f t="shared" si="138"/>
        <v>12.560890350804675</v>
      </c>
      <c r="HN17" s="910">
        <f t="shared" si="73"/>
        <v>19.738648552093483</v>
      </c>
      <c r="HO17" s="911"/>
      <c r="HP17" s="912"/>
      <c r="HQ17" s="910">
        <f t="shared" si="74"/>
        <v>18.672980429532981</v>
      </c>
      <c r="HR17" s="913">
        <f t="shared" si="75"/>
        <v>14.314065361491203</v>
      </c>
      <c r="HS17" s="865">
        <f t="shared" si="251"/>
        <v>3.9011999999999998</v>
      </c>
      <c r="HT17" s="875">
        <f t="shared" si="76"/>
        <v>2.5399999999999999E-2</v>
      </c>
      <c r="HU17" s="876">
        <f t="shared" si="77"/>
        <v>0.62273336313870287</v>
      </c>
      <c r="HV17" s="872">
        <f t="shared" si="78"/>
        <v>9.5123839524463308E-2</v>
      </c>
      <c r="HW17" s="866">
        <f t="shared" si="79"/>
        <v>29500</v>
      </c>
      <c r="HX17" s="867">
        <f t="shared" si="80"/>
        <v>243.59742999999997</v>
      </c>
      <c r="HY17" s="866">
        <f t="shared" si="81"/>
        <v>341.09658981359854</v>
      </c>
      <c r="HZ17" s="868">
        <f t="shared" si="82"/>
        <v>1530.8861843826444</v>
      </c>
      <c r="IA17" s="869">
        <f t="shared" si="83"/>
        <v>400.19678524334711</v>
      </c>
      <c r="IB17" s="870">
        <f t="shared" si="84"/>
        <v>2272.1795594395899</v>
      </c>
      <c r="IC17" s="841">
        <f t="shared" si="85"/>
        <v>166.9514542326331</v>
      </c>
      <c r="ID17" s="351">
        <f t="shared" si="86"/>
        <v>749.3</v>
      </c>
      <c r="IE17" s="843">
        <f t="shared" si="87"/>
        <v>195.87834434848372</v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0.02</v>
      </c>
      <c r="B18" s="578">
        <f t="shared" si="2"/>
        <v>0.85543270979066821</v>
      </c>
      <c r="C18" s="572">
        <f t="shared" si="3"/>
        <v>2.3088996724192028</v>
      </c>
      <c r="D18" s="576">
        <f t="shared" si="4"/>
        <v>-0.14698201246510853</v>
      </c>
      <c r="E18" s="580">
        <f t="shared" si="5"/>
        <v>-0.88768808406184041</v>
      </c>
      <c r="F18" s="572">
        <f t="shared" si="6"/>
        <v>0.37192056799571183</v>
      </c>
      <c r="G18" s="579">
        <f t="shared" si="7"/>
        <v>0.2714497311038751</v>
      </c>
      <c r="H18" s="580">
        <f t="shared" si="8"/>
        <v>0.26450000000000001</v>
      </c>
      <c r="I18" s="572">
        <f t="shared" si="9"/>
        <v>0.39400000000000002</v>
      </c>
      <c r="J18" s="483">
        <f t="shared" si="10"/>
        <v>1.2110000000000001</v>
      </c>
      <c r="K18" s="806">
        <f t="shared" si="11"/>
        <v>1310</v>
      </c>
      <c r="L18" s="720" t="s">
        <v>322</v>
      </c>
      <c r="M18" s="164">
        <f t="shared" si="12"/>
        <v>1.2110000000000001</v>
      </c>
      <c r="N18" s="575">
        <f t="shared" si="13"/>
        <v>0.85543270979066821</v>
      </c>
      <c r="O18" s="572">
        <f t="shared" si="14"/>
        <v>2.3088996724192028</v>
      </c>
      <c r="P18" s="576">
        <f t="shared" si="15"/>
        <v>-0.14698201246510853</v>
      </c>
      <c r="Q18" s="528">
        <f t="shared" si="140"/>
        <v>69.67065112505712</v>
      </c>
      <c r="R18" s="572">
        <f>IF(M18="","",SQRT(N18^2+O18^2))</f>
        <v>2.4622718814698974</v>
      </c>
      <c r="S18" s="577">
        <f>IF(M18="","",P18)</f>
        <v>-0.14698201246510853</v>
      </c>
      <c r="T18" s="578">
        <f>IF(M18="","",X18*COS(RADIANS(W18)))</f>
        <v>2.3168329634016422</v>
      </c>
      <c r="U18" s="572">
        <f>IF(M18="","",X18*SIN(RADIANS(W18)))</f>
        <v>-0.83370728554623519</v>
      </c>
      <c r="V18" s="579">
        <f>IF(M18="","",Y18)</f>
        <v>-0.14698201246510853</v>
      </c>
      <c r="W18" s="528">
        <f t="shared" si="253"/>
        <v>340.20884304527561</v>
      </c>
      <c r="X18" s="572">
        <f>IF(M18="","",R18)</f>
        <v>2.4622718814698974</v>
      </c>
      <c r="Y18" s="573">
        <f t="shared" si="255"/>
        <v>-0.14698201246510853</v>
      </c>
      <c r="Z18" s="575">
        <f t="shared" si="18"/>
        <v>0.88768808406184041</v>
      </c>
      <c r="AA18" s="572">
        <f t="shared" si="19"/>
        <v>-0.37192056799571183</v>
      </c>
      <c r="AB18" s="572">
        <f t="shared" si="20"/>
        <v>-0.2714497311038751</v>
      </c>
      <c r="AC18" s="579">
        <f>IF(M18="","",SQRT(Z18^2+AA18^2+AB18^2))</f>
        <v>1</v>
      </c>
      <c r="AD18" s="580">
        <f>IF(M18="","",Z18*(1/SQRT(Z18^2+AA18^2+AB18^2)))</f>
        <v>0.88768808406184041</v>
      </c>
      <c r="AE18" s="572">
        <f>IF(M18="","",AA18*(1/SQRT(Z18^2+AA18^2+AB18^2)))</f>
        <v>-0.37192056799571183</v>
      </c>
      <c r="AF18" s="576">
        <f>IF(M18="","",AB18*(1/SQRT(Z18^2+AA18^2+AB18^2)))</f>
        <v>-0.2714497311038751</v>
      </c>
      <c r="AG18" s="545">
        <f>IF(M18="","",DEGREES(ATAN2(-AF18,AE18)))</f>
        <v>-53.875810613458469</v>
      </c>
      <c r="AH18" s="546">
        <f>IF(M18="","",DEGREES(ACOS(AD18)))</f>
        <v>27.415845007919462</v>
      </c>
      <c r="AI18" s="528">
        <f>IF(M18="","",DEGREES(-ACOS(-AF18)))</f>
        <v>-74.249447479202203</v>
      </c>
      <c r="AJ18" s="529">
        <f>IF(M18="","",DEGREES(ATAN2(-AE18,AD18)))</f>
        <v>67.267454697591816</v>
      </c>
      <c r="AK18" s="578">
        <f>IF(M18="","",(COS(RADIANS((90-$Q$8)-W18))*AD18)+(-SIN(RADIANS((90-$Q$8)-W18))*AE18))</f>
        <v>0.96160613441063503</v>
      </c>
      <c r="AL18" s="572">
        <f>IF(M18="","",(SIN(RADIANS((90-$Q$8)-W18))*AD18)+(COS(RADIANS((90-$Q$8)-W18))*AE18))</f>
        <v>-4.0356978919011688E-2</v>
      </c>
      <c r="AM18" s="577">
        <f>IF(M18="","",AF18)</f>
        <v>-0.2714497311038751</v>
      </c>
      <c r="AN18" s="524">
        <f>IF(M18="","",DEGREES(ATAN2(-AM18,AL18)))</f>
        <v>-8.4563376107190713</v>
      </c>
      <c r="AO18" s="525">
        <f t="shared" si="116"/>
        <v>15.928246062290501</v>
      </c>
      <c r="AP18" s="528">
        <f>IF(M18="","",DEGREES(ATAN2(AK18,AL18)))</f>
        <v>-2.4031964274652844</v>
      </c>
      <c r="AQ18" s="529">
        <f t="shared" si="21"/>
        <v>1.8510818579151529</v>
      </c>
      <c r="AS18" s="932">
        <f t="shared" si="143"/>
        <v>340.20884304527561</v>
      </c>
      <c r="AT18" s="928">
        <f t="shared" si="22"/>
        <v>-0.1230414091783847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>
        <f t="shared" si="137"/>
        <v>10</v>
      </c>
      <c r="HL18" s="348">
        <f t="shared" si="72"/>
        <v>2.1280000000000001</v>
      </c>
      <c r="HM18" s="909">
        <f t="shared" si="138"/>
        <v>17.727119154891295</v>
      </c>
      <c r="HN18" s="910">
        <f t="shared" si="73"/>
        <v>22.520548757886122</v>
      </c>
      <c r="HO18" s="911"/>
      <c r="HP18" s="912"/>
      <c r="HQ18" s="910">
        <f t="shared" si="74"/>
        <v>21.573780564127166</v>
      </c>
      <c r="HR18" s="913">
        <f t="shared" si="75"/>
        <v>13.205682814287702</v>
      </c>
      <c r="HS18" s="865">
        <f t="shared" si="251"/>
        <v>4.367</v>
      </c>
      <c r="HT18" s="875">
        <f t="shared" si="76"/>
        <v>2.0199999999999999E-2</v>
      </c>
      <c r="HU18" s="876">
        <f t="shared" si="77"/>
        <v>0.55435315454831013</v>
      </c>
      <c r="HV18" s="872">
        <f t="shared" si="78"/>
        <v>8.4678617903740427E-2</v>
      </c>
      <c r="HW18" s="866">
        <f t="shared" si="79"/>
        <v>29500</v>
      </c>
      <c r="HX18" s="867">
        <f t="shared" si="80"/>
        <v>216.85794166666665</v>
      </c>
      <c r="HY18" s="866">
        <f t="shared" si="81"/>
        <v>435.63095573035406</v>
      </c>
      <c r="HZ18" s="868">
        <f t="shared" si="82"/>
        <v>1362.7848382645957</v>
      </c>
      <c r="IA18" s="869">
        <f t="shared" si="83"/>
        <v>335.72182510638515</v>
      </c>
      <c r="IB18" s="870">
        <f t="shared" si="84"/>
        <v>2134.1376191013351</v>
      </c>
      <c r="IC18" s="841">
        <f t="shared" si="85"/>
        <v>190.48677328277995</v>
      </c>
      <c r="ID18" s="351">
        <f t="shared" si="86"/>
        <v>595.9</v>
      </c>
      <c r="IE18" s="843">
        <f t="shared" si="87"/>
        <v>146.79986888880569</v>
      </c>
      <c r="IF18" s="844"/>
      <c r="IG18" s="790" t="str">
        <f>IFERROR(IF($IW18="","",IF($IW18&lt;(((Settings!$C$19/2)*-1)*$IG$8),"Taper","Nose")),"")</f>
        <v>Nose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1.2110000000000001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1.111</v>
      </c>
      <c r="IK18" s="677" cm="1">
        <f t="array" ref="IK18">IFERROR(ROUND(VALUE(IF($IJ18&lt;1,$IJ18+LARGE((IF($M$9:$M$150="",0,$M$9:$M$150)-MOD(IF($M$9:$M$150="",0,$M$9:$M$150),1)),1),$IJ18)),4),"")</f>
        <v>1.111</v>
      </c>
      <c r="IL18" s="482">
        <f t="shared" si="88"/>
        <v>1613</v>
      </c>
      <c r="IM18" s="482">
        <f t="shared" si="237"/>
        <v>1310</v>
      </c>
      <c r="IN18" s="670">
        <f t="shared" si="90"/>
        <v>19.791156954724386</v>
      </c>
      <c r="IO18" s="702">
        <v>3.0761331168012201E-2</v>
      </c>
      <c r="IP18" s="5">
        <f t="shared" si="91"/>
        <v>0.54</v>
      </c>
      <c r="IQ18" s="714">
        <v>270</v>
      </c>
      <c r="IR18" s="9">
        <f t="shared" si="139"/>
        <v>-2.4577327467561765</v>
      </c>
      <c r="IS18" s="5">
        <f t="shared" si="92"/>
        <v>-0.16172993742794287</v>
      </c>
      <c r="IT18" s="5">
        <f t="shared" si="93"/>
        <v>0.3125</v>
      </c>
      <c r="IU18" s="5">
        <f t="shared" si="94"/>
        <v>0.30050209883994988</v>
      </c>
      <c r="IV18" s="670">
        <f t="shared" si="95"/>
        <v>8.4534739187834553</v>
      </c>
      <c r="IW18" s="9">
        <f t="shared" si="96"/>
        <v>-2.4622718814698974</v>
      </c>
      <c r="IX18" s="5">
        <f t="shared" si="97"/>
        <v>-0.14698201246510853</v>
      </c>
      <c r="IY18" s="5">
        <f t="shared" si="98"/>
        <v>0.26450000000000001</v>
      </c>
      <c r="IZ18" s="5">
        <f t="shared" si="99"/>
        <v>0.254344822551613</v>
      </c>
      <c r="JA18" s="705">
        <f t="shared" si="100"/>
        <v>8.4563376107190713</v>
      </c>
    </row>
    <row r="19" spans="1:271" ht="15" customHeight="1" thickBot="1" x14ac:dyDescent="0.3">
      <c r="A19" s="75">
        <f t="shared" si="1"/>
        <v>0.02</v>
      </c>
      <c r="B19" s="578">
        <f t="shared" si="2"/>
        <v>0.89177993527353716</v>
      </c>
      <c r="C19" s="572">
        <f t="shared" si="3"/>
        <v>3.0604803895348103</v>
      </c>
      <c r="D19" s="576">
        <f t="shared" si="4"/>
        <v>-0.34162995241490784</v>
      </c>
      <c r="E19" s="580">
        <f t="shared" si="5"/>
        <v>-0.88884519803114048</v>
      </c>
      <c r="F19" s="572">
        <f t="shared" si="6"/>
        <v>0.37845410932973167</v>
      </c>
      <c r="G19" s="579">
        <f t="shared" si="7"/>
        <v>0.25831511970541404</v>
      </c>
      <c r="H19" s="580">
        <f t="shared" si="8"/>
        <v>0.26450000000000001</v>
      </c>
      <c r="I19" s="572">
        <f t="shared" si="9"/>
        <v>0.52</v>
      </c>
      <c r="J19" s="483">
        <f t="shared" si="10"/>
        <v>1.2170000000000001</v>
      </c>
      <c r="K19" s="806">
        <f t="shared" si="11"/>
        <v>1313</v>
      </c>
      <c r="L19" s="718" t="s">
        <v>357</v>
      </c>
      <c r="M19" s="164">
        <f t="shared" si="12"/>
        <v>1.2170000000000001</v>
      </c>
      <c r="N19" s="575">
        <f t="shared" si="13"/>
        <v>0.89177993527353716</v>
      </c>
      <c r="O19" s="572">
        <f t="shared" si="14"/>
        <v>3.0604803895348103</v>
      </c>
      <c r="P19" s="576">
        <f t="shared" si="15"/>
        <v>-0.34162995241490784</v>
      </c>
      <c r="Q19" s="528">
        <f t="shared" si="140"/>
        <v>73.754637441205986</v>
      </c>
      <c r="R19" s="572">
        <f>IF(M19="","",SQRT(N19^2+O19^2))</f>
        <v>3.1877596627857026</v>
      </c>
      <c r="S19" s="577">
        <f>IF(M19="","",P19)</f>
        <v>-0.34162995241490784</v>
      </c>
      <c r="T19" s="578">
        <f>IF(M19="","",X19*COS(RADIANS(W19)))</f>
        <v>3.0687219363018472</v>
      </c>
      <c r="U19" s="572">
        <f>IF(M19="","",X19*SIN(RADIANS(W19)))</f>
        <v>-0.86299324756538964</v>
      </c>
      <c r="V19" s="579">
        <f>IF(M19="","",Y19)</f>
        <v>-0.34162995241490784</v>
      </c>
      <c r="W19" s="528">
        <f t="shared" si="253"/>
        <v>344.29282936142448</v>
      </c>
      <c r="X19" s="572">
        <f>IF(M19="","",R19)</f>
        <v>3.1877596627857026</v>
      </c>
      <c r="Y19" s="573">
        <f t="shared" si="255"/>
        <v>-0.34162995241490784</v>
      </c>
      <c r="Z19" s="575">
        <f t="shared" si="18"/>
        <v>0.88884519803114048</v>
      </c>
      <c r="AA19" s="572">
        <f t="shared" si="19"/>
        <v>-0.37845410932973167</v>
      </c>
      <c r="AB19" s="572">
        <f t="shared" si="20"/>
        <v>-0.25831511970541404</v>
      </c>
      <c r="AC19" s="579">
        <f>IF(M19="","",SQRT(Z19^2+AA19^2+AB19^2))</f>
        <v>1</v>
      </c>
      <c r="AD19" s="580">
        <f>IF(M19="","",Z19*(1/SQRT(Z19^2+AA19^2+AB19^2)))</f>
        <v>0.88884519803114048</v>
      </c>
      <c r="AE19" s="572">
        <f>IF(M19="","",AA19*(1/SQRT(Z19^2+AA19^2+AB19^2)))</f>
        <v>-0.37845410932973167</v>
      </c>
      <c r="AF19" s="576">
        <f>IF(M19="","",AB19*(1/SQRT(Z19^2+AA19^2+AB19^2)))</f>
        <v>-0.25831511970541404</v>
      </c>
      <c r="AG19" s="545">
        <f>IF(M19="","",DEGREES(ATAN2(-AF19,AE19)))</f>
        <v>-55.684378231565184</v>
      </c>
      <c r="AH19" s="546">
        <f>IF(M19="","",DEGREES(ACOS(AD19)))</f>
        <v>27.271508203967805</v>
      </c>
      <c r="AI19" s="528">
        <f>IF(M19="","",DEGREES(-ACOS(-AF19)))</f>
        <v>-75.029889232889872</v>
      </c>
      <c r="AJ19" s="529">
        <f>IF(M19="","",DEGREES(ATAN2(-AE19,AD19)))</f>
        <v>66.936577831720101</v>
      </c>
      <c r="AK19" s="578">
        <f>IF(M19="","",(COS(RADIANS((90-$Q$8)-W19))*AD19)+(-SIN(RADIANS((90-$Q$8)-W19))*AE19))</f>
        <v>0.95922886368304061</v>
      </c>
      <c r="AL19" s="572">
        <f>IF(M19="","",(SIN(RADIANS((90-$Q$8)-W19))*AD19)+(COS(RADIANS((90-$Q$8)-W19))*AE19))</f>
        <v>-0.11468777619659598</v>
      </c>
      <c r="AM19" s="577">
        <f>IF(M19="","",AF19)</f>
        <v>-0.25831511970541404</v>
      </c>
      <c r="AN19" s="524">
        <f>IF(M19="","",DEGREES(ATAN2(-AM19,AL19)))</f>
        <v>-23.940454553934082</v>
      </c>
      <c r="AO19" s="525">
        <f t="shared" si="116"/>
        <v>16.417262779123849</v>
      </c>
      <c r="AP19" s="528">
        <f>IF(M19="","",DEGREES(ATAN2(AK19,AL19)))</f>
        <v>-6.8180596094859141</v>
      </c>
      <c r="AQ19" s="529">
        <f t="shared" si="21"/>
        <v>1.4300031964796893</v>
      </c>
      <c r="AS19" s="932">
        <f t="shared" si="143"/>
        <v>344.29282936142448</v>
      </c>
      <c r="AT19" s="928">
        <f t="shared" si="22"/>
        <v>-0.32336155234505742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>
        <f t="shared" si="137"/>
        <v>11</v>
      </c>
      <c r="HL19" s="348">
        <f t="shared" si="72"/>
        <v>1.129</v>
      </c>
      <c r="HM19" s="909">
        <f t="shared" si="138"/>
        <v>18.570410257536199</v>
      </c>
      <c r="HN19" s="910">
        <f t="shared" si="73"/>
        <v>23.077976777541668</v>
      </c>
      <c r="HO19" s="911"/>
      <c r="HP19" s="912"/>
      <c r="HQ19" s="910">
        <f t="shared" si="74"/>
        <v>22.002785911251131</v>
      </c>
      <c r="HR19" s="913">
        <f t="shared" si="75"/>
        <v>12.769383896710355</v>
      </c>
      <c r="HS19" s="865">
        <f t="shared" si="251"/>
        <v>4.4440999999999997</v>
      </c>
      <c r="HT19" s="875">
        <f t="shared" si="76"/>
        <v>1.7899999999999999E-2</v>
      </c>
      <c r="HU19" s="876">
        <f t="shared" si="77"/>
        <v>0.49990368279771819</v>
      </c>
      <c r="HV19" s="872">
        <f t="shared" si="78"/>
        <v>7.6361345826185992E-2</v>
      </c>
      <c r="HW19" s="866">
        <f t="shared" si="79"/>
        <v>29500</v>
      </c>
      <c r="HX19" s="867">
        <f t="shared" si="80"/>
        <v>195.55891708333328</v>
      </c>
      <c r="HY19" s="866">
        <f t="shared" si="81"/>
        <v>412.87417571378023</v>
      </c>
      <c r="HZ19" s="868">
        <f t="shared" si="82"/>
        <v>1228.9298868777239</v>
      </c>
      <c r="IA19" s="869">
        <f t="shared" si="83"/>
        <v>293.81351303813443</v>
      </c>
      <c r="IB19" s="870">
        <f t="shared" si="84"/>
        <v>1935.6175756296386</v>
      </c>
      <c r="IC19" s="841">
        <f t="shared" si="85"/>
        <v>177.40492017780508</v>
      </c>
      <c r="ID19" s="351">
        <f t="shared" si="86"/>
        <v>528.04999999999995</v>
      </c>
      <c r="IE19" s="843">
        <f t="shared" si="87"/>
        <v>126.24660464069569</v>
      </c>
      <c r="IF19" s="844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1.2170000000000001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1.117</v>
      </c>
      <c r="IK19" s="677" cm="1">
        <f t="array" ref="IK19">IFERROR(ROUND(VALUE(IF($IJ19&lt;1,$IJ19+LARGE((IF($M$9:$M$150="",0,$M$9:$M$150)-MOD(IF($M$9:$M$150="",0,$M$9:$M$150),1)),1),$IJ19)),4),"")</f>
        <v>1.117</v>
      </c>
      <c r="IL19" s="482">
        <f t="shared" si="88"/>
        <v>1613</v>
      </c>
      <c r="IM19" s="482">
        <f t="shared" si="237"/>
        <v>1313</v>
      </c>
      <c r="IN19" s="670">
        <f t="shared" si="90"/>
        <v>15.17960513558819</v>
      </c>
      <c r="IO19" s="702">
        <v>2.74081060827145E-2</v>
      </c>
      <c r="IP19" s="5">
        <f t="shared" si="91"/>
        <v>0.68</v>
      </c>
      <c r="IQ19" s="714">
        <v>340</v>
      </c>
      <c r="IR19" s="9">
        <f t="shared" si="139"/>
        <v>-3.1767679340595749</v>
      </c>
      <c r="IS19" s="5">
        <f t="shared" si="92"/>
        <v>-0.3567684232549026</v>
      </c>
      <c r="IT19" s="5">
        <f t="shared" si="93"/>
        <v>0.3125</v>
      </c>
      <c r="IU19" s="5">
        <f t="shared" si="94"/>
        <v>0.29975976560100898</v>
      </c>
      <c r="IV19" s="670">
        <f t="shared" si="95"/>
        <v>23.936756233692545</v>
      </c>
      <c r="IW19" s="9">
        <f t="shared" si="96"/>
        <v>-3.1877596627857026</v>
      </c>
      <c r="IX19" s="5">
        <f t="shared" si="97"/>
        <v>-0.34162995241490784</v>
      </c>
      <c r="IY19" s="5">
        <f t="shared" si="98"/>
        <v>0.26450000000000001</v>
      </c>
      <c r="IZ19" s="5">
        <f t="shared" si="99"/>
        <v>0.25371603444416424</v>
      </c>
      <c r="JA19" s="705">
        <f t="shared" si="100"/>
        <v>23.940454553934082</v>
      </c>
      <c r="JD19" s="1289" t="s">
        <v>356</v>
      </c>
      <c r="JE19" s="1290"/>
      <c r="JF19" s="1290"/>
      <c r="JG19" s="1290"/>
      <c r="JH19" s="1290"/>
      <c r="JI19" s="1290"/>
      <c r="JJ19" s="1290"/>
      <c r="JK19" s="1291"/>
    </row>
    <row r="20" spans="1:271" ht="15" customHeight="1" x14ac:dyDescent="0.25">
      <c r="A20" s="75">
        <f t="shared" si="1"/>
        <v>0.02</v>
      </c>
      <c r="B20" s="578">
        <f t="shared" si="2"/>
        <v>0.95100254823324071</v>
      </c>
      <c r="C20" s="572">
        <f t="shared" si="3"/>
        <v>3.6902717942691887</v>
      </c>
      <c r="D20" s="576">
        <f t="shared" si="4"/>
        <v>-0.7613076612768056</v>
      </c>
      <c r="E20" s="580">
        <f t="shared" si="5"/>
        <v>-0.85796482909796135</v>
      </c>
      <c r="F20" s="572">
        <f t="shared" si="6"/>
        <v>0.44246670666395521</v>
      </c>
      <c r="G20" s="579">
        <f t="shared" si="7"/>
        <v>0.26099725194886547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1.2230000000000001</v>
      </c>
      <c r="K20" s="806">
        <f t="shared" si="11"/>
        <v>1313</v>
      </c>
      <c r="L20" s="717" t="str">
        <f>IF($L19=$JJ$22,$JJ$30,IF($L19=$JK$22,$JK$30,""))</f>
        <v/>
      </c>
      <c r="M20" s="164">
        <f t="shared" si="12"/>
        <v>1.2230000000000001</v>
      </c>
      <c r="N20" s="575">
        <f t="shared" si="13"/>
        <v>0.95100254823324071</v>
      </c>
      <c r="O20" s="572">
        <f t="shared" si="14"/>
        <v>3.6902717942691887</v>
      </c>
      <c r="P20" s="576">
        <f t="shared" si="15"/>
        <v>-0.7613076612768056</v>
      </c>
      <c r="Q20" s="528">
        <f t="shared" si="140"/>
        <v>75.549004802671277</v>
      </c>
      <c r="R20" s="572">
        <f>IF(M20="","",SQRT(N20^2+O20^2))</f>
        <v>3.8108413457299499</v>
      </c>
      <c r="S20" s="577">
        <f>IF(M20="","",P20)</f>
        <v>-0.7613076612768056</v>
      </c>
      <c r="T20" s="578">
        <f>IF(M20="","",X20*COS(RADIANS(W20)))</f>
        <v>3.6990418400858127</v>
      </c>
      <c r="U20" s="572">
        <f>IF(M20="","",X20*SIN(RADIANS(W20)))</f>
        <v>-0.916297564996993</v>
      </c>
      <c r="V20" s="579">
        <f>IF(M20="","",Y20)</f>
        <v>-0.7613076612768056</v>
      </c>
      <c r="W20" s="528">
        <f t="shared" si="253"/>
        <v>346.08719672288976</v>
      </c>
      <c r="X20" s="572">
        <f>IF(M20="","",R20)</f>
        <v>3.8108413457299499</v>
      </c>
      <c r="Y20" s="573">
        <f t="shared" si="255"/>
        <v>-0.7613076612768056</v>
      </c>
      <c r="Z20" s="575">
        <f t="shared" si="18"/>
        <v>0.85796482909796135</v>
      </c>
      <c r="AA20" s="572">
        <f t="shared" si="19"/>
        <v>-0.44246670666395521</v>
      </c>
      <c r="AB20" s="572">
        <f t="shared" si="20"/>
        <v>-0.26099725194886547</v>
      </c>
      <c r="AC20" s="579">
        <f>IF(M20="","",SQRT(Z20^2+AA20^2+AB20^2))</f>
        <v>1</v>
      </c>
      <c r="AD20" s="580">
        <f>IF(M20="","",Z20*(1/SQRT(Z20^2+AA20^2+AB20^2)))</f>
        <v>0.85796482909796135</v>
      </c>
      <c r="AE20" s="572">
        <f>IF(M20="","",AA20*(1/SQRT(Z20^2+AA20^2+AB20^2)))</f>
        <v>-0.44246670666395521</v>
      </c>
      <c r="AF20" s="576">
        <f>IF(M20="","",AB20*(1/SQRT(Z20^2+AA20^2+AB20^2)))</f>
        <v>-0.26099725194886547</v>
      </c>
      <c r="AG20" s="545">
        <f>IF(M20="","",DEGREES(ATAN2(-AF20,AE20)))</f>
        <v>-59.464976744571715</v>
      </c>
      <c r="AH20" s="546">
        <f>IF(M20="","",DEGREES(ACOS(AD20)))</f>
        <v>30.911163728461055</v>
      </c>
      <c r="AI20" s="528">
        <f>IF(M20="","",DEGREES(-ACOS(-AF20)))</f>
        <v>-74.870756232439845</v>
      </c>
      <c r="AJ20" s="529">
        <f>IF(M20="","",DEGREES(ATAN2(-AE20,AD20)))</f>
        <v>62.719090661796393</v>
      </c>
      <c r="AK20" s="578">
        <f>IF(M20="","",(COS(RADIANS((90-$Q$8)-W20))*AD20)+(-SIN(RADIANS((90-$Q$8)-W20))*AE20))</f>
        <v>0.94123844301734538</v>
      </c>
      <c r="AL20" s="572">
        <f>IF(M20="","",(SIN(RADIANS((90-$Q$8)-W20))*AD20)+(COS(RADIANS((90-$Q$8)-W20))*AE20))</f>
        <v>-0.21436097560289349</v>
      </c>
      <c r="AM20" s="577">
        <f>IF(M20="","",AF20)</f>
        <v>-0.26099725194886547</v>
      </c>
      <c r="AN20" s="524">
        <f>IF(M20="","",DEGREES(ATAN2(-AM20,AL20)))</f>
        <v>-39.396777291230784</v>
      </c>
      <c r="AO20" s="525">
        <f t="shared" si="116"/>
        <v>19.739412278917303</v>
      </c>
      <c r="AP20" s="528">
        <f>IF(M20="","",DEGREES(ATAN2(AK20,AL20)))</f>
        <v>-12.829914140874903</v>
      </c>
      <c r="AQ20" s="529">
        <f t="shared" si="21"/>
        <v>1.1962688298192037</v>
      </c>
      <c r="AS20" s="932">
        <f t="shared" si="143"/>
        <v>346.08719672288976</v>
      </c>
      <c r="AT20" s="928">
        <f t="shared" si="22"/>
        <v>-0.74553143809787914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>
        <f t="shared" si="137"/>
        <v>12</v>
      </c>
      <c r="HL20" s="348">
        <f t="shared" si="72"/>
        <v>2.1339999999999999</v>
      </c>
      <c r="HM20" s="909">
        <f t="shared" si="138"/>
        <v>23.235483068160693</v>
      </c>
      <c r="HN20" s="910">
        <f t="shared" si="73"/>
        <v>25.869275744657813</v>
      </c>
      <c r="HO20" s="911"/>
      <c r="HP20" s="912"/>
      <c r="HQ20" s="910">
        <f t="shared" si="74"/>
        <v>24.702814029276215</v>
      </c>
      <c r="HR20" s="913">
        <f t="shared" si="75"/>
        <v>9.561061464846361</v>
      </c>
      <c r="HS20" s="865">
        <f t="shared" si="251"/>
        <v>4.7446999999999999</v>
      </c>
      <c r="HT20" s="875">
        <f t="shared" si="76"/>
        <v>1.14E-2</v>
      </c>
      <c r="HU20" s="876">
        <f t="shared" si="77"/>
        <v>0.33990265078398008</v>
      </c>
      <c r="HV20" s="872">
        <f t="shared" si="78"/>
        <v>5.1920849469427641E-2</v>
      </c>
      <c r="HW20" s="866">
        <f t="shared" si="79"/>
        <v>29500</v>
      </c>
      <c r="HX20" s="867">
        <f t="shared" si="80"/>
        <v>132.97021749999999</v>
      </c>
      <c r="HY20" s="866">
        <f t="shared" si="81"/>
        <v>358.74875630128105</v>
      </c>
      <c r="HZ20" s="868">
        <f t="shared" si="82"/>
        <v>835.59401651061762</v>
      </c>
      <c r="IA20" s="869">
        <f t="shared" si="83"/>
        <v>153.16949041013774</v>
      </c>
      <c r="IB20" s="870">
        <f t="shared" si="84"/>
        <v>1347.5122632220364</v>
      </c>
      <c r="IC20" s="841">
        <f t="shared" si="85"/>
        <v>144.38495771898312</v>
      </c>
      <c r="ID20" s="351">
        <f t="shared" si="86"/>
        <v>336.3</v>
      </c>
      <c r="IE20" s="843">
        <f t="shared" si="87"/>
        <v>61.645845478926773</v>
      </c>
      <c r="IF20" s="844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1.2230000000000001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1.123</v>
      </c>
      <c r="IK20" s="677" cm="1">
        <f t="array" ref="IK20">IFERROR(ROUND(VALUE(IF($IJ20&lt;1,$IJ20+LARGE((IF($M$9:$M$150="",0,$M$9:$M$150)-MOD(IF($M$9:$M$150="",0,$M$9:$M$150),1)),1),$IJ20)),4),"")</f>
        <v>1.123</v>
      </c>
      <c r="IL20" s="482">
        <f t="shared" si="88"/>
        <v>1613</v>
      </c>
      <c r="IM20" s="482">
        <f t="shared" si="237"/>
        <v>1313</v>
      </c>
      <c r="IN20" s="670">
        <f t="shared" si="90"/>
        <v>12.657083321521156</v>
      </c>
      <c r="IO20" s="702">
        <v>2.5053804955874E-2</v>
      </c>
      <c r="IP20" s="5">
        <f t="shared" si="91"/>
        <v>0.82</v>
      </c>
      <c r="IQ20" s="714">
        <v>410</v>
      </c>
      <c r="IR20" s="9">
        <f t="shared" si="139"/>
        <v>-3.7946894509153921</v>
      </c>
      <c r="IS20" s="5">
        <f t="shared" si="92"/>
        <v>-0.77352457944554254</v>
      </c>
      <c r="IT20" s="5">
        <f t="shared" si="93"/>
        <v>0.3125</v>
      </c>
      <c r="IU20" s="5">
        <f t="shared" si="94"/>
        <v>0.29413842027886472</v>
      </c>
      <c r="IV20" s="670">
        <f t="shared" si="95"/>
        <v>39.394185673437661</v>
      </c>
      <c r="IW20" s="9">
        <f t="shared" si="96"/>
        <v>-3.8108413457299499</v>
      </c>
      <c r="IX20" s="5">
        <f t="shared" si="97"/>
        <v>-0.7613076612768056</v>
      </c>
      <c r="IY20" s="5">
        <f t="shared" si="98"/>
        <v>0.26450000000000001</v>
      </c>
      <c r="IZ20" s="5">
        <f t="shared" si="99"/>
        <v>0.24895756817808787</v>
      </c>
      <c r="JA20" s="705">
        <f t="shared" si="100"/>
        <v>39.396777291230784</v>
      </c>
      <c r="JC20" s="31"/>
      <c r="JD20" s="1292" t="s">
        <v>360</v>
      </c>
      <c r="JE20" s="1293"/>
      <c r="JF20" s="1293"/>
      <c r="JG20" s="1293"/>
      <c r="JH20" s="1053" t="s">
        <v>361</v>
      </c>
      <c r="JI20" s="1054"/>
      <c r="JJ20" s="1054"/>
      <c r="JK20" s="1055"/>
    </row>
    <row r="21" spans="1:271" ht="15" customHeight="1" x14ac:dyDescent="0.25">
      <c r="A21" s="75">
        <f t="shared" si="1"/>
        <v>0.02</v>
      </c>
      <c r="B21" s="578">
        <f t="shared" si="2"/>
        <v>1.0141817822402337</v>
      </c>
      <c r="C21" s="572">
        <f t="shared" si="3"/>
        <v>4.1574102877828363</v>
      </c>
      <c r="D21" s="576">
        <f t="shared" si="4"/>
        <v>-1.3488751695259893</v>
      </c>
      <c r="E21" s="580">
        <f t="shared" si="5"/>
        <v>-0.81796485284476683</v>
      </c>
      <c r="F21" s="572">
        <f t="shared" si="6"/>
        <v>0.52871955687286742</v>
      </c>
      <c r="G21" s="579">
        <f t="shared" si="7"/>
        <v>0.22669170626822219</v>
      </c>
      <c r="H21" s="580">
        <f t="shared" si="8"/>
        <v>0.26450000000000001</v>
      </c>
      <c r="I21" s="572">
        <f t="shared" si="9"/>
        <v>0.52</v>
      </c>
      <c r="J21" s="483">
        <f t="shared" si="10"/>
        <v>1.2290000000000001</v>
      </c>
      <c r="K21" s="806">
        <f t="shared" si="11"/>
        <v>1313</v>
      </c>
      <c r="L21" s="719" t="s">
        <v>358</v>
      </c>
      <c r="M21" s="164">
        <f t="shared" si="12"/>
        <v>1.2290000000000001</v>
      </c>
      <c r="N21" s="575">
        <f t="shared" si="13"/>
        <v>1.0141817822402337</v>
      </c>
      <c r="O21" s="572">
        <f t="shared" si="14"/>
        <v>4.1574102877828363</v>
      </c>
      <c r="P21" s="576">
        <f t="shared" si="15"/>
        <v>-1.3488751695259893</v>
      </c>
      <c r="Q21" s="528">
        <f t="shared" si="140"/>
        <v>76.290707073086011</v>
      </c>
      <c r="R21" s="572">
        <f>IF(M21="","",SQRT(N21^2+O21^2))</f>
        <v>4.2793252959304864</v>
      </c>
      <c r="S21" s="577">
        <f>IF(M21="","",P21)</f>
        <v>-1.3488751695259893</v>
      </c>
      <c r="T21" s="578">
        <f>IF(M21="","",X21*COS(RADIANS(W21)))</f>
        <v>4.1667531731104406</v>
      </c>
      <c r="U21" s="572">
        <f>IF(M21="","",X21*SIN(RADIANS(W21)))</f>
        <v>-0.9750861412022136</v>
      </c>
      <c r="V21" s="579">
        <f>IF(M21="","",Y21)</f>
        <v>-1.3488751695259893</v>
      </c>
      <c r="W21" s="528">
        <f t="shared" si="253"/>
        <v>346.82889899330451</v>
      </c>
      <c r="X21" s="572">
        <f>IF(M21="","",R21)</f>
        <v>4.2793252959304864</v>
      </c>
      <c r="Y21" s="573">
        <f t="shared" si="255"/>
        <v>-1.3488751695259893</v>
      </c>
      <c r="Z21" s="575">
        <f t="shared" si="18"/>
        <v>0.81796485284476683</v>
      </c>
      <c r="AA21" s="572">
        <f t="shared" si="19"/>
        <v>-0.52871955687286742</v>
      </c>
      <c r="AB21" s="572">
        <f t="shared" si="20"/>
        <v>-0.22669170626822219</v>
      </c>
      <c r="AC21" s="579">
        <f>IF(M21="","",SQRT(Z21^2+AA21^2+AB21^2))</f>
        <v>1</v>
      </c>
      <c r="AD21" s="580">
        <f>IF(M21="","",Z21*(1/SQRT(Z21^2+AA21^2+AB21^2)))</f>
        <v>0.81796485284476683</v>
      </c>
      <c r="AE21" s="572">
        <f>IF(M21="","",AA21*(1/SQRT(Z21^2+AA21^2+AB21^2)))</f>
        <v>-0.52871955687286742</v>
      </c>
      <c r="AF21" s="576">
        <f>IF(M21="","",AB21*(1/SQRT(Z21^2+AA21^2+AB21^2)))</f>
        <v>-0.22669170626822219</v>
      </c>
      <c r="AG21" s="545">
        <f>IF(M21="","",DEGREES(ATAN2(-AF21,AE21)))</f>
        <v>-66.792473701664363</v>
      </c>
      <c r="AH21" s="546">
        <f>IF(M21="","",DEGREES(ACOS(AD21)))</f>
        <v>35.118416421137987</v>
      </c>
      <c r="AI21" s="528">
        <f>IF(M21="","",DEGREES(-ACOS(-AF21)))</f>
        <v>-76.897623459115906</v>
      </c>
      <c r="AJ21" s="529">
        <f>IF(M21="","",DEGREES(ATAN2(-AE21,AD21)))</f>
        <v>57.122011177163017</v>
      </c>
      <c r="AK21" s="578">
        <f>IF(M21="","",(COS(RADIANS((90-$Q$8)-W21))*AD21)+(-SIN(RADIANS((90-$Q$8)-W21))*AE21))</f>
        <v>0.91996587417647646</v>
      </c>
      <c r="AL21" s="572">
        <f>IF(M21="","",(SIN(RADIANS((90-$Q$8)-W21))*AD21)+(COS(RADIANS((90-$Q$8)-W21))*AE21))</f>
        <v>-0.31980253385474289</v>
      </c>
      <c r="AM21" s="577">
        <f>IF(M21="","",AF21)</f>
        <v>-0.22669170626822219</v>
      </c>
      <c r="AN21" s="524">
        <f>IF(M21="","",DEGREES(ATAN2(-AM21,AL21)))</f>
        <v>-54.669117106879419</v>
      </c>
      <c r="AO21" s="525">
        <f>IF(ROUND(IF(M21="",0,DEGREES(ACOS(AK21))),4)=90,0,IF(M21="","",DEGREES(ACOS(AK21))))</f>
        <v>23.078906517516071</v>
      </c>
      <c r="AP21" s="528">
        <f>IF(M21="","",DEGREES(ATAN2(AK21,AL21)))</f>
        <v>-19.168695895923026</v>
      </c>
      <c r="AQ21" s="529">
        <f t="shared" si="21"/>
        <v>1.0653379911579501</v>
      </c>
      <c r="AS21" s="932">
        <f t="shared" si="143"/>
        <v>346.82889899330451</v>
      </c>
      <c r="AT21" s="928">
        <f t="shared" si="22"/>
        <v>-1.3341290883893056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>
        <f t="shared" si="137"/>
        <v>13</v>
      </c>
      <c r="HL21" s="348">
        <f t="shared" si="72"/>
        <v>1.135</v>
      </c>
      <c r="HM21" s="909">
        <f t="shared" si="138"/>
        <v>23.966813154284004</v>
      </c>
      <c r="HN21" s="910">
        <f t="shared" si="73"/>
        <v>26.428280775048751</v>
      </c>
      <c r="HO21" s="911"/>
      <c r="HP21" s="912"/>
      <c r="HQ21" s="910">
        <f t="shared" si="74"/>
        <v>25.123341591515342</v>
      </c>
      <c r="HR21" s="913">
        <f t="shared" si="75"/>
        <v>8.6865180613670514</v>
      </c>
      <c r="HS21" s="865">
        <f t="shared" si="251"/>
        <v>4.7872000000000003</v>
      </c>
      <c r="HT21" s="875">
        <f t="shared" si="76"/>
        <v>9.4999999999999998E-3</v>
      </c>
      <c r="HU21" s="876">
        <f t="shared" si="77"/>
        <v>0.28578869149570701</v>
      </c>
      <c r="HV21" s="872">
        <f t="shared" si="78"/>
        <v>4.3654827630760701E-2</v>
      </c>
      <c r="HW21" s="866">
        <f t="shared" si="79"/>
        <v>29500</v>
      </c>
      <c r="HX21" s="867">
        <f t="shared" si="80"/>
        <v>111.80106666666667</v>
      </c>
      <c r="HY21" s="866">
        <f t="shared" si="81"/>
        <v>312.31410656642896</v>
      </c>
      <c r="HZ21" s="868">
        <f t="shared" si="82"/>
        <v>702.56386659361306</v>
      </c>
      <c r="IA21" s="869">
        <f t="shared" si="83"/>
        <v>117.46601220319761</v>
      </c>
      <c r="IB21" s="870">
        <f t="shared" si="84"/>
        <v>1132.3439853632397</v>
      </c>
      <c r="IC21" s="841">
        <f t="shared" si="85"/>
        <v>124.58088513662454</v>
      </c>
      <c r="ID21" s="351">
        <f t="shared" si="86"/>
        <v>280.25</v>
      </c>
      <c r="IE21" s="843">
        <f t="shared" si="87"/>
        <v>46.856736426765451</v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1.2290000000000001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</v>
      </c>
      <c r="IK21" s="677" cm="1">
        <f t="array" ref="IK21">IFERROR(ROUND(VALUE(IF($IJ21&lt;1,$IJ21+LARGE((IF($M$9:$M$150="",0,$M$9:$M$150)-MOD(IF($M$9:$M$150="",0,$M$9:$M$150),1)),1),$IJ21)),4),"")</f>
        <v>1.129</v>
      </c>
      <c r="IL21" s="482">
        <f t="shared" si="88"/>
        <v>1613</v>
      </c>
      <c r="IM21" s="482">
        <f t="shared" si="237"/>
        <v>1313</v>
      </c>
      <c r="IN21" s="670">
        <f t="shared" si="90"/>
        <v>11.252175084968883</v>
      </c>
      <c r="IO21" s="702">
        <v>2.32055117191819E-2</v>
      </c>
      <c r="IP21" s="5">
        <f t="shared" si="91"/>
        <v>1</v>
      </c>
      <c r="IQ21" s="714">
        <v>500</v>
      </c>
      <c r="IR21" s="9">
        <f t="shared" si="139"/>
        <v>-4.2595903691737202</v>
      </c>
      <c r="IS21" s="5">
        <f t="shared" si="92"/>
        <v>-1.356441988823057</v>
      </c>
      <c r="IT21" s="5">
        <f t="shared" si="93"/>
        <v>0.3125</v>
      </c>
      <c r="IU21" s="5">
        <f t="shared" si="94"/>
        <v>0.28749132344488265</v>
      </c>
      <c r="IV21" s="670">
        <f t="shared" si="95"/>
        <v>54.667570340259566</v>
      </c>
      <c r="IW21" s="9">
        <f t="shared" si="96"/>
        <v>-4.2793252959304864</v>
      </c>
      <c r="IX21" s="5">
        <f t="shared" si="97"/>
        <v>-1.3488751695259893</v>
      </c>
      <c r="IY21" s="5">
        <f t="shared" si="98"/>
        <v>0.26450000000000001</v>
      </c>
      <c r="IZ21" s="5">
        <f t="shared" si="99"/>
        <v>0.24333097371967805</v>
      </c>
      <c r="JA21" s="705">
        <f t="shared" si="100"/>
        <v>54.669117106879419</v>
      </c>
      <c r="JC21" s="708"/>
      <c r="JD21" s="1137"/>
      <c r="JE21" s="1138"/>
      <c r="JF21" s="1138"/>
      <c r="JG21" s="1138"/>
      <c r="JH21" s="1056" t="s">
        <v>349</v>
      </c>
      <c r="JI21" s="1057"/>
      <c r="JJ21" s="1294" t="s">
        <v>362</v>
      </c>
      <c r="JK21" s="1295"/>
    </row>
    <row r="22" spans="1:271" ht="15" customHeight="1" thickBot="1" x14ac:dyDescent="0.3">
      <c r="A22" s="75">
        <f t="shared" si="1"/>
        <v>0.02</v>
      </c>
      <c r="B22" s="578">
        <f t="shared" si="2"/>
        <v>1.1523457320586015</v>
      </c>
      <c r="C22" s="572">
        <f t="shared" si="3"/>
        <v>4.4177399349109097</v>
      </c>
      <c r="D22" s="576">
        <f t="shared" si="4"/>
        <v>-2.0444652358009967</v>
      </c>
      <c r="E22" s="580">
        <f t="shared" si="5"/>
        <v>-0.76102891865065869</v>
      </c>
      <c r="F22" s="572">
        <f t="shared" si="6"/>
        <v>0.63033075529679994</v>
      </c>
      <c r="G22" s="579">
        <f t="shared" si="7"/>
        <v>0.15335619943248102</v>
      </c>
      <c r="H22" s="580">
        <f t="shared" si="8"/>
        <v>0.26450000000000001</v>
      </c>
      <c r="I22" s="572">
        <f t="shared" si="9"/>
        <v>0.52</v>
      </c>
      <c r="J22" s="483">
        <f t="shared" si="10"/>
        <v>1.2350000000000001</v>
      </c>
      <c r="K22" s="806">
        <f t="shared" si="11"/>
        <v>1313</v>
      </c>
      <c r="L22" s="814">
        <f>IF($L21=$JJ$22,$JJ$30,IF($L21=$JK$22,$JK$30,""))</f>
        <v>590</v>
      </c>
      <c r="M22" s="164">
        <f t="shared" si="12"/>
        <v>1.2350000000000001</v>
      </c>
      <c r="N22" s="575">
        <f t="shared" si="13"/>
        <v>1.1523457320586015</v>
      </c>
      <c r="O22" s="572">
        <f t="shared" si="14"/>
        <v>4.4177399349109097</v>
      </c>
      <c r="P22" s="576">
        <f t="shared" si="15"/>
        <v>-2.0444652358009967</v>
      </c>
      <c r="Q22" s="528">
        <f t="shared" si="140"/>
        <v>75.380439465973794</v>
      </c>
      <c r="R22" s="572">
        <f t="shared" si="101"/>
        <v>4.5655587630322234</v>
      </c>
      <c r="S22" s="577">
        <f t="shared" si="102"/>
        <v>-2.0444652358009967</v>
      </c>
      <c r="T22" s="578">
        <f t="shared" si="103"/>
        <v>4.4283691209743274</v>
      </c>
      <c r="U22" s="572">
        <f t="shared" si="104"/>
        <v>-1.110798697830256</v>
      </c>
      <c r="V22" s="579">
        <f t="shared" si="141"/>
        <v>-2.0444652358009967</v>
      </c>
      <c r="W22" s="528">
        <f t="shared" si="253"/>
        <v>345.91863138619226</v>
      </c>
      <c r="X22" s="572">
        <f t="shared" si="105"/>
        <v>4.5655587630322234</v>
      </c>
      <c r="Y22" s="573">
        <f t="shared" si="255"/>
        <v>-2.0444652358009967</v>
      </c>
      <c r="Z22" s="575">
        <f t="shared" si="18"/>
        <v>0.76102891865065869</v>
      </c>
      <c r="AA22" s="572">
        <f t="shared" si="19"/>
        <v>-0.63033075529679994</v>
      </c>
      <c r="AB22" s="572">
        <f t="shared" si="20"/>
        <v>-0.15335619943248102</v>
      </c>
      <c r="AC22" s="579">
        <f t="shared" si="106"/>
        <v>1</v>
      </c>
      <c r="AD22" s="580">
        <f t="shared" si="142"/>
        <v>0.76102891865065869</v>
      </c>
      <c r="AE22" s="572">
        <f t="shared" si="107"/>
        <v>-0.63033075529679994</v>
      </c>
      <c r="AF22" s="576">
        <f t="shared" si="108"/>
        <v>-0.15335619943248102</v>
      </c>
      <c r="AG22" s="545">
        <f t="shared" si="109"/>
        <v>-76.325903555320238</v>
      </c>
      <c r="AH22" s="546">
        <f t="shared" si="110"/>
        <v>40.445010764712805</v>
      </c>
      <c r="AI22" s="528">
        <f t="shared" si="111"/>
        <v>-81.178526359084344</v>
      </c>
      <c r="AJ22" s="529">
        <f t="shared" si="112"/>
        <v>50.366364576011719</v>
      </c>
      <c r="AK22" s="578">
        <f t="shared" si="238"/>
        <v>0.89548443320907234</v>
      </c>
      <c r="AL22" s="572">
        <f t="shared" si="113"/>
        <v>-0.41783909100974698</v>
      </c>
      <c r="AM22" s="577">
        <f t="shared" si="114"/>
        <v>-0.15335619943248102</v>
      </c>
      <c r="AN22" s="524">
        <f t="shared" si="115"/>
        <v>-69.845744995743289</v>
      </c>
      <c r="AO22" s="525">
        <f t="shared" si="116"/>
        <v>26.429278338880472</v>
      </c>
      <c r="AP22" s="528">
        <f t="shared" si="117"/>
        <v>-25.014074889962046</v>
      </c>
      <c r="AQ22" s="529">
        <f t="shared" si="21"/>
        <v>0.99856159106110365</v>
      </c>
      <c r="AS22" s="932">
        <f t="shared" si="143"/>
        <v>345.91863138619226</v>
      </c>
      <c r="AT22" s="928">
        <f t="shared" si="22"/>
        <v>-2.0284548940988794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>
        <f t="shared" si="137"/>
        <v>14</v>
      </c>
      <c r="HL22" s="348">
        <f t="shared" si="72"/>
        <v>2.14</v>
      </c>
      <c r="HM22" s="909" t="e">
        <f t="shared" si="138"/>
        <v>#VALUE!</v>
      </c>
      <c r="HN22" s="910">
        <f t="shared" si="73"/>
        <v>29.226525862122337</v>
      </c>
      <c r="HO22" s="911"/>
      <c r="HP22" s="912"/>
      <c r="HQ22" s="910" t="e">
        <f t="shared" si="74"/>
        <v>#VALUE!</v>
      </c>
      <c r="HR22" s="913" t="e">
        <f t="shared" si="75"/>
        <v>#VALUE!</v>
      </c>
      <c r="HS22" s="865">
        <f t="shared" si="251"/>
        <v>4.9076000000000004</v>
      </c>
      <c r="HT22" s="875">
        <f t="shared" si="76"/>
        <v>1.8E-3</v>
      </c>
      <c r="HU22" s="876">
        <f t="shared" si="77"/>
        <v>5.5510944722378067E-2</v>
      </c>
      <c r="HV22" s="872">
        <f t="shared" si="78"/>
        <v>8.479414321096404E-3</v>
      </c>
      <c r="HW22" s="866">
        <f t="shared" si="79"/>
        <v>29500</v>
      </c>
      <c r="HX22" s="867">
        <f t="shared" si="80"/>
        <v>21.716130000000003</v>
      </c>
      <c r="HY22" s="866" t="e">
        <f t="shared" si="81"/>
        <v>#VALUE!</v>
      </c>
      <c r="HZ22" s="868">
        <f t="shared" si="82"/>
        <v>136.46440577584607</v>
      </c>
      <c r="IA22" s="869" t="e">
        <f t="shared" si="83"/>
        <v>#VALUE!</v>
      </c>
      <c r="IB22" s="870" t="e">
        <f t="shared" si="84"/>
        <v>#VALUE!</v>
      </c>
      <c r="IC22" s="841" t="e">
        <f t="shared" si="85"/>
        <v>#VALUE!</v>
      </c>
      <c r="ID22" s="351">
        <f t="shared" si="86"/>
        <v>53.1</v>
      </c>
      <c r="IE22" s="843" t="e">
        <f t="shared" si="87"/>
        <v>#VALUE!</v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1.2350000000000001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1.135</v>
      </c>
      <c r="IK22" s="677" cm="1">
        <f t="array" ref="IK22">IFERROR(ROUND(VALUE(IF($IJ22&lt;1,$IJ22+LARGE((IF($M$9:$M$150="",0,$M$9:$M$150)-MOD(IF($M$9:$M$150="",0,$M$9:$M$150),1)),1),$IJ22)),4),"")</f>
        <v>1.135</v>
      </c>
      <c r="IL22" s="482">
        <f t="shared" si="88"/>
        <v>1613</v>
      </c>
      <c r="IM22" s="482">
        <f t="shared" si="237"/>
        <v>1313</v>
      </c>
      <c r="IN22" s="670">
        <f t="shared" si="90"/>
        <v>11.734151647862006</v>
      </c>
      <c r="IO22" s="702">
        <v>2.17203574071212E-2</v>
      </c>
      <c r="IP22" s="5">
        <f t="shared" si="91"/>
        <v>1.1200000000000001</v>
      </c>
      <c r="IQ22" s="714">
        <v>560</v>
      </c>
      <c r="IR22" s="9">
        <f t="shared" si="139"/>
        <v>-4.5440357805760314</v>
      </c>
      <c r="IS22" s="5">
        <f t="shared" si="92"/>
        <v>-2.0457794456107936</v>
      </c>
      <c r="IT22" s="5">
        <f t="shared" si="93"/>
        <v>0.3125</v>
      </c>
      <c r="IU22" s="5">
        <f t="shared" si="94"/>
        <v>0.27984130702618248</v>
      </c>
      <c r="IV22" s="670">
        <f t="shared" si="95"/>
        <v>69.845008350277126</v>
      </c>
      <c r="IW22" s="9">
        <f t="shared" si="96"/>
        <v>-4.5655587630322234</v>
      </c>
      <c r="IX22" s="5">
        <f t="shared" si="97"/>
        <v>-2.0444652358009967</v>
      </c>
      <c r="IY22" s="5">
        <f t="shared" si="98"/>
        <v>0.26450000000000001</v>
      </c>
      <c r="IZ22" s="5">
        <f t="shared" si="99"/>
        <v>0.23685563258379966</v>
      </c>
      <c r="JA22" s="705">
        <f t="shared" si="100"/>
        <v>69.845744995743289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1.7000668462632167</v>
      </c>
      <c r="C23" s="572">
        <f t="shared" si="3"/>
        <v>4.3466115201766682</v>
      </c>
      <c r="D23" s="576">
        <f t="shared" si="4"/>
        <v>-2.8586340045225662</v>
      </c>
      <c r="E23" s="580">
        <f t="shared" si="5"/>
        <v>0.36286809810263143</v>
      </c>
      <c r="F23" s="572">
        <f t="shared" si="6"/>
        <v>0.92775566971635115</v>
      </c>
      <c r="G23" s="579">
        <f t="shared" si="7"/>
        <v>8.7155956127759296E-2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1.2410000000000001</v>
      </c>
      <c r="K23" s="806" t="str">
        <f t="shared" si="11"/>
        <v>CPS-32193r1</v>
      </c>
      <c r="M23" s="164">
        <f t="shared" si="12"/>
        <v>1.2410000000000001</v>
      </c>
      <c r="N23" s="575">
        <f t="shared" si="13"/>
        <v>1.7000668462632167</v>
      </c>
      <c r="O23" s="572">
        <f t="shared" si="14"/>
        <v>4.3466115201766682</v>
      </c>
      <c r="P23" s="576">
        <f t="shared" si="15"/>
        <v>-2.8586340045225662</v>
      </c>
      <c r="Q23" s="528">
        <f t="shared" si="140"/>
        <v>68.638307761173422</v>
      </c>
      <c r="R23" s="572">
        <f t="shared" si="101"/>
        <v>4.667253902360132</v>
      </c>
      <c r="S23" s="577">
        <f t="shared" si="102"/>
        <v>-2.8586340045225662</v>
      </c>
      <c r="T23" s="578">
        <f t="shared" si="103"/>
        <v>4.3623886339629392</v>
      </c>
      <c r="U23" s="572">
        <f t="shared" si="104"/>
        <v>-1.659163763878311</v>
      </c>
      <c r="V23" s="579">
        <f t="shared" si="141"/>
        <v>-2.8586340045225662</v>
      </c>
      <c r="W23" s="528">
        <f t="shared" si="253"/>
        <v>339.17649968139193</v>
      </c>
      <c r="X23" s="572">
        <f t="shared" si="105"/>
        <v>4.667253902360132</v>
      </c>
      <c r="Y23" s="573">
        <f t="shared" si="255"/>
        <v>-2.8586340045225662</v>
      </c>
      <c r="Z23" s="575">
        <f t="shared" si="18"/>
        <v>-0.36286809810263143</v>
      </c>
      <c r="AA23" s="572">
        <f t="shared" si="19"/>
        <v>-0.92775566971635115</v>
      </c>
      <c r="AB23" s="572">
        <f t="shared" si="20"/>
        <v>-8.7155956127759296E-2</v>
      </c>
      <c r="AC23" s="579">
        <f t="shared" si="106"/>
        <v>1</v>
      </c>
      <c r="AD23" s="580">
        <f t="shared" si="142"/>
        <v>-0.36286809810263143</v>
      </c>
      <c r="AE23" s="572">
        <f t="shared" si="107"/>
        <v>-0.92775566971635115</v>
      </c>
      <c r="AF23" s="576">
        <f t="shared" si="108"/>
        <v>-8.7155956127759296E-2</v>
      </c>
      <c r="AG23" s="545">
        <f t="shared" si="109"/>
        <v>-84.633225334061578</v>
      </c>
      <c r="AH23" s="546">
        <f t="shared" si="110"/>
        <v>111.27644057569022</v>
      </c>
      <c r="AI23" s="528">
        <f t="shared" si="111"/>
        <v>-84.999987727520178</v>
      </c>
      <c r="AJ23" s="529">
        <f t="shared" si="112"/>
        <v>-21.361692238826578</v>
      </c>
      <c r="AK23" s="578">
        <f t="shared" si="238"/>
        <v>-3.3306690738754696E-16</v>
      </c>
      <c r="AL23" s="572">
        <f t="shared" si="113"/>
        <v>-0.99619467942338269</v>
      </c>
      <c r="AM23" s="577">
        <f t="shared" si="114"/>
        <v>-8.7155956127759296E-2</v>
      </c>
      <c r="AN23" s="524">
        <f t="shared" si="115"/>
        <v>-84.999987727520178</v>
      </c>
      <c r="AO23" s="525">
        <f t="shared" si="116"/>
        <v>0</v>
      </c>
      <c r="AP23" s="528">
        <f t="shared" si="117"/>
        <v>-90.000000000000014</v>
      </c>
      <c r="AQ23" s="529">
        <f t="shared" si="21"/>
        <v>0.97680812158684527</v>
      </c>
      <c r="AS23" s="932">
        <f t="shared" si="143"/>
        <v>339.17649968139193</v>
      </c>
      <c r="AT23" s="928">
        <f t="shared" si="22"/>
        <v>-2.8332595910082263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>
        <f t="shared" si="137"/>
        <v>15</v>
      </c>
      <c r="HL23" s="348">
        <f t="shared" si="72"/>
        <v>1.141</v>
      </c>
      <c r="HM23" s="909" t="e">
        <f t="shared" si="138"/>
        <v>#VALUE!</v>
      </c>
      <c r="HN23" s="910">
        <f t="shared" si="73"/>
        <v>29.788825501047704</v>
      </c>
      <c r="HO23" s="911"/>
      <c r="HP23" s="912"/>
      <c r="HQ23" s="910" t="e">
        <f t="shared" si="74"/>
        <v>#VALUE!</v>
      </c>
      <c r="HR23" s="913" t="e">
        <f t="shared" si="75"/>
        <v>#VALUE!</v>
      </c>
      <c r="HS23" s="865">
        <f t="shared" si="251"/>
        <v>4.9236000000000004</v>
      </c>
      <c r="HT23" s="875">
        <f t="shared" si="76"/>
        <v>4.5999999999999999E-3</v>
      </c>
      <c r="HU23" s="876">
        <f t="shared" si="77"/>
        <v>0.14232368503224171</v>
      </c>
      <c r="HV23" s="872">
        <f t="shared" si="78"/>
        <v>2.174024418300162E-2</v>
      </c>
      <c r="HW23" s="866">
        <f t="shared" si="79"/>
        <v>29500</v>
      </c>
      <c r="HX23" s="867">
        <f t="shared" si="80"/>
        <v>55.677710000000005</v>
      </c>
      <c r="HY23" s="866" t="e">
        <f t="shared" si="81"/>
        <v>#VALUE!</v>
      </c>
      <c r="HZ23" s="868">
        <f t="shared" si="82"/>
        <v>349.87905903759417</v>
      </c>
      <c r="IA23" s="869" t="e">
        <f t="shared" si="83"/>
        <v>#VALUE!</v>
      </c>
      <c r="IB23" s="870" t="e">
        <f t="shared" si="84"/>
        <v>#VALUE!</v>
      </c>
      <c r="IC23" s="841" t="e">
        <f t="shared" si="85"/>
        <v>#VALUE!</v>
      </c>
      <c r="ID23" s="351">
        <f t="shared" si="86"/>
        <v>135.69999999999999</v>
      </c>
      <c r="IE23" s="843" t="e">
        <f t="shared" si="87"/>
        <v>#VALUE!</v>
      </c>
      <c r="IF23" s="844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>Gage</v>
      </c>
      <c r="II23" s="788">
        <f t="shared" si="236"/>
        <v>1.2410000000000001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1.141</v>
      </c>
      <c r="IK23" s="677" cm="1">
        <f t="array" ref="IK23">IFERROR(ROUND(VALUE(IF($IJ23&lt;1,$IJ23+LARGE((IF($M$9:$M$150="",0,$M$9:$M$150)-MOD(IF($M$9:$M$150="",0,$M$9:$M$150),1)),1),$IJ23)),4),"")</f>
        <v>1.141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18.259715394267459</v>
      </c>
      <c r="IO23" s="702">
        <v>3.03480442543855E-2</v>
      </c>
      <c r="IP23" s="5">
        <f t="shared" si="91"/>
        <v>1.48</v>
      </c>
      <c r="IQ23" s="714">
        <v>740</v>
      </c>
      <c r="IR23" s="9">
        <f t="shared" si="139"/>
        <v>-4.6815983957116201</v>
      </c>
      <c r="IS23" s="5">
        <f t="shared" si="92"/>
        <v>-2.8419886990595646</v>
      </c>
      <c r="IT23" s="5">
        <f t="shared" si="93"/>
        <v>0.3125</v>
      </c>
      <c r="IU23" s="5">
        <f t="shared" si="94"/>
        <v>0.27120698830943957</v>
      </c>
      <c r="IV23" s="670">
        <f t="shared" si="95"/>
        <v>84.967735525253502</v>
      </c>
      <c r="IW23" s="9">
        <f t="shared" si="96"/>
        <v>-4.667253902360132</v>
      </c>
      <c r="IX23" s="5">
        <f t="shared" si="97"/>
        <v>-2.8586340045225662</v>
      </c>
      <c r="IY23" s="5">
        <f t="shared" si="98"/>
        <v>0.255</v>
      </c>
      <c r="IZ23" s="5">
        <f t="shared" si="99"/>
        <v>0.255</v>
      </c>
      <c r="JA23" s="705">
        <f t="shared" si="100"/>
        <v>84.999987727520178</v>
      </c>
      <c r="JC23" s="796" cm="1">
        <f t="array" ref="JC23:JC25">IFERROR(_xlfn._xlws.SORT(_xlfn.UNIQUE(_xlfn._xlws.FILTER($IM$9:$IM$150,$IM$9:$IM$150&lt;&gt;"")),,1),"")</f>
        <v>1310</v>
      </c>
      <c r="JD23" s="800" cm="1">
        <f t="array" ref="JD23">IF($JC23="","",COUNT(IF(IF($IK$9:$IK$150&lt;&gt;"",$IM$9:$IM$150,"")=$JC23,$II$9:$II$150,"")))</f>
        <v>6</v>
      </c>
      <c r="JE23" s="191"/>
      <c r="JF23" s="191"/>
      <c r="JG23" s="812"/>
      <c r="JH23" s="737" cm="1">
        <f t="array" ref="JH23:JI25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6</v>
      </c>
      <c r="JI23" s="742" t="str">
        <v/>
      </c>
      <c r="JJ23" s="741" cm="1">
        <f t="array" ref="JJ23:JK25">IF(_xlfn.ANCHORARRAY($JH$23)="","",_xlfn.MINIFS($IQ$9:$IQ$150,$IM$9:$IM$150,_xlfn.ANCHORARRAY($JC$23),$IG$9:$IG$150,_xlfn.ANCHORARRAY($JJ$22),$IK$9:$IK$150,"&lt;&gt;"&amp;"",$IH$9:$IH$150,"&lt;&gt;"&amp;"Gage"))</f>
        <v>270</v>
      </c>
      <c r="JK23" s="742" t="str">
        <v/>
      </c>
    </row>
    <row r="24" spans="1:271" ht="15" customHeight="1" x14ac:dyDescent="0.25">
      <c r="A24" s="75">
        <f t="shared" si="1"/>
        <v>0.02</v>
      </c>
      <c r="B24" s="578">
        <f t="shared" si="2"/>
        <v>2.030934894241184</v>
      </c>
      <c r="C24" s="572">
        <f t="shared" si="3"/>
        <v>1.1484786043042858</v>
      </c>
      <c r="D24" s="576">
        <f t="shared" si="4"/>
        <v>-0.15336647542755844</v>
      </c>
      <c r="E24" s="580">
        <f t="shared" si="5"/>
        <v>-0.44887861642149146</v>
      </c>
      <c r="F24" s="572">
        <f t="shared" si="6"/>
        <v>0.85077992803660552</v>
      </c>
      <c r="G24" s="579">
        <f t="shared" si="7"/>
        <v>0.27327916453611356</v>
      </c>
      <c r="H24" s="580">
        <f t="shared" si="8"/>
        <v>0.3125</v>
      </c>
      <c r="I24" s="572">
        <f t="shared" si="9"/>
        <v>0.52</v>
      </c>
      <c r="J24" s="483">
        <f t="shared" si="10"/>
        <v>2.11</v>
      </c>
      <c r="K24" s="806">
        <f t="shared" si="11"/>
        <v>1613</v>
      </c>
      <c r="L24" s="82"/>
      <c r="M24" s="164">
        <f t="shared" si="12"/>
        <v>2.11</v>
      </c>
      <c r="N24" s="575">
        <f t="shared" si="13"/>
        <v>2.030934894241184</v>
      </c>
      <c r="O24" s="572">
        <f t="shared" si="14"/>
        <v>1.1484786043042858</v>
      </c>
      <c r="P24" s="576">
        <f t="shared" si="15"/>
        <v>-0.15336647542755844</v>
      </c>
      <c r="Q24" s="528">
        <f t="shared" si="140"/>
        <v>29.487837008225782</v>
      </c>
      <c r="R24" s="572">
        <f t="shared" si="101"/>
        <v>2.3331737288918646</v>
      </c>
      <c r="S24" s="577">
        <f t="shared" si="102"/>
        <v>-0.15336647542755844</v>
      </c>
      <c r="T24" s="578">
        <f t="shared" si="103"/>
        <v>1.1675046778445366</v>
      </c>
      <c r="U24" s="572">
        <f t="shared" si="104"/>
        <v>-2.0200575428443353</v>
      </c>
      <c r="V24" s="579">
        <f t="shared" si="141"/>
        <v>-0.15336647542755844</v>
      </c>
      <c r="W24" s="528">
        <f t="shared" si="253"/>
        <v>300.02602892844425</v>
      </c>
      <c r="X24" s="572">
        <f t="shared" si="105"/>
        <v>2.3331737288918646</v>
      </c>
      <c r="Y24" s="573">
        <f t="shared" si="255"/>
        <v>-0.15336647542755844</v>
      </c>
      <c r="Z24" s="575">
        <f t="shared" si="18"/>
        <v>0.44887861642149146</v>
      </c>
      <c r="AA24" s="572">
        <f t="shared" si="19"/>
        <v>-0.85077992803660552</v>
      </c>
      <c r="AB24" s="572">
        <f t="shared" si="20"/>
        <v>-0.27327916453611356</v>
      </c>
      <c r="AC24" s="579">
        <f t="shared" si="106"/>
        <v>1</v>
      </c>
      <c r="AD24" s="580">
        <f t="shared" si="142"/>
        <v>0.44887861642149146</v>
      </c>
      <c r="AE24" s="572">
        <f t="shared" si="107"/>
        <v>-0.85077992803660552</v>
      </c>
      <c r="AF24" s="576">
        <f t="shared" si="108"/>
        <v>-0.27327916453611356</v>
      </c>
      <c r="AG24" s="545">
        <f t="shared" si="109"/>
        <v>-72.192453552262236</v>
      </c>
      <c r="AH24" s="546">
        <f t="shared" si="110"/>
        <v>63.328240119854321</v>
      </c>
      <c r="AI24" s="528">
        <f t="shared" si="111"/>
        <v>-74.140510179260801</v>
      </c>
      <c r="AJ24" s="529">
        <f t="shared" si="112"/>
        <v>27.81650444571498</v>
      </c>
      <c r="AK24" s="578">
        <f>IF(M24="","",(COS(RADIANS((90-$Q$8)-W24))*AD24)+(-SIN(RADIANS((90-$Q$8)-W24))*AE24))</f>
        <v>0.9615255402026317</v>
      </c>
      <c r="AL24" s="572">
        <f t="shared" si="113"/>
        <v>-2.8055904342604965E-2</v>
      </c>
      <c r="AM24" s="577">
        <f t="shared" si="114"/>
        <v>-0.27327916453611356</v>
      </c>
      <c r="AN24" s="524">
        <f t="shared" si="115"/>
        <v>-5.8616718774737446</v>
      </c>
      <c r="AO24" s="525">
        <f t="shared" si="116"/>
        <v>15.945063753204032</v>
      </c>
      <c r="AP24" s="528">
        <f t="shared" si="117"/>
        <v>-1.6713325625107576</v>
      </c>
      <c r="AQ24" s="529">
        <f t="shared" si="21"/>
        <v>1.9534278392099809</v>
      </c>
      <c r="AS24" s="932">
        <f t="shared" si="143"/>
        <v>300.02602892844425</v>
      </c>
      <c r="AT24" s="928">
        <f t="shared" si="22"/>
        <v>-7.3616408089679924E-2</v>
      </c>
      <c r="AU24" s="418"/>
      <c r="AV24" s="164">
        <f t="shared" si="23"/>
        <v>2.11</v>
      </c>
      <c r="AW24" s="829">
        <f>IFERROR(INDEX(MassProp!C$9:C$150,MATCH($M24,MassProp!$B$9:$B$150,0)),"")</f>
        <v>2.2400000000000002</v>
      </c>
      <c r="AX24" s="830">
        <f>IFERROR(INDEX(MassProp!D$9:D$150,MATCH($M24,MassProp!$B$9:$B$150,0)),"")</f>
        <v>0.36080000000000001</v>
      </c>
      <c r="AY24" s="831">
        <f>IFERROR(INDEX(MassProp!E$9:E$150,MATCH($M24,MassProp!$B$9:$B$150,0)),"")</f>
        <v>3.6799999999999999E-2</v>
      </c>
      <c r="AZ24" s="297">
        <f t="shared" si="144"/>
        <v>0.51826226422762056</v>
      </c>
      <c r="BA24" s="296">
        <f t="shared" si="24"/>
        <v>7.9165658004086537E-2</v>
      </c>
      <c r="BB24" s="190">
        <f t="shared" si="145"/>
        <v>-6.5583591910320038E-2</v>
      </c>
      <c r="BC24" s="9"/>
      <c r="BD24" s="5">
        <f t="shared" si="146"/>
        <v>2.2400000000000002</v>
      </c>
      <c r="BE24" s="6">
        <f t="shared" si="25"/>
        <v>-0.21895006733787847</v>
      </c>
      <c r="BF24" s="4">
        <f t="shared" si="26"/>
        <v>2.030934894241184</v>
      </c>
      <c r="BG24" s="5">
        <f t="shared" si="27"/>
        <v>1.1484786043042858</v>
      </c>
      <c r="BH24" s="10">
        <f t="shared" si="28"/>
        <v>-0.15336647542755844</v>
      </c>
      <c r="BI24" s="9">
        <f t="shared" si="147"/>
        <v>2.030934894241184</v>
      </c>
      <c r="BJ24" s="5">
        <f t="shared" si="29"/>
        <v>1.4542993119204315</v>
      </c>
      <c r="BK24" s="8">
        <f t="shared" si="30"/>
        <v>-1.1054555966726025</v>
      </c>
      <c r="BL24" s="173">
        <f t="shared" si="31"/>
        <v>2.9245276357736607</v>
      </c>
      <c r="BM24" s="5">
        <f t="shared" si="32"/>
        <v>1.5758510517587148</v>
      </c>
      <c r="BN24" s="6">
        <f t="shared" si="33"/>
        <v>-1.6090099319781476E-2</v>
      </c>
      <c r="BO24" s="4">
        <f t="shared" si="148"/>
        <v>0.44887861642149141</v>
      </c>
      <c r="BP24" s="5">
        <f t="shared" si="239"/>
        <v>-0.85077992803660552</v>
      </c>
      <c r="BQ24" s="5">
        <f t="shared" si="149"/>
        <v>-0.27327916453611367</v>
      </c>
      <c r="BR24" s="6">
        <f t="shared" si="150"/>
        <v>2.3547436679778933E-2</v>
      </c>
      <c r="BS24" s="4">
        <f t="shared" si="118"/>
        <v>0</v>
      </c>
      <c r="BT24" s="5">
        <f t="shared" si="118"/>
        <v>0</v>
      </c>
      <c r="BU24" s="10">
        <f t="shared" si="119"/>
        <v>-0.21895006733787847</v>
      </c>
      <c r="BV24" s="9">
        <f t="shared" si="120"/>
        <v>0</v>
      </c>
      <c r="BW24" s="5">
        <f t="shared" si="121"/>
        <v>1</v>
      </c>
      <c r="BX24" s="8">
        <f t="shared" si="122"/>
        <v>-0.21895006733787847</v>
      </c>
      <c r="BY24" s="173">
        <f t="shared" si="123"/>
        <v>1</v>
      </c>
      <c r="BZ24" s="5">
        <f t="shared" si="124"/>
        <v>0</v>
      </c>
      <c r="CA24" s="6">
        <f t="shared" si="125"/>
        <v>-0.21895006733787847</v>
      </c>
      <c r="CB24" s="4">
        <f t="shared" si="151"/>
        <v>0</v>
      </c>
      <c r="CC24" s="5">
        <f t="shared" si="152"/>
        <v>0</v>
      </c>
      <c r="CD24" s="5">
        <f t="shared" si="153"/>
        <v>-1</v>
      </c>
      <c r="CE24" s="6">
        <f t="shared" si="154"/>
        <v>-0.21895006733787847</v>
      </c>
      <c r="CF24" s="4">
        <f t="shared" si="155"/>
        <v>0.85077992803660552</v>
      </c>
      <c r="CG24" s="5">
        <f t="shared" si="156"/>
        <v>0.44887861642149141</v>
      </c>
      <c r="CH24" s="5">
        <f t="shared" si="157"/>
        <v>0</v>
      </c>
      <c r="CI24" s="4">
        <f t="shared" si="126"/>
        <v>0</v>
      </c>
      <c r="CJ24" s="5">
        <f t="shared" si="127"/>
        <v>9.8006459025691314E-2</v>
      </c>
      <c r="CK24" s="8">
        <f t="shared" si="128"/>
        <v>-0.21895006733787847</v>
      </c>
      <c r="CL24" s="173">
        <f t="shared" si="129"/>
        <v>0.85077992803660552</v>
      </c>
      <c r="CM24" s="5">
        <f t="shared" si="130"/>
        <v>0.54688507544718268</v>
      </c>
      <c r="CN24" s="6">
        <f t="shared" si="131"/>
        <v>-0.21895006733787847</v>
      </c>
      <c r="CO24" s="167">
        <f t="shared" si="35"/>
        <v>0.3125</v>
      </c>
      <c r="CP24" s="4">
        <f t="shared" si="240"/>
        <v>0.9253184982304441</v>
      </c>
      <c r="CQ24" s="5">
        <f t="shared" si="241"/>
        <v>-4.3988262526630342</v>
      </c>
      <c r="CR24" s="5">
        <f t="shared" si="158"/>
        <v>5.1348332301805204</v>
      </c>
      <c r="CS24" s="8">
        <f t="shared" si="159"/>
        <v>0.34424770825983586</v>
      </c>
      <c r="CT24" s="9">
        <f t="shared" si="160"/>
        <v>2.693965659218704</v>
      </c>
      <c r="CU24" s="6">
        <f t="shared" si="161"/>
        <v>2.0598853240646084</v>
      </c>
      <c r="CV24" s="4">
        <f t="shared" si="242"/>
        <v>2.2919719096831757</v>
      </c>
      <c r="CW24" s="5">
        <f t="shared" si="162"/>
        <v>1.3072700368227941</v>
      </c>
      <c r="CX24" s="8">
        <f t="shared" si="163"/>
        <v>-0.21895006733787847</v>
      </c>
      <c r="CY24" s="9">
        <f t="shared" si="164"/>
        <v>1.7525090877713474</v>
      </c>
      <c r="CZ24" s="5">
        <f t="shared" si="165"/>
        <v>1.0226449332787482</v>
      </c>
      <c r="DA24" s="6">
        <f t="shared" si="166"/>
        <v>-0.21895006733787847</v>
      </c>
      <c r="DB24" s="4">
        <f t="shared" si="167"/>
        <v>0</v>
      </c>
      <c r="DC24" s="5">
        <f t="shared" si="167"/>
        <v>0</v>
      </c>
      <c r="DD24" s="10">
        <f t="shared" si="168"/>
        <v>-10</v>
      </c>
      <c r="DE24" s="9">
        <f t="shared" si="169"/>
        <v>0</v>
      </c>
      <c r="DF24" s="5">
        <f t="shared" si="169"/>
        <v>0</v>
      </c>
      <c r="DG24" s="10">
        <f t="shared" si="170"/>
        <v>10</v>
      </c>
      <c r="DH24" s="70">
        <f t="shared" si="171"/>
        <v>2.2400000000000002</v>
      </c>
      <c r="DI24" s="4">
        <f t="shared" si="172"/>
        <v>0</v>
      </c>
      <c r="DJ24" s="5">
        <f t="shared" si="173"/>
        <v>0</v>
      </c>
      <c r="DK24" s="10">
        <f t="shared" si="174"/>
        <v>20</v>
      </c>
      <c r="DL24" s="9">
        <f t="shared" si="175"/>
        <v>2.2919719096831757</v>
      </c>
      <c r="DM24" s="173">
        <f t="shared" si="176"/>
        <v>1.3072700368227941</v>
      </c>
      <c r="DN24" s="178">
        <f t="shared" si="177"/>
        <v>9.7810499326621212</v>
      </c>
      <c r="DO24" s="9">
        <f t="shared" si="178"/>
        <v>-0.53946282191182826</v>
      </c>
      <c r="DP24" s="173">
        <f t="shared" si="179"/>
        <v>-0.28462510354404591</v>
      </c>
      <c r="DQ24" s="11">
        <f t="shared" si="180"/>
        <v>0</v>
      </c>
      <c r="DR24" s="173">
        <f t="shared" si="181"/>
        <v>195.62099865324242</v>
      </c>
      <c r="DS24" s="5">
        <f t="shared" si="182"/>
        <v>0</v>
      </c>
      <c r="DT24" s="5">
        <f t="shared" si="183"/>
        <v>400</v>
      </c>
      <c r="DU24" s="5">
        <f t="shared" si="184"/>
        <v>0.37203158579253182</v>
      </c>
      <c r="DV24" s="5">
        <f t="shared" si="185"/>
        <v>-1.6085155037310443</v>
      </c>
      <c r="DW24" s="5">
        <f t="shared" si="186"/>
        <v>102.6310279691811</v>
      </c>
      <c r="DX24" s="167">
        <f t="shared" si="187"/>
        <v>97.613427969181103</v>
      </c>
      <c r="DY24" s="9">
        <f t="shared" si="188"/>
        <v>148.81263431701274</v>
      </c>
      <c r="DZ24" s="5">
        <f t="shared" si="189"/>
        <v>-643.40620149241772</v>
      </c>
      <c r="EA24" s="10">
        <f t="shared" si="190"/>
        <v>777.79607358056819</v>
      </c>
      <c r="EB24" s="6">
        <f t="shared" si="191"/>
        <v>298225.65744794824</v>
      </c>
      <c r="EC24" s="173">
        <f t="shared" si="192"/>
        <v>7.9933173458519455</v>
      </c>
      <c r="ED24" s="5">
        <f t="shared" si="193"/>
        <v>0.65388125318342616</v>
      </c>
      <c r="EE24" s="4">
        <f t="shared" si="194"/>
        <v>-2.0201256221468804</v>
      </c>
      <c r="EF24" s="5">
        <f t="shared" si="195"/>
        <v>-0.96782874040073397</v>
      </c>
      <c r="EG24" s="10">
        <f t="shared" si="196"/>
        <v>-0.21895006733787847</v>
      </c>
      <c r="EH24" s="9">
        <f t="shared" si="197"/>
        <v>1.9392272836456019</v>
      </c>
      <c r="EI24" s="5">
        <f t="shared" si="198"/>
        <v>1.1211590174299508</v>
      </c>
      <c r="EJ24" s="6">
        <f t="shared" si="199"/>
        <v>-0.21895006733787847</v>
      </c>
      <c r="EK24" s="236" t="b">
        <f t="shared" si="200"/>
        <v>0</v>
      </c>
      <c r="EL24" s="238" t="b">
        <f t="shared" si="201"/>
        <v>1</v>
      </c>
      <c r="EM24" s="4">
        <f t="shared" si="202"/>
        <v>1.9392272836456019</v>
      </c>
      <c r="EN24" s="5">
        <f t="shared" si="203"/>
        <v>1.1211590174299508</v>
      </c>
      <c r="EO24" s="10">
        <f t="shared" si="204"/>
        <v>-0.21895006733787847</v>
      </c>
      <c r="EP24" s="9">
        <f t="shared" si="205"/>
        <v>30.034238040300735</v>
      </c>
      <c r="EQ24" s="5">
        <f t="shared" si="206"/>
        <v>2.2399999999999984</v>
      </c>
      <c r="ER24" s="7">
        <f t="shared" si="207"/>
        <v>-0.21895006733787847</v>
      </c>
      <c r="ES24" s="21">
        <f t="shared" si="132"/>
        <v>0.44887861642149146</v>
      </c>
      <c r="ET24" s="5">
        <f t="shared" si="44"/>
        <v>-0.85077992803660552</v>
      </c>
      <c r="EU24" s="10">
        <f t="shared" si="45"/>
        <v>-0.27327916453611356</v>
      </c>
      <c r="EV24" s="174">
        <f t="shared" si="254"/>
        <v>59.965761959699265</v>
      </c>
      <c r="EW24" s="9">
        <f t="shared" si="133"/>
        <v>0.96121426667815357</v>
      </c>
      <c r="EX24" s="5">
        <f t="shared" si="47"/>
        <v>-3.7224075070089402E-2</v>
      </c>
      <c r="EY24" s="6">
        <f t="shared" si="208"/>
        <v>-0.27327916453611356</v>
      </c>
      <c r="EZ24" s="51">
        <f t="shared" si="209"/>
        <v>2.0346145514240868</v>
      </c>
      <c r="FA24" s="266">
        <f t="shared" si="134"/>
        <v>0.50020187256042603</v>
      </c>
      <c r="FB24" s="267">
        <f t="shared" si="135"/>
        <v>-0.86518067778053065</v>
      </c>
      <c r="FC24" s="269">
        <f t="shared" si="48"/>
        <v>-3.5503260163890202E-2</v>
      </c>
      <c r="FD24" s="4">
        <f t="shared" si="136"/>
        <v>0.99936956053190618</v>
      </c>
      <c r="FE24" s="5">
        <f t="shared" si="49"/>
        <v>-1.1102230246251565E-16</v>
      </c>
      <c r="FF24" s="7">
        <f t="shared" si="210"/>
        <v>-3.5503260163890202E-2</v>
      </c>
      <c r="FG24" s="173">
        <f t="shared" si="211"/>
        <v>-3.8155293853752603E-2</v>
      </c>
      <c r="FH24" s="5">
        <f t="shared" si="50"/>
        <v>-3.7224075070089291E-2</v>
      </c>
      <c r="FI24" s="10">
        <f t="shared" si="51"/>
        <v>-0.23777590437222335</v>
      </c>
      <c r="FJ24" s="279">
        <f t="shared" si="212"/>
        <v>13.996481543637707</v>
      </c>
      <c r="FK24" s="4">
        <f t="shared" si="52"/>
        <v>0.96193476817840617</v>
      </c>
      <c r="FL24" s="5">
        <f t="shared" si="213"/>
        <v>0.99936956053190606</v>
      </c>
      <c r="FM24" s="8">
        <f t="shared" si="214"/>
        <v>5.3305330070170791E-2</v>
      </c>
      <c r="FN24" s="9">
        <f t="shared" si="215"/>
        <v>2.2177335945859271</v>
      </c>
      <c r="FO24" s="10">
        <f t="shared" si="53"/>
        <v>1</v>
      </c>
      <c r="FP24" s="277">
        <f t="shared" si="54"/>
        <v>2.2177335945859271</v>
      </c>
      <c r="FQ24" s="173">
        <f t="shared" si="243"/>
        <v>3.8697088723160043E-2</v>
      </c>
      <c r="FR24" s="10">
        <f t="shared" si="216"/>
        <v>0.99925098715205274</v>
      </c>
      <c r="FS24" s="9">
        <f t="shared" si="217"/>
        <v>3.7282297277279594E-2</v>
      </c>
      <c r="FT24" s="6">
        <f t="shared" si="218"/>
        <v>0.96271770272272028</v>
      </c>
      <c r="FU24" s="4">
        <f t="shared" si="219"/>
        <v>0.99930694395424713</v>
      </c>
      <c r="FV24" s="5">
        <f t="shared" si="220"/>
        <v>1</v>
      </c>
      <c r="FW24" s="8">
        <f t="shared" si="244"/>
        <v>0.24081778827382105</v>
      </c>
      <c r="FX24" s="9">
        <f t="shared" si="245"/>
        <v>13.836164520618814</v>
      </c>
      <c r="FY24" s="10">
        <f t="shared" si="55"/>
        <v>1</v>
      </c>
      <c r="FZ24" s="277">
        <f t="shared" si="246"/>
        <v>13.836164520618814</v>
      </c>
      <c r="GA24" s="177">
        <f t="shared" si="221"/>
        <v>13.825874297199412</v>
      </c>
      <c r="GB24" s="4">
        <f t="shared" si="222"/>
        <v>-3.7574235675494366E-2</v>
      </c>
      <c r="GC24" s="5">
        <f t="shared" si="223"/>
        <v>0.97025624740991201</v>
      </c>
      <c r="GD24" s="10">
        <f t="shared" si="224"/>
        <v>-0.2391463802265007</v>
      </c>
      <c r="GE24" s="311">
        <f t="shared" si="225"/>
        <v>1.2469768633119069</v>
      </c>
      <c r="GF24" s="341">
        <f t="shared" si="247"/>
        <v>0.80193949817485066</v>
      </c>
      <c r="GG24" s="285">
        <f t="shared" si="56"/>
        <v>3.0132263701909523E-2</v>
      </c>
      <c r="GH24" s="286">
        <f t="shared" si="57"/>
        <v>0.77808680814891862</v>
      </c>
      <c r="GI24" s="281">
        <f t="shared" si="58"/>
        <v>0.191780928149172</v>
      </c>
      <c r="GJ24" s="167">
        <f t="shared" si="226"/>
        <v>2.2400000000000002</v>
      </c>
      <c r="GK24" s="174">
        <f t="shared" si="59"/>
        <v>1.1736011418197929</v>
      </c>
      <c r="GL24" s="174">
        <f t="shared" si="227"/>
        <v>3.6799999999999999E-2</v>
      </c>
      <c r="GM24" s="177">
        <f t="shared" si="248"/>
        <v>0.51826226422762056</v>
      </c>
      <c r="GN24" s="280">
        <f t="shared" si="228"/>
        <v>7.9165658004086537E-2</v>
      </c>
      <c r="GO24" s="4">
        <f t="shared" si="229"/>
        <v>2.2177335945859271</v>
      </c>
      <c r="GP24" s="8">
        <f t="shared" si="249"/>
        <v>13.836164520618814</v>
      </c>
      <c r="GQ24" s="177">
        <f t="shared" si="230"/>
        <v>13.996481543637707</v>
      </c>
      <c r="GR24" s="371">
        <f t="shared" si="250"/>
        <v>1637.4283514593703</v>
      </c>
      <c r="GS24" s="342">
        <f t="shared" si="61"/>
        <v>49.339422879156729</v>
      </c>
      <c r="GT24" s="343">
        <f t="shared" si="62"/>
        <v>42.041048803557509</v>
      </c>
      <c r="GU24" s="344">
        <f t="shared" si="63"/>
        <v>1274.061399559567</v>
      </c>
      <c r="GV24" s="343">
        <f t="shared" si="252"/>
        <v>1085.5999999999999</v>
      </c>
      <c r="GW24" s="345">
        <f t="shared" si="64"/>
        <v>29500</v>
      </c>
      <c r="GX24" s="346">
        <f t="shared" si="65"/>
        <v>202.64533333333333</v>
      </c>
      <c r="GY24" s="344">
        <f t="shared" si="66"/>
        <v>314.02752902064663</v>
      </c>
      <c r="GZ24" s="345">
        <f t="shared" si="67"/>
        <v>267.57602547464609</v>
      </c>
      <c r="HA24" s="342">
        <f t="shared" si="68"/>
        <v>49.339422879156729</v>
      </c>
      <c r="HB24" s="5">
        <f t="shared" si="231"/>
        <v>59.965761959699265</v>
      </c>
      <c r="HC24" s="343">
        <f t="shared" si="232"/>
        <v>24.69524056953404</v>
      </c>
      <c r="HD24" s="363">
        <f t="shared" si="233"/>
        <v>42.714444199370014</v>
      </c>
      <c r="HE24" s="344">
        <f t="shared" si="69"/>
        <v>1085.5999999999999</v>
      </c>
      <c r="HF24" s="5">
        <f t="shared" si="70"/>
        <v>149.96576195969925</v>
      </c>
      <c r="HG24" s="343">
        <f t="shared" si="234"/>
        <v>-939.83265139538685</v>
      </c>
      <c r="HH24" s="349">
        <f t="shared" si="235"/>
        <v>543.36170951873021</v>
      </c>
      <c r="HI24" s="317">
        <f t="shared" si="71"/>
        <v>2.11</v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2.11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8"/>
        <v>1613</v>
      </c>
      <c r="IM24" s="482" t="str">
        <f t="shared" si="237"/>
        <v/>
      </c>
      <c r="IN24" s="670" t="str">
        <f t="shared" si="90"/>
        <v/>
      </c>
      <c r="IO24" s="702"/>
      <c r="IP24" s="5" t="str">
        <f t="shared" si="91"/>
        <v/>
      </c>
      <c r="IQ24" s="714"/>
      <c r="IR24" s="9" t="str">
        <f t="shared" si="139"/>
        <v/>
      </c>
      <c r="IS24" s="5" t="str">
        <f t="shared" si="92"/>
        <v/>
      </c>
      <c r="IT24" s="5" t="str">
        <f t="shared" si="93"/>
        <v/>
      </c>
      <c r="IU24" s="5" t="str">
        <f t="shared" si="94"/>
        <v/>
      </c>
      <c r="IV24" s="670" t="str">
        <f t="shared" si="95"/>
        <v/>
      </c>
      <c r="IW24" s="9" t="str">
        <f t="shared" si="96"/>
        <v/>
      </c>
      <c r="IX24" s="5" t="str">
        <f t="shared" si="97"/>
        <v/>
      </c>
      <c r="IY24" s="5" t="str">
        <f t="shared" si="98"/>
        <v/>
      </c>
      <c r="IZ24" s="5" t="str">
        <f t="shared" si="99"/>
        <v/>
      </c>
      <c r="JA24" s="705" t="str">
        <f t="shared" si="100"/>
        <v/>
      </c>
      <c r="JC24" s="739">
        <v>1313</v>
      </c>
      <c r="JD24" s="797" cm="1">
        <f t="array" ref="JD24">IF($JC24="","",COUNT(IF(IF($IK$9:$IK$150&lt;&gt;"",$IM$9:$IM$150,"")=$JC24,$II$9:$II$150,"")))</f>
        <v>15</v>
      </c>
      <c r="JE24" s="5"/>
      <c r="JF24" s="5"/>
      <c r="JG24" s="10"/>
      <c r="JH24" s="236">
        <v>3</v>
      </c>
      <c r="JI24" s="744">
        <v>12</v>
      </c>
      <c r="JJ24" s="728">
        <v>340</v>
      </c>
      <c r="JK24" s="744">
        <v>390</v>
      </c>
    </row>
    <row r="25" spans="1:271" ht="15" customHeight="1" x14ac:dyDescent="0.25">
      <c r="A25" s="75">
        <f t="shared" si="1"/>
        <v>0.02</v>
      </c>
      <c r="B25" s="578">
        <f t="shared" si="2"/>
        <v>2.6769309029972423</v>
      </c>
      <c r="C25" s="572">
        <f t="shared" si="3"/>
        <v>1.4869166568031285</v>
      </c>
      <c r="D25" s="576">
        <f t="shared" si="4"/>
        <v>-0.30749493712069764</v>
      </c>
      <c r="E25" s="580">
        <f t="shared" si="5"/>
        <v>-0.38014431996273451</v>
      </c>
      <c r="F25" s="572">
        <f t="shared" si="6"/>
        <v>0.88917984402224415</v>
      </c>
      <c r="G25" s="579">
        <f t="shared" si="7"/>
        <v>0.25465565178226035</v>
      </c>
      <c r="H25" s="580">
        <f t="shared" si="8"/>
        <v>0.3125</v>
      </c>
      <c r="I25" s="572">
        <f t="shared" si="9"/>
        <v>0.52</v>
      </c>
      <c r="J25" s="483">
        <f t="shared" si="10"/>
        <v>2.1160000000000001</v>
      </c>
      <c r="K25" s="806">
        <f t="shared" si="11"/>
        <v>1613</v>
      </c>
      <c r="L25" s="82"/>
      <c r="M25" s="164">
        <f t="shared" si="12"/>
        <v>2.1160000000000001</v>
      </c>
      <c r="N25" s="575">
        <f t="shared" si="13"/>
        <v>2.6769309029972423</v>
      </c>
      <c r="O25" s="572">
        <f t="shared" si="14"/>
        <v>1.4869166568031285</v>
      </c>
      <c r="P25" s="576">
        <f t="shared" si="15"/>
        <v>-0.30749493712069764</v>
      </c>
      <c r="Q25" s="528">
        <f t="shared" si="140"/>
        <v>29.050234072905745</v>
      </c>
      <c r="R25" s="572">
        <f>IF(M25="","",SQRT(N25^2+O25^2))</f>
        <v>3.0621691990646474</v>
      </c>
      <c r="S25" s="577">
        <f>IF(M25="","",P25)</f>
        <v>-0.30749493712069764</v>
      </c>
      <c r="T25" s="578">
        <f>IF(M25="","",X25*COS(RADIANS(W25)))</f>
        <v>1.5119956938717389</v>
      </c>
      <c r="U25" s="572">
        <f>IF(M25="","",X25*SIN(RADIANS(W25)))</f>
        <v>-2.6628460761774315</v>
      </c>
      <c r="V25" s="579">
        <f>IF(M25="","",Y25)</f>
        <v>-0.30749493712069764</v>
      </c>
      <c r="W25" s="528">
        <f t="shared" si="253"/>
        <v>299.58842599312425</v>
      </c>
      <c r="X25" s="572">
        <f>IF(M25="","",R25)</f>
        <v>3.0621691990646474</v>
      </c>
      <c r="Y25" s="573">
        <f t="shared" si="255"/>
        <v>-0.30749493712069764</v>
      </c>
      <c r="Z25" s="575">
        <f t="shared" si="18"/>
        <v>0.38014431996273451</v>
      </c>
      <c r="AA25" s="572">
        <f t="shared" si="19"/>
        <v>-0.88917984402224415</v>
      </c>
      <c r="AB25" s="572">
        <f t="shared" si="20"/>
        <v>-0.25465565178226035</v>
      </c>
      <c r="AC25" s="579">
        <f>IF(M25="","",SQRT(Z25^2+AA25^2+AB25^2))</f>
        <v>1</v>
      </c>
      <c r="AD25" s="580">
        <f>IF(M25="","",Z25*(1/SQRT(Z25^2+AA25^2+AB25^2)))</f>
        <v>0.38014431996273451</v>
      </c>
      <c r="AE25" s="572">
        <f>IF(M25="","",AA25*(1/SQRT(Z25^2+AA25^2+AB25^2)))</f>
        <v>-0.88917984402224415</v>
      </c>
      <c r="AF25" s="576">
        <f>IF(M25="","",AB25*(1/SQRT(Z25^2+AA25^2+AB25^2)))</f>
        <v>-0.25465565178226035</v>
      </c>
      <c r="AG25" s="545">
        <f>IF(M25="","",DEGREES(ATAN2(-AF25,AE25)))</f>
        <v>-74.018612208699921</v>
      </c>
      <c r="AH25" s="546">
        <f>IF(M25="","",DEGREES(ACOS(AD25)))</f>
        <v>67.657377546917715</v>
      </c>
      <c r="AI25" s="528">
        <f>IF(M25="","",DEGREES(-ACOS(-AF25)))</f>
        <v>-75.246818133799408</v>
      </c>
      <c r="AJ25" s="529">
        <f>IF(M25="","",DEGREES(ATAN2(-AE25,AD25)))</f>
        <v>23.147793983084991</v>
      </c>
      <c r="AK25" s="578">
        <f>IF(M25="","",(COS(RADIANS((90-$Q$8)-W25))*AD25)+(-SIN(RADIANS((90-$Q$8)-W25))*AE25))</f>
        <v>0.96190501982281751</v>
      </c>
      <c r="AL25" s="572">
        <f>IF(M25="","",(SIN(RADIANS((90-$Q$8)-W25))*AD25)+(COS(RADIANS((90-$Q$8)-W25))*AE25))</f>
        <v>-9.9444617023835169E-2</v>
      </c>
      <c r="AM25" s="577">
        <f>IF(M25="","",AF25)</f>
        <v>-0.25465565178226035</v>
      </c>
      <c r="AN25" s="524">
        <f>IF(M25="","",DEGREES(ATAN2(-AM25,AL25)))</f>
        <v>-21.330954638783709</v>
      </c>
      <c r="AO25" s="525">
        <f>IF(ROUND(IF(M25="",0,DEGREES(ACOS(AK25))),4)=90,0,IF(M25="","",DEGREES(ACOS(AK25))))</f>
        <v>15.865725674112454</v>
      </c>
      <c r="AP25" s="528">
        <f>IF(M25="","",DEGREES(ATAN2(AK25,AL25)))</f>
        <v>-5.9024400898207716</v>
      </c>
      <c r="AQ25" s="529">
        <f t="shared" si="21"/>
        <v>1.4886268494299868</v>
      </c>
      <c r="AS25" s="932">
        <f t="shared" si="143"/>
        <v>299.58842599312425</v>
      </c>
      <c r="AT25" s="928">
        <f t="shared" si="22"/>
        <v>-0.22713708792820803</v>
      </c>
      <c r="AU25" s="418"/>
      <c r="AV25" s="164">
        <f t="shared" si="23"/>
        <v>2.1160000000000001</v>
      </c>
      <c r="AW25" s="829">
        <f>IFERROR(INDEX(MassProp!C$9:C$150,MATCH($M25,MassProp!$B$9:$B$150,0)),"")</f>
        <v>3.0628000000000002</v>
      </c>
      <c r="AX25" s="830">
        <f>IFERROR(INDEX(MassProp!D$9:D$150,MATCH($M25,MassProp!$B$9:$B$150,0)),"")</f>
        <v>0.23039999999999999</v>
      </c>
      <c r="AY25" s="831">
        <f>IFERROR(INDEX(MassProp!E$9:E$150,MATCH($M25,MassProp!$B$9:$B$150,0)),"")</f>
        <v>3.3700000000000001E-2</v>
      </c>
      <c r="AZ25" s="297">
        <f t="shared" si="144"/>
        <v>0.64874637748788455</v>
      </c>
      <c r="BA25" s="296">
        <f t="shared" si="24"/>
        <v>9.909738253495394E-2</v>
      </c>
      <c r="BB25" s="190">
        <f t="shared" si="145"/>
        <v>-4.2462912071791981E-2</v>
      </c>
      <c r="BC25" s="9"/>
      <c r="BD25" s="5">
        <f t="shared" si="146"/>
        <v>3.0628000000000002</v>
      </c>
      <c r="BE25" s="6">
        <f t="shared" si="25"/>
        <v>-0.34995784919248962</v>
      </c>
      <c r="BF25" s="4">
        <f t="shared" si="26"/>
        <v>2.6769309029972423</v>
      </c>
      <c r="BG25" s="5">
        <f t="shared" si="27"/>
        <v>1.4869166568031285</v>
      </c>
      <c r="BH25" s="10">
        <f t="shared" si="28"/>
        <v>-0.30749493712069764</v>
      </c>
      <c r="BI25" s="9">
        <f t="shared" si="147"/>
        <v>2.6769309029972423</v>
      </c>
      <c r="BJ25" s="5">
        <f t="shared" si="29"/>
        <v>1.7622417376777348</v>
      </c>
      <c r="BK25" s="8">
        <f t="shared" si="30"/>
        <v>-1.2688461215696436</v>
      </c>
      <c r="BL25" s="173">
        <f t="shared" si="31"/>
        <v>3.6018580871582824</v>
      </c>
      <c r="BM25" s="5">
        <f t="shared" si="32"/>
        <v>1.8523688490608425</v>
      </c>
      <c r="BN25" s="6">
        <f t="shared" si="33"/>
        <v>-0.20283167148293546</v>
      </c>
      <c r="BO25" s="4">
        <f t="shared" si="148"/>
        <v>0.3801443199627344</v>
      </c>
      <c r="BP25" s="5">
        <f t="shared" si="239"/>
        <v>-0.88917984402224481</v>
      </c>
      <c r="BQ25" s="5">
        <f t="shared" si="149"/>
        <v>-0.25465565178226046</v>
      </c>
      <c r="BR25" s="6">
        <f t="shared" si="150"/>
        <v>0.22621091963095236</v>
      </c>
      <c r="BS25" s="4">
        <f t="shared" si="118"/>
        <v>0</v>
      </c>
      <c r="BT25" s="5">
        <f t="shared" si="118"/>
        <v>0</v>
      </c>
      <c r="BU25" s="10">
        <f t="shared" si="119"/>
        <v>-0.34995784919248962</v>
      </c>
      <c r="BV25" s="9">
        <f t="shared" si="120"/>
        <v>0</v>
      </c>
      <c r="BW25" s="5">
        <f t="shared" si="121"/>
        <v>1</v>
      </c>
      <c r="BX25" s="8">
        <f t="shared" si="122"/>
        <v>-0.34995784919248962</v>
      </c>
      <c r="BY25" s="173">
        <f t="shared" si="123"/>
        <v>1</v>
      </c>
      <c r="BZ25" s="5">
        <f t="shared" si="124"/>
        <v>0</v>
      </c>
      <c r="CA25" s="6">
        <f t="shared" si="125"/>
        <v>-0.34995784919248962</v>
      </c>
      <c r="CB25" s="4">
        <f t="shared" si="151"/>
        <v>0</v>
      </c>
      <c r="CC25" s="5">
        <f t="shared" si="152"/>
        <v>0</v>
      </c>
      <c r="CD25" s="5">
        <f t="shared" si="153"/>
        <v>-1</v>
      </c>
      <c r="CE25" s="6">
        <f t="shared" si="154"/>
        <v>-0.34995784919248962</v>
      </c>
      <c r="CF25" s="4">
        <f t="shared" si="155"/>
        <v>0.88917984402224481</v>
      </c>
      <c r="CG25" s="5">
        <f t="shared" si="156"/>
        <v>0.3801443199627344</v>
      </c>
      <c r="CH25" s="5">
        <f t="shared" si="157"/>
        <v>0</v>
      </c>
      <c r="CI25" s="4">
        <f t="shared" si="126"/>
        <v>0</v>
      </c>
      <c r="CJ25" s="5">
        <f t="shared" si="127"/>
        <v>0.35462979276158124</v>
      </c>
      <c r="CK25" s="8">
        <f t="shared" si="128"/>
        <v>-0.34995784919248962</v>
      </c>
      <c r="CL25" s="173">
        <f t="shared" si="129"/>
        <v>0.88917984402224481</v>
      </c>
      <c r="CM25" s="5">
        <f t="shared" si="130"/>
        <v>0.7347741127243157</v>
      </c>
      <c r="CN25" s="6">
        <f t="shared" si="131"/>
        <v>-0.34995784919248962</v>
      </c>
      <c r="CO25" s="167">
        <f t="shared" si="35"/>
        <v>0.3125</v>
      </c>
      <c r="CP25" s="4">
        <f t="shared" si="240"/>
        <v>0.93515049901535341</v>
      </c>
      <c r="CQ25" s="5">
        <f t="shared" si="241"/>
        <v>-5.6214108454384517</v>
      </c>
      <c r="CR25" s="5">
        <f t="shared" si="158"/>
        <v>8.3521794508042895</v>
      </c>
      <c r="CS25" s="8">
        <f t="shared" si="159"/>
        <v>0.3580807680714031</v>
      </c>
      <c r="CT25" s="9">
        <f t="shared" si="160"/>
        <v>3.3255659675736964</v>
      </c>
      <c r="CU25" s="6">
        <f t="shared" si="161"/>
        <v>2.6856705674625307</v>
      </c>
      <c r="CV25" s="4">
        <f t="shared" si="242"/>
        <v>2.957026228332865</v>
      </c>
      <c r="CW25" s="5">
        <f t="shared" si="162"/>
        <v>1.618824805996097</v>
      </c>
      <c r="CX25" s="8">
        <f t="shared" si="163"/>
        <v>-0.34995784919248962</v>
      </c>
      <c r="CY25" s="9">
        <f t="shared" si="164"/>
        <v>2.3880441362714668</v>
      </c>
      <c r="CZ25" s="5">
        <f t="shared" si="165"/>
        <v>1.3755722042735563</v>
      </c>
      <c r="DA25" s="6">
        <f t="shared" si="166"/>
        <v>-0.34995784919248962</v>
      </c>
      <c r="DB25" s="4">
        <f t="shared" si="167"/>
        <v>0</v>
      </c>
      <c r="DC25" s="5">
        <f t="shared" si="167"/>
        <v>0</v>
      </c>
      <c r="DD25" s="10">
        <f t="shared" si="168"/>
        <v>-10</v>
      </c>
      <c r="DE25" s="9">
        <f t="shared" si="169"/>
        <v>0</v>
      </c>
      <c r="DF25" s="5">
        <f t="shared" si="169"/>
        <v>0</v>
      </c>
      <c r="DG25" s="10">
        <f t="shared" si="170"/>
        <v>10</v>
      </c>
      <c r="DH25" s="70">
        <f t="shared" si="171"/>
        <v>3.0628000000000002</v>
      </c>
      <c r="DI25" s="4">
        <f t="shared" si="172"/>
        <v>0</v>
      </c>
      <c r="DJ25" s="5">
        <f t="shared" si="173"/>
        <v>0</v>
      </c>
      <c r="DK25" s="10">
        <f t="shared" si="174"/>
        <v>20</v>
      </c>
      <c r="DL25" s="9">
        <f t="shared" si="175"/>
        <v>2.957026228332865</v>
      </c>
      <c r="DM25" s="173">
        <f t="shared" si="176"/>
        <v>1.618824805996097</v>
      </c>
      <c r="DN25" s="178">
        <f t="shared" si="177"/>
        <v>9.6500421508075096</v>
      </c>
      <c r="DO25" s="9">
        <f t="shared" si="178"/>
        <v>-0.56898209206139816</v>
      </c>
      <c r="DP25" s="173">
        <f t="shared" si="179"/>
        <v>-0.24325260172254071</v>
      </c>
      <c r="DQ25" s="11">
        <f t="shared" si="180"/>
        <v>0</v>
      </c>
      <c r="DR25" s="173">
        <f t="shared" si="181"/>
        <v>193.00084301615018</v>
      </c>
      <c r="DS25" s="5">
        <f t="shared" si="182"/>
        <v>0</v>
      </c>
      <c r="DT25" s="5">
        <f t="shared" si="183"/>
        <v>400</v>
      </c>
      <c r="DU25" s="5">
        <f t="shared" si="184"/>
        <v>0.38291244933135038</v>
      </c>
      <c r="DV25" s="5">
        <f t="shared" si="185"/>
        <v>-2.0762783154687967</v>
      </c>
      <c r="DW25" s="5">
        <f t="shared" si="186"/>
        <v>104.48791137991842</v>
      </c>
      <c r="DX25" s="167">
        <f t="shared" si="187"/>
        <v>95.107167539918407</v>
      </c>
      <c r="DY25" s="9">
        <f t="shared" si="188"/>
        <v>153.16497973254016</v>
      </c>
      <c r="DZ25" s="5">
        <f t="shared" si="189"/>
        <v>-830.51132618751865</v>
      </c>
      <c r="EA25" s="10">
        <f t="shared" si="190"/>
        <v>793.5416110227161</v>
      </c>
      <c r="EB25" s="6">
        <f t="shared" si="191"/>
        <v>568206.27815652941</v>
      </c>
      <c r="EC25" s="173">
        <f t="shared" si="192"/>
        <v>10.343786909615762</v>
      </c>
      <c r="ED25" s="5">
        <f t="shared" si="193"/>
        <v>0.50087650675754503</v>
      </c>
      <c r="EE25" s="4">
        <f t="shared" si="194"/>
        <v>-2.9284032873376158</v>
      </c>
      <c r="EF25" s="5">
        <f t="shared" si="195"/>
        <v>-0.89732827143149629</v>
      </c>
      <c r="EG25" s="10">
        <f t="shared" si="196"/>
        <v>-0.34995784919248962</v>
      </c>
      <c r="EH25" s="9">
        <f t="shared" si="197"/>
        <v>2.672036465653552</v>
      </c>
      <c r="EI25" s="5">
        <f t="shared" si="198"/>
        <v>1.4969852925856264</v>
      </c>
      <c r="EJ25" s="6">
        <f t="shared" si="199"/>
        <v>-0.34995784919248962</v>
      </c>
      <c r="EK25" s="236" t="b">
        <f t="shared" si="200"/>
        <v>0</v>
      </c>
      <c r="EL25" s="238" t="b">
        <f t="shared" si="201"/>
        <v>1</v>
      </c>
      <c r="EM25" s="4">
        <f t="shared" si="202"/>
        <v>2.672036465653552</v>
      </c>
      <c r="EN25" s="5">
        <f t="shared" si="203"/>
        <v>1.4969852925856264</v>
      </c>
      <c r="EO25" s="10">
        <f t="shared" si="204"/>
        <v>-0.34995784919248962</v>
      </c>
      <c r="EP25" s="9">
        <f t="shared" si="205"/>
        <v>29.259351911436088</v>
      </c>
      <c r="EQ25" s="5">
        <f t="shared" si="206"/>
        <v>3.0627999999999997</v>
      </c>
      <c r="ER25" s="7">
        <f t="shared" si="207"/>
        <v>-0.34995784919248962</v>
      </c>
      <c r="ES25" s="21">
        <f t="shared" si="132"/>
        <v>0.38014431996273451</v>
      </c>
      <c r="ET25" s="5">
        <f t="shared" si="44"/>
        <v>-0.88917984402224415</v>
      </c>
      <c r="EU25" s="10">
        <f t="shared" si="45"/>
        <v>-0.25465565178226035</v>
      </c>
      <c r="EV25" s="174">
        <f t="shared" si="254"/>
        <v>60.740648088563916</v>
      </c>
      <c r="EW25" s="9">
        <f t="shared" si="133"/>
        <v>0.96153566141953517</v>
      </c>
      <c r="EX25" s="5">
        <f t="shared" si="47"/>
        <v>-0.10295470282531755</v>
      </c>
      <c r="EY25" s="6">
        <f t="shared" si="208"/>
        <v>-0.25465565178226035</v>
      </c>
      <c r="EZ25" s="51">
        <f t="shared" si="209"/>
        <v>1.4883203962458997</v>
      </c>
      <c r="FA25" s="266">
        <f t="shared" si="134"/>
        <v>0.48859875607117093</v>
      </c>
      <c r="FB25" s="267">
        <f t="shared" si="135"/>
        <v>-0.87212192381673448</v>
      </c>
      <c r="FC25" s="269">
        <f t="shared" si="48"/>
        <v>-2.5973170078032046E-2</v>
      </c>
      <c r="FD25" s="4">
        <f t="shared" si="136"/>
        <v>0.99966264031226937</v>
      </c>
      <c r="FE25" s="5">
        <f t="shared" si="49"/>
        <v>-5.5511151231257827E-17</v>
      </c>
      <c r="FF25" s="7">
        <f t="shared" si="210"/>
        <v>-2.5973170078032046E-2</v>
      </c>
      <c r="FG25" s="173">
        <f t="shared" si="211"/>
        <v>-3.8126978892734198E-2</v>
      </c>
      <c r="FH25" s="5">
        <f t="shared" si="50"/>
        <v>-0.10295470282531749</v>
      </c>
      <c r="FI25" s="10">
        <f t="shared" si="51"/>
        <v>-0.22868248170422831</v>
      </c>
      <c r="FJ25" s="279">
        <f t="shared" si="212"/>
        <v>14.573536327068609</v>
      </c>
      <c r="FK25" s="4">
        <f t="shared" si="52"/>
        <v>0.9670317983475788</v>
      </c>
      <c r="FL25" s="5">
        <f t="shared" si="213"/>
        <v>0.99966264031226937</v>
      </c>
      <c r="FM25" s="8">
        <f t="shared" si="214"/>
        <v>0.10978769217601961</v>
      </c>
      <c r="FN25" s="9">
        <f t="shared" si="215"/>
        <v>6.1115579283511021</v>
      </c>
      <c r="FO25" s="10">
        <f t="shared" si="53"/>
        <v>1</v>
      </c>
      <c r="FP25" s="277">
        <f t="shared" si="54"/>
        <v>6.1115579283511021</v>
      </c>
      <c r="FQ25" s="173">
        <f t="shared" si="243"/>
        <v>0.10646465090521544</v>
      </c>
      <c r="FR25" s="10">
        <f t="shared" si="216"/>
        <v>0.99431648789891369</v>
      </c>
      <c r="FS25" s="9">
        <f t="shared" si="217"/>
        <v>9.6717364744164244E-2</v>
      </c>
      <c r="FT25" s="6">
        <f t="shared" si="218"/>
        <v>0.90328263525583574</v>
      </c>
      <c r="FU25" s="4">
        <f t="shared" si="219"/>
        <v>0.9946860455270049</v>
      </c>
      <c r="FV25" s="5">
        <f t="shared" si="220"/>
        <v>1</v>
      </c>
      <c r="FW25" s="8">
        <f t="shared" si="244"/>
        <v>0.23183904752627785</v>
      </c>
      <c r="FX25" s="9">
        <f t="shared" si="245"/>
        <v>13.345482364699938</v>
      </c>
      <c r="FY25" s="10">
        <f t="shared" si="55"/>
        <v>1</v>
      </c>
      <c r="FZ25" s="277">
        <f t="shared" si="246"/>
        <v>13.345482364699938</v>
      </c>
      <c r="GA25" s="177">
        <f t="shared" si="221"/>
        <v>13.27389828866561</v>
      </c>
      <c r="GB25" s="4">
        <f t="shared" si="222"/>
        <v>-0.10358967401887548</v>
      </c>
      <c r="GC25" s="5">
        <f t="shared" si="223"/>
        <v>0.96746591452915676</v>
      </c>
      <c r="GD25" s="10">
        <f t="shared" si="224"/>
        <v>-0.23082219057301565</v>
      </c>
      <c r="GE25" s="311">
        <f t="shared" si="225"/>
        <v>1.3018777791210479</v>
      </c>
      <c r="GF25" s="341">
        <f t="shared" si="247"/>
        <v>0.76812125995048619</v>
      </c>
      <c r="GG25" s="285">
        <f t="shared" si="56"/>
        <v>7.9569430925238771E-2</v>
      </c>
      <c r="GH25" s="286">
        <f t="shared" si="57"/>
        <v>0.74313113722728519</v>
      </c>
      <c r="GI25" s="281">
        <f t="shared" si="58"/>
        <v>0.17729943184747601</v>
      </c>
      <c r="GJ25" s="167">
        <f t="shared" si="226"/>
        <v>3.0628000000000002</v>
      </c>
      <c r="GK25" s="174">
        <f t="shared" si="59"/>
        <v>1.6042195289017915</v>
      </c>
      <c r="GL25" s="174">
        <f t="shared" si="227"/>
        <v>3.3700000000000001E-2</v>
      </c>
      <c r="GM25" s="177">
        <f t="shared" si="248"/>
        <v>0.64874637748788455</v>
      </c>
      <c r="GN25" s="280">
        <f t="shared" si="228"/>
        <v>9.909738253495394E-2</v>
      </c>
      <c r="GO25" s="4">
        <f t="shared" si="229"/>
        <v>6.1115579283511021</v>
      </c>
      <c r="GP25" s="8">
        <f t="shared" si="249"/>
        <v>13.345482364699938</v>
      </c>
      <c r="GQ25" s="177">
        <f t="shared" si="230"/>
        <v>14.573536327068609</v>
      </c>
      <c r="GR25" s="371">
        <f t="shared" si="250"/>
        <v>2146.1014950984872</v>
      </c>
      <c r="GS25" s="342">
        <f t="shared" si="61"/>
        <v>170.76407467279077</v>
      </c>
      <c r="GT25" s="343">
        <f t="shared" si="62"/>
        <v>106.44682451265979</v>
      </c>
      <c r="GU25" s="344">
        <f t="shared" si="63"/>
        <v>1594.8348446577161</v>
      </c>
      <c r="GV25" s="343">
        <f t="shared" si="252"/>
        <v>994.15</v>
      </c>
      <c r="GW25" s="345">
        <f t="shared" si="64"/>
        <v>29500</v>
      </c>
      <c r="GX25" s="346">
        <f t="shared" si="65"/>
        <v>253.74021833333336</v>
      </c>
      <c r="GY25" s="344">
        <f t="shared" si="66"/>
        <v>380.50257576798072</v>
      </c>
      <c r="GZ25" s="345">
        <f t="shared" si="67"/>
        <v>237.18859477322485</v>
      </c>
      <c r="HA25" s="342">
        <f t="shared" si="68"/>
        <v>170.76407467279077</v>
      </c>
      <c r="HB25" s="5">
        <f t="shared" si="231"/>
        <v>60.740648088563916</v>
      </c>
      <c r="HC25" s="343">
        <f t="shared" si="232"/>
        <v>83.463271610017458</v>
      </c>
      <c r="HD25" s="363">
        <f t="shared" si="233"/>
        <v>148.97735227546139</v>
      </c>
      <c r="HE25" s="344">
        <f t="shared" si="69"/>
        <v>994.15</v>
      </c>
      <c r="HF25" s="5">
        <f t="shared" si="70"/>
        <v>150.74064808856392</v>
      </c>
      <c r="HG25" s="343">
        <f t="shared" si="234"/>
        <v>-867.31260687262602</v>
      </c>
      <c r="HH25" s="349">
        <f t="shared" si="235"/>
        <v>485.90437789734887</v>
      </c>
      <c r="HI25" s="317">
        <f t="shared" si="71"/>
        <v>2.1160000000000001</v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2.1160000000000001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1613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 t="str">
        <v>CPS-32193r1</v>
      </c>
      <c r="JD25" s="797" cm="1">
        <f t="array" ref="JD25">IF($JC25="","",COUNT(IF(IF($IK$9:$IK$150&lt;&gt;"",$IM$9:$IM$150,"")=$JC25,$II$9:$II$150,"")))</f>
        <v>13</v>
      </c>
      <c r="JE25" s="5"/>
      <c r="JF25" s="5"/>
      <c r="JG25" s="10"/>
      <c r="JH25" s="236" t="str">
        <v/>
      </c>
      <c r="JI25" s="744">
        <v>7</v>
      </c>
      <c r="JJ25" s="728" t="str">
        <v/>
      </c>
      <c r="JK25" s="744">
        <v>590</v>
      </c>
    </row>
    <row r="26" spans="1:271" ht="15" customHeight="1" x14ac:dyDescent="0.25">
      <c r="A26" s="75">
        <f t="shared" si="1"/>
        <v>0.02</v>
      </c>
      <c r="B26" s="578">
        <f t="shared" si="2"/>
        <v>3.2580872118164423</v>
      </c>
      <c r="C26" s="572">
        <f t="shared" si="3"/>
        <v>1.7563437996402089</v>
      </c>
      <c r="D26" s="576">
        <f t="shared" si="4"/>
        <v>-0.69096410868710267</v>
      </c>
      <c r="E26" s="580">
        <f t="shared" si="5"/>
        <v>-0.27476395871426218</v>
      </c>
      <c r="F26" s="572">
        <f t="shared" si="6"/>
        <v>0.92484403526011338</v>
      </c>
      <c r="G26" s="579">
        <f t="shared" si="7"/>
        <v>0.26299862629956372</v>
      </c>
      <c r="H26" s="580">
        <f t="shared" si="8"/>
        <v>0.3125</v>
      </c>
      <c r="I26" s="572">
        <f t="shared" si="9"/>
        <v>0.52</v>
      </c>
      <c r="J26" s="483">
        <f t="shared" si="10"/>
        <v>2.1219999999999999</v>
      </c>
      <c r="K26" s="806">
        <f t="shared" si="11"/>
        <v>1613</v>
      </c>
      <c r="L26" s="162"/>
      <c r="M26" s="164">
        <f t="shared" si="12"/>
        <v>2.1219999999999999</v>
      </c>
      <c r="N26" s="575">
        <f t="shared" si="13"/>
        <v>3.2580872118164423</v>
      </c>
      <c r="O26" s="572">
        <f t="shared" si="14"/>
        <v>1.7563437996402089</v>
      </c>
      <c r="P26" s="576">
        <f t="shared" si="15"/>
        <v>-0.69096410868710267</v>
      </c>
      <c r="Q26" s="528">
        <f t="shared" si="140"/>
        <v>28.327866816440107</v>
      </c>
      <c r="R26" s="572">
        <f>IF(M26="","",SQRT(N26^2+O26^2))</f>
        <v>3.7013343299864774</v>
      </c>
      <c r="S26" s="577">
        <f>IF(M26="","",P26)</f>
        <v>-0.69096410868710267</v>
      </c>
      <c r="T26" s="578">
        <f>IF(M26="","",X26*COS(RADIANS(W26)))</f>
        <v>1.7868698000450964</v>
      </c>
      <c r="U26" s="572">
        <f>IF(M26="","",X26*SIN(RADIANS(W26)))</f>
        <v>-3.2414459952347259</v>
      </c>
      <c r="V26" s="579">
        <f>IF(M26="","",Y26)</f>
        <v>-0.69096410868710267</v>
      </c>
      <c r="W26" s="528">
        <f t="shared" si="253"/>
        <v>298.8660587366586</v>
      </c>
      <c r="X26" s="572">
        <f>IF(M26="","",R26)</f>
        <v>3.7013343299864774</v>
      </c>
      <c r="Y26" s="573">
        <f t="shared" si="255"/>
        <v>-0.69096410868710267</v>
      </c>
      <c r="Z26" s="575">
        <f t="shared" si="18"/>
        <v>0.27476395871426218</v>
      </c>
      <c r="AA26" s="572">
        <f t="shared" si="19"/>
        <v>-0.92484403526011338</v>
      </c>
      <c r="AB26" s="572">
        <f t="shared" si="20"/>
        <v>-0.26299862629956372</v>
      </c>
      <c r="AC26" s="579">
        <f>IF(M26="","",SQRT(Z26^2+AA26^2+AB26^2))</f>
        <v>1</v>
      </c>
      <c r="AD26" s="580">
        <f>IF(M26="","",Z26*(1/SQRT(Z26^2+AA26^2+AB26^2)))</f>
        <v>0.27476395871426218</v>
      </c>
      <c r="AE26" s="572">
        <f>IF(M26="","",AA26*(1/SQRT(Z26^2+AA26^2+AB26^2)))</f>
        <v>-0.92484403526011338</v>
      </c>
      <c r="AF26" s="576">
        <f>IF(M26="","",AB26*(1/SQRT(Z26^2+AA26^2+AB26^2)))</f>
        <v>-0.26299862629956372</v>
      </c>
      <c r="AG26" s="545">
        <f>IF(M26="","",DEGREES(ATAN2(-AF26,AE26)))</f>
        <v>-74.125796555483689</v>
      </c>
      <c r="AH26" s="546">
        <f>IF(M26="","",DEGREES(ACOS(AD26)))</f>
        <v>74.052051858268328</v>
      </c>
      <c r="AI26" s="528">
        <f>IF(M26="","",DEGREES(-ACOS(-AF26)))</f>
        <v>-74.75193530252335</v>
      </c>
      <c r="AJ26" s="529">
        <f>IF(M26="","",DEGREES(ATAN2(-AE26,AD26)))</f>
        <v>16.546274401933143</v>
      </c>
      <c r="AK26" s="578">
        <f>IF(M26="","",(COS(RADIANS((90-$Q$8)-W26))*AD26)+(-SIN(RADIANS((90-$Q$8)-W26))*AE26))</f>
        <v>0.94447088206453778</v>
      </c>
      <c r="AL26" s="572">
        <f>IF(M26="","",(SIN(RADIANS((90-$Q$8)-W26))*AD26)+(COS(RADIANS((90-$Q$8)-W26))*AE26))</f>
        <v>-0.19699359252721066</v>
      </c>
      <c r="AM26" s="577">
        <f>IF(M26="","",AF26)</f>
        <v>-0.26299862629956372</v>
      </c>
      <c r="AN26" s="524">
        <f>IF(M26="","",DEGREES(ATAN2(-AM26,AL26)))</f>
        <v>-36.834274386343019</v>
      </c>
      <c r="AO26" s="525">
        <f t="shared" si="116"/>
        <v>19.183527167538802</v>
      </c>
      <c r="AP26" s="528">
        <f>IF(M26="","",DEGREES(ATAN2(AK26,AL26)))</f>
        <v>-11.781592414506967</v>
      </c>
      <c r="AQ26" s="529">
        <f t="shared" si="21"/>
        <v>1.231650679990459</v>
      </c>
      <c r="AS26" s="932">
        <f t="shared" si="143"/>
        <v>298.8660587366586</v>
      </c>
      <c r="AT26" s="928">
        <f t="shared" si="22"/>
        <v>-0.60960297163841082</v>
      </c>
      <c r="AU26" s="418"/>
      <c r="AV26" s="164">
        <f t="shared" si="23"/>
        <v>2.1219999999999999</v>
      </c>
      <c r="AW26" s="829">
        <f>IFERROR(INDEX(MassProp!C$9:C$150,MATCH($M26,MassProp!$B$9:$B$150,0)),"")</f>
        <v>3.7938000000000001</v>
      </c>
      <c r="AX26" s="830">
        <f>IFERROR(INDEX(MassProp!D$9:D$150,MATCH($M26,MassProp!$B$9:$B$150,0)),"")</f>
        <v>-0.16739999999999999</v>
      </c>
      <c r="AY26" s="831">
        <f>IFERROR(INDEX(MassProp!E$9:E$150,MATCH($M26,MassProp!$B$9:$B$150,0)),"")</f>
        <v>2.8000000000000001E-2</v>
      </c>
      <c r="AZ26" s="297">
        <f t="shared" si="144"/>
        <v>0.66758696921098226</v>
      </c>
      <c r="BA26" s="296">
        <f t="shared" si="24"/>
        <v>0.10197532280553921</v>
      </c>
      <c r="BB26" s="190">
        <f t="shared" si="145"/>
        <v>-5.7797028361589176E-2</v>
      </c>
      <c r="BC26" s="9"/>
      <c r="BD26" s="5">
        <f t="shared" si="146"/>
        <v>3.7938000000000001</v>
      </c>
      <c r="BE26" s="6">
        <f t="shared" si="25"/>
        <v>-0.74876113704869185</v>
      </c>
      <c r="BF26" s="4">
        <f t="shared" si="26"/>
        <v>3.2580872118164423</v>
      </c>
      <c r="BG26" s="5">
        <f t="shared" si="27"/>
        <v>1.7563437996402089</v>
      </c>
      <c r="BH26" s="10">
        <f t="shared" si="28"/>
        <v>-0.69096410868710267</v>
      </c>
      <c r="BI26" s="9">
        <f t="shared" si="147"/>
        <v>3.2580872118164423</v>
      </c>
      <c r="BJ26" s="5">
        <f t="shared" si="29"/>
        <v>2.0298699811460268</v>
      </c>
      <c r="BK26" s="8">
        <f t="shared" si="30"/>
        <v>-1.6528286667361278</v>
      </c>
      <c r="BL26" s="173">
        <f t="shared" si="31"/>
        <v>4.2195989210491831</v>
      </c>
      <c r="BM26" s="5">
        <f t="shared" si="32"/>
        <v>2.0206295133567029</v>
      </c>
      <c r="BN26" s="6">
        <f t="shared" si="33"/>
        <v>-0.61580897224456843</v>
      </c>
      <c r="BO26" s="4">
        <f t="shared" si="148"/>
        <v>0.2747639587142619</v>
      </c>
      <c r="BP26" s="5">
        <f t="shared" si="239"/>
        <v>-0.92484403526011372</v>
      </c>
      <c r="BQ26" s="5">
        <f t="shared" si="149"/>
        <v>-0.26299862629956472</v>
      </c>
      <c r="BR26" s="6">
        <f t="shared" si="150"/>
        <v>0.54741653540132407</v>
      </c>
      <c r="BS26" s="4">
        <f t="shared" si="118"/>
        <v>0</v>
      </c>
      <c r="BT26" s="5">
        <f t="shared" si="118"/>
        <v>0</v>
      </c>
      <c r="BU26" s="10">
        <f t="shared" si="119"/>
        <v>-0.74876113704869185</v>
      </c>
      <c r="BV26" s="9">
        <f t="shared" si="120"/>
        <v>0</v>
      </c>
      <c r="BW26" s="5">
        <f t="shared" si="121"/>
        <v>1</v>
      </c>
      <c r="BX26" s="8">
        <f t="shared" si="122"/>
        <v>-0.74876113704869185</v>
      </c>
      <c r="BY26" s="173">
        <f t="shared" si="123"/>
        <v>1</v>
      </c>
      <c r="BZ26" s="5">
        <f t="shared" si="124"/>
        <v>0</v>
      </c>
      <c r="CA26" s="6">
        <f t="shared" si="125"/>
        <v>-0.74876113704869185</v>
      </c>
      <c r="CB26" s="4">
        <f t="shared" si="151"/>
        <v>0</v>
      </c>
      <c r="CC26" s="5">
        <f t="shared" si="152"/>
        <v>0</v>
      </c>
      <c r="CD26" s="5">
        <f t="shared" si="153"/>
        <v>-1</v>
      </c>
      <c r="CE26" s="6">
        <f t="shared" si="154"/>
        <v>-0.74876113704869185</v>
      </c>
      <c r="CF26" s="4">
        <f t="shared" si="155"/>
        <v>0.92484403526011372</v>
      </c>
      <c r="CG26" s="5">
        <f t="shared" si="156"/>
        <v>0.2747639587142619</v>
      </c>
      <c r="CH26" s="5">
        <f t="shared" si="157"/>
        <v>0</v>
      </c>
      <c r="CI26" s="4">
        <f t="shared" si="126"/>
        <v>0</v>
      </c>
      <c r="CJ26" s="5">
        <f t="shared" si="127"/>
        <v>0.80482725464330163</v>
      </c>
      <c r="CK26" s="8">
        <f t="shared" si="128"/>
        <v>-0.74876113704869185</v>
      </c>
      <c r="CL26" s="173">
        <f t="shared" si="129"/>
        <v>0.92484403526011372</v>
      </c>
      <c r="CM26" s="5">
        <f t="shared" si="130"/>
        <v>1.0795912133575636</v>
      </c>
      <c r="CN26" s="6">
        <f t="shared" si="131"/>
        <v>-0.74876113704869185</v>
      </c>
      <c r="CO26" s="167">
        <f t="shared" si="35"/>
        <v>0.3125</v>
      </c>
      <c r="CP26" s="4">
        <f t="shared" si="240"/>
        <v>0.93083172256454305</v>
      </c>
      <c r="CQ26" s="5">
        <f t="shared" si="241"/>
        <v>-6.5493299537823182</v>
      </c>
      <c r="CR26" s="5">
        <f t="shared" si="158"/>
        <v>11.42620026169212</v>
      </c>
      <c r="CS26" s="8">
        <f t="shared" si="159"/>
        <v>0.35024415567706768</v>
      </c>
      <c r="CT26" s="9">
        <f t="shared" si="160"/>
        <v>3.8358943255891726</v>
      </c>
      <c r="CU26" s="6">
        <f t="shared" si="161"/>
        <v>3.2001034761812686</v>
      </c>
      <c r="CV26" s="4">
        <f t="shared" si="242"/>
        <v>3.5476039869092628</v>
      </c>
      <c r="CW26" s="5">
        <f t="shared" si="162"/>
        <v>1.8587927647517568</v>
      </c>
      <c r="CX26" s="8">
        <f t="shared" si="163"/>
        <v>-0.74876113704869185</v>
      </c>
      <c r="CY26" s="9">
        <f t="shared" si="164"/>
        <v>2.9595966121614015</v>
      </c>
      <c r="CZ26" s="5">
        <f t="shared" si="165"/>
        <v>1.6841003540541379</v>
      </c>
      <c r="DA26" s="6">
        <f t="shared" si="166"/>
        <v>-0.74876113704869185</v>
      </c>
      <c r="DB26" s="4">
        <f t="shared" si="167"/>
        <v>0</v>
      </c>
      <c r="DC26" s="5">
        <f t="shared" si="167"/>
        <v>0</v>
      </c>
      <c r="DD26" s="10">
        <f t="shared" si="168"/>
        <v>-10</v>
      </c>
      <c r="DE26" s="9">
        <f t="shared" si="169"/>
        <v>0</v>
      </c>
      <c r="DF26" s="5">
        <f t="shared" si="169"/>
        <v>0</v>
      </c>
      <c r="DG26" s="10">
        <f t="shared" si="170"/>
        <v>10</v>
      </c>
      <c r="DH26" s="70">
        <f t="shared" si="171"/>
        <v>3.7938000000000001</v>
      </c>
      <c r="DI26" s="4">
        <f t="shared" si="172"/>
        <v>0</v>
      </c>
      <c r="DJ26" s="5">
        <f t="shared" si="173"/>
        <v>0</v>
      </c>
      <c r="DK26" s="10">
        <f t="shared" si="174"/>
        <v>20</v>
      </c>
      <c r="DL26" s="9">
        <f t="shared" si="175"/>
        <v>3.5476039869092628</v>
      </c>
      <c r="DM26" s="173">
        <f t="shared" si="176"/>
        <v>1.8587927647517568</v>
      </c>
      <c r="DN26" s="178">
        <f t="shared" si="177"/>
        <v>9.2512388629513076</v>
      </c>
      <c r="DO26" s="9">
        <f t="shared" si="178"/>
        <v>-0.58800737474786136</v>
      </c>
      <c r="DP26" s="173">
        <f t="shared" si="179"/>
        <v>-0.17469241069761887</v>
      </c>
      <c r="DQ26" s="11">
        <f t="shared" si="180"/>
        <v>0</v>
      </c>
      <c r="DR26" s="173">
        <f t="shared" si="181"/>
        <v>185.02477725902617</v>
      </c>
      <c r="DS26" s="5">
        <f t="shared" si="182"/>
        <v>0</v>
      </c>
      <c r="DT26" s="5">
        <f t="shared" si="183"/>
        <v>400</v>
      </c>
      <c r="DU26" s="5">
        <f t="shared" si="184"/>
        <v>0.3762701111132174</v>
      </c>
      <c r="DV26" s="5">
        <f t="shared" si="185"/>
        <v>-2.4107342960493385</v>
      </c>
      <c r="DW26" s="5">
        <f t="shared" si="186"/>
        <v>101.62602508960858</v>
      </c>
      <c r="DX26" s="167">
        <f t="shared" si="187"/>
        <v>87.233106649608573</v>
      </c>
      <c r="DY26" s="9">
        <f t="shared" si="188"/>
        <v>150.50804444528697</v>
      </c>
      <c r="DZ26" s="5">
        <f t="shared" si="189"/>
        <v>-964.29371841973546</v>
      </c>
      <c r="EA26" s="10">
        <f t="shared" si="190"/>
        <v>659.07446009118576</v>
      </c>
      <c r="EB26" s="6">
        <f t="shared" si="191"/>
        <v>830666.36725160235</v>
      </c>
      <c r="EC26" s="173">
        <f t="shared" si="192"/>
        <v>12.462474855838485</v>
      </c>
      <c r="ED26" s="5">
        <f t="shared" si="193"/>
        <v>0.35137468919733128</v>
      </c>
      <c r="EE26" s="4">
        <f t="shared" si="194"/>
        <v>-3.7804231359335563</v>
      </c>
      <c r="EF26" s="5">
        <f t="shared" si="195"/>
        <v>-0.31830701107312853</v>
      </c>
      <c r="EG26" s="10">
        <f t="shared" si="196"/>
        <v>-0.74876113704869185</v>
      </c>
      <c r="EH26" s="9">
        <f t="shared" si="197"/>
        <v>3.3409930783614943</v>
      </c>
      <c r="EI26" s="5">
        <f t="shared" si="198"/>
        <v>1.7974102732377484</v>
      </c>
      <c r="EJ26" s="6">
        <f t="shared" si="199"/>
        <v>-0.74876113704869185</v>
      </c>
      <c r="EK26" s="236" t="b">
        <f t="shared" si="200"/>
        <v>0</v>
      </c>
      <c r="EL26" s="238" t="b">
        <f t="shared" si="201"/>
        <v>1</v>
      </c>
      <c r="EM26" s="4">
        <f t="shared" si="202"/>
        <v>3.3409930783614943</v>
      </c>
      <c r="EN26" s="5">
        <f t="shared" si="203"/>
        <v>1.7974102732377484</v>
      </c>
      <c r="EO26" s="10">
        <f t="shared" si="204"/>
        <v>-0.74876113704869185</v>
      </c>
      <c r="EP26" s="9">
        <f t="shared" si="205"/>
        <v>28.279666259202447</v>
      </c>
      <c r="EQ26" s="5">
        <f t="shared" si="206"/>
        <v>3.7938000000000014</v>
      </c>
      <c r="ER26" s="7">
        <f t="shared" si="207"/>
        <v>-0.74876113704869185</v>
      </c>
      <c r="ES26" s="21">
        <f t="shared" si="132"/>
        <v>0.27476395871426218</v>
      </c>
      <c r="ET26" s="5">
        <f t="shared" si="44"/>
        <v>-0.92484403526011338</v>
      </c>
      <c r="EU26" s="10">
        <f t="shared" si="45"/>
        <v>-0.26299862629956372</v>
      </c>
      <c r="EV26" s="174">
        <f t="shared" si="254"/>
        <v>61.720333740797557</v>
      </c>
      <c r="EW26" s="9">
        <f t="shared" si="133"/>
        <v>0.94463627035595943</v>
      </c>
      <c r="EX26" s="5">
        <f t="shared" si="47"/>
        <v>-0.19619897882640849</v>
      </c>
      <c r="EY26" s="6">
        <f t="shared" si="208"/>
        <v>-0.26299862629956372</v>
      </c>
      <c r="EZ26" s="51">
        <f t="shared" si="209"/>
        <v>1.2016407700224558</v>
      </c>
      <c r="FA26" s="266">
        <f t="shared" si="134"/>
        <v>0.4736715147804712</v>
      </c>
      <c r="FB26" s="267">
        <f t="shared" si="135"/>
        <v>-0.8804518789401804</v>
      </c>
      <c r="FC26" s="269">
        <f t="shared" si="48"/>
        <v>-2.0971050433393756E-2</v>
      </c>
      <c r="FD26" s="4">
        <f t="shared" si="136"/>
        <v>0.99978008334019153</v>
      </c>
      <c r="FE26" s="5">
        <f t="shared" si="49"/>
        <v>0</v>
      </c>
      <c r="FF26" s="7">
        <f t="shared" si="210"/>
        <v>-2.0971050433393756E-2</v>
      </c>
      <c r="FG26" s="173">
        <f t="shared" si="211"/>
        <v>-5.5143812984232099E-2</v>
      </c>
      <c r="FH26" s="5">
        <f t="shared" si="50"/>
        <v>-0.19619897882640849</v>
      </c>
      <c r="FI26" s="10">
        <f t="shared" si="51"/>
        <v>-0.24202757586616996</v>
      </c>
      <c r="FJ26" s="279">
        <f t="shared" si="212"/>
        <v>18.205165968795992</v>
      </c>
      <c r="FK26" s="4">
        <f t="shared" si="52"/>
        <v>0.96479620778926289</v>
      </c>
      <c r="FL26" s="5">
        <f t="shared" si="213"/>
        <v>0.99978008334019142</v>
      </c>
      <c r="FM26" s="8">
        <f t="shared" si="214"/>
        <v>0.20380107802208863</v>
      </c>
      <c r="FN26" s="9">
        <f t="shared" si="215"/>
        <v>11.733391857269313</v>
      </c>
      <c r="FO26" s="10">
        <f t="shared" si="53"/>
        <v>1</v>
      </c>
      <c r="FP26" s="277">
        <f t="shared" si="54"/>
        <v>11.733391857269313</v>
      </c>
      <c r="FQ26" s="173">
        <f t="shared" si="243"/>
        <v>0.20335794983686722</v>
      </c>
      <c r="FR26" s="10">
        <f t="shared" si="216"/>
        <v>0.9791044603300233</v>
      </c>
      <c r="FS26" s="9">
        <f>IF(ISNUMBER($AV26),FQ26/(FQ26+FR26),"")</f>
        <v>0.17197836319225204</v>
      </c>
      <c r="FT26" s="6">
        <f t="shared" si="218"/>
        <v>0.82802163680774787</v>
      </c>
      <c r="FU26" s="4">
        <f t="shared" si="219"/>
        <v>0.98056410331373789</v>
      </c>
      <c r="FV26" s="5">
        <f t="shared" si="220"/>
        <v>1</v>
      </c>
      <c r="FW26" s="8">
        <f t="shared" si="244"/>
        <v>0.24823011016009847</v>
      </c>
      <c r="FX26" s="9">
        <f t="shared" si="245"/>
        <v>14.356231064374827</v>
      </c>
      <c r="FY26" s="10">
        <f t="shared" si="55"/>
        <v>1</v>
      </c>
      <c r="FZ26" s="277">
        <f t="shared" si="246"/>
        <v>14.356231064374827</v>
      </c>
      <c r="GA26" s="177">
        <f t="shared" si="221"/>
        <v>14.0765176684758</v>
      </c>
      <c r="GB26" s="4">
        <f t="shared" si="222"/>
        <v>-0.19700766179162479</v>
      </c>
      <c r="GC26" s="5">
        <f t="shared" si="223"/>
        <v>0.94852982405706254</v>
      </c>
      <c r="GD26" s="10">
        <f t="shared" si="224"/>
        <v>-0.247949902338506</v>
      </c>
      <c r="GE26" s="311">
        <f t="shared" si="225"/>
        <v>1.3934873881871934</v>
      </c>
      <c r="GF26" s="341">
        <f>IF(ISNUMBER($AV26),1/GE26,"")</f>
        <v>0.71762400469294063</v>
      </c>
      <c r="GG26" s="285">
        <f t="shared" si="56"/>
        <v>0.14137742721009819</v>
      </c>
      <c r="GH26" s="286">
        <f t="shared" si="57"/>
        <v>0.68068777091051957</v>
      </c>
      <c r="GI26" s="281">
        <f t="shared" si="58"/>
        <v>0.17793480187938218</v>
      </c>
      <c r="GJ26" s="167">
        <f t="shared" si="226"/>
        <v>3.7938000000000001</v>
      </c>
      <c r="GK26" s="174">
        <f t="shared" si="59"/>
        <v>1.98686597979459</v>
      </c>
      <c r="GL26" s="174">
        <f t="shared" si="227"/>
        <v>2.8000000000000001E-2</v>
      </c>
      <c r="GM26" s="177">
        <f t="shared" si="248"/>
        <v>0.66758696921098226</v>
      </c>
      <c r="GN26" s="280">
        <f t="shared" si="228"/>
        <v>0.10197532280553921</v>
      </c>
      <c r="GO26" s="4">
        <f t="shared" si="229"/>
        <v>11.733391857269313</v>
      </c>
      <c r="GP26" s="8">
        <f t="shared" si="249"/>
        <v>14.356231064374827</v>
      </c>
      <c r="GQ26" s="177">
        <f t="shared" si="230"/>
        <v>18.205165968795992</v>
      </c>
      <c r="GR26" s="371">
        <f t="shared" si="250"/>
        <v>2411.0192212136426</v>
      </c>
      <c r="GS26" s="342">
        <f t="shared" si="61"/>
        <v>340.86369444927936</v>
      </c>
      <c r="GT26" s="343">
        <f t="shared" si="62"/>
        <v>171.55847345301024</v>
      </c>
      <c r="GU26" s="344">
        <f t="shared" si="63"/>
        <v>1641.1512993103313</v>
      </c>
      <c r="GV26" s="343">
        <f t="shared" si="252"/>
        <v>826</v>
      </c>
      <c r="GW26" s="345">
        <f t="shared" si="64"/>
        <v>29500</v>
      </c>
      <c r="GX26" s="346">
        <f t="shared" si="65"/>
        <v>261.13990000000001</v>
      </c>
      <c r="GY26" s="344">
        <f t="shared" si="66"/>
        <v>429.00422745403182</v>
      </c>
      <c r="GZ26" s="345">
        <f t="shared" si="67"/>
        <v>215.92006296186315</v>
      </c>
      <c r="HA26" s="342">
        <f t="shared" si="68"/>
        <v>340.86369444927936</v>
      </c>
      <c r="HB26" s="5">
        <f t="shared" si="231"/>
        <v>61.720333740797557</v>
      </c>
      <c r="HC26" s="343">
        <f t="shared" si="232"/>
        <v>161.49293747084911</v>
      </c>
      <c r="HD26" s="363">
        <f t="shared" si="233"/>
        <v>300.1800948441587</v>
      </c>
      <c r="HE26" s="344">
        <f t="shared" si="69"/>
        <v>826</v>
      </c>
      <c r="HF26" s="5">
        <f t="shared" si="70"/>
        <v>151.72033374079757</v>
      </c>
      <c r="HG26" s="343">
        <f t="shared" si="234"/>
        <v>-727.4132222907358</v>
      </c>
      <c r="HH26" s="349">
        <f t="shared" si="235"/>
        <v>391.33873311570966</v>
      </c>
      <c r="HI26" s="317">
        <f t="shared" si="71"/>
        <v>2.1219999999999999</v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2.1219999999999999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1613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3.7152326580145814</v>
      </c>
      <c r="C27" s="572">
        <f t="shared" si="3"/>
        <v>1.9462365081261277</v>
      </c>
      <c r="D27" s="576">
        <f t="shared" si="4"/>
        <v>-1.2503099285649519</v>
      </c>
      <c r="E27" s="580">
        <f t="shared" si="5"/>
        <v>-0.16082013310222842</v>
      </c>
      <c r="F27" s="572">
        <f t="shared" si="6"/>
        <v>0.95856930684284214</v>
      </c>
      <c r="G27" s="579">
        <f t="shared" si="7"/>
        <v>0.23512075358805512</v>
      </c>
      <c r="H27" s="580">
        <f t="shared" si="8"/>
        <v>0.3125</v>
      </c>
      <c r="I27" s="572">
        <f t="shared" si="9"/>
        <v>0.52</v>
      </c>
      <c r="J27" s="483">
        <f t="shared" si="10"/>
        <v>2.1280000000000001</v>
      </c>
      <c r="K27" s="806">
        <f t="shared" si="11"/>
        <v>1613</v>
      </c>
      <c r="L27" s="309"/>
      <c r="M27" s="164">
        <f t="shared" si="12"/>
        <v>2.1280000000000001</v>
      </c>
      <c r="N27" s="575">
        <f t="shared" si="13"/>
        <v>3.7152326580145814</v>
      </c>
      <c r="O27" s="572">
        <f t="shared" si="14"/>
        <v>1.9462365081261277</v>
      </c>
      <c r="P27" s="576">
        <f t="shared" si="15"/>
        <v>-1.2503099285649519</v>
      </c>
      <c r="Q27" s="528">
        <f t="shared" si="140"/>
        <v>27.647938900603901</v>
      </c>
      <c r="R27" s="572">
        <f t="shared" si="101"/>
        <v>4.1941376048886463</v>
      </c>
      <c r="S27" s="577">
        <f t="shared" si="102"/>
        <v>-1.2503099285649519</v>
      </c>
      <c r="T27" s="578">
        <f t="shared" si="103"/>
        <v>1.9810481362953012</v>
      </c>
      <c r="U27" s="572">
        <f t="shared" si="104"/>
        <v>-3.6967875960652625</v>
      </c>
      <c r="V27" s="579">
        <f t="shared" si="141"/>
        <v>-1.2503099285649519</v>
      </c>
      <c r="W27" s="528">
        <f t="shared" si="253"/>
        <v>298.18613082082237</v>
      </c>
      <c r="X27" s="572">
        <f t="shared" si="105"/>
        <v>4.1941376048886463</v>
      </c>
      <c r="Y27" s="573">
        <f t="shared" si="255"/>
        <v>-1.2503099285649519</v>
      </c>
      <c r="Z27" s="575">
        <f t="shared" si="18"/>
        <v>0.16082013310222842</v>
      </c>
      <c r="AA27" s="572">
        <f t="shared" si="19"/>
        <v>-0.95856930684284214</v>
      </c>
      <c r="AB27" s="572">
        <f t="shared" si="20"/>
        <v>-0.23512075358805512</v>
      </c>
      <c r="AC27" s="579">
        <f t="shared" si="106"/>
        <v>1</v>
      </c>
      <c r="AD27" s="580">
        <f t="shared" si="142"/>
        <v>0.16082013310222842</v>
      </c>
      <c r="AE27" s="572">
        <f t="shared" si="107"/>
        <v>-0.95856930684284214</v>
      </c>
      <c r="AF27" s="576">
        <f t="shared" si="108"/>
        <v>-0.23512075358805512</v>
      </c>
      <c r="AG27" s="545">
        <f t="shared" si="109"/>
        <v>-76.218403880024297</v>
      </c>
      <c r="AH27" s="546">
        <f t="shared" si="110"/>
        <v>80.745497127565187</v>
      </c>
      <c r="AI27" s="528">
        <f t="shared" si="111"/>
        <v>-76.401259110994687</v>
      </c>
      <c r="AJ27" s="529">
        <f t="shared" si="112"/>
        <v>9.5238748141216814</v>
      </c>
      <c r="AK27" s="578">
        <f t="shared" si="238"/>
        <v>0.92374222617835411</v>
      </c>
      <c r="AL27" s="572">
        <f t="shared" si="113"/>
        <v>-0.30235497483462059</v>
      </c>
      <c r="AM27" s="577">
        <f t="shared" si="114"/>
        <v>-0.23512075358805512</v>
      </c>
      <c r="AN27" s="524">
        <f t="shared" si="115"/>
        <v>-52.13023867353359</v>
      </c>
      <c r="AO27" s="525">
        <f t="shared" si="116"/>
        <v>22.520548757886122</v>
      </c>
      <c r="AP27" s="528">
        <f t="shared" si="117"/>
        <v>-18.124064086482182</v>
      </c>
      <c r="AQ27" s="529">
        <f t="shared" si="21"/>
        <v>1.0869710740759435</v>
      </c>
      <c r="AS27" s="932">
        <f t="shared" si="143"/>
        <v>298.18613082082237</v>
      </c>
      <c r="AT27" s="928">
        <f t="shared" si="22"/>
        <v>-1.1680044471887097</v>
      </c>
      <c r="AU27" s="418"/>
      <c r="AV27" s="164">
        <f t="shared" si="23"/>
        <v>2.1280000000000001</v>
      </c>
      <c r="AW27" s="829">
        <f>IFERROR(INDEX(MassProp!C$9:C$150,MATCH($M27,MassProp!$B$9:$B$150,0)),"")</f>
        <v>4.367</v>
      </c>
      <c r="AX27" s="830">
        <f>IFERROR(INDEX(MassProp!D$9:D$150,MATCH($M27,MassProp!$B$9:$B$150,0)),"")</f>
        <v>-0.77129999999999999</v>
      </c>
      <c r="AY27" s="831">
        <f>IFERROR(INDEX(MassProp!E$9:E$150,MATCH($M27,MassProp!$B$9:$B$150,0)),"")</f>
        <v>2.0199999999999999E-2</v>
      </c>
      <c r="AZ27" s="297">
        <f t="shared" si="144"/>
        <v>0.55435315454831013</v>
      </c>
      <c r="BA27" s="296">
        <f t="shared" si="24"/>
        <v>8.4678617903740427E-2</v>
      </c>
      <c r="BB27" s="190">
        <f t="shared" si="145"/>
        <v>-0.10329555281129033</v>
      </c>
      <c r="BC27" s="9"/>
      <c r="BD27" s="5">
        <f t="shared" si="146"/>
        <v>4.367</v>
      </c>
      <c r="BE27" s="6">
        <f t="shared" si="25"/>
        <v>-1.3536054813762424</v>
      </c>
      <c r="BF27" s="4">
        <f t="shared" si="26"/>
        <v>3.7152326580145814</v>
      </c>
      <c r="BG27" s="5">
        <f t="shared" si="27"/>
        <v>1.9462365081261277</v>
      </c>
      <c r="BH27" s="10">
        <f t="shared" si="28"/>
        <v>-1.2503099285649519</v>
      </c>
      <c r="BI27" s="9">
        <f>IF(ISNUMBER($AV27),BF27+0,"")</f>
        <v>3.7152326580145814</v>
      </c>
      <c r="BJ27" s="5">
        <f t="shared" si="29"/>
        <v>2.1844580170121128</v>
      </c>
      <c r="BK27" s="8">
        <f t="shared" si="30"/>
        <v>-2.2215207773017669</v>
      </c>
      <c r="BL27" s="173">
        <f t="shared" si="31"/>
        <v>4.7022163887766348</v>
      </c>
      <c r="BM27" s="5">
        <f t="shared" si="32"/>
        <v>2.1024267660903107</v>
      </c>
      <c r="BN27" s="6">
        <f t="shared" si="33"/>
        <v>-1.2119991137980941</v>
      </c>
      <c r="BO27" s="4">
        <f t="shared" si="148"/>
        <v>0.16082013310222898</v>
      </c>
      <c r="BP27" s="5">
        <f t="shared" si="239"/>
        <v>-0.95856930684284203</v>
      </c>
      <c r="BQ27" s="5">
        <f t="shared" si="149"/>
        <v>-0.23512075358805573</v>
      </c>
      <c r="BR27" s="6">
        <f t="shared" si="150"/>
        <v>0.9741445573562233</v>
      </c>
      <c r="BS27" s="4">
        <f t="shared" si="118"/>
        <v>0</v>
      </c>
      <c r="BT27" s="5">
        <f t="shared" si="118"/>
        <v>0</v>
      </c>
      <c r="BU27" s="10">
        <f t="shared" si="119"/>
        <v>-1.3536054813762424</v>
      </c>
      <c r="BV27" s="9">
        <f t="shared" si="120"/>
        <v>0</v>
      </c>
      <c r="BW27" s="5">
        <f t="shared" si="121"/>
        <v>1</v>
      </c>
      <c r="BX27" s="8">
        <f t="shared" si="122"/>
        <v>-1.3536054813762424</v>
      </c>
      <c r="BY27" s="173">
        <f t="shared" si="123"/>
        <v>1</v>
      </c>
      <c r="BZ27" s="5">
        <f t="shared" si="124"/>
        <v>0</v>
      </c>
      <c r="CA27" s="6">
        <f t="shared" si="125"/>
        <v>-1.3536054813762424</v>
      </c>
      <c r="CB27" s="4">
        <f t="shared" si="151"/>
        <v>0</v>
      </c>
      <c r="CC27" s="5">
        <f t="shared" si="152"/>
        <v>0</v>
      </c>
      <c r="CD27" s="5">
        <f t="shared" si="153"/>
        <v>-1</v>
      </c>
      <c r="CE27" s="6">
        <f t="shared" si="154"/>
        <v>-1.3536054813762424</v>
      </c>
      <c r="CF27" s="4">
        <f t="shared" si="155"/>
        <v>0.95856930684284203</v>
      </c>
      <c r="CG27" s="5">
        <f t="shared" si="156"/>
        <v>0.16082013310222898</v>
      </c>
      <c r="CH27" s="5">
        <f t="shared" si="157"/>
        <v>0</v>
      </c>
      <c r="CI27" s="4">
        <f t="shared" si="126"/>
        <v>0</v>
      </c>
      <c r="CJ27" s="5">
        <f t="shared" si="127"/>
        <v>1.3482648452984725</v>
      </c>
      <c r="CK27" s="8">
        <f t="shared" si="128"/>
        <v>-1.3536054813762424</v>
      </c>
      <c r="CL27" s="173">
        <f t="shared" si="129"/>
        <v>0.95856930684284203</v>
      </c>
      <c r="CM27" s="5">
        <f t="shared" si="130"/>
        <v>1.5090849784007014</v>
      </c>
      <c r="CN27" s="6">
        <f t="shared" si="131"/>
        <v>-1.3536054813762424</v>
      </c>
      <c r="CO27" s="167">
        <f t="shared" si="35"/>
        <v>0.3125</v>
      </c>
      <c r="CP27" s="4">
        <f t="shared" si="240"/>
        <v>0.94471823123218535</v>
      </c>
      <c r="CQ27" s="5">
        <f t="shared" si="241"/>
        <v>-7.3149477523204629</v>
      </c>
      <c r="CR27" s="5">
        <f t="shared" si="158"/>
        <v>14.073537533953553</v>
      </c>
      <c r="CS27" s="8">
        <f>IF(ISNUMBER($AV27),CQ27^2-(4*CP27*CR27),"")</f>
        <v>0.32635067415270669</v>
      </c>
      <c r="CT27" s="9">
        <f t="shared" si="160"/>
        <v>4.1738470770993494</v>
      </c>
      <c r="CU27" s="6">
        <f t="shared" si="161"/>
        <v>3.5691470882399385</v>
      </c>
      <c r="CV27" s="4">
        <f t="shared" si="242"/>
        <v>4.000921699563146</v>
      </c>
      <c r="CW27" s="5">
        <f t="shared" si="162"/>
        <v>2.019503487785939</v>
      </c>
      <c r="CX27" s="8">
        <f t="shared" si="163"/>
        <v>-1.3536054813762424</v>
      </c>
      <c r="CY27" s="9">
        <f t="shared" si="164"/>
        <v>3.421274850394306</v>
      </c>
      <c r="CZ27" s="5">
        <f t="shared" si="165"/>
        <v>1.9222555550906524</v>
      </c>
      <c r="DA27" s="6">
        <f t="shared" si="166"/>
        <v>-1.3536054813762424</v>
      </c>
      <c r="DB27" s="4">
        <f t="shared" si="167"/>
        <v>0</v>
      </c>
      <c r="DC27" s="5">
        <f t="shared" si="167"/>
        <v>0</v>
      </c>
      <c r="DD27" s="10">
        <f t="shared" si="168"/>
        <v>-10</v>
      </c>
      <c r="DE27" s="9">
        <f t="shared" si="169"/>
        <v>0</v>
      </c>
      <c r="DF27" s="5">
        <f t="shared" si="169"/>
        <v>0</v>
      </c>
      <c r="DG27" s="10">
        <f t="shared" si="170"/>
        <v>10</v>
      </c>
      <c r="DH27" s="70">
        <f t="shared" si="171"/>
        <v>4.367</v>
      </c>
      <c r="DI27" s="4">
        <f t="shared" si="172"/>
        <v>0</v>
      </c>
      <c r="DJ27" s="5">
        <f t="shared" si="173"/>
        <v>0</v>
      </c>
      <c r="DK27" s="10">
        <f t="shared" si="174"/>
        <v>20</v>
      </c>
      <c r="DL27" s="9">
        <f t="shared" si="175"/>
        <v>4.000921699563146</v>
      </c>
      <c r="DM27" s="173">
        <f t="shared" si="176"/>
        <v>2.019503487785939</v>
      </c>
      <c r="DN27" s="178">
        <f t="shared" si="177"/>
        <v>8.6463945186237581</v>
      </c>
      <c r="DO27" s="9">
        <f t="shared" si="178"/>
        <v>-0.57964684916884002</v>
      </c>
      <c r="DP27" s="173">
        <f t="shared" si="179"/>
        <v>-9.7247932695286643E-2</v>
      </c>
      <c r="DQ27" s="11">
        <f t="shared" si="180"/>
        <v>0</v>
      </c>
      <c r="DR27" s="173">
        <f t="shared" si="181"/>
        <v>172.92789037247516</v>
      </c>
      <c r="DS27" s="5">
        <f t="shared" si="182"/>
        <v>0</v>
      </c>
      <c r="DT27" s="5">
        <f t="shared" si="183"/>
        <v>400</v>
      </c>
      <c r="DU27" s="5">
        <f t="shared" si="184"/>
        <v>0.34544763016487101</v>
      </c>
      <c r="DV27" s="5">
        <f t="shared" si="185"/>
        <v>-2.5155141961811216</v>
      </c>
      <c r="DW27" s="5">
        <f t="shared" si="186"/>
        <v>94.845906954901807</v>
      </c>
      <c r="DX27" s="167">
        <f t="shared" si="187"/>
        <v>75.775217954901805</v>
      </c>
      <c r="DY27" s="9">
        <f t="shared" si="188"/>
        <v>138.17905206594841</v>
      </c>
      <c r="DZ27" s="5">
        <f t="shared" si="189"/>
        <v>-1006.2056784724487</v>
      </c>
      <c r="EA27" s="10">
        <f t="shared" si="190"/>
        <v>406.03191328593675</v>
      </c>
      <c r="EB27" s="6">
        <f t="shared" si="191"/>
        <v>956344.76250382664</v>
      </c>
      <c r="EC27" s="173">
        <f t="shared" si="192"/>
        <v>14.359155468230227</v>
      </c>
      <c r="ED27" s="5">
        <f t="shared" si="193"/>
        <v>0.20463931004367436</v>
      </c>
      <c r="EE27" s="4">
        <f t="shared" si="194"/>
        <v>-4.3223175243220249</v>
      </c>
      <c r="EF27" s="5">
        <f t="shared" si="195"/>
        <v>0.62310530325032865</v>
      </c>
      <c r="EG27" s="10">
        <f t="shared" si="196"/>
        <v>-1.3536054813762424</v>
      </c>
      <c r="EH27" s="9">
        <f t="shared" si="197"/>
        <v>3.8823031682802447</v>
      </c>
      <c r="EI27" s="5">
        <f t="shared" si="198"/>
        <v>1.999602737936002</v>
      </c>
      <c r="EJ27" s="6">
        <f t="shared" si="199"/>
        <v>-1.3536054813762424</v>
      </c>
      <c r="EK27" s="236" t="b">
        <f t="shared" si="200"/>
        <v>0</v>
      </c>
      <c r="EL27" s="238" t="b">
        <f t="shared" si="201"/>
        <v>1</v>
      </c>
      <c r="EM27" s="4">
        <f t="shared" si="202"/>
        <v>3.8823031682802447</v>
      </c>
      <c r="EN27" s="5">
        <f t="shared" si="203"/>
        <v>1.999602737936002</v>
      </c>
      <c r="EO27" s="10">
        <f t="shared" si="204"/>
        <v>-1.3536054813762424</v>
      </c>
      <c r="EP27" s="9">
        <f t="shared" si="205"/>
        <v>27.250993969012988</v>
      </c>
      <c r="EQ27" s="5">
        <f t="shared" si="206"/>
        <v>4.3669999999999973</v>
      </c>
      <c r="ER27" s="7">
        <f t="shared" si="207"/>
        <v>-1.3536054813762424</v>
      </c>
      <c r="ES27" s="21">
        <f t="shared" si="132"/>
        <v>0.16082013310222842</v>
      </c>
      <c r="ET27" s="5">
        <f t="shared" si="44"/>
        <v>-0.95856930684284214</v>
      </c>
      <c r="EU27" s="10">
        <f t="shared" si="45"/>
        <v>-0.23512075358805512</v>
      </c>
      <c r="EV27" s="174">
        <f t="shared" si="254"/>
        <v>62.749006030987012</v>
      </c>
      <c r="EW27" s="9">
        <f t="shared" si="133"/>
        <v>0.92581475508097422</v>
      </c>
      <c r="EX27" s="5">
        <f t="shared" si="47"/>
        <v>-0.29594808751965457</v>
      </c>
      <c r="EY27" s="6">
        <f t="shared" si="208"/>
        <v>-0.23512075358805512</v>
      </c>
      <c r="EZ27" s="51">
        <f t="shared" si="209"/>
        <v>1.0439543615420379</v>
      </c>
      <c r="FA27" s="266">
        <f t="shared" si="134"/>
        <v>0.4578133337751818</v>
      </c>
      <c r="FB27" s="267">
        <f t="shared" si="135"/>
        <v>-0.88886163360175119</v>
      </c>
      <c r="FC27" s="269">
        <f t="shared" si="48"/>
        <v>-1.8219432715647733E-2</v>
      </c>
      <c r="FD27" s="4">
        <f t="shared" si="136"/>
        <v>0.99983401235981151</v>
      </c>
      <c r="FE27" s="5">
        <f t="shared" si="49"/>
        <v>5.5511151231257827E-17</v>
      </c>
      <c r="FF27" s="7">
        <f t="shared" si="210"/>
        <v>-1.8219432715647733E-2</v>
      </c>
      <c r="FG27" s="173">
        <f t="shared" si="211"/>
        <v>-7.4019257278837292E-2</v>
      </c>
      <c r="FH27" s="5">
        <f t="shared" si="50"/>
        <v>-0.29594808751965462</v>
      </c>
      <c r="FI27" s="10">
        <f t="shared" si="51"/>
        <v>-0.21690132087240738</v>
      </c>
      <c r="FJ27" s="279">
        <f t="shared" si="212"/>
        <v>21.573780564127166</v>
      </c>
      <c r="FK27" s="4">
        <f t="shared" si="52"/>
        <v>0.97196616774051625</v>
      </c>
      <c r="FL27" s="5">
        <f t="shared" si="213"/>
        <v>0.99983401235981151</v>
      </c>
      <c r="FM27" s="8">
        <f t="shared" si="214"/>
        <v>0.30506412597133059</v>
      </c>
      <c r="FN27" s="9">
        <f t="shared" si="215"/>
        <v>17.727119154891295</v>
      </c>
      <c r="FO27" s="10">
        <f t="shared" si="53"/>
        <v>1</v>
      </c>
      <c r="FP27" s="277">
        <f t="shared" si="54"/>
        <v>17.727119154891295</v>
      </c>
      <c r="FQ27" s="173">
        <f t="shared" si="243"/>
        <v>0.30448393919680444</v>
      </c>
      <c r="FR27" s="10">
        <f t="shared" si="216"/>
        <v>0.95251747006088905</v>
      </c>
      <c r="FS27" s="9">
        <f t="shared" si="217"/>
        <v>0.24223038809209738</v>
      </c>
      <c r="FT27" s="6">
        <f t="shared" si="218"/>
        <v>0.7577696119079026</v>
      </c>
      <c r="FU27" s="4">
        <f t="shared" si="219"/>
        <v>0.9552040250613788</v>
      </c>
      <c r="FV27" s="5">
        <f t="shared" si="220"/>
        <v>0.99999999999999978</v>
      </c>
      <c r="FW27" s="8">
        <f t="shared" si="244"/>
        <v>0.22918340569139323</v>
      </c>
      <c r="FX27" s="9">
        <f t="shared" si="245"/>
        <v>13.205682814287702</v>
      </c>
      <c r="FY27" s="10">
        <f t="shared" si="55"/>
        <v>1</v>
      </c>
      <c r="FZ27" s="277">
        <f t="shared" si="246"/>
        <v>13.205682814287702</v>
      </c>
      <c r="GA27" s="177">
        <f t="shared" si="221"/>
        <v>12.613537063285053</v>
      </c>
      <c r="GB27" s="4">
        <f t="shared" si="222"/>
        <v>-0.29643224183870248</v>
      </c>
      <c r="GC27" s="5">
        <f t="shared" si="223"/>
        <v>0.92732933561456599</v>
      </c>
      <c r="GD27" s="10">
        <f t="shared" si="224"/>
        <v>-0.22844743226206005</v>
      </c>
      <c r="GE27" s="311">
        <f t="shared" si="225"/>
        <v>1.4522090097153284</v>
      </c>
      <c r="GF27" s="341">
        <f t="shared" si="247"/>
        <v>0.68860611200589272</v>
      </c>
      <c r="GG27" s="285">
        <f t="shared" si="56"/>
        <v>0.20412505352573945</v>
      </c>
      <c r="GH27" s="286">
        <f t="shared" si="57"/>
        <v>0.63856464834655391</v>
      </c>
      <c r="GI27" s="281">
        <f t="shared" si="58"/>
        <v>0.15731029812770672</v>
      </c>
      <c r="GJ27" s="167">
        <f t="shared" si="226"/>
        <v>4.367</v>
      </c>
      <c r="GK27" s="174">
        <f t="shared" si="59"/>
        <v>2.2869354560573849</v>
      </c>
      <c r="GL27" s="174">
        <f t="shared" si="227"/>
        <v>2.0199999999999999E-2</v>
      </c>
      <c r="GM27" s="177">
        <f t="shared" si="248"/>
        <v>0.55435315454831013</v>
      </c>
      <c r="GN27" s="280">
        <f t="shared" si="228"/>
        <v>8.4678617903740427E-2</v>
      </c>
      <c r="GO27" s="4">
        <f t="shared" si="229"/>
        <v>17.727119154891295</v>
      </c>
      <c r="GP27" s="8">
        <f t="shared" si="249"/>
        <v>13.205682814287702</v>
      </c>
      <c r="GQ27" s="177">
        <f t="shared" si="230"/>
        <v>21.573780564127166</v>
      </c>
      <c r="GR27" s="371">
        <f t="shared" si="250"/>
        <v>2134.1376191013351</v>
      </c>
      <c r="GS27" s="342">
        <f t="shared" si="61"/>
        <v>435.63095573035406</v>
      </c>
      <c r="GT27" s="343">
        <f t="shared" si="62"/>
        <v>190.48677328277995</v>
      </c>
      <c r="GU27" s="344">
        <f t="shared" si="63"/>
        <v>1362.7848382645957</v>
      </c>
      <c r="GV27" s="343">
        <f t="shared" si="252"/>
        <v>595.9</v>
      </c>
      <c r="GW27" s="345">
        <f t="shared" si="64"/>
        <v>29500</v>
      </c>
      <c r="GX27" s="346">
        <f t="shared" si="65"/>
        <v>216.85794166666665</v>
      </c>
      <c r="GY27" s="344">
        <f t="shared" si="66"/>
        <v>335.72182510638515</v>
      </c>
      <c r="GZ27" s="345">
        <f t="shared" si="67"/>
        <v>146.79986888880569</v>
      </c>
      <c r="HA27" s="342">
        <f t="shared" si="68"/>
        <v>435.63095573035406</v>
      </c>
      <c r="HB27" s="5">
        <f t="shared" si="231"/>
        <v>62.749006030987012</v>
      </c>
      <c r="HC27" s="343">
        <f t="shared" si="232"/>
        <v>199.47076982095118</v>
      </c>
      <c r="HD27" s="363">
        <f t="shared" si="233"/>
        <v>387.27992663908987</v>
      </c>
      <c r="HE27" s="344">
        <f t="shared" si="69"/>
        <v>595.9</v>
      </c>
      <c r="HF27" s="5">
        <f t="shared" si="70"/>
        <v>152.749006030987</v>
      </c>
      <c r="HG27" s="343">
        <f t="shared" si="234"/>
        <v>-529.76058117201705</v>
      </c>
      <c r="HH27" s="349">
        <f t="shared" si="235"/>
        <v>272.85625636273522</v>
      </c>
      <c r="HI27" s="317">
        <f t="shared" si="71"/>
        <v>2.1280000000000001</v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2.1280000000000001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4.012053006975921</v>
      </c>
      <c r="C28" s="572">
        <f t="shared" si="3"/>
        <v>2.059413463502533</v>
      </c>
      <c r="D28" s="576">
        <f t="shared" si="4"/>
        <v>-1.925876347656984</v>
      </c>
      <c r="E28" s="580">
        <f t="shared" si="5"/>
        <v>-5.2746059524815057E-2</v>
      </c>
      <c r="F28" s="572">
        <f t="shared" si="6"/>
        <v>0.98433428191476324</v>
      </c>
      <c r="G28" s="579">
        <f t="shared" si="7"/>
        <v>0.16823755422601716</v>
      </c>
      <c r="H28" s="580">
        <f t="shared" si="8"/>
        <v>0.3125</v>
      </c>
      <c r="I28" s="572">
        <f t="shared" si="9"/>
        <v>0.52</v>
      </c>
      <c r="J28" s="483">
        <f t="shared" si="10"/>
        <v>2.1339999999999999</v>
      </c>
      <c r="K28" s="806">
        <f t="shared" si="11"/>
        <v>1613</v>
      </c>
      <c r="L28" s="309"/>
      <c r="M28" s="164">
        <f t="shared" si="12"/>
        <v>2.1339999999999999</v>
      </c>
      <c r="N28" s="575">
        <f t="shared" si="13"/>
        <v>4.012053006975921</v>
      </c>
      <c r="O28" s="572">
        <f t="shared" si="14"/>
        <v>2.059413463502533</v>
      </c>
      <c r="P28" s="576">
        <f t="shared" si="15"/>
        <v>-1.925876347656984</v>
      </c>
      <c r="Q28" s="528">
        <f t="shared" si="140"/>
        <v>27.171730854549004</v>
      </c>
      <c r="R28" s="572">
        <f t="shared" si="101"/>
        <v>4.5097398089512915</v>
      </c>
      <c r="S28" s="577">
        <f t="shared" si="102"/>
        <v>-1.925876347656984</v>
      </c>
      <c r="T28" s="578">
        <f t="shared" si="103"/>
        <v>2.0970081568994932</v>
      </c>
      <c r="U28" s="572">
        <f t="shared" si="104"/>
        <v>-3.9925317699846827</v>
      </c>
      <c r="V28" s="579">
        <f t="shared" si="141"/>
        <v>-1.925876347656984</v>
      </c>
      <c r="W28" s="528">
        <f t="shared" si="253"/>
        <v>297.70992277476751</v>
      </c>
      <c r="X28" s="572">
        <f t="shared" si="105"/>
        <v>4.5097398089512915</v>
      </c>
      <c r="Y28" s="573">
        <f t="shared" si="255"/>
        <v>-1.925876347656984</v>
      </c>
      <c r="Z28" s="575">
        <f t="shared" si="18"/>
        <v>5.2746059524815057E-2</v>
      </c>
      <c r="AA28" s="572">
        <f t="shared" si="19"/>
        <v>-0.98433428191476324</v>
      </c>
      <c r="AB28" s="572">
        <f t="shared" si="20"/>
        <v>-0.16823755422601716</v>
      </c>
      <c r="AC28" s="579">
        <f t="shared" si="106"/>
        <v>1</v>
      </c>
      <c r="AD28" s="580">
        <f t="shared" si="142"/>
        <v>5.2746059524815057E-2</v>
      </c>
      <c r="AE28" s="572">
        <f t="shared" si="107"/>
        <v>-0.98433428191476324</v>
      </c>
      <c r="AF28" s="576">
        <f t="shared" si="108"/>
        <v>-0.16823755422601716</v>
      </c>
      <c r="AG28" s="545">
        <f t="shared" si="109"/>
        <v>-80.301005887658079</v>
      </c>
      <c r="AH28" s="546">
        <f t="shared" si="110"/>
        <v>86.976470312645247</v>
      </c>
      <c r="AI28" s="528">
        <f t="shared" si="111"/>
        <v>-80.314637479401568</v>
      </c>
      <c r="AJ28" s="529">
        <f t="shared" si="112"/>
        <v>3.0672902893668534</v>
      </c>
      <c r="AK28" s="578">
        <f t="shared" si="238"/>
        <v>0.89979187994469656</v>
      </c>
      <c r="AL28" s="572">
        <f t="shared" si="113"/>
        <v>-0.40258005183272155</v>
      </c>
      <c r="AM28" s="577">
        <f t="shared" si="114"/>
        <v>-0.16823755422601716</v>
      </c>
      <c r="AN28" s="524">
        <f t="shared" si="115"/>
        <v>-67.320028691284776</v>
      </c>
      <c r="AO28" s="525">
        <f t="shared" si="116"/>
        <v>25.869275744657813</v>
      </c>
      <c r="AP28" s="528">
        <f t="shared" si="117"/>
        <v>-24.104440565182188</v>
      </c>
      <c r="AQ28" s="529">
        <f t="shared" si="21"/>
        <v>1.0109186603204832</v>
      </c>
      <c r="AS28" s="932">
        <f t="shared" si="143"/>
        <v>297.70992277476751</v>
      </c>
      <c r="AT28" s="928">
        <f t="shared" si="22"/>
        <v>-1.8429094662167766</v>
      </c>
      <c r="AU28" s="418"/>
      <c r="AV28" s="164">
        <f t="shared" si="23"/>
        <v>2.1339999999999999</v>
      </c>
      <c r="AW28" s="829">
        <f>IFERROR(INDEX(MassProp!C$9:C$150,MATCH($M28,MassProp!$B$9:$B$150,0)),"")</f>
        <v>4.7446999999999999</v>
      </c>
      <c r="AX28" s="830">
        <f>IFERROR(INDEX(MassProp!D$9:D$150,MATCH($M28,MassProp!$B$9:$B$150,0)),"")</f>
        <v>-1.5189999999999999</v>
      </c>
      <c r="AY28" s="831">
        <f>IFERROR(INDEX(MassProp!E$9:E$150,MATCH($M28,MassProp!$B$9:$B$150,0)),"")</f>
        <v>1.14E-2</v>
      </c>
      <c r="AZ28" s="297">
        <f t="shared" si="144"/>
        <v>0.33990265078398008</v>
      </c>
      <c r="BA28" s="296">
        <f t="shared" si="24"/>
        <v>5.1920849469427641E-2</v>
      </c>
      <c r="BB28" s="190">
        <f t="shared" si="145"/>
        <v>-0.17609053378322326</v>
      </c>
      <c r="BC28" s="9"/>
      <c r="BD28" s="5">
        <f t="shared" si="146"/>
        <v>4.7446999999999999</v>
      </c>
      <c r="BE28" s="6">
        <f t="shared" si="25"/>
        <v>-2.101966881440207</v>
      </c>
      <c r="BF28" s="4">
        <f t="shared" si="26"/>
        <v>4.012053006975921</v>
      </c>
      <c r="BG28" s="5">
        <f t="shared" si="27"/>
        <v>2.059413463502533</v>
      </c>
      <c r="BH28" s="10">
        <f t="shared" si="28"/>
        <v>-1.925876347656984</v>
      </c>
      <c r="BI28" s="9">
        <f t="shared" si="147"/>
        <v>4.012053006975921</v>
      </c>
      <c r="BJ28" s="5">
        <f t="shared" si="29"/>
        <v>2.2278855379806659</v>
      </c>
      <c r="BK28" s="8">
        <f t="shared" si="30"/>
        <v>-2.9115827746021647</v>
      </c>
      <c r="BL28" s="173">
        <f t="shared" si="31"/>
        <v>5.0106609646873572</v>
      </c>
      <c r="BM28" s="5">
        <f t="shared" si="32"/>
        <v>2.1114055933721763</v>
      </c>
      <c r="BN28" s="6">
        <f t="shared" si="33"/>
        <v>-1.9169901095882913</v>
      </c>
      <c r="BO28" s="4">
        <f t="shared" si="148"/>
        <v>5.2746059524815175E-2</v>
      </c>
      <c r="BP28" s="5">
        <f t="shared" si="239"/>
        <v>-0.98433428191476402</v>
      </c>
      <c r="BQ28" s="5">
        <f t="shared" si="149"/>
        <v>-0.16823755422601661</v>
      </c>
      <c r="BR28" s="6">
        <f t="shared" si="150"/>
        <v>1.4915265595681513</v>
      </c>
      <c r="BS28" s="4">
        <f t="shared" si="118"/>
        <v>0</v>
      </c>
      <c r="BT28" s="5">
        <f t="shared" si="118"/>
        <v>0</v>
      </c>
      <c r="BU28" s="10">
        <f t="shared" si="119"/>
        <v>-2.101966881440207</v>
      </c>
      <c r="BV28" s="9">
        <f t="shared" si="120"/>
        <v>0</v>
      </c>
      <c r="BW28" s="5">
        <f t="shared" si="121"/>
        <v>1</v>
      </c>
      <c r="BX28" s="8">
        <f t="shared" si="122"/>
        <v>-2.101966881440207</v>
      </c>
      <c r="BY28" s="173">
        <f t="shared" si="123"/>
        <v>1</v>
      </c>
      <c r="BZ28" s="5">
        <f t="shared" si="124"/>
        <v>0</v>
      </c>
      <c r="CA28" s="6">
        <f t="shared" si="125"/>
        <v>-2.101966881440207</v>
      </c>
      <c r="CB28" s="4">
        <f t="shared" si="151"/>
        <v>0</v>
      </c>
      <c r="CC28" s="5">
        <f t="shared" si="152"/>
        <v>0</v>
      </c>
      <c r="CD28" s="5">
        <f t="shared" si="153"/>
        <v>-1</v>
      </c>
      <c r="CE28" s="6">
        <f t="shared" si="154"/>
        <v>-2.101966881440207</v>
      </c>
      <c r="CF28" s="4">
        <f t="shared" si="155"/>
        <v>0.98433428191476402</v>
      </c>
      <c r="CG28" s="5">
        <f t="shared" si="156"/>
        <v>5.2746059524815175E-2</v>
      </c>
      <c r="CH28" s="5">
        <f t="shared" si="157"/>
        <v>0</v>
      </c>
      <c r="CI28" s="4">
        <f t="shared" si="126"/>
        <v>0</v>
      </c>
      <c r="CJ28" s="5">
        <f t="shared" si="127"/>
        <v>1.8745220609166144</v>
      </c>
      <c r="CK28" s="8">
        <f t="shared" si="128"/>
        <v>-2.1019668814402075</v>
      </c>
      <c r="CL28" s="173">
        <f t="shared" si="129"/>
        <v>0.98433428191476402</v>
      </c>
      <c r="CM28" s="5">
        <f t="shared" si="130"/>
        <v>1.9272681204414297</v>
      </c>
      <c r="CN28" s="6">
        <f t="shared" si="131"/>
        <v>-2.1019668814402075</v>
      </c>
      <c r="CO28" s="167">
        <f t="shared" si="35"/>
        <v>0.3125</v>
      </c>
      <c r="CP28" s="4">
        <f t="shared" si="240"/>
        <v>0.9716961253480495</v>
      </c>
      <c r="CQ28" s="5">
        <f t="shared" si="241"/>
        <v>-7.917907217104073</v>
      </c>
      <c r="CR28" s="5">
        <f t="shared" si="158"/>
        <v>16.064105787622779</v>
      </c>
      <c r="CS28" s="8">
        <f t="shared" si="159"/>
        <v>0.25553729461184105</v>
      </c>
      <c r="CT28" s="9">
        <f t="shared" si="160"/>
        <v>4.3343870399828557</v>
      </c>
      <c r="CU28" s="6">
        <f t="shared" si="161"/>
        <v>3.8141555038787627</v>
      </c>
      <c r="CV28" s="4">
        <f t="shared" si="242"/>
        <v>4.2664857545421837</v>
      </c>
      <c r="CW28" s="5">
        <f t="shared" si="162"/>
        <v>2.1031438977311381</v>
      </c>
      <c r="CX28" s="8">
        <f t="shared" si="163"/>
        <v>-2.1019668814402075</v>
      </c>
      <c r="CY28" s="9">
        <f t="shared" si="164"/>
        <v>3.7544040190217469</v>
      </c>
      <c r="CZ28" s="5">
        <f t="shared" si="165"/>
        <v>2.0757037341611055</v>
      </c>
      <c r="DA28" s="6">
        <f t="shared" si="166"/>
        <v>-2.1019668814402075</v>
      </c>
      <c r="DB28" s="4">
        <f t="shared" si="167"/>
        <v>0</v>
      </c>
      <c r="DC28" s="5">
        <f t="shared" si="167"/>
        <v>0</v>
      </c>
      <c r="DD28" s="10">
        <f t="shared" si="168"/>
        <v>-10</v>
      </c>
      <c r="DE28" s="9">
        <f t="shared" si="169"/>
        <v>0</v>
      </c>
      <c r="DF28" s="5">
        <f t="shared" si="169"/>
        <v>0</v>
      </c>
      <c r="DG28" s="10">
        <f t="shared" si="170"/>
        <v>10</v>
      </c>
      <c r="DH28" s="70">
        <f t="shared" si="171"/>
        <v>4.7446999999999999</v>
      </c>
      <c r="DI28" s="4">
        <f t="shared" si="172"/>
        <v>0</v>
      </c>
      <c r="DJ28" s="5">
        <f t="shared" si="173"/>
        <v>0</v>
      </c>
      <c r="DK28" s="10">
        <f t="shared" si="174"/>
        <v>20</v>
      </c>
      <c r="DL28" s="9">
        <f t="shared" si="175"/>
        <v>4.2664857545421837</v>
      </c>
      <c r="DM28" s="173">
        <f t="shared" si="176"/>
        <v>2.1031438977311381</v>
      </c>
      <c r="DN28" s="178">
        <f t="shared" si="177"/>
        <v>7.898033118559793</v>
      </c>
      <c r="DO28" s="9">
        <f t="shared" si="178"/>
        <v>-0.51208173552043679</v>
      </c>
      <c r="DP28" s="173">
        <f t="shared" si="179"/>
        <v>-2.7440163570032539E-2</v>
      </c>
      <c r="DQ28" s="11">
        <f t="shared" si="180"/>
        <v>0</v>
      </c>
      <c r="DR28" s="173">
        <f t="shared" si="181"/>
        <v>157.96066237119587</v>
      </c>
      <c r="DS28" s="5">
        <f t="shared" si="182"/>
        <v>0</v>
      </c>
      <c r="DT28" s="5">
        <f t="shared" si="183"/>
        <v>400</v>
      </c>
      <c r="DU28" s="5">
        <f t="shared" si="184"/>
        <v>0.26298066643037271</v>
      </c>
      <c r="DV28" s="5">
        <f t="shared" si="185"/>
        <v>-2.2425000423242403</v>
      </c>
      <c r="DW28" s="5">
        <f t="shared" si="186"/>
        <v>85.005042090142439</v>
      </c>
      <c r="DX28" s="167">
        <f t="shared" si="187"/>
        <v>62.49286400014244</v>
      </c>
      <c r="DY28" s="9">
        <f t="shared" si="188"/>
        <v>105.19226657214908</v>
      </c>
      <c r="DZ28" s="5">
        <f t="shared" si="189"/>
        <v>-897.00001692969613</v>
      </c>
      <c r="EA28" s="10">
        <f t="shared" si="190"/>
        <v>45.574743310040503</v>
      </c>
      <c r="EB28" s="6">
        <f t="shared" si="191"/>
        <v>799814.91982464807</v>
      </c>
      <c r="EC28" s="173">
        <f t="shared" si="192"/>
        <v>17.029044029134038</v>
      </c>
      <c r="ED28" s="5">
        <f t="shared" si="193"/>
        <v>2.5441935658125307E-2</v>
      </c>
      <c r="EE28" s="4">
        <f t="shared" si="194"/>
        <v>-4.4537766661507066</v>
      </c>
      <c r="EF28" s="5">
        <f t="shared" si="195"/>
        <v>1.635864144130414</v>
      </c>
      <c r="EG28" s="10">
        <f t="shared" si="196"/>
        <v>-2.1019668814402075</v>
      </c>
      <c r="EH28" s="9">
        <f t="shared" si="197"/>
        <v>4.2534574039753714</v>
      </c>
      <c r="EI28" s="5">
        <f t="shared" si="198"/>
        <v>2.1024457668551411</v>
      </c>
      <c r="EJ28" s="6">
        <f t="shared" si="199"/>
        <v>-2.1019668814402075</v>
      </c>
      <c r="EK28" s="236" t="b">
        <f t="shared" si="200"/>
        <v>0</v>
      </c>
      <c r="EL28" s="238" t="b">
        <f t="shared" si="201"/>
        <v>1</v>
      </c>
      <c r="EM28" s="4">
        <f t="shared" si="202"/>
        <v>4.2534574039753714</v>
      </c>
      <c r="EN28" s="5">
        <f t="shared" si="203"/>
        <v>2.1024457668551411</v>
      </c>
      <c r="EO28" s="10">
        <f t="shared" si="204"/>
        <v>-2.1019668814402075</v>
      </c>
      <c r="EP28" s="9">
        <f t="shared" si="205"/>
        <v>26.302773357527546</v>
      </c>
      <c r="EQ28" s="5">
        <f t="shared" si="206"/>
        <v>4.7447000000000008</v>
      </c>
      <c r="ER28" s="7">
        <f t="shared" si="207"/>
        <v>-2.1019668814402075</v>
      </c>
      <c r="ES28" s="21">
        <f t="shared" si="132"/>
        <v>5.2746059524815057E-2</v>
      </c>
      <c r="ET28" s="5">
        <f t="shared" si="44"/>
        <v>-0.98433428191476324</v>
      </c>
      <c r="EU28" s="10">
        <f t="shared" si="45"/>
        <v>-0.16823755422601716</v>
      </c>
      <c r="EV28" s="174">
        <f t="shared" si="254"/>
        <v>63.697226642472458</v>
      </c>
      <c r="EW28" s="9">
        <f t="shared" si="133"/>
        <v>0.90579376334928785</v>
      </c>
      <c r="EX28" s="5">
        <f t="shared" si="47"/>
        <v>-0.38888788053317142</v>
      </c>
      <c r="EY28" s="6">
        <f t="shared" si="208"/>
        <v>-0.16823755422601716</v>
      </c>
      <c r="EZ28" s="51">
        <f t="shared" si="209"/>
        <v>0.96086703441287769</v>
      </c>
      <c r="FA28" s="266">
        <f t="shared" si="134"/>
        <v>0.44305227411184295</v>
      </c>
      <c r="FB28" s="267">
        <f t="shared" si="135"/>
        <v>-0.89633892363749457</v>
      </c>
      <c r="FC28" s="269">
        <f t="shared" si="48"/>
        <v>-1.6769507348215851E-2</v>
      </c>
      <c r="FD28" s="4">
        <f t="shared" si="136"/>
        <v>0.9998593819249274</v>
      </c>
      <c r="FE28" s="5">
        <f t="shared" si="49"/>
        <v>5.5511151231257827E-17</v>
      </c>
      <c r="FF28" s="7">
        <f t="shared" si="210"/>
        <v>-1.6769507348215851E-2</v>
      </c>
      <c r="FG28" s="173">
        <f t="shared" si="211"/>
        <v>-9.4065618575639554E-2</v>
      </c>
      <c r="FH28" s="5">
        <f t="shared" si="50"/>
        <v>-0.38888788053317147</v>
      </c>
      <c r="FI28" s="10">
        <f t="shared" si="51"/>
        <v>-0.1514680468778013</v>
      </c>
      <c r="FJ28" s="279">
        <f t="shared" si="212"/>
        <v>24.702814029276215</v>
      </c>
      <c r="FK28" s="4">
        <f t="shared" si="52"/>
        <v>0.9857464812760165</v>
      </c>
      <c r="FL28" s="5">
        <f t="shared" si="213"/>
        <v>0.9998593819249274</v>
      </c>
      <c r="FM28" s="8">
        <f t="shared" si="214"/>
        <v>0.40010264211024643</v>
      </c>
      <c r="FN28" s="9">
        <f t="shared" si="215"/>
        <v>23.235483068160693</v>
      </c>
      <c r="FO28" s="10">
        <f t="shared" si="53"/>
        <v>1</v>
      </c>
      <c r="FP28" s="277">
        <f t="shared" si="54"/>
        <v>23.235483068160693</v>
      </c>
      <c r="FQ28" s="173">
        <f t="shared" si="243"/>
        <v>0.39451105118809937</v>
      </c>
      <c r="FR28" s="10">
        <f t="shared" si="216"/>
        <v>0.918891196219912</v>
      </c>
      <c r="FS28" s="9">
        <f t="shared" si="217"/>
        <v>0.30037336388502739</v>
      </c>
      <c r="FT28" s="6">
        <f t="shared" si="218"/>
        <v>0.69962663611497256</v>
      </c>
      <c r="FU28" s="4">
        <f t="shared" si="219"/>
        <v>0.92128508962992439</v>
      </c>
      <c r="FV28" s="5">
        <f t="shared" si="220"/>
        <v>0.99999999999999978</v>
      </c>
      <c r="FW28" s="8">
        <f t="shared" si="244"/>
        <v>0.17830005558886827</v>
      </c>
      <c r="FX28" s="9">
        <f t="shared" si="245"/>
        <v>9.561061464846361</v>
      </c>
      <c r="FY28" s="10">
        <f t="shared" si="55"/>
        <v>1</v>
      </c>
      <c r="FZ28" s="277">
        <f t="shared" si="246"/>
        <v>9.561061464846361</v>
      </c>
      <c r="GA28" s="177">
        <f t="shared" si="221"/>
        <v>8.8080838036427345</v>
      </c>
      <c r="GB28" s="4">
        <f t="shared" si="222"/>
        <v>-0.3890309559109239</v>
      </c>
      <c r="GC28" s="5">
        <f t="shared" si="223"/>
        <v>0.9061270130887229</v>
      </c>
      <c r="GD28" s="10">
        <f t="shared" si="224"/>
        <v>-0.16609861978337456</v>
      </c>
      <c r="GE28" s="311">
        <f t="shared" si="225"/>
        <v>1.4612565887830213</v>
      </c>
      <c r="GF28" s="341">
        <f t="shared" si="247"/>
        <v>0.68434250882169179</v>
      </c>
      <c r="GG28" s="285">
        <f t="shared" si="56"/>
        <v>0.26623042037738265</v>
      </c>
      <c r="GH28" s="286">
        <f t="shared" si="57"/>
        <v>0.62010123344824253</v>
      </c>
      <c r="GI28" s="281">
        <f t="shared" si="58"/>
        <v>0.11366834617437484</v>
      </c>
      <c r="GJ28" s="167">
        <f t="shared" si="226"/>
        <v>4.7446999999999999</v>
      </c>
      <c r="GK28" s="174">
        <f t="shared" si="59"/>
        <v>2.4846684998828952</v>
      </c>
      <c r="GL28" s="174">
        <f t="shared" si="227"/>
        <v>1.14E-2</v>
      </c>
      <c r="GM28" s="177">
        <f t="shared" si="248"/>
        <v>0.33990265078398008</v>
      </c>
      <c r="GN28" s="280">
        <f t="shared" si="228"/>
        <v>5.1920849469427641E-2</v>
      </c>
      <c r="GO28" s="4">
        <f t="shared" si="229"/>
        <v>23.235483068160693</v>
      </c>
      <c r="GP28" s="8">
        <f t="shared" si="249"/>
        <v>9.561061464846361</v>
      </c>
      <c r="GQ28" s="177">
        <f t="shared" si="230"/>
        <v>24.702814029276215</v>
      </c>
      <c r="GR28" s="371">
        <f t="shared" si="250"/>
        <v>1347.5122632220364</v>
      </c>
      <c r="GS28" s="342">
        <f t="shared" si="61"/>
        <v>358.74875630128105</v>
      </c>
      <c r="GT28" s="343">
        <f t="shared" si="62"/>
        <v>144.38495771898312</v>
      </c>
      <c r="GU28" s="344">
        <f t="shared" si="63"/>
        <v>835.59401651061762</v>
      </c>
      <c r="GV28" s="343">
        <f t="shared" si="252"/>
        <v>336.3</v>
      </c>
      <c r="GW28" s="345">
        <f t="shared" si="64"/>
        <v>29500</v>
      </c>
      <c r="GX28" s="346">
        <f t="shared" si="65"/>
        <v>132.97021749999999</v>
      </c>
      <c r="GY28" s="344">
        <f t="shared" si="66"/>
        <v>153.16949041013774</v>
      </c>
      <c r="GZ28" s="345">
        <f t="shared" si="67"/>
        <v>61.645845478926773</v>
      </c>
      <c r="HA28" s="342">
        <f t="shared" si="68"/>
        <v>358.74875630128105</v>
      </c>
      <c r="HB28" s="5">
        <f t="shared" si="231"/>
        <v>63.697226642472458</v>
      </c>
      <c r="HC28" s="343">
        <f t="shared" si="232"/>
        <v>158.96680592032686</v>
      </c>
      <c r="HD28" s="363">
        <f t="shared" si="233"/>
        <v>321.60569765351647</v>
      </c>
      <c r="HE28" s="344">
        <f t="shared" si="69"/>
        <v>336.3</v>
      </c>
      <c r="HF28" s="5">
        <f t="shared" si="70"/>
        <v>153.69722664247246</v>
      </c>
      <c r="HG28" s="343">
        <f t="shared" si="234"/>
        <v>-301.4811737216088</v>
      </c>
      <c r="HH28" s="349">
        <f t="shared" si="235"/>
        <v>149.01943460985603</v>
      </c>
      <c r="HI28" s="317">
        <f t="shared" si="71"/>
        <v>2.1339999999999999</v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2.1339999999999999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4.1304919568696272</v>
      </c>
      <c r="C29" s="572">
        <f t="shared" si="3"/>
        <v>2.1022882036165407</v>
      </c>
      <c r="D29" s="576">
        <f t="shared" si="4"/>
        <v>-2.660899149914485</v>
      </c>
      <c r="E29" s="580">
        <f t="shared" si="5"/>
        <v>3.5520095955876789E-2</v>
      </c>
      <c r="F29" s="572">
        <f t="shared" si="6"/>
        <v>0.99730758193520941</v>
      </c>
      <c r="G29" s="579">
        <f t="shared" si="7"/>
        <v>6.415535673527939E-2</v>
      </c>
      <c r="H29" s="580">
        <f t="shared" si="8"/>
        <v>0.3125</v>
      </c>
      <c r="I29" s="572">
        <f t="shared" si="9"/>
        <v>0.52</v>
      </c>
      <c r="J29" s="483">
        <f t="shared" si="10"/>
        <v>2.14</v>
      </c>
      <c r="K29" s="806">
        <f t="shared" si="11"/>
        <v>1613</v>
      </c>
      <c r="L29" s="82"/>
      <c r="M29" s="164">
        <f t="shared" si="12"/>
        <v>2.14</v>
      </c>
      <c r="N29" s="575">
        <f t="shared" si="13"/>
        <v>4.1304919568696272</v>
      </c>
      <c r="O29" s="572">
        <f t="shared" si="14"/>
        <v>2.1022882036165407</v>
      </c>
      <c r="P29" s="576">
        <f t="shared" si="15"/>
        <v>-2.660899149914485</v>
      </c>
      <c r="Q29" s="528">
        <f t="shared" si="140"/>
        <v>26.974637452447411</v>
      </c>
      <c r="R29" s="572">
        <f>IF(M29="","",SQRT(N29^2+O29^2))</f>
        <v>4.6347146079159982</v>
      </c>
      <c r="S29" s="577">
        <f>IF(M29="","",P29)</f>
        <v>-2.660899149914485</v>
      </c>
      <c r="T29" s="578">
        <f>IF(M29="","",X29*COS(RADIANS(W29)))</f>
        <v>2.1409935124256108</v>
      </c>
      <c r="U29" s="572">
        <f>IF(M29="","",X29*SIN(RADIANS(W29)))</f>
        <v>-4.1105627688409516</v>
      </c>
      <c r="V29" s="579">
        <f>IF(M29="","",Y29)</f>
        <v>-2.660899149914485</v>
      </c>
      <c r="W29" s="528">
        <f t="shared" si="253"/>
        <v>297.51282937266586</v>
      </c>
      <c r="X29" s="572">
        <f>IF(M29="","",R29)</f>
        <v>4.6347146079159982</v>
      </c>
      <c r="Y29" s="573">
        <f t="shared" si="255"/>
        <v>-2.660899149914485</v>
      </c>
      <c r="Z29" s="575">
        <f t="shared" si="18"/>
        <v>-3.5520095955876789E-2</v>
      </c>
      <c r="AA29" s="572">
        <f t="shared" si="19"/>
        <v>-0.99730758193520941</v>
      </c>
      <c r="AB29" s="572">
        <f t="shared" si="20"/>
        <v>-6.415535673527939E-2</v>
      </c>
      <c r="AC29" s="579">
        <f>IF(M29="","",SQRT(Z29^2+AA29^2+AB29^2))</f>
        <v>1</v>
      </c>
      <c r="AD29" s="580">
        <f>IF(M29="","",Z29*(1/SQRT(Z29^2+AA29^2+AB29^2)))</f>
        <v>-3.5520095955876789E-2</v>
      </c>
      <c r="AE29" s="572">
        <f>IF(M29="","",AA29*(1/SQRT(Z29^2+AA29^2+AB29^2)))</f>
        <v>-0.99730758193520941</v>
      </c>
      <c r="AF29" s="576">
        <f>IF(M29="","",AB29*(1/SQRT(Z29^2+AA29^2+AB29^2)))</f>
        <v>-6.415535673527939E-2</v>
      </c>
      <c r="AG29" s="545">
        <f>IF(M29="","",DEGREES(ATAN2(-AF29,AE29)))</f>
        <v>-86.319316731952455</v>
      </c>
      <c r="AH29" s="546">
        <f>IF(M29="","",DEGREES(ACOS(AD29)))</f>
        <v>92.035579780056608</v>
      </c>
      <c r="AI29" s="528">
        <f>IF(M29="","",DEGREES(-ACOS(-AF29)))</f>
        <v>-86.321642579173755</v>
      </c>
      <c r="AJ29" s="529">
        <f>IF(M29="","",DEGREES(ATAN2(-AE29,AD29)))</f>
        <v>-2.0397836618733605</v>
      </c>
      <c r="AK29" s="578">
        <f>IF(M29="","",(COS(RADIANS((90-$Q$8)-W29))*AD29)+(-SIN(RADIANS((90-$Q$8)-W29))*AE29))</f>
        <v>0.87269612244966555</v>
      </c>
      <c r="AL29" s="572">
        <f>IF(M29="","",(SIN(RADIANS((90-$Q$8)-W29))*AD29)+(COS(RADIANS((90-$Q$8)-W29))*AE29))</f>
        <v>-0.48403054455631983</v>
      </c>
      <c r="AM29" s="577">
        <f>IF(M29="","",AF29)</f>
        <v>-6.415535673527939E-2</v>
      </c>
      <c r="AN29" s="524">
        <f>IF(M29="","",DEGREES(ATAN2(-AM29,AL29)))</f>
        <v>-82.449795298402833</v>
      </c>
      <c r="AO29" s="525">
        <f t="shared" si="116"/>
        <v>29.226525862122337</v>
      </c>
      <c r="AP29" s="528">
        <f>IF(M29="","",DEGREES(ATAN2(AK29,AL29)))</f>
        <v>-29.014421114320733</v>
      </c>
      <c r="AQ29" s="529">
        <f t="shared" si="21"/>
        <v>0.98366473009262667</v>
      </c>
      <c r="AS29" s="932">
        <f t="shared" si="143"/>
        <v>297.51282937266586</v>
      </c>
      <c r="AT29" s="928">
        <f t="shared" si="22"/>
        <v>-2.5776585276380253</v>
      </c>
      <c r="AU29" s="418"/>
      <c r="AV29" s="164">
        <f t="shared" si="23"/>
        <v>2.14</v>
      </c>
      <c r="AW29" s="829">
        <f>IFERROR(INDEX(MassProp!C$9:C$150,MATCH($M29,MassProp!$B$9:$B$150,0)),"")</f>
        <v>4.9076000000000004</v>
      </c>
      <c r="AX29" s="830">
        <f>IFERROR(INDEX(MassProp!D$9:D$150,MATCH($M29,MassProp!$B$9:$B$150,0)),"")</f>
        <v>-2.3487</v>
      </c>
      <c r="AY29" s="831">
        <f>IFERROR(INDEX(MassProp!E$9:E$150,MATCH($M29,MassProp!$B$9:$B$150,0)),"")</f>
        <v>1.8E-3</v>
      </c>
      <c r="AZ29" s="297">
        <f t="shared" si="144"/>
        <v>5.5510944722378067E-2</v>
      </c>
      <c r="BA29" s="296">
        <f t="shared" si="24"/>
        <v>8.479414321096404E-3</v>
      </c>
      <c r="BB29" s="190">
        <f t="shared" si="145"/>
        <v>-0.27104147236197473</v>
      </c>
      <c r="BC29" s="9"/>
      <c r="BD29" s="5">
        <f t="shared" si="146"/>
        <v>4.9076000000000004</v>
      </c>
      <c r="BE29" s="6">
        <f t="shared" si="25"/>
        <v>-2.9319406222764597</v>
      </c>
      <c r="BF29" s="4">
        <f t="shared" si="26"/>
        <v>4.1304919568696272</v>
      </c>
      <c r="BG29" s="5">
        <f t="shared" si="27"/>
        <v>2.1022882036165407</v>
      </c>
      <c r="BH29" s="10">
        <f t="shared" si="28"/>
        <v>-2.660899149914485</v>
      </c>
      <c r="BI29" s="9">
        <f t="shared" si="147"/>
        <v>4.1304919568696272</v>
      </c>
      <c r="BJ29" s="5">
        <f t="shared" si="29"/>
        <v>2.166484070364735</v>
      </c>
      <c r="BK29" s="8">
        <f t="shared" si="30"/>
        <v>-3.6588364679322289</v>
      </c>
      <c r="BL29" s="173">
        <f t="shared" si="31"/>
        <v>5.1298609191569726</v>
      </c>
      <c r="BM29" s="5">
        <f t="shared" si="32"/>
        <v>2.0668413743226002</v>
      </c>
      <c r="BN29" s="6">
        <f t="shared" si="33"/>
        <v>-2.6631793932613514</v>
      </c>
      <c r="BO29" s="4">
        <f t="shared" si="148"/>
        <v>-3.5520095955876685E-2</v>
      </c>
      <c r="BP29" s="5">
        <f t="shared" si="239"/>
        <v>-0.99730758193521041</v>
      </c>
      <c r="BQ29" s="5">
        <f t="shared" si="149"/>
        <v>-6.4155356735279945E-2</v>
      </c>
      <c r="BR29" s="6">
        <f t="shared" si="150"/>
        <v>2.0726325013333522</v>
      </c>
      <c r="BS29" s="4">
        <f t="shared" si="118"/>
        <v>0</v>
      </c>
      <c r="BT29" s="5">
        <f t="shared" si="118"/>
        <v>0</v>
      </c>
      <c r="BU29" s="10">
        <f t="shared" si="119"/>
        <v>-2.9319406222764597</v>
      </c>
      <c r="BV29" s="9">
        <f t="shared" si="120"/>
        <v>0</v>
      </c>
      <c r="BW29" s="5">
        <f t="shared" si="121"/>
        <v>1</v>
      </c>
      <c r="BX29" s="8">
        <f t="shared" si="122"/>
        <v>-2.9319406222764597</v>
      </c>
      <c r="BY29" s="173">
        <f t="shared" si="123"/>
        <v>1</v>
      </c>
      <c r="BZ29" s="5">
        <f t="shared" si="124"/>
        <v>0</v>
      </c>
      <c r="CA29" s="6">
        <f t="shared" si="125"/>
        <v>-2.9319406222764597</v>
      </c>
      <c r="CB29" s="4">
        <f t="shared" si="151"/>
        <v>0</v>
      </c>
      <c r="CC29" s="5">
        <f t="shared" si="152"/>
        <v>0</v>
      </c>
      <c r="CD29" s="5">
        <f t="shared" si="153"/>
        <v>-1</v>
      </c>
      <c r="CE29" s="6">
        <f t="shared" si="154"/>
        <v>-2.9319406222764597</v>
      </c>
      <c r="CF29" s="4">
        <f t="shared" si="155"/>
        <v>0.99730758193521041</v>
      </c>
      <c r="CG29" s="5">
        <f t="shared" si="156"/>
        <v>-3.5520095955876685E-2</v>
      </c>
      <c r="CH29" s="5">
        <f t="shared" si="157"/>
        <v>0</v>
      </c>
      <c r="CI29" s="4">
        <f t="shared" si="126"/>
        <v>0</v>
      </c>
      <c r="CJ29" s="5">
        <f t="shared" si="127"/>
        <v>2.2668354666424513</v>
      </c>
      <c r="CK29" s="8">
        <f t="shared" si="128"/>
        <v>-2.9319406222764597</v>
      </c>
      <c r="CL29" s="173">
        <f t="shared" si="129"/>
        <v>0.99730758193521041</v>
      </c>
      <c r="CM29" s="5">
        <f t="shared" si="130"/>
        <v>2.2313153706865747</v>
      </c>
      <c r="CN29" s="6">
        <f t="shared" si="131"/>
        <v>-2.9319406222764597</v>
      </c>
      <c r="CO29" s="167">
        <f t="shared" si="35"/>
        <v>0.3125</v>
      </c>
      <c r="CP29" s="4">
        <f t="shared" si="240"/>
        <v>0.99588409020217106</v>
      </c>
      <c r="CQ29" s="5">
        <f t="shared" si="241"/>
        <v>-8.2504313605608797</v>
      </c>
      <c r="CR29" s="5">
        <f t="shared" si="158"/>
        <v>17.063846837274149</v>
      </c>
      <c r="CS29" s="8">
        <f t="shared" si="159"/>
        <v>9.5163303774612018E-2</v>
      </c>
      <c r="CT29" s="9">
        <f t="shared" si="160"/>
        <v>4.2971450919191225</v>
      </c>
      <c r="CU29" s="6">
        <f t="shared" si="161"/>
        <v>3.9873846457594744</v>
      </c>
      <c r="CV29" s="4">
        <f t="shared" si="242"/>
        <v>4.2855753808466179</v>
      </c>
      <c r="CW29" s="5">
        <f t="shared" si="162"/>
        <v>2.1142004606411602</v>
      </c>
      <c r="CX29" s="8">
        <f t="shared" si="163"/>
        <v>-2.9319406222764597</v>
      </c>
      <c r="CY29" s="9">
        <f t="shared" si="164"/>
        <v>3.9766489393079669</v>
      </c>
      <c r="CZ29" s="5">
        <f t="shared" si="165"/>
        <v>2.1252031814120858</v>
      </c>
      <c r="DA29" s="6">
        <f t="shared" si="166"/>
        <v>-2.9319406222764597</v>
      </c>
      <c r="DB29" s="4">
        <f t="shared" si="167"/>
        <v>0</v>
      </c>
      <c r="DC29" s="5">
        <f t="shared" si="167"/>
        <v>0</v>
      </c>
      <c r="DD29" s="10">
        <f t="shared" si="168"/>
        <v>-10</v>
      </c>
      <c r="DE29" s="9">
        <f t="shared" si="169"/>
        <v>0</v>
      </c>
      <c r="DF29" s="5">
        <f t="shared" si="169"/>
        <v>0</v>
      </c>
      <c r="DG29" s="10">
        <f t="shared" si="170"/>
        <v>10</v>
      </c>
      <c r="DH29" s="70">
        <f t="shared" si="171"/>
        <v>4.9076000000000004</v>
      </c>
      <c r="DI29" s="4">
        <f t="shared" si="172"/>
        <v>0</v>
      </c>
      <c r="DJ29" s="5">
        <f t="shared" si="173"/>
        <v>0</v>
      </c>
      <c r="DK29" s="10">
        <f t="shared" si="174"/>
        <v>20</v>
      </c>
      <c r="DL29" s="9">
        <f t="shared" si="175"/>
        <v>4.2855753808466179</v>
      </c>
      <c r="DM29" s="173">
        <f t="shared" si="176"/>
        <v>2.1142004606411602</v>
      </c>
      <c r="DN29" s="178">
        <f t="shared" si="177"/>
        <v>7.0680593777235403</v>
      </c>
      <c r="DO29" s="9">
        <f t="shared" si="178"/>
        <v>-0.30892644153865101</v>
      </c>
      <c r="DP29" s="173">
        <f t="shared" si="179"/>
        <v>1.1002720770925567E-2</v>
      </c>
      <c r="DQ29" s="11">
        <f t="shared" si="180"/>
        <v>0</v>
      </c>
      <c r="DR29" s="173">
        <f t="shared" si="181"/>
        <v>141.3611875544708</v>
      </c>
      <c r="DS29" s="5">
        <f t="shared" si="182"/>
        <v>0</v>
      </c>
      <c r="DT29" s="5">
        <f t="shared" si="183"/>
        <v>400</v>
      </c>
      <c r="DU29" s="5">
        <f t="shared" si="184"/>
        <v>9.5556606146096526E-2</v>
      </c>
      <c r="DV29" s="5">
        <f t="shared" si="185"/>
        <v>-1.3006655950283978</v>
      </c>
      <c r="DW29" s="5">
        <f t="shared" si="186"/>
        <v>72.793463299719605</v>
      </c>
      <c r="DX29" s="167">
        <f t="shared" si="187"/>
        <v>48.708925539719601</v>
      </c>
      <c r="DY29" s="9">
        <f t="shared" si="188"/>
        <v>38.222642458438614</v>
      </c>
      <c r="DZ29" s="5">
        <f t="shared" si="189"/>
        <v>-520.26623801135918</v>
      </c>
      <c r="EA29" s="10">
        <f t="shared" si="190"/>
        <v>-499.41513092242894</v>
      </c>
      <c r="EB29" s="6">
        <f t="shared" si="191"/>
        <v>289765.92440207454</v>
      </c>
      <c r="EC29" s="173">
        <f t="shared" si="192"/>
        <v>27.694718968368793</v>
      </c>
      <c r="ED29" s="5">
        <f t="shared" si="193"/>
        <v>-0.47178488802253371</v>
      </c>
      <c r="EE29" s="4">
        <f t="shared" si="194"/>
        <v>-4.2700555994645324</v>
      </c>
      <c r="EF29" s="5">
        <f t="shared" si="195"/>
        <v>2.4189177202793779</v>
      </c>
      <c r="EG29" s="10">
        <f t="shared" si="196"/>
        <v>-2.9319406222764597</v>
      </c>
      <c r="EH29" s="9">
        <f t="shared" si="197"/>
        <v>4.4313222074751302</v>
      </c>
      <c r="EI29" s="5">
        <f t="shared" si="198"/>
        <v>2.1090095432543059</v>
      </c>
      <c r="EJ29" s="6">
        <f t="shared" si="199"/>
        <v>-2.9319406222764597</v>
      </c>
      <c r="EK29" s="236" t="b">
        <f t="shared" si="200"/>
        <v>0</v>
      </c>
      <c r="EL29" s="238" t="b">
        <f t="shared" si="201"/>
        <v>0</v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e">
        <f t="shared" si="205"/>
        <v>#VALUE!</v>
      </c>
      <c r="EQ29" s="5" t="e">
        <f t="shared" si="206"/>
        <v>#VALUE!</v>
      </c>
      <c r="ER29" s="7" t="str">
        <f t="shared" si="207"/>
        <v/>
      </c>
      <c r="ES29" s="21">
        <f t="shared" si="132"/>
        <v>-3.5520095955876789E-2</v>
      </c>
      <c r="ET29" s="5">
        <f t="shared" si="44"/>
        <v>-0.99730758193520941</v>
      </c>
      <c r="EU29" s="10">
        <f t="shared" si="45"/>
        <v>-6.415535673527939E-2</v>
      </c>
      <c r="EV29" s="174" t="e">
        <f t="shared" si="254"/>
        <v>#VALUE!</v>
      </c>
      <c r="EW29" s="9" t="e">
        <f t="shared" si="133"/>
        <v>#VALUE!</v>
      </c>
      <c r="EX29" s="5" t="e">
        <f t="shared" si="47"/>
        <v>#VALUE!</v>
      </c>
      <c r="EY29" s="6">
        <f t="shared" si="208"/>
        <v>-6.415535673527939E-2</v>
      </c>
      <c r="EZ29" s="51" t="e">
        <f t="shared" si="209"/>
        <v>#VALUE!</v>
      </c>
      <c r="FA29" s="266" t="e">
        <f t="shared" si="134"/>
        <v>#VALUE!</v>
      </c>
      <c r="FB29" s="267" t="e">
        <f t="shared" si="135"/>
        <v>#VALUE!</v>
      </c>
      <c r="FC29" s="269" t="e">
        <f t="shared" si="48"/>
        <v>#VALUE!</v>
      </c>
      <c r="FD29" s="4" t="e">
        <f t="shared" si="136"/>
        <v>#VALUE!</v>
      </c>
      <c r="FE29" s="5" t="e">
        <f t="shared" si="49"/>
        <v>#VALUE!</v>
      </c>
      <c r="FF29" s="7" t="e">
        <f t="shared" si="210"/>
        <v>#VALUE!</v>
      </c>
      <c r="FG29" s="173" t="e">
        <f t="shared" si="211"/>
        <v>#VALUE!</v>
      </c>
      <c r="FH29" s="5" t="e">
        <f t="shared" si="50"/>
        <v>#VALUE!</v>
      </c>
      <c r="FI29" s="10" t="e">
        <f t="shared" si="51"/>
        <v>#VALUE!</v>
      </c>
      <c r="FJ29" s="279" t="e">
        <f t="shared" si="212"/>
        <v>#VALUE!</v>
      </c>
      <c r="FK29" s="4">
        <f t="shared" si="52"/>
        <v>0.9979399231427557</v>
      </c>
      <c r="FL29" s="5" t="e">
        <f t="shared" si="213"/>
        <v>#VALUE!</v>
      </c>
      <c r="FM29" s="8" t="e">
        <f t="shared" si="214"/>
        <v>#VALUE!</v>
      </c>
      <c r="FN29" s="9" t="e">
        <f t="shared" si="215"/>
        <v>#VALUE!</v>
      </c>
      <c r="FO29" s="10" t="e">
        <f t="shared" si="53"/>
        <v>#VALUE!</v>
      </c>
      <c r="FP29" s="277" t="e">
        <f t="shared" si="54"/>
        <v>#VALUE!</v>
      </c>
      <c r="FQ29" s="173" t="e">
        <f t="shared" si="243"/>
        <v>#VALUE!</v>
      </c>
      <c r="FR29" s="10" t="e">
        <f t="shared" si="216"/>
        <v>#VALUE!</v>
      </c>
      <c r="FS29" s="9" t="e">
        <f t="shared" si="217"/>
        <v>#VALUE!</v>
      </c>
      <c r="FT29" s="6" t="e">
        <f t="shared" si="218"/>
        <v>#VALUE!</v>
      </c>
      <c r="FU29" s="4" t="e">
        <f t="shared" si="219"/>
        <v>#VALUE!</v>
      </c>
      <c r="FV29" s="5" t="e">
        <f t="shared" si="220"/>
        <v>#VALUE!</v>
      </c>
      <c r="FW29" s="8" t="e">
        <f t="shared" si="244"/>
        <v>#VALUE!</v>
      </c>
      <c r="FX29" s="9" t="e">
        <f t="shared" si="245"/>
        <v>#VALUE!</v>
      </c>
      <c r="FY29" s="10" t="e">
        <f t="shared" si="55"/>
        <v>#VALUE!</v>
      </c>
      <c r="FZ29" s="277" t="e">
        <f t="shared" si="246"/>
        <v>#VALUE!</v>
      </c>
      <c r="GA29" s="177" t="e">
        <f t="shared" si="221"/>
        <v>#VALUE!</v>
      </c>
      <c r="GB29" s="4" t="e">
        <f t="shared" si="222"/>
        <v>#VALUE!</v>
      </c>
      <c r="GC29" s="5" t="e">
        <f t="shared" si="223"/>
        <v>#VALUE!</v>
      </c>
      <c r="GD29" s="10" t="e">
        <f t="shared" si="224"/>
        <v>#VALUE!</v>
      </c>
      <c r="GE29" s="311" t="e">
        <f t="shared" si="225"/>
        <v>#VALUE!</v>
      </c>
      <c r="GF29" s="341" t="e">
        <f t="shared" si="247"/>
        <v>#VALUE!</v>
      </c>
      <c r="GG29" s="285" t="e">
        <f t="shared" si="56"/>
        <v>#VALUE!</v>
      </c>
      <c r="GH29" s="286" t="e">
        <f t="shared" si="57"/>
        <v>#VALUE!</v>
      </c>
      <c r="GI29" s="281" t="e">
        <f t="shared" si="58"/>
        <v>#VALUE!</v>
      </c>
      <c r="GJ29" s="167">
        <f t="shared" si="226"/>
        <v>4.9076000000000004</v>
      </c>
      <c r="GK29" s="174">
        <f t="shared" si="59"/>
        <v>2.56995114455454</v>
      </c>
      <c r="GL29" s="174">
        <f t="shared" si="227"/>
        <v>1.8E-3</v>
      </c>
      <c r="GM29" s="177">
        <f t="shared" si="248"/>
        <v>5.5510944722378067E-2</v>
      </c>
      <c r="GN29" s="280">
        <f t="shared" si="228"/>
        <v>8.479414321096404E-3</v>
      </c>
      <c r="GO29" s="4" t="e">
        <f t="shared" si="229"/>
        <v>#VALUE!</v>
      </c>
      <c r="GP29" s="8" t="e">
        <f t="shared" si="249"/>
        <v>#VALUE!</v>
      </c>
      <c r="GQ29" s="177" t="e">
        <f t="shared" si="230"/>
        <v>#VALUE!</v>
      </c>
      <c r="GR29" s="371" t="e">
        <f t="shared" si="250"/>
        <v>#VALUE!</v>
      </c>
      <c r="GS29" s="342" t="e">
        <f t="shared" si="61"/>
        <v>#VALUE!</v>
      </c>
      <c r="GT29" s="343" t="e">
        <f t="shared" si="62"/>
        <v>#VALUE!</v>
      </c>
      <c r="GU29" s="344">
        <f t="shared" si="63"/>
        <v>136.46440577584607</v>
      </c>
      <c r="GV29" s="343">
        <f t="shared" si="252"/>
        <v>53.1</v>
      </c>
      <c r="GW29" s="345">
        <f t="shared" si="64"/>
        <v>29500</v>
      </c>
      <c r="GX29" s="346">
        <f t="shared" si="65"/>
        <v>21.716130000000003</v>
      </c>
      <c r="GY29" s="344" t="e">
        <f t="shared" si="66"/>
        <v>#VALUE!</v>
      </c>
      <c r="GZ29" s="345" t="e">
        <f t="shared" si="67"/>
        <v>#VALUE!</v>
      </c>
      <c r="HA29" s="342" t="e">
        <f t="shared" si="68"/>
        <v>#VALUE!</v>
      </c>
      <c r="HB29" s="5" t="e">
        <f t="shared" si="231"/>
        <v>#VALUE!</v>
      </c>
      <c r="HC29" s="343" t="e">
        <f t="shared" si="232"/>
        <v>#VALUE!</v>
      </c>
      <c r="HD29" s="363" t="e">
        <f t="shared" si="233"/>
        <v>#VALUE!</v>
      </c>
      <c r="HE29" s="344" t="e">
        <f t="shared" si="69"/>
        <v>#VALUE!</v>
      </c>
      <c r="HF29" s="5" t="e">
        <f t="shared" si="70"/>
        <v>#VALUE!</v>
      </c>
      <c r="HG29" s="343" t="e">
        <f t="shared" si="234"/>
        <v>#VALUE!</v>
      </c>
      <c r="HH29" s="349" t="e">
        <f t="shared" si="235"/>
        <v>#VALUE!</v>
      </c>
      <c r="HI29" s="317">
        <f t="shared" si="71"/>
        <v>2.14</v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2.14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21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270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390</v>
      </c>
    </row>
    <row r="30" spans="1:271" ht="15" customHeight="1" x14ac:dyDescent="0.25">
      <c r="A30" s="75">
        <f t="shared" si="1"/>
        <v>0.02</v>
      </c>
      <c r="B30" s="578">
        <f t="shared" si="2"/>
        <v>4.1751125628042969</v>
      </c>
      <c r="C30" s="572">
        <f t="shared" si="3"/>
        <v>2.1179704026835093</v>
      </c>
      <c r="D30" s="576">
        <f t="shared" si="4"/>
        <v>-3.4669924690766205</v>
      </c>
      <c r="E30" s="580">
        <f t="shared" si="5"/>
        <v>4.8725589608868164E-2</v>
      </c>
      <c r="F30" s="572">
        <f t="shared" si="6"/>
        <v>0.99786109676702783</v>
      </c>
      <c r="G30" s="579">
        <f t="shared" si="7"/>
        <v>4.357807334167571E-2</v>
      </c>
      <c r="H30" s="580">
        <f t="shared" si="8"/>
        <v>0.3125</v>
      </c>
      <c r="I30" s="572">
        <f t="shared" si="9"/>
        <v>0.52</v>
      </c>
      <c r="J30" s="483">
        <f t="shared" si="10"/>
        <v>2.1459999999999999</v>
      </c>
      <c r="K30" s="806">
        <f t="shared" si="11"/>
        <v>1613</v>
      </c>
      <c r="L30" s="82"/>
      <c r="M30" s="164">
        <f t="shared" si="12"/>
        <v>2.1459999999999999</v>
      </c>
      <c r="N30" s="575">
        <f t="shared" si="13"/>
        <v>4.1751125628042969</v>
      </c>
      <c r="O30" s="572">
        <f t="shared" si="14"/>
        <v>2.1179704026835093</v>
      </c>
      <c r="P30" s="576">
        <f t="shared" si="15"/>
        <v>-3.4669924690766205</v>
      </c>
      <c r="Q30" s="528">
        <f t="shared" si="140"/>
        <v>26.897979840806304</v>
      </c>
      <c r="R30" s="572">
        <f>IF(M30="","",SQRT(N30^2+O30^2))</f>
        <v>4.6815983957116192</v>
      </c>
      <c r="S30" s="577">
        <f>IF(M30="","",P30)</f>
        <v>-3.4669924690766205</v>
      </c>
      <c r="T30" s="578">
        <f>IF(M30="","",X30*COS(RADIANS(W30)))</f>
        <v>2.1570941447069716</v>
      </c>
      <c r="U30" s="572">
        <f>IF(M30="","",X30*SIN(RADIANS(W30)))</f>
        <v>-4.1550341020983819</v>
      </c>
      <c r="V30" s="579">
        <f>IF(M30="","",Y30)</f>
        <v>-3.4669924690766205</v>
      </c>
      <c r="W30" s="528">
        <f t="shared" si="253"/>
        <v>297.43617176102481</v>
      </c>
      <c r="X30" s="572">
        <f>IF(M30="","",R30)</f>
        <v>4.6815983957116192</v>
      </c>
      <c r="Y30" s="573">
        <f t="shared" si="255"/>
        <v>-3.4669924690766205</v>
      </c>
      <c r="Z30" s="575">
        <f t="shared" si="18"/>
        <v>-4.8725589608868164E-2</v>
      </c>
      <c r="AA30" s="572">
        <f t="shared" si="19"/>
        <v>-0.99786109676702783</v>
      </c>
      <c r="AB30" s="572">
        <f t="shared" si="20"/>
        <v>-4.357807334167571E-2</v>
      </c>
      <c r="AC30" s="579">
        <f>IF(M30="","",SQRT(Z30^2+AA30^2+AB30^2))</f>
        <v>1</v>
      </c>
      <c r="AD30" s="580">
        <f>IF(M30="","",Z30*(1/SQRT(Z30^2+AA30^2+AB30^2)))</f>
        <v>-4.8725589608868164E-2</v>
      </c>
      <c r="AE30" s="572">
        <f>IF(M30="","",AA30*(1/SQRT(Z30^2+AA30^2+AB30^2)))</f>
        <v>-0.99786109676702783</v>
      </c>
      <c r="AF30" s="576">
        <f>IF(M30="","",AB30*(1/SQRT(Z30^2+AA30^2+AB30^2)))</f>
        <v>-4.357807334167571E-2</v>
      </c>
      <c r="AG30" s="545">
        <f>IF(M30="","",DEGREES(ATAN2(-AF30,AE30)))</f>
        <v>-87.499397279897522</v>
      </c>
      <c r="AH30" s="546">
        <f>IF(M30="","",DEGREES(ACOS(AD30)))</f>
        <v>92.792876516553051</v>
      </c>
      <c r="AI30" s="528">
        <f>IF(M30="","",DEGREES(-ACOS(-AF30)))</f>
        <v>-87.502369372171472</v>
      </c>
      <c r="AJ30" s="529">
        <f>IF(M30="","",DEGREES(ATAN2(-AE30,AD30)))</f>
        <v>-2.7955343119276979</v>
      </c>
      <c r="AK30" s="578">
        <f>IF(M30="","",(COS(RADIANS((90-$Q$8)-W30))*AD30)+(-SIN(RADIANS((90-$Q$8)-W30))*AE30))</f>
        <v>0.86786236259020633</v>
      </c>
      <c r="AL30" s="572">
        <f>IF(M30="","",(SIN(RADIANS((90-$Q$8)-W30))*AD30)+(COS(RADIANS((90-$Q$8)-W30))*AE30))</f>
        <v>-0.49488975653490025</v>
      </c>
      <c r="AM30" s="577">
        <f>IF(M30="","",AF30)</f>
        <v>-4.357807334167571E-2</v>
      </c>
      <c r="AN30" s="524">
        <f>IF(M30="","",DEGREES(ATAN2(-AM30,AL30)))</f>
        <v>-84.967735525253531</v>
      </c>
      <c r="AO30" s="525">
        <f>IF(ROUND(IF(M30="",0,DEGREES(ACOS(AK30))),4)=90,0,IF(M30="","",DEGREES(ACOS(AK30))))</f>
        <v>29.788825501047729</v>
      </c>
      <c r="AP30" s="528">
        <f>IF(M30="","",DEGREES(ATAN2(AK30,AL30)))</f>
        <v>-29.693514152734014</v>
      </c>
      <c r="AQ30" s="529">
        <f t="shared" si="21"/>
        <v>0.97381574291614137</v>
      </c>
      <c r="AS30" s="932">
        <f t="shared" si="143"/>
        <v>297.43617176102481</v>
      </c>
      <c r="AT30" s="928">
        <f t="shared" si="22"/>
        <v>-3.3836453778951041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2.1459999999999999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1613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13</v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590</v>
      </c>
    </row>
    <row r="31" spans="1:271" ht="15" customHeight="1" x14ac:dyDescent="0.25">
      <c r="A31" s="75">
        <f t="shared" si="1"/>
        <v>0.02</v>
      </c>
      <c r="B31" s="578">
        <f t="shared" si="2"/>
        <v>2.9925278842352929</v>
      </c>
      <c r="C31" s="572">
        <f t="shared" si="3"/>
        <v>0.70726491861208596</v>
      </c>
      <c r="D31" s="576">
        <f t="shared" si="4"/>
        <v>-0.28533786113490389</v>
      </c>
      <c r="E31" s="580">
        <f t="shared" si="5"/>
        <v>-8.6972423193327694E-2</v>
      </c>
      <c r="F31" s="572">
        <f t="shared" si="6"/>
        <v>0.93958290640326325</v>
      </c>
      <c r="G31" s="579">
        <f t="shared" si="7"/>
        <v>0.33108874882526201</v>
      </c>
      <c r="H31" s="580">
        <f t="shared" si="8"/>
        <v>0.26450000000000001</v>
      </c>
      <c r="I31" s="572">
        <f t="shared" si="9"/>
        <v>0.39400000000000002</v>
      </c>
      <c r="J31" s="483">
        <f t="shared" si="10"/>
        <v>2.2160000000000002</v>
      </c>
      <c r="K31" s="806">
        <f t="shared" si="11"/>
        <v>1310</v>
      </c>
      <c r="L31" s="309"/>
      <c r="M31" s="164">
        <f t="shared" si="12"/>
        <v>2.2160000000000002</v>
      </c>
      <c r="N31" s="575">
        <f t="shared" si="13"/>
        <v>2.9925278842352929</v>
      </c>
      <c r="O31" s="572">
        <f t="shared" si="14"/>
        <v>0.70726491861208596</v>
      </c>
      <c r="P31" s="576">
        <f t="shared" si="15"/>
        <v>-0.28533786113490389</v>
      </c>
      <c r="Q31" s="528">
        <f t="shared" si="140"/>
        <v>13.29748497951749</v>
      </c>
      <c r="R31" s="572">
        <f>IF(M31="","",SQRT(N31^2+O31^2))</f>
        <v>3.0749710247456186</v>
      </c>
      <c r="S31" s="577">
        <f>IF(M31="","",P31)</f>
        <v>-0.28533786113490389</v>
      </c>
      <c r="T31" s="578">
        <f>IF(M31="","",X31*COS(RADIANS(W31)))</f>
        <v>0.73534277938109993</v>
      </c>
      <c r="U31" s="572">
        <f>IF(M31="","",X31*SIN(RADIANS(W31)))</f>
        <v>-2.9857524679445882</v>
      </c>
      <c r="V31" s="579">
        <f>IF(M31="","",Y31)</f>
        <v>-0.28533786113490389</v>
      </c>
      <c r="W31" s="528">
        <f t="shared" si="253"/>
        <v>283.83567689973597</v>
      </c>
      <c r="X31" s="572">
        <f>IF(M31="","",R31)</f>
        <v>3.0749710247456186</v>
      </c>
      <c r="Y31" s="573">
        <f t="shared" si="255"/>
        <v>-0.28533786113490389</v>
      </c>
      <c r="Z31" s="575">
        <f t="shared" si="18"/>
        <v>8.6972423193327694E-2</v>
      </c>
      <c r="AA31" s="572">
        <f t="shared" si="19"/>
        <v>-0.93958290640326325</v>
      </c>
      <c r="AB31" s="572">
        <f t="shared" si="20"/>
        <v>-0.33108874882526201</v>
      </c>
      <c r="AC31" s="579">
        <f>IF(M31="","",SQRT(Z31^2+AA31^2+AB31^2))</f>
        <v>1</v>
      </c>
      <c r="AD31" s="580">
        <f>IF(M31="","",Z31*(1/SQRT(Z31^2+AA31^2+AB31^2)))</f>
        <v>8.6972423193327694E-2</v>
      </c>
      <c r="AE31" s="572">
        <f>IF(M31="","",AA31*(1/SQRT(Z31^2+AA31^2+AB31^2)))</f>
        <v>-0.93958290640326325</v>
      </c>
      <c r="AF31" s="576">
        <f>IF(M31="","",AB31*(1/SQRT(Z31^2+AA31^2+AB31^2)))</f>
        <v>-0.33108874882526201</v>
      </c>
      <c r="AG31" s="545">
        <f>IF(M31="","",DEGREES(ATAN2(-AF31,AE31)))</f>
        <v>-70.588641731699113</v>
      </c>
      <c r="AH31" s="546">
        <f>IF(M31="","",DEGREES(ACOS(AD31)))</f>
        <v>85.01054347337454</v>
      </c>
      <c r="AI31" s="528">
        <f>IF(M31="","",DEGREES(-ACOS(-AF31)))</f>
        <v>-70.665128568190795</v>
      </c>
      <c r="AJ31" s="529">
        <f>IF(M31="","",DEGREES(ATAN2(-AE31,AD31)))</f>
        <v>5.2885095571530432</v>
      </c>
      <c r="AK31" s="578">
        <f>IF(M31="","",(COS(RADIANS((90-$Q$8)-W31))*AD31)+(-SIN(RADIANS((90-$Q$8)-W31))*AE31))</f>
        <v>0.93439598866191687</v>
      </c>
      <c r="AL31" s="572">
        <f>IF(M31="","",(SIN(RADIANS((90-$Q$8)-W31))*AD31)+(COS(RADIANS((90-$Q$8)-W31))*AE31))</f>
        <v>-0.13147006037057143</v>
      </c>
      <c r="AM31" s="577">
        <f>IF(M31="","",AF31)</f>
        <v>-0.33108874882526201</v>
      </c>
      <c r="AN31" s="524">
        <f>IF(M31="","",DEGREES(ATAN2(-AM31,AL31)))</f>
        <v>-21.657237421822494</v>
      </c>
      <c r="AO31" s="525">
        <f t="shared" si="116"/>
        <v>20.869219180098696</v>
      </c>
      <c r="AP31" s="528">
        <f>IF(M31="","",DEGREES(ATAN2(AK31,AL31)))</f>
        <v>-8.0089754223644203</v>
      </c>
      <c r="AQ31" s="529">
        <f t="shared" si="21"/>
        <v>1.4824321179283035</v>
      </c>
      <c r="AS31" s="932">
        <f t="shared" si="143"/>
        <v>283.83567689973597</v>
      </c>
      <c r="AT31" s="928">
        <f t="shared" si="22"/>
        <v>-0.18310119375715278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>Nose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2.2160000000000002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2.1160000000000001</v>
      </c>
      <c r="IK31" s="677" cm="1">
        <f t="array" ref="IK31">IFERROR(ROUND(VALUE(IF($IJ31&lt;1,$IJ31+LARGE((IF($M$9:$M$150="",0,$M$9:$M$150)-MOD(IF($M$9:$M$150="",0,$M$9:$M$150),1)),1),$IJ31)),4),"")</f>
        <v>2.1160000000000001</v>
      </c>
      <c r="IL31" s="482">
        <f t="shared" si="88"/>
        <v>1613</v>
      </c>
      <c r="IM31" s="482">
        <f t="shared" si="237"/>
        <v>1310</v>
      </c>
      <c r="IN31" s="670">
        <f t="shared" si="90"/>
        <v>15.752749093388275</v>
      </c>
      <c r="IO31" s="702">
        <v>2.76764828252219E-2</v>
      </c>
      <c r="IP31" s="5">
        <f t="shared" si="91"/>
        <v>0.64</v>
      </c>
      <c r="IQ31" s="714">
        <v>320</v>
      </c>
      <c r="IR31" s="9">
        <f t="shared" si="139"/>
        <v>-3.0621691990646474</v>
      </c>
      <c r="IS31" s="5">
        <f t="shared" si="92"/>
        <v>-0.30749493712069764</v>
      </c>
      <c r="IT31" s="5">
        <f t="shared" si="93"/>
        <v>0.3125</v>
      </c>
      <c r="IU31" s="5">
        <f t="shared" si="94"/>
        <v>0.30059531869463046</v>
      </c>
      <c r="IV31" s="670">
        <f t="shared" si="95"/>
        <v>21.330954638783709</v>
      </c>
      <c r="IW31" s="9">
        <f t="shared" si="96"/>
        <v>-3.0749710247456186</v>
      </c>
      <c r="IX31" s="5">
        <f t="shared" si="97"/>
        <v>-0.28533786113490389</v>
      </c>
      <c r="IY31" s="5">
        <f t="shared" si="98"/>
        <v>0.26450000000000001</v>
      </c>
      <c r="IZ31" s="5">
        <f t="shared" si="99"/>
        <v>0.24714773900107706</v>
      </c>
      <c r="JA31" s="705">
        <f t="shared" si="100"/>
        <v>21.657237421822494</v>
      </c>
    </row>
    <row r="32" spans="1:271" ht="15" customHeight="1" x14ac:dyDescent="0.25">
      <c r="A32" s="75">
        <f t="shared" si="1"/>
        <v>0.02</v>
      </c>
      <c r="B32" s="578">
        <f t="shared" si="2"/>
        <v>3.5890841965846314</v>
      </c>
      <c r="C32" s="572">
        <f t="shared" si="3"/>
        <v>0.98560507591763247</v>
      </c>
      <c r="D32" s="576">
        <f t="shared" si="4"/>
        <v>-0.67130055999588667</v>
      </c>
      <c r="E32" s="580">
        <f t="shared" si="5"/>
        <v>-3.7277270677844583E-3</v>
      </c>
      <c r="F32" s="572">
        <f t="shared" si="6"/>
        <v>0.9449362360236081</v>
      </c>
      <c r="G32" s="579">
        <f t="shared" si="7"/>
        <v>0.32723327138364811</v>
      </c>
      <c r="H32" s="580">
        <f t="shared" si="8"/>
        <v>0.26450000000000001</v>
      </c>
      <c r="I32" s="572">
        <f t="shared" si="9"/>
        <v>0.52</v>
      </c>
      <c r="J32" s="483">
        <f t="shared" si="10"/>
        <v>2.222</v>
      </c>
      <c r="K32" s="806">
        <f t="shared" si="11"/>
        <v>1313</v>
      </c>
      <c r="L32" s="309"/>
      <c r="M32" s="164">
        <f t="shared" si="12"/>
        <v>2.222</v>
      </c>
      <c r="N32" s="575">
        <f t="shared" si="13"/>
        <v>3.5890841965846314</v>
      </c>
      <c r="O32" s="572">
        <f t="shared" si="14"/>
        <v>0.98560507591763247</v>
      </c>
      <c r="P32" s="576">
        <f t="shared" si="15"/>
        <v>-0.67130055999588667</v>
      </c>
      <c r="Q32" s="528">
        <f t="shared" si="140"/>
        <v>15.355573814178825</v>
      </c>
      <c r="R32" s="572">
        <f t="shared" si="101"/>
        <v>3.7219541555274631</v>
      </c>
      <c r="S32" s="577">
        <f t="shared" si="102"/>
        <v>-0.67130055999588667</v>
      </c>
      <c r="T32" s="578">
        <f t="shared" si="103"/>
        <v>1.0192741603261712</v>
      </c>
      <c r="U32" s="572">
        <f t="shared" si="104"/>
        <v>-3.5796679904621782</v>
      </c>
      <c r="V32" s="579">
        <f t="shared" si="141"/>
        <v>-0.67130055999588667</v>
      </c>
      <c r="W32" s="528">
        <f t="shared" si="253"/>
        <v>285.89376573439728</v>
      </c>
      <c r="X32" s="572">
        <f t="shared" si="105"/>
        <v>3.7219541555274631</v>
      </c>
      <c r="Y32" s="573">
        <f t="shared" si="255"/>
        <v>-0.67130055999588667</v>
      </c>
      <c r="Z32" s="575">
        <f t="shared" si="18"/>
        <v>3.7277270677844583E-3</v>
      </c>
      <c r="AA32" s="572">
        <f t="shared" si="19"/>
        <v>-0.9449362360236081</v>
      </c>
      <c r="AB32" s="572">
        <f t="shared" si="20"/>
        <v>-0.32723327138364811</v>
      </c>
      <c r="AC32" s="579">
        <f t="shared" si="106"/>
        <v>1</v>
      </c>
      <c r="AD32" s="580">
        <f t="shared" si="142"/>
        <v>3.7277270677844583E-3</v>
      </c>
      <c r="AE32" s="572">
        <f t="shared" si="107"/>
        <v>-0.9449362360236081</v>
      </c>
      <c r="AF32" s="576">
        <f t="shared" si="108"/>
        <v>-0.32723327138364811</v>
      </c>
      <c r="AG32" s="545">
        <f t="shared" si="109"/>
        <v>-70.898930051473783</v>
      </c>
      <c r="AH32" s="546">
        <f t="shared" si="110"/>
        <v>89.786416477179699</v>
      </c>
      <c r="AI32" s="528">
        <f t="shared" si="111"/>
        <v>-70.899067911110436</v>
      </c>
      <c r="AJ32" s="529">
        <f t="shared" si="112"/>
        <v>0.22602786522198076</v>
      </c>
      <c r="AK32" s="578">
        <f t="shared" si="238"/>
        <v>0.91219011205982869</v>
      </c>
      <c r="AL32" s="572">
        <f t="shared" si="113"/>
        <v>-0.24663249088437827</v>
      </c>
      <c r="AM32" s="577">
        <f t="shared" si="114"/>
        <v>-0.32723327138364811</v>
      </c>
      <c r="AN32" s="524">
        <f t="shared" si="115"/>
        <v>-37.00497307238664</v>
      </c>
      <c r="AO32" s="525">
        <f t="shared" si="116"/>
        <v>24.190214672522526</v>
      </c>
      <c r="AP32" s="528">
        <f t="shared" si="117"/>
        <v>-15.129545948956791</v>
      </c>
      <c r="AQ32" s="529">
        <f t="shared" si="21"/>
        <v>1.2248293536129997</v>
      </c>
      <c r="AS32" s="932">
        <f t="shared" si="143"/>
        <v>285.89376573439728</v>
      </c>
      <c r="AT32" s="928">
        <f t="shared" si="22"/>
        <v>-0.57192234933294295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2.222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2.1219999999999999</v>
      </c>
      <c r="IK32" s="677" cm="1">
        <f t="array" ref="IK32">IFERROR(ROUND(VALUE(IF($IJ32&lt;1,$IJ32+LARGE((IF($M$9:$M$150="",0,$M$9:$M$150)-MOD(IF($M$9:$M$150="",0,$M$9:$M$150),1)),1),$IJ32)),4),"")</f>
        <v>2.1219999999999999</v>
      </c>
      <c r="IL32" s="482">
        <f t="shared" si="88"/>
        <v>1613</v>
      </c>
      <c r="IM32" s="482">
        <f t="shared" si="237"/>
        <v>1313</v>
      </c>
      <c r="IN32" s="670">
        <f t="shared" si="90"/>
        <v>12.972293002261324</v>
      </c>
      <c r="IO32" s="702">
        <v>2.5114245700633E-2</v>
      </c>
      <c r="IP32" s="5">
        <f t="shared" si="91"/>
        <v>0.78</v>
      </c>
      <c r="IQ32" s="714">
        <v>390</v>
      </c>
      <c r="IR32" s="9">
        <f t="shared" si="139"/>
        <v>-3.7013343299864774</v>
      </c>
      <c r="IS32" s="5">
        <f t="shared" si="92"/>
        <v>-0.69096410868710267</v>
      </c>
      <c r="IT32" s="5">
        <f t="shared" si="93"/>
        <v>0.3125</v>
      </c>
      <c r="IU32" s="5">
        <f t="shared" si="94"/>
        <v>0.29514715064516805</v>
      </c>
      <c r="IV32" s="670">
        <f t="shared" si="95"/>
        <v>36.834274386343019</v>
      </c>
      <c r="IW32" s="9">
        <f t="shared" si="96"/>
        <v>-3.7219541555274631</v>
      </c>
      <c r="IX32" s="5">
        <f t="shared" si="97"/>
        <v>-0.67130055999588667</v>
      </c>
      <c r="IY32" s="5">
        <f t="shared" si="98"/>
        <v>0.26450000000000001</v>
      </c>
      <c r="IZ32" s="5">
        <f t="shared" si="99"/>
        <v>0.2412742846398247</v>
      </c>
      <c r="JA32" s="705">
        <f t="shared" si="100"/>
        <v>37.00497307238664</v>
      </c>
    </row>
    <row r="33" spans="1:269" ht="15" customHeight="1" x14ac:dyDescent="0.25">
      <c r="A33" s="75">
        <f t="shared" si="1"/>
        <v>0.02</v>
      </c>
      <c r="B33" s="578">
        <f t="shared" si="2"/>
        <v>4.0530160004844129</v>
      </c>
      <c r="C33" s="572">
        <f t="shared" si="3"/>
        <v>1.1796335240593609</v>
      </c>
      <c r="D33" s="576">
        <f t="shared" si="4"/>
        <v>-1.2358977244864495</v>
      </c>
      <c r="E33" s="580">
        <f t="shared" si="5"/>
        <v>0.10294571164960269</v>
      </c>
      <c r="F33" s="572">
        <f t="shared" si="6"/>
        <v>0.95352984251754958</v>
      </c>
      <c r="G33" s="579">
        <f t="shared" si="7"/>
        <v>0.28316606414154621</v>
      </c>
      <c r="H33" s="580">
        <f t="shared" si="8"/>
        <v>0.26450000000000001</v>
      </c>
      <c r="I33" s="572">
        <f t="shared" si="9"/>
        <v>0.52</v>
      </c>
      <c r="J33" s="483">
        <f t="shared" si="10"/>
        <v>2.2280000000000002</v>
      </c>
      <c r="K33" s="806">
        <f t="shared" si="11"/>
        <v>1313</v>
      </c>
      <c r="L33" s="309"/>
      <c r="M33" s="164">
        <f t="shared" si="12"/>
        <v>2.2280000000000002</v>
      </c>
      <c r="N33" s="575">
        <f t="shared" si="13"/>
        <v>4.0530160004844129</v>
      </c>
      <c r="O33" s="572">
        <f t="shared" si="14"/>
        <v>1.1796335240593609</v>
      </c>
      <c r="P33" s="576">
        <f t="shared" si="15"/>
        <v>-1.2358977244864495</v>
      </c>
      <c r="Q33" s="528">
        <f t="shared" si="140"/>
        <v>16.227678903344476</v>
      </c>
      <c r="R33" s="572">
        <f t="shared" si="101"/>
        <v>4.2211934273694895</v>
      </c>
      <c r="S33" s="577">
        <f t="shared" si="102"/>
        <v>-1.2358977244864495</v>
      </c>
      <c r="T33" s="578">
        <f t="shared" si="103"/>
        <v>1.2176517986003759</v>
      </c>
      <c r="U33" s="572">
        <f t="shared" si="104"/>
        <v>-4.041756802262185</v>
      </c>
      <c r="V33" s="579">
        <f t="shared" si="141"/>
        <v>-1.2358977244864495</v>
      </c>
      <c r="W33" s="528">
        <f t="shared" si="253"/>
        <v>286.76587082356298</v>
      </c>
      <c r="X33" s="572">
        <f t="shared" si="105"/>
        <v>4.2211934273694895</v>
      </c>
      <c r="Y33" s="573">
        <f t="shared" si="255"/>
        <v>-1.2358977244864495</v>
      </c>
      <c r="Z33" s="575">
        <f t="shared" si="18"/>
        <v>-0.10294571164960269</v>
      </c>
      <c r="AA33" s="572">
        <f t="shared" si="19"/>
        <v>-0.95352984251754958</v>
      </c>
      <c r="AB33" s="572">
        <f t="shared" si="20"/>
        <v>-0.28316606414154621</v>
      </c>
      <c r="AC33" s="579">
        <f t="shared" si="106"/>
        <v>1</v>
      </c>
      <c r="AD33" s="580">
        <f t="shared" si="142"/>
        <v>-0.10294571164960269</v>
      </c>
      <c r="AE33" s="572">
        <f t="shared" si="107"/>
        <v>-0.95352984251754958</v>
      </c>
      <c r="AF33" s="576">
        <f t="shared" si="108"/>
        <v>-0.28316606414154621</v>
      </c>
      <c r="AG33" s="545">
        <f t="shared" si="109"/>
        <v>-73.460363975513516</v>
      </c>
      <c r="AH33" s="546">
        <f t="shared" si="110"/>
        <v>95.908823080477234</v>
      </c>
      <c r="AI33" s="528">
        <f t="shared" si="111"/>
        <v>-73.550743444832932</v>
      </c>
      <c r="AJ33" s="529">
        <f t="shared" si="112"/>
        <v>-6.1619432277775301</v>
      </c>
      <c r="AK33" s="578">
        <f t="shared" si="238"/>
        <v>0.88677137412668938</v>
      </c>
      <c r="AL33" s="572">
        <f t="shared" si="113"/>
        <v>-0.36531289348728052</v>
      </c>
      <c r="AM33" s="577">
        <f t="shared" si="114"/>
        <v>-0.28316606414154621</v>
      </c>
      <c r="AN33" s="524">
        <f t="shared" si="115"/>
        <v>-52.219556611012919</v>
      </c>
      <c r="AO33" s="525">
        <f t="shared" si="116"/>
        <v>27.529698338169545</v>
      </c>
      <c r="AP33" s="528">
        <f t="shared" si="117"/>
        <v>-22.38962213112201</v>
      </c>
      <c r="AQ33" s="529">
        <f t="shared" si="21"/>
        <v>1.0800057670390619</v>
      </c>
      <c r="AS33" s="932">
        <f t="shared" si="143"/>
        <v>286.76587082356298</v>
      </c>
      <c r="AT33" s="928">
        <f t="shared" si="22"/>
        <v>-1.1377307708917914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>Taper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2.2280000000000002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2.1280000000000001</v>
      </c>
      <c r="IK33" s="677" cm="1">
        <f t="array" ref="IK33">IFERROR(ROUND(VALUE(IF($IJ33&lt;1,$IJ33+LARGE((IF($M$9:$M$150="",0,$M$9:$M$150)-MOD(IF($M$9:$M$150="",0,$M$9:$M$150),1)),1),$IJ33)),4),"")</f>
        <v>2.1280000000000001</v>
      </c>
      <c r="IL33" s="482">
        <f t="shared" si="88"/>
        <v>1613</v>
      </c>
      <c r="IM33" s="482">
        <f t="shared" si="237"/>
        <v>1313</v>
      </c>
      <c r="IN33" s="670">
        <f t="shared" si="90"/>
        <v>11.420259997259393</v>
      </c>
      <c r="IO33" s="702">
        <v>2.3138165455631601E-2</v>
      </c>
      <c r="IP33" s="5">
        <f t="shared" si="91"/>
        <v>0.94</v>
      </c>
      <c r="IQ33" s="714">
        <v>470</v>
      </c>
      <c r="IR33" s="9">
        <f t="shared" si="139"/>
        <v>-4.1941376048886463</v>
      </c>
      <c r="IS33" s="5">
        <f t="shared" si="92"/>
        <v>-1.2503099285649519</v>
      </c>
      <c r="IT33" s="5">
        <f t="shared" si="93"/>
        <v>0.3125</v>
      </c>
      <c r="IU33" s="5">
        <f t="shared" si="94"/>
        <v>0.28866944568073566</v>
      </c>
      <c r="IV33" s="670">
        <f t="shared" si="95"/>
        <v>52.13023867353359</v>
      </c>
      <c r="IW33" s="9">
        <f t="shared" si="96"/>
        <v>-4.2211934273694895</v>
      </c>
      <c r="IX33" s="5">
        <f t="shared" si="97"/>
        <v>-1.2358977244864495</v>
      </c>
      <c r="IY33" s="5">
        <f t="shared" si="98"/>
        <v>0.26450000000000001</v>
      </c>
      <c r="IZ33" s="5">
        <f t="shared" si="99"/>
        <v>0.23455102845650938</v>
      </c>
      <c r="JA33" s="705">
        <f t="shared" si="100"/>
        <v>52.219556611012919</v>
      </c>
    </row>
    <row r="34" spans="1:269" ht="15" customHeight="1" x14ac:dyDescent="0.25">
      <c r="A34" s="75">
        <f t="shared" si="1"/>
        <v>0</v>
      </c>
      <c r="B34" s="578">
        <f t="shared" si="2"/>
        <v>4.4358761017849817</v>
      </c>
      <c r="C34" s="572">
        <f t="shared" si="3"/>
        <v>0.79023077357360227</v>
      </c>
      <c r="D34" s="576">
        <f t="shared" si="4"/>
        <v>-1.9419447778296888</v>
      </c>
      <c r="E34" s="580">
        <f t="shared" si="5"/>
        <v>0.96298635108670283</v>
      </c>
      <c r="F34" s="572">
        <f t="shared" si="6"/>
        <v>0.17155155637774694</v>
      </c>
      <c r="G34" s="579">
        <f t="shared" si="7"/>
        <v>0.20791188307812125</v>
      </c>
      <c r="H34" s="580">
        <f t="shared" si="8"/>
        <v>0.255</v>
      </c>
      <c r="I34" s="572">
        <f t="shared" si="9"/>
        <v>0.41499999999999992</v>
      </c>
      <c r="J34" s="483">
        <f t="shared" si="10"/>
        <v>2.234</v>
      </c>
      <c r="K34" s="806" t="str">
        <f t="shared" si="11"/>
        <v>CPS-32193r1</v>
      </c>
      <c r="L34" s="309"/>
      <c r="M34" s="164">
        <f t="shared" si="12"/>
        <v>2.234</v>
      </c>
      <c r="N34" s="575">
        <f t="shared" si="13"/>
        <v>4.4358761017849817</v>
      </c>
      <c r="O34" s="572">
        <f t="shared" si="14"/>
        <v>0.79023077357360227</v>
      </c>
      <c r="P34" s="576">
        <f t="shared" si="15"/>
        <v>-1.9419447778296888</v>
      </c>
      <c r="Q34" s="528">
        <f t="shared" si="140"/>
        <v>10.101012724224008</v>
      </c>
      <c r="R34" s="572">
        <f>IF(M34="","",SQRT(N34^2+O34^2))</f>
        <v>4.5057143125024979</v>
      </c>
      <c r="S34" s="577">
        <f>IF(M34="","",P34)</f>
        <v>-1.9419447778296888</v>
      </c>
      <c r="T34" s="578">
        <f>IF(M34="","",X34*COS(RADIANS(W34)))</f>
        <v>0.83186246366181416</v>
      </c>
      <c r="U34" s="572">
        <f>IF(M34="","",X34*SIN(RADIANS(W34)))</f>
        <v>-4.4282577056264865</v>
      </c>
      <c r="V34" s="579">
        <f>IF(M34="","",Y34)</f>
        <v>-1.9419447778296888</v>
      </c>
      <c r="W34" s="528">
        <f t="shared" si="253"/>
        <v>280.63920464444249</v>
      </c>
      <c r="X34" s="572">
        <f>IF(M34="","",R34)</f>
        <v>4.5057143125024979</v>
      </c>
      <c r="Y34" s="573">
        <f t="shared" si="255"/>
        <v>-1.9419447778296888</v>
      </c>
      <c r="Z34" s="575">
        <f t="shared" si="18"/>
        <v>-0.96298635108670283</v>
      </c>
      <c r="AA34" s="572">
        <f t="shared" si="19"/>
        <v>-0.17155155637774694</v>
      </c>
      <c r="AB34" s="572">
        <f t="shared" si="20"/>
        <v>-0.20791188307812125</v>
      </c>
      <c r="AC34" s="579">
        <f>IF(M34="","",SQRT(Z34^2+AA34^2+AB34^2))</f>
        <v>1</v>
      </c>
      <c r="AD34" s="580">
        <f>IF(M34="","",Z34*(1/SQRT(Z34^2+AA34^2+AB34^2)))</f>
        <v>-0.96298635108670283</v>
      </c>
      <c r="AE34" s="572">
        <f>IF(M34="","",AA34*(1/SQRT(Z34^2+AA34^2+AB34^2)))</f>
        <v>-0.17155155637774694</v>
      </c>
      <c r="AF34" s="576">
        <f>IF(M34="","",AB34*(1/SQRT(Z34^2+AA34^2+AB34^2)))</f>
        <v>-0.20791188307812125</v>
      </c>
      <c r="AG34" s="545">
        <f>IF(M34="","",DEGREES(ATAN2(-AF34,AE34)))</f>
        <v>-39.526607855563078</v>
      </c>
      <c r="AH34" s="546">
        <f>IF(M34="","",DEGREES(ACOS(AD34)))</f>
        <v>164.36249961348202</v>
      </c>
      <c r="AI34" s="528">
        <f>IF(M34="","",DEGREES(-ACOS(-AF34)))</f>
        <v>-77.999988738195</v>
      </c>
      <c r="AJ34" s="529">
        <f>IF(M34="","",DEGREES(ATAN2(-AE34,AD34)))</f>
        <v>-79.89898727577598</v>
      </c>
      <c r="AK34" s="578">
        <f>IF(M34="","",(COS(RADIANS((90-$Q$8)-W34))*AD34)+(-SIN(RADIANS((90-$Q$8)-W34))*AE34))</f>
        <v>1.3877787807814457E-16</v>
      </c>
      <c r="AL34" s="572">
        <f>IF(M34="","",(SIN(RADIANS((90-$Q$8)-W34))*AD34)+(COS(RADIANS((90-$Q$8)-W34))*AE34))</f>
        <v>-0.9781475598675845</v>
      </c>
      <c r="AM34" s="577">
        <f>IF(M34="","",AF34)</f>
        <v>-0.20791188307812125</v>
      </c>
      <c r="AN34" s="524">
        <f>IF(M34="","",DEGREES(ATAN2(-AM34,AL34)))</f>
        <v>-77.999988738195015</v>
      </c>
      <c r="AO34" s="525">
        <f t="shared" si="116"/>
        <v>0</v>
      </c>
      <c r="AP34" s="528">
        <f>IF(M34="","",DEGREES(ATAN2(AK34,AL34)))</f>
        <v>-90</v>
      </c>
      <c r="AQ34" s="529">
        <f t="shared" si="21"/>
        <v>1.0118216478500237</v>
      </c>
      <c r="AS34" s="932">
        <f t="shared" si="143"/>
        <v>280.63920464444249</v>
      </c>
      <c r="AT34" s="928">
        <f t="shared" si="22"/>
        <v>-1.8352685656529188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>Taper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2.234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2.1339999999999999</v>
      </c>
      <c r="IK34" s="677" cm="1">
        <f t="array" ref="IK34">IFERROR(ROUND(VALUE(IF($IJ34&lt;1,$IJ34+LARGE((IF($M$9:$M$150="",0,$M$9:$M$150)-MOD(IF($M$9:$M$150="",0,$M$9:$M$150),1)),1),$IJ34)),4),"")</f>
        <v>2.1339999999999999</v>
      </c>
      <c r="IL34" s="482">
        <f t="shared" si="88"/>
        <v>1613</v>
      </c>
      <c r="IM34" s="482" t="str">
        <f t="shared" si="237"/>
        <v>CPS-32193r1</v>
      </c>
      <c r="IN34" s="670">
        <f t="shared" si="90"/>
        <v>17.07071813032502</v>
      </c>
      <c r="IO34" s="702">
        <v>3.4523937060894197E-2</v>
      </c>
      <c r="IP34" s="5">
        <f t="shared" si="91"/>
        <v>1.28</v>
      </c>
      <c r="IQ34" s="714">
        <v>640</v>
      </c>
      <c r="IR34" s="9">
        <f t="shared" si="139"/>
        <v>-4.5097398089512915</v>
      </c>
      <c r="IS34" s="5">
        <f t="shared" si="92"/>
        <v>-1.925876347656984</v>
      </c>
      <c r="IT34" s="5">
        <f t="shared" si="93"/>
        <v>0.3125</v>
      </c>
      <c r="IU34" s="5">
        <f t="shared" si="94"/>
        <v>0.28118496248271768</v>
      </c>
      <c r="IV34" s="670">
        <f t="shared" si="95"/>
        <v>67.320028691284776</v>
      </c>
      <c r="IW34" s="9">
        <f t="shared" si="96"/>
        <v>-4.5057143125024979</v>
      </c>
      <c r="IX34" s="5">
        <f t="shared" si="97"/>
        <v>-1.9419447778296888</v>
      </c>
      <c r="IY34" s="5">
        <f t="shared" si="98"/>
        <v>0.255</v>
      </c>
      <c r="IZ34" s="5">
        <f t="shared" si="99"/>
        <v>0.255</v>
      </c>
      <c r="JA34" s="705">
        <f t="shared" si="100"/>
        <v>77.999988738195015</v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4.5676554935744589</v>
      </c>
      <c r="C35" s="572">
        <f t="shared" si="3"/>
        <v>0.70628803136087814</v>
      </c>
      <c r="D35" s="576">
        <f t="shared" si="4"/>
        <v>-2.6779102049937911</v>
      </c>
      <c r="E35" s="580">
        <f t="shared" si="5"/>
        <v>0.98449463895438771</v>
      </c>
      <c r="F35" s="572">
        <f t="shared" si="6"/>
        <v>0.15223056585826056</v>
      </c>
      <c r="G35" s="579">
        <f t="shared" si="7"/>
        <v>8.7155956127758921E-2</v>
      </c>
      <c r="H35" s="580">
        <f t="shared" si="8"/>
        <v>0.255</v>
      </c>
      <c r="I35" s="572">
        <f t="shared" si="9"/>
        <v>0.41499999999999992</v>
      </c>
      <c r="J35" s="483">
        <f t="shared" si="10"/>
        <v>2.2400000000000002</v>
      </c>
      <c r="K35" s="806" t="str">
        <f t="shared" si="11"/>
        <v>CPS-32193r1</v>
      </c>
      <c r="L35" s="309"/>
      <c r="M35" s="164">
        <f t="shared" si="12"/>
        <v>2.2400000000000002</v>
      </c>
      <c r="N35" s="575">
        <f t="shared" si="13"/>
        <v>4.5676554935744589</v>
      </c>
      <c r="O35" s="572">
        <f t="shared" si="14"/>
        <v>0.70628803136087814</v>
      </c>
      <c r="P35" s="576">
        <f t="shared" si="15"/>
        <v>-2.6779102049937911</v>
      </c>
      <c r="Q35" s="528">
        <f t="shared" si="140"/>
        <v>8.7899251629714108</v>
      </c>
      <c r="R35" s="572">
        <f>IF(M35="","",SQRT(N35^2+O35^2))</f>
        <v>4.6219389320094395</v>
      </c>
      <c r="S35" s="577">
        <f>IF(M35="","",P35)</f>
        <v>-2.6779102049937911</v>
      </c>
      <c r="T35" s="578">
        <f>IF(M35="","",X35*COS(RADIANS(W35)))</f>
        <v>0.74916123941467594</v>
      </c>
      <c r="U35" s="572">
        <f>IF(M35="","",X35*SIN(RADIANS(W35)))</f>
        <v>-4.560819764974628</v>
      </c>
      <c r="V35" s="579">
        <f>IF(M35="","",Y35)</f>
        <v>-2.6779102049937911</v>
      </c>
      <c r="W35" s="528">
        <f t="shared" si="253"/>
        <v>279.32811708318991</v>
      </c>
      <c r="X35" s="572">
        <f>IF(M35="","",R35)</f>
        <v>4.6219389320094395</v>
      </c>
      <c r="Y35" s="573">
        <f t="shared" si="255"/>
        <v>-2.6779102049937911</v>
      </c>
      <c r="Z35" s="575">
        <f t="shared" si="18"/>
        <v>-0.98449463895438771</v>
      </c>
      <c r="AA35" s="572">
        <f t="shared" si="19"/>
        <v>-0.15223056585826056</v>
      </c>
      <c r="AB35" s="572">
        <f t="shared" si="20"/>
        <v>-8.7155956127758921E-2</v>
      </c>
      <c r="AC35" s="579">
        <f>IF(M35="","",SQRT(Z35^2+AA35^2+AB35^2))</f>
        <v>1</v>
      </c>
      <c r="AD35" s="580">
        <f>IF(M35="","",Z35*(1/SQRT(Z35^2+AA35^2+AB35^2)))</f>
        <v>-0.98449463895438771</v>
      </c>
      <c r="AE35" s="572">
        <f>IF(M35="","",AA35*(1/SQRT(Z35^2+AA35^2+AB35^2)))</f>
        <v>-0.15223056585826056</v>
      </c>
      <c r="AF35" s="576">
        <f>IF(M35="","",AB35*(1/SQRT(Z35^2+AA35^2+AB35^2)))</f>
        <v>-8.7155956127758921E-2</v>
      </c>
      <c r="AG35" s="545">
        <f>IF(M35="","",DEGREES(ATAN2(-AF35,AE35)))</f>
        <v>-60.207740986252482</v>
      </c>
      <c r="AH35" s="546">
        <f>IF(M35="","",DEGREES(ACOS(AD35)))</f>
        <v>169.89720986113176</v>
      </c>
      <c r="AI35" s="528">
        <f>IF(M35="","",DEGREES(-ACOS(-AF35)))</f>
        <v>-84.999987727520178</v>
      </c>
      <c r="AJ35" s="529">
        <f>IF(M35="","",DEGREES(ATAN2(-AE35,AD35)))</f>
        <v>-81.2100748370286</v>
      </c>
      <c r="AK35" s="578">
        <f>IF(M35="","",(COS(RADIANS((90-$Q$8)-W35))*AD35)+(-SIN(RADIANS((90-$Q$8)-W35))*AE35))</f>
        <v>0</v>
      </c>
      <c r="AL35" s="572">
        <f>IF(M35="","",(SIN(RADIANS((90-$Q$8)-W35))*AD35)+(COS(RADIANS((90-$Q$8)-W35))*AE35))</f>
        <v>-0.9961946794233828</v>
      </c>
      <c r="AM35" s="577">
        <f>IF(M35="","",AF35)</f>
        <v>-8.7155956127758921E-2</v>
      </c>
      <c r="AN35" s="524">
        <f>IF(M35="","",DEGREES(ATAN2(-AM35,AL35)))</f>
        <v>-84.999987727520192</v>
      </c>
      <c r="AO35" s="525">
        <f t="shared" si="116"/>
        <v>0</v>
      </c>
      <c r="AP35" s="528">
        <f>IF(M35="","",DEGREES(ATAN2(AK35,AL35)))</f>
        <v>-90</v>
      </c>
      <c r="AQ35" s="529">
        <f t="shared" si="21"/>
        <v>0.98638317845241896</v>
      </c>
      <c r="AS35" s="932">
        <f t="shared" si="143"/>
        <v>279.32811708318991</v>
      </c>
      <c r="AT35" s="928">
        <f t="shared" si="22"/>
        <v>-2.5694130378708371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>Taper</v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2.2400000000000002</v>
      </c>
      <c r="IJ35" s="674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2.14</v>
      </c>
      <c r="IK35" s="677" cm="1">
        <f t="array" ref="IK35">IFERROR(ROUND(VALUE(IF($IJ35&lt;1,$IJ35+LARGE((IF($M$9:$M$150="",0,$M$9:$M$150)-MOD(IF($M$9:$M$150="",0,$M$9:$M$150),1)),1),$IJ35)),4),"")</f>
        <v>2.14</v>
      </c>
      <c r="IL35" s="482">
        <f t="shared" si="88"/>
        <v>1613</v>
      </c>
      <c r="IM35" s="482" t="str">
        <f t="shared" si="237"/>
        <v>CPS-32193r1</v>
      </c>
      <c r="IN35" s="670">
        <f t="shared" si="90"/>
        <v>18.184712289475954</v>
      </c>
      <c r="IO35" s="702">
        <v>3.0979109113538499E-2</v>
      </c>
      <c r="IP35" s="5">
        <f t="shared" si="91"/>
        <v>1.44</v>
      </c>
      <c r="IQ35" s="714">
        <v>720</v>
      </c>
      <c r="IR35" s="9">
        <f t="shared" si="139"/>
        <v>-4.6347146079159982</v>
      </c>
      <c r="IS35" s="5">
        <f t="shared" si="92"/>
        <v>-2.660899149914485</v>
      </c>
      <c r="IT35" s="5">
        <f t="shared" si="93"/>
        <v>0.3125</v>
      </c>
      <c r="IU35" s="5">
        <f t="shared" si="94"/>
        <v>0.27271753826552053</v>
      </c>
      <c r="IV35" s="670">
        <f t="shared" si="95"/>
        <v>82.449795298402833</v>
      </c>
      <c r="IW35" s="9">
        <f t="shared" si="96"/>
        <v>-4.6219389320094395</v>
      </c>
      <c r="IX35" s="5">
        <f t="shared" si="97"/>
        <v>-2.6779102049937911</v>
      </c>
      <c r="IY35" s="5">
        <f t="shared" si="98"/>
        <v>0.255</v>
      </c>
      <c r="IZ35" s="5">
        <f t="shared" si="99"/>
        <v>0.255</v>
      </c>
      <c r="JA35" s="705">
        <f t="shared" si="100"/>
        <v>84.999987727520192</v>
      </c>
    </row>
    <row r="36" spans="1:269" ht="15" customHeight="1" x14ac:dyDescent="0.25">
      <c r="A36" s="75">
        <f t="shared" si="1"/>
        <v>0</v>
      </c>
      <c r="B36" s="578">
        <f t="shared" si="2"/>
        <v>4.6292414710736898</v>
      </c>
      <c r="C36" s="572">
        <f t="shared" si="3"/>
        <v>0.59445974701942328</v>
      </c>
      <c r="D36" s="576">
        <f t="shared" si="4"/>
        <v>-3.4847383831051117</v>
      </c>
      <c r="E36" s="580">
        <f t="shared" si="5"/>
        <v>0.98808117574195675</v>
      </c>
      <c r="F36" s="572">
        <f t="shared" si="6"/>
        <v>0.12688352712566217</v>
      </c>
      <c r="G36" s="579">
        <f t="shared" si="7"/>
        <v>8.7155956127758935E-2</v>
      </c>
      <c r="H36" s="580">
        <f t="shared" si="8"/>
        <v>0.255</v>
      </c>
      <c r="I36" s="572">
        <f t="shared" si="9"/>
        <v>0.41499999999999992</v>
      </c>
      <c r="J36" s="483">
        <f t="shared" si="10"/>
        <v>2.246</v>
      </c>
      <c r="K36" s="806" t="str">
        <f t="shared" si="11"/>
        <v>CPS-32193r1</v>
      </c>
      <c r="L36" s="309"/>
      <c r="M36" s="164">
        <f t="shared" si="12"/>
        <v>2.246</v>
      </c>
      <c r="N36" s="575">
        <f t="shared" si="13"/>
        <v>4.6292414710736898</v>
      </c>
      <c r="O36" s="572">
        <f t="shared" si="14"/>
        <v>0.59445974701942328</v>
      </c>
      <c r="P36" s="576">
        <f t="shared" si="15"/>
        <v>-3.4847383831051117</v>
      </c>
      <c r="Q36" s="528">
        <f t="shared" si="140"/>
        <v>7.3175372237543481</v>
      </c>
      <c r="R36" s="572">
        <f>IF(M36="","",SQRT(N36^2+O36^2))</f>
        <v>4.6672539022786079</v>
      </c>
      <c r="S36" s="577">
        <f>IF(M36="","",P36)</f>
        <v>-3.4847383831051117</v>
      </c>
      <c r="T36" s="578">
        <f>IF(M36="","",X36*COS(RADIANS(W36)))</f>
        <v>0.63791637067832674</v>
      </c>
      <c r="U36" s="572">
        <f>IF(M36="","",X36*SIN(RADIANS(W36)))</f>
        <v>-4.6234534378920147</v>
      </c>
      <c r="V36" s="579">
        <f>IF(M36="","",Y36)</f>
        <v>-3.4847383831051117</v>
      </c>
      <c r="W36" s="528">
        <f t="shared" si="253"/>
        <v>277.85572914397284</v>
      </c>
      <c r="X36" s="572">
        <f>IF(M36="","",R36)</f>
        <v>4.6672539022786079</v>
      </c>
      <c r="Y36" s="573">
        <f t="shared" si="255"/>
        <v>-3.4847383831051117</v>
      </c>
      <c r="Z36" s="575">
        <f t="shared" si="18"/>
        <v>-0.98808117574195675</v>
      </c>
      <c r="AA36" s="572">
        <f t="shared" si="19"/>
        <v>-0.12688352712566217</v>
      </c>
      <c r="AB36" s="572">
        <f t="shared" si="20"/>
        <v>-8.7155956127758935E-2</v>
      </c>
      <c r="AC36" s="579">
        <f>IF(M36="","",SQRT(Z36^2+AA36^2+AB36^2))</f>
        <v>1</v>
      </c>
      <c r="AD36" s="580">
        <f>IF(M36="","",Z36*(1/SQRT(Z36^2+AA36^2+AB36^2)))</f>
        <v>-0.98808117574195675</v>
      </c>
      <c r="AE36" s="572">
        <f>IF(M36="","",AA36*(1/SQRT(Z36^2+AA36^2+AB36^2)))</f>
        <v>-0.12688352712566217</v>
      </c>
      <c r="AF36" s="576">
        <f>IF(M36="","",AB36*(1/SQRT(Z36^2+AA36^2+AB36^2)))</f>
        <v>-8.7155956127758935E-2</v>
      </c>
      <c r="AG36" s="545">
        <f>IF(M36="","",DEGREES(ATAN2(-AF36,AE36)))</f>
        <v>-55.514931302752188</v>
      </c>
      <c r="AH36" s="546">
        <f>IF(M36="","",DEGREES(ACOS(AD36)))</f>
        <v>171.14503924709291</v>
      </c>
      <c r="AI36" s="528">
        <f>IF(M36="","",DEGREES(-ACOS(-AF36)))</f>
        <v>-84.999987727520178</v>
      </c>
      <c r="AJ36" s="529">
        <f>IF(M36="","",DEGREES(ATAN2(-AE36,AD36)))</f>
        <v>-82.682462776245643</v>
      </c>
      <c r="AK36" s="578">
        <f>IF(M36="","",(COS(RADIANS((90-$Q$8)-W36))*AD36)+(-SIN(RADIANS((90-$Q$8)-W36))*AE36))</f>
        <v>-2.7755575615628914E-17</v>
      </c>
      <c r="AL36" s="572">
        <f>IF(M36="","",(SIN(RADIANS((90-$Q$8)-W36))*AD36)+(COS(RADIANS((90-$Q$8)-W36))*AE36))</f>
        <v>-0.99619467942338269</v>
      </c>
      <c r="AM36" s="577">
        <f>IF(M36="","",AF36)</f>
        <v>-8.7155956127758935E-2</v>
      </c>
      <c r="AN36" s="524">
        <f>IF(M36="","",DEGREES(ATAN2(-AM36,AL36)))</f>
        <v>-84.999987727520192</v>
      </c>
      <c r="AO36" s="525">
        <f t="shared" si="116"/>
        <v>0</v>
      </c>
      <c r="AP36" s="528">
        <f>IF(M36="","",DEGREES(ATAN2(AK36,AL36)))</f>
        <v>-90</v>
      </c>
      <c r="AQ36" s="529">
        <f t="shared" si="21"/>
        <v>0.97680812160390407</v>
      </c>
      <c r="AS36" s="932">
        <f t="shared" si="143"/>
        <v>277.85572914397284</v>
      </c>
      <c r="AT36" s="928">
        <f t="shared" si="22"/>
        <v>-3.3741962327332451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>Taper</v>
      </c>
      <c r="IH36" s="482" t="str">
        <f>IFERROR(IF((((($IY36*COS(RADIANS(180-$JA36)))*COS(RADIANS($JA36)))-(($IZ36*SIN(RADIANS(180-$JA36)))*SIN(RADIANS($JA36))))+$IW36)&lt;(((Settings!$C$19+$IH$8)/2)*-1),"Gage",""),"")</f>
        <v>Gage</v>
      </c>
      <c r="II36" s="788">
        <f t="shared" si="236"/>
        <v>2.246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2.1459999999999999</v>
      </c>
      <c r="IK36" s="677" cm="1">
        <f t="array" ref="IK36">IFERROR(ROUND(VALUE(IF($IJ36&lt;1,$IJ36+LARGE((IF($M$9:$M$150="",0,$M$9:$M$150)-MOD(IF($M$9:$M$150="",0,$M$9:$M$150),1)),1),$IJ36)),4),"")</f>
        <v>2.1459999999999999</v>
      </c>
      <c r="IL36" s="482">
        <f t="shared" si="88"/>
        <v>1613</v>
      </c>
      <c r="IM36" s="482" t="str">
        <f t="shared" si="237"/>
        <v>CPS-32193r1</v>
      </c>
      <c r="IN36" s="670">
        <f t="shared" si="90"/>
        <v>19.580442617051972</v>
      </c>
      <c r="IO36" s="702">
        <v>3.01926105645152E-2</v>
      </c>
      <c r="IP36" s="5">
        <f t="shared" si="91"/>
        <v>1.4</v>
      </c>
      <c r="IQ36" s="714">
        <v>700</v>
      </c>
      <c r="IR36" s="9">
        <f t="shared" si="139"/>
        <v>-4.6815983957116192</v>
      </c>
      <c r="IS36" s="5">
        <f t="shared" si="92"/>
        <v>-3.4669924690766205</v>
      </c>
      <c r="IT36" s="5">
        <f t="shared" si="93"/>
        <v>0.3125</v>
      </c>
      <c r="IU36" s="5">
        <f t="shared" si="94"/>
        <v>0.27120698830943946</v>
      </c>
      <c r="IV36" s="670">
        <f t="shared" si="95"/>
        <v>84.967735525253531</v>
      </c>
      <c r="IW36" s="9">
        <f t="shared" si="96"/>
        <v>-4.6672539022786079</v>
      </c>
      <c r="IX36" s="5">
        <f t="shared" si="97"/>
        <v>-3.4847383831051117</v>
      </c>
      <c r="IY36" s="5">
        <f t="shared" si="98"/>
        <v>0.255</v>
      </c>
      <c r="IZ36" s="5">
        <f t="shared" si="99"/>
        <v>0.255</v>
      </c>
      <c r="JA36" s="705">
        <f t="shared" si="100"/>
        <v>84.999987727520192</v>
      </c>
    </row>
    <row r="37" spans="1:269" ht="15" customHeight="1" x14ac:dyDescent="0.25">
      <c r="A37" s="75">
        <f t="shared" si="1"/>
        <v>0.02</v>
      </c>
      <c r="B37" s="578">
        <f t="shared" si="2"/>
        <v>0.45982503860107643</v>
      </c>
      <c r="C37" s="572">
        <f t="shared" si="3"/>
        <v>-0.34505869366794073</v>
      </c>
      <c r="D37" s="576">
        <f t="shared" si="4"/>
        <v>-0.61837904077669481</v>
      </c>
      <c r="E37" s="580">
        <f t="shared" si="5"/>
        <v>0.5144510019936902</v>
      </c>
      <c r="F37" s="572">
        <f t="shared" si="6"/>
        <v>0.79404264331834762</v>
      </c>
      <c r="G37" s="579">
        <f t="shared" si="7"/>
        <v>0.32378456902653585</v>
      </c>
      <c r="H37" s="580">
        <f t="shared" si="8"/>
        <v>0.3125</v>
      </c>
      <c r="I37" s="572">
        <f t="shared" si="9"/>
        <v>0.52</v>
      </c>
      <c r="J37" s="483">
        <f t="shared" si="10"/>
        <v>3.1019999999999999</v>
      </c>
      <c r="K37" s="806">
        <f t="shared" si="11"/>
        <v>1613</v>
      </c>
      <c r="L37" s="309"/>
      <c r="M37" s="164">
        <f t="shared" si="12"/>
        <v>3.1019999999999999</v>
      </c>
      <c r="N37" s="575">
        <f t="shared" si="13"/>
        <v>0.45982503860107643</v>
      </c>
      <c r="O37" s="572">
        <f t="shared" si="14"/>
        <v>-0.34505869366794073</v>
      </c>
      <c r="P37" s="576">
        <f t="shared" si="15"/>
        <v>-0.61837904077669481</v>
      </c>
      <c r="Q37" s="528">
        <f t="shared" si="140"/>
        <v>323.11496037959824</v>
      </c>
      <c r="R37" s="572">
        <f t="shared" si="101"/>
        <v>0.57489526715768602</v>
      </c>
      <c r="S37" s="577">
        <f t="shared" si="102"/>
        <v>-0.61837904077669481</v>
      </c>
      <c r="T37" s="578">
        <f t="shared" si="103"/>
        <v>-0.34072429636681678</v>
      </c>
      <c r="U37" s="572">
        <f t="shared" si="104"/>
        <v>-0.46304591788033811</v>
      </c>
      <c r="V37" s="579">
        <f t="shared" si="141"/>
        <v>-0.61837904077669481</v>
      </c>
      <c r="W37" s="528">
        <f t="shared" si="253"/>
        <v>233.65315229981672</v>
      </c>
      <c r="X37" s="572">
        <f t="shared" si="105"/>
        <v>0.57489526715768602</v>
      </c>
      <c r="Y37" s="573">
        <f t="shared" si="255"/>
        <v>-0.61837904077669481</v>
      </c>
      <c r="Z37" s="575">
        <f t="shared" si="18"/>
        <v>-0.5144510019936902</v>
      </c>
      <c r="AA37" s="572">
        <f t="shared" si="19"/>
        <v>-0.79404264331834762</v>
      </c>
      <c r="AB37" s="572">
        <f t="shared" si="20"/>
        <v>-0.32378456902653585</v>
      </c>
      <c r="AC37" s="579">
        <f t="shared" si="106"/>
        <v>1</v>
      </c>
      <c r="AD37" s="580">
        <f t="shared" si="142"/>
        <v>-0.5144510019936902</v>
      </c>
      <c r="AE37" s="572">
        <f t="shared" si="107"/>
        <v>-0.79404264331834762</v>
      </c>
      <c r="AF37" s="576">
        <f t="shared" si="108"/>
        <v>-0.32378456902653585</v>
      </c>
      <c r="AG37" s="545">
        <f t="shared" si="109"/>
        <v>-67.815974887250391</v>
      </c>
      <c r="AH37" s="546">
        <f t="shared" si="110"/>
        <v>120.96076625348942</v>
      </c>
      <c r="AI37" s="528">
        <f t="shared" si="111"/>
        <v>-71.108045271852404</v>
      </c>
      <c r="AJ37" s="529">
        <f t="shared" si="112"/>
        <v>-32.938733169460924</v>
      </c>
      <c r="AK37" s="578">
        <f t="shared" si="238"/>
        <v>0.94388754059794344</v>
      </c>
      <c r="AL37" s="572">
        <f t="shared" si="113"/>
        <v>6.5114234728408271E-2</v>
      </c>
      <c r="AM37" s="577">
        <f t="shared" si="114"/>
        <v>-0.32378456902653585</v>
      </c>
      <c r="AN37" s="524">
        <f t="shared" si="115"/>
        <v>11.37071787295627</v>
      </c>
      <c r="AO37" s="525">
        <f t="shared" si="116"/>
        <v>19.284983884531435</v>
      </c>
      <c r="AP37" s="528">
        <f t="shared" si="117"/>
        <v>3.9463064509408254</v>
      </c>
      <c r="AQ37" s="529">
        <f t="shared" si="21"/>
        <v>7.8808499252325195</v>
      </c>
      <c r="AS37" s="932">
        <f t="shared" si="143"/>
        <v>233.65315229981672</v>
      </c>
      <c r="AT37" s="928">
        <f t="shared" si="22"/>
        <v>-0.44644442256572248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3.1019999999999999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1613</v>
      </c>
      <c r="IM37" s="482" t="str">
        <f t="shared" si="237"/>
        <v/>
      </c>
      <c r="IN37" s="670" t="str">
        <f t="shared" si="90"/>
        <v/>
      </c>
      <c r="IO37" s="702"/>
      <c r="IP37" s="5" t="str">
        <f t="shared" si="91"/>
        <v/>
      </c>
      <c r="IQ37" s="714"/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0.02</v>
      </c>
      <c r="B38" s="578">
        <f t="shared" si="2"/>
        <v>1.0289679485503445</v>
      </c>
      <c r="C38" s="572">
        <f t="shared" si="3"/>
        <v>-0.74396173859255921</v>
      </c>
      <c r="D38" s="576">
        <f t="shared" si="4"/>
        <v>-0.36431137794409313</v>
      </c>
      <c r="E38" s="580">
        <f t="shared" si="5"/>
        <v>0.54347762566989888</v>
      </c>
      <c r="F38" s="572">
        <f t="shared" si="6"/>
        <v>0.79293675529694452</v>
      </c>
      <c r="G38" s="579">
        <f t="shared" si="7"/>
        <v>0.27546936761709651</v>
      </c>
      <c r="H38" s="580">
        <f t="shared" si="8"/>
        <v>0.3125</v>
      </c>
      <c r="I38" s="572">
        <f t="shared" si="9"/>
        <v>0.52</v>
      </c>
      <c r="J38" s="483">
        <f t="shared" si="10"/>
        <v>3.105</v>
      </c>
      <c r="K38" s="806">
        <f t="shared" si="11"/>
        <v>1613</v>
      </c>
      <c r="L38" s="309"/>
      <c r="M38" s="164">
        <f t="shared" si="12"/>
        <v>3.105</v>
      </c>
      <c r="N38" s="575">
        <f t="shared" si="13"/>
        <v>1.0289679485503445</v>
      </c>
      <c r="O38" s="572">
        <f t="shared" si="14"/>
        <v>-0.74396173859255921</v>
      </c>
      <c r="P38" s="576">
        <f t="shared" si="15"/>
        <v>-0.36431137794409313</v>
      </c>
      <c r="Q38" s="528">
        <f t="shared" si="140"/>
        <v>324.1324157756228</v>
      </c>
      <c r="R38" s="572">
        <f t="shared" si="101"/>
        <v>1.2697456862039611</v>
      </c>
      <c r="S38" s="577">
        <f t="shared" si="102"/>
        <v>-0.36431137794409313</v>
      </c>
      <c r="T38" s="578">
        <f t="shared" si="103"/>
        <v>-0.73426373676784706</v>
      </c>
      <c r="U38" s="572">
        <f t="shared" si="104"/>
        <v>-1.0359106488984877</v>
      </c>
      <c r="V38" s="579">
        <f t="shared" si="141"/>
        <v>-0.36431137794409313</v>
      </c>
      <c r="W38" s="528">
        <f t="shared" si="253"/>
        <v>234.67060769584128</v>
      </c>
      <c r="X38" s="572">
        <f t="shared" si="105"/>
        <v>1.2697456862039611</v>
      </c>
      <c r="Y38" s="573">
        <f t="shared" si="255"/>
        <v>-0.36431137794409313</v>
      </c>
      <c r="Z38" s="575">
        <f t="shared" si="18"/>
        <v>-0.54347762566989888</v>
      </c>
      <c r="AA38" s="572">
        <f t="shared" si="19"/>
        <v>-0.79293675529694452</v>
      </c>
      <c r="AB38" s="572">
        <f t="shared" si="20"/>
        <v>-0.27546936761709651</v>
      </c>
      <c r="AC38" s="579">
        <f t="shared" si="106"/>
        <v>1</v>
      </c>
      <c r="AD38" s="580">
        <f t="shared" si="142"/>
        <v>-0.54347762566989888</v>
      </c>
      <c r="AE38" s="572">
        <f t="shared" si="107"/>
        <v>-0.79293675529694452</v>
      </c>
      <c r="AF38" s="576">
        <f t="shared" si="108"/>
        <v>-0.27546936761709651</v>
      </c>
      <c r="AG38" s="545">
        <f t="shared" si="109"/>
        <v>-70.842570666648029</v>
      </c>
      <c r="AH38" s="546">
        <f t="shared" si="110"/>
        <v>122.92069117183107</v>
      </c>
      <c r="AI38" s="528">
        <f t="shared" si="111"/>
        <v>-74.010012646716618</v>
      </c>
      <c r="AJ38" s="529">
        <f t="shared" si="112"/>
        <v>-34.426679093799351</v>
      </c>
      <c r="AK38" s="578">
        <f t="shared" si="238"/>
        <v>0.96100587618896616</v>
      </c>
      <c r="AL38" s="572">
        <f t="shared" si="113"/>
        <v>2.4172989780223253E-2</v>
      </c>
      <c r="AM38" s="577">
        <f t="shared" si="114"/>
        <v>-0.27546936761709651</v>
      </c>
      <c r="AN38" s="524">
        <f t="shared" si="115"/>
        <v>5.0149734933954218</v>
      </c>
      <c r="AO38" s="525">
        <f t="shared" si="116"/>
        <v>16.053090590113129</v>
      </c>
      <c r="AP38" s="528">
        <f t="shared" si="117"/>
        <v>1.4409051305778715</v>
      </c>
      <c r="AQ38" s="529">
        <f t="shared" si="21"/>
        <v>3.5861494451427358</v>
      </c>
      <c r="AS38" s="932">
        <f t="shared" si="143"/>
        <v>234.67060769584128</v>
      </c>
      <c r="AT38" s="928">
        <f t="shared" si="22"/>
        <v>-0.19378989222759938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3.105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1613</v>
      </c>
      <c r="IM38" s="482" t="str">
        <f t="shared" si="237"/>
        <v/>
      </c>
      <c r="IN38" s="670" t="str">
        <f t="shared" si="90"/>
        <v/>
      </c>
      <c r="IO38" s="702"/>
      <c r="IP38" s="5" t="str">
        <f t="shared" si="91"/>
        <v/>
      </c>
      <c r="IQ38" s="714"/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0.02</v>
      </c>
      <c r="B39" s="578">
        <f t="shared" si="2"/>
        <v>1.6021049383410586</v>
      </c>
      <c r="C39" s="572">
        <f t="shared" si="3"/>
        <v>-1.1452771005445102</v>
      </c>
      <c r="D39" s="576">
        <f t="shared" si="4"/>
        <v>-0.1694083638593592</v>
      </c>
      <c r="E39" s="580">
        <f t="shared" si="5"/>
        <v>0.56120630095402524</v>
      </c>
      <c r="F39" s="572">
        <f t="shared" si="6"/>
        <v>0.78052298757442873</v>
      </c>
      <c r="G39" s="579">
        <f t="shared" si="7"/>
        <v>0.2753749328413691</v>
      </c>
      <c r="H39" s="580">
        <f t="shared" si="8"/>
        <v>0.3125</v>
      </c>
      <c r="I39" s="572">
        <f t="shared" si="9"/>
        <v>0.52</v>
      </c>
      <c r="J39" s="483">
        <f t="shared" si="10"/>
        <v>3.1080000000000001</v>
      </c>
      <c r="K39" s="806">
        <f t="shared" si="11"/>
        <v>1613</v>
      </c>
      <c r="L39" s="309"/>
      <c r="M39" s="164">
        <f t="shared" si="12"/>
        <v>3.1080000000000001</v>
      </c>
      <c r="N39" s="575">
        <f t="shared" si="13"/>
        <v>1.6021049383410586</v>
      </c>
      <c r="O39" s="572">
        <f t="shared" si="14"/>
        <v>-1.1452771005445102</v>
      </c>
      <c r="P39" s="576">
        <f t="shared" si="15"/>
        <v>-0.1694083638593592</v>
      </c>
      <c r="Q39" s="528">
        <f t="shared" si="140"/>
        <v>324.4406262929914</v>
      </c>
      <c r="R39" s="572">
        <f t="shared" si="101"/>
        <v>1.9693653471330419</v>
      </c>
      <c r="S39" s="577">
        <f t="shared" si="102"/>
        <v>-0.1694083638593592</v>
      </c>
      <c r="T39" s="578">
        <f t="shared" si="103"/>
        <v>-1.1301778710514891</v>
      </c>
      <c r="U39" s="572">
        <f t="shared" si="104"/>
        <v>-1.6127919426491348</v>
      </c>
      <c r="V39" s="579">
        <f t="shared" si="141"/>
        <v>-0.1694083638593592</v>
      </c>
      <c r="W39" s="528">
        <f t="shared" si="253"/>
        <v>234.97881821320988</v>
      </c>
      <c r="X39" s="572">
        <f t="shared" si="105"/>
        <v>1.9693653471330419</v>
      </c>
      <c r="Y39" s="573">
        <f t="shared" si="255"/>
        <v>-0.1694083638593592</v>
      </c>
      <c r="Z39" s="575">
        <f t="shared" si="18"/>
        <v>-0.56120630095402524</v>
      </c>
      <c r="AA39" s="572">
        <f t="shared" si="19"/>
        <v>-0.78052298757442873</v>
      </c>
      <c r="AB39" s="572">
        <f t="shared" si="20"/>
        <v>-0.2753749328413691</v>
      </c>
      <c r="AC39" s="579">
        <f t="shared" si="106"/>
        <v>1</v>
      </c>
      <c r="AD39" s="580">
        <f t="shared" si="142"/>
        <v>-0.56120630095402524</v>
      </c>
      <c r="AE39" s="572">
        <f t="shared" si="107"/>
        <v>-0.78052298757442873</v>
      </c>
      <c r="AF39" s="576">
        <f t="shared" si="108"/>
        <v>-0.2753749328413691</v>
      </c>
      <c r="AG39" s="545">
        <f t="shared" si="109"/>
        <v>-70.566739024157101</v>
      </c>
      <c r="AH39" s="546">
        <f t="shared" si="110"/>
        <v>124.13926260576547</v>
      </c>
      <c r="AI39" s="528">
        <f t="shared" si="111"/>
        <v>-74.015641048364714</v>
      </c>
      <c r="AJ39" s="529">
        <f t="shared" si="112"/>
        <v>-35.716632156159328</v>
      </c>
      <c r="AK39" s="578">
        <f t="shared" si="238"/>
        <v>0.96133328475681112</v>
      </c>
      <c r="AL39" s="572">
        <f t="shared" si="113"/>
        <v>-2.6385566682921024E-3</v>
      </c>
      <c r="AM39" s="577">
        <f t="shared" si="114"/>
        <v>-0.2753749328413691</v>
      </c>
      <c r="AN39" s="524">
        <f t="shared" si="115"/>
        <v>-0.54897347881994862</v>
      </c>
      <c r="AO39" s="525">
        <f t="shared" si="116"/>
        <v>15.985112335508287</v>
      </c>
      <c r="AP39" s="528">
        <f t="shared" si="117"/>
        <v>-0.15725844915069129</v>
      </c>
      <c r="AQ39" s="529">
        <f t="shared" si="21"/>
        <v>2.3139303078806095</v>
      </c>
      <c r="AS39" s="932">
        <f t="shared" si="143"/>
        <v>234.97881821320988</v>
      </c>
      <c r="AT39" s="928">
        <f t="shared" si="22"/>
        <v>6.8505169412261258E-4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3.1080000000000001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1613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0.02</v>
      </c>
      <c r="B40" s="578">
        <f t="shared" si="2"/>
        <v>2.1969816687824317</v>
      </c>
      <c r="C40" s="572">
        <f t="shared" si="3"/>
        <v>-1.5767949055512449</v>
      </c>
      <c r="D40" s="576">
        <f t="shared" si="4"/>
        <v>-0.19952593727025192</v>
      </c>
      <c r="E40" s="580">
        <f t="shared" si="5"/>
        <v>0.6131771671920192</v>
      </c>
      <c r="F40" s="572">
        <f t="shared" si="6"/>
        <v>0.74372526543771755</v>
      </c>
      <c r="G40" s="579">
        <f t="shared" si="7"/>
        <v>0.2662451711937085</v>
      </c>
      <c r="H40" s="580">
        <f t="shared" si="8"/>
        <v>0.3125</v>
      </c>
      <c r="I40" s="572">
        <f t="shared" si="9"/>
        <v>0.52</v>
      </c>
      <c r="J40" s="483">
        <f t="shared" si="10"/>
        <v>3.113</v>
      </c>
      <c r="K40" s="806">
        <f t="shared" si="11"/>
        <v>1613</v>
      </c>
      <c r="L40" s="309"/>
      <c r="M40" s="164">
        <f t="shared" si="12"/>
        <v>3.113</v>
      </c>
      <c r="N40" s="575">
        <f t="shared" si="13"/>
        <v>2.1969816687824317</v>
      </c>
      <c r="O40" s="572">
        <f t="shared" si="14"/>
        <v>-1.5767949055512449</v>
      </c>
      <c r="P40" s="576">
        <f t="shared" si="15"/>
        <v>-0.19952593727025192</v>
      </c>
      <c r="Q40" s="528">
        <f t="shared" si="140"/>
        <v>324.33263209629695</v>
      </c>
      <c r="R40" s="572">
        <f t="shared" si="101"/>
        <v>2.7042578699411042</v>
      </c>
      <c r="S40" s="577">
        <f t="shared" si="102"/>
        <v>-0.19952593727025192</v>
      </c>
      <c r="T40" s="578">
        <f t="shared" si="103"/>
        <v>-1.5560889127938373</v>
      </c>
      <c r="U40" s="572">
        <f t="shared" si="104"/>
        <v>-2.2116957120314931</v>
      </c>
      <c r="V40" s="579">
        <f t="shared" si="141"/>
        <v>-0.19952593727025192</v>
      </c>
      <c r="W40" s="528">
        <f t="shared" si="253"/>
        <v>234.87082401651543</v>
      </c>
      <c r="X40" s="572">
        <f t="shared" si="105"/>
        <v>2.7042578699411042</v>
      </c>
      <c r="Y40" s="573">
        <f t="shared" si="255"/>
        <v>-0.19952593727025192</v>
      </c>
      <c r="Z40" s="575">
        <f t="shared" si="18"/>
        <v>-0.6131771671920192</v>
      </c>
      <c r="AA40" s="572">
        <f t="shared" si="19"/>
        <v>-0.74372526543771755</v>
      </c>
      <c r="AB40" s="572">
        <f t="shared" si="20"/>
        <v>-0.2662451711937085</v>
      </c>
      <c r="AC40" s="579">
        <f t="shared" si="106"/>
        <v>1</v>
      </c>
      <c r="AD40" s="580">
        <f t="shared" si="142"/>
        <v>-0.6131771671920192</v>
      </c>
      <c r="AE40" s="572">
        <f t="shared" si="107"/>
        <v>-0.74372526543771755</v>
      </c>
      <c r="AF40" s="576">
        <f t="shared" si="108"/>
        <v>-0.2662451711937085</v>
      </c>
      <c r="AG40" s="545">
        <f t="shared" si="109"/>
        <v>-70.303211263838804</v>
      </c>
      <c r="AH40" s="546">
        <f t="shared" si="110"/>
        <v>127.81958909109736</v>
      </c>
      <c r="AI40" s="528">
        <f t="shared" si="111"/>
        <v>-74.559045796372956</v>
      </c>
      <c r="AJ40" s="529">
        <f t="shared" si="112"/>
        <v>-39.50446600039497</v>
      </c>
      <c r="AK40" s="578">
        <f t="shared" si="238"/>
        <v>0.96174460176846077</v>
      </c>
      <c r="AL40" s="572">
        <f t="shared" si="113"/>
        <v>-6.4504494302780935E-2</v>
      </c>
      <c r="AM40" s="577">
        <f t="shared" si="114"/>
        <v>-0.2662451711937085</v>
      </c>
      <c r="AN40" s="524">
        <f t="shared" si="115"/>
        <v>-13.618907176394012</v>
      </c>
      <c r="AO40" s="525">
        <f t="shared" si="116"/>
        <v>15.899311451360761</v>
      </c>
      <c r="AP40" s="528">
        <f t="shared" si="117"/>
        <v>-3.8370980966919377</v>
      </c>
      <c r="AQ40" s="529">
        <f t="shared" si="21"/>
        <v>1.6855411380134606</v>
      </c>
      <c r="AS40" s="932">
        <f t="shared" si="143"/>
        <v>234.87082401651543</v>
      </c>
      <c r="AT40" s="928">
        <f t="shared" si="22"/>
        <v>-2.9282529776916699E-2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3.113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0.02</v>
      </c>
      <c r="B41" s="578">
        <f t="shared" ref="B41:B54" si="257">IFERROR(Q196+($A41*-E41),"")</f>
        <v>2.7377987414819227</v>
      </c>
      <c r="C41" s="572">
        <f t="shared" ref="C41:C54" si="258">IFERROR(R196+($A41*-F41),"")</f>
        <v>-2.0112176713587986</v>
      </c>
      <c r="D41" s="576">
        <f t="shared" ref="D41:D54" si="259">IFERROR(S196+($A41*-G41),"")</f>
        <v>-0.47356294378527475</v>
      </c>
      <c r="E41" s="580">
        <f t="shared" ref="E41:E54" si="260">T196</f>
        <v>0.68263455077487167</v>
      </c>
      <c r="F41" s="572">
        <f t="shared" ref="F41:F54" si="261">U196</f>
        <v>0.68178779765956588</v>
      </c>
      <c r="G41" s="579">
        <f t="shared" ref="G41:G54" si="262">V196</f>
        <v>0.26301229828832762</v>
      </c>
      <c r="H41" s="580">
        <f t="shared" ref="H41:H54" si="263">W196</f>
        <v>0.3125</v>
      </c>
      <c r="I41" s="572">
        <f t="shared" ref="I41:I54" si="264">X196</f>
        <v>0.52</v>
      </c>
      <c r="J41" s="483">
        <f t="shared" ref="J41:J54" si="265">IF(Y196=0,"",Y196)</f>
        <v>3.1190000000000002</v>
      </c>
      <c r="K41" s="806">
        <f t="shared" ref="K41:K54" si="266">Z196</f>
        <v>1613</v>
      </c>
      <c r="L41" s="309"/>
      <c r="M41" s="164">
        <f t="shared" ref="M41:M72" si="267">IF(J41="","",VALUE(J41))</f>
        <v>3.1190000000000002</v>
      </c>
      <c r="N41" s="575">
        <f t="shared" ref="N41:N72" si="268">IF(M41="","",B41)</f>
        <v>2.7377987414819227</v>
      </c>
      <c r="O41" s="572">
        <f t="shared" ref="O41:O72" si="269">IF(M41="","",C41)</f>
        <v>-2.0112176713587986</v>
      </c>
      <c r="P41" s="576">
        <f t="shared" ref="P41:P72" si="270">IF(M41="","",D41)</f>
        <v>-0.47356294378527475</v>
      </c>
      <c r="Q41" s="528">
        <f t="shared" si="140"/>
        <v>323.69857875676263</v>
      </c>
      <c r="R41" s="572">
        <f t="shared" si="101"/>
        <v>3.3971368047881008</v>
      </c>
      <c r="S41" s="577">
        <f t="shared" si="102"/>
        <v>-0.47356294378527475</v>
      </c>
      <c r="T41" s="578">
        <f t="shared" si="103"/>
        <v>-1.9854125740277069</v>
      </c>
      <c r="U41" s="572">
        <f t="shared" si="104"/>
        <v>-2.7565694951041197</v>
      </c>
      <c r="V41" s="579">
        <f t="shared" si="141"/>
        <v>-0.47356294378527475</v>
      </c>
      <c r="W41" s="528">
        <f t="shared" si="253"/>
        <v>234.23677067698111</v>
      </c>
      <c r="X41" s="572">
        <f t="shared" si="105"/>
        <v>3.3971368047881008</v>
      </c>
      <c r="Y41" s="573">
        <f t="shared" si="255"/>
        <v>-0.47356294378527475</v>
      </c>
      <c r="Z41" s="575">
        <f t="shared" ref="Z41:Z72" si="271">IF(M41="","",-E41)</f>
        <v>-0.68263455077487167</v>
      </c>
      <c r="AA41" s="572">
        <f t="shared" ref="AA41:AA72" si="272">IF(M41="","",-F41)</f>
        <v>-0.68178779765956588</v>
      </c>
      <c r="AB41" s="572">
        <f t="shared" ref="AB41:AB72" si="273">IF(M41="","",-G41)</f>
        <v>-0.26301229828832762</v>
      </c>
      <c r="AC41" s="579">
        <f t="shared" si="106"/>
        <v>1</v>
      </c>
      <c r="AD41" s="580">
        <f t="shared" si="142"/>
        <v>-0.68263455077487167</v>
      </c>
      <c r="AE41" s="572">
        <f t="shared" si="107"/>
        <v>-0.68178779765956588</v>
      </c>
      <c r="AF41" s="576">
        <f t="shared" si="108"/>
        <v>-0.26301229828832762</v>
      </c>
      <c r="AG41" s="545">
        <f t="shared" si="109"/>
        <v>-68.904953485652925</v>
      </c>
      <c r="AH41" s="546">
        <f t="shared" si="110"/>
        <v>133.04986074923937</v>
      </c>
      <c r="AI41" s="528">
        <f t="shared" si="111"/>
        <v>-74.751123370676567</v>
      </c>
      <c r="AJ41" s="529">
        <f t="shared" si="112"/>
        <v>-45.035557445701379</v>
      </c>
      <c r="AK41" s="578">
        <f t="shared" si="238"/>
        <v>0.95360435335504712</v>
      </c>
      <c r="AL41" s="572">
        <f t="shared" si="113"/>
        <v>-0.14650347508299727</v>
      </c>
      <c r="AM41" s="577">
        <f t="shared" si="114"/>
        <v>-0.26301229828832762</v>
      </c>
      <c r="AN41" s="524">
        <f t="shared" si="115"/>
        <v>-29.118742089064096</v>
      </c>
      <c r="AO41" s="525">
        <f t="shared" si="116"/>
        <v>17.521441320236239</v>
      </c>
      <c r="AP41" s="528">
        <f t="shared" si="117"/>
        <v>-8.7341362024640254</v>
      </c>
      <c r="AQ41" s="529">
        <f t="shared" ref="AQ41:AQ72" si="274">IF(M41="","",DEGREES(ATAN(($AS$5*SIN(RADIANS(90)))/(($X41*2*PI())-($AS$5*COS(RADIANS(90)))))))</f>
        <v>1.3419005001496203</v>
      </c>
      <c r="AS41" s="932">
        <f t="shared" si="143"/>
        <v>234.23677067698111</v>
      </c>
      <c r="AT41" s="928">
        <f t="shared" ref="AT41:AT72" si="275">IF(M41="","",Y41+(((AS41-$AS$9)*$AS$6)*-1))</f>
        <v>-0.30243890665369744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3.1190000000000002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1613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0.02</v>
      </c>
      <c r="B42" s="578">
        <f t="shared" si="257"/>
        <v>3.1681458683758081</v>
      </c>
      <c r="C42" s="572">
        <f t="shared" si="258"/>
        <v>-2.389930782320949</v>
      </c>
      <c r="D42" s="576">
        <f t="shared" si="259"/>
        <v>-0.95238301810905823</v>
      </c>
      <c r="E42" s="580">
        <f t="shared" si="260"/>
        <v>0.76194904191279822</v>
      </c>
      <c r="F42" s="572">
        <f t="shared" si="261"/>
        <v>0.59580711520482887</v>
      </c>
      <c r="G42" s="579">
        <f t="shared" si="262"/>
        <v>0.25386519848035183</v>
      </c>
      <c r="H42" s="580">
        <f t="shared" si="263"/>
        <v>0.3125</v>
      </c>
      <c r="I42" s="572">
        <f t="shared" si="264"/>
        <v>0.52</v>
      </c>
      <c r="J42" s="483">
        <f t="shared" si="265"/>
        <v>3.125</v>
      </c>
      <c r="K42" s="806">
        <f t="shared" si="266"/>
        <v>1613</v>
      </c>
      <c r="L42" s="309"/>
      <c r="M42" s="164">
        <f t="shared" si="267"/>
        <v>3.125</v>
      </c>
      <c r="N42" s="575">
        <f t="shared" si="268"/>
        <v>3.1681458683758081</v>
      </c>
      <c r="O42" s="572">
        <f t="shared" si="269"/>
        <v>-2.389930782320949</v>
      </c>
      <c r="P42" s="576">
        <f t="shared" si="270"/>
        <v>-0.95238301810905823</v>
      </c>
      <c r="Q42" s="528">
        <f t="shared" si="140"/>
        <v>322.97046325477834</v>
      </c>
      <c r="R42" s="572">
        <f t="shared" ref="R42:R47" si="439">IF(M42="","",SQRT(N42^2+O42^2))</f>
        <v>3.968490567910163</v>
      </c>
      <c r="S42" s="577">
        <f t="shared" ref="S42:S47" si="440">IF(M42="","",P42)</f>
        <v>-0.95238301810905823</v>
      </c>
      <c r="T42" s="578">
        <f t="shared" ref="T42:T47" si="441">IF(M42="","",X42*COS(RADIANS(W42)))</f>
        <v>-2.360066691459195</v>
      </c>
      <c r="U42" s="572">
        <f t="shared" ref="U42:U47" si="442">IF(M42="","",X42*SIN(RADIANS(W42)))</f>
        <v>-3.1904549204551973</v>
      </c>
      <c r="V42" s="579">
        <f t="shared" ref="V42:V47" si="443">IF(M42="","",Y42)</f>
        <v>-0.95238301810905823</v>
      </c>
      <c r="W42" s="528">
        <f t="shared" si="253"/>
        <v>233.50865517499682</v>
      </c>
      <c r="X42" s="572">
        <f t="shared" ref="X42:X47" si="444">IF(M42="","",R42)</f>
        <v>3.968490567910163</v>
      </c>
      <c r="Y42" s="573">
        <f t="shared" si="255"/>
        <v>-0.95238301810905823</v>
      </c>
      <c r="Z42" s="575">
        <f t="shared" si="271"/>
        <v>-0.76194904191279822</v>
      </c>
      <c r="AA42" s="572">
        <f t="shared" si="272"/>
        <v>-0.59580711520482887</v>
      </c>
      <c r="AB42" s="572">
        <f t="shared" si="273"/>
        <v>-0.25386519848035183</v>
      </c>
      <c r="AC42" s="579">
        <f t="shared" ref="AC42:AC47" si="445">IF(M42="","",SQRT(Z42^2+AA42^2+AB42^2))</f>
        <v>0.99999999999999989</v>
      </c>
      <c r="AD42" s="580">
        <f t="shared" ref="AD42:AD47" si="446">IF(M42="","",Z42*(1/SQRT(Z42^2+AA42^2+AB42^2)))</f>
        <v>-0.76194904191279844</v>
      </c>
      <c r="AE42" s="572">
        <f t="shared" ref="AE42:AE47" si="447">IF(M42="","",AA42*(1/SQRT(Z42^2+AA42^2+AB42^2)))</f>
        <v>-0.59580711520482899</v>
      </c>
      <c r="AF42" s="576">
        <f t="shared" ref="AF42:AF47" si="448">IF(M42="","",AB42*(1/SQRT(Z42^2+AA42^2+AB42^2)))</f>
        <v>-0.25386519848035188</v>
      </c>
      <c r="AG42" s="545">
        <f t="shared" ref="AG42:AG47" si="449">IF(M42="","",DEGREES(ATAN2(-AF42,AE42)))</f>
        <v>-66.921814560610272</v>
      </c>
      <c r="AH42" s="546">
        <f t="shared" ref="AH42:AH47" si="450">IF(M42="","",DEGREES(ACOS(AD42)))</f>
        <v>139.63632370517914</v>
      </c>
      <c r="AI42" s="528">
        <f t="shared" ref="AI42:AI47" si="451">IF(M42="","",DEGREES(-ACOS(-AF42)))</f>
        <v>-75.293646759204307</v>
      </c>
      <c r="AJ42" s="529">
        <f t="shared" ref="AJ42:AJ47" si="452">IF(M42="","",DEGREES(ATAN2(-AE42,AD42)))</f>
        <v>-51.976320692692219</v>
      </c>
      <c r="AK42" s="578">
        <f t="shared" ref="AK42:AK47" si="453">IF(M42="","",(COS(RADIANS((90-$Q$8)-W42))*AD42)+(-SIN(RADIANS((90-$Q$8)-W42))*AE42))</f>
        <v>0.93451383006950728</v>
      </c>
      <c r="AL42" s="572">
        <f t="shared" ref="AL42:AL47" si="454">IF(M42="","",(SIN(RADIANS((90-$Q$8)-W42))*AD42)+(COS(RADIANS((90-$Q$8)-W42))*AE42))</f>
        <v>-0.24947216760462859</v>
      </c>
      <c r="AM42" s="577">
        <f t="shared" ref="AM42:AM47" si="455">IF(M42="","",AF42)</f>
        <v>-0.25386519848035188</v>
      </c>
      <c r="AN42" s="524">
        <f t="shared" ref="AN42:AN47" si="456">IF(M42="","",DEGREES(ATAN2(-AM42,AL42)))</f>
        <v>-44.499946249576794</v>
      </c>
      <c r="AO42" s="525">
        <f t="shared" si="116"/>
        <v>20.850257744862255</v>
      </c>
      <c r="AP42" s="528">
        <f t="shared" ref="AP42:AP47" si="457">IF(M42="","",DEGREES(ATAN2(AK42,AL42)))</f>
        <v>-14.946783947470552</v>
      </c>
      <c r="AQ42" s="529">
        <f t="shared" si="274"/>
        <v>1.1487597666939944</v>
      </c>
      <c r="AS42" s="932">
        <f t="shared" si="143"/>
        <v>233.50865517499682</v>
      </c>
      <c r="AT42" s="928">
        <f t="shared" si="275"/>
        <v>-0.78024770944694721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3.125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6"/>
        <v>1613</v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>
        <f t="shared" si="256"/>
        <v>0.02</v>
      </c>
      <c r="B43" s="578">
        <f t="shared" si="257"/>
        <v>3.4651021916235583</v>
      </c>
      <c r="C43" s="572">
        <f t="shared" si="258"/>
        <v>-2.671239802553294</v>
      </c>
      <c r="D43" s="576">
        <f t="shared" si="259"/>
        <v>-1.5772405343241533</v>
      </c>
      <c r="E43" s="580">
        <f t="shared" si="260"/>
        <v>0.83724802079777449</v>
      </c>
      <c r="F43" s="572">
        <f t="shared" si="261"/>
        <v>0.50631207039290416</v>
      </c>
      <c r="G43" s="579">
        <f t="shared" si="262"/>
        <v>0.20655226710123603</v>
      </c>
      <c r="H43" s="580">
        <f t="shared" si="263"/>
        <v>0.3125</v>
      </c>
      <c r="I43" s="572">
        <f t="shared" si="264"/>
        <v>0.52</v>
      </c>
      <c r="J43" s="483">
        <f t="shared" si="265"/>
        <v>3.1309999999999998</v>
      </c>
      <c r="K43" s="806">
        <f t="shared" si="266"/>
        <v>1613</v>
      </c>
      <c r="L43" s="309"/>
      <c r="M43" s="164">
        <f t="shared" si="267"/>
        <v>3.1309999999999998</v>
      </c>
      <c r="N43" s="575">
        <f t="shared" si="268"/>
        <v>3.4651021916235583</v>
      </c>
      <c r="O43" s="572">
        <f t="shared" si="269"/>
        <v>-2.671239802553294</v>
      </c>
      <c r="P43" s="576">
        <f t="shared" si="270"/>
        <v>-1.5772405343241533</v>
      </c>
      <c r="Q43" s="528">
        <f t="shared" si="140"/>
        <v>322.37144795208962</v>
      </c>
      <c r="R43" s="572">
        <f t="shared" si="439"/>
        <v>4.3752091699871158</v>
      </c>
      <c r="S43" s="577">
        <f t="shared" si="440"/>
        <v>-1.5772405343241533</v>
      </c>
      <c r="T43" s="578">
        <f t="shared" si="441"/>
        <v>-2.6385739661121197</v>
      </c>
      <c r="U43" s="572">
        <f t="shared" si="442"/>
        <v>-3.4900405021281209</v>
      </c>
      <c r="V43" s="579">
        <f t="shared" si="443"/>
        <v>-1.5772405343241533</v>
      </c>
      <c r="W43" s="528">
        <f t="shared" si="253"/>
        <v>232.90963987230811</v>
      </c>
      <c r="X43" s="572">
        <f t="shared" si="444"/>
        <v>4.3752091699871158</v>
      </c>
      <c r="Y43" s="573">
        <f t="shared" si="255"/>
        <v>-1.5772405343241533</v>
      </c>
      <c r="Z43" s="575">
        <f t="shared" si="271"/>
        <v>-0.83724802079777449</v>
      </c>
      <c r="AA43" s="572">
        <f t="shared" si="272"/>
        <v>-0.50631207039290416</v>
      </c>
      <c r="AB43" s="572">
        <f t="shared" si="273"/>
        <v>-0.20655226710123603</v>
      </c>
      <c r="AC43" s="579">
        <f t="shared" si="445"/>
        <v>1</v>
      </c>
      <c r="AD43" s="580">
        <f t="shared" si="446"/>
        <v>-0.83724802079777449</v>
      </c>
      <c r="AE43" s="572">
        <f t="shared" si="447"/>
        <v>-0.50631207039290416</v>
      </c>
      <c r="AF43" s="576">
        <f t="shared" si="448"/>
        <v>-0.20655226710123603</v>
      </c>
      <c r="AG43" s="545">
        <f t="shared" si="449"/>
        <v>-67.806777411597508</v>
      </c>
      <c r="AH43" s="546">
        <f t="shared" si="450"/>
        <v>146.85064825988522</v>
      </c>
      <c r="AI43" s="528">
        <f t="shared" si="451"/>
        <v>-78.079617600962123</v>
      </c>
      <c r="AJ43" s="529">
        <f t="shared" si="452"/>
        <v>-58.837233809081638</v>
      </c>
      <c r="AK43" s="578">
        <f t="shared" si="453"/>
        <v>0.91216514399005288</v>
      </c>
      <c r="AL43" s="572">
        <f t="shared" si="454"/>
        <v>-0.35396456184898789</v>
      </c>
      <c r="AM43" s="577">
        <f t="shared" si="455"/>
        <v>-0.20655226710123603</v>
      </c>
      <c r="AN43" s="524">
        <f t="shared" si="456"/>
        <v>-59.734754558642074</v>
      </c>
      <c r="AO43" s="525">
        <f t="shared" si="116"/>
        <v>24.193705600630707</v>
      </c>
      <c r="AP43" s="528">
        <f t="shared" si="457"/>
        <v>-21.208681761171245</v>
      </c>
      <c r="AQ43" s="529">
        <f t="shared" si="274"/>
        <v>1.041996030591166</v>
      </c>
      <c r="AS43" s="932">
        <f t="shared" ref="AS43:AS74" si="461">IF(G43="","",IF(AND(W43&lt;(AS42+180),W43&gt;(AS42-180)),W43,IF(W43&gt;(AS42+180),W43-360,IF(W43&lt;(AS42-180),W43+360,"Error"))))</f>
        <v>232.90963987230811</v>
      </c>
      <c r="AT43" s="928">
        <f t="shared" si="275"/>
        <v>-1.4042732599638634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3.1309999999999998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26"/>
        <v>1613</v>
      </c>
      <c r="IM43" s="482" t="str">
        <f t="shared" si="237"/>
        <v/>
      </c>
      <c r="IN43" s="670" t="str">
        <f t="shared" si="427"/>
        <v/>
      </c>
      <c r="IO43" s="702"/>
      <c r="IP43" s="5" t="str">
        <f t="shared" si="428"/>
        <v/>
      </c>
      <c r="IQ43" s="714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70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705" t="str">
        <f t="shared" si="438"/>
        <v/>
      </c>
    </row>
    <row r="44" spans="1:269" ht="15" customHeight="1" x14ac:dyDescent="0.25">
      <c r="A44" s="75">
        <f t="shared" si="256"/>
        <v>0.02</v>
      </c>
      <c r="B44" s="578">
        <f t="shared" si="257"/>
        <v>3.6240059230817461</v>
      </c>
      <c r="C44" s="572">
        <f t="shared" si="258"/>
        <v>-2.8273771169386412</v>
      </c>
      <c r="D44" s="576">
        <f t="shared" si="259"/>
        <v>-2.2893247950186217</v>
      </c>
      <c r="E44" s="580">
        <f t="shared" si="260"/>
        <v>0.89741093860954213</v>
      </c>
      <c r="F44" s="572">
        <f t="shared" si="261"/>
        <v>0.42440699833804396</v>
      </c>
      <c r="G44" s="579">
        <f t="shared" si="262"/>
        <v>0.1205500187707669</v>
      </c>
      <c r="H44" s="580">
        <f t="shared" si="263"/>
        <v>0.3125</v>
      </c>
      <c r="I44" s="572">
        <f t="shared" si="264"/>
        <v>0.52</v>
      </c>
      <c r="J44" s="483">
        <f t="shared" si="265"/>
        <v>3.137</v>
      </c>
      <c r="K44" s="806">
        <f t="shared" si="266"/>
        <v>1613</v>
      </c>
      <c r="L44" s="309"/>
      <c r="M44" s="164">
        <f t="shared" si="267"/>
        <v>3.137</v>
      </c>
      <c r="N44" s="575">
        <f t="shared" si="268"/>
        <v>3.6240059230817461</v>
      </c>
      <c r="O44" s="572">
        <f t="shared" si="269"/>
        <v>-2.8273771169386412</v>
      </c>
      <c r="P44" s="576">
        <f t="shared" si="270"/>
        <v>-2.2893247950186217</v>
      </c>
      <c r="Q44" s="528">
        <f t="shared" si="140"/>
        <v>322.03935584452773</v>
      </c>
      <c r="R44" s="572">
        <f t="shared" si="439"/>
        <v>4.5964638899832382</v>
      </c>
      <c r="S44" s="577">
        <f t="shared" si="440"/>
        <v>-2.2893247950186217</v>
      </c>
      <c r="T44" s="578">
        <f t="shared" si="441"/>
        <v>-2.7932117964271619</v>
      </c>
      <c r="U44" s="572">
        <f t="shared" si="442"/>
        <v>-3.650403834128491</v>
      </c>
      <c r="V44" s="579">
        <f t="shared" si="443"/>
        <v>-2.2893247950186217</v>
      </c>
      <c r="W44" s="528">
        <f t="shared" si="253"/>
        <v>232.57754776474621</v>
      </c>
      <c r="X44" s="572">
        <f t="shared" si="444"/>
        <v>4.5964638899832382</v>
      </c>
      <c r="Y44" s="573">
        <f t="shared" si="255"/>
        <v>-2.2893247950186217</v>
      </c>
      <c r="Z44" s="575">
        <f t="shared" si="271"/>
        <v>-0.89741093860954213</v>
      </c>
      <c r="AA44" s="572">
        <f t="shared" si="272"/>
        <v>-0.42440699833804396</v>
      </c>
      <c r="AB44" s="572">
        <f t="shared" si="273"/>
        <v>-0.1205500187707669</v>
      </c>
      <c r="AC44" s="579">
        <f t="shared" si="445"/>
        <v>1</v>
      </c>
      <c r="AD44" s="580">
        <f t="shared" si="446"/>
        <v>-0.89741093860954213</v>
      </c>
      <c r="AE44" s="572">
        <f t="shared" si="447"/>
        <v>-0.42440699833804396</v>
      </c>
      <c r="AF44" s="576">
        <f t="shared" si="448"/>
        <v>-0.1205500187707669</v>
      </c>
      <c r="AG44" s="545">
        <f t="shared" si="449"/>
        <v>-74.143151053570563</v>
      </c>
      <c r="AH44" s="546">
        <f t="shared" si="450"/>
        <v>153.81980636918382</v>
      </c>
      <c r="AI44" s="528">
        <f t="shared" si="451"/>
        <v>-83.076153222554595</v>
      </c>
      <c r="AJ44" s="529">
        <f t="shared" si="452"/>
        <v>-64.689418230344273</v>
      </c>
      <c r="AK44" s="578">
        <f t="shared" si="453"/>
        <v>0.88663214280235025</v>
      </c>
      <c r="AL44" s="572">
        <f t="shared" si="454"/>
        <v>-0.44648755450077304</v>
      </c>
      <c r="AM44" s="577">
        <f t="shared" si="455"/>
        <v>-0.1205500187707669</v>
      </c>
      <c r="AN44" s="524">
        <f t="shared" si="456"/>
        <v>-74.890618752992069</v>
      </c>
      <c r="AO44" s="525">
        <f t="shared" si="116"/>
        <v>27.546952600410776</v>
      </c>
      <c r="AP44" s="528">
        <f t="shared" si="457"/>
        <v>-26.72877407487201</v>
      </c>
      <c r="AQ44" s="529">
        <f t="shared" si="274"/>
        <v>0.99184893376460059</v>
      </c>
      <c r="AS44" s="932">
        <f t="shared" si="461"/>
        <v>232.57754776474621</v>
      </c>
      <c r="AT44" s="928">
        <f t="shared" si="275"/>
        <v>-2.1158962816200515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3.137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6"/>
        <v>1613</v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>
        <f t="shared" si="256"/>
        <v>0.02</v>
      </c>
      <c r="B45" s="578">
        <f t="shared" si="257"/>
        <v>3.684012355711284</v>
      </c>
      <c r="C45" s="572">
        <f t="shared" si="258"/>
        <v>-2.8888434539961176</v>
      </c>
      <c r="D45" s="576">
        <f t="shared" si="259"/>
        <v>-3.0919902070663876</v>
      </c>
      <c r="E45" s="580">
        <f t="shared" si="260"/>
        <v>0.92496154452172341</v>
      </c>
      <c r="F45" s="572">
        <f t="shared" si="261"/>
        <v>0.37755409238917742</v>
      </c>
      <c r="G45" s="579">
        <f t="shared" si="262"/>
        <v>4.3578073341676044E-2</v>
      </c>
      <c r="H45" s="580">
        <f t="shared" si="263"/>
        <v>0.3125</v>
      </c>
      <c r="I45" s="572">
        <f t="shared" si="264"/>
        <v>0.52</v>
      </c>
      <c r="J45" s="483">
        <f t="shared" si="265"/>
        <v>3.1429999999999998</v>
      </c>
      <c r="K45" s="806">
        <f t="shared" si="266"/>
        <v>1613</v>
      </c>
      <c r="L45" s="309"/>
      <c r="M45" s="164">
        <f t="shared" si="267"/>
        <v>3.1429999999999998</v>
      </c>
      <c r="N45" s="575">
        <f t="shared" si="268"/>
        <v>3.684012355711284</v>
      </c>
      <c r="O45" s="572">
        <f t="shared" si="269"/>
        <v>-2.8888434539961176</v>
      </c>
      <c r="P45" s="576">
        <f t="shared" si="270"/>
        <v>-3.0919902070663876</v>
      </c>
      <c r="Q45" s="528">
        <f t="shared" si="140"/>
        <v>321.89798922564381</v>
      </c>
      <c r="R45" s="572">
        <f t="shared" si="439"/>
        <v>4.681598395711621</v>
      </c>
      <c r="S45" s="577">
        <f t="shared" si="440"/>
        <v>-3.0919902070663876</v>
      </c>
      <c r="T45" s="578">
        <f t="shared" si="441"/>
        <v>-2.8541117764418766</v>
      </c>
      <c r="U45" s="572">
        <f t="shared" si="442"/>
        <v>-3.7109849779142756</v>
      </c>
      <c r="V45" s="579">
        <f t="shared" si="443"/>
        <v>-3.0919902070663876</v>
      </c>
      <c r="W45" s="528">
        <f t="shared" si="253"/>
        <v>232.43618114586229</v>
      </c>
      <c r="X45" s="572">
        <f t="shared" si="444"/>
        <v>4.681598395711621</v>
      </c>
      <c r="Y45" s="573">
        <f t="shared" si="255"/>
        <v>-3.0919902070663876</v>
      </c>
      <c r="Z45" s="575">
        <f t="shared" si="271"/>
        <v>-0.92496154452172341</v>
      </c>
      <c r="AA45" s="572">
        <f t="shared" si="272"/>
        <v>-0.37755409238917742</v>
      </c>
      <c r="AB45" s="572">
        <f t="shared" si="273"/>
        <v>-4.3578073341676044E-2</v>
      </c>
      <c r="AC45" s="579">
        <f t="shared" si="445"/>
        <v>1</v>
      </c>
      <c r="AD45" s="580">
        <f t="shared" si="446"/>
        <v>-0.92496154452172341</v>
      </c>
      <c r="AE45" s="572">
        <f t="shared" si="447"/>
        <v>-0.37755409238917742</v>
      </c>
      <c r="AF45" s="576">
        <f t="shared" si="448"/>
        <v>-4.3578073341676044E-2</v>
      </c>
      <c r="AG45" s="545">
        <f t="shared" si="449"/>
        <v>-83.415937788436338</v>
      </c>
      <c r="AH45" s="546">
        <f t="shared" si="450"/>
        <v>157.6625569487318</v>
      </c>
      <c r="AI45" s="528">
        <f t="shared" si="451"/>
        <v>-87.502369372171444</v>
      </c>
      <c r="AJ45" s="529">
        <f t="shared" si="452"/>
        <v>-67.795524927090156</v>
      </c>
      <c r="AK45" s="578">
        <f t="shared" si="453"/>
        <v>0.86786236259020688</v>
      </c>
      <c r="AL45" s="572">
        <f t="shared" si="454"/>
        <v>-0.49488975653489931</v>
      </c>
      <c r="AM45" s="577">
        <f t="shared" si="455"/>
        <v>-4.3578073341676044E-2</v>
      </c>
      <c r="AN45" s="524">
        <f t="shared" si="456"/>
        <v>-84.967735525253474</v>
      </c>
      <c r="AO45" s="525">
        <f t="shared" si="116"/>
        <v>29.788825501047665</v>
      </c>
      <c r="AP45" s="528">
        <f t="shared" si="457"/>
        <v>-29.69351415273395</v>
      </c>
      <c r="AQ45" s="529">
        <f t="shared" si="274"/>
        <v>0.97381574291614104</v>
      </c>
      <c r="AS45" s="932">
        <f t="shared" si="461"/>
        <v>232.43618114586229</v>
      </c>
      <c r="AT45" s="928">
        <f t="shared" si="275"/>
        <v>-2.9183653511415897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3.1429999999999998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1613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0.02</v>
      </c>
      <c r="B46" s="578">
        <f t="shared" si="257"/>
        <v>1.6092798554077832</v>
      </c>
      <c r="C46" s="572">
        <f t="shared" si="258"/>
        <v>-2.18171173899225</v>
      </c>
      <c r="D46" s="576">
        <f t="shared" si="259"/>
        <v>-0.18423192234882327</v>
      </c>
      <c r="E46" s="580">
        <f t="shared" si="260"/>
        <v>0.81226900146346681</v>
      </c>
      <c r="F46" s="572">
        <f t="shared" si="261"/>
        <v>0.51897261784951199</v>
      </c>
      <c r="G46" s="579">
        <f t="shared" si="262"/>
        <v>0.26624517119370844</v>
      </c>
      <c r="H46" s="580">
        <f t="shared" si="263"/>
        <v>0.26450000000000001</v>
      </c>
      <c r="I46" s="572">
        <f t="shared" si="264"/>
        <v>0.39400000000000002</v>
      </c>
      <c r="J46" s="483">
        <f t="shared" si="265"/>
        <v>3.2130000000000001</v>
      </c>
      <c r="K46" s="806">
        <f t="shared" si="266"/>
        <v>1310</v>
      </c>
      <c r="L46" s="309"/>
      <c r="M46" s="164">
        <f t="shared" si="267"/>
        <v>3.2130000000000001</v>
      </c>
      <c r="N46" s="575">
        <f t="shared" si="268"/>
        <v>1.6092798554077832</v>
      </c>
      <c r="O46" s="572">
        <f t="shared" si="269"/>
        <v>-2.18171173899225</v>
      </c>
      <c r="P46" s="576">
        <f t="shared" si="270"/>
        <v>-0.18423192234882327</v>
      </c>
      <c r="Q46" s="528">
        <f t="shared" si="140"/>
        <v>306.41332359044173</v>
      </c>
      <c r="R46" s="572">
        <f t="shared" si="439"/>
        <v>2.7110233796627212</v>
      </c>
      <c r="S46" s="577">
        <f t="shared" si="440"/>
        <v>-0.18423192234882327</v>
      </c>
      <c r="T46" s="578">
        <f t="shared" si="441"/>
        <v>-2.1664993915827417</v>
      </c>
      <c r="U46" s="572">
        <f t="shared" si="442"/>
        <v>-1.6297018596508666</v>
      </c>
      <c r="V46" s="579">
        <f t="shared" si="443"/>
        <v>-0.18423192234882327</v>
      </c>
      <c r="W46" s="528">
        <f t="shared" si="253"/>
        <v>216.95151551066022</v>
      </c>
      <c r="X46" s="572">
        <f t="shared" si="444"/>
        <v>2.7110233796627212</v>
      </c>
      <c r="Y46" s="573">
        <f t="shared" si="255"/>
        <v>-0.18423192234882327</v>
      </c>
      <c r="Z46" s="575">
        <f t="shared" si="271"/>
        <v>-0.81226900146346681</v>
      </c>
      <c r="AA46" s="572">
        <f t="shared" si="272"/>
        <v>-0.51897261784951199</v>
      </c>
      <c r="AB46" s="572">
        <f t="shared" si="273"/>
        <v>-0.26624517119370844</v>
      </c>
      <c r="AC46" s="579">
        <f t="shared" si="445"/>
        <v>1</v>
      </c>
      <c r="AD46" s="580">
        <f t="shared" si="446"/>
        <v>-0.81226900146346681</v>
      </c>
      <c r="AE46" s="572">
        <f t="shared" si="447"/>
        <v>-0.51897261784951199</v>
      </c>
      <c r="AF46" s="576">
        <f t="shared" si="448"/>
        <v>-0.26624517119370844</v>
      </c>
      <c r="AG46" s="545">
        <f t="shared" si="449"/>
        <v>-62.84110851616137</v>
      </c>
      <c r="AH46" s="546">
        <f t="shared" si="450"/>
        <v>144.31821510024045</v>
      </c>
      <c r="AI46" s="528">
        <f t="shared" si="451"/>
        <v>-74.559045796372956</v>
      </c>
      <c r="AJ46" s="529">
        <f t="shared" si="452"/>
        <v>-57.424791874180137</v>
      </c>
      <c r="AK46" s="578">
        <f t="shared" si="453"/>
        <v>0.96174345624794855</v>
      </c>
      <c r="AL46" s="572">
        <f t="shared" si="454"/>
        <v>-6.4521571433771463E-2</v>
      </c>
      <c r="AM46" s="577">
        <f t="shared" si="455"/>
        <v>-0.26624517119370844</v>
      </c>
      <c r="AN46" s="524">
        <f t="shared" si="456"/>
        <v>-13.622378361018271</v>
      </c>
      <c r="AO46" s="525">
        <f t="shared" si="116"/>
        <v>15.899551033654374</v>
      </c>
      <c r="AP46" s="528">
        <f t="shared" si="457"/>
        <v>-3.8381154646218758</v>
      </c>
      <c r="AQ46" s="529">
        <f t="shared" si="274"/>
        <v>1.6813371936909876</v>
      </c>
      <c r="AS46" s="932">
        <f t="shared" si="461"/>
        <v>216.95151551066022</v>
      </c>
      <c r="AT46" s="928">
        <f t="shared" si="275"/>
        <v>1.0899413624866405E-2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>Nose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3.2130000000000001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3.113</v>
      </c>
      <c r="IK46" s="677" cm="1">
        <f t="array" ref="IK46">IFERROR(ROUND(VALUE(IF($IJ46&lt;1,$IJ46+LARGE((IF($M$9:$M$150="",0,$M$9:$M$150)-MOD(IF($M$9:$M$150="",0,$M$9:$M$150),1)),1),$IJ46)),4),"")</f>
        <v>3.113</v>
      </c>
      <c r="IL46" s="482">
        <f t="shared" si="426"/>
        <v>1613</v>
      </c>
      <c r="IM46" s="482">
        <f t="shared" si="237"/>
        <v>1310</v>
      </c>
      <c r="IN46" s="670">
        <f t="shared" si="427"/>
        <v>17.919308505855213</v>
      </c>
      <c r="IO46" s="702">
        <v>2.9489495756912201E-2</v>
      </c>
      <c r="IP46" s="5">
        <f t="shared" si="428"/>
        <v>0.57999999999999996</v>
      </c>
      <c r="IQ46" s="714">
        <v>290</v>
      </c>
      <c r="IR46" s="9">
        <f t="shared" si="429"/>
        <v>-2.7042578699411042</v>
      </c>
      <c r="IS46" s="5">
        <f t="shared" si="430"/>
        <v>-0.19952593727025192</v>
      </c>
      <c r="IT46" s="5">
        <f t="shared" si="431"/>
        <v>0.3125</v>
      </c>
      <c r="IU46" s="5">
        <f t="shared" si="432"/>
        <v>0.30054518805264396</v>
      </c>
      <c r="IV46" s="670">
        <f t="shared" si="433"/>
        <v>13.618907176394012</v>
      </c>
      <c r="IW46" s="9">
        <f t="shared" si="434"/>
        <v>-2.7110233796627212</v>
      </c>
      <c r="IX46" s="5">
        <f t="shared" si="435"/>
        <v>-0.18423192234882327</v>
      </c>
      <c r="IY46" s="5">
        <f t="shared" si="436"/>
        <v>0.26450000000000001</v>
      </c>
      <c r="IZ46" s="5">
        <f t="shared" si="437"/>
        <v>0.2543811441775824</v>
      </c>
      <c r="JA46" s="705">
        <f t="shared" si="438"/>
        <v>13.622378361018271</v>
      </c>
    </row>
    <row r="47" spans="1:269" ht="15" customHeight="1" x14ac:dyDescent="0.25">
      <c r="A47" s="75">
        <f t="shared" si="256"/>
        <v>0.02</v>
      </c>
      <c r="B47" s="578">
        <f t="shared" si="257"/>
        <v>2.1702739663609378</v>
      </c>
      <c r="C47" s="572">
        <f t="shared" si="258"/>
        <v>-2.6302153463700075</v>
      </c>
      <c r="D47" s="576">
        <f t="shared" si="259"/>
        <v>-0.45915143729548663</v>
      </c>
      <c r="E47" s="580">
        <f t="shared" si="260"/>
        <v>0.82878899656715244</v>
      </c>
      <c r="F47" s="572">
        <f t="shared" si="261"/>
        <v>0.49389607218351556</v>
      </c>
      <c r="G47" s="579">
        <f t="shared" si="262"/>
        <v>0.26301229828832773</v>
      </c>
      <c r="H47" s="580">
        <f t="shared" si="263"/>
        <v>0.26450000000000001</v>
      </c>
      <c r="I47" s="572">
        <f t="shared" si="264"/>
        <v>0.52</v>
      </c>
      <c r="J47" s="483">
        <f t="shared" si="265"/>
        <v>3.2189999999999999</v>
      </c>
      <c r="K47" s="806">
        <f t="shared" si="266"/>
        <v>1313</v>
      </c>
      <c r="L47" s="309"/>
      <c r="M47" s="164">
        <f t="shared" si="267"/>
        <v>3.2189999999999999</v>
      </c>
      <c r="N47" s="575">
        <f t="shared" si="268"/>
        <v>2.1702739663609378</v>
      </c>
      <c r="O47" s="572">
        <f t="shared" si="269"/>
        <v>-2.6302153463700075</v>
      </c>
      <c r="P47" s="576">
        <f t="shared" si="270"/>
        <v>-0.45915143729548663</v>
      </c>
      <c r="Q47" s="528">
        <f t="shared" si="140"/>
        <v>309.52711967534418</v>
      </c>
      <c r="R47" s="572">
        <f t="shared" si="439"/>
        <v>3.4100032048876927</v>
      </c>
      <c r="S47" s="577">
        <f t="shared" si="440"/>
        <v>-0.45915143729548663</v>
      </c>
      <c r="T47" s="578">
        <f t="shared" si="441"/>
        <v>-2.6097137486040611</v>
      </c>
      <c r="U47" s="572">
        <f t="shared" si="442"/>
        <v>-2.1948840533593739</v>
      </c>
      <c r="V47" s="579">
        <f t="shared" si="443"/>
        <v>-0.45915143729548663</v>
      </c>
      <c r="W47" s="528">
        <f t="shared" si="253"/>
        <v>220.06531159556266</v>
      </c>
      <c r="X47" s="572">
        <f t="shared" si="444"/>
        <v>3.4100032048876927</v>
      </c>
      <c r="Y47" s="573">
        <f t="shared" si="255"/>
        <v>-0.45915143729548663</v>
      </c>
      <c r="Z47" s="575">
        <f t="shared" si="271"/>
        <v>-0.82878899656715244</v>
      </c>
      <c r="AA47" s="572">
        <f t="shared" si="272"/>
        <v>-0.49389607218351556</v>
      </c>
      <c r="AB47" s="572">
        <f t="shared" si="273"/>
        <v>-0.26301229828832773</v>
      </c>
      <c r="AC47" s="579">
        <f t="shared" si="445"/>
        <v>1</v>
      </c>
      <c r="AD47" s="580">
        <f t="shared" si="446"/>
        <v>-0.82878899656715244</v>
      </c>
      <c r="AE47" s="572">
        <f t="shared" si="447"/>
        <v>-0.49389607218351556</v>
      </c>
      <c r="AF47" s="576">
        <f t="shared" si="448"/>
        <v>-0.26301229828832773</v>
      </c>
      <c r="AG47" s="545">
        <f t="shared" si="449"/>
        <v>-61.963556416205058</v>
      </c>
      <c r="AH47" s="546">
        <f t="shared" si="450"/>
        <v>145.97453890179546</v>
      </c>
      <c r="AI47" s="528">
        <f t="shared" si="451"/>
        <v>-74.751123370676567</v>
      </c>
      <c r="AJ47" s="529">
        <f t="shared" si="452"/>
        <v>-59.208229379431778</v>
      </c>
      <c r="AK47" s="578">
        <f t="shared" si="453"/>
        <v>0.95360125191683687</v>
      </c>
      <c r="AL47" s="572">
        <f t="shared" si="454"/>
        <v>-0.14652366120095767</v>
      </c>
      <c r="AM47" s="577">
        <f t="shared" si="455"/>
        <v>-0.26301229828832773</v>
      </c>
      <c r="AN47" s="524">
        <f t="shared" si="456"/>
        <v>-29.122098100860278</v>
      </c>
      <c r="AO47" s="525">
        <f t="shared" si="116"/>
        <v>17.522031550884623</v>
      </c>
      <c r="AP47" s="528">
        <f t="shared" si="457"/>
        <v>-8.7353490547759574</v>
      </c>
      <c r="AQ47" s="529">
        <f t="shared" si="274"/>
        <v>1.336839170177387</v>
      </c>
      <c r="AS47" s="932">
        <f t="shared" si="461"/>
        <v>220.06531159556266</v>
      </c>
      <c r="AT47" s="928">
        <f t="shared" si="275"/>
        <v>-0.26834481810638366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>Nose</v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3.2189999999999999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3.1190000000000002</v>
      </c>
      <c r="IK47" s="677" cm="1">
        <f t="array" ref="IK47">IFERROR(ROUND(VALUE(IF($IJ47&lt;1,$IJ47+LARGE((IF($M$9:$M$150="",0,$M$9:$M$150)-MOD(IF($M$9:$M$150="",0,$M$9:$M$150),1)),1),$IJ47)),4),"")</f>
        <v>3.1190000000000002</v>
      </c>
      <c r="IL47" s="482">
        <f t="shared" si="426"/>
        <v>1613</v>
      </c>
      <c r="IM47" s="482">
        <f t="shared" si="237"/>
        <v>1313</v>
      </c>
      <c r="IN47" s="670">
        <f t="shared" si="427"/>
        <v>14.171459081418448</v>
      </c>
      <c r="IO47" s="702">
        <v>2.6544037760472199E-2</v>
      </c>
      <c r="IP47" s="5">
        <f t="shared" si="428"/>
        <v>0.72</v>
      </c>
      <c r="IQ47" s="714">
        <v>360</v>
      </c>
      <c r="IR47" s="9">
        <f t="shared" si="429"/>
        <v>-3.3971368047881008</v>
      </c>
      <c r="IS47" s="5">
        <f t="shared" si="430"/>
        <v>-0.47356294378527475</v>
      </c>
      <c r="IT47" s="5">
        <f t="shared" si="431"/>
        <v>0.3125</v>
      </c>
      <c r="IU47" s="5">
        <f t="shared" si="432"/>
        <v>0.29800136042345221</v>
      </c>
      <c r="IV47" s="670">
        <f t="shared" si="433"/>
        <v>29.118742089064096</v>
      </c>
      <c r="IW47" s="9">
        <f t="shared" si="434"/>
        <v>-3.4100032048876927</v>
      </c>
      <c r="IX47" s="5">
        <f t="shared" si="435"/>
        <v>-0.45915143729548663</v>
      </c>
      <c r="IY47" s="5">
        <f t="shared" si="436"/>
        <v>0.26450000000000001</v>
      </c>
      <c r="IZ47" s="5">
        <f t="shared" si="437"/>
        <v>0.25222753113200336</v>
      </c>
      <c r="JA47" s="705">
        <f t="shared" si="438"/>
        <v>29.122098100860278</v>
      </c>
    </row>
    <row r="48" spans="1:269" ht="15" customHeight="1" x14ac:dyDescent="0.25">
      <c r="A48" s="75">
        <f t="shared" si="256"/>
        <v>0.02</v>
      </c>
      <c r="B48" s="578">
        <f t="shared" si="257"/>
        <v>2.6086504931264809</v>
      </c>
      <c r="C48" s="572">
        <f t="shared" si="258"/>
        <v>-3.0138597080226015</v>
      </c>
      <c r="D48" s="576">
        <f t="shared" si="259"/>
        <v>-0.94156561139743444</v>
      </c>
      <c r="E48" s="580">
        <f t="shared" si="260"/>
        <v>0.86986729956861031</v>
      </c>
      <c r="F48" s="572">
        <f t="shared" si="261"/>
        <v>0.42294602745710419</v>
      </c>
      <c r="G48" s="579">
        <f t="shared" si="262"/>
        <v>0.25386519848035166</v>
      </c>
      <c r="H48" s="580">
        <f t="shared" si="263"/>
        <v>0.26450000000000001</v>
      </c>
      <c r="I48" s="572">
        <f t="shared" si="264"/>
        <v>0.52</v>
      </c>
      <c r="J48" s="483">
        <f t="shared" si="265"/>
        <v>3.2250000000000001</v>
      </c>
      <c r="K48" s="806">
        <f t="shared" si="266"/>
        <v>1313</v>
      </c>
      <c r="L48" s="309"/>
      <c r="M48" s="164">
        <f t="shared" si="267"/>
        <v>3.2250000000000001</v>
      </c>
      <c r="N48" s="575">
        <f t="shared" si="268"/>
        <v>2.6086504931264809</v>
      </c>
      <c r="O48" s="572">
        <f t="shared" si="269"/>
        <v>-3.0138597080226015</v>
      </c>
      <c r="P48" s="576">
        <f t="shared" si="270"/>
        <v>-0.94156561139743444</v>
      </c>
      <c r="Q48" s="528">
        <f t="shared" si="140"/>
        <v>310.87787195071536</v>
      </c>
      <c r="R48" s="572">
        <f t="shared" si="101"/>
        <v>3.9860265597372924</v>
      </c>
      <c r="S48" s="577">
        <f t="shared" si="102"/>
        <v>-0.94156561139743444</v>
      </c>
      <c r="T48" s="578">
        <f t="shared" si="103"/>
        <v>-2.9892234783605467</v>
      </c>
      <c r="U48" s="572">
        <f t="shared" si="104"/>
        <v>-2.6368448440037553</v>
      </c>
      <c r="V48" s="579">
        <f t="shared" si="141"/>
        <v>-0.94156561139743444</v>
      </c>
      <c r="W48" s="528">
        <f t="shared" si="253"/>
        <v>221.41606387093384</v>
      </c>
      <c r="X48" s="572">
        <f t="shared" si="105"/>
        <v>3.9860265597372924</v>
      </c>
      <c r="Y48" s="573">
        <f t="shared" si="255"/>
        <v>-0.94156561139743444</v>
      </c>
      <c r="Z48" s="575">
        <f t="shared" si="271"/>
        <v>-0.86986729956861031</v>
      </c>
      <c r="AA48" s="572">
        <f t="shared" si="272"/>
        <v>-0.42294602745710419</v>
      </c>
      <c r="AB48" s="572">
        <f t="shared" si="273"/>
        <v>-0.25386519848035166</v>
      </c>
      <c r="AC48" s="579">
        <f t="shared" si="106"/>
        <v>1</v>
      </c>
      <c r="AD48" s="580">
        <f t="shared" si="142"/>
        <v>-0.86986729956861031</v>
      </c>
      <c r="AE48" s="572">
        <f t="shared" si="107"/>
        <v>-0.42294602745710419</v>
      </c>
      <c r="AF48" s="576">
        <f t="shared" si="108"/>
        <v>-0.25386519848035166</v>
      </c>
      <c r="AG48" s="545">
        <f t="shared" si="109"/>
        <v>-59.026524406924302</v>
      </c>
      <c r="AH48" s="546">
        <f t="shared" si="110"/>
        <v>150.44322251643723</v>
      </c>
      <c r="AI48" s="528">
        <f t="shared" si="111"/>
        <v>-75.293646759204321</v>
      </c>
      <c r="AJ48" s="529">
        <f t="shared" si="112"/>
        <v>-64.070097649343097</v>
      </c>
      <c r="AK48" s="578">
        <f t="shared" si="238"/>
        <v>0.9345086674067784</v>
      </c>
      <c r="AL48" s="572">
        <f t="shared" si="113"/>
        <v>-0.24949150595188446</v>
      </c>
      <c r="AM48" s="577">
        <f t="shared" si="114"/>
        <v>-0.25386519848035166</v>
      </c>
      <c r="AN48" s="524">
        <f t="shared" si="115"/>
        <v>-44.502166526717595</v>
      </c>
      <c r="AO48" s="525">
        <f t="shared" si="116"/>
        <v>20.851088795337319</v>
      </c>
      <c r="AP48" s="528">
        <f t="shared" si="117"/>
        <v>-14.947969600058441</v>
      </c>
      <c r="AQ48" s="529">
        <f t="shared" si="274"/>
        <v>1.1437072967800042</v>
      </c>
      <c r="AS48" s="932">
        <f t="shared" si="461"/>
        <v>221.41606387093384</v>
      </c>
      <c r="AT48" s="928">
        <f t="shared" si="275"/>
        <v>-0.75263503703523593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>Taper</v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3.2250000000000001</v>
      </c>
      <c r="IJ48" s="674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3.125</v>
      </c>
      <c r="IK48" s="677" cm="1">
        <f t="array" ref="IK48">IFERROR(ROUND(VALUE(IF($IJ48&lt;1,$IJ48+LARGE((IF($M$9:$M$150="",0,$M$9:$M$150)-MOD(IF($M$9:$M$150="",0,$M$9:$M$150),1)),1),$IJ48)),4),"")</f>
        <v>3.125</v>
      </c>
      <c r="IL48" s="482">
        <f t="shared" si="426"/>
        <v>1613</v>
      </c>
      <c r="IM48" s="482">
        <f t="shared" si="237"/>
        <v>1313</v>
      </c>
      <c r="IN48" s="670">
        <f t="shared" si="427"/>
        <v>12.092591304062978</v>
      </c>
      <c r="IO48" s="702">
        <v>2.4397153903549101E-2</v>
      </c>
      <c r="IP48" s="5">
        <f t="shared" si="428"/>
        <v>0.88</v>
      </c>
      <c r="IQ48" s="714">
        <v>440</v>
      </c>
      <c r="IR48" s="9">
        <f t="shared" si="429"/>
        <v>-3.968490567910163</v>
      </c>
      <c r="IS48" s="5">
        <f t="shared" si="430"/>
        <v>-0.95238301810905823</v>
      </c>
      <c r="IT48" s="5">
        <f t="shared" si="431"/>
        <v>0.3125</v>
      </c>
      <c r="IU48" s="5">
        <f t="shared" si="432"/>
        <v>0.29203557189672102</v>
      </c>
      <c r="IV48" s="670">
        <f t="shared" si="433"/>
        <v>44.499946249576794</v>
      </c>
      <c r="IW48" s="9">
        <f t="shared" si="434"/>
        <v>-3.9860265597372924</v>
      </c>
      <c r="IX48" s="5">
        <f t="shared" si="435"/>
        <v>-0.94156561139743444</v>
      </c>
      <c r="IY48" s="5">
        <f t="shared" si="436"/>
        <v>0.26450000000000001</v>
      </c>
      <c r="IZ48" s="5">
        <f t="shared" si="437"/>
        <v>0.24717754252909291</v>
      </c>
      <c r="JA48" s="705">
        <f t="shared" si="438"/>
        <v>44.502166526717595</v>
      </c>
    </row>
    <row r="49" spans="1:261" ht="15" customHeight="1" x14ac:dyDescent="0.25">
      <c r="A49" s="75">
        <f t="shared" si="256"/>
        <v>0.02</v>
      </c>
      <c r="B49" s="578">
        <f t="shared" si="257"/>
        <v>2.9082032962978945</v>
      </c>
      <c r="C49" s="572">
        <f t="shared" si="258"/>
        <v>-3.2961989139016956</v>
      </c>
      <c r="D49" s="576">
        <f t="shared" si="259"/>
        <v>-1.5714679502057749</v>
      </c>
      <c r="E49" s="580">
        <f t="shared" si="260"/>
        <v>0.91818510977957513</v>
      </c>
      <c r="F49" s="572">
        <f t="shared" si="261"/>
        <v>0.33804180974312825</v>
      </c>
      <c r="G49" s="579">
        <f t="shared" si="262"/>
        <v>0.20655226710123581</v>
      </c>
      <c r="H49" s="580">
        <f t="shared" si="263"/>
        <v>0.26450000000000001</v>
      </c>
      <c r="I49" s="572">
        <f t="shared" si="264"/>
        <v>0.52</v>
      </c>
      <c r="J49" s="483">
        <f t="shared" si="265"/>
        <v>3.2309999999999999</v>
      </c>
      <c r="K49" s="806">
        <f t="shared" si="266"/>
        <v>1313</v>
      </c>
      <c r="L49" s="309"/>
      <c r="M49" s="164">
        <f t="shared" si="267"/>
        <v>3.2309999999999999</v>
      </c>
      <c r="N49" s="575">
        <f t="shared" si="268"/>
        <v>2.9082032962978945</v>
      </c>
      <c r="O49" s="572">
        <f t="shared" si="269"/>
        <v>-3.2961989139016956</v>
      </c>
      <c r="P49" s="576">
        <f t="shared" si="270"/>
        <v>-1.5714679502057749</v>
      </c>
      <c r="Q49" s="528">
        <f t="shared" si="140"/>
        <v>311.42163749066253</v>
      </c>
      <c r="R49" s="572">
        <f t="shared" si="101"/>
        <v>4.3957449530886858</v>
      </c>
      <c r="S49" s="577">
        <f t="shared" si="102"/>
        <v>-1.5714679502057749</v>
      </c>
      <c r="T49" s="578">
        <f t="shared" si="103"/>
        <v>-3.2687365042614451</v>
      </c>
      <c r="U49" s="572">
        <f t="shared" si="104"/>
        <v>-2.9390364676732608</v>
      </c>
      <c r="V49" s="579">
        <f t="shared" si="141"/>
        <v>-1.5714679502057749</v>
      </c>
      <c r="W49" s="528">
        <f t="shared" si="253"/>
        <v>221.95982941088101</v>
      </c>
      <c r="X49" s="572">
        <f t="shared" si="105"/>
        <v>4.3957449530886858</v>
      </c>
      <c r="Y49" s="573">
        <f t="shared" si="255"/>
        <v>-1.5714679502057749</v>
      </c>
      <c r="Z49" s="575">
        <f t="shared" si="271"/>
        <v>-0.91818510977957513</v>
      </c>
      <c r="AA49" s="572">
        <f t="shared" si="272"/>
        <v>-0.33804180974312825</v>
      </c>
      <c r="AB49" s="572">
        <f t="shared" si="273"/>
        <v>-0.20655226710123581</v>
      </c>
      <c r="AC49" s="579">
        <f t="shared" si="106"/>
        <v>1</v>
      </c>
      <c r="AD49" s="580">
        <f t="shared" si="142"/>
        <v>-0.91818510977957513</v>
      </c>
      <c r="AE49" s="572">
        <f t="shared" si="107"/>
        <v>-0.33804180974312825</v>
      </c>
      <c r="AF49" s="576">
        <f t="shared" si="108"/>
        <v>-0.20655226710123581</v>
      </c>
      <c r="AG49" s="545">
        <f t="shared" si="109"/>
        <v>-58.573993415420382</v>
      </c>
      <c r="AH49" s="546">
        <f t="shared" si="110"/>
        <v>156.66218312036236</v>
      </c>
      <c r="AI49" s="528">
        <f t="shared" si="111"/>
        <v>-78.079617600962138</v>
      </c>
      <c r="AJ49" s="529">
        <f t="shared" si="112"/>
        <v>-69.788158575060464</v>
      </c>
      <c r="AK49" s="578">
        <f t="shared" si="238"/>
        <v>0.91215825981447018</v>
      </c>
      <c r="AL49" s="572">
        <f t="shared" si="113"/>
        <v>-0.35398230182818052</v>
      </c>
      <c r="AM49" s="577">
        <f t="shared" si="114"/>
        <v>-0.20655226710123581</v>
      </c>
      <c r="AN49" s="524">
        <f t="shared" si="115"/>
        <v>-59.736004521697225</v>
      </c>
      <c r="AO49" s="525">
        <f t="shared" si="116"/>
        <v>24.194668033190343</v>
      </c>
      <c r="AP49" s="528">
        <f t="shared" si="117"/>
        <v>-21.209796065722998</v>
      </c>
      <c r="AQ49" s="529">
        <f t="shared" si="274"/>
        <v>1.0371291605031474</v>
      </c>
      <c r="AS49" s="932">
        <f t="shared" si="461"/>
        <v>221.95982941088101</v>
      </c>
      <c r="AT49" s="928">
        <f t="shared" si="275"/>
        <v>-1.3832926057601698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>Taper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3.2309999999999999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3.1309999999999998</v>
      </c>
      <c r="IK49" s="677" cm="1">
        <f t="array" ref="IK49">IFERROR(ROUND(VALUE(IF($IJ49&lt;1,$IJ49+LARGE((IF($M$9:$M$150="",0,$M$9:$M$150)-MOD(IF($M$9:$M$150="",0,$M$9:$M$150),1)),1),$IJ49)),4),"")</f>
        <v>3.1309999999999998</v>
      </c>
      <c r="IL49" s="482">
        <f t="shared" si="426"/>
        <v>1613</v>
      </c>
      <c r="IM49" s="482">
        <f t="shared" si="237"/>
        <v>1313</v>
      </c>
      <c r="IN49" s="670">
        <f t="shared" si="427"/>
        <v>10.949810461427091</v>
      </c>
      <c r="IO49" s="702">
        <v>2.26544620671872E-2</v>
      </c>
      <c r="IP49" s="5">
        <f t="shared" si="428"/>
        <v>1.06</v>
      </c>
      <c r="IQ49" s="714">
        <v>530</v>
      </c>
      <c r="IR49" s="9">
        <f t="shared" si="429"/>
        <v>-4.3752091699871158</v>
      </c>
      <c r="IS49" s="5">
        <f t="shared" si="430"/>
        <v>-1.5772405343241533</v>
      </c>
      <c r="IT49" s="5">
        <f t="shared" si="431"/>
        <v>0.3125</v>
      </c>
      <c r="IU49" s="5">
        <f t="shared" si="432"/>
        <v>0.28505160749689151</v>
      </c>
      <c r="IV49" s="670">
        <f t="shared" si="433"/>
        <v>59.734754558642074</v>
      </c>
      <c r="IW49" s="9">
        <f t="shared" si="434"/>
        <v>-4.3957449530886858</v>
      </c>
      <c r="IX49" s="5">
        <f t="shared" si="435"/>
        <v>-1.5714679502057749</v>
      </c>
      <c r="IY49" s="5">
        <f t="shared" si="436"/>
        <v>0.26450000000000001</v>
      </c>
      <c r="IZ49" s="5">
        <f t="shared" si="437"/>
        <v>0.24126585972092737</v>
      </c>
      <c r="JA49" s="705">
        <f t="shared" si="438"/>
        <v>59.736004521697225</v>
      </c>
    </row>
    <row r="50" spans="1:261" ht="15" customHeight="1" x14ac:dyDescent="0.25">
      <c r="A50" s="75">
        <f t="shared" si="256"/>
        <v>0.02</v>
      </c>
      <c r="B50" s="578">
        <f t="shared" si="257"/>
        <v>2.959127518036297</v>
      </c>
      <c r="C50" s="572">
        <f t="shared" si="258"/>
        <v>-3.5455733654781127</v>
      </c>
      <c r="D50" s="576">
        <f t="shared" si="259"/>
        <v>-2.2902810869573411</v>
      </c>
      <c r="E50" s="580">
        <f t="shared" si="260"/>
        <v>0.96680035675680231</v>
      </c>
      <c r="F50" s="572">
        <f t="shared" si="261"/>
        <v>0.22531037070957818</v>
      </c>
      <c r="G50" s="579">
        <f t="shared" si="262"/>
        <v>0.12055001877076714</v>
      </c>
      <c r="H50" s="580">
        <f t="shared" si="263"/>
        <v>0.26450000000000001</v>
      </c>
      <c r="I50" s="572">
        <f t="shared" si="264"/>
        <v>0.52</v>
      </c>
      <c r="J50" s="483">
        <f t="shared" si="265"/>
        <v>3.2370000000000001</v>
      </c>
      <c r="K50" s="806">
        <f t="shared" si="266"/>
        <v>1313</v>
      </c>
      <c r="L50" s="309"/>
      <c r="M50" s="164">
        <f t="shared" si="267"/>
        <v>3.2370000000000001</v>
      </c>
      <c r="N50" s="575">
        <f t="shared" si="268"/>
        <v>2.959127518036297</v>
      </c>
      <c r="O50" s="572">
        <f t="shared" si="269"/>
        <v>-3.5455733654781127</v>
      </c>
      <c r="P50" s="576">
        <f t="shared" si="270"/>
        <v>-2.2902810869573411</v>
      </c>
      <c r="Q50" s="528">
        <f t="shared" si="140"/>
        <v>309.84829904031892</v>
      </c>
      <c r="R50" s="572">
        <f t="shared" si="101"/>
        <v>4.6181734655583746</v>
      </c>
      <c r="S50" s="577">
        <f t="shared" si="102"/>
        <v>-2.2902810869573411</v>
      </c>
      <c r="T50" s="578">
        <f t="shared" si="103"/>
        <v>-3.5176216190048799</v>
      </c>
      <c r="U50" s="572">
        <f t="shared" si="104"/>
        <v>-2.9923008377328868</v>
      </c>
      <c r="V50" s="579">
        <f t="shared" si="141"/>
        <v>-2.2902810869573411</v>
      </c>
      <c r="W50" s="528">
        <f t="shared" si="253"/>
        <v>220.3864909605374</v>
      </c>
      <c r="X50" s="572">
        <f t="shared" si="105"/>
        <v>4.6181734655583746</v>
      </c>
      <c r="Y50" s="573">
        <f t="shared" si="255"/>
        <v>-2.2902810869573411</v>
      </c>
      <c r="Z50" s="575">
        <f t="shared" si="271"/>
        <v>-0.96680035675680231</v>
      </c>
      <c r="AA50" s="572">
        <f t="shared" si="272"/>
        <v>-0.22531037070957818</v>
      </c>
      <c r="AB50" s="572">
        <f t="shared" si="273"/>
        <v>-0.12055001877076714</v>
      </c>
      <c r="AC50" s="579">
        <f t="shared" si="106"/>
        <v>1</v>
      </c>
      <c r="AD50" s="580">
        <f t="shared" si="142"/>
        <v>-0.96680035675680231</v>
      </c>
      <c r="AE50" s="572">
        <f t="shared" si="107"/>
        <v>-0.22531037070957818</v>
      </c>
      <c r="AF50" s="576">
        <f t="shared" si="108"/>
        <v>-0.12055001877076714</v>
      </c>
      <c r="AG50" s="545">
        <f t="shared" si="109"/>
        <v>-61.851445286205596</v>
      </c>
      <c r="AH50" s="546">
        <f t="shared" si="110"/>
        <v>165.19483490119444</v>
      </c>
      <c r="AI50" s="528">
        <f t="shared" si="111"/>
        <v>-83.076153222554581</v>
      </c>
      <c r="AJ50" s="529">
        <f t="shared" si="112"/>
        <v>-76.881512110159107</v>
      </c>
      <c r="AK50" s="578">
        <f t="shared" si="238"/>
        <v>0.88662406106095892</v>
      </c>
      <c r="AL50" s="572">
        <f t="shared" si="113"/>
        <v>-0.44650360280981027</v>
      </c>
      <c r="AM50" s="577">
        <f t="shared" si="114"/>
        <v>-0.12055001877076714</v>
      </c>
      <c r="AN50" s="524">
        <f t="shared" si="115"/>
        <v>-74.891136988870954</v>
      </c>
      <c r="AO50" s="525">
        <f t="shared" si="116"/>
        <v>27.547953825498922</v>
      </c>
      <c r="AP50" s="528">
        <f t="shared" si="117"/>
        <v>-26.729811150478035</v>
      </c>
      <c r="AQ50" s="529">
        <f t="shared" si="274"/>
        <v>0.98718727515209048</v>
      </c>
      <c r="AS50" s="932">
        <f t="shared" si="461"/>
        <v>220.3864909605374</v>
      </c>
      <c r="AT50" s="928">
        <f t="shared" si="275"/>
        <v>-2.0999205502195921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>Taper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3.2370000000000001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3.137</v>
      </c>
      <c r="IK50" s="677" cm="1">
        <f t="array" ref="IK50">IFERROR(ROUND(VALUE(IF($IJ50&lt;1,$IJ50+LARGE((IF($M$9:$M$150="",0,$M$9:$M$150)-MOD(IF($M$9:$M$150="",0,$M$9:$M$150),1)),1),$IJ50)),4),"")</f>
        <v>3.137</v>
      </c>
      <c r="IL50" s="482">
        <f t="shared" si="426"/>
        <v>1613</v>
      </c>
      <c r="IM50" s="482">
        <f t="shared" si="237"/>
        <v>1313</v>
      </c>
      <c r="IN50" s="670">
        <f t="shared" si="427"/>
        <v>12.191056804208813</v>
      </c>
      <c r="IO50" s="702">
        <v>2.1183654630182701E-2</v>
      </c>
      <c r="IP50" s="5">
        <f t="shared" si="428"/>
        <v>1.1399999999999999</v>
      </c>
      <c r="IQ50" s="714">
        <v>570</v>
      </c>
      <c r="IR50" s="9">
        <f t="shared" si="429"/>
        <v>-4.5964638899832382</v>
      </c>
      <c r="IS50" s="5">
        <f t="shared" si="430"/>
        <v>-2.2893247950186217</v>
      </c>
      <c r="IT50" s="5">
        <f t="shared" si="431"/>
        <v>0.3125</v>
      </c>
      <c r="IU50" s="5">
        <f t="shared" si="432"/>
        <v>0.27707254462573444</v>
      </c>
      <c r="IV50" s="670">
        <f t="shared" si="433"/>
        <v>74.890618752992069</v>
      </c>
      <c r="IW50" s="9">
        <f t="shared" si="434"/>
        <v>-4.6181734655583746</v>
      </c>
      <c r="IX50" s="5">
        <f t="shared" si="435"/>
        <v>-2.2902810869573411</v>
      </c>
      <c r="IY50" s="5">
        <f t="shared" si="436"/>
        <v>0.26450000000000001</v>
      </c>
      <c r="IZ50" s="5">
        <f t="shared" si="437"/>
        <v>0.23451206415062364</v>
      </c>
      <c r="JA50" s="705">
        <f t="shared" si="438"/>
        <v>74.891136988870954</v>
      </c>
    </row>
    <row r="51" spans="1:261" ht="15" customHeight="1" x14ac:dyDescent="0.25">
      <c r="A51" s="75">
        <f t="shared" si="256"/>
        <v>0</v>
      </c>
      <c r="B51" s="578">
        <f t="shared" si="257"/>
        <v>2.549563914816309</v>
      </c>
      <c r="C51" s="572">
        <f t="shared" si="258"/>
        <v>-3.9093455760986946</v>
      </c>
      <c r="D51" s="576">
        <f t="shared" si="259"/>
        <v>-3.1090747033886283</v>
      </c>
      <c r="E51" s="580">
        <f t="shared" si="260"/>
        <v>0.54418766579326228</v>
      </c>
      <c r="F51" s="572">
        <f t="shared" si="261"/>
        <v>-0.83442412699414259</v>
      </c>
      <c r="G51" s="579">
        <f t="shared" si="262"/>
        <v>8.7155956127758921E-2</v>
      </c>
      <c r="H51" s="580">
        <f t="shared" si="263"/>
        <v>0.255</v>
      </c>
      <c r="I51" s="572">
        <f t="shared" si="264"/>
        <v>0.41499999999999992</v>
      </c>
      <c r="J51" s="483">
        <f t="shared" si="265"/>
        <v>3.2429999999999999</v>
      </c>
      <c r="K51" s="806" t="str">
        <f t="shared" si="266"/>
        <v>CPS-32193r1</v>
      </c>
      <c r="L51" s="309"/>
      <c r="M51" s="164">
        <f t="shared" si="267"/>
        <v>3.2429999999999999</v>
      </c>
      <c r="N51" s="575">
        <f t="shared" si="268"/>
        <v>2.549563914816309</v>
      </c>
      <c r="O51" s="572">
        <f t="shared" si="269"/>
        <v>-3.9093455760986946</v>
      </c>
      <c r="P51" s="576">
        <f t="shared" si="270"/>
        <v>-3.1090747033886283</v>
      </c>
      <c r="Q51" s="528">
        <f t="shared" si="140"/>
        <v>303.11124646590383</v>
      </c>
      <c r="R51" s="572">
        <f t="shared" si="101"/>
        <v>4.6672539023601338</v>
      </c>
      <c r="S51" s="577">
        <f t="shared" si="102"/>
        <v>-3.1090747033886283</v>
      </c>
      <c r="T51" s="578">
        <f t="shared" si="103"/>
        <v>-3.8852248463308814</v>
      </c>
      <c r="U51" s="572">
        <f t="shared" si="104"/>
        <v>-2.586172245336547</v>
      </c>
      <c r="V51" s="579">
        <f t="shared" si="141"/>
        <v>-3.1090747033886283</v>
      </c>
      <c r="W51" s="528">
        <f t="shared" si="253"/>
        <v>213.64943838612231</v>
      </c>
      <c r="X51" s="572">
        <f t="shared" si="105"/>
        <v>4.6672539023601338</v>
      </c>
      <c r="Y51" s="573">
        <f t="shared" si="255"/>
        <v>-3.1090747033886283</v>
      </c>
      <c r="Z51" s="575">
        <f t="shared" si="271"/>
        <v>-0.54418766579326228</v>
      </c>
      <c r="AA51" s="572">
        <f t="shared" si="272"/>
        <v>0.83442412699414259</v>
      </c>
      <c r="AB51" s="572">
        <f t="shared" si="273"/>
        <v>-8.7155956127758921E-2</v>
      </c>
      <c r="AC51" s="579">
        <f t="shared" si="106"/>
        <v>1</v>
      </c>
      <c r="AD51" s="580">
        <f t="shared" si="142"/>
        <v>-0.54418766579326228</v>
      </c>
      <c r="AE51" s="572">
        <f t="shared" si="107"/>
        <v>0.83442412699414259</v>
      </c>
      <c r="AF51" s="576">
        <f t="shared" si="108"/>
        <v>-8.7155956127758921E-2</v>
      </c>
      <c r="AG51" s="545">
        <f t="shared" si="109"/>
        <v>84.037053683123091</v>
      </c>
      <c r="AH51" s="546">
        <f t="shared" si="110"/>
        <v>122.96916902082152</v>
      </c>
      <c r="AI51" s="528">
        <f t="shared" si="111"/>
        <v>-84.999987727520178</v>
      </c>
      <c r="AJ51" s="529">
        <f t="shared" si="112"/>
        <v>-146.88875353409617</v>
      </c>
      <c r="AK51" s="578">
        <f t="shared" si="238"/>
        <v>1.6653345369377348E-16</v>
      </c>
      <c r="AL51" s="572">
        <f t="shared" si="113"/>
        <v>-0.99619467942338269</v>
      </c>
      <c r="AM51" s="577">
        <f t="shared" si="114"/>
        <v>-8.7155956127758921E-2</v>
      </c>
      <c r="AN51" s="524">
        <f t="shared" si="115"/>
        <v>-84.999987727520192</v>
      </c>
      <c r="AO51" s="525">
        <f t="shared" si="116"/>
        <v>0</v>
      </c>
      <c r="AP51" s="528">
        <f t="shared" si="117"/>
        <v>-90</v>
      </c>
      <c r="AQ51" s="529">
        <f t="shared" si="274"/>
        <v>0.97680812158684505</v>
      </c>
      <c r="AS51" s="932">
        <f t="shared" si="461"/>
        <v>213.64943838612231</v>
      </c>
      <c r="AT51" s="928">
        <f t="shared" si="275"/>
        <v>-2.9093571491864139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>Gage</v>
      </c>
      <c r="II51" s="788">
        <f t="shared" si="236"/>
        <v>3.2429999999999999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3.1429999999999998</v>
      </c>
      <c r="IK51" s="677" cm="1">
        <f t="array" ref="IK51">IFERROR(ROUND(VALUE(IF($IJ51&lt;1,$IJ51+LARGE((IF($M$9:$M$150="",0,$M$9:$M$150)-MOD(IF($M$9:$M$150="",0,$M$9:$M$150),1)),1),$IJ51)),4),"")</f>
        <v>3.1429999999999998</v>
      </c>
      <c r="IL51" s="482">
        <f t="shared" si="426"/>
        <v>1613</v>
      </c>
      <c r="IM51" s="482" t="str">
        <f t="shared" si="237"/>
        <v>CPS-32193r1</v>
      </c>
      <c r="IN51" s="670">
        <f t="shared" si="427"/>
        <v>18.78674275973998</v>
      </c>
      <c r="IO51" s="702">
        <v>3.0287383208674402E-2</v>
      </c>
      <c r="IP51" s="5">
        <f t="shared" si="428"/>
        <v>1.44</v>
      </c>
      <c r="IQ51" s="714">
        <v>720</v>
      </c>
      <c r="IR51" s="9">
        <f t="shared" si="429"/>
        <v>-4.681598395711621</v>
      </c>
      <c r="IS51" s="5">
        <f t="shared" si="430"/>
        <v>-3.0919902070663876</v>
      </c>
      <c r="IT51" s="5">
        <f t="shared" si="431"/>
        <v>0.3125</v>
      </c>
      <c r="IU51" s="5">
        <f t="shared" si="432"/>
        <v>0.27120698830943968</v>
      </c>
      <c r="IV51" s="670">
        <f t="shared" si="433"/>
        <v>84.967735525253474</v>
      </c>
      <c r="IW51" s="9">
        <f t="shared" si="434"/>
        <v>-4.6672539023601338</v>
      </c>
      <c r="IX51" s="5">
        <f t="shared" si="435"/>
        <v>-3.1090747033886283</v>
      </c>
      <c r="IY51" s="5">
        <f t="shared" si="436"/>
        <v>0.255</v>
      </c>
      <c r="IZ51" s="5">
        <f t="shared" si="437"/>
        <v>0.255</v>
      </c>
      <c r="JA51" s="705">
        <f t="shared" si="438"/>
        <v>84.999987727520192</v>
      </c>
    </row>
    <row r="52" spans="1:261" ht="15" customHeight="1" x14ac:dyDescent="0.25">
      <c r="A52" s="75">
        <f t="shared" si="256"/>
        <v>0.02</v>
      </c>
      <c r="B52" s="578">
        <f t="shared" si="257"/>
        <v>-0.29656322300241644</v>
      </c>
      <c r="C52" s="572">
        <f t="shared" si="258"/>
        <v>-2.5644027795065454</v>
      </c>
      <c r="D52" s="576">
        <f t="shared" si="259"/>
        <v>-0.17708299062763752</v>
      </c>
      <c r="E52" s="580">
        <f t="shared" si="260"/>
        <v>0.94928136182383838</v>
      </c>
      <c r="F52" s="572">
        <f t="shared" si="261"/>
        <v>-0.16262890398991914</v>
      </c>
      <c r="G52" s="579">
        <f t="shared" si="262"/>
        <v>0.26910357797865947</v>
      </c>
      <c r="H52" s="580">
        <f t="shared" si="263"/>
        <v>0.3125</v>
      </c>
      <c r="I52" s="572">
        <f t="shared" si="264"/>
        <v>0.52</v>
      </c>
      <c r="J52" s="483">
        <f t="shared" si="265"/>
        <v>4.1120000000000001</v>
      </c>
      <c r="K52" s="806">
        <f t="shared" si="266"/>
        <v>1613</v>
      </c>
      <c r="L52" s="309"/>
      <c r="M52" s="164">
        <f t="shared" si="267"/>
        <v>4.1120000000000001</v>
      </c>
      <c r="N52" s="575">
        <f t="shared" si="268"/>
        <v>-0.29656322300241644</v>
      </c>
      <c r="O52" s="572">
        <f t="shared" si="269"/>
        <v>-2.5644027795065454</v>
      </c>
      <c r="P52" s="576">
        <f t="shared" si="270"/>
        <v>-0.17708299062763752</v>
      </c>
      <c r="Q52" s="528">
        <f t="shared" si="140"/>
        <v>263.40326972186904</v>
      </c>
      <c r="R52" s="572">
        <f t="shared" si="101"/>
        <v>2.5814940171882013</v>
      </c>
      <c r="S52" s="577">
        <f t="shared" si="102"/>
        <v>-0.17708299062763752</v>
      </c>
      <c r="T52" s="578">
        <f t="shared" si="103"/>
        <v>-2.5670752913088943</v>
      </c>
      <c r="U52" s="572">
        <f t="shared" si="104"/>
        <v>0.27246249196877226</v>
      </c>
      <c r="V52" s="579">
        <f t="shared" si="141"/>
        <v>-0.17708299062763752</v>
      </c>
      <c r="W52" s="528">
        <f t="shared" si="253"/>
        <v>173.94146164208752</v>
      </c>
      <c r="X52" s="572">
        <f t="shared" si="105"/>
        <v>2.5814940171882013</v>
      </c>
      <c r="Y52" s="573">
        <f t="shared" si="255"/>
        <v>-0.17708299062763752</v>
      </c>
      <c r="Z52" s="575">
        <f t="shared" si="271"/>
        <v>-0.94928136182383838</v>
      </c>
      <c r="AA52" s="572">
        <f t="shared" si="272"/>
        <v>0.16262890398991914</v>
      </c>
      <c r="AB52" s="572">
        <f t="shared" si="273"/>
        <v>-0.26910357797865947</v>
      </c>
      <c r="AC52" s="579">
        <f t="shared" si="106"/>
        <v>1</v>
      </c>
      <c r="AD52" s="580">
        <f t="shared" si="142"/>
        <v>-0.94928136182383838</v>
      </c>
      <c r="AE52" s="572">
        <f t="shared" si="107"/>
        <v>0.16262890398991914</v>
      </c>
      <c r="AF52" s="576">
        <f t="shared" si="108"/>
        <v>-0.26910357797865947</v>
      </c>
      <c r="AG52" s="545">
        <f t="shared" si="109"/>
        <v>31.146067729917934</v>
      </c>
      <c r="AH52" s="546">
        <f t="shared" si="110"/>
        <v>161.67372068525634</v>
      </c>
      <c r="AI52" s="528">
        <f t="shared" si="111"/>
        <v>-74.38906851009726</v>
      </c>
      <c r="AJ52" s="529">
        <f t="shared" si="112"/>
        <v>-99.721419314551824</v>
      </c>
      <c r="AK52" s="578">
        <f t="shared" si="238"/>
        <v>0.96167936016348377</v>
      </c>
      <c r="AL52" s="572">
        <f t="shared" si="113"/>
        <v>-5.2498310016951447E-2</v>
      </c>
      <c r="AM52" s="577">
        <f t="shared" si="114"/>
        <v>-0.26910357797865947</v>
      </c>
      <c r="AN52" s="524">
        <f t="shared" si="115"/>
        <v>-11.038949585803891</v>
      </c>
      <c r="AO52" s="525">
        <f t="shared" si="116"/>
        <v>15.912950944662017</v>
      </c>
      <c r="AP52" s="528">
        <f t="shared" si="117"/>
        <v>-3.1246890364208677</v>
      </c>
      <c r="AQ52" s="529">
        <f t="shared" si="274"/>
        <v>1.7656480507412384</v>
      </c>
      <c r="AS52" s="932">
        <f t="shared" si="461"/>
        <v>173.94146164208752</v>
      </c>
      <c r="AT52" s="928">
        <f t="shared" si="275"/>
        <v>7.778453127462534E-2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4.1120000000000001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26"/>
        <v>1613</v>
      </c>
      <c r="IM52" s="482" t="str">
        <f t="shared" si="237"/>
        <v/>
      </c>
      <c r="IN52" s="670" t="str">
        <f t="shared" si="427"/>
        <v/>
      </c>
      <c r="IO52" s="702"/>
      <c r="IP52" s="5" t="str">
        <f t="shared" si="428"/>
        <v/>
      </c>
      <c r="IQ52" s="714"/>
      <c r="IR52" s="9" t="str">
        <f t="shared" si="429"/>
        <v/>
      </c>
      <c r="IS52" s="5" t="str">
        <f t="shared" si="430"/>
        <v/>
      </c>
      <c r="IT52" s="5" t="str">
        <f t="shared" si="431"/>
        <v/>
      </c>
      <c r="IU52" s="5" t="str">
        <f t="shared" si="432"/>
        <v/>
      </c>
      <c r="IV52" s="670" t="str">
        <f t="shared" si="433"/>
        <v/>
      </c>
      <c r="IW52" s="9" t="str">
        <f t="shared" si="434"/>
        <v/>
      </c>
      <c r="IX52" s="5" t="str">
        <f t="shared" si="435"/>
        <v/>
      </c>
      <c r="IY52" s="5" t="str">
        <f t="shared" si="436"/>
        <v/>
      </c>
      <c r="IZ52" s="5" t="str">
        <f t="shared" si="437"/>
        <v/>
      </c>
      <c r="JA52" s="705" t="str">
        <f t="shared" si="438"/>
        <v/>
      </c>
    </row>
    <row r="53" spans="1:261" ht="15" customHeight="1" x14ac:dyDescent="0.25">
      <c r="A53" s="75">
        <f t="shared" si="256"/>
        <v>0.02</v>
      </c>
      <c r="B53" s="578">
        <f t="shared" si="257"/>
        <v>-0.41119982433310265</v>
      </c>
      <c r="C53" s="572">
        <f t="shared" si="258"/>
        <v>-3.2627473741502961</v>
      </c>
      <c r="D53" s="576">
        <f t="shared" si="259"/>
        <v>-0.4122245951838146</v>
      </c>
      <c r="E53" s="580">
        <f t="shared" si="260"/>
        <v>0.93265629180194831</v>
      </c>
      <c r="F53" s="572">
        <f t="shared" si="261"/>
        <v>-0.24894243497651788</v>
      </c>
      <c r="G53" s="579">
        <f t="shared" si="262"/>
        <v>0.26111282126736224</v>
      </c>
      <c r="H53" s="580">
        <f t="shared" si="263"/>
        <v>0.3125</v>
      </c>
      <c r="I53" s="572">
        <f t="shared" si="264"/>
        <v>0.52</v>
      </c>
      <c r="J53" s="483">
        <f t="shared" si="265"/>
        <v>4.1180000000000003</v>
      </c>
      <c r="K53" s="806">
        <f t="shared" si="266"/>
        <v>1613</v>
      </c>
      <c r="L53" s="309"/>
      <c r="M53" s="164">
        <f t="shared" si="267"/>
        <v>4.1180000000000003</v>
      </c>
      <c r="N53" s="575">
        <f t="shared" si="268"/>
        <v>-0.41119982433310265</v>
      </c>
      <c r="O53" s="572">
        <f t="shared" si="269"/>
        <v>-3.2627473741502961</v>
      </c>
      <c r="P53" s="576">
        <f t="shared" si="270"/>
        <v>-0.4122245951838146</v>
      </c>
      <c r="Q53" s="528">
        <f t="shared" si="140"/>
        <v>262.81695737311532</v>
      </c>
      <c r="R53" s="572">
        <f t="shared" ref="R53:R58" si="464">IF(M53="","",SQRT(N53^2+O53^2))</f>
        <v>3.2885567842225605</v>
      </c>
      <c r="S53" s="577">
        <f t="shared" ref="S53:S58" si="465">IF(M53="","",P53)</f>
        <v>-0.4122245951838146</v>
      </c>
      <c r="T53" s="578">
        <f t="shared" ref="T53:T58" si="466">IF(M53="","",X53*COS(RADIANS(W53)))</f>
        <v>-3.2664658688970798</v>
      </c>
      <c r="U53" s="572">
        <f t="shared" ref="U53:U58" si="467">IF(M53="","",X53*SIN(RADIANS(W53)))</f>
        <v>0.38053442733434112</v>
      </c>
      <c r="V53" s="579">
        <f t="shared" ref="V53:V58" si="468">IF(M53="","",Y53)</f>
        <v>-0.4122245951838146</v>
      </c>
      <c r="W53" s="528">
        <f t="shared" si="253"/>
        <v>173.3551492933338</v>
      </c>
      <c r="X53" s="572">
        <f t="shared" ref="X53:X58" si="469">IF(M53="","",R53)</f>
        <v>3.2885567842225605</v>
      </c>
      <c r="Y53" s="573">
        <f t="shared" si="255"/>
        <v>-0.4122245951838146</v>
      </c>
      <c r="Z53" s="575">
        <f t="shared" si="271"/>
        <v>-0.93265629180194831</v>
      </c>
      <c r="AA53" s="572">
        <f t="shared" si="272"/>
        <v>0.24894243497651788</v>
      </c>
      <c r="AB53" s="572">
        <f t="shared" si="273"/>
        <v>-0.26111282126736224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-0.93265629180194831</v>
      </c>
      <c r="AE53" s="572">
        <f t="shared" ref="AE53:AE58" si="472">IF(M53="","",AA53*(1/SQRT(Z53^2+AA53^2+AB53^2)))</f>
        <v>0.24894243497651788</v>
      </c>
      <c r="AF53" s="576">
        <f t="shared" ref="AF53:AF58" si="473">IF(M53="","",AB53*(1/SQRT(Z53^2+AA53^2+AB53^2)))</f>
        <v>-0.26111282126736224</v>
      </c>
      <c r="AG53" s="545">
        <f t="shared" ref="AG53:AG58" si="474">IF(M53="","",DEGREES(ATAN2(-AF53,AE53)))</f>
        <v>43.633129509888846</v>
      </c>
      <c r="AH53" s="546">
        <f t="shared" ref="AH53:AH58" si="475">IF(M53="","",DEGREES(ACOS(AD53)))</f>
        <v>158.85274238578037</v>
      </c>
      <c r="AI53" s="528">
        <f t="shared" ref="AI53:AI58" si="476">IF(M53="","",DEGREES(-ACOS(-AF53)))</f>
        <v>-74.863896737851391</v>
      </c>
      <c r="AJ53" s="529">
        <f t="shared" ref="AJ53:AJ58" si="477">IF(M53="","",DEGREES(ATAN2(-AE53,AD53)))</f>
        <v>-104.94484245096392</v>
      </c>
      <c r="AK53" s="578">
        <f t="shared" ref="AK53:AK58" si="478">IF(M53="","",(COS(RADIANS((90-$Q$8)-W53))*AD53)+(-SIN(RADIANS((90-$Q$8)-W53))*AE53))</f>
        <v>0.95646423613042508</v>
      </c>
      <c r="AL53" s="572">
        <f t="shared" ref="AL53:AL58" si="479">IF(M53="","",(SIN(RADIANS((90-$Q$8)-W53))*AD53)+(COS(RADIANS((90-$Q$8)-W53))*AE53))</f>
        <v>-0.13036970343312651</v>
      </c>
      <c r="AM53" s="577">
        <f t="shared" ref="AM53:AM58" si="480">IF(M53="","",AF53)</f>
        <v>-0.26111282126736224</v>
      </c>
      <c r="AN53" s="524">
        <f t="shared" ref="AN53:AN58" si="481">IF(M53="","",DEGREES(ATAN2(-AM53,AL53)))</f>
        <v>-26.532266593200465</v>
      </c>
      <c r="AO53" s="525">
        <f t="shared" si="116"/>
        <v>16.96871890548951</v>
      </c>
      <c r="AP53" s="528">
        <f t="shared" ref="AP53:AP58" si="482">IF(M53="","",DEGREES(ATAN2(AK53,AL53)))</f>
        <v>-7.761799824079227</v>
      </c>
      <c r="AQ53" s="529">
        <f t="shared" si="274"/>
        <v>1.3861897284421629</v>
      </c>
      <c r="AS53" s="932">
        <f t="shared" si="461"/>
        <v>173.3551492933338</v>
      </c>
      <c r="AT53" s="928">
        <f t="shared" si="275"/>
        <v>-0.15654275057494937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4.1180000000000003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26"/>
        <v>1613</v>
      </c>
      <c r="IM53" s="482" t="str">
        <f t="shared" si="237"/>
        <v/>
      </c>
      <c r="IN53" s="670" t="str">
        <f t="shared" si="427"/>
        <v/>
      </c>
      <c r="IO53" s="702"/>
      <c r="IP53" s="5" t="str">
        <f t="shared" si="428"/>
        <v/>
      </c>
      <c r="IQ53" s="714"/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70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705" t="str">
        <f t="shared" si="438"/>
        <v/>
      </c>
    </row>
    <row r="54" spans="1:261" ht="15" customHeight="1" x14ac:dyDescent="0.25">
      <c r="A54" s="75">
        <f t="shared" si="256"/>
        <v>0.02</v>
      </c>
      <c r="B54" s="578">
        <f t="shared" si="257"/>
        <v>-0.53491543953132648</v>
      </c>
      <c r="C54" s="572">
        <f t="shared" si="258"/>
        <v>-3.846827968830961</v>
      </c>
      <c r="D54" s="576">
        <f t="shared" si="259"/>
        <v>-0.86076424668230866</v>
      </c>
      <c r="E54" s="580">
        <f t="shared" si="260"/>
        <v>0.89705254934743606</v>
      </c>
      <c r="F54" s="572">
        <f t="shared" si="261"/>
        <v>-0.35882300068300227</v>
      </c>
      <c r="G54" s="579">
        <f t="shared" si="262"/>
        <v>0.25795886860139539</v>
      </c>
      <c r="H54" s="580">
        <f t="shared" si="263"/>
        <v>0.3125</v>
      </c>
      <c r="I54" s="572">
        <f t="shared" si="264"/>
        <v>0.52</v>
      </c>
      <c r="J54" s="483">
        <f t="shared" si="265"/>
        <v>4.1239999999999997</v>
      </c>
      <c r="K54" s="806">
        <f t="shared" si="266"/>
        <v>1613</v>
      </c>
      <c r="L54" s="309"/>
      <c r="M54" s="164">
        <f t="shared" si="267"/>
        <v>4.1239999999999997</v>
      </c>
      <c r="N54" s="575">
        <f t="shared" si="268"/>
        <v>-0.53491543953132648</v>
      </c>
      <c r="O54" s="572">
        <f t="shared" si="269"/>
        <v>-3.846827968830961</v>
      </c>
      <c r="P54" s="576">
        <f t="shared" si="270"/>
        <v>-0.86076424668230866</v>
      </c>
      <c r="Q54" s="528">
        <f t="shared" si="140"/>
        <v>262.08357648850955</v>
      </c>
      <c r="R54" s="572">
        <f t="shared" si="464"/>
        <v>3.8838408758893723</v>
      </c>
      <c r="S54" s="577">
        <f t="shared" si="465"/>
        <v>-0.86076424668230866</v>
      </c>
      <c r="T54" s="578">
        <f t="shared" si="466"/>
        <v>-3.8516827673198439</v>
      </c>
      <c r="U54" s="572">
        <f t="shared" si="467"/>
        <v>0.49875826726027656</v>
      </c>
      <c r="V54" s="579">
        <f t="shared" si="468"/>
        <v>-0.86076424668230866</v>
      </c>
      <c r="W54" s="528">
        <f t="shared" si="253"/>
        <v>172.62176840872803</v>
      </c>
      <c r="X54" s="572">
        <f t="shared" si="469"/>
        <v>3.8838408758893723</v>
      </c>
      <c r="Y54" s="573">
        <f t="shared" si="255"/>
        <v>-0.86076424668230866</v>
      </c>
      <c r="Z54" s="575">
        <f t="shared" si="271"/>
        <v>-0.89705254934743606</v>
      </c>
      <c r="AA54" s="572">
        <f t="shared" si="272"/>
        <v>0.35882300068300227</v>
      </c>
      <c r="AB54" s="572">
        <f t="shared" si="273"/>
        <v>-0.25795886860139539</v>
      </c>
      <c r="AC54" s="579">
        <f t="shared" si="470"/>
        <v>1</v>
      </c>
      <c r="AD54" s="580">
        <f t="shared" si="471"/>
        <v>-0.89705254934743606</v>
      </c>
      <c r="AE54" s="572">
        <f t="shared" si="472"/>
        <v>0.35882300068300227</v>
      </c>
      <c r="AF54" s="576">
        <f t="shared" si="473"/>
        <v>-0.25795886860139539</v>
      </c>
      <c r="AG54" s="545">
        <f t="shared" si="474"/>
        <v>54.287535460752082</v>
      </c>
      <c r="AH54" s="546">
        <f t="shared" si="475"/>
        <v>153.7733026062015</v>
      </c>
      <c r="AI54" s="528">
        <f t="shared" si="476"/>
        <v>-75.051016972250338</v>
      </c>
      <c r="AJ54" s="529">
        <f t="shared" si="477"/>
        <v>-111.80151855969687</v>
      </c>
      <c r="AK54" s="578">
        <f t="shared" si="478"/>
        <v>0.93792380168792744</v>
      </c>
      <c r="AL54" s="572">
        <f t="shared" si="479"/>
        <v>-0.23185375635765171</v>
      </c>
      <c r="AM54" s="577">
        <f t="shared" si="480"/>
        <v>-0.25795886860139539</v>
      </c>
      <c r="AN54" s="524">
        <f t="shared" si="481"/>
        <v>-41.94924363130859</v>
      </c>
      <c r="AO54" s="525">
        <f t="shared" si="116"/>
        <v>20.294240984608646</v>
      </c>
      <c r="AP54" s="528">
        <f t="shared" si="482"/>
        <v>-13.885095048206434</v>
      </c>
      <c r="AQ54" s="529">
        <f t="shared" si="274"/>
        <v>1.1737904638087941</v>
      </c>
      <c r="AS54" s="932">
        <f t="shared" si="461"/>
        <v>172.62176840872803</v>
      </c>
      <c r="AT54" s="928">
        <f t="shared" si="275"/>
        <v>-0.60406381751149096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4.1239999999999997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26"/>
        <v>1613</v>
      </c>
      <c r="IM54" s="482" t="str">
        <f t="shared" si="237"/>
        <v/>
      </c>
      <c r="IN54" s="670" t="str">
        <f t="shared" si="427"/>
        <v/>
      </c>
      <c r="IO54" s="702"/>
      <c r="IP54" s="5" t="str">
        <f t="shared" si="428"/>
        <v/>
      </c>
      <c r="IQ54" s="714"/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70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705" t="str">
        <f t="shared" si="438"/>
        <v/>
      </c>
    </row>
    <row r="55" spans="1:261" ht="15" customHeight="1" x14ac:dyDescent="0.25">
      <c r="A55" s="75">
        <f t="shared" si="256"/>
        <v>0.02</v>
      </c>
      <c r="B55" s="578">
        <f t="shared" ref="B55:B118" si="515">IFERROR(Q210+($A55*-E55),"")</f>
        <v>-0.64170933310754363</v>
      </c>
      <c r="C55" s="572">
        <f t="shared" ref="C55:C118" si="516">IFERROR(R210+($A55*-F55),"")</f>
        <v>-4.272019702169997</v>
      </c>
      <c r="D55" s="576">
        <f t="shared" ref="D55:D118" si="517">IFERROR(S210+($A55*-G55),"")</f>
        <v>-1.4655521724644944</v>
      </c>
      <c r="E55" s="580">
        <f t="shared" ref="E55:E118" si="518">T210</f>
        <v>0.85588815384348982</v>
      </c>
      <c r="F55" s="572">
        <f t="shared" ref="F55:F118" si="519">U210</f>
        <v>-0.46935440894399982</v>
      </c>
      <c r="G55" s="579">
        <f t="shared" ref="G55:G118" si="520">V210</f>
        <v>0.2171679233109976</v>
      </c>
      <c r="H55" s="580">
        <f t="shared" ref="H55:H118" si="521">W210</f>
        <v>0.3125</v>
      </c>
      <c r="I55" s="572">
        <f t="shared" ref="I55:I118" si="522">X210</f>
        <v>0.52</v>
      </c>
      <c r="J55" s="483">
        <f t="shared" ref="J55:J118" si="523">IF(Y210=0,"",Y210)</f>
        <v>4.13</v>
      </c>
      <c r="K55" s="806">
        <f t="shared" ref="K55:K118" si="524">Z210</f>
        <v>1613</v>
      </c>
      <c r="L55" s="309"/>
      <c r="M55" s="164">
        <f t="shared" si="267"/>
        <v>4.13</v>
      </c>
      <c r="N55" s="575">
        <f t="shared" si="268"/>
        <v>-0.64170933310754363</v>
      </c>
      <c r="O55" s="572">
        <f t="shared" si="269"/>
        <v>-4.272019702169997</v>
      </c>
      <c r="P55" s="576">
        <f t="shared" si="270"/>
        <v>-1.4655521724644944</v>
      </c>
      <c r="Q55" s="528">
        <f t="shared" si="140"/>
        <v>261.45734603418884</v>
      </c>
      <c r="R55" s="572">
        <f t="shared" si="464"/>
        <v>4.3199471297604974</v>
      </c>
      <c r="S55" s="577">
        <f t="shared" si="465"/>
        <v>-1.4655521724644944</v>
      </c>
      <c r="T55" s="578">
        <f t="shared" si="466"/>
        <v>-4.2778588668044524</v>
      </c>
      <c r="U55" s="572">
        <f t="shared" si="467"/>
        <v>0.60155358832650008</v>
      </c>
      <c r="V55" s="579">
        <f t="shared" si="468"/>
        <v>-1.4655521724644944</v>
      </c>
      <c r="W55" s="528">
        <f t="shared" si="253"/>
        <v>171.99553795440733</v>
      </c>
      <c r="X55" s="572">
        <f t="shared" si="469"/>
        <v>4.3199471297604974</v>
      </c>
      <c r="Y55" s="573">
        <f t="shared" si="255"/>
        <v>-1.4655521724644944</v>
      </c>
      <c r="Z55" s="575">
        <f t="shared" si="271"/>
        <v>-0.85588815384348982</v>
      </c>
      <c r="AA55" s="572">
        <f t="shared" si="272"/>
        <v>0.46935440894399982</v>
      </c>
      <c r="AB55" s="572">
        <f t="shared" si="273"/>
        <v>-0.2171679233109976</v>
      </c>
      <c r="AC55" s="579">
        <f t="shared" si="470"/>
        <v>1</v>
      </c>
      <c r="AD55" s="580">
        <f t="shared" si="471"/>
        <v>-0.85588815384348982</v>
      </c>
      <c r="AE55" s="572">
        <f t="shared" si="472"/>
        <v>0.46935440894399982</v>
      </c>
      <c r="AF55" s="576">
        <f t="shared" si="473"/>
        <v>-0.2171679233109976</v>
      </c>
      <c r="AG55" s="545">
        <f t="shared" si="474"/>
        <v>65.170256945718378</v>
      </c>
      <c r="AH55" s="546">
        <f t="shared" si="475"/>
        <v>148.85799312782959</v>
      </c>
      <c r="AI55" s="528">
        <f t="shared" si="476"/>
        <v>-77.45725424664947</v>
      </c>
      <c r="AJ55" s="529">
        <f t="shared" si="477"/>
        <v>-118.73960945309638</v>
      </c>
      <c r="AK55" s="578">
        <f t="shared" si="478"/>
        <v>0.91611310091363185</v>
      </c>
      <c r="AL55" s="572">
        <f t="shared" si="479"/>
        <v>-0.33700872306098906</v>
      </c>
      <c r="AM55" s="577">
        <f t="shared" si="480"/>
        <v>-0.2171679233109976</v>
      </c>
      <c r="AN55" s="524">
        <f t="shared" si="481"/>
        <v>-57.20232780701231</v>
      </c>
      <c r="AO55" s="525">
        <f>IF(ROUND(IF(M55="",0,DEGREES(ACOS(AK55))),4)=90,0,IF(M55="","",DEGREES(ACOS(AK55))))</f>
        <v>23.635700041569176</v>
      </c>
      <c r="AP55" s="528">
        <f t="shared" si="482"/>
        <v>-20.196955487285202</v>
      </c>
      <c r="AQ55" s="529">
        <f t="shared" si="274"/>
        <v>1.0553225562291797</v>
      </c>
      <c r="AS55" s="932">
        <f t="shared" si="461"/>
        <v>171.99553795440733</v>
      </c>
      <c r="AT55" s="928">
        <f t="shared" si="275"/>
        <v>-1.2079819787737869</v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4.13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1613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0.02</v>
      </c>
      <c r="B56" s="578">
        <f t="shared" si="515"/>
        <v>-0.71007596853814436</v>
      </c>
      <c r="C56" s="572">
        <f t="shared" si="516"/>
        <v>-4.5174775512530516</v>
      </c>
      <c r="D56" s="576">
        <f t="shared" si="517"/>
        <v>-2.1669620969181347</v>
      </c>
      <c r="E56" s="580">
        <f t="shared" si="518"/>
        <v>0.81314284021933736</v>
      </c>
      <c r="F56" s="572">
        <f t="shared" si="519"/>
        <v>-0.56560201205730121</v>
      </c>
      <c r="G56" s="579">
        <f t="shared" si="520"/>
        <v>0.13745212023378078</v>
      </c>
      <c r="H56" s="580">
        <f t="shared" si="521"/>
        <v>0.3125</v>
      </c>
      <c r="I56" s="572">
        <f t="shared" si="522"/>
        <v>0.52</v>
      </c>
      <c r="J56" s="483">
        <f t="shared" si="523"/>
        <v>4.1360000000000001</v>
      </c>
      <c r="K56" s="806">
        <f t="shared" si="524"/>
        <v>1613</v>
      </c>
      <c r="L56" s="309"/>
      <c r="M56" s="164">
        <f t="shared" si="267"/>
        <v>4.1360000000000001</v>
      </c>
      <c r="N56" s="575">
        <f t="shared" si="268"/>
        <v>-0.71007596853814436</v>
      </c>
      <c r="O56" s="572">
        <f t="shared" si="269"/>
        <v>-4.5174775512530516</v>
      </c>
      <c r="P56" s="576">
        <f t="shared" si="270"/>
        <v>-2.1669620969181347</v>
      </c>
      <c r="Q56" s="528">
        <f t="shared" si="140"/>
        <v>261.06709979168699</v>
      </c>
      <c r="R56" s="572">
        <f t="shared" si="464"/>
        <v>4.5729433964538257</v>
      </c>
      <c r="S56" s="577">
        <f t="shared" si="465"/>
        <v>-2.1669620969181347</v>
      </c>
      <c r="T56" s="578">
        <f t="shared" si="466"/>
        <v>-4.5239480607480358</v>
      </c>
      <c r="U56" s="572">
        <f t="shared" si="467"/>
        <v>0.66761160177511714</v>
      </c>
      <c r="V56" s="579">
        <f t="shared" si="468"/>
        <v>-2.1669620969181347</v>
      </c>
      <c r="W56" s="528">
        <f t="shared" si="253"/>
        <v>171.60529171190547</v>
      </c>
      <c r="X56" s="572">
        <f t="shared" si="469"/>
        <v>4.5729433964538257</v>
      </c>
      <c r="Y56" s="573">
        <f t="shared" si="255"/>
        <v>-2.1669620969181347</v>
      </c>
      <c r="Z56" s="575">
        <f t="shared" si="271"/>
        <v>-0.81314284021933736</v>
      </c>
      <c r="AA56" s="572">
        <f t="shared" si="272"/>
        <v>0.56560201205730121</v>
      </c>
      <c r="AB56" s="572">
        <f t="shared" si="273"/>
        <v>-0.13745212023378078</v>
      </c>
      <c r="AC56" s="579">
        <f t="shared" si="470"/>
        <v>1</v>
      </c>
      <c r="AD56" s="580">
        <f t="shared" si="471"/>
        <v>-0.81314284021933736</v>
      </c>
      <c r="AE56" s="572">
        <f t="shared" si="472"/>
        <v>0.56560201205730121</v>
      </c>
      <c r="AF56" s="576">
        <f t="shared" si="473"/>
        <v>-0.13745212023378078</v>
      </c>
      <c r="AG56" s="545">
        <f t="shared" si="474"/>
        <v>76.340815839698706</v>
      </c>
      <c r="AH56" s="546">
        <f t="shared" si="475"/>
        <v>144.40414187522418</v>
      </c>
      <c r="AI56" s="528">
        <f t="shared" si="476"/>
        <v>-82.099561872201434</v>
      </c>
      <c r="AJ56" s="529">
        <f t="shared" si="477"/>
        <v>-124.8215178974515</v>
      </c>
      <c r="AK56" s="578">
        <f t="shared" si="478"/>
        <v>0.89110548062583306</v>
      </c>
      <c r="AL56" s="572">
        <f t="shared" si="479"/>
        <v>-0.43247882843191454</v>
      </c>
      <c r="AM56" s="577">
        <f t="shared" si="480"/>
        <v>-0.13745212023378078</v>
      </c>
      <c r="AN56" s="524">
        <f t="shared" si="481"/>
        <v>-72.368498147459562</v>
      </c>
      <c r="AO56" s="525">
        <f t="shared" ref="AO56:AO119" si="525">IF(ROUND(IF(M56="",0,DEGREES(ACOS(AK56))),4)=90,0,IF(M56="","",DEGREES(ACOS(AK56))))</f>
        <v>26.987508550221261</v>
      </c>
      <c r="AP56" s="528">
        <f t="shared" si="482"/>
        <v>-25.888617689138474</v>
      </c>
      <c r="AQ56" s="529">
        <f t="shared" si="274"/>
        <v>0.99694938614892148</v>
      </c>
      <c r="AS56" s="932">
        <f t="shared" si="461"/>
        <v>171.60529171190547</v>
      </c>
      <c r="AT56" s="928">
        <f t="shared" si="275"/>
        <v>-1.9088498945572856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4.1360000000000001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1613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0.02</v>
      </c>
      <c r="B57" s="578">
        <f t="shared" si="515"/>
        <v>-0.74059407397283539</v>
      </c>
      <c r="C57" s="572">
        <f t="shared" si="516"/>
        <v>-4.6226490193747072</v>
      </c>
      <c r="D57" s="576">
        <f t="shared" si="517"/>
        <v>-2.9669894530629755</v>
      </c>
      <c r="E57" s="580">
        <f t="shared" si="518"/>
        <v>0.77864660107525707</v>
      </c>
      <c r="F57" s="572">
        <f t="shared" si="519"/>
        <v>-0.62594761934029042</v>
      </c>
      <c r="G57" s="579">
        <f t="shared" si="520"/>
        <v>4.357807334167587E-2</v>
      </c>
      <c r="H57" s="580">
        <f t="shared" si="521"/>
        <v>0.3125</v>
      </c>
      <c r="I57" s="572">
        <f t="shared" si="522"/>
        <v>0.52</v>
      </c>
      <c r="J57" s="483">
        <f t="shared" si="523"/>
        <v>4.1420000000000003</v>
      </c>
      <c r="K57" s="806">
        <f t="shared" si="524"/>
        <v>1613</v>
      </c>
      <c r="L57" s="309"/>
      <c r="M57" s="164">
        <f t="shared" si="267"/>
        <v>4.1420000000000003</v>
      </c>
      <c r="N57" s="575">
        <f t="shared" si="268"/>
        <v>-0.74059407397283539</v>
      </c>
      <c r="O57" s="572">
        <f t="shared" si="269"/>
        <v>-4.6226490193747072</v>
      </c>
      <c r="P57" s="576">
        <f t="shared" si="270"/>
        <v>-2.9669894530629755</v>
      </c>
      <c r="Q57" s="528">
        <f t="shared" si="140"/>
        <v>260.89799803295284</v>
      </c>
      <c r="R57" s="572">
        <f t="shared" si="464"/>
        <v>4.681598395711621</v>
      </c>
      <c r="S57" s="577">
        <f t="shared" si="465"/>
        <v>-2.9669894530629755</v>
      </c>
      <c r="T57" s="578">
        <f t="shared" si="466"/>
        <v>-4.6294015482215425</v>
      </c>
      <c r="U57" s="572">
        <f t="shared" si="467"/>
        <v>0.69714047655663081</v>
      </c>
      <c r="V57" s="579">
        <f t="shared" si="468"/>
        <v>-2.9669894530629755</v>
      </c>
      <c r="W57" s="528">
        <f t="shared" si="253"/>
        <v>171.43618995317132</v>
      </c>
      <c r="X57" s="572">
        <f t="shared" si="469"/>
        <v>4.681598395711621</v>
      </c>
      <c r="Y57" s="573">
        <f t="shared" si="255"/>
        <v>-2.9669894530629755</v>
      </c>
      <c r="Z57" s="575">
        <f t="shared" si="271"/>
        <v>-0.77864660107525707</v>
      </c>
      <c r="AA57" s="572">
        <f t="shared" si="272"/>
        <v>0.62594761934029042</v>
      </c>
      <c r="AB57" s="572">
        <f t="shared" si="273"/>
        <v>-4.357807334167587E-2</v>
      </c>
      <c r="AC57" s="579">
        <f t="shared" si="470"/>
        <v>1</v>
      </c>
      <c r="AD57" s="580">
        <f t="shared" si="471"/>
        <v>-0.77864660107525707</v>
      </c>
      <c r="AE57" s="572">
        <f t="shared" si="472"/>
        <v>0.62594761934029042</v>
      </c>
      <c r="AF57" s="576">
        <f t="shared" si="473"/>
        <v>-4.357807334167587E-2</v>
      </c>
      <c r="AG57" s="545">
        <f t="shared" si="474"/>
        <v>86.017530293062961</v>
      </c>
      <c r="AH57" s="546">
        <f t="shared" si="475"/>
        <v>141.1368259563217</v>
      </c>
      <c r="AI57" s="528">
        <f t="shared" si="476"/>
        <v>-87.502369372171458</v>
      </c>
      <c r="AJ57" s="529">
        <f t="shared" si="477"/>
        <v>-128.7955161197811</v>
      </c>
      <c r="AK57" s="578">
        <f t="shared" si="478"/>
        <v>0.86786236259020699</v>
      </c>
      <c r="AL57" s="572">
        <f t="shared" si="479"/>
        <v>-0.49488975653489897</v>
      </c>
      <c r="AM57" s="577">
        <f t="shared" si="480"/>
        <v>-4.357807334167587E-2</v>
      </c>
      <c r="AN57" s="524">
        <f t="shared" si="481"/>
        <v>-84.967735525253488</v>
      </c>
      <c r="AO57" s="525">
        <f t="shared" si="525"/>
        <v>29.788825501047654</v>
      </c>
      <c r="AP57" s="528">
        <f t="shared" si="482"/>
        <v>-29.693514152733933</v>
      </c>
      <c r="AQ57" s="529">
        <f t="shared" si="274"/>
        <v>0.97381574291614104</v>
      </c>
      <c r="AS57" s="932">
        <f t="shared" si="461"/>
        <v>171.43618995317132</v>
      </c>
      <c r="AT57" s="928">
        <f t="shared" si="275"/>
        <v>-2.7086423871483292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4.1420000000000003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1613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0.02</v>
      </c>
      <c r="B58" s="578">
        <f t="shared" si="515"/>
        <v>-1.228273294832515</v>
      </c>
      <c r="C58" s="572">
        <f t="shared" si="516"/>
        <v>-3.0672910762793921</v>
      </c>
      <c r="D58" s="576">
        <f t="shared" si="517"/>
        <v>-0.39054214892030092</v>
      </c>
      <c r="E58" s="580">
        <f t="shared" si="518"/>
        <v>0.7981954758072628</v>
      </c>
      <c r="F58" s="572">
        <f t="shared" si="519"/>
        <v>-0.50132502682655644</v>
      </c>
      <c r="G58" s="579">
        <f t="shared" si="520"/>
        <v>0.33400179621997522</v>
      </c>
      <c r="H58" s="580">
        <f t="shared" si="521"/>
        <v>0.26450000000000001</v>
      </c>
      <c r="I58" s="572">
        <f t="shared" si="522"/>
        <v>0.39400000000000002</v>
      </c>
      <c r="J58" s="483">
        <f t="shared" si="523"/>
        <v>4.218</v>
      </c>
      <c r="K58" s="806">
        <f t="shared" si="524"/>
        <v>1310</v>
      </c>
      <c r="L58" s="309"/>
      <c r="M58" s="164">
        <f t="shared" si="267"/>
        <v>4.218</v>
      </c>
      <c r="N58" s="575">
        <f t="shared" si="268"/>
        <v>-1.228273294832515</v>
      </c>
      <c r="O58" s="572">
        <f t="shared" si="269"/>
        <v>-3.0672910762793921</v>
      </c>
      <c r="P58" s="576">
        <f t="shared" si="270"/>
        <v>-0.39054214892030092</v>
      </c>
      <c r="Q58" s="528">
        <f t="shared" si="140"/>
        <v>248.17674411715188</v>
      </c>
      <c r="R58" s="572">
        <f t="shared" si="464"/>
        <v>3.3040777583800769</v>
      </c>
      <c r="S58" s="577">
        <f t="shared" si="465"/>
        <v>-0.39054214892030092</v>
      </c>
      <c r="T58" s="578">
        <f t="shared" si="466"/>
        <v>-3.0786930326028124</v>
      </c>
      <c r="U58" s="572">
        <f t="shared" si="467"/>
        <v>1.1994077890462491</v>
      </c>
      <c r="V58" s="579">
        <f t="shared" si="468"/>
        <v>-0.39054214892030092</v>
      </c>
      <c r="W58" s="528">
        <f t="shared" si="253"/>
        <v>158.71493603737036</v>
      </c>
      <c r="X58" s="572">
        <f t="shared" si="469"/>
        <v>3.3040777583800769</v>
      </c>
      <c r="Y58" s="573">
        <f t="shared" si="255"/>
        <v>-0.39054214892030092</v>
      </c>
      <c r="Z58" s="575">
        <f t="shared" si="271"/>
        <v>-0.7981954758072628</v>
      </c>
      <c r="AA58" s="572">
        <f t="shared" si="272"/>
        <v>0.50132502682655644</v>
      </c>
      <c r="AB58" s="572">
        <f t="shared" si="273"/>
        <v>-0.33400179621997522</v>
      </c>
      <c r="AC58" s="579">
        <f t="shared" si="470"/>
        <v>1</v>
      </c>
      <c r="AD58" s="580">
        <f t="shared" si="471"/>
        <v>-0.7981954758072628</v>
      </c>
      <c r="AE58" s="572">
        <f t="shared" si="472"/>
        <v>0.50132502682655644</v>
      </c>
      <c r="AF58" s="576">
        <f t="shared" si="473"/>
        <v>-0.33400179621997522</v>
      </c>
      <c r="AG58" s="545">
        <f t="shared" si="474"/>
        <v>56.326938433924575</v>
      </c>
      <c r="AH58" s="546">
        <f t="shared" si="475"/>
        <v>142.95812685595413</v>
      </c>
      <c r="AI58" s="528">
        <f t="shared" si="476"/>
        <v>-70.488150876279121</v>
      </c>
      <c r="AJ58" s="529">
        <f t="shared" si="477"/>
        <v>-122.131820449024</v>
      </c>
      <c r="AK58" s="578">
        <f t="shared" si="478"/>
        <v>0.9273577157139008</v>
      </c>
      <c r="AL58" s="572">
        <f t="shared" si="479"/>
        <v>-0.16867266295320676</v>
      </c>
      <c r="AM58" s="577">
        <f t="shared" si="480"/>
        <v>-0.33400179621997522</v>
      </c>
      <c r="AN58" s="524">
        <f t="shared" si="481"/>
        <v>-26.794015628638547</v>
      </c>
      <c r="AO58" s="525">
        <f t="shared" si="525"/>
        <v>21.97339278431285</v>
      </c>
      <c r="AP58" s="528">
        <f t="shared" si="482"/>
        <v>-10.308564566175908</v>
      </c>
      <c r="AQ58" s="529">
        <f t="shared" si="274"/>
        <v>1.3796805961023688</v>
      </c>
      <c r="AS58" s="932">
        <f t="shared" si="461"/>
        <v>158.71493603737036</v>
      </c>
      <c r="AT58" s="928">
        <f t="shared" si="275"/>
        <v>-0.11452667478926426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>Nose</v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4.218</v>
      </c>
      <c r="IJ58" s="674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4.1180000000000003</v>
      </c>
      <c r="IK58" s="677" cm="1">
        <f t="array" ref="IK58">IFERROR(ROUND(VALUE(IF($IJ58&lt;1,$IJ58+LARGE((IF($M$9:$M$150="",0,$M$9:$M$150)-MOD(IF($M$9:$M$150="",0,$M$9:$M$150),1)),1),$IJ58)),4),"")</f>
        <v>4.1180000000000003</v>
      </c>
      <c r="IL58" s="482">
        <f t="shared" si="426"/>
        <v>1613</v>
      </c>
      <c r="IM58" s="482">
        <f t="shared" si="237"/>
        <v>1310</v>
      </c>
      <c r="IN58" s="670">
        <f t="shared" si="427"/>
        <v>14.640213255963431</v>
      </c>
      <c r="IO58" s="702">
        <v>2.67360048717162E-2</v>
      </c>
      <c r="IP58" s="5">
        <f t="shared" si="428"/>
        <v>0.7</v>
      </c>
      <c r="IQ58" s="714">
        <v>350</v>
      </c>
      <c r="IR58" s="9">
        <f t="shared" si="429"/>
        <v>-3.2885567842225605</v>
      </c>
      <c r="IS58" s="5">
        <f t="shared" si="430"/>
        <v>-0.4122245951838146</v>
      </c>
      <c r="IT58" s="5">
        <f t="shared" si="431"/>
        <v>0.3125</v>
      </c>
      <c r="IU58" s="5">
        <f t="shared" si="432"/>
        <v>0.29889507379075786</v>
      </c>
      <c r="IV58" s="670">
        <f t="shared" si="433"/>
        <v>26.532266593200465</v>
      </c>
      <c r="IW58" s="9">
        <f t="shared" si="434"/>
        <v>-3.3040777583800769</v>
      </c>
      <c r="IX58" s="5">
        <f t="shared" si="435"/>
        <v>-0.39054214892030092</v>
      </c>
      <c r="IY58" s="5">
        <f t="shared" si="436"/>
        <v>0.26450000000000001</v>
      </c>
      <c r="IZ58" s="5">
        <f t="shared" si="437"/>
        <v>0.24528611580632678</v>
      </c>
      <c r="JA58" s="705">
        <f t="shared" si="438"/>
        <v>26.794015628638547</v>
      </c>
    </row>
    <row r="59" spans="1:261" ht="15" customHeight="1" x14ac:dyDescent="0.25">
      <c r="A59" s="75">
        <f t="shared" si="256"/>
        <v>0.02</v>
      </c>
      <c r="B59" s="578">
        <f t="shared" si="515"/>
        <v>-1.3532994753650962</v>
      </c>
      <c r="C59" s="572">
        <f t="shared" si="516"/>
        <v>-3.6649136407832779</v>
      </c>
      <c r="D59" s="576">
        <f t="shared" si="517"/>
        <v>-0.84258334656909595</v>
      </c>
      <c r="E59" s="580">
        <f t="shared" si="518"/>
        <v>0.74886722638515835</v>
      </c>
      <c r="F59" s="572">
        <f t="shared" si="519"/>
        <v>-0.5818923334370214</v>
      </c>
      <c r="G59" s="579">
        <f t="shared" si="520"/>
        <v>0.31717375290748528</v>
      </c>
      <c r="H59" s="580">
        <f t="shared" si="521"/>
        <v>0.26450000000000001</v>
      </c>
      <c r="I59" s="572">
        <f t="shared" si="522"/>
        <v>0.52</v>
      </c>
      <c r="J59" s="483">
        <f t="shared" si="523"/>
        <v>4.2240000000000002</v>
      </c>
      <c r="K59" s="806">
        <f t="shared" si="524"/>
        <v>1313</v>
      </c>
      <c r="L59" s="309"/>
      <c r="M59" s="164">
        <f t="shared" si="267"/>
        <v>4.2240000000000002</v>
      </c>
      <c r="N59" s="575">
        <f t="shared" si="268"/>
        <v>-1.3532994753650962</v>
      </c>
      <c r="O59" s="572">
        <f t="shared" si="269"/>
        <v>-3.6649136407832779</v>
      </c>
      <c r="P59" s="576">
        <f t="shared" si="270"/>
        <v>-0.84258334656909595</v>
      </c>
      <c r="Q59" s="528">
        <f t="shared" si="140"/>
        <v>249.73291859270324</v>
      </c>
      <c r="R59" s="572">
        <f t="shared" si="101"/>
        <v>3.9067904300618412</v>
      </c>
      <c r="S59" s="577">
        <f t="shared" si="102"/>
        <v>-0.84258334656909595</v>
      </c>
      <c r="T59" s="578">
        <f t="shared" si="103"/>
        <v>-3.6774636136803922</v>
      </c>
      <c r="U59" s="572">
        <f t="shared" si="104"/>
        <v>1.3188149356447014</v>
      </c>
      <c r="V59" s="579">
        <f t="shared" si="141"/>
        <v>-0.84258334656909595</v>
      </c>
      <c r="W59" s="528">
        <f t="shared" si="253"/>
        <v>160.27111051292172</v>
      </c>
      <c r="X59" s="572">
        <f t="shared" si="105"/>
        <v>3.9067904300618412</v>
      </c>
      <c r="Y59" s="573">
        <f t="shared" si="255"/>
        <v>-0.84258334656909595</v>
      </c>
      <c r="Z59" s="575">
        <f t="shared" si="271"/>
        <v>-0.74886722638515835</v>
      </c>
      <c r="AA59" s="572">
        <f t="shared" si="272"/>
        <v>0.5818923334370214</v>
      </c>
      <c r="AB59" s="572">
        <f t="shared" si="273"/>
        <v>-0.31717375290748528</v>
      </c>
      <c r="AC59" s="579">
        <f t="shared" si="106"/>
        <v>1</v>
      </c>
      <c r="AD59" s="580">
        <f t="shared" si="142"/>
        <v>-0.74886722638515835</v>
      </c>
      <c r="AE59" s="572">
        <f t="shared" si="107"/>
        <v>0.5818923334370214</v>
      </c>
      <c r="AF59" s="576">
        <f t="shared" si="108"/>
        <v>-0.31717375290748528</v>
      </c>
      <c r="AG59" s="545">
        <f t="shared" si="109"/>
        <v>61.40639484448505</v>
      </c>
      <c r="AH59" s="546">
        <f t="shared" si="110"/>
        <v>138.49234859669036</v>
      </c>
      <c r="AI59" s="528">
        <f t="shared" si="111"/>
        <v>-71.507908739514008</v>
      </c>
      <c r="AJ59" s="529">
        <f t="shared" si="112"/>
        <v>-127.8482801009818</v>
      </c>
      <c r="AK59" s="578">
        <f t="shared" si="238"/>
        <v>0.90406904744514049</v>
      </c>
      <c r="AL59" s="572">
        <f t="shared" si="113"/>
        <v>-0.28646111065591112</v>
      </c>
      <c r="AM59" s="577">
        <f t="shared" si="114"/>
        <v>-0.31717375290748528</v>
      </c>
      <c r="AN59" s="524">
        <f t="shared" si="115"/>
        <v>-42.087330809158544</v>
      </c>
      <c r="AO59" s="525">
        <f t="shared" si="525"/>
        <v>25.301810178738418</v>
      </c>
      <c r="AP59" s="528">
        <f t="shared" si="117"/>
        <v>-17.581198693685021</v>
      </c>
      <c r="AQ59" s="529">
        <f t="shared" si="274"/>
        <v>1.1668972101222355</v>
      </c>
      <c r="AS59" s="932">
        <f t="shared" si="461"/>
        <v>160.27111051292172</v>
      </c>
      <c r="AT59" s="928">
        <f t="shared" si="275"/>
        <v>-0.56872922587632502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>Taper</v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4.2240000000000002</v>
      </c>
      <c r="IJ59" s="674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4.1239999999999997</v>
      </c>
      <c r="IK59" s="677" cm="1">
        <f t="array" ref="IK59">IFERROR(ROUND(VALUE(IF($IJ59&lt;1,$IJ59+LARGE((IF($M$9:$M$150="",0,$M$9:$M$150)-MOD(IF($M$9:$M$150="",0,$M$9:$M$150),1)),1),$IJ59)),4),"")</f>
        <v>4.1239999999999997</v>
      </c>
      <c r="IL59" s="482">
        <f t="shared" si="426"/>
        <v>1613</v>
      </c>
      <c r="IM59" s="482">
        <f t="shared" si="237"/>
        <v>1313</v>
      </c>
      <c r="IN59" s="670">
        <f t="shared" si="427"/>
        <v>12.350657895806307</v>
      </c>
      <c r="IO59" s="702">
        <v>2.4406207121109101E-2</v>
      </c>
      <c r="IP59" s="5">
        <f t="shared" si="428"/>
        <v>0.82</v>
      </c>
      <c r="IQ59" s="714">
        <v>410</v>
      </c>
      <c r="IR59" s="9">
        <f t="shared" si="429"/>
        <v>-3.8838408758893723</v>
      </c>
      <c r="IS59" s="5">
        <f t="shared" si="430"/>
        <v>-0.86076424668230866</v>
      </c>
      <c r="IT59" s="5">
        <f t="shared" si="431"/>
        <v>0.3125</v>
      </c>
      <c r="IU59" s="5">
        <f t="shared" si="432"/>
        <v>0.29310118802747731</v>
      </c>
      <c r="IV59" s="670">
        <f t="shared" si="433"/>
        <v>41.94924363130859</v>
      </c>
      <c r="IW59" s="9">
        <f t="shared" si="434"/>
        <v>-3.9067904300618412</v>
      </c>
      <c r="IX59" s="5">
        <f t="shared" si="435"/>
        <v>-0.84258334656909595</v>
      </c>
      <c r="IY59" s="5">
        <f t="shared" si="436"/>
        <v>0.26450000000000001</v>
      </c>
      <c r="IZ59" s="5">
        <f t="shared" si="437"/>
        <v>0.2391262630492397</v>
      </c>
      <c r="JA59" s="705">
        <f t="shared" si="438"/>
        <v>42.087330809158544</v>
      </c>
    </row>
    <row r="60" spans="1:261" ht="15" customHeight="1" x14ac:dyDescent="0.25">
      <c r="A60" s="75">
        <f t="shared" si="256"/>
        <v>0</v>
      </c>
      <c r="B60" s="578">
        <f t="shared" si="515"/>
        <v>-1.8432979955374242</v>
      </c>
      <c r="C60" s="572">
        <f t="shared" si="516"/>
        <v>-3.9076794759961109</v>
      </c>
      <c r="D60" s="576">
        <f t="shared" si="517"/>
        <v>-1.4792307651506384</v>
      </c>
      <c r="E60" s="580">
        <f t="shared" si="518"/>
        <v>-0.38821556687547565</v>
      </c>
      <c r="F60" s="572">
        <f t="shared" si="519"/>
        <v>-0.82299335572119225</v>
      </c>
      <c r="G60" s="579">
        <f t="shared" si="520"/>
        <v>0.41469339285106099</v>
      </c>
      <c r="H60" s="580">
        <f t="shared" si="521"/>
        <v>0.255</v>
      </c>
      <c r="I60" s="572">
        <f t="shared" si="522"/>
        <v>0.41499999999999992</v>
      </c>
      <c r="J60" s="483">
        <f t="shared" si="523"/>
        <v>4.2300000000000004</v>
      </c>
      <c r="K60" s="806" t="str">
        <f t="shared" si="524"/>
        <v>CPS-32193r1</v>
      </c>
      <c r="L60" s="309"/>
      <c r="M60" s="164">
        <f t="shared" si="267"/>
        <v>4.2300000000000004</v>
      </c>
      <c r="N60" s="575">
        <f t="shared" si="268"/>
        <v>-1.8432979955374242</v>
      </c>
      <c r="O60" s="572">
        <f t="shared" si="269"/>
        <v>-3.9076794759961109</v>
      </c>
      <c r="P60" s="576">
        <f t="shared" si="270"/>
        <v>-1.4792307651506384</v>
      </c>
      <c r="Q60" s="528">
        <f t="shared" si="140"/>
        <v>244.74620142323687</v>
      </c>
      <c r="R60" s="572">
        <f t="shared" si="101"/>
        <v>4.3206141215657672</v>
      </c>
      <c r="S60" s="577">
        <f t="shared" si="102"/>
        <v>-1.4792307651506384</v>
      </c>
      <c r="T60" s="578">
        <f t="shared" si="103"/>
        <v>-3.9248213357547708</v>
      </c>
      <c r="U60" s="572">
        <f t="shared" si="104"/>
        <v>1.8065115194422821</v>
      </c>
      <c r="V60" s="579">
        <f t="shared" si="141"/>
        <v>-1.4792307651506384</v>
      </c>
      <c r="W60" s="528">
        <f t="shared" si="253"/>
        <v>155.28439334345535</v>
      </c>
      <c r="X60" s="572">
        <f t="shared" si="105"/>
        <v>4.3206141215657672</v>
      </c>
      <c r="Y60" s="573">
        <f t="shared" si="255"/>
        <v>-1.4792307651506384</v>
      </c>
      <c r="Z60" s="575">
        <f t="shared" si="271"/>
        <v>0.38821556687547565</v>
      </c>
      <c r="AA60" s="572">
        <f t="shared" si="272"/>
        <v>0.82299335572119225</v>
      </c>
      <c r="AB60" s="572">
        <f t="shared" si="273"/>
        <v>-0.41469339285106099</v>
      </c>
      <c r="AC60" s="579">
        <f t="shared" si="106"/>
        <v>1</v>
      </c>
      <c r="AD60" s="580">
        <f t="shared" si="142"/>
        <v>0.38821556687547565</v>
      </c>
      <c r="AE60" s="572">
        <f t="shared" si="107"/>
        <v>0.82299335572119225</v>
      </c>
      <c r="AF60" s="576">
        <f t="shared" si="108"/>
        <v>-0.41469339285106099</v>
      </c>
      <c r="AG60" s="545">
        <f t="shared" si="109"/>
        <v>63.257184511822324</v>
      </c>
      <c r="AH60" s="546">
        <f t="shared" si="110"/>
        <v>67.156487760214347</v>
      </c>
      <c r="AI60" s="528">
        <f t="shared" si="111"/>
        <v>-65.499990542971446</v>
      </c>
      <c r="AJ60" s="529">
        <f t="shared" si="112"/>
        <v>154.74620142323687</v>
      </c>
      <c r="AK60" s="578">
        <f t="shared" si="238"/>
        <v>3.8857805861880479E-16</v>
      </c>
      <c r="AL60" s="572">
        <f t="shared" si="113"/>
        <v>-0.90996120242880463</v>
      </c>
      <c r="AM60" s="577">
        <f t="shared" si="114"/>
        <v>-0.41469339285106099</v>
      </c>
      <c r="AN60" s="524">
        <f t="shared" si="115"/>
        <v>-65.499990542971446</v>
      </c>
      <c r="AO60" s="525">
        <f t="shared" si="525"/>
        <v>0</v>
      </c>
      <c r="AP60" s="528">
        <f t="shared" si="117"/>
        <v>-89.999999999999972</v>
      </c>
      <c r="AQ60" s="529">
        <f t="shared" si="274"/>
        <v>1.055159678377553</v>
      </c>
      <c r="AS60" s="932">
        <f t="shared" si="461"/>
        <v>155.28439334345535</v>
      </c>
      <c r="AT60" s="928">
        <f t="shared" si="275"/>
        <v>-1.1984506483891644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>Taper</v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4.2300000000000004</v>
      </c>
      <c r="IJ60" s="674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4.13</v>
      </c>
      <c r="IK60" s="677" cm="1">
        <f t="array" ref="IK60">IFERROR(ROUND(VALUE(IF($IJ60&lt;1,$IJ60+LARGE((IF($M$9:$M$150="",0,$M$9:$M$150)-MOD(IF($M$9:$M$150="",0,$M$9:$M$150),1)),1),$IJ60)),4),"")</f>
        <v>4.13</v>
      </c>
      <c r="IL60" s="482">
        <f t="shared" si="426"/>
        <v>1613</v>
      </c>
      <c r="IM60" s="482" t="str">
        <f t="shared" si="237"/>
        <v>CPS-32193r1</v>
      </c>
      <c r="IN60" s="670">
        <f t="shared" si="427"/>
        <v>16.711144610951976</v>
      </c>
      <c r="IO60" s="702">
        <v>3.6661056132786501E-2</v>
      </c>
      <c r="IP60" s="5">
        <f t="shared" si="428"/>
        <v>1.18</v>
      </c>
      <c r="IQ60" s="714">
        <v>590</v>
      </c>
      <c r="IR60" s="9">
        <f t="shared" si="429"/>
        <v>-4.3199471297604974</v>
      </c>
      <c r="IS60" s="5">
        <f t="shared" si="430"/>
        <v>-1.4655521724644944</v>
      </c>
      <c r="IT60" s="5">
        <f t="shared" si="431"/>
        <v>0.3125</v>
      </c>
      <c r="IU60" s="5">
        <f t="shared" si="432"/>
        <v>0.28628534403550998</v>
      </c>
      <c r="IV60" s="670">
        <f t="shared" si="433"/>
        <v>57.20232780701231</v>
      </c>
      <c r="IW60" s="9">
        <f t="shared" si="434"/>
        <v>-4.3206141215657672</v>
      </c>
      <c r="IX60" s="5">
        <f t="shared" si="435"/>
        <v>-1.4792307651506384</v>
      </c>
      <c r="IY60" s="5">
        <f t="shared" si="436"/>
        <v>0.255</v>
      </c>
      <c r="IZ60" s="5">
        <f t="shared" si="437"/>
        <v>0.255</v>
      </c>
      <c r="JA60" s="705">
        <f t="shared" si="438"/>
        <v>65.499990542971446</v>
      </c>
    </row>
    <row r="61" spans="1:261" ht="15" customHeight="1" x14ac:dyDescent="0.25">
      <c r="A61" s="75">
        <f t="shared" si="256"/>
        <v>0</v>
      </c>
      <c r="B61" s="578">
        <f t="shared" si="515"/>
        <v>-2.0228554225626101</v>
      </c>
      <c r="C61" s="572">
        <f t="shared" si="516"/>
        <v>-4.0936582178694465</v>
      </c>
      <c r="D61" s="576">
        <f t="shared" si="517"/>
        <v>-2.183739325206862</v>
      </c>
      <c r="E61" s="580">
        <f t="shared" si="518"/>
        <v>-0.44066173870913378</v>
      </c>
      <c r="F61" s="572">
        <f t="shared" si="519"/>
        <v>-0.89176840215403441</v>
      </c>
      <c r="G61" s="579">
        <f t="shared" si="520"/>
        <v>0.10279274759185855</v>
      </c>
      <c r="H61" s="580">
        <f t="shared" si="521"/>
        <v>0.255</v>
      </c>
      <c r="I61" s="572">
        <f t="shared" si="522"/>
        <v>0.41499999999999992</v>
      </c>
      <c r="J61" s="483">
        <f t="shared" si="523"/>
        <v>4.2359999999999998</v>
      </c>
      <c r="K61" s="806" t="str">
        <f t="shared" si="524"/>
        <v>CPS-32193r1</v>
      </c>
      <c r="L61" s="309"/>
      <c r="M61" s="164">
        <f t="shared" si="267"/>
        <v>4.2359999999999998</v>
      </c>
      <c r="N61" s="575">
        <f t="shared" si="268"/>
        <v>-2.0228554225626101</v>
      </c>
      <c r="O61" s="572">
        <f t="shared" si="269"/>
        <v>-4.0936582178694465</v>
      </c>
      <c r="P61" s="576">
        <f t="shared" si="270"/>
        <v>-2.183739325206862</v>
      </c>
      <c r="Q61" s="528">
        <f t="shared" si="140"/>
        <v>243.70401010230449</v>
      </c>
      <c r="R61" s="572">
        <f t="shared" si="101"/>
        <v>4.5661780150713582</v>
      </c>
      <c r="S61" s="577">
        <f t="shared" si="102"/>
        <v>-2.183739325206862</v>
      </c>
      <c r="T61" s="578">
        <f t="shared" si="103"/>
        <v>-4.1124784707889726</v>
      </c>
      <c r="U61" s="572">
        <f t="shared" si="104"/>
        <v>1.9843141113790943</v>
      </c>
      <c r="V61" s="579">
        <f t="shared" si="141"/>
        <v>-2.183739325206862</v>
      </c>
      <c r="W61" s="528">
        <f t="shared" si="253"/>
        <v>154.24220202252297</v>
      </c>
      <c r="X61" s="572">
        <f t="shared" si="105"/>
        <v>4.5661780150713582</v>
      </c>
      <c r="Y61" s="573">
        <f t="shared" si="255"/>
        <v>-2.183739325206862</v>
      </c>
      <c r="Z61" s="575">
        <f t="shared" si="271"/>
        <v>0.44066173870913378</v>
      </c>
      <c r="AA61" s="572">
        <f t="shared" si="272"/>
        <v>0.89176840215403441</v>
      </c>
      <c r="AB61" s="572">
        <f t="shared" si="273"/>
        <v>-0.10279274759185855</v>
      </c>
      <c r="AC61" s="579">
        <f t="shared" si="106"/>
        <v>1</v>
      </c>
      <c r="AD61" s="580">
        <f t="shared" si="142"/>
        <v>0.44066173870913378</v>
      </c>
      <c r="AE61" s="572">
        <f t="shared" si="107"/>
        <v>0.89176840215403441</v>
      </c>
      <c r="AF61" s="576">
        <f t="shared" si="108"/>
        <v>-0.10279274759185855</v>
      </c>
      <c r="AG61" s="545">
        <f t="shared" si="109"/>
        <v>83.424624649962496</v>
      </c>
      <c r="AH61" s="546">
        <f t="shared" si="110"/>
        <v>63.853889708935796</v>
      </c>
      <c r="AI61" s="528">
        <f t="shared" si="111"/>
        <v>-84.099987857464086</v>
      </c>
      <c r="AJ61" s="529">
        <f t="shared" si="112"/>
        <v>153.70401010230447</v>
      </c>
      <c r="AK61" s="578">
        <f t="shared" si="238"/>
        <v>-4.4408920985006262E-16</v>
      </c>
      <c r="AL61" s="572">
        <f t="shared" si="113"/>
        <v>-0.99470279533261419</v>
      </c>
      <c r="AM61" s="577">
        <f t="shared" si="114"/>
        <v>-0.10279274759185855</v>
      </c>
      <c r="AN61" s="524">
        <f t="shared" si="115"/>
        <v>-84.099987857464086</v>
      </c>
      <c r="AO61" s="525">
        <f t="shared" si="525"/>
        <v>0</v>
      </c>
      <c r="AP61" s="528">
        <f t="shared" si="117"/>
        <v>-90.000000000000028</v>
      </c>
      <c r="AQ61" s="529">
        <f t="shared" si="274"/>
        <v>0.99842619640111796</v>
      </c>
      <c r="AS61" s="932">
        <f t="shared" si="461"/>
        <v>154.24220202252297</v>
      </c>
      <c r="AT61" s="928">
        <f t="shared" si="275"/>
        <v>-1.9015117204996483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>Taper</v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4.2359999999999998</v>
      </c>
      <c r="IJ61" s="674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4.1360000000000001</v>
      </c>
      <c r="IK61" s="677" cm="1">
        <f t="array" ref="IK61">IFERROR(ROUND(VALUE(IF($IJ61&lt;1,$IJ61+LARGE((IF($M$9:$M$150="",0,$M$9:$M$150)-MOD(IF($M$9:$M$150="",0,$M$9:$M$150),1)),1),$IJ61)),4),"")</f>
        <v>4.1360000000000001</v>
      </c>
      <c r="IL61" s="482">
        <f t="shared" si="426"/>
        <v>1613</v>
      </c>
      <c r="IM61" s="482" t="str">
        <f t="shared" si="237"/>
        <v>CPS-32193r1</v>
      </c>
      <c r="IN61" s="670">
        <f t="shared" si="427"/>
        <v>17.363089689382491</v>
      </c>
      <c r="IO61" s="702">
        <v>3.3398068824750098E-2</v>
      </c>
      <c r="IP61" s="5">
        <f t="shared" si="428"/>
        <v>1.34</v>
      </c>
      <c r="IQ61" s="714">
        <v>670</v>
      </c>
      <c r="IR61" s="9">
        <f t="shared" si="429"/>
        <v>-4.5729433964538257</v>
      </c>
      <c r="IS61" s="5">
        <f t="shared" si="430"/>
        <v>-2.1669620969181347</v>
      </c>
      <c r="IT61" s="5">
        <f t="shared" si="431"/>
        <v>0.3125</v>
      </c>
      <c r="IU61" s="5">
        <f t="shared" si="432"/>
        <v>0.27847046269557285</v>
      </c>
      <c r="IV61" s="670">
        <f t="shared" si="433"/>
        <v>72.368498147459562</v>
      </c>
      <c r="IW61" s="9">
        <f t="shared" si="434"/>
        <v>-4.5661780150713582</v>
      </c>
      <c r="IX61" s="5">
        <f t="shared" si="435"/>
        <v>-2.183739325206862</v>
      </c>
      <c r="IY61" s="5">
        <f t="shared" si="436"/>
        <v>0.255</v>
      </c>
      <c r="IZ61" s="5">
        <f t="shared" si="437"/>
        <v>0.255</v>
      </c>
      <c r="JA61" s="705">
        <f t="shared" si="438"/>
        <v>84.099987857464086</v>
      </c>
    </row>
    <row r="62" spans="1:261" ht="15" customHeight="1" x14ac:dyDescent="0.25">
      <c r="A62" s="75">
        <f t="shared" si="256"/>
        <v>0</v>
      </c>
      <c r="B62" s="578">
        <f t="shared" si="515"/>
        <v>-2.1641265939885073</v>
      </c>
      <c r="C62" s="572">
        <f t="shared" si="516"/>
        <v>-4.1351922656978841</v>
      </c>
      <c r="D62" s="576">
        <f t="shared" si="517"/>
        <v>-2.9838541826838672</v>
      </c>
      <c r="E62" s="580">
        <f t="shared" si="518"/>
        <v>-0.46191860216557118</v>
      </c>
      <c r="F62" s="572">
        <f t="shared" si="519"/>
        <v>-0.88262961897098213</v>
      </c>
      <c r="G62" s="579">
        <f t="shared" si="520"/>
        <v>8.7155956127759088E-2</v>
      </c>
      <c r="H62" s="580">
        <f t="shared" si="521"/>
        <v>0.255</v>
      </c>
      <c r="I62" s="572">
        <f t="shared" si="522"/>
        <v>0.41499999999999992</v>
      </c>
      <c r="J62" s="483">
        <f t="shared" si="523"/>
        <v>4.242</v>
      </c>
      <c r="K62" s="806" t="str">
        <f t="shared" si="524"/>
        <v>CPS-32193r1</v>
      </c>
      <c r="L62" s="309"/>
      <c r="M62" s="164">
        <f t="shared" si="267"/>
        <v>4.242</v>
      </c>
      <c r="N62" s="575">
        <f t="shared" si="268"/>
        <v>-2.1641265939885073</v>
      </c>
      <c r="O62" s="572">
        <f t="shared" si="269"/>
        <v>-4.1351922656978841</v>
      </c>
      <c r="P62" s="576">
        <f t="shared" si="270"/>
        <v>-2.9838541826838672</v>
      </c>
      <c r="Q62" s="528">
        <f t="shared" si="140"/>
        <v>242.37497448137702</v>
      </c>
      <c r="R62" s="572">
        <f t="shared" si="101"/>
        <v>4.6672539023601338</v>
      </c>
      <c r="S62" s="577">
        <f t="shared" si="102"/>
        <v>-2.9838541826838672</v>
      </c>
      <c r="T62" s="578">
        <f t="shared" si="103"/>
        <v>-4.1553376581247639</v>
      </c>
      <c r="U62" s="572">
        <f t="shared" si="104"/>
        <v>2.1251889177355743</v>
      </c>
      <c r="V62" s="579">
        <f t="shared" si="141"/>
        <v>-2.9838541826838672</v>
      </c>
      <c r="W62" s="528">
        <f t="shared" si="253"/>
        <v>152.9131664015955</v>
      </c>
      <c r="X62" s="572">
        <f t="shared" si="105"/>
        <v>4.6672539023601338</v>
      </c>
      <c r="Y62" s="573">
        <f t="shared" si="255"/>
        <v>-2.9838541826838672</v>
      </c>
      <c r="Z62" s="575">
        <f t="shared" si="271"/>
        <v>0.46191860216557118</v>
      </c>
      <c r="AA62" s="572">
        <f t="shared" si="272"/>
        <v>0.88262961897098213</v>
      </c>
      <c r="AB62" s="572">
        <f t="shared" si="273"/>
        <v>-8.7155956127759088E-2</v>
      </c>
      <c r="AC62" s="579">
        <f t="shared" si="106"/>
        <v>1</v>
      </c>
      <c r="AD62" s="580">
        <f t="shared" si="142"/>
        <v>0.46191860216557118</v>
      </c>
      <c r="AE62" s="572">
        <f t="shared" si="107"/>
        <v>0.88262961897098213</v>
      </c>
      <c r="AF62" s="576">
        <f t="shared" si="108"/>
        <v>-8.7155956127759088E-2</v>
      </c>
      <c r="AG62" s="545">
        <f t="shared" si="109"/>
        <v>84.36056529228874</v>
      </c>
      <c r="AH62" s="546">
        <f t="shared" si="110"/>
        <v>62.489019148521606</v>
      </c>
      <c r="AI62" s="528">
        <f t="shared" si="111"/>
        <v>-84.999987727520178</v>
      </c>
      <c r="AJ62" s="529">
        <f t="shared" si="112"/>
        <v>152.37497448137697</v>
      </c>
      <c r="AK62" s="578">
        <f t="shared" si="238"/>
        <v>-6.6613381477509392E-16</v>
      </c>
      <c r="AL62" s="572">
        <f t="shared" si="113"/>
        <v>-0.9961946794233828</v>
      </c>
      <c r="AM62" s="577">
        <f t="shared" si="114"/>
        <v>-8.7155956127759088E-2</v>
      </c>
      <c r="AN62" s="524">
        <f t="shared" si="115"/>
        <v>-84.999987727520178</v>
      </c>
      <c r="AO62" s="525">
        <f t="shared" si="525"/>
        <v>0</v>
      </c>
      <c r="AP62" s="528">
        <f t="shared" si="117"/>
        <v>-90.000000000000043</v>
      </c>
      <c r="AQ62" s="529">
        <f t="shared" si="274"/>
        <v>0.97680812158684505</v>
      </c>
      <c r="AS62" s="932">
        <f t="shared" si="461"/>
        <v>152.9131664015955</v>
      </c>
      <c r="AT62" s="928">
        <f t="shared" si="275"/>
        <v>-2.6997806951698098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Taper</v>
      </c>
      <c r="IH62" s="482" t="str">
        <f>IFERROR(IF((((($IY62*COS(RADIANS(180-$JA62)))*COS(RADIANS($JA62)))-(($IZ62*SIN(RADIANS(180-$JA62)))*SIN(RADIANS($JA62))))+$IW62)&lt;(((Settings!$C$19+$IH$8)/2)*-1),"Gage",""),"")</f>
        <v>Gage</v>
      </c>
      <c r="II62" s="788">
        <f t="shared" si="236"/>
        <v>4.242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4.1420000000000003</v>
      </c>
      <c r="IK62" s="677" cm="1">
        <f t="array" ref="IK62">IFERROR(ROUND(VALUE(IF($IJ62&lt;1,$IJ62+LARGE((IF($M$9:$M$150="",0,$M$9:$M$150)-MOD(IF($M$9:$M$150="",0,$M$9:$M$150),1)),1),$IJ62)),4),"")</f>
        <v>4.1420000000000003</v>
      </c>
      <c r="IL62" s="482">
        <f t="shared" si="426"/>
        <v>1613</v>
      </c>
      <c r="IM62" s="482" t="str">
        <f t="shared" si="237"/>
        <v>CPS-32193r1</v>
      </c>
      <c r="IN62" s="670">
        <f t="shared" si="427"/>
        <v>18.523023551575818</v>
      </c>
      <c r="IO62" s="702">
        <v>3.03176635806174E-2</v>
      </c>
      <c r="IP62" s="5">
        <f t="shared" si="428"/>
        <v>1.46</v>
      </c>
      <c r="IQ62" s="714">
        <v>730</v>
      </c>
      <c r="IR62" s="9">
        <f t="shared" si="429"/>
        <v>-4.681598395711621</v>
      </c>
      <c r="IS62" s="5">
        <f t="shared" si="430"/>
        <v>-2.9669894530629755</v>
      </c>
      <c r="IT62" s="5">
        <f t="shared" si="431"/>
        <v>0.3125</v>
      </c>
      <c r="IU62" s="5">
        <f t="shared" si="432"/>
        <v>0.27120698830943968</v>
      </c>
      <c r="IV62" s="670">
        <f t="shared" si="433"/>
        <v>84.967735525253488</v>
      </c>
      <c r="IW62" s="9">
        <f t="shared" si="434"/>
        <v>-4.6672539023601338</v>
      </c>
      <c r="IX62" s="5">
        <f t="shared" si="435"/>
        <v>-2.9838541826838672</v>
      </c>
      <c r="IY62" s="5">
        <f t="shared" si="436"/>
        <v>0.255</v>
      </c>
      <c r="IZ62" s="5">
        <f t="shared" si="437"/>
        <v>0.255</v>
      </c>
      <c r="JA62" s="705">
        <f t="shared" si="438"/>
        <v>84.999987727520178</v>
      </c>
    </row>
    <row r="63" spans="1:261" ht="15" customHeight="1" x14ac:dyDescent="0.25">
      <c r="A63" s="75">
        <f t="shared" si="256"/>
        <v>0.02</v>
      </c>
      <c r="B63" s="578">
        <f t="shared" si="515"/>
        <v>-0.73866940418797078</v>
      </c>
      <c r="C63" s="572">
        <f t="shared" si="516"/>
        <v>-0.32334362357793678</v>
      </c>
      <c r="D63" s="576">
        <f t="shared" si="517"/>
        <v>-0.53343612734853563</v>
      </c>
      <c r="E63" s="580">
        <f t="shared" si="518"/>
        <v>0.42263558847450511</v>
      </c>
      <c r="F63" s="572">
        <f t="shared" si="519"/>
        <v>-0.85808737417459102</v>
      </c>
      <c r="G63" s="579">
        <f t="shared" si="520"/>
        <v>0.29165942062097749</v>
      </c>
      <c r="H63" s="580">
        <f t="shared" si="521"/>
        <v>0.3125</v>
      </c>
      <c r="I63" s="572">
        <f t="shared" si="522"/>
        <v>0.52</v>
      </c>
      <c r="J63" s="483">
        <f t="shared" si="523"/>
        <v>5.1029999999999998</v>
      </c>
      <c r="K63" s="806">
        <f t="shared" si="524"/>
        <v>1613</v>
      </c>
      <c r="L63" s="309"/>
      <c r="M63" s="164">
        <f t="shared" si="267"/>
        <v>5.1029999999999998</v>
      </c>
      <c r="N63" s="575">
        <f t="shared" si="268"/>
        <v>-0.73866940418797078</v>
      </c>
      <c r="O63" s="572">
        <f t="shared" si="269"/>
        <v>-0.32334362357793678</v>
      </c>
      <c r="P63" s="576">
        <f t="shared" si="270"/>
        <v>-0.53343612734853563</v>
      </c>
      <c r="Q63" s="528">
        <f t="shared" si="140"/>
        <v>203.64081949179581</v>
      </c>
      <c r="R63" s="572">
        <f t="shared" si="101"/>
        <v>0.80633962298272444</v>
      </c>
      <c r="S63" s="577">
        <f t="shared" si="102"/>
        <v>-0.53343612734853563</v>
      </c>
      <c r="T63" s="578">
        <f t="shared" si="103"/>
        <v>-0.33026774189625491</v>
      </c>
      <c r="U63" s="572">
        <f t="shared" si="104"/>
        <v>0.73559962360965825</v>
      </c>
      <c r="V63" s="579">
        <f t="shared" si="141"/>
        <v>-0.53343612734853563</v>
      </c>
      <c r="W63" s="528">
        <f t="shared" si="253"/>
        <v>114.17901141201428</v>
      </c>
      <c r="X63" s="572">
        <f t="shared" si="105"/>
        <v>0.80633962298272444</v>
      </c>
      <c r="Y63" s="573">
        <f t="shared" si="255"/>
        <v>-0.53343612734853563</v>
      </c>
      <c r="Z63" s="575">
        <f t="shared" si="271"/>
        <v>-0.42263558847450511</v>
      </c>
      <c r="AA63" s="572">
        <f t="shared" si="272"/>
        <v>0.85808737417459102</v>
      </c>
      <c r="AB63" s="572">
        <f t="shared" si="273"/>
        <v>-0.29165942062097749</v>
      </c>
      <c r="AC63" s="579">
        <f t="shared" si="106"/>
        <v>1</v>
      </c>
      <c r="AD63" s="580">
        <f t="shared" si="142"/>
        <v>-0.42263558847450511</v>
      </c>
      <c r="AE63" s="572">
        <f t="shared" si="107"/>
        <v>0.85808737417459102</v>
      </c>
      <c r="AF63" s="576">
        <f t="shared" si="108"/>
        <v>-0.29165942062097749</v>
      </c>
      <c r="AG63" s="545">
        <f t="shared" si="109"/>
        <v>71.227370833438954</v>
      </c>
      <c r="AH63" s="546">
        <f t="shared" si="110"/>
        <v>115.00109538189918</v>
      </c>
      <c r="AI63" s="528">
        <f t="shared" si="111"/>
        <v>-73.042670739374429</v>
      </c>
      <c r="AJ63" s="529">
        <f t="shared" si="112"/>
        <v>-153.77827296395637</v>
      </c>
      <c r="AK63" s="578">
        <f t="shared" si="238"/>
        <v>0.95555196605985637</v>
      </c>
      <c r="AL63" s="572">
        <f t="shared" si="113"/>
        <v>4.3072294136474731E-2</v>
      </c>
      <c r="AM63" s="577">
        <f t="shared" si="114"/>
        <v>-0.29165942062097749</v>
      </c>
      <c r="AN63" s="524">
        <f t="shared" si="115"/>
        <v>8.4007263319275101</v>
      </c>
      <c r="AO63" s="525">
        <f t="shared" si="525"/>
        <v>17.146907594407718</v>
      </c>
      <c r="AP63" s="528">
        <f t="shared" si="117"/>
        <v>2.5809075442478302</v>
      </c>
      <c r="AQ63" s="529">
        <f t="shared" si="274"/>
        <v>5.6362561330370413</v>
      </c>
      <c r="AS63" s="932">
        <f t="shared" si="461"/>
        <v>114.17901141201428</v>
      </c>
      <c r="AT63" s="928">
        <f t="shared" si="275"/>
        <v>-0.19556520234894881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5.1029999999999998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26"/>
        <v>1613</v>
      </c>
      <c r="IM63" s="482" t="str">
        <f t="shared" si="237"/>
        <v/>
      </c>
      <c r="IN63" s="670" t="str">
        <f t="shared" si="427"/>
        <v/>
      </c>
      <c r="IO63" s="702"/>
      <c r="IP63" s="5" t="str">
        <f t="shared" si="428"/>
        <v/>
      </c>
      <c r="IQ63" s="714"/>
      <c r="IR63" s="9" t="str">
        <f t="shared" si="429"/>
        <v/>
      </c>
      <c r="IS63" s="5" t="str">
        <f t="shared" si="430"/>
        <v/>
      </c>
      <c r="IT63" s="5" t="str">
        <f t="shared" si="431"/>
        <v/>
      </c>
      <c r="IU63" s="5" t="str">
        <f t="shared" si="432"/>
        <v/>
      </c>
      <c r="IV63" s="670" t="str">
        <f t="shared" si="433"/>
        <v/>
      </c>
      <c r="IW63" s="9" t="str">
        <f t="shared" si="434"/>
        <v/>
      </c>
      <c r="IX63" s="5" t="str">
        <f t="shared" si="435"/>
        <v/>
      </c>
      <c r="IY63" s="5" t="str">
        <f t="shared" si="436"/>
        <v/>
      </c>
      <c r="IZ63" s="5" t="str">
        <f t="shared" si="437"/>
        <v/>
      </c>
      <c r="JA63" s="705" t="str">
        <f t="shared" si="438"/>
        <v/>
      </c>
    </row>
    <row r="64" spans="1:261" ht="15" customHeight="1" x14ac:dyDescent="0.25">
      <c r="A64" s="75">
        <f t="shared" si="256"/>
        <v>0.02</v>
      </c>
      <c r="B64" s="578">
        <f t="shared" si="515"/>
        <v>-1.3687697562568653</v>
      </c>
      <c r="C64" s="572">
        <f t="shared" si="516"/>
        <v>-0.61705462703632596</v>
      </c>
      <c r="D64" s="576">
        <f t="shared" si="517"/>
        <v>-0.28011349908977429</v>
      </c>
      <c r="E64" s="580">
        <f t="shared" si="518"/>
        <v>0.41060632752337173</v>
      </c>
      <c r="F64" s="572">
        <f t="shared" si="519"/>
        <v>-0.86916608069452284</v>
      </c>
      <c r="G64" s="579">
        <f t="shared" si="520"/>
        <v>0.27559529743428468</v>
      </c>
      <c r="H64" s="580">
        <f t="shared" si="521"/>
        <v>0.3125</v>
      </c>
      <c r="I64" s="572">
        <f t="shared" si="522"/>
        <v>0.52</v>
      </c>
      <c r="J64" s="483">
        <f t="shared" si="523"/>
        <v>5.1059999999999999</v>
      </c>
      <c r="K64" s="806">
        <f t="shared" si="524"/>
        <v>1613</v>
      </c>
      <c r="L64" s="309"/>
      <c r="M64" s="164">
        <f t="shared" si="267"/>
        <v>5.1059999999999999</v>
      </c>
      <c r="N64" s="575">
        <f t="shared" si="268"/>
        <v>-1.3687697562568653</v>
      </c>
      <c r="O64" s="572">
        <f t="shared" si="269"/>
        <v>-0.61705462703632596</v>
      </c>
      <c r="P64" s="576">
        <f t="shared" si="270"/>
        <v>-0.28011349908977429</v>
      </c>
      <c r="Q64" s="528">
        <f t="shared" si="140"/>
        <v>204.26631162458727</v>
      </c>
      <c r="R64" s="572">
        <f t="shared" si="101"/>
        <v>1.5014283394123136</v>
      </c>
      <c r="S64" s="577">
        <f t="shared" si="102"/>
        <v>-0.28011349908977429</v>
      </c>
      <c r="T64" s="578">
        <f t="shared" si="103"/>
        <v>-0.62988437283966114</v>
      </c>
      <c r="U64" s="572">
        <f t="shared" si="104"/>
        <v>1.3629133263868265</v>
      </c>
      <c r="V64" s="579">
        <f t="shared" si="141"/>
        <v>-0.28011349908977429</v>
      </c>
      <c r="W64" s="528">
        <f t="shared" si="253"/>
        <v>114.80450354480574</v>
      </c>
      <c r="X64" s="572">
        <f t="shared" si="105"/>
        <v>1.5014283394123136</v>
      </c>
      <c r="Y64" s="573">
        <f t="shared" si="255"/>
        <v>-0.28011349908977429</v>
      </c>
      <c r="Z64" s="575">
        <f t="shared" si="271"/>
        <v>-0.41060632752337173</v>
      </c>
      <c r="AA64" s="572">
        <f t="shared" si="272"/>
        <v>0.86916608069452284</v>
      </c>
      <c r="AB64" s="572">
        <f t="shared" si="273"/>
        <v>-0.27559529743428468</v>
      </c>
      <c r="AC64" s="579">
        <f t="shared" si="106"/>
        <v>1</v>
      </c>
      <c r="AD64" s="580">
        <f t="shared" si="142"/>
        <v>-0.41060632752337173</v>
      </c>
      <c r="AE64" s="572">
        <f t="shared" si="107"/>
        <v>0.86916608069452284</v>
      </c>
      <c r="AF64" s="576">
        <f t="shared" si="108"/>
        <v>-0.27559529743428468</v>
      </c>
      <c r="AG64" s="545">
        <f t="shared" si="109"/>
        <v>72.407212912779102</v>
      </c>
      <c r="AH64" s="546">
        <f t="shared" si="110"/>
        <v>114.24292903931493</v>
      </c>
      <c r="AI64" s="528">
        <f t="shared" si="111"/>
        <v>-74.002506864381758</v>
      </c>
      <c r="AJ64" s="529">
        <f t="shared" si="112"/>
        <v>-154.7132883395436</v>
      </c>
      <c r="AK64" s="578">
        <f t="shared" si="238"/>
        <v>0.96112131416974889</v>
      </c>
      <c r="AL64" s="572">
        <f t="shared" si="113"/>
        <v>1.7118746470556223E-2</v>
      </c>
      <c r="AM64" s="577">
        <f t="shared" si="114"/>
        <v>-0.27559529743428468</v>
      </c>
      <c r="AN64" s="524">
        <f t="shared" si="115"/>
        <v>3.5543907468982434</v>
      </c>
      <c r="AO64" s="525">
        <f t="shared" si="525"/>
        <v>16.029154803271066</v>
      </c>
      <c r="AP64" s="528">
        <f t="shared" si="117"/>
        <v>1.0204000358691305</v>
      </c>
      <c r="AQ64" s="529">
        <f t="shared" si="274"/>
        <v>3.0339050941529151</v>
      </c>
      <c r="AS64" s="932">
        <f t="shared" si="461"/>
        <v>114.80450354480574</v>
      </c>
      <c r="AT64" s="928">
        <f t="shared" si="275"/>
        <v>5.6888686836491009E-2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5.1059999999999999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26"/>
        <v>1613</v>
      </c>
      <c r="IM64" s="482" t="str">
        <f t="shared" si="237"/>
        <v/>
      </c>
      <c r="IN64" s="670" t="str">
        <f t="shared" si="427"/>
        <v/>
      </c>
      <c r="IO64" s="702"/>
      <c r="IP64" s="5" t="str">
        <f t="shared" si="428"/>
        <v/>
      </c>
      <c r="IQ64" s="714"/>
      <c r="IR64" s="9" t="str">
        <f t="shared" si="429"/>
        <v/>
      </c>
      <c r="IS64" s="5" t="str">
        <f t="shared" si="430"/>
        <v/>
      </c>
      <c r="IT64" s="5" t="str">
        <f t="shared" si="431"/>
        <v/>
      </c>
      <c r="IU64" s="5" t="str">
        <f t="shared" si="432"/>
        <v/>
      </c>
      <c r="IV64" s="670" t="str">
        <f t="shared" si="433"/>
        <v/>
      </c>
      <c r="IW64" s="9" t="str">
        <f t="shared" si="434"/>
        <v/>
      </c>
      <c r="IX64" s="5" t="str">
        <f t="shared" si="435"/>
        <v/>
      </c>
      <c r="IY64" s="5" t="str">
        <f t="shared" si="436"/>
        <v/>
      </c>
      <c r="IZ64" s="5" t="str">
        <f t="shared" si="437"/>
        <v/>
      </c>
      <c r="JA64" s="705" t="str">
        <f t="shared" si="438"/>
        <v/>
      </c>
    </row>
    <row r="65" spans="1:261" ht="15" customHeight="1" x14ac:dyDescent="0.25">
      <c r="A65" s="75">
        <f t="shared" si="256"/>
        <v>0.02</v>
      </c>
      <c r="B65" s="578">
        <f t="shared" si="515"/>
        <v>-2.0097142445522751</v>
      </c>
      <c r="C65" s="572">
        <f t="shared" si="516"/>
        <v>-0.91550644665886693</v>
      </c>
      <c r="D65" s="576">
        <f t="shared" si="517"/>
        <v>-0.15219258469778729</v>
      </c>
      <c r="E65" s="580">
        <f t="shared" si="518"/>
        <v>0.38432010769060276</v>
      </c>
      <c r="F65" s="572">
        <f t="shared" si="519"/>
        <v>-0.88141889456201628</v>
      </c>
      <c r="G65" s="579">
        <f t="shared" si="520"/>
        <v>0.274588395846869</v>
      </c>
      <c r="H65" s="580">
        <f t="shared" si="521"/>
        <v>0.3125</v>
      </c>
      <c r="I65" s="572">
        <f t="shared" si="522"/>
        <v>0.52</v>
      </c>
      <c r="J65" s="483">
        <f t="shared" si="523"/>
        <v>5.109</v>
      </c>
      <c r="K65" s="806">
        <f t="shared" si="524"/>
        <v>1613</v>
      </c>
      <c r="L65" s="309"/>
      <c r="M65" s="164">
        <f t="shared" si="267"/>
        <v>5.109</v>
      </c>
      <c r="N65" s="575">
        <f t="shared" si="268"/>
        <v>-2.0097142445522751</v>
      </c>
      <c r="O65" s="572">
        <f t="shared" si="269"/>
        <v>-0.91550644665886693</v>
      </c>
      <c r="P65" s="576">
        <f t="shared" si="270"/>
        <v>-0.15219258469778729</v>
      </c>
      <c r="Q65" s="528">
        <f t="shared" si="140"/>
        <v>204.49119172983612</v>
      </c>
      <c r="R65" s="572">
        <f t="shared" si="101"/>
        <v>2.2084164912059197</v>
      </c>
      <c r="S65" s="577">
        <f t="shared" si="102"/>
        <v>-0.15219258469778729</v>
      </c>
      <c r="T65" s="578">
        <f t="shared" si="103"/>
        <v>-0.93434347067187407</v>
      </c>
      <c r="U65" s="572">
        <f t="shared" si="104"/>
        <v>2.001026156111684</v>
      </c>
      <c r="V65" s="579">
        <f t="shared" si="141"/>
        <v>-0.15219258469778729</v>
      </c>
      <c r="W65" s="528">
        <f t="shared" si="253"/>
        <v>115.02938365005458</v>
      </c>
      <c r="X65" s="572">
        <f t="shared" si="105"/>
        <v>2.2084164912059197</v>
      </c>
      <c r="Y65" s="573">
        <f t="shared" si="255"/>
        <v>-0.15219258469778729</v>
      </c>
      <c r="Z65" s="575">
        <f t="shared" si="271"/>
        <v>-0.38432010769060276</v>
      </c>
      <c r="AA65" s="572">
        <f t="shared" si="272"/>
        <v>0.88141889456201628</v>
      </c>
      <c r="AB65" s="572">
        <f t="shared" si="273"/>
        <v>-0.274588395846869</v>
      </c>
      <c r="AC65" s="579">
        <f t="shared" si="106"/>
        <v>1</v>
      </c>
      <c r="AD65" s="580">
        <f t="shared" si="142"/>
        <v>-0.38432010769060276</v>
      </c>
      <c r="AE65" s="572">
        <f t="shared" si="107"/>
        <v>0.88141889456201628</v>
      </c>
      <c r="AF65" s="576">
        <f t="shared" si="108"/>
        <v>-0.274588395846869</v>
      </c>
      <c r="AG65" s="545">
        <f t="shared" si="109"/>
        <v>72.696623596781293</v>
      </c>
      <c r="AH65" s="546">
        <f t="shared" si="110"/>
        <v>112.60153820394164</v>
      </c>
      <c r="AI65" s="528">
        <f t="shared" si="111"/>
        <v>-74.062513248271998</v>
      </c>
      <c r="AJ65" s="529">
        <f t="shared" si="112"/>
        <v>-156.44162563262216</v>
      </c>
      <c r="AK65" s="578">
        <f t="shared" si="238"/>
        <v>0.96143442708615523</v>
      </c>
      <c r="AL65" s="572">
        <f t="shared" si="113"/>
        <v>-1.5654241590050744E-2</v>
      </c>
      <c r="AM65" s="577">
        <f t="shared" si="114"/>
        <v>-0.274588395846869</v>
      </c>
      <c r="AN65" s="524">
        <f t="shared" si="115"/>
        <v>-3.2628915737279782</v>
      </c>
      <c r="AO65" s="525">
        <f t="shared" si="525"/>
        <v>15.964055654186145</v>
      </c>
      <c r="AP65" s="528">
        <f t="shared" si="117"/>
        <v>-0.93281736245828828</v>
      </c>
      <c r="AQ65" s="529">
        <f t="shared" si="274"/>
        <v>2.0636874620757482</v>
      </c>
      <c r="AS65" s="932">
        <f t="shared" si="461"/>
        <v>115.02938365005458</v>
      </c>
      <c r="AT65" s="928">
        <f t="shared" si="275"/>
        <v>0.1844972677489658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5.109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26"/>
        <v>1613</v>
      </c>
      <c r="IM65" s="482" t="str">
        <f t="shared" si="237"/>
        <v/>
      </c>
      <c r="IN65" s="670" t="str">
        <f t="shared" si="427"/>
        <v/>
      </c>
      <c r="IO65" s="702"/>
      <c r="IP65" s="5" t="str">
        <f t="shared" si="428"/>
        <v/>
      </c>
      <c r="IQ65" s="714"/>
      <c r="IR65" s="9" t="str">
        <f t="shared" si="429"/>
        <v/>
      </c>
      <c r="IS65" s="5" t="str">
        <f t="shared" si="430"/>
        <v/>
      </c>
      <c r="IT65" s="5" t="str">
        <f t="shared" si="431"/>
        <v/>
      </c>
      <c r="IU65" s="5" t="str">
        <f t="shared" si="432"/>
        <v/>
      </c>
      <c r="IV65" s="670" t="str">
        <f t="shared" si="433"/>
        <v/>
      </c>
      <c r="IW65" s="9" t="str">
        <f t="shared" si="434"/>
        <v/>
      </c>
      <c r="IX65" s="5" t="str">
        <f t="shared" si="435"/>
        <v/>
      </c>
      <c r="IY65" s="5" t="str">
        <f t="shared" si="436"/>
        <v/>
      </c>
      <c r="IZ65" s="5" t="str">
        <f t="shared" si="437"/>
        <v/>
      </c>
      <c r="JA65" s="705" t="str">
        <f t="shared" si="438"/>
        <v/>
      </c>
    </row>
    <row r="66" spans="1:261" ht="15" customHeight="1" x14ac:dyDescent="0.25">
      <c r="A66" s="75">
        <f t="shared" si="256"/>
        <v>0.02</v>
      </c>
      <c r="B66" s="578">
        <f t="shared" si="515"/>
        <v>-2.6870255373099545</v>
      </c>
      <c r="C66" s="572">
        <f t="shared" si="516"/>
        <v>-1.205114090981757</v>
      </c>
      <c r="D66" s="576">
        <f t="shared" si="517"/>
        <v>-0.26488175123826774</v>
      </c>
      <c r="E66" s="580">
        <f t="shared" si="518"/>
        <v>0.31332168946855277</v>
      </c>
      <c r="F66" s="572">
        <f t="shared" si="519"/>
        <v>-0.91364166819818449</v>
      </c>
      <c r="G66" s="579">
        <f t="shared" si="520"/>
        <v>0.25901432593702273</v>
      </c>
      <c r="H66" s="580">
        <f t="shared" si="521"/>
        <v>0.3125</v>
      </c>
      <c r="I66" s="572">
        <f t="shared" si="522"/>
        <v>0.52</v>
      </c>
      <c r="J66" s="483">
        <f t="shared" si="523"/>
        <v>5.1150000000000002</v>
      </c>
      <c r="K66" s="806">
        <f t="shared" si="524"/>
        <v>1613</v>
      </c>
      <c r="L66" s="309"/>
      <c r="M66" s="164">
        <f t="shared" si="267"/>
        <v>5.1150000000000002</v>
      </c>
      <c r="N66" s="575">
        <f t="shared" si="268"/>
        <v>-2.6870255373099545</v>
      </c>
      <c r="O66" s="572">
        <f t="shared" si="269"/>
        <v>-1.205114090981757</v>
      </c>
      <c r="P66" s="576">
        <f t="shared" si="270"/>
        <v>-0.26488175123826774</v>
      </c>
      <c r="Q66" s="528">
        <f t="shared" si="140"/>
        <v>204.1559350393423</v>
      </c>
      <c r="R66" s="572">
        <f t="shared" si="101"/>
        <v>2.9448949404755744</v>
      </c>
      <c r="S66" s="577">
        <f t="shared" si="102"/>
        <v>-0.26488175123826774</v>
      </c>
      <c r="T66" s="578">
        <f t="shared" si="103"/>
        <v>-1.230300379782427</v>
      </c>
      <c r="U66" s="572">
        <f t="shared" si="104"/>
        <v>2.6755872600133701</v>
      </c>
      <c r="V66" s="579">
        <f t="shared" si="141"/>
        <v>-0.26488175123826774</v>
      </c>
      <c r="W66" s="528">
        <f t="shared" si="253"/>
        <v>114.69412695956076</v>
      </c>
      <c r="X66" s="572">
        <f t="shared" si="105"/>
        <v>2.9448949404755744</v>
      </c>
      <c r="Y66" s="573">
        <f t="shared" si="255"/>
        <v>-0.26488175123826774</v>
      </c>
      <c r="Z66" s="575">
        <f t="shared" si="271"/>
        <v>-0.31332168946855277</v>
      </c>
      <c r="AA66" s="572">
        <f t="shared" si="272"/>
        <v>0.91364166819818449</v>
      </c>
      <c r="AB66" s="572">
        <f t="shared" si="273"/>
        <v>-0.25901432593702273</v>
      </c>
      <c r="AC66" s="579">
        <f t="shared" si="106"/>
        <v>1</v>
      </c>
      <c r="AD66" s="580">
        <f t="shared" si="142"/>
        <v>-0.31332168946855277</v>
      </c>
      <c r="AE66" s="572">
        <f t="shared" si="107"/>
        <v>0.91364166819818449</v>
      </c>
      <c r="AF66" s="576">
        <f t="shared" si="108"/>
        <v>-0.25901432593702273</v>
      </c>
      <c r="AG66" s="545">
        <f t="shared" si="109"/>
        <v>74.172145959671496</v>
      </c>
      <c r="AH66" s="546">
        <f t="shared" si="110"/>
        <v>108.25952541330309</v>
      </c>
      <c r="AI66" s="528">
        <f t="shared" si="111"/>
        <v>-74.988416221536639</v>
      </c>
      <c r="AJ66" s="529">
        <f t="shared" si="112"/>
        <v>-161.07125269149199</v>
      </c>
      <c r="AK66" s="578">
        <f t="shared" si="238"/>
        <v>0.96185668237465849</v>
      </c>
      <c r="AL66" s="572">
        <f t="shared" si="113"/>
        <v>-8.7996031334401814E-2</v>
      </c>
      <c r="AM66" s="577">
        <f t="shared" si="114"/>
        <v>-0.25901432593702273</v>
      </c>
      <c r="AN66" s="524">
        <f t="shared" si="115"/>
        <v>-18.764382264774945</v>
      </c>
      <c r="AO66" s="525">
        <f t="shared" si="525"/>
        <v>15.875853085721719</v>
      </c>
      <c r="AP66" s="528">
        <f t="shared" si="117"/>
        <v>-5.2271877308342987</v>
      </c>
      <c r="AQ66" s="529">
        <f t="shared" si="274"/>
        <v>1.5478800004957511</v>
      </c>
      <c r="AS66" s="932">
        <f t="shared" si="461"/>
        <v>114.69412695956076</v>
      </c>
      <c r="AT66" s="928">
        <f t="shared" si="275"/>
        <v>7.2273735500837821E-2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5.1150000000000002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26"/>
        <v>1613</v>
      </c>
      <c r="IM66" s="482" t="str">
        <f t="shared" si="237"/>
        <v/>
      </c>
      <c r="IN66" s="670" t="str">
        <f t="shared" si="427"/>
        <v/>
      </c>
      <c r="IO66" s="702"/>
      <c r="IP66" s="5" t="str">
        <f t="shared" si="428"/>
        <v/>
      </c>
      <c r="IQ66" s="714"/>
      <c r="IR66" s="9" t="str">
        <f t="shared" si="429"/>
        <v/>
      </c>
      <c r="IS66" s="5" t="str">
        <f t="shared" si="430"/>
        <v/>
      </c>
      <c r="IT66" s="5" t="str">
        <f t="shared" si="431"/>
        <v/>
      </c>
      <c r="IU66" s="5" t="str">
        <f t="shared" si="432"/>
        <v/>
      </c>
      <c r="IV66" s="670" t="str">
        <f t="shared" si="433"/>
        <v/>
      </c>
      <c r="IW66" s="9" t="str">
        <f t="shared" si="434"/>
        <v/>
      </c>
      <c r="IX66" s="5" t="str">
        <f t="shared" si="435"/>
        <v/>
      </c>
      <c r="IY66" s="5" t="str">
        <f t="shared" si="436"/>
        <v/>
      </c>
      <c r="IZ66" s="5" t="str">
        <f t="shared" si="437"/>
        <v/>
      </c>
      <c r="JA66" s="705" t="str">
        <f t="shared" si="438"/>
        <v/>
      </c>
    </row>
    <row r="67" spans="1:261" ht="15" customHeight="1" x14ac:dyDescent="0.25">
      <c r="A67" s="75">
        <f t="shared" si="256"/>
        <v>0.02</v>
      </c>
      <c r="B67" s="578">
        <f t="shared" si="515"/>
        <v>-3.3061561354230236</v>
      </c>
      <c r="C67" s="572">
        <f t="shared" si="516"/>
        <v>-1.4340576588644172</v>
      </c>
      <c r="D67" s="576">
        <f t="shared" si="517"/>
        <v>-0.61318320759072031</v>
      </c>
      <c r="E67" s="580">
        <f t="shared" si="518"/>
        <v>0.21206984792240485</v>
      </c>
      <c r="F67" s="572">
        <f t="shared" si="519"/>
        <v>-0.94092429585517001</v>
      </c>
      <c r="G67" s="579">
        <f t="shared" si="520"/>
        <v>0.26398456218427013</v>
      </c>
      <c r="H67" s="580">
        <f t="shared" si="521"/>
        <v>0.3125</v>
      </c>
      <c r="I67" s="572">
        <f t="shared" si="522"/>
        <v>0.52</v>
      </c>
      <c r="J67" s="483">
        <f t="shared" si="523"/>
        <v>5.1210000000000004</v>
      </c>
      <c r="K67" s="806">
        <f t="shared" si="524"/>
        <v>1613</v>
      </c>
      <c r="L67" s="309"/>
      <c r="M67" s="164">
        <f t="shared" si="267"/>
        <v>5.1210000000000004</v>
      </c>
      <c r="N67" s="575">
        <f t="shared" si="268"/>
        <v>-3.3061561354230236</v>
      </c>
      <c r="O67" s="572">
        <f t="shared" si="269"/>
        <v>-1.4340576588644172</v>
      </c>
      <c r="P67" s="576">
        <f t="shared" si="270"/>
        <v>-0.61318320759072031</v>
      </c>
      <c r="Q67" s="528">
        <f t="shared" si="140"/>
        <v>203.44897021056667</v>
      </c>
      <c r="R67" s="572">
        <f>IF(M67="","",SQRT(N67^2+O67^2))</f>
        <v>3.6037743770584467</v>
      </c>
      <c r="S67" s="577">
        <f>IF(M67="","",P67)</f>
        <v>-0.61318320759072031</v>
      </c>
      <c r="T67" s="578">
        <f>IF(M67="","",X67*COS(RADIANS(W67)))</f>
        <v>-1.4650493926206145</v>
      </c>
      <c r="U67" s="572">
        <f>IF(M67="","",X67*SIN(RADIANS(W67)))</f>
        <v>3.2925400586667068</v>
      </c>
      <c r="V67" s="579">
        <f>IF(M67="","",Y67)</f>
        <v>-0.61318320759072031</v>
      </c>
      <c r="W67" s="528">
        <f t="shared" si="253"/>
        <v>113.98716213078514</v>
      </c>
      <c r="X67" s="572">
        <f>IF(M67="","",R67)</f>
        <v>3.6037743770584467</v>
      </c>
      <c r="Y67" s="573">
        <f t="shared" si="255"/>
        <v>-0.61318320759072031</v>
      </c>
      <c r="Z67" s="575">
        <f t="shared" si="271"/>
        <v>-0.21206984792240485</v>
      </c>
      <c r="AA67" s="572">
        <f t="shared" si="272"/>
        <v>0.94092429585517001</v>
      </c>
      <c r="AB67" s="572">
        <f t="shared" si="273"/>
        <v>-0.26398456218427013</v>
      </c>
      <c r="AC67" s="579">
        <f>IF(M67="","",SQRT(Z67^2+AA67^2+AB67^2))</f>
        <v>1</v>
      </c>
      <c r="AD67" s="580">
        <f>IF(M67="","",Z67*(1/SQRT(Z67^2+AA67^2+AB67^2)))</f>
        <v>-0.21206984792240485</v>
      </c>
      <c r="AE67" s="572">
        <f>IF(M67="","",AA67*(1/SQRT(Z67^2+AA67^2+AB67^2)))</f>
        <v>0.94092429585517001</v>
      </c>
      <c r="AF67" s="576">
        <f>IF(M67="","",AB67*(1/SQRT(Z67^2+AA67^2+AB67^2)))</f>
        <v>-0.26398456218427013</v>
      </c>
      <c r="AG67" s="545">
        <f>IF(M67="","",DEGREES(ATAN2(-AF67,AE67)))</f>
        <v>74.328070253212246</v>
      </c>
      <c r="AH67" s="546">
        <f>IF(M67="","",DEGREES(ACOS(AD67)))</f>
        <v>102.24367826145375</v>
      </c>
      <c r="AI67" s="528">
        <f>IF(M67="","",DEGREES(-ACOS(-AF67)))</f>
        <v>-74.693375945860581</v>
      </c>
      <c r="AJ67" s="529">
        <f>IF(M67="","",DEGREES(ATAN2(-AE67,AD67)))</f>
        <v>-167.2986439871863</v>
      </c>
      <c r="AK67" s="578">
        <f>IF(M67="","",(COS(RADIANS((90-$Q$8)-W67))*AD67)+(-SIN(RADIANS((90-$Q$8)-W67))*AE67))</f>
        <v>0.94760733221177218</v>
      </c>
      <c r="AL67" s="572">
        <f>IF(M67="","",(SIN(RADIANS((90-$Q$8)-W67))*AD67)+(COS(RADIANS((90-$Q$8)-W67))*AE67))</f>
        <v>-0.1798679928916414</v>
      </c>
      <c r="AM67" s="577">
        <f>IF(M67="","",AF67)</f>
        <v>-0.26398456218427013</v>
      </c>
      <c r="AN67" s="524">
        <f>IF(M67="","",DEGREES(ATAN2(-AM67,AL67)))</f>
        <v>-34.268873940555387</v>
      </c>
      <c r="AO67" s="525">
        <f t="shared" si="525"/>
        <v>18.628913293533735</v>
      </c>
      <c r="AP67" s="528">
        <f>IF(M67="","",DEGREES(ATAN2(AK67,AL67)))</f>
        <v>-10.74761419775297</v>
      </c>
      <c r="AQ67" s="529">
        <f t="shared" si="274"/>
        <v>1.2649827481293683</v>
      </c>
      <c r="AS67" s="932">
        <f t="shared" si="461"/>
        <v>113.98716213078514</v>
      </c>
      <c r="AT67" s="928">
        <f t="shared" si="275"/>
        <v>-0.275045825256093</v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5.1210000000000004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6"/>
        <v>1613</v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>
        <f t="shared" si="256"/>
        <v>0.02</v>
      </c>
      <c r="B68" s="578">
        <f t="shared" si="515"/>
        <v>-3.8030739544465963</v>
      </c>
      <c r="C68" s="572">
        <f t="shared" si="516"/>
        <v>-1.5941855551620545</v>
      </c>
      <c r="D68" s="576">
        <f t="shared" si="517"/>
        <v>-1.1474560089658508</v>
      </c>
      <c r="E68" s="580">
        <f t="shared" si="518"/>
        <v>9.5891637359119763E-2</v>
      </c>
      <c r="F68" s="572">
        <f t="shared" si="519"/>
        <v>-0.96541180862168952</v>
      </c>
      <c r="G68" s="579">
        <f t="shared" si="520"/>
        <v>0.24245583857351313</v>
      </c>
      <c r="H68" s="580">
        <f t="shared" si="521"/>
        <v>0.3125</v>
      </c>
      <c r="I68" s="572">
        <f t="shared" si="522"/>
        <v>0.52</v>
      </c>
      <c r="J68" s="483">
        <f t="shared" si="523"/>
        <v>5.1269999999999998</v>
      </c>
      <c r="K68" s="806">
        <f t="shared" si="524"/>
        <v>1613</v>
      </c>
      <c r="L68" s="309"/>
      <c r="M68" s="164">
        <f t="shared" si="267"/>
        <v>5.1269999999999998</v>
      </c>
      <c r="N68" s="575">
        <f t="shared" si="268"/>
        <v>-3.8030739544465963</v>
      </c>
      <c r="O68" s="572">
        <f t="shared" si="269"/>
        <v>-1.5941855551620545</v>
      </c>
      <c r="P68" s="576">
        <f t="shared" si="270"/>
        <v>-1.1474560089658508</v>
      </c>
      <c r="Q68" s="528">
        <f t="shared" si="140"/>
        <v>202.74262326099682</v>
      </c>
      <c r="R68" s="572">
        <f>IF(M68="","",SQRT(N68^2+O68^2))</f>
        <v>4.1236875593669096</v>
      </c>
      <c r="S68" s="577">
        <f>IF(M68="","",P68)</f>
        <v>-1.1474560089658508</v>
      </c>
      <c r="T68" s="578">
        <f>IF(M68="","",X68*COS(RADIANS(W68)))</f>
        <v>-1.6298378149807544</v>
      </c>
      <c r="U68" s="572">
        <f>IF(M68="","",X68*SIN(RADIANS(W68)))</f>
        <v>3.7879318610735568</v>
      </c>
      <c r="V68" s="579">
        <f>IF(M68="","",Y68)</f>
        <v>-1.1474560089658508</v>
      </c>
      <c r="W68" s="528">
        <f t="shared" si="253"/>
        <v>113.28081518121529</v>
      </c>
      <c r="X68" s="572">
        <f>IF(M68="","",R68)</f>
        <v>4.1236875593669096</v>
      </c>
      <c r="Y68" s="573">
        <f t="shared" si="255"/>
        <v>-1.1474560089658508</v>
      </c>
      <c r="Z68" s="575">
        <f t="shared" si="271"/>
        <v>-9.5891637359119763E-2</v>
      </c>
      <c r="AA68" s="572">
        <f t="shared" si="272"/>
        <v>0.96541180862168952</v>
      </c>
      <c r="AB68" s="572">
        <f t="shared" si="273"/>
        <v>-0.24245583857351313</v>
      </c>
      <c r="AC68" s="579">
        <f>IF(M68="","",SQRT(Z68^2+AA68^2+AB68^2))</f>
        <v>1</v>
      </c>
      <c r="AD68" s="580">
        <f>IF(M68="","",Z68*(1/SQRT(Z68^2+AA68^2+AB68^2)))</f>
        <v>-9.5891637359119763E-2</v>
      </c>
      <c r="AE68" s="572">
        <f>IF(M68="","",AA68*(1/SQRT(Z68^2+AA68^2+AB68^2)))</f>
        <v>0.96541180862168952</v>
      </c>
      <c r="AF68" s="576">
        <f>IF(M68="","",AB68*(1/SQRT(Z68^2+AA68^2+AB68^2)))</f>
        <v>-0.24245583857351313</v>
      </c>
      <c r="AG68" s="545">
        <f>IF(M68="","",DEGREES(ATAN2(-AF68,AE68)))</f>
        <v>75.902168690270884</v>
      </c>
      <c r="AH68" s="546">
        <f>IF(M68="","",DEGREES(ACOS(AD68)))</f>
        <v>95.502641172883969</v>
      </c>
      <c r="AI68" s="528">
        <f>IF(M68="","",DEGREES(-ACOS(-AF68)))</f>
        <v>-75.968468603333022</v>
      </c>
      <c r="AJ68" s="529">
        <f>IF(M68="","",DEGREES(ATAN2(-AE68,AD68)))</f>
        <v>-174.32757717913003</v>
      </c>
      <c r="AK68" s="578">
        <f>IF(M68="","",(COS(RADIANS((90-$Q$8)-W68))*AD68)+(-SIN(RADIANS((90-$Q$8)-W68))*AE68))</f>
        <v>0.92742272850812646</v>
      </c>
      <c r="AL68" s="572">
        <f>IF(M68="","",(SIN(RADIANS((90-$Q$8)-W68))*AD68)+(COS(RADIANS((90-$Q$8)-W68))*AE68))</f>
        <v>-0.28478456592335988</v>
      </c>
      <c r="AM68" s="577">
        <f>IF(M68="","",AF68)</f>
        <v>-0.24245583857351313</v>
      </c>
      <c r="AN68" s="524">
        <f>IF(M68="","",DEGREES(ATAN2(-AM68,AL68)))</f>
        <v>-49.590063364549835</v>
      </c>
      <c r="AO68" s="525">
        <f t="shared" si="525"/>
        <v>21.963435541553316</v>
      </c>
      <c r="AP68" s="528">
        <f>IF(M68="","",DEGREES(ATAN2(AK68,AL68)))</f>
        <v>-17.070200440126847</v>
      </c>
      <c r="AQ68" s="529">
        <f t="shared" si="274"/>
        <v>1.105536572727567</v>
      </c>
      <c r="AS68" s="932">
        <f t="shared" si="461"/>
        <v>113.28081518121529</v>
      </c>
      <c r="AT68" s="928">
        <f t="shared" si="275"/>
        <v>-0.80833758920126542</v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5.1269999999999998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1613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0.02</v>
      </c>
      <c r="B69" s="578">
        <f t="shared" si="515"/>
        <v>-4.1379393459896185</v>
      </c>
      <c r="C69" s="572">
        <f t="shared" si="516"/>
        <v>-1.6910756351152896</v>
      </c>
      <c r="D69" s="576">
        <f t="shared" si="517"/>
        <v>-1.8077523837802918</v>
      </c>
      <c r="E69" s="580">
        <f t="shared" si="518"/>
        <v>-1.6078566625609345E-2</v>
      </c>
      <c r="F69" s="572">
        <f t="shared" si="519"/>
        <v>-0.9831531663898081</v>
      </c>
      <c r="G69" s="579">
        <f t="shared" si="520"/>
        <v>0.18207506999301165</v>
      </c>
      <c r="H69" s="580">
        <f t="shared" si="521"/>
        <v>0.3125</v>
      </c>
      <c r="I69" s="572">
        <f t="shared" si="522"/>
        <v>0.52</v>
      </c>
      <c r="J69" s="483">
        <f t="shared" si="523"/>
        <v>5.133</v>
      </c>
      <c r="K69" s="806">
        <f t="shared" si="524"/>
        <v>1613</v>
      </c>
      <c r="L69" s="309"/>
      <c r="M69" s="164">
        <f t="shared" si="267"/>
        <v>5.133</v>
      </c>
      <c r="N69" s="575">
        <f t="shared" si="268"/>
        <v>-4.1379393459896185</v>
      </c>
      <c r="O69" s="572">
        <f t="shared" si="269"/>
        <v>-1.6910756351152896</v>
      </c>
      <c r="P69" s="576">
        <f t="shared" si="270"/>
        <v>-1.8077523837802918</v>
      </c>
      <c r="Q69" s="528">
        <f t="shared" si="140"/>
        <v>202.2286459918156</v>
      </c>
      <c r="R69" s="572">
        <f t="shared" si="101"/>
        <v>4.4701542294164271</v>
      </c>
      <c r="S69" s="577">
        <f t="shared" si="102"/>
        <v>-1.8077523837802918</v>
      </c>
      <c r="T69" s="578">
        <f t="shared" si="103"/>
        <v>-1.7298690389115028</v>
      </c>
      <c r="U69" s="572">
        <f t="shared" si="104"/>
        <v>4.12187238315125</v>
      </c>
      <c r="V69" s="579">
        <f t="shared" si="141"/>
        <v>-1.8077523837802918</v>
      </c>
      <c r="W69" s="528">
        <f t="shared" si="253"/>
        <v>112.76683791203406</v>
      </c>
      <c r="X69" s="572">
        <f t="shared" si="105"/>
        <v>4.4701542294164271</v>
      </c>
      <c r="Y69" s="573">
        <f t="shared" si="255"/>
        <v>-1.8077523837802918</v>
      </c>
      <c r="Z69" s="575">
        <f t="shared" si="271"/>
        <v>1.6078566625609345E-2</v>
      </c>
      <c r="AA69" s="572">
        <f t="shared" si="272"/>
        <v>0.9831531663898081</v>
      </c>
      <c r="AB69" s="572">
        <f t="shared" si="273"/>
        <v>-0.18207506999301165</v>
      </c>
      <c r="AC69" s="579">
        <f t="shared" si="106"/>
        <v>1</v>
      </c>
      <c r="AD69" s="580">
        <f t="shared" si="142"/>
        <v>1.6078566625609345E-2</v>
      </c>
      <c r="AE69" s="572">
        <f t="shared" si="107"/>
        <v>0.9831531663898081</v>
      </c>
      <c r="AF69" s="576">
        <f t="shared" si="108"/>
        <v>-0.18207506999301165</v>
      </c>
      <c r="AG69" s="545">
        <f t="shared" si="109"/>
        <v>79.507978196722704</v>
      </c>
      <c r="AH69" s="546">
        <f t="shared" si="110"/>
        <v>89.078726294164909</v>
      </c>
      <c r="AI69" s="528">
        <f t="shared" si="111"/>
        <v>-79.509349847985831</v>
      </c>
      <c r="AJ69" s="529">
        <f t="shared" si="112"/>
        <v>179.06306369842429</v>
      </c>
      <c r="AK69" s="578">
        <f t="shared" si="238"/>
        <v>0.90400417763618668</v>
      </c>
      <c r="AL69" s="572">
        <f t="shared" si="113"/>
        <v>-0.3868140583062637</v>
      </c>
      <c r="AM69" s="577">
        <f t="shared" si="114"/>
        <v>-0.18207506999301165</v>
      </c>
      <c r="AN69" s="524">
        <f t="shared" si="115"/>
        <v>-64.793428678397888</v>
      </c>
      <c r="AO69" s="525">
        <f t="shared" si="525"/>
        <v>25.310505283617825</v>
      </c>
      <c r="AP69" s="528">
        <f t="shared" si="117"/>
        <v>-23.165582293391303</v>
      </c>
      <c r="AQ69" s="529">
        <f t="shared" si="274"/>
        <v>1.0198689970880195</v>
      </c>
      <c r="AS69" s="932">
        <f t="shared" si="461"/>
        <v>112.76683791203406</v>
      </c>
      <c r="AT69" s="928">
        <f t="shared" si="275"/>
        <v>-1.4679201066973993</v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5.133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1613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0.02</v>
      </c>
      <c r="B70" s="578">
        <f t="shared" si="515"/>
        <v>-4.2909124952016873</v>
      </c>
      <c r="C70" s="572">
        <f t="shared" si="516"/>
        <v>-1.732172767095804</v>
      </c>
      <c r="D70" s="576">
        <f t="shared" si="517"/>
        <v>-2.5365926546600965</v>
      </c>
      <c r="E70" s="580">
        <f t="shared" si="518"/>
        <v>-0.10953056954288305</v>
      </c>
      <c r="F70" s="572">
        <f t="shared" si="519"/>
        <v>-0.99043888188152318</v>
      </c>
      <c r="G70" s="579">
        <f t="shared" si="520"/>
        <v>8.3868203706112157E-2</v>
      </c>
      <c r="H70" s="580">
        <f t="shared" si="521"/>
        <v>0.3125</v>
      </c>
      <c r="I70" s="572">
        <f t="shared" si="522"/>
        <v>0.52</v>
      </c>
      <c r="J70" s="483">
        <f t="shared" si="523"/>
        <v>5.1390000000000002</v>
      </c>
      <c r="K70" s="806">
        <f t="shared" si="524"/>
        <v>1613</v>
      </c>
      <c r="L70" s="309"/>
      <c r="M70" s="164">
        <f t="shared" si="267"/>
        <v>5.1390000000000002</v>
      </c>
      <c r="N70" s="575">
        <f t="shared" si="268"/>
        <v>-4.2909124952016873</v>
      </c>
      <c r="O70" s="572">
        <f t="shared" si="269"/>
        <v>-1.732172767095804</v>
      </c>
      <c r="P70" s="576">
        <f t="shared" si="270"/>
        <v>-2.5365926546600965</v>
      </c>
      <c r="Q70" s="528">
        <f t="shared" si="140"/>
        <v>201.98314205071222</v>
      </c>
      <c r="R70" s="572">
        <f t="shared" si="101"/>
        <v>4.6273483266927622</v>
      </c>
      <c r="S70" s="577">
        <f t="shared" si="102"/>
        <v>-2.5365926546600965</v>
      </c>
      <c r="T70" s="578">
        <f t="shared" si="103"/>
        <v>-1.7724012473216002</v>
      </c>
      <c r="U70" s="572">
        <f t="shared" si="104"/>
        <v>4.2744527550365019</v>
      </c>
      <c r="V70" s="579">
        <f t="shared" si="141"/>
        <v>-2.5365926546600965</v>
      </c>
      <c r="W70" s="528">
        <f t="shared" si="253"/>
        <v>112.52133397093068</v>
      </c>
      <c r="X70" s="572">
        <f t="shared" si="105"/>
        <v>4.6273483266927622</v>
      </c>
      <c r="Y70" s="573">
        <f t="shared" si="255"/>
        <v>-2.5365926546600965</v>
      </c>
      <c r="Z70" s="575">
        <f t="shared" si="271"/>
        <v>0.10953056954288305</v>
      </c>
      <c r="AA70" s="572">
        <f t="shared" si="272"/>
        <v>0.99043888188152318</v>
      </c>
      <c r="AB70" s="572">
        <f t="shared" si="273"/>
        <v>-8.3868203706112157E-2</v>
      </c>
      <c r="AC70" s="579">
        <f t="shared" si="106"/>
        <v>1</v>
      </c>
      <c r="AD70" s="580">
        <f t="shared" si="142"/>
        <v>0.10953056954288305</v>
      </c>
      <c r="AE70" s="572">
        <f t="shared" si="107"/>
        <v>0.99043888188152318</v>
      </c>
      <c r="AF70" s="576">
        <f t="shared" si="108"/>
        <v>-8.3868203706112157E-2</v>
      </c>
      <c r="AG70" s="545">
        <f t="shared" si="109"/>
        <v>85.159864814350385</v>
      </c>
      <c r="AH70" s="546">
        <f t="shared" si="110"/>
        <v>83.711744323311862</v>
      </c>
      <c r="AI70" s="528">
        <f t="shared" si="111"/>
        <v>-85.189054679668416</v>
      </c>
      <c r="AJ70" s="529">
        <f t="shared" si="112"/>
        <v>173.68942138521393</v>
      </c>
      <c r="AK70" s="578">
        <f t="shared" si="238"/>
        <v>0.87742707434653011</v>
      </c>
      <c r="AL70" s="572">
        <f t="shared" si="113"/>
        <v>-0.47232176914768509</v>
      </c>
      <c r="AM70" s="577">
        <f t="shared" si="114"/>
        <v>-8.3868203706112157E-2</v>
      </c>
      <c r="AN70" s="524">
        <f t="shared" si="115"/>
        <v>-79.931174495836203</v>
      </c>
      <c r="AO70" s="525">
        <f t="shared" si="525"/>
        <v>28.666466441807767</v>
      </c>
      <c r="AP70" s="528">
        <f t="shared" si="117"/>
        <v>-28.293720665498281</v>
      </c>
      <c r="AQ70" s="529">
        <f t="shared" si="274"/>
        <v>0.98523031871696798</v>
      </c>
      <c r="AS70" s="932">
        <f t="shared" si="461"/>
        <v>112.52133397093068</v>
      </c>
      <c r="AT70" s="928">
        <f t="shared" si="275"/>
        <v>-2.1964193998812269</v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5.1390000000000002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6"/>
        <v>1613</v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>
        <f t="shared" si="256"/>
        <v>0.02</v>
      </c>
      <c r="B71" s="578">
        <f t="shared" si="515"/>
        <v>-4.3438174685859137</v>
      </c>
      <c r="C71" s="572">
        <f t="shared" si="516"/>
        <v>-1.7460278744445905</v>
      </c>
      <c r="D71" s="576">
        <f t="shared" si="517"/>
        <v>-3.3419917150732079</v>
      </c>
      <c r="E71" s="580">
        <f t="shared" si="518"/>
        <v>-0.13550903763505226</v>
      </c>
      <c r="F71" s="572">
        <f t="shared" si="519"/>
        <v>-0.9898172822511484</v>
      </c>
      <c r="G71" s="579">
        <f t="shared" si="520"/>
        <v>4.357807334167578E-2</v>
      </c>
      <c r="H71" s="580">
        <f t="shared" si="521"/>
        <v>0.3125</v>
      </c>
      <c r="I71" s="572">
        <f t="shared" si="522"/>
        <v>0.52</v>
      </c>
      <c r="J71" s="483">
        <f t="shared" si="523"/>
        <v>5.1449999999999996</v>
      </c>
      <c r="K71" s="806">
        <f t="shared" si="524"/>
        <v>1613</v>
      </c>
      <c r="L71" s="309"/>
      <c r="M71" s="164">
        <f t="shared" si="267"/>
        <v>5.1449999999999996</v>
      </c>
      <c r="N71" s="575">
        <f t="shared" si="268"/>
        <v>-4.3438174685859137</v>
      </c>
      <c r="O71" s="572">
        <f t="shared" si="269"/>
        <v>-1.7460278744445905</v>
      </c>
      <c r="P71" s="576">
        <f t="shared" si="270"/>
        <v>-3.3419917150732079</v>
      </c>
      <c r="Q71" s="528">
        <f t="shared" si="140"/>
        <v>201.89800655149767</v>
      </c>
      <c r="R71" s="572">
        <f t="shared" si="101"/>
        <v>4.6815983957116218</v>
      </c>
      <c r="S71" s="577">
        <f t="shared" si="102"/>
        <v>-3.3419917150732079</v>
      </c>
      <c r="T71" s="578">
        <f t="shared" si="103"/>
        <v>-1.7867526842388111</v>
      </c>
      <c r="U71" s="572">
        <f t="shared" si="104"/>
        <v>4.3272252522944816</v>
      </c>
      <c r="V71" s="579">
        <f t="shared" si="141"/>
        <v>-3.3419917150732079</v>
      </c>
      <c r="W71" s="528">
        <f t="shared" si="253"/>
        <v>112.43619847171614</v>
      </c>
      <c r="X71" s="572">
        <f t="shared" si="105"/>
        <v>4.6815983957116218</v>
      </c>
      <c r="Y71" s="573">
        <f t="shared" si="255"/>
        <v>-3.3419917150732079</v>
      </c>
      <c r="Z71" s="575">
        <f t="shared" si="271"/>
        <v>0.13550903763505226</v>
      </c>
      <c r="AA71" s="572">
        <f t="shared" si="272"/>
        <v>0.9898172822511484</v>
      </c>
      <c r="AB71" s="572">
        <f t="shared" si="273"/>
        <v>-4.357807334167578E-2</v>
      </c>
      <c r="AC71" s="579">
        <f t="shared" si="106"/>
        <v>1</v>
      </c>
      <c r="AD71" s="580">
        <f t="shared" si="142"/>
        <v>0.13550903763505226</v>
      </c>
      <c r="AE71" s="572">
        <f t="shared" si="107"/>
        <v>0.9898172822511484</v>
      </c>
      <c r="AF71" s="576">
        <f t="shared" si="108"/>
        <v>-4.357807334167578E-2</v>
      </c>
      <c r="AG71" s="545">
        <f t="shared" si="109"/>
        <v>87.479102079287827</v>
      </c>
      <c r="AH71" s="546">
        <f t="shared" si="110"/>
        <v>82.211943910415357</v>
      </c>
      <c r="AI71" s="528">
        <f t="shared" si="111"/>
        <v>-87.502369372171458</v>
      </c>
      <c r="AJ71" s="529">
        <f t="shared" si="112"/>
        <v>172.2044923987637</v>
      </c>
      <c r="AK71" s="578">
        <f t="shared" si="238"/>
        <v>0.86786236259020677</v>
      </c>
      <c r="AL71" s="572">
        <f t="shared" si="113"/>
        <v>-0.49488975653489953</v>
      </c>
      <c r="AM71" s="577">
        <f t="shared" si="114"/>
        <v>-4.357807334167578E-2</v>
      </c>
      <c r="AN71" s="524">
        <f t="shared" si="115"/>
        <v>-84.967735525253516</v>
      </c>
      <c r="AO71" s="525">
        <f t="shared" si="525"/>
        <v>29.788825501047679</v>
      </c>
      <c r="AP71" s="528">
        <f t="shared" si="117"/>
        <v>-29.693514152733965</v>
      </c>
      <c r="AQ71" s="529">
        <f t="shared" si="274"/>
        <v>0.97381574291614081</v>
      </c>
      <c r="AS71" s="932">
        <f t="shared" si="461"/>
        <v>112.43619847171614</v>
      </c>
      <c r="AT71" s="928">
        <f t="shared" si="275"/>
        <v>-3.0017002165454292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5.1449999999999996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6"/>
        <v>1613</v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>
        <f t="shared" si="256"/>
        <v>0.02</v>
      </c>
      <c r="B72" s="578">
        <f t="shared" si="515"/>
        <v>-2.9268792464065112</v>
      </c>
      <c r="C72" s="572">
        <f t="shared" si="516"/>
        <v>-0.39814821177270865</v>
      </c>
      <c r="D72" s="576">
        <f t="shared" si="517"/>
        <v>-0.24943470066409326</v>
      </c>
      <c r="E72" s="580">
        <f t="shared" si="518"/>
        <v>4.2436832912363227E-2</v>
      </c>
      <c r="F72" s="572">
        <f t="shared" si="519"/>
        <v>-0.96494077236468667</v>
      </c>
      <c r="G72" s="579">
        <f t="shared" si="520"/>
        <v>0.25901432593702273</v>
      </c>
      <c r="H72" s="580">
        <f t="shared" si="521"/>
        <v>0.26450000000000001</v>
      </c>
      <c r="I72" s="572">
        <f t="shared" si="522"/>
        <v>0.39400000000000002</v>
      </c>
      <c r="J72" s="483">
        <f t="shared" si="523"/>
        <v>5.2149999999999999</v>
      </c>
      <c r="K72" s="806">
        <f t="shared" si="524"/>
        <v>1310</v>
      </c>
      <c r="L72" s="309"/>
      <c r="M72" s="164">
        <f t="shared" si="267"/>
        <v>5.2149999999999999</v>
      </c>
      <c r="N72" s="575">
        <f t="shared" si="268"/>
        <v>-2.9268792464065112</v>
      </c>
      <c r="O72" s="572">
        <f t="shared" si="269"/>
        <v>-0.39814821177270865</v>
      </c>
      <c r="P72" s="576">
        <f t="shared" si="270"/>
        <v>-0.24943470066409326</v>
      </c>
      <c r="Q72" s="528">
        <f t="shared" si="140"/>
        <v>187.74649099037671</v>
      </c>
      <c r="R72" s="572">
        <f t="shared" si="101"/>
        <v>2.9538354933176207</v>
      </c>
      <c r="S72" s="577">
        <f t="shared" si="102"/>
        <v>-0.24943470066409326</v>
      </c>
      <c r="T72" s="578">
        <f t="shared" si="103"/>
        <v>-0.42562306643059705</v>
      </c>
      <c r="U72" s="572">
        <f t="shared" si="104"/>
        <v>2.923010285117924</v>
      </c>
      <c r="V72" s="579">
        <f t="shared" si="141"/>
        <v>-0.24943470066409326</v>
      </c>
      <c r="W72" s="528">
        <f t="shared" si="253"/>
        <v>98.28468291059518</v>
      </c>
      <c r="X72" s="572">
        <f t="shared" si="105"/>
        <v>2.9538354933176207</v>
      </c>
      <c r="Y72" s="573">
        <f t="shared" si="255"/>
        <v>-0.24943470066409326</v>
      </c>
      <c r="Z72" s="575">
        <f t="shared" si="271"/>
        <v>-4.2436832912363227E-2</v>
      </c>
      <c r="AA72" s="572">
        <f t="shared" si="272"/>
        <v>0.96494077236468667</v>
      </c>
      <c r="AB72" s="572">
        <f t="shared" si="273"/>
        <v>-0.25901432593702273</v>
      </c>
      <c r="AC72" s="579">
        <f t="shared" si="106"/>
        <v>1</v>
      </c>
      <c r="AD72" s="580">
        <f t="shared" si="142"/>
        <v>-4.2436832912363227E-2</v>
      </c>
      <c r="AE72" s="572">
        <f t="shared" si="107"/>
        <v>0.96494077236468667</v>
      </c>
      <c r="AF72" s="576">
        <f t="shared" si="108"/>
        <v>-0.25901432593702273</v>
      </c>
      <c r="AG72" s="545">
        <f t="shared" si="109"/>
        <v>74.974561963716852</v>
      </c>
      <c r="AH72" s="546">
        <f t="shared" si="110"/>
        <v>92.432181807818296</v>
      </c>
      <c r="AI72" s="528">
        <f t="shared" si="111"/>
        <v>-74.988416221536639</v>
      </c>
      <c r="AJ72" s="529">
        <f t="shared" si="112"/>
        <v>-177.48182921612718</v>
      </c>
      <c r="AK72" s="578">
        <f t="shared" si="238"/>
        <v>0.9618549429074521</v>
      </c>
      <c r="AL72" s="572">
        <f t="shared" si="113"/>
        <v>-8.8015042827303547E-2</v>
      </c>
      <c r="AM72" s="577">
        <f t="shared" si="114"/>
        <v>-0.25901432593702273</v>
      </c>
      <c r="AN72" s="524">
        <f t="shared" si="115"/>
        <v>-18.768152489067734</v>
      </c>
      <c r="AO72" s="525">
        <f t="shared" si="525"/>
        <v>15.876217412548954</v>
      </c>
      <c r="AP72" s="528">
        <f t="shared" si="117"/>
        <v>-5.2283202065038958</v>
      </c>
      <c r="AQ72" s="529">
        <f t="shared" si="274"/>
        <v>1.543197207230051</v>
      </c>
      <c r="AS72" s="932">
        <f t="shared" si="461"/>
        <v>98.28468291059518</v>
      </c>
      <c r="AT72" s="928">
        <f t="shared" si="275"/>
        <v>0.11051168058746455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>Nose</v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6"/>
        <v>5.2149999999999999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5.1150000000000002</v>
      </c>
      <c r="IK72" s="677" cm="1">
        <f t="array" ref="IK72">IFERROR(ROUND(VALUE(IF($IJ72&lt;1,$IJ72+LARGE((IF($M$9:$M$150="",0,$M$9:$M$150)-MOD(IF($M$9:$M$150="",0,$M$9:$M$150),1)),1),$IJ72)),4),"")</f>
        <v>5.1150000000000002</v>
      </c>
      <c r="IL72" s="482">
        <f t="shared" si="426"/>
        <v>1613</v>
      </c>
      <c r="IM72" s="482">
        <f t="shared" si="237"/>
        <v>1310</v>
      </c>
      <c r="IN72" s="670">
        <f t="shared" si="427"/>
        <v>16.409444048965582</v>
      </c>
      <c r="IO72" s="702">
        <v>2.83818436082795E-2</v>
      </c>
      <c r="IP72" s="5">
        <f t="shared" si="428"/>
        <v>0.62</v>
      </c>
      <c r="IQ72" s="714">
        <v>310</v>
      </c>
      <c r="IR72" s="9">
        <f t="shared" si="429"/>
        <v>-2.9448949404755744</v>
      </c>
      <c r="IS72" s="5">
        <f t="shared" si="430"/>
        <v>-0.26488175123826774</v>
      </c>
      <c r="IT72" s="5">
        <f t="shared" si="431"/>
        <v>0.3125</v>
      </c>
      <c r="IU72" s="5">
        <f t="shared" si="432"/>
        <v>0.30058021324208078</v>
      </c>
      <c r="IV72" s="670">
        <f t="shared" si="433"/>
        <v>18.764382264774945</v>
      </c>
      <c r="IW72" s="9">
        <f t="shared" si="434"/>
        <v>-2.9538354933176207</v>
      </c>
      <c r="IX72" s="5">
        <f t="shared" si="435"/>
        <v>-0.24943470066409326</v>
      </c>
      <c r="IY72" s="5">
        <f t="shared" si="436"/>
        <v>0.26450000000000001</v>
      </c>
      <c r="IZ72" s="5">
        <f t="shared" si="437"/>
        <v>0.25441063239902112</v>
      </c>
      <c r="JA72" s="705">
        <f t="shared" si="438"/>
        <v>18.768152489067734</v>
      </c>
    </row>
    <row r="73" spans="1:261" ht="15" customHeight="1" x14ac:dyDescent="0.25">
      <c r="A73" s="75">
        <f t="shared" si="256"/>
        <v>0.02</v>
      </c>
      <c r="B73" s="578">
        <f t="shared" si="515"/>
        <v>-3.5622096568914068</v>
      </c>
      <c r="C73" s="572">
        <f t="shared" si="516"/>
        <v>-0.63500641137762015</v>
      </c>
      <c r="D73" s="576">
        <f t="shared" si="517"/>
        <v>-0.59975738168998849</v>
      </c>
      <c r="E73" s="580">
        <f t="shared" si="518"/>
        <v>-1.0796227663284447E-2</v>
      </c>
      <c r="F73" s="572">
        <f t="shared" si="519"/>
        <v>-0.96446648070144025</v>
      </c>
      <c r="G73" s="579">
        <f t="shared" si="520"/>
        <v>0.26398456218427013</v>
      </c>
      <c r="H73" s="580">
        <f t="shared" si="521"/>
        <v>0.26450000000000001</v>
      </c>
      <c r="I73" s="572">
        <f t="shared" si="522"/>
        <v>0.52</v>
      </c>
      <c r="J73" s="483">
        <f t="shared" si="523"/>
        <v>5.2210000000000001</v>
      </c>
      <c r="K73" s="806">
        <f t="shared" si="524"/>
        <v>1313</v>
      </c>
      <c r="L73" s="309"/>
      <c r="M73" s="164">
        <f t="shared" ref="M73:M104" si="526">IF(J73="","",VALUE(J73))</f>
        <v>5.2210000000000001</v>
      </c>
      <c r="N73" s="575">
        <f t="shared" ref="N73:N104" si="527">IF(M73="","",B73)</f>
        <v>-3.5622096568914068</v>
      </c>
      <c r="O73" s="572">
        <f t="shared" ref="O73:O104" si="528">IF(M73="","",C73)</f>
        <v>-0.63500641137762015</v>
      </c>
      <c r="P73" s="576">
        <f t="shared" ref="P73:P104" si="529">IF(M73="","",D73)</f>
        <v>-0.59975738168998849</v>
      </c>
      <c r="Q73" s="528">
        <f t="shared" si="140"/>
        <v>190.10748643208879</v>
      </c>
      <c r="R73" s="572">
        <f>IF(M73="","",SQRT(N73^2+O73^2))</f>
        <v>3.6183657612437519</v>
      </c>
      <c r="S73" s="577">
        <f>IF(M73="","",P73)</f>
        <v>-0.59975738168998849</v>
      </c>
      <c r="T73" s="578">
        <f>IF(M73="","",X73*COS(RADIANS(W73)))</f>
        <v>-0.66843852800965742</v>
      </c>
      <c r="U73" s="572">
        <f>IF(M73="","",X73*SIN(RADIANS(W73)))</f>
        <v>3.5560878386807824</v>
      </c>
      <c r="V73" s="579">
        <f>IF(M73="","",Y73)</f>
        <v>-0.59975738168998849</v>
      </c>
      <c r="W73" s="528">
        <f t="shared" si="253"/>
        <v>100.64567835230726</v>
      </c>
      <c r="X73" s="572">
        <f>IF(M73="","",R73)</f>
        <v>3.6183657612437519</v>
      </c>
      <c r="Y73" s="573">
        <f t="shared" si="255"/>
        <v>-0.59975738168998849</v>
      </c>
      <c r="Z73" s="575">
        <f t="shared" ref="Z73:Z104" si="530">IF(M73="","",-E73)</f>
        <v>1.0796227663284447E-2</v>
      </c>
      <c r="AA73" s="572">
        <f t="shared" ref="AA73:AA104" si="531">IF(M73="","",-F73)</f>
        <v>0.96446648070144025</v>
      </c>
      <c r="AB73" s="572">
        <f t="shared" ref="AB73:AB104" si="532">IF(M73="","",-G73)</f>
        <v>-0.26398456218427013</v>
      </c>
      <c r="AC73" s="579">
        <f>IF(M73="","",SQRT(Z73^2+AA73^2+AB73^2))</f>
        <v>1</v>
      </c>
      <c r="AD73" s="580">
        <f>IF(M73="","",Z73*(1/SQRT(Z73^2+AA73^2+AB73^2)))</f>
        <v>1.0796227663284447E-2</v>
      </c>
      <c r="AE73" s="572">
        <f>IF(M73="","",AA73*(1/SQRT(Z73^2+AA73^2+AB73^2)))</f>
        <v>0.96446648070144025</v>
      </c>
      <c r="AF73" s="576">
        <f>IF(M73="","",AB73*(1/SQRT(Z73^2+AA73^2+AB73^2)))</f>
        <v>-0.26398456218427013</v>
      </c>
      <c r="AG73" s="545">
        <f>IF(M73="","",DEGREES(ATAN2(-AF73,AE73)))</f>
        <v>74.692461959312411</v>
      </c>
      <c r="AH73" s="546">
        <f>IF(M73="","",DEGREES(ACOS(AD73)))</f>
        <v>89.381409702838397</v>
      </c>
      <c r="AI73" s="528">
        <f>IF(M73="","",DEGREES(-ACOS(-AF73)))</f>
        <v>-74.693375945860581</v>
      </c>
      <c r="AJ73" s="529">
        <f>IF(M73="","",DEGREES(ATAN2(-AE73,AD73)))</f>
        <v>179.35865843238574</v>
      </c>
      <c r="AK73" s="578">
        <f>IF(M73="","",(COS(RADIANS((90-$Q$8)-W73))*AD73)+(-SIN(RADIANS((90-$Q$8)-W73))*AE73))</f>
        <v>0.94760352152439065</v>
      </c>
      <c r="AL73" s="572">
        <f>IF(M73="","",(SIN(RADIANS((90-$Q$8)-W73))*AD73)+(COS(RADIANS((90-$Q$8)-W73))*AE73))</f>
        <v>-0.17988806776146304</v>
      </c>
      <c r="AM73" s="577">
        <f>IF(M73="","",AF73)</f>
        <v>-0.26398456218427013</v>
      </c>
      <c r="AN73" s="524">
        <f>IF(M73="","",DEGREES(ATAN2(-AM73,AL73)))</f>
        <v>-34.271849486210627</v>
      </c>
      <c r="AO73" s="525">
        <f t="shared" si="525"/>
        <v>18.629596783767084</v>
      </c>
      <c r="AP73" s="528">
        <f>IF(M73="","",DEGREES(ATAN2(AK73,AL73)))</f>
        <v>-10.748827999703025</v>
      </c>
      <c r="AQ73" s="529">
        <f t="shared" ref="AQ73:AQ104" si="533">IF(M73="","",DEGREES(ATAN(($AS$5*SIN(RADIANS(90)))/(($X73*2*PI())-($AS$5*COS(RADIANS(90)))))))</f>
        <v>1.2598832393504176</v>
      </c>
      <c r="AS73" s="932">
        <f t="shared" si="461"/>
        <v>100.64567835230726</v>
      </c>
      <c r="AT73" s="928">
        <f t="shared" ref="AT73:AT104" si="534">IF(M73="","",Y73+(((AS73-$AS$9)*$AS$6)*-1))</f>
        <v>-0.24309016077414192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>Nose</v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5.2210000000000001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5.1210000000000004</v>
      </c>
      <c r="IK73" s="677" cm="1">
        <f t="array" ref="IK73">IFERROR(ROUND(VALUE(IF($IJ73&lt;1,$IJ73+LARGE((IF($M$9:$M$150="",0,$M$9:$M$150)-MOD(IF($M$9:$M$150="",0,$M$9:$M$150),1)),1),$IJ73)),4),"")</f>
        <v>5.1210000000000004</v>
      </c>
      <c r="IL73" s="482">
        <f t="shared" ref="IL73:IL104" si="596">IF(ISNUMBER($IK73),INDEX($K$9:$K$150,MATCH($IK73,$M$9:$M$150,0)),$K73)</f>
        <v>1613</v>
      </c>
      <c r="IM73" s="482">
        <f t="shared" si="237"/>
        <v>1313</v>
      </c>
      <c r="IN73" s="670">
        <f t="shared" ref="IN73:IN104" si="597">IF(ISNUMBER($IK73),IFERROR(IF(INDEX($W$9:$W$150,MATCH($IK73,$M$9:$M$150,0))&lt;$W73,((INDEX($W$9:$W$150,MATCH($IK73,$M$9:$M$150,0))+360)-$W73),INDEX($W$9:$W$150,MATCH($IK73,$M$9:$M$150,0))-$W73),""),"")</f>
        <v>13.34148377847788</v>
      </c>
      <c r="IO73" s="702">
        <v>2.5764460892970398E-2</v>
      </c>
      <c r="IP73" s="5">
        <f t="shared" ref="IP73:IP104" si="598">IF(ISNUMBER($IK73),(($IQ73*12)/60)/$AS$3,"")</f>
        <v>0.76</v>
      </c>
      <c r="IQ73" s="714">
        <v>380</v>
      </c>
      <c r="IR73" s="9">
        <f t="shared" ref="IR73:IR104" si="599">IF(ISNUMBER($IK73),(INDEX($X$9:$X$150,MATCH($IK73,$M$9:$M$150,0))*-1),"")</f>
        <v>-3.6037743770584467</v>
      </c>
      <c r="IS73" s="5">
        <f t="shared" ref="IS73:IS104" si="600">IF(ISNUMBER($IK73),INDEX($Y$9:$Y$150,MATCH($IK73,$M$9:$M$150,0)),"")</f>
        <v>-0.61318320759072031</v>
      </c>
      <c r="IT73" s="5">
        <f t="shared" ref="IT73:IT104" si="601">IF(ISNUMBER($IK73),INDEX($H$9:$H$150,MATCH($IK73,$M$9:$M$150,0)),"")</f>
        <v>0.3125</v>
      </c>
      <c r="IU73" s="5">
        <f t="shared" ref="IU73:IU104" si="602">IF(ISNUMBER($IK73),$IT73*COS(RADIANS(INDEX($AO$9:$AO$150,MATCH($IK73,$M$9:$M$150,0)))),"")</f>
        <v>0.29612729131617882</v>
      </c>
      <c r="IV73" s="670">
        <f t="shared" ref="IV73:IV104" si="603">IF(ISNUMBER($IK73),(-1*INDEX($AN$9:$AN$150,MATCH($IK73,$M$9:$M$150,0))),"")</f>
        <v>34.268873940555387</v>
      </c>
      <c r="IW73" s="9">
        <f t="shared" ref="IW73:IW104" si="604">IF(ISNUMBER($IK73),-$X73,"")</f>
        <v>-3.6183657612437519</v>
      </c>
      <c r="IX73" s="5">
        <f t="shared" ref="IX73:IX104" si="605">IF(ISNUMBER($IK73),$Y73,"")</f>
        <v>-0.59975738168998849</v>
      </c>
      <c r="IY73" s="5">
        <f t="shared" ref="IY73:IY104" si="606">IF(ISNUMBER($IK73),$H73,"")</f>
        <v>0.26450000000000001</v>
      </c>
      <c r="IZ73" s="5">
        <f t="shared" ref="IZ73:IZ104" si="607">IF(ISNUMBER($IK73),$IY73*COS(RADIANS($AO73)),"")</f>
        <v>0.25064113144320133</v>
      </c>
      <c r="JA73" s="705">
        <f t="shared" ref="JA73:JA104" si="608">IF(ISNUMBER($IK73),(-1*$AN73),"")</f>
        <v>34.271849486210627</v>
      </c>
    </row>
    <row r="74" spans="1:261" ht="15" customHeight="1" x14ac:dyDescent="0.25">
      <c r="A74" s="75">
        <f t="shared" si="256"/>
        <v>0.02</v>
      </c>
      <c r="B74" s="578">
        <f t="shared" si="515"/>
        <v>-4.0647444758704205</v>
      </c>
      <c r="C74" s="572">
        <f t="shared" si="516"/>
        <v>-0.79843651503067881</v>
      </c>
      <c r="D74" s="576">
        <f t="shared" si="517"/>
        <v>-1.1381984578039184</v>
      </c>
      <c r="E74" s="580">
        <f t="shared" si="518"/>
        <v>-0.1007067009545886</v>
      </c>
      <c r="F74" s="572">
        <f t="shared" si="519"/>
        <v>-0.9649214096103671</v>
      </c>
      <c r="G74" s="579">
        <f t="shared" si="520"/>
        <v>0.24245583857351316</v>
      </c>
      <c r="H74" s="580">
        <f t="shared" si="521"/>
        <v>0.26450000000000001</v>
      </c>
      <c r="I74" s="572">
        <f t="shared" si="522"/>
        <v>0.52</v>
      </c>
      <c r="J74" s="483">
        <f t="shared" si="523"/>
        <v>5.2270000000000003</v>
      </c>
      <c r="K74" s="806">
        <f t="shared" si="524"/>
        <v>1313</v>
      </c>
      <c r="L74" s="309"/>
      <c r="M74" s="164">
        <f t="shared" si="526"/>
        <v>5.2270000000000003</v>
      </c>
      <c r="N74" s="575">
        <f t="shared" si="527"/>
        <v>-4.0647444758704205</v>
      </c>
      <c r="O74" s="572">
        <f t="shared" si="528"/>
        <v>-0.79843651503067881</v>
      </c>
      <c r="P74" s="576">
        <f t="shared" si="529"/>
        <v>-1.1381984578039184</v>
      </c>
      <c r="Q74" s="528">
        <f t="shared" ref="Q74:Q129" si="609">IF(M74="","",IF(DEGREES(ATAN2(N74,O74))&lt;0,DEGREES(ATAN2(N74,O74))+360,IF(DEGREES(ATAN2(N74,O74))&gt;360,DEGREES(ATAN2(N74,O74))-360,DEGREES(ATAN2(N74,O74)))))</f>
        <v>191.11310248469806</v>
      </c>
      <c r="R74" s="572">
        <f>IF(M74="","",SQRT(N74^2+O74^2))</f>
        <v>4.14242061150886</v>
      </c>
      <c r="S74" s="577">
        <f>IF(M74="","",P74)</f>
        <v>-1.1381984578039184</v>
      </c>
      <c r="T74" s="578">
        <f>IF(M74="","",X74*COS(RADIANS(W74)))</f>
        <v>-0.83658177299126213</v>
      </c>
      <c r="U74" s="572">
        <f>IF(M74="","",X74*SIN(RADIANS(W74)))</f>
        <v>4.0570653753362462</v>
      </c>
      <c r="V74" s="579">
        <f>IF(M74="","",Y74)</f>
        <v>-1.1381984578039184</v>
      </c>
      <c r="W74" s="528">
        <f t="shared" si="253"/>
        <v>101.65129440491653</v>
      </c>
      <c r="X74" s="572">
        <f>IF(M74="","",R74)</f>
        <v>4.14242061150886</v>
      </c>
      <c r="Y74" s="573">
        <f t="shared" si="255"/>
        <v>-1.1381984578039184</v>
      </c>
      <c r="Z74" s="575">
        <f t="shared" si="530"/>
        <v>0.1007067009545886</v>
      </c>
      <c r="AA74" s="572">
        <f t="shared" si="531"/>
        <v>0.9649214096103671</v>
      </c>
      <c r="AB74" s="572">
        <f t="shared" si="532"/>
        <v>-0.24245583857351316</v>
      </c>
      <c r="AC74" s="579">
        <f>IF(M74="","",SQRT(Z74^2+AA74^2+AB74^2))</f>
        <v>1</v>
      </c>
      <c r="AD74" s="580">
        <f>IF(M74="","",Z74*(1/SQRT(Z74^2+AA74^2+AB74^2)))</f>
        <v>0.1007067009545886</v>
      </c>
      <c r="AE74" s="572">
        <f>IF(M74="","",AA74*(1/SQRT(Z74^2+AA74^2+AB74^2)))</f>
        <v>0.9649214096103671</v>
      </c>
      <c r="AF74" s="576">
        <f>IF(M74="","",AB74*(1/SQRT(Z74^2+AA74^2+AB74^2)))</f>
        <v>-0.24245583857351316</v>
      </c>
      <c r="AG74" s="545">
        <f>IF(M74="","",DEGREES(ATAN2(-AF74,AE74)))</f>
        <v>75.895289705741533</v>
      </c>
      <c r="AH74" s="546">
        <f>IF(M74="","",DEGREES(ACOS(AD74)))</f>
        <v>84.220133098560765</v>
      </c>
      <c r="AI74" s="528">
        <f>IF(M74="","",DEGREES(-ACOS(-AF74)))</f>
        <v>-75.968468603333022</v>
      </c>
      <c r="AJ74" s="529">
        <f>IF(M74="","",DEGREES(ATAN2(-AE74,AD74)))</f>
        <v>174.04173818790258</v>
      </c>
      <c r="AK74" s="578">
        <f>IF(M74="","",(COS(RADIANS((90-$Q$8)-W74))*AD74)+(-SIN(RADIANS((90-$Q$8)-W74))*AE74))</f>
        <v>0.9274169434506262</v>
      </c>
      <c r="AL74" s="572">
        <f>IF(M74="","",(SIN(RADIANS((90-$Q$8)-W74))*AD74)+(COS(RADIANS((90-$Q$8)-W74))*AE74))</f>
        <v>-0.28480340472387755</v>
      </c>
      <c r="AM74" s="577">
        <f>IF(M74="","",AF74)</f>
        <v>-0.24245583857351316</v>
      </c>
      <c r="AN74" s="524">
        <f>IF(M74="","",DEGREES(ATAN2(-AM74,AL74)))</f>
        <v>-49.591934108104368</v>
      </c>
      <c r="AO74" s="525">
        <f t="shared" si="525"/>
        <v>21.964321744475381</v>
      </c>
      <c r="AP74" s="528">
        <f>IF(M74="","",DEGREES(ATAN2(AK74,AL74)))</f>
        <v>-17.071364296795462</v>
      </c>
      <c r="AQ74" s="529">
        <f t="shared" si="533"/>
        <v>1.1005382948955067</v>
      </c>
      <c r="AS74" s="932">
        <f t="shared" si="461"/>
        <v>101.65129440491653</v>
      </c>
      <c r="AT74" s="928">
        <f t="shared" si="534"/>
        <v>-0.78292792585002913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>Taper</v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5.2270000000000003</v>
      </c>
      <c r="IJ74" s="674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5.1269999999999998</v>
      </c>
      <c r="IK74" s="677" cm="1">
        <f t="array" ref="IK74">IFERROR(ROUND(VALUE(IF($IJ74&lt;1,$IJ74+LARGE((IF($M$9:$M$150="",0,$M$9:$M$150)-MOD(IF($M$9:$M$150="",0,$M$9:$M$150),1)),1),$IJ74)),4),"")</f>
        <v>5.1269999999999998</v>
      </c>
      <c r="IL74" s="482">
        <f t="shared" si="596"/>
        <v>1613</v>
      </c>
      <c r="IM74" s="482">
        <f t="shared" si="237"/>
        <v>1313</v>
      </c>
      <c r="IN74" s="670">
        <f t="shared" si="597"/>
        <v>11.629520776298762</v>
      </c>
      <c r="IO74" s="702">
        <v>2.3784031536022002E-2</v>
      </c>
      <c r="IP74" s="5">
        <f t="shared" si="598"/>
        <v>0.94</v>
      </c>
      <c r="IQ74" s="714">
        <v>470</v>
      </c>
      <c r="IR74" s="9">
        <f t="shared" si="599"/>
        <v>-4.1236875593669096</v>
      </c>
      <c r="IS74" s="5">
        <f t="shared" si="600"/>
        <v>-1.1474560089658508</v>
      </c>
      <c r="IT74" s="5">
        <f t="shared" si="601"/>
        <v>0.3125</v>
      </c>
      <c r="IU74" s="5">
        <f t="shared" si="602"/>
        <v>0.28981960265878953</v>
      </c>
      <c r="IV74" s="670">
        <f t="shared" si="603"/>
        <v>49.590063364549835</v>
      </c>
      <c r="IW74" s="9">
        <f t="shared" si="604"/>
        <v>-4.14242061150886</v>
      </c>
      <c r="IX74" s="5">
        <f t="shared" si="605"/>
        <v>-1.1381984578039184</v>
      </c>
      <c r="IY74" s="5">
        <f t="shared" si="606"/>
        <v>0.26450000000000001</v>
      </c>
      <c r="IZ74" s="5">
        <f t="shared" si="607"/>
        <v>0.24530178154269064</v>
      </c>
      <c r="JA74" s="705">
        <f t="shared" si="608"/>
        <v>49.591934108104368</v>
      </c>
    </row>
    <row r="75" spans="1:261" ht="15" customHeight="1" x14ac:dyDescent="0.25">
      <c r="A75" s="75">
        <f t="shared" si="256"/>
        <v>0.02</v>
      </c>
      <c r="B75" s="578">
        <f t="shared" si="515"/>
        <v>-4.4101604751223968</v>
      </c>
      <c r="C75" s="572">
        <f t="shared" si="516"/>
        <v>-0.84978703130099054</v>
      </c>
      <c r="D75" s="576">
        <f t="shared" si="517"/>
        <v>-1.8041888784331515</v>
      </c>
      <c r="E75" s="580">
        <f t="shared" si="518"/>
        <v>-0.20880054138555146</v>
      </c>
      <c r="F75" s="572">
        <f t="shared" si="519"/>
        <v>-0.96085951252206514</v>
      </c>
      <c r="G75" s="579">
        <f t="shared" si="520"/>
        <v>0.18207506999301179</v>
      </c>
      <c r="H75" s="580">
        <f t="shared" si="521"/>
        <v>0.26450000000000001</v>
      </c>
      <c r="I75" s="572">
        <f t="shared" si="522"/>
        <v>0.52</v>
      </c>
      <c r="J75" s="483">
        <f t="shared" si="523"/>
        <v>5.2329999999999997</v>
      </c>
      <c r="K75" s="806">
        <f t="shared" si="524"/>
        <v>1313</v>
      </c>
      <c r="L75" s="309"/>
      <c r="M75" s="164">
        <f t="shared" si="526"/>
        <v>5.2329999999999997</v>
      </c>
      <c r="N75" s="575">
        <f t="shared" si="527"/>
        <v>-4.4101604751223968</v>
      </c>
      <c r="O75" s="572">
        <f t="shared" si="528"/>
        <v>-0.84978703130099054</v>
      </c>
      <c r="P75" s="576">
        <f t="shared" si="529"/>
        <v>-1.8041888784331515</v>
      </c>
      <c r="Q75" s="528">
        <f t="shared" si="609"/>
        <v>190.90656391746822</v>
      </c>
      <c r="R75" s="572">
        <f>IF(M75="","",SQRT(N75^2+O75^2))</f>
        <v>4.491286387539672</v>
      </c>
      <c r="S75" s="577">
        <f>IF(M75="","",P75)</f>
        <v>-1.8041888784331515</v>
      </c>
      <c r="T75" s="578">
        <f>IF(M75="","",X75*COS(RADIANS(W75)))</f>
        <v>-0.89117454499408555</v>
      </c>
      <c r="U75" s="572">
        <f>IF(M75="","",X75*SIN(RADIANS(W75)))</f>
        <v>4.4019837965687403</v>
      </c>
      <c r="V75" s="579">
        <f>IF(M75="","",Y75)</f>
        <v>-1.8041888784331515</v>
      </c>
      <c r="W75" s="528">
        <f t="shared" si="253"/>
        <v>101.44475583768669</v>
      </c>
      <c r="X75" s="572">
        <f>IF(M75="","",R75)</f>
        <v>4.491286387539672</v>
      </c>
      <c r="Y75" s="573">
        <f t="shared" si="255"/>
        <v>-1.8041888784331515</v>
      </c>
      <c r="Z75" s="575">
        <f t="shared" si="530"/>
        <v>0.20880054138555146</v>
      </c>
      <c r="AA75" s="572">
        <f t="shared" si="531"/>
        <v>0.96085951252206514</v>
      </c>
      <c r="AB75" s="572">
        <f t="shared" si="532"/>
        <v>-0.18207506999301179</v>
      </c>
      <c r="AC75" s="579">
        <f>IF(M75="","",SQRT(Z75^2+AA75^2+AB75^2))</f>
        <v>1</v>
      </c>
      <c r="AD75" s="580">
        <f>IF(M75="","",Z75*(1/SQRT(Z75^2+AA75^2+AB75^2)))</f>
        <v>0.20880054138555146</v>
      </c>
      <c r="AE75" s="572">
        <f>IF(M75="","",AA75*(1/SQRT(Z75^2+AA75^2+AB75^2)))</f>
        <v>0.96085951252206514</v>
      </c>
      <c r="AF75" s="576">
        <f>IF(M75="","",AB75*(1/SQRT(Z75^2+AA75^2+AB75^2)))</f>
        <v>-0.18207506999301179</v>
      </c>
      <c r="AG75" s="545">
        <f>IF(M75="","",DEGREES(ATAN2(-AF75,AE75)))</f>
        <v>79.270134607605343</v>
      </c>
      <c r="AH75" s="546">
        <f>IF(M75="","",DEGREES(ACOS(AD75)))</f>
        <v>77.947929829367567</v>
      </c>
      <c r="AI75" s="528">
        <f>IF(M75="","",DEGREES(-ACOS(-AF75)))</f>
        <v>-79.509349847985817</v>
      </c>
      <c r="AJ75" s="529">
        <f>IF(M75="","",DEGREES(ATAN2(-AE75,AD75)))</f>
        <v>167.73989313849333</v>
      </c>
      <c r="AK75" s="578">
        <f>IF(M75="","",(COS(RADIANS((90-$Q$8)-W75))*AD75)+(-SIN(RADIANS((90-$Q$8)-W75))*AE75))</f>
        <v>0.90399682891213873</v>
      </c>
      <c r="AL75" s="572">
        <f>IF(M75="","",(SIN(RADIANS((90-$Q$8)-W75))*AD75)+(COS(RADIANS((90-$Q$8)-W75))*AE75))</f>
        <v>-0.38683123219801874</v>
      </c>
      <c r="AM75" s="577">
        <f>IF(M75="","",AF75)</f>
        <v>-0.18207506999301179</v>
      </c>
      <c r="AN75" s="524">
        <f>IF(M75="","",DEGREES(ATAN2(-AM75,AL75)))</f>
        <v>-64.79440885837019</v>
      </c>
      <c r="AO75" s="525">
        <f t="shared" si="525"/>
        <v>25.311490125624598</v>
      </c>
      <c r="AP75" s="528">
        <f>IF(M75="","",DEGREES(ATAN2(AK75,AL75)))</f>
        <v>-23.166670778974858</v>
      </c>
      <c r="AQ75" s="529">
        <f t="shared" si="533"/>
        <v>1.0150713709718322</v>
      </c>
      <c r="AS75" s="932">
        <f t="shared" ref="AS75:AS106" si="632">IF(G75="","",IF(AND(W75&lt;(AS74+180),W75&gt;(AS74-180)),W75,IF(W75&gt;(AS74+180),W75-360,IF(W75&lt;(AS74-180),W75+360,"Error"))))</f>
        <v>101.44475583768669</v>
      </c>
      <c r="AT75" s="928">
        <f t="shared" si="534"/>
        <v>-1.4486314873581096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>Taper</v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1">$M75</f>
        <v>5.2329999999999997</v>
      </c>
      <c r="IJ75" s="674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5.133</v>
      </c>
      <c r="IK75" s="677" cm="1">
        <f t="array" ref="IK75">IFERROR(ROUND(VALUE(IF($IJ75&lt;1,$IJ75+LARGE((IF($M$9:$M$150="",0,$M$9:$M$150)-MOD(IF($M$9:$M$150="",0,$M$9:$M$150),1)),1),$IJ75)),4),"")</f>
        <v>5.133</v>
      </c>
      <c r="IL75" s="482">
        <f t="shared" si="596"/>
        <v>1613</v>
      </c>
      <c r="IM75" s="482">
        <f t="shared" ref="IM75:IM138" si="732">IF(ISNUMBER($IK75),INDEX($K$9:$K$150,MATCH($II75,$M$9:$M$150,0)),"")</f>
        <v>1313</v>
      </c>
      <c r="IN75" s="670">
        <f t="shared" si="597"/>
        <v>11.322082074347378</v>
      </c>
      <c r="IO75" s="702">
        <v>2.22100212093857E-2</v>
      </c>
      <c r="IP75" s="5">
        <f t="shared" si="598"/>
        <v>1.1000000000000001</v>
      </c>
      <c r="IQ75" s="714">
        <v>550</v>
      </c>
      <c r="IR75" s="9">
        <f t="shared" si="599"/>
        <v>-4.4701542294164271</v>
      </c>
      <c r="IS75" s="5">
        <f t="shared" si="600"/>
        <v>-1.8077523837802918</v>
      </c>
      <c r="IT75" s="5">
        <f t="shared" si="601"/>
        <v>0.3125</v>
      </c>
      <c r="IU75" s="5">
        <f t="shared" si="602"/>
        <v>0.28250130551130836</v>
      </c>
      <c r="IV75" s="670">
        <f t="shared" si="603"/>
        <v>64.793428678397888</v>
      </c>
      <c r="IW75" s="9">
        <f t="shared" si="604"/>
        <v>-4.491286387539672</v>
      </c>
      <c r="IX75" s="5">
        <f t="shared" si="605"/>
        <v>-1.8041888784331515</v>
      </c>
      <c r="IY75" s="5">
        <f t="shared" si="606"/>
        <v>0.26450000000000001</v>
      </c>
      <c r="IZ75" s="5">
        <f t="shared" si="607"/>
        <v>0.2391071612472607</v>
      </c>
      <c r="JA75" s="705">
        <f t="shared" si="608"/>
        <v>64.79440885837019</v>
      </c>
    </row>
    <row r="76" spans="1:261" ht="15" customHeight="1" x14ac:dyDescent="0.25">
      <c r="A76" s="75">
        <f t="shared" si="256"/>
        <v>0</v>
      </c>
      <c r="B76" s="578">
        <f t="shared" si="515"/>
        <v>-4.6046829327776138</v>
      </c>
      <c r="C76" s="572">
        <f t="shared" si="516"/>
        <v>-0.32478927894954163</v>
      </c>
      <c r="D76" s="576">
        <f t="shared" si="517"/>
        <v>-2.5537039424860004</v>
      </c>
      <c r="E76" s="580">
        <f t="shared" si="518"/>
        <v>-0.99372579186003041</v>
      </c>
      <c r="F76" s="572">
        <f t="shared" si="519"/>
        <v>-7.0092010269443991E-2</v>
      </c>
      <c r="G76" s="579">
        <f t="shared" si="520"/>
        <v>8.7155956127759088E-2</v>
      </c>
      <c r="H76" s="580">
        <f t="shared" si="521"/>
        <v>0.255</v>
      </c>
      <c r="I76" s="572">
        <f t="shared" si="522"/>
        <v>0.41499999999999992</v>
      </c>
      <c r="J76" s="483">
        <f t="shared" si="523"/>
        <v>5.2389999999999999</v>
      </c>
      <c r="K76" s="806" t="str">
        <f t="shared" si="524"/>
        <v>CPS-32193r1</v>
      </c>
      <c r="L76" s="309"/>
      <c r="M76" s="164">
        <f t="shared" si="526"/>
        <v>5.2389999999999999</v>
      </c>
      <c r="N76" s="575">
        <f t="shared" si="527"/>
        <v>-4.6046829327776138</v>
      </c>
      <c r="O76" s="572">
        <f t="shared" si="528"/>
        <v>-0.32478927894954163</v>
      </c>
      <c r="P76" s="576">
        <f t="shared" si="529"/>
        <v>-2.5537039424860004</v>
      </c>
      <c r="Q76" s="528">
        <f t="shared" si="609"/>
        <v>184.03465041928652</v>
      </c>
      <c r="R76" s="572">
        <f t="shared" si="101"/>
        <v>4.6161231555423221</v>
      </c>
      <c r="S76" s="577">
        <f t="shared" si="102"/>
        <v>-2.5537039424860004</v>
      </c>
      <c r="T76" s="578">
        <f t="shared" si="103"/>
        <v>-0.36802711899864143</v>
      </c>
      <c r="U76" s="572">
        <f t="shared" si="104"/>
        <v>4.6014290200779548</v>
      </c>
      <c r="V76" s="579">
        <f t="shared" si="141"/>
        <v>-2.5537039424860004</v>
      </c>
      <c r="W76" s="528">
        <f t="shared" si="253"/>
        <v>94.572842339504987</v>
      </c>
      <c r="X76" s="572">
        <f t="shared" si="105"/>
        <v>4.6161231555423221</v>
      </c>
      <c r="Y76" s="573">
        <f t="shared" ref="Y76:Y129" si="733">IF(M76="","",S76)</f>
        <v>-2.5537039424860004</v>
      </c>
      <c r="Z76" s="575">
        <f t="shared" si="530"/>
        <v>0.99372579186003041</v>
      </c>
      <c r="AA76" s="572">
        <f t="shared" si="531"/>
        <v>7.0092010269443991E-2</v>
      </c>
      <c r="AB76" s="572">
        <f t="shared" si="532"/>
        <v>-8.7155956127759088E-2</v>
      </c>
      <c r="AC76" s="579">
        <f t="shared" si="106"/>
        <v>1</v>
      </c>
      <c r="AD76" s="580">
        <f t="shared" si="142"/>
        <v>0.99372579186003041</v>
      </c>
      <c r="AE76" s="572">
        <f t="shared" si="107"/>
        <v>7.0092010269443991E-2</v>
      </c>
      <c r="AF76" s="576">
        <f t="shared" si="108"/>
        <v>-8.7155956127759088E-2</v>
      </c>
      <c r="AG76" s="545">
        <f t="shared" si="109"/>
        <v>38.806716216660533</v>
      </c>
      <c r="AH76" s="546">
        <f t="shared" si="110"/>
        <v>6.421617359187052</v>
      </c>
      <c r="AI76" s="528">
        <f t="shared" si="111"/>
        <v>-84.999987727520178</v>
      </c>
      <c r="AJ76" s="529">
        <f t="shared" si="112"/>
        <v>94.034650419286521</v>
      </c>
      <c r="AK76" s="578">
        <f t="shared" si="238"/>
        <v>4.163336342344337E-17</v>
      </c>
      <c r="AL76" s="572">
        <f t="shared" si="113"/>
        <v>-0.9961946794233828</v>
      </c>
      <c r="AM76" s="577">
        <f t="shared" si="114"/>
        <v>-8.7155956127759088E-2</v>
      </c>
      <c r="AN76" s="524">
        <f t="shared" si="115"/>
        <v>-84.999987727520178</v>
      </c>
      <c r="AO76" s="525">
        <f t="shared" si="525"/>
        <v>0</v>
      </c>
      <c r="AP76" s="528">
        <f t="shared" si="117"/>
        <v>-90</v>
      </c>
      <c r="AQ76" s="529">
        <f t="shared" si="533"/>
        <v>0.98762566015043995</v>
      </c>
      <c r="AS76" s="932">
        <f t="shared" si="632"/>
        <v>94.572842339504987</v>
      </c>
      <c r="AT76" s="928">
        <f t="shared" si="534"/>
        <v>-2.1886022271079284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>Taper</v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1"/>
        <v>5.2389999999999999</v>
      </c>
      <c r="IJ76" s="674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5.1390000000000002</v>
      </c>
      <c r="IK76" s="677" cm="1">
        <f t="array" ref="IK76">IFERROR(ROUND(VALUE(IF($IJ76&lt;1,$IJ76+LARGE((IF($M$9:$M$150="",0,$M$9:$M$150)-MOD(IF($M$9:$M$150="",0,$M$9:$M$150),1)),1),$IJ76)),4),"")</f>
        <v>5.1390000000000002</v>
      </c>
      <c r="IL76" s="482">
        <f t="shared" si="596"/>
        <v>1613</v>
      </c>
      <c r="IM76" s="482" t="str">
        <f t="shared" si="732"/>
        <v>CPS-32193r1</v>
      </c>
      <c r="IN76" s="670">
        <f t="shared" si="597"/>
        <v>17.948491631425696</v>
      </c>
      <c r="IO76" s="702">
        <v>3.1609263903062602E-2</v>
      </c>
      <c r="IP76" s="5">
        <f t="shared" si="598"/>
        <v>1.42</v>
      </c>
      <c r="IQ76" s="714">
        <v>710</v>
      </c>
      <c r="IR76" s="9">
        <f t="shared" si="599"/>
        <v>-4.6273483266927622</v>
      </c>
      <c r="IS76" s="5">
        <f t="shared" si="600"/>
        <v>-2.5365926546600965</v>
      </c>
      <c r="IT76" s="5">
        <f t="shared" si="601"/>
        <v>0.3125</v>
      </c>
      <c r="IU76" s="5">
        <f t="shared" si="602"/>
        <v>0.27419596073329067</v>
      </c>
      <c r="IV76" s="670">
        <f t="shared" si="603"/>
        <v>79.931174495836203</v>
      </c>
      <c r="IW76" s="9">
        <f t="shared" si="604"/>
        <v>-4.6161231555423221</v>
      </c>
      <c r="IX76" s="5">
        <f t="shared" si="605"/>
        <v>-2.5537039424860004</v>
      </c>
      <c r="IY76" s="5">
        <f t="shared" si="606"/>
        <v>0.255</v>
      </c>
      <c r="IZ76" s="5">
        <f t="shared" si="607"/>
        <v>0.255</v>
      </c>
      <c r="JA76" s="705">
        <f t="shared" si="608"/>
        <v>84.999987727520178</v>
      </c>
    </row>
    <row r="77" spans="1:261" ht="15" customHeight="1" x14ac:dyDescent="0.25">
      <c r="A77" s="75">
        <f t="shared" si="256"/>
        <v>0</v>
      </c>
      <c r="B77" s="578">
        <f t="shared" si="515"/>
        <v>-4.6625135117155097</v>
      </c>
      <c r="C77" s="572">
        <f t="shared" si="516"/>
        <v>-0.21030155055586119</v>
      </c>
      <c r="D77" s="576">
        <f t="shared" si="517"/>
        <v>-3.3595167976572102</v>
      </c>
      <c r="E77" s="580">
        <f t="shared" si="518"/>
        <v>-0.99518287418686568</v>
      </c>
      <c r="F77" s="572">
        <f t="shared" si="519"/>
        <v>-4.4887484186856702E-2</v>
      </c>
      <c r="G77" s="579">
        <f t="shared" si="520"/>
        <v>8.7155956127759046E-2</v>
      </c>
      <c r="H77" s="580">
        <f t="shared" si="521"/>
        <v>0.255</v>
      </c>
      <c r="I77" s="572">
        <f t="shared" si="522"/>
        <v>0.41499999999999992</v>
      </c>
      <c r="J77" s="483">
        <f t="shared" si="523"/>
        <v>5.2450000000000001</v>
      </c>
      <c r="K77" s="806" t="str">
        <f t="shared" si="524"/>
        <v>CPS-32193r1</v>
      </c>
      <c r="L77" s="309"/>
      <c r="M77" s="164">
        <f t="shared" si="526"/>
        <v>5.2450000000000001</v>
      </c>
      <c r="N77" s="575">
        <f t="shared" si="527"/>
        <v>-4.6625135117155097</v>
      </c>
      <c r="O77" s="572">
        <f t="shared" si="528"/>
        <v>-0.21030155055586119</v>
      </c>
      <c r="P77" s="576">
        <f t="shared" si="529"/>
        <v>-3.3595167976572102</v>
      </c>
      <c r="Q77" s="528">
        <f t="shared" si="609"/>
        <v>182.58256194855002</v>
      </c>
      <c r="R77" s="572">
        <f t="shared" si="101"/>
        <v>4.6672539023601329</v>
      </c>
      <c r="S77" s="577">
        <f t="shared" si="102"/>
        <v>-3.3595167976572102</v>
      </c>
      <c r="T77" s="578">
        <f t="shared" si="103"/>
        <v>-0.25408764876408835</v>
      </c>
      <c r="U77" s="572">
        <f t="shared" si="104"/>
        <v>4.6603324404854884</v>
      </c>
      <c r="V77" s="579">
        <f t="shared" si="141"/>
        <v>-3.3595167976572102</v>
      </c>
      <c r="W77" s="528">
        <f t="shared" si="253"/>
        <v>93.120753868768489</v>
      </c>
      <c r="X77" s="572">
        <f t="shared" si="105"/>
        <v>4.6672539023601329</v>
      </c>
      <c r="Y77" s="573">
        <f t="shared" si="733"/>
        <v>-3.3595167976572102</v>
      </c>
      <c r="Z77" s="575">
        <f t="shared" si="530"/>
        <v>0.99518287418686568</v>
      </c>
      <c r="AA77" s="572">
        <f t="shared" si="531"/>
        <v>4.4887484186856702E-2</v>
      </c>
      <c r="AB77" s="572">
        <f t="shared" si="532"/>
        <v>-8.7155956127759046E-2</v>
      </c>
      <c r="AC77" s="579">
        <f t="shared" si="106"/>
        <v>1</v>
      </c>
      <c r="AD77" s="580">
        <f t="shared" si="142"/>
        <v>0.99518287418686568</v>
      </c>
      <c r="AE77" s="572">
        <f t="shared" si="107"/>
        <v>4.4887484186856702E-2</v>
      </c>
      <c r="AF77" s="576">
        <f t="shared" si="108"/>
        <v>-8.7155956127759046E-2</v>
      </c>
      <c r="AG77" s="545">
        <f t="shared" si="109"/>
        <v>27.249593245277538</v>
      </c>
      <c r="AH77" s="546">
        <f t="shared" si="110"/>
        <v>5.6260827637806887</v>
      </c>
      <c r="AI77" s="528">
        <f t="shared" si="111"/>
        <v>-84.999987727520178</v>
      </c>
      <c r="AJ77" s="529">
        <f t="shared" si="112"/>
        <v>92.582561948550008</v>
      </c>
      <c r="AK77" s="578">
        <f t="shared" si="238"/>
        <v>-7.6327832942979512E-17</v>
      </c>
      <c r="AL77" s="572">
        <f t="shared" si="113"/>
        <v>-0.99619467942338269</v>
      </c>
      <c r="AM77" s="577">
        <f t="shared" si="114"/>
        <v>-8.7155956127759046E-2</v>
      </c>
      <c r="AN77" s="524">
        <f t="shared" si="115"/>
        <v>-84.999987727520178</v>
      </c>
      <c r="AO77" s="525">
        <f t="shared" si="525"/>
        <v>0</v>
      </c>
      <c r="AP77" s="528">
        <f t="shared" si="117"/>
        <v>-90</v>
      </c>
      <c r="AQ77" s="529">
        <f t="shared" si="533"/>
        <v>0.97680812158684505</v>
      </c>
      <c r="AS77" s="932">
        <f t="shared" si="632"/>
        <v>93.120753868768489</v>
      </c>
      <c r="AT77" s="928">
        <f t="shared" si="534"/>
        <v>-2.9923982927364485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>Taper</v>
      </c>
      <c r="IH77" s="482" t="str">
        <f>IFERROR(IF((((($IY77*COS(RADIANS(180-$JA77)))*COS(RADIANS($JA77)))-(($IZ77*SIN(RADIANS(180-$JA77)))*SIN(RADIANS($JA77))))+$IW77)&lt;(((Settings!$C$19+$IH$8)/2)*-1),"Gage",""),"")</f>
        <v>Gage</v>
      </c>
      <c r="II77" s="788">
        <f t="shared" si="731"/>
        <v>5.2450000000000001</v>
      </c>
      <c r="IJ77" s="674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5.1449999999999996</v>
      </c>
      <c r="IK77" s="677" cm="1">
        <f t="array" ref="IK77">IFERROR(ROUND(VALUE(IF($IJ77&lt;1,$IJ77+LARGE((IF($M$9:$M$150="",0,$M$9:$M$150)-MOD(IF($M$9:$M$150="",0,$M$9:$M$150),1)),1),$IJ77)),4),"")</f>
        <v>5.1449999999999996</v>
      </c>
      <c r="IL77" s="482">
        <f t="shared" si="596"/>
        <v>1613</v>
      </c>
      <c r="IM77" s="482" t="str">
        <f t="shared" si="732"/>
        <v>CPS-32193r1</v>
      </c>
      <c r="IN77" s="670">
        <f t="shared" si="597"/>
        <v>19.31544460294765</v>
      </c>
      <c r="IO77" s="702">
        <v>3.0225206624975399E-2</v>
      </c>
      <c r="IP77" s="5">
        <f t="shared" si="598"/>
        <v>1.42</v>
      </c>
      <c r="IQ77" s="714">
        <v>710</v>
      </c>
      <c r="IR77" s="9">
        <f t="shared" si="599"/>
        <v>-4.6815983957116218</v>
      </c>
      <c r="IS77" s="5">
        <f t="shared" si="600"/>
        <v>-3.3419917150732079</v>
      </c>
      <c r="IT77" s="5">
        <f t="shared" si="601"/>
        <v>0.3125</v>
      </c>
      <c r="IU77" s="5">
        <f t="shared" si="602"/>
        <v>0.27120698830943962</v>
      </c>
      <c r="IV77" s="670">
        <f t="shared" si="603"/>
        <v>84.967735525253516</v>
      </c>
      <c r="IW77" s="9">
        <f t="shared" si="604"/>
        <v>-4.6672539023601329</v>
      </c>
      <c r="IX77" s="5">
        <f t="shared" si="605"/>
        <v>-3.3595167976572102</v>
      </c>
      <c r="IY77" s="5">
        <f t="shared" si="606"/>
        <v>0.255</v>
      </c>
      <c r="IZ77" s="5">
        <f t="shared" si="607"/>
        <v>0.255</v>
      </c>
      <c r="JA77" s="705">
        <f t="shared" si="608"/>
        <v>84.999987727520178</v>
      </c>
    </row>
    <row r="78" spans="1:261" ht="15" customHeight="1" x14ac:dyDescent="0.25">
      <c r="A78" s="75">
        <f t="shared" si="256"/>
        <v>0.02</v>
      </c>
      <c r="B78" s="578">
        <f t="shared" si="515"/>
        <v>-2.3215876740310284</v>
      </c>
      <c r="C78" s="572">
        <f t="shared" si="516"/>
        <v>1.6105342165637988</v>
      </c>
      <c r="D78" s="576">
        <f t="shared" si="517"/>
        <v>-0.22875889631209909</v>
      </c>
      <c r="E78" s="580">
        <f t="shared" si="518"/>
        <v>-0.61095019017185548</v>
      </c>
      <c r="F78" s="572">
        <f t="shared" si="519"/>
        <v>-0.74674895113791018</v>
      </c>
      <c r="G78" s="579">
        <f t="shared" si="520"/>
        <v>0.26287995188565599</v>
      </c>
      <c r="H78" s="580">
        <f t="shared" si="521"/>
        <v>0.3125</v>
      </c>
      <c r="I78" s="572">
        <f t="shared" si="522"/>
        <v>0.52</v>
      </c>
      <c r="J78" s="483">
        <f t="shared" si="523"/>
        <v>6.1139999999999999</v>
      </c>
      <c r="K78" s="806">
        <f t="shared" si="524"/>
        <v>1613</v>
      </c>
      <c r="L78" s="309"/>
      <c r="M78" s="164">
        <f t="shared" si="526"/>
        <v>6.1139999999999999</v>
      </c>
      <c r="N78" s="575">
        <f t="shared" si="527"/>
        <v>-2.3215876740310284</v>
      </c>
      <c r="O78" s="572">
        <f t="shared" si="528"/>
        <v>1.6105342165637988</v>
      </c>
      <c r="P78" s="576">
        <f t="shared" si="529"/>
        <v>-0.22875889631209909</v>
      </c>
      <c r="Q78" s="528">
        <f t="shared" si="609"/>
        <v>145.25014094761141</v>
      </c>
      <c r="R78" s="572">
        <f>IF(M78="","",SQRT(N78^2+O78^2))</f>
        <v>2.8255246930323525</v>
      </c>
      <c r="S78" s="577">
        <f>IF(M78="","",P78)</f>
        <v>-0.22875889631209909</v>
      </c>
      <c r="T78" s="578">
        <f>IF(M78="","",X78*COS(RADIANS(W78)))</f>
        <v>1.5886563008285246</v>
      </c>
      <c r="U78" s="572">
        <f>IF(M78="","",X78*SIN(RADIANS(W78)))</f>
        <v>2.3366131363093459</v>
      </c>
      <c r="V78" s="579">
        <f>IF(M78="","",Y78)</f>
        <v>-0.22875889631209909</v>
      </c>
      <c r="W78" s="528">
        <f t="shared" si="253"/>
        <v>55.78833286782988</v>
      </c>
      <c r="X78" s="572">
        <f>IF(M78="","",R78)</f>
        <v>2.8255246930323525</v>
      </c>
      <c r="Y78" s="573">
        <f t="shared" si="733"/>
        <v>-0.22875889631209909</v>
      </c>
      <c r="Z78" s="575">
        <f t="shared" si="530"/>
        <v>0.61095019017185548</v>
      </c>
      <c r="AA78" s="572">
        <f t="shared" si="531"/>
        <v>0.74674895113791018</v>
      </c>
      <c r="AB78" s="572">
        <f t="shared" si="532"/>
        <v>-0.26287995188565599</v>
      </c>
      <c r="AC78" s="579">
        <f>IF(M78="","",SQRT(Z78^2+AA78^2+AB78^2))</f>
        <v>1</v>
      </c>
      <c r="AD78" s="580">
        <f>IF(M78="","",Z78*(1/SQRT(Z78^2+AA78^2+AB78^2)))</f>
        <v>0.61095019017185548</v>
      </c>
      <c r="AE78" s="572">
        <f>IF(M78="","",AA78*(1/SQRT(Z78^2+AA78^2+AB78^2)))</f>
        <v>0.74674895113791018</v>
      </c>
      <c r="AF78" s="576">
        <f>IF(M78="","",AB78*(1/SQRT(Z78^2+AA78^2+AB78^2)))</f>
        <v>-0.26287995188565599</v>
      </c>
      <c r="AG78" s="545">
        <f>IF(M78="","",DEGREES(ATAN2(-AF78,AE78)))</f>
        <v>70.606271148144572</v>
      </c>
      <c r="AH78" s="546">
        <f>IF(M78="","",DEGREES(ACOS(AD78)))</f>
        <v>52.341760344781228</v>
      </c>
      <c r="AI78" s="528">
        <f>IF(M78="","",DEGREES(-ACOS(-AF78)))</f>
        <v>-74.758982831341669</v>
      </c>
      <c r="AJ78" s="529">
        <f>IF(M78="","",DEGREES(ATAN2(-AE78,AD78)))</f>
        <v>140.7117984369909</v>
      </c>
      <c r="AK78" s="578">
        <f>IF(M78="","",(COS(RADIANS((90-$Q$8)-W78))*AD78)+(-SIN(RADIANS((90-$Q$8)-W78))*AE78))</f>
        <v>0.96180343181810146</v>
      </c>
      <c r="AL78" s="572">
        <f>IF(M78="","",(SIN(RADIANS((90-$Q$8)-W78))*AD78)+(COS(RADIANS((90-$Q$8)-W78))*AE78))</f>
        <v>-7.6343234405663263E-2</v>
      </c>
      <c r="AM78" s="577">
        <f>IF(M78="","",AF78)</f>
        <v>-0.26287995188565599</v>
      </c>
      <c r="AN78" s="524">
        <f>IF(M78="","",DEGREES(ATAN2(-AM78,AL78)))</f>
        <v>-16.193879336207964</v>
      </c>
      <c r="AO78" s="525">
        <f t="shared" si="525"/>
        <v>15.887002584969139</v>
      </c>
      <c r="AP78" s="528">
        <f>IF(M78="","",DEGREES(ATAN2(AK78,AL78)))</f>
        <v>-4.5383425106205184</v>
      </c>
      <c r="AQ78" s="529">
        <f t="shared" si="533"/>
        <v>1.6132395979072083</v>
      </c>
      <c r="AS78" s="932">
        <f t="shared" si="632"/>
        <v>55.78833286782988</v>
      </c>
      <c r="AT78" s="928">
        <f t="shared" si="534"/>
        <v>0.19021019333218828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1"/>
        <v>6.1139999999999999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596"/>
        <v>1613</v>
      </c>
      <c r="IM78" s="482" t="str">
        <f t="shared" si="732"/>
        <v/>
      </c>
      <c r="IN78" s="670" t="str">
        <f t="shared" si="597"/>
        <v/>
      </c>
      <c r="IO78" s="702"/>
      <c r="IP78" s="5" t="str">
        <f t="shared" si="598"/>
        <v/>
      </c>
      <c r="IQ78" s="714"/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>
        <f t="shared" si="256"/>
        <v>0.02</v>
      </c>
      <c r="B79" s="578">
        <f t="shared" si="515"/>
        <v>-2.8540942615170288</v>
      </c>
      <c r="C79" s="572">
        <f t="shared" si="516"/>
        <v>2.0298558637181294</v>
      </c>
      <c r="D79" s="576">
        <f t="shared" si="517"/>
        <v>-0.54068275317767045</v>
      </c>
      <c r="E79" s="580">
        <f t="shared" si="518"/>
        <v>-0.68382346021508134</v>
      </c>
      <c r="F79" s="572">
        <f t="shared" si="519"/>
        <v>-0.68022064402392435</v>
      </c>
      <c r="G79" s="579">
        <f t="shared" si="520"/>
        <v>0.26397983010667825</v>
      </c>
      <c r="H79" s="580">
        <f t="shared" si="521"/>
        <v>0.3125</v>
      </c>
      <c r="I79" s="572">
        <f t="shared" si="522"/>
        <v>0.52</v>
      </c>
      <c r="J79" s="483">
        <f t="shared" si="523"/>
        <v>6.12</v>
      </c>
      <c r="K79" s="806">
        <f t="shared" si="524"/>
        <v>1613</v>
      </c>
      <c r="L79" s="309"/>
      <c r="M79" s="164">
        <f t="shared" si="526"/>
        <v>6.12</v>
      </c>
      <c r="N79" s="575">
        <f t="shared" si="527"/>
        <v>-2.8540942615170288</v>
      </c>
      <c r="O79" s="572">
        <f t="shared" si="528"/>
        <v>2.0298558637181294</v>
      </c>
      <c r="P79" s="576">
        <f t="shared" si="529"/>
        <v>-0.54068275317767045</v>
      </c>
      <c r="Q79" s="528">
        <f t="shared" si="609"/>
        <v>144.57924207445444</v>
      </c>
      <c r="R79" s="572">
        <f>IF(M79="","",SQRT(N79^2+O79^2))</f>
        <v>3.5023090784645645</v>
      </c>
      <c r="S79" s="577">
        <f>IF(M79="","",P79)</f>
        <v>-0.54068275317767045</v>
      </c>
      <c r="T79" s="578">
        <f>IF(M79="","",X79*COS(RADIANS(W79)))</f>
        <v>2.0029575706861831</v>
      </c>
      <c r="U79" s="572">
        <f>IF(M79="","",X79*SIN(RADIANS(W79)))</f>
        <v>2.8730349547344898</v>
      </c>
      <c r="V79" s="579">
        <f>IF(M79="","",Y79)</f>
        <v>-0.54068275317767045</v>
      </c>
      <c r="W79" s="528">
        <f t="shared" ref="W79:W129" si="735">IF(M79="","",IF(Q79-$Q$8&lt;0,360+Q79-$Q$8,Q79-$Q$8))</f>
        <v>55.117433994672908</v>
      </c>
      <c r="X79" s="572">
        <f>IF(M79="","",R79)</f>
        <v>3.5023090784645645</v>
      </c>
      <c r="Y79" s="573">
        <f t="shared" si="733"/>
        <v>-0.54068275317767045</v>
      </c>
      <c r="Z79" s="575">
        <f t="shared" si="530"/>
        <v>0.68382346021508134</v>
      </c>
      <c r="AA79" s="572">
        <f t="shared" si="531"/>
        <v>0.68022064402392435</v>
      </c>
      <c r="AB79" s="572">
        <f t="shared" si="532"/>
        <v>-0.26397983010667825</v>
      </c>
      <c r="AC79" s="579">
        <f>IF(M79="","",SQRT(Z79^2+AA79^2+AB79^2))</f>
        <v>1</v>
      </c>
      <c r="AD79" s="580">
        <f>IF(M79="","",Z79*(1/SQRT(Z79^2+AA79^2+AB79^2)))</f>
        <v>0.68382346021508134</v>
      </c>
      <c r="AE79" s="572">
        <f>IF(M79="","",AA79*(1/SQRT(Z79^2+AA79^2+AB79^2)))</f>
        <v>0.68022064402392435</v>
      </c>
      <c r="AF79" s="576">
        <f>IF(M79="","",AB79*(1/SQRT(Z79^2+AA79^2+AB79^2)))</f>
        <v>-0.26397983010667825</v>
      </c>
      <c r="AG79" s="545">
        <f>IF(M79="","",DEGREES(ATAN2(-AF79,AE79)))</f>
        <v>68.789777523632793</v>
      </c>
      <c r="AH79" s="546">
        <f>IF(M79="","",DEGREES(ACOS(AD79)))</f>
        <v>46.856850930209418</v>
      </c>
      <c r="AI79" s="528">
        <f>IF(M79="","",DEGREES(-ACOS(-AF79)))</f>
        <v>-74.693657045216995</v>
      </c>
      <c r="AJ79" s="529">
        <f>IF(M79="","",DEGREES(ATAN2(-AE79,AD79)))</f>
        <v>134.84866641669248</v>
      </c>
      <c r="AK79" s="578">
        <f>IF(M79="","",(COS(RADIANS((90-$Q$8)-W79))*AD79)+(-SIN(RADIANS((90-$Q$8)-W79))*AE79))</f>
        <v>0.95065193349507826</v>
      </c>
      <c r="AL79" s="572">
        <f>IF(M79="","",(SIN(RADIANS((90-$Q$8)-W79))*AD79)+(COS(RADIANS((90-$Q$8)-W79))*AE79))</f>
        <v>-0.16302009274601309</v>
      </c>
      <c r="AM79" s="577">
        <f>IF(M79="","",AF79)</f>
        <v>-0.26397983010667825</v>
      </c>
      <c r="AN79" s="524">
        <f>IF(M79="","",DEGREES(ATAN2(-AM79,AL79)))</f>
        <v>-31.697301739955826</v>
      </c>
      <c r="AO79" s="525">
        <f t="shared" si="525"/>
        <v>18.074864417424092</v>
      </c>
      <c r="AP79" s="528">
        <f>IF(M79="","",DEGREES(ATAN2(AK79,AL79)))</f>
        <v>-9.7305756577619356</v>
      </c>
      <c r="AQ79" s="529">
        <f t="shared" si="533"/>
        <v>1.3016180977911354</v>
      </c>
      <c r="AS79" s="932">
        <f t="shared" si="632"/>
        <v>55.117433994672908</v>
      </c>
      <c r="AT79" s="928">
        <f t="shared" si="534"/>
        <v>-0.12078185954288728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1"/>
        <v>6.12</v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>
        <f t="shared" si="596"/>
        <v>1613</v>
      </c>
      <c r="IM79" s="482" t="str">
        <f t="shared" si="732"/>
        <v/>
      </c>
      <c r="IN79" s="670" t="str">
        <f t="shared" si="597"/>
        <v/>
      </c>
      <c r="IO79" s="702"/>
      <c r="IP79" s="5" t="str">
        <f t="shared" si="598"/>
        <v/>
      </c>
      <c r="IQ79" s="714"/>
      <c r="IR79" s="9" t="str">
        <f t="shared" si="599"/>
        <v/>
      </c>
      <c r="IS79" s="5" t="str">
        <f t="shared" si="600"/>
        <v/>
      </c>
      <c r="IT79" s="5" t="str">
        <f t="shared" si="601"/>
        <v/>
      </c>
      <c r="IU79" s="5" t="str">
        <f t="shared" si="602"/>
        <v/>
      </c>
      <c r="IV79" s="670" t="str">
        <f t="shared" si="603"/>
        <v/>
      </c>
      <c r="IW79" s="9" t="str">
        <f t="shared" si="604"/>
        <v/>
      </c>
      <c r="IX79" s="5" t="str">
        <f t="shared" si="605"/>
        <v/>
      </c>
      <c r="IY79" s="5" t="str">
        <f t="shared" si="606"/>
        <v/>
      </c>
      <c r="IZ79" s="5" t="str">
        <f t="shared" si="607"/>
        <v/>
      </c>
      <c r="JA79" s="705" t="str">
        <f t="shared" si="608"/>
        <v/>
      </c>
    </row>
    <row r="80" spans="1:261" ht="15" customHeight="1" x14ac:dyDescent="0.25">
      <c r="A80" s="75">
        <f t="shared" si="256"/>
        <v>0.02</v>
      </c>
      <c r="B80" s="578">
        <f t="shared" si="515"/>
        <v>-3.2692988969305525</v>
      </c>
      <c r="C80" s="572">
        <f t="shared" si="516"/>
        <v>2.3877900620238699</v>
      </c>
      <c r="D80" s="576">
        <f t="shared" si="517"/>
        <v>-1.0480802271998733</v>
      </c>
      <c r="E80" s="580">
        <f t="shared" si="518"/>
        <v>-0.76484113930807474</v>
      </c>
      <c r="F80" s="572">
        <f t="shared" si="519"/>
        <v>-0.5942774396847299</v>
      </c>
      <c r="G80" s="579">
        <f t="shared" si="520"/>
        <v>0.24870133956954971</v>
      </c>
      <c r="H80" s="580">
        <f t="shared" si="521"/>
        <v>0.3125</v>
      </c>
      <c r="I80" s="572">
        <f t="shared" si="522"/>
        <v>0.52</v>
      </c>
      <c r="J80" s="483">
        <f t="shared" si="523"/>
        <v>6.1260000000000003</v>
      </c>
      <c r="K80" s="806">
        <f t="shared" si="524"/>
        <v>1613</v>
      </c>
      <c r="L80" s="309"/>
      <c r="M80" s="164">
        <f t="shared" si="526"/>
        <v>6.1260000000000003</v>
      </c>
      <c r="N80" s="575">
        <f t="shared" si="527"/>
        <v>-3.2692988969305525</v>
      </c>
      <c r="O80" s="572">
        <f t="shared" si="528"/>
        <v>2.3877900620238699</v>
      </c>
      <c r="P80" s="576">
        <f t="shared" si="529"/>
        <v>-1.0480802271998733</v>
      </c>
      <c r="Q80" s="528">
        <f t="shared" si="609"/>
        <v>143.85681750432769</v>
      </c>
      <c r="R80" s="572">
        <f t="shared" si="101"/>
        <v>4.0484387926423295</v>
      </c>
      <c r="S80" s="577">
        <f t="shared" si="102"/>
        <v>-1.0480802271998733</v>
      </c>
      <c r="T80" s="578">
        <f t="shared" si="103"/>
        <v>2.3569759268208332</v>
      </c>
      <c r="U80" s="572">
        <f t="shared" si="104"/>
        <v>3.2915833785821613</v>
      </c>
      <c r="V80" s="579">
        <f t="shared" si="141"/>
        <v>-1.0480802271998733</v>
      </c>
      <c r="W80" s="528">
        <f t="shared" si="735"/>
        <v>54.39500942454616</v>
      </c>
      <c r="X80" s="572">
        <f t="shared" si="105"/>
        <v>4.0484387926423295</v>
      </c>
      <c r="Y80" s="573">
        <f t="shared" si="733"/>
        <v>-1.0480802271998733</v>
      </c>
      <c r="Z80" s="575">
        <f t="shared" si="530"/>
        <v>0.76484113930807474</v>
      </c>
      <c r="AA80" s="572">
        <f t="shared" si="531"/>
        <v>0.5942774396847299</v>
      </c>
      <c r="AB80" s="572">
        <f t="shared" si="532"/>
        <v>-0.24870133956954971</v>
      </c>
      <c r="AC80" s="579">
        <f t="shared" si="106"/>
        <v>1</v>
      </c>
      <c r="AD80" s="580">
        <f t="shared" si="142"/>
        <v>0.76484113930807474</v>
      </c>
      <c r="AE80" s="572">
        <f t="shared" si="107"/>
        <v>0.5942774396847299</v>
      </c>
      <c r="AF80" s="576">
        <f t="shared" si="108"/>
        <v>-0.24870133956954971</v>
      </c>
      <c r="AG80" s="545">
        <f t="shared" si="109"/>
        <v>67.290999093927994</v>
      </c>
      <c r="AH80" s="546">
        <f t="shared" si="110"/>
        <v>40.107138864558131</v>
      </c>
      <c r="AI80" s="528">
        <f t="shared" si="111"/>
        <v>-75.599322540927119</v>
      </c>
      <c r="AJ80" s="529">
        <f t="shared" si="112"/>
        <v>127.84701405732015</v>
      </c>
      <c r="AK80" s="578">
        <f t="shared" si="238"/>
        <v>0.93101337146282792</v>
      </c>
      <c r="AL80" s="572">
        <f t="shared" si="113"/>
        <v>-0.26713619345519229</v>
      </c>
      <c r="AM80" s="577">
        <f t="shared" si="114"/>
        <v>-0.24870133956954971</v>
      </c>
      <c r="AN80" s="524">
        <f t="shared" si="115"/>
        <v>-47.046749081946118</v>
      </c>
      <c r="AO80" s="525">
        <f t="shared" si="525"/>
        <v>21.406663959613159</v>
      </c>
      <c r="AP80" s="528">
        <f t="shared" si="117"/>
        <v>-16.009803447007549</v>
      </c>
      <c r="AQ80" s="529">
        <f t="shared" si="533"/>
        <v>1.1260800568290619</v>
      </c>
      <c r="AS80" s="932">
        <f t="shared" si="632"/>
        <v>54.39500942454616</v>
      </c>
      <c r="AT80" s="928">
        <f t="shared" si="534"/>
        <v>-0.62717596610658077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1"/>
        <v>6.1260000000000003</v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>
        <f t="shared" si="596"/>
        <v>1613</v>
      </c>
      <c r="IM80" s="482" t="str">
        <f t="shared" si="732"/>
        <v/>
      </c>
      <c r="IN80" s="670" t="str">
        <f t="shared" si="597"/>
        <v/>
      </c>
      <c r="IO80" s="702"/>
      <c r="IP80" s="5" t="str">
        <f t="shared" si="598"/>
        <v/>
      </c>
      <c r="IQ80" s="714"/>
      <c r="IR80" s="9" t="str">
        <f t="shared" si="599"/>
        <v/>
      </c>
      <c r="IS80" s="5" t="str">
        <f t="shared" si="600"/>
        <v/>
      </c>
      <c r="IT80" s="5" t="str">
        <f t="shared" si="601"/>
        <v/>
      </c>
      <c r="IU80" s="5" t="str">
        <f t="shared" si="602"/>
        <v/>
      </c>
      <c r="IV80" s="670" t="str">
        <f t="shared" si="603"/>
        <v/>
      </c>
      <c r="IW80" s="9" t="str">
        <f t="shared" si="604"/>
        <v/>
      </c>
      <c r="IX80" s="5" t="str">
        <f t="shared" si="605"/>
        <v/>
      </c>
      <c r="IY80" s="5" t="str">
        <f t="shared" si="606"/>
        <v/>
      </c>
      <c r="IZ80" s="5" t="str">
        <f t="shared" si="607"/>
        <v/>
      </c>
      <c r="JA80" s="705" t="str">
        <f t="shared" si="608"/>
        <v/>
      </c>
    </row>
    <row r="81" spans="1:261" ht="15" customHeight="1" x14ac:dyDescent="0.25">
      <c r="A81" s="75">
        <f t="shared" si="256"/>
        <v>0.02</v>
      </c>
      <c r="B81" s="578">
        <f t="shared" si="515"/>
        <v>-3.5478595802889994</v>
      </c>
      <c r="C81" s="572">
        <f t="shared" si="516"/>
        <v>2.6449525040081245</v>
      </c>
      <c r="D81" s="576">
        <f t="shared" si="517"/>
        <v>-1.6914071155475288</v>
      </c>
      <c r="E81" s="580">
        <f t="shared" si="518"/>
        <v>-0.83989089842819253</v>
      </c>
      <c r="F81" s="572">
        <f t="shared" si="519"/>
        <v>-0.50657306186393891</v>
      </c>
      <c r="G81" s="579">
        <f t="shared" si="520"/>
        <v>0.19485125540082499</v>
      </c>
      <c r="H81" s="580">
        <f t="shared" si="521"/>
        <v>0.3125</v>
      </c>
      <c r="I81" s="572">
        <f t="shared" si="522"/>
        <v>0.52</v>
      </c>
      <c r="J81" s="483">
        <f t="shared" si="523"/>
        <v>6.1319999999999997</v>
      </c>
      <c r="K81" s="806">
        <f t="shared" si="524"/>
        <v>1613</v>
      </c>
      <c r="L81" s="309"/>
      <c r="M81" s="164">
        <f t="shared" si="526"/>
        <v>6.1319999999999997</v>
      </c>
      <c r="N81" s="575">
        <f t="shared" si="527"/>
        <v>-3.5478595802889994</v>
      </c>
      <c r="O81" s="572">
        <f t="shared" si="528"/>
        <v>2.6449525040081245</v>
      </c>
      <c r="P81" s="576">
        <f t="shared" si="529"/>
        <v>-1.6914071155475288</v>
      </c>
      <c r="Q81" s="528">
        <f t="shared" si="609"/>
        <v>143.29523025037429</v>
      </c>
      <c r="R81" s="572">
        <f t="shared" si="101"/>
        <v>4.4252775449577486</v>
      </c>
      <c r="S81" s="577">
        <f t="shared" si="102"/>
        <v>-1.6914071155475288</v>
      </c>
      <c r="T81" s="578">
        <f t="shared" si="103"/>
        <v>2.6115104802457356</v>
      </c>
      <c r="U81" s="572">
        <f t="shared" si="104"/>
        <v>3.572547321096526</v>
      </c>
      <c r="V81" s="579">
        <f t="shared" si="141"/>
        <v>-1.6914071155475288</v>
      </c>
      <c r="W81" s="528">
        <f t="shared" si="735"/>
        <v>53.833422170592755</v>
      </c>
      <c r="X81" s="572">
        <f t="shared" si="105"/>
        <v>4.4252775449577486</v>
      </c>
      <c r="Y81" s="573">
        <f t="shared" si="733"/>
        <v>-1.6914071155475288</v>
      </c>
      <c r="Z81" s="575">
        <f t="shared" si="530"/>
        <v>0.83989089842819253</v>
      </c>
      <c r="AA81" s="572">
        <f t="shared" si="531"/>
        <v>0.50657306186393891</v>
      </c>
      <c r="AB81" s="572">
        <f t="shared" si="532"/>
        <v>-0.19485125540082499</v>
      </c>
      <c r="AC81" s="579">
        <f t="shared" si="106"/>
        <v>1</v>
      </c>
      <c r="AD81" s="580">
        <f t="shared" si="142"/>
        <v>0.83989089842819253</v>
      </c>
      <c r="AE81" s="572">
        <f t="shared" si="107"/>
        <v>0.50657306186393891</v>
      </c>
      <c r="AF81" s="576">
        <f t="shared" si="108"/>
        <v>-0.19485125540082499</v>
      </c>
      <c r="AG81" s="545">
        <f t="shared" si="109"/>
        <v>68.960965492637797</v>
      </c>
      <c r="AH81" s="546">
        <f t="shared" si="110"/>
        <v>32.871399442029372</v>
      </c>
      <c r="AI81" s="528">
        <f t="shared" si="111"/>
        <v>-78.763965519715057</v>
      </c>
      <c r="AJ81" s="529">
        <f t="shared" si="112"/>
        <v>121.09592243695198</v>
      </c>
      <c r="AK81" s="578">
        <f t="shared" si="238"/>
        <v>0.90812871841690523</v>
      </c>
      <c r="AL81" s="572">
        <f t="shared" si="113"/>
        <v>-0.37058766716553287</v>
      </c>
      <c r="AM81" s="577">
        <f t="shared" si="114"/>
        <v>-0.19485125540082499</v>
      </c>
      <c r="AN81" s="524">
        <f t="shared" si="115"/>
        <v>-62.265059341656865</v>
      </c>
      <c r="AO81" s="525">
        <f t="shared" si="525"/>
        <v>24.751978224299812</v>
      </c>
      <c r="AP81" s="528">
        <f t="shared" si="117"/>
        <v>-22.199307813422308</v>
      </c>
      <c r="AQ81" s="529">
        <f t="shared" si="533"/>
        <v>1.0302092580636435</v>
      </c>
      <c r="AS81" s="932">
        <f t="shared" si="632"/>
        <v>53.833422170592755</v>
      </c>
      <c r="AT81" s="928">
        <f t="shared" si="534"/>
        <v>-1.2697228721570788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1"/>
        <v>6.1319999999999997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596"/>
        <v>1613</v>
      </c>
      <c r="IM81" s="482" t="str">
        <f t="shared" si="732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>
        <f t="shared" si="256"/>
        <v>0.02</v>
      </c>
      <c r="B82" s="578">
        <f t="shared" si="515"/>
        <v>-3.6859340523668824</v>
      </c>
      <c r="C82" s="572">
        <f t="shared" si="516"/>
        <v>2.776401757514193</v>
      </c>
      <c r="D82" s="576">
        <f t="shared" si="517"/>
        <v>-2.4125680495752624</v>
      </c>
      <c r="E82" s="580">
        <f t="shared" si="518"/>
        <v>-0.89796267583338263</v>
      </c>
      <c r="F82" s="572">
        <f t="shared" si="519"/>
        <v>-0.42792549912381916</v>
      </c>
      <c r="G82" s="579">
        <f t="shared" si="520"/>
        <v>0.10267813793491598</v>
      </c>
      <c r="H82" s="580">
        <f t="shared" si="521"/>
        <v>0.3125</v>
      </c>
      <c r="I82" s="572">
        <f t="shared" si="522"/>
        <v>0.52</v>
      </c>
      <c r="J82" s="483">
        <f t="shared" si="523"/>
        <v>6.1379999999999999</v>
      </c>
      <c r="K82" s="806">
        <f t="shared" si="524"/>
        <v>1613</v>
      </c>
      <c r="L82" s="309"/>
      <c r="M82" s="164">
        <f t="shared" si="526"/>
        <v>6.1379999999999999</v>
      </c>
      <c r="N82" s="575">
        <f t="shared" si="527"/>
        <v>-3.6859340523668824</v>
      </c>
      <c r="O82" s="572">
        <f t="shared" si="528"/>
        <v>2.776401757514193</v>
      </c>
      <c r="P82" s="576">
        <f t="shared" si="529"/>
        <v>-2.4125680495752624</v>
      </c>
      <c r="Q82" s="528">
        <f t="shared" si="609"/>
        <v>143.01139128546282</v>
      </c>
      <c r="R82" s="572">
        <f t="shared" si="101"/>
        <v>4.6145982010924467</v>
      </c>
      <c r="S82" s="577">
        <f t="shared" si="102"/>
        <v>-2.4125680495752624</v>
      </c>
      <c r="T82" s="578">
        <f t="shared" si="103"/>
        <v>2.7416569897791874</v>
      </c>
      <c r="U82" s="572">
        <f t="shared" si="104"/>
        <v>3.7118504156176026</v>
      </c>
      <c r="V82" s="579">
        <f t="shared" si="141"/>
        <v>-2.4125680495752624</v>
      </c>
      <c r="W82" s="528">
        <f t="shared" si="735"/>
        <v>53.549583205681287</v>
      </c>
      <c r="X82" s="572">
        <f t="shared" si="105"/>
        <v>4.6145982010924467</v>
      </c>
      <c r="Y82" s="573">
        <f t="shared" si="733"/>
        <v>-2.4125680495752624</v>
      </c>
      <c r="Z82" s="575">
        <f t="shared" si="530"/>
        <v>0.89796267583338263</v>
      </c>
      <c r="AA82" s="572">
        <f t="shared" si="531"/>
        <v>0.42792549912381916</v>
      </c>
      <c r="AB82" s="572">
        <f t="shared" si="532"/>
        <v>-0.10267813793491598</v>
      </c>
      <c r="AC82" s="579">
        <f t="shared" si="106"/>
        <v>1</v>
      </c>
      <c r="AD82" s="580">
        <f t="shared" si="142"/>
        <v>0.89796267583338263</v>
      </c>
      <c r="AE82" s="572">
        <f t="shared" si="107"/>
        <v>0.42792549912381916</v>
      </c>
      <c r="AF82" s="576">
        <f t="shared" si="108"/>
        <v>-0.10267813793491598</v>
      </c>
      <c r="AG82" s="545">
        <f t="shared" si="109"/>
        <v>76.507302855868474</v>
      </c>
      <c r="AH82" s="546">
        <f t="shared" si="110"/>
        <v>26.108451014345025</v>
      </c>
      <c r="AI82" s="528">
        <f t="shared" si="111"/>
        <v>-84.106589437942191</v>
      </c>
      <c r="AJ82" s="529">
        <f t="shared" si="112"/>
        <v>115.48020636680772</v>
      </c>
      <c r="AK82" s="578">
        <f t="shared" si="238"/>
        <v>0.88207253223019788</v>
      </c>
      <c r="AL82" s="572">
        <f t="shared" si="113"/>
        <v>-0.45978826417735452</v>
      </c>
      <c r="AM82" s="577">
        <f t="shared" si="114"/>
        <v>-0.10267813793491598</v>
      </c>
      <c r="AN82" s="524">
        <f t="shared" si="115"/>
        <v>-77.411479062779947</v>
      </c>
      <c r="AO82" s="525">
        <f t="shared" si="525"/>
        <v>28.106608666641964</v>
      </c>
      <c r="AP82" s="528">
        <f t="shared" si="117"/>
        <v>-27.531184918655111</v>
      </c>
      <c r="AQ82" s="529">
        <f t="shared" si="533"/>
        <v>0.98795196931521656</v>
      </c>
      <c r="AS82" s="932">
        <f t="shared" si="632"/>
        <v>53.549583205681287</v>
      </c>
      <c r="AT82" s="928">
        <f t="shared" si="534"/>
        <v>-1.9904895854002131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1"/>
        <v>6.1379999999999999</v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>
        <f t="shared" si="596"/>
        <v>1613</v>
      </c>
      <c r="IM82" s="482" t="str">
        <f t="shared" si="732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>
        <f t="shared" si="256"/>
        <v>0.02</v>
      </c>
      <c r="B83" s="578">
        <f t="shared" si="515"/>
        <v>-3.7338696760624215</v>
      </c>
      <c r="C83" s="572">
        <f t="shared" si="516"/>
        <v>2.8241066017408349</v>
      </c>
      <c r="D83" s="576">
        <f t="shared" si="517"/>
        <v>-3.2169909373162522</v>
      </c>
      <c r="E83" s="580">
        <f t="shared" si="518"/>
        <v>-0.91823126336694949</v>
      </c>
      <c r="F83" s="572">
        <f t="shared" si="519"/>
        <v>-0.39363980807251114</v>
      </c>
      <c r="G83" s="579">
        <f t="shared" si="520"/>
        <v>4.357807334167562E-2</v>
      </c>
      <c r="H83" s="580">
        <f t="shared" si="521"/>
        <v>0.3125</v>
      </c>
      <c r="I83" s="572">
        <f t="shared" si="522"/>
        <v>0.52</v>
      </c>
      <c r="J83" s="483">
        <f t="shared" si="523"/>
        <v>6.1440000000000001</v>
      </c>
      <c r="K83" s="806">
        <f t="shared" si="524"/>
        <v>1613</v>
      </c>
      <c r="L83" s="309"/>
      <c r="M83" s="164">
        <f t="shared" si="526"/>
        <v>6.1440000000000001</v>
      </c>
      <c r="N83" s="575">
        <f t="shared" si="527"/>
        <v>-3.7338696760624215</v>
      </c>
      <c r="O83" s="572">
        <f t="shared" si="528"/>
        <v>2.8241066017408349</v>
      </c>
      <c r="P83" s="576">
        <f t="shared" si="529"/>
        <v>-3.2169909373162522</v>
      </c>
      <c r="Q83" s="528">
        <f t="shared" si="609"/>
        <v>142.89801705516373</v>
      </c>
      <c r="R83" s="572">
        <f t="shared" si="101"/>
        <v>4.6815981091732617</v>
      </c>
      <c r="S83" s="577">
        <f t="shared" si="102"/>
        <v>-3.2169909373162522</v>
      </c>
      <c r="T83" s="578">
        <f t="shared" si="103"/>
        <v>2.7889094661735583</v>
      </c>
      <c r="U83" s="572">
        <f t="shared" si="104"/>
        <v>3.7602320201421318</v>
      </c>
      <c r="V83" s="579">
        <f t="shared" si="141"/>
        <v>-3.2169909373162522</v>
      </c>
      <c r="W83" s="528">
        <f t="shared" si="735"/>
        <v>53.4362089753822</v>
      </c>
      <c r="X83" s="572">
        <f t="shared" si="105"/>
        <v>4.6815981091732617</v>
      </c>
      <c r="Y83" s="573">
        <f t="shared" si="733"/>
        <v>-3.2169909373162522</v>
      </c>
      <c r="Z83" s="575">
        <f t="shared" si="530"/>
        <v>0.91823126336694949</v>
      </c>
      <c r="AA83" s="572">
        <f t="shared" si="531"/>
        <v>0.39363980807251114</v>
      </c>
      <c r="AB83" s="572">
        <f t="shared" si="532"/>
        <v>-4.357807334167562E-2</v>
      </c>
      <c r="AC83" s="579">
        <f t="shared" si="106"/>
        <v>1</v>
      </c>
      <c r="AD83" s="580">
        <f t="shared" si="142"/>
        <v>0.91823126336694949</v>
      </c>
      <c r="AE83" s="572">
        <f t="shared" si="107"/>
        <v>0.39363980807251114</v>
      </c>
      <c r="AF83" s="576">
        <f t="shared" si="108"/>
        <v>-4.357807334167562E-2</v>
      </c>
      <c r="AG83" s="545">
        <f t="shared" si="109"/>
        <v>83.682768317630376</v>
      </c>
      <c r="AH83" s="546">
        <f t="shared" si="110"/>
        <v>23.331140741549202</v>
      </c>
      <c r="AI83" s="528">
        <f t="shared" si="111"/>
        <v>-87.502369372171472</v>
      </c>
      <c r="AJ83" s="529">
        <f t="shared" si="112"/>
        <v>113.20450091730851</v>
      </c>
      <c r="AK83" s="578">
        <f t="shared" si="238"/>
        <v>0.86786234544380925</v>
      </c>
      <c r="AL83" s="572">
        <f t="shared" si="113"/>
        <v>-0.49488978660364136</v>
      </c>
      <c r="AM83" s="577">
        <f t="shared" si="114"/>
        <v>-4.357807334167562E-2</v>
      </c>
      <c r="AN83" s="524">
        <f t="shared" si="115"/>
        <v>-84.967735829436208</v>
      </c>
      <c r="AO83" s="525">
        <f t="shared" si="525"/>
        <v>29.788827478517224</v>
      </c>
      <c r="AP83" s="528">
        <f t="shared" si="117"/>
        <v>-29.693516137855216</v>
      </c>
      <c r="AQ83" s="529">
        <f t="shared" si="533"/>
        <v>0.97381580250729427</v>
      </c>
      <c r="AS83" s="932">
        <f t="shared" si="632"/>
        <v>53.4362089753822</v>
      </c>
      <c r="AT83" s="928">
        <f t="shared" si="534"/>
        <v>-2.7947550089324542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1"/>
        <v>6.1440000000000001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596"/>
        <v>1613</v>
      </c>
      <c r="IM83" s="482" t="str">
        <f t="shared" si="732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>
        <f t="shared" si="256"/>
        <v>0.02</v>
      </c>
      <c r="B84" s="578">
        <f t="shared" si="515"/>
        <v>-2.3028069777308513</v>
      </c>
      <c r="C84" s="572">
        <f t="shared" si="516"/>
        <v>2.6628198976678861</v>
      </c>
      <c r="D84" s="576">
        <f t="shared" si="517"/>
        <v>-0.51984215939039657</v>
      </c>
      <c r="E84" s="580">
        <f t="shared" si="518"/>
        <v>-0.83138287275906908</v>
      </c>
      <c r="F84" s="572">
        <f t="shared" si="519"/>
        <v>-0.44503311086804898</v>
      </c>
      <c r="G84" s="579">
        <f t="shared" si="520"/>
        <v>0.33278829473703631</v>
      </c>
      <c r="H84" s="580">
        <f t="shared" si="521"/>
        <v>0.26450000000000001</v>
      </c>
      <c r="I84" s="572">
        <f t="shared" si="522"/>
        <v>0.39400000000000002</v>
      </c>
      <c r="J84" s="483">
        <f t="shared" si="523"/>
        <v>6.22</v>
      </c>
      <c r="K84" s="806">
        <f t="shared" si="524"/>
        <v>1310</v>
      </c>
      <c r="L84" s="309"/>
      <c r="M84" s="164">
        <f t="shared" si="526"/>
        <v>6.22</v>
      </c>
      <c r="N84" s="575">
        <f t="shared" si="527"/>
        <v>-2.3028069777308513</v>
      </c>
      <c r="O84" s="572">
        <f t="shared" si="528"/>
        <v>2.6628198976678861</v>
      </c>
      <c r="P84" s="576">
        <f t="shared" si="529"/>
        <v>-0.51984215939039657</v>
      </c>
      <c r="Q84" s="528">
        <f t="shared" si="609"/>
        <v>130.8532541107694</v>
      </c>
      <c r="R84" s="572">
        <f t="shared" si="101"/>
        <v>3.5204445435345106</v>
      </c>
      <c r="S84" s="577">
        <f t="shared" si="102"/>
        <v>-0.51984215939039657</v>
      </c>
      <c r="T84" s="578">
        <f t="shared" si="103"/>
        <v>2.6410719679595811</v>
      </c>
      <c r="U84" s="572">
        <f t="shared" si="104"/>
        <v>2.3277174751588765</v>
      </c>
      <c r="V84" s="579">
        <f t="shared" si="141"/>
        <v>-0.51984215939039657</v>
      </c>
      <c r="W84" s="528">
        <f t="shared" si="735"/>
        <v>41.391446030987865</v>
      </c>
      <c r="X84" s="572">
        <f t="shared" si="105"/>
        <v>3.5204445435345106</v>
      </c>
      <c r="Y84" s="573">
        <f t="shared" si="733"/>
        <v>-0.51984215939039657</v>
      </c>
      <c r="Z84" s="575">
        <f t="shared" si="530"/>
        <v>0.83138287275906908</v>
      </c>
      <c r="AA84" s="572">
        <f t="shared" si="531"/>
        <v>0.44503311086804898</v>
      </c>
      <c r="AB84" s="572">
        <f t="shared" si="532"/>
        <v>-0.33278829473703631</v>
      </c>
      <c r="AC84" s="579">
        <f t="shared" si="106"/>
        <v>1</v>
      </c>
      <c r="AD84" s="580">
        <f t="shared" si="142"/>
        <v>0.83138287275906908</v>
      </c>
      <c r="AE84" s="572">
        <f t="shared" si="107"/>
        <v>0.44503311086804898</v>
      </c>
      <c r="AF84" s="576">
        <f t="shared" si="108"/>
        <v>-0.33278829473703631</v>
      </c>
      <c r="AG84" s="545">
        <f t="shared" si="109"/>
        <v>53.211476482367502</v>
      </c>
      <c r="AH84" s="546">
        <f t="shared" si="110"/>
        <v>33.758944376415542</v>
      </c>
      <c r="AI84" s="528">
        <f t="shared" si="111"/>
        <v>-70.561898715105954</v>
      </c>
      <c r="AJ84" s="529">
        <f t="shared" si="112"/>
        <v>118.15981430255076</v>
      </c>
      <c r="AK84" s="578">
        <f t="shared" si="238"/>
        <v>0.91995433222753165</v>
      </c>
      <c r="AL84" s="572">
        <f t="shared" si="113"/>
        <v>-0.20720998407849917</v>
      </c>
      <c r="AM84" s="577">
        <f t="shared" si="114"/>
        <v>-0.33278829473703631</v>
      </c>
      <c r="AN84" s="524">
        <f t="shared" si="115"/>
        <v>-31.908377148153889</v>
      </c>
      <c r="AO84" s="525">
        <f t="shared" si="525"/>
        <v>23.08059346832755</v>
      </c>
      <c r="AP84" s="528">
        <f t="shared" si="117"/>
        <v>-12.69343980821866</v>
      </c>
      <c r="AQ84" s="529">
        <f t="shared" si="533"/>
        <v>1.2949151399440832</v>
      </c>
      <c r="AS84" s="932">
        <f t="shared" si="632"/>
        <v>41.391446030987865</v>
      </c>
      <c r="AT84" s="928">
        <f t="shared" si="534"/>
        <v>-8.0877393583828672E-2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>Nose</v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1"/>
        <v>6.22</v>
      </c>
      <c r="IJ84" s="674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0.12</v>
      </c>
      <c r="IK84" s="677" cm="1">
        <f t="array" ref="IK84">IFERROR(ROUND(VALUE(IF($IJ84&lt;1,$IJ84+LARGE((IF($M$9:$M$150="",0,$M$9:$M$150)-MOD(IF($M$9:$M$150="",0,$M$9:$M$150),1)),1),$IJ84)),4),"")</f>
        <v>6.12</v>
      </c>
      <c r="IL84" s="482">
        <f t="shared" si="596"/>
        <v>1613</v>
      </c>
      <c r="IM84" s="482">
        <f t="shared" si="732"/>
        <v>1310</v>
      </c>
      <c r="IN84" s="670">
        <f t="shared" si="597"/>
        <v>13.725987963685043</v>
      </c>
      <c r="IO84" s="702">
        <v>2.58887418668983E-2</v>
      </c>
      <c r="IP84" s="5">
        <f t="shared" si="598"/>
        <v>0.74</v>
      </c>
      <c r="IQ84" s="714">
        <v>370</v>
      </c>
      <c r="IR84" s="9">
        <f t="shared" si="599"/>
        <v>-3.5023090784645645</v>
      </c>
      <c r="IS84" s="5">
        <f t="shared" si="600"/>
        <v>-0.54068275317767045</v>
      </c>
      <c r="IT84" s="5">
        <f t="shared" si="601"/>
        <v>0.3125</v>
      </c>
      <c r="IU84" s="5">
        <f t="shared" si="602"/>
        <v>0.29707872921721196</v>
      </c>
      <c r="IV84" s="670">
        <f t="shared" si="603"/>
        <v>31.697301739955826</v>
      </c>
      <c r="IW84" s="9">
        <f t="shared" si="604"/>
        <v>-3.5204445435345106</v>
      </c>
      <c r="IX84" s="5">
        <f t="shared" si="605"/>
        <v>-0.51984215939039657</v>
      </c>
      <c r="IY84" s="5">
        <f t="shared" si="606"/>
        <v>0.26450000000000001</v>
      </c>
      <c r="IZ84" s="5">
        <f t="shared" si="607"/>
        <v>0.24332792087418212</v>
      </c>
      <c r="JA84" s="705">
        <f t="shared" si="608"/>
        <v>31.908377148153889</v>
      </c>
    </row>
    <row r="85" spans="1:261" ht="15" customHeight="1" x14ac:dyDescent="0.25">
      <c r="A85" s="75">
        <f t="shared" si="256"/>
        <v>0.02</v>
      </c>
      <c r="B85" s="578">
        <f t="shared" si="515"/>
        <v>-2.7266687660037494</v>
      </c>
      <c r="C85" s="572">
        <f t="shared" si="516"/>
        <v>3.0263857981240108</v>
      </c>
      <c r="D85" s="576">
        <f t="shared" si="517"/>
        <v>-1.0316591039747072</v>
      </c>
      <c r="E85" s="580">
        <f t="shared" si="518"/>
        <v>-0.88371243124749965</v>
      </c>
      <c r="F85" s="572">
        <f t="shared" si="519"/>
        <v>-0.35713454619924395</v>
      </c>
      <c r="G85" s="579">
        <f t="shared" si="520"/>
        <v>0.30250166077179397</v>
      </c>
      <c r="H85" s="580">
        <f t="shared" si="521"/>
        <v>0.26450000000000001</v>
      </c>
      <c r="I85" s="572">
        <f t="shared" si="522"/>
        <v>0.52</v>
      </c>
      <c r="J85" s="483">
        <f t="shared" si="523"/>
        <v>6.226</v>
      </c>
      <c r="K85" s="806">
        <f t="shared" si="524"/>
        <v>1313</v>
      </c>
      <c r="L85" s="309"/>
      <c r="M85" s="164">
        <f t="shared" si="526"/>
        <v>6.226</v>
      </c>
      <c r="N85" s="575">
        <f t="shared" si="527"/>
        <v>-2.7266687660037494</v>
      </c>
      <c r="O85" s="572">
        <f t="shared" si="528"/>
        <v>3.0263857981240108</v>
      </c>
      <c r="P85" s="576">
        <f t="shared" si="529"/>
        <v>-1.0316591039747072</v>
      </c>
      <c r="Q85" s="528">
        <f t="shared" si="609"/>
        <v>132.01775638177747</v>
      </c>
      <c r="R85" s="572">
        <f t="shared" si="101"/>
        <v>4.073540666126596</v>
      </c>
      <c r="S85" s="577">
        <f t="shared" si="102"/>
        <v>-1.0316591039747072</v>
      </c>
      <c r="T85" s="578">
        <f t="shared" si="103"/>
        <v>3.0006404604422228</v>
      </c>
      <c r="U85" s="572">
        <f t="shared" si="104"/>
        <v>2.7549755689922546</v>
      </c>
      <c r="V85" s="579">
        <f t="shared" si="141"/>
        <v>-1.0316591039747072</v>
      </c>
      <c r="W85" s="528">
        <f t="shared" si="735"/>
        <v>42.55594830199594</v>
      </c>
      <c r="X85" s="572">
        <f t="shared" si="105"/>
        <v>4.073540666126596</v>
      </c>
      <c r="Y85" s="573">
        <f t="shared" si="733"/>
        <v>-1.0316591039747072</v>
      </c>
      <c r="Z85" s="575">
        <f t="shared" si="530"/>
        <v>0.88371243124749965</v>
      </c>
      <c r="AA85" s="572">
        <f t="shared" si="531"/>
        <v>0.35713454619924395</v>
      </c>
      <c r="AB85" s="572">
        <f t="shared" si="532"/>
        <v>-0.30250166077179397</v>
      </c>
      <c r="AC85" s="579">
        <f t="shared" si="106"/>
        <v>1</v>
      </c>
      <c r="AD85" s="580">
        <f t="shared" si="142"/>
        <v>0.88371243124749965</v>
      </c>
      <c r="AE85" s="572">
        <f t="shared" si="107"/>
        <v>0.35713454619924395</v>
      </c>
      <c r="AF85" s="576">
        <f t="shared" si="108"/>
        <v>-0.30250166077179397</v>
      </c>
      <c r="AG85" s="545">
        <f t="shared" si="109"/>
        <v>49.734588015170296</v>
      </c>
      <c r="AH85" s="546">
        <f t="shared" si="110"/>
        <v>27.906513245821468</v>
      </c>
      <c r="AI85" s="528">
        <f t="shared" si="111"/>
        <v>-72.392079201027869</v>
      </c>
      <c r="AJ85" s="529">
        <f t="shared" si="112"/>
        <v>112.00510241815525</v>
      </c>
      <c r="AK85" s="578">
        <f t="shared" si="238"/>
        <v>0.89559492906805227</v>
      </c>
      <c r="AL85" s="572">
        <f t="shared" si="113"/>
        <v>-0.32619391204910153</v>
      </c>
      <c r="AM85" s="577">
        <f t="shared" si="114"/>
        <v>-0.30250166077179397</v>
      </c>
      <c r="AN85" s="524">
        <f t="shared" si="115"/>
        <v>-47.15815732242519</v>
      </c>
      <c r="AO85" s="525">
        <f t="shared" si="525"/>
        <v>26.415050906318793</v>
      </c>
      <c r="AP85" s="528">
        <f t="shared" si="117"/>
        <v>-20.01265396362222</v>
      </c>
      <c r="AQ85" s="529">
        <f t="shared" si="533"/>
        <v>1.119142723923507</v>
      </c>
      <c r="AS85" s="932">
        <f t="shared" si="632"/>
        <v>42.55594830199594</v>
      </c>
      <c r="AT85" s="928">
        <f t="shared" si="534"/>
        <v>-0.59431170243342824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>Taper</v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1"/>
        <v>6.226</v>
      </c>
      <c r="IJ85" s="674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0.126</v>
      </c>
      <c r="IK85" s="677" cm="1">
        <f t="array" ref="IK85">IFERROR(ROUND(VALUE(IF($IJ85&lt;1,$IJ85+LARGE((IF($M$9:$M$150="",0,$M$9:$M$150)-MOD(IF($M$9:$M$150="",0,$M$9:$M$150),1)),1),$IJ85)),4),"")</f>
        <v>6.1260000000000003</v>
      </c>
      <c r="IL85" s="482">
        <f t="shared" si="596"/>
        <v>1613</v>
      </c>
      <c r="IM85" s="482">
        <f t="shared" si="732"/>
        <v>1313</v>
      </c>
      <c r="IN85" s="670">
        <f t="shared" si="597"/>
        <v>11.83906112255022</v>
      </c>
      <c r="IO85" s="702">
        <v>2.37509223930846E-2</v>
      </c>
      <c r="IP85" s="5">
        <f t="shared" si="598"/>
        <v>0.88</v>
      </c>
      <c r="IQ85" s="714">
        <v>440</v>
      </c>
      <c r="IR85" s="9">
        <f t="shared" si="599"/>
        <v>-4.0484387926423295</v>
      </c>
      <c r="IS85" s="5">
        <f t="shared" si="600"/>
        <v>-1.0480802271998733</v>
      </c>
      <c r="IT85" s="5">
        <f t="shared" si="601"/>
        <v>0.3125</v>
      </c>
      <c r="IU85" s="5">
        <f t="shared" si="602"/>
        <v>0.29094167858213371</v>
      </c>
      <c r="IV85" s="670">
        <f t="shared" si="603"/>
        <v>47.046749081946118</v>
      </c>
      <c r="IW85" s="9">
        <f t="shared" si="604"/>
        <v>-4.073540666126596</v>
      </c>
      <c r="IX85" s="5">
        <f t="shared" si="605"/>
        <v>-1.0316591039747072</v>
      </c>
      <c r="IY85" s="5">
        <f t="shared" si="606"/>
        <v>0.26450000000000001</v>
      </c>
      <c r="IZ85" s="5">
        <f t="shared" si="607"/>
        <v>0.23688485873849985</v>
      </c>
      <c r="JA85" s="705">
        <f t="shared" si="608"/>
        <v>47.15815732242519</v>
      </c>
    </row>
    <row r="86" spans="1:261" ht="15" customHeight="1" x14ac:dyDescent="0.25">
      <c r="A86" s="75">
        <f t="shared" si="256"/>
        <v>0</v>
      </c>
      <c r="B86" s="578">
        <f t="shared" si="515"/>
        <v>-2.6277187677321066</v>
      </c>
      <c r="C86" s="572">
        <f t="shared" si="516"/>
        <v>3.558737062795494</v>
      </c>
      <c r="D86" s="576">
        <f t="shared" si="517"/>
        <v>-1.7064264025839397</v>
      </c>
      <c r="E86" s="580">
        <f t="shared" si="518"/>
        <v>-0.56428648623738398</v>
      </c>
      <c r="F86" s="572">
        <f t="shared" si="519"/>
        <v>0.7642169539858259</v>
      </c>
      <c r="G86" s="579">
        <f t="shared" si="520"/>
        <v>0.31233509039250279</v>
      </c>
      <c r="H86" s="580">
        <f t="shared" si="521"/>
        <v>0.255</v>
      </c>
      <c r="I86" s="572">
        <f t="shared" si="522"/>
        <v>0.41499999999999992</v>
      </c>
      <c r="J86" s="483">
        <f t="shared" si="523"/>
        <v>6.2320000000000002</v>
      </c>
      <c r="K86" s="806" t="str">
        <f t="shared" si="524"/>
        <v>CPS-32193r1</v>
      </c>
      <c r="L86" s="309"/>
      <c r="M86" s="164">
        <f t="shared" si="526"/>
        <v>6.2320000000000002</v>
      </c>
      <c r="N86" s="575">
        <f t="shared" si="527"/>
        <v>-2.6277187677321066</v>
      </c>
      <c r="O86" s="572">
        <f t="shared" si="528"/>
        <v>3.558737062795494</v>
      </c>
      <c r="P86" s="576">
        <f t="shared" si="529"/>
        <v>-1.7064264025839397</v>
      </c>
      <c r="Q86" s="528">
        <f t="shared" si="609"/>
        <v>126.44161115912044</v>
      </c>
      <c r="R86" s="572">
        <f t="shared" si="101"/>
        <v>4.4237445003532745</v>
      </c>
      <c r="S86" s="577">
        <f t="shared" si="102"/>
        <v>-1.7064264025839397</v>
      </c>
      <c r="T86" s="578">
        <f t="shared" si="103"/>
        <v>3.5338976854532143</v>
      </c>
      <c r="U86" s="572">
        <f t="shared" si="104"/>
        <v>2.6610303555491925</v>
      </c>
      <c r="V86" s="579">
        <f t="shared" si="141"/>
        <v>-1.7064264025839397</v>
      </c>
      <c r="W86" s="528">
        <f t="shared" si="735"/>
        <v>36.979803079338907</v>
      </c>
      <c r="X86" s="572">
        <f t="shared" si="105"/>
        <v>4.4237445003532745</v>
      </c>
      <c r="Y86" s="573">
        <f t="shared" si="733"/>
        <v>-1.7064264025839397</v>
      </c>
      <c r="Z86" s="575">
        <f t="shared" si="530"/>
        <v>0.56428648623738398</v>
      </c>
      <c r="AA86" s="572">
        <f t="shared" si="531"/>
        <v>-0.7642169539858259</v>
      </c>
      <c r="AB86" s="572">
        <f t="shared" si="532"/>
        <v>-0.31233509039250279</v>
      </c>
      <c r="AC86" s="579">
        <f t="shared" si="106"/>
        <v>1</v>
      </c>
      <c r="AD86" s="580">
        <f t="shared" si="142"/>
        <v>0.56428648623738398</v>
      </c>
      <c r="AE86" s="572">
        <f t="shared" si="107"/>
        <v>-0.7642169539858259</v>
      </c>
      <c r="AF86" s="576">
        <f t="shared" si="108"/>
        <v>-0.31233509039250279</v>
      </c>
      <c r="AG86" s="545">
        <f t="shared" si="109"/>
        <v>-67.770189780012387</v>
      </c>
      <c r="AH86" s="546">
        <f t="shared" si="110"/>
        <v>55.647241699437608</v>
      </c>
      <c r="AI86" s="528">
        <f t="shared" si="111"/>
        <v>-71.79998963336412</v>
      </c>
      <c r="AJ86" s="529">
        <f t="shared" si="112"/>
        <v>36.441611159120427</v>
      </c>
      <c r="AK86" s="578">
        <f t="shared" si="238"/>
        <v>-1.6653345369377348E-16</v>
      </c>
      <c r="AL86" s="572">
        <f t="shared" si="113"/>
        <v>-0.94997199501327789</v>
      </c>
      <c r="AM86" s="577">
        <f t="shared" si="114"/>
        <v>-0.31233509039250279</v>
      </c>
      <c r="AN86" s="524">
        <f t="shared" si="115"/>
        <v>-71.79998963336412</v>
      </c>
      <c r="AO86" s="525">
        <f t="shared" si="525"/>
        <v>0</v>
      </c>
      <c r="AP86" s="528">
        <f t="shared" si="117"/>
        <v>-90.000000000000014</v>
      </c>
      <c r="AQ86" s="529">
        <f t="shared" si="533"/>
        <v>1.0305661991540607</v>
      </c>
      <c r="AS86" s="932">
        <f t="shared" si="632"/>
        <v>36.979803079338907</v>
      </c>
      <c r="AT86" s="928">
        <f t="shared" si="534"/>
        <v>-1.2613343549000815</v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>Taper</v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1"/>
        <v>6.2320000000000002</v>
      </c>
      <c r="IJ86" s="674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0.13200000000000001</v>
      </c>
      <c r="IK86" s="677" cm="1">
        <f t="array" ref="IK86">IFERROR(ROUND(VALUE(IF($IJ86&lt;1,$IJ86+LARGE((IF($M$9:$M$150="",0,$M$9:$M$150)-MOD(IF($M$9:$M$150="",0,$M$9:$M$150),1)),1),$IJ86)),4),"")</f>
        <v>6.1319999999999997</v>
      </c>
      <c r="IL86" s="482">
        <f t="shared" si="596"/>
        <v>1613</v>
      </c>
      <c r="IM86" s="482" t="str">
        <f t="shared" si="732"/>
        <v>CPS-32193r1</v>
      </c>
      <c r="IN86" s="670">
        <f t="shared" si="597"/>
        <v>16.853619091253847</v>
      </c>
      <c r="IO86" s="702">
        <v>3.5607777331602503E-2</v>
      </c>
      <c r="IP86" s="5">
        <f t="shared" si="598"/>
        <v>1.22</v>
      </c>
      <c r="IQ86" s="714">
        <v>610</v>
      </c>
      <c r="IR86" s="9">
        <f t="shared" si="599"/>
        <v>-4.4252775449577486</v>
      </c>
      <c r="IS86" s="5">
        <f t="shared" si="600"/>
        <v>-1.6914071155475288</v>
      </c>
      <c r="IT86" s="5">
        <f t="shared" si="601"/>
        <v>0.3125</v>
      </c>
      <c r="IU86" s="5">
        <f t="shared" si="602"/>
        <v>0.28379022450528291</v>
      </c>
      <c r="IV86" s="670">
        <f t="shared" si="603"/>
        <v>62.265059341656865</v>
      </c>
      <c r="IW86" s="9">
        <f t="shared" si="604"/>
        <v>-4.4237445003532745</v>
      </c>
      <c r="IX86" s="5">
        <f t="shared" si="605"/>
        <v>-1.7064264025839397</v>
      </c>
      <c r="IY86" s="5">
        <f t="shared" si="606"/>
        <v>0.255</v>
      </c>
      <c r="IZ86" s="5">
        <f t="shared" si="607"/>
        <v>0.255</v>
      </c>
      <c r="JA86" s="705">
        <f t="shared" si="608"/>
        <v>71.79998963336412</v>
      </c>
    </row>
    <row r="87" spans="1:261" ht="15" customHeight="1" x14ac:dyDescent="0.25">
      <c r="A87" s="75">
        <f t="shared" si="256"/>
        <v>0</v>
      </c>
      <c r="B87" s="578">
        <f t="shared" si="515"/>
        <v>-2.6595420017994535</v>
      </c>
      <c r="C87" s="572">
        <f t="shared" si="516"/>
        <v>3.7592436481870086</v>
      </c>
      <c r="D87" s="576">
        <f t="shared" si="517"/>
        <v>-2.4296713323910164</v>
      </c>
      <c r="E87" s="580">
        <f t="shared" si="518"/>
        <v>-0.57534871823962908</v>
      </c>
      <c r="F87" s="572">
        <f t="shared" si="519"/>
        <v>0.81325130908684806</v>
      </c>
      <c r="G87" s="579">
        <f t="shared" si="520"/>
        <v>8.7155956127759157E-2</v>
      </c>
      <c r="H87" s="580">
        <f t="shared" si="521"/>
        <v>0.255</v>
      </c>
      <c r="I87" s="572">
        <f t="shared" si="522"/>
        <v>0.41499999999999992</v>
      </c>
      <c r="J87" s="483">
        <f t="shared" si="523"/>
        <v>6.2380000000000004</v>
      </c>
      <c r="K87" s="806" t="str">
        <f t="shared" si="524"/>
        <v>CPS-32193r1</v>
      </c>
      <c r="L87" s="309"/>
      <c r="M87" s="164">
        <f t="shared" si="526"/>
        <v>6.2380000000000004</v>
      </c>
      <c r="N87" s="575">
        <f t="shared" si="527"/>
        <v>-2.6595420017994535</v>
      </c>
      <c r="O87" s="572">
        <f t="shared" si="528"/>
        <v>3.7592436481870086</v>
      </c>
      <c r="P87" s="576">
        <f t="shared" si="529"/>
        <v>-2.4296713323910164</v>
      </c>
      <c r="Q87" s="528">
        <f t="shared" si="609"/>
        <v>125.27815863413002</v>
      </c>
      <c r="R87" s="572">
        <f t="shared" si="101"/>
        <v>4.6048970092467663</v>
      </c>
      <c r="S87" s="577">
        <f t="shared" si="102"/>
        <v>-2.4296713323910164</v>
      </c>
      <c r="T87" s="578">
        <f t="shared" si="103"/>
        <v>3.734096507025737</v>
      </c>
      <c r="U87" s="572">
        <f t="shared" si="104"/>
        <v>2.6947355606790069</v>
      </c>
      <c r="V87" s="579">
        <f t="shared" si="141"/>
        <v>-2.4296713323910164</v>
      </c>
      <c r="W87" s="528">
        <f t="shared" si="735"/>
        <v>35.816350554348489</v>
      </c>
      <c r="X87" s="572">
        <f t="shared" si="105"/>
        <v>4.6048970092467663</v>
      </c>
      <c r="Y87" s="573">
        <f t="shared" si="733"/>
        <v>-2.4296713323910164</v>
      </c>
      <c r="Z87" s="575">
        <f t="shared" si="530"/>
        <v>0.57534871823962908</v>
      </c>
      <c r="AA87" s="572">
        <f t="shared" si="531"/>
        <v>-0.81325130908684806</v>
      </c>
      <c r="AB87" s="572">
        <f t="shared" si="532"/>
        <v>-8.7155956127759157E-2</v>
      </c>
      <c r="AC87" s="579">
        <f t="shared" si="106"/>
        <v>1</v>
      </c>
      <c r="AD87" s="580">
        <f t="shared" si="142"/>
        <v>0.57534871823962908</v>
      </c>
      <c r="AE87" s="572">
        <f t="shared" si="107"/>
        <v>-0.81325130908684806</v>
      </c>
      <c r="AF87" s="576">
        <f t="shared" si="108"/>
        <v>-8.7155956127759157E-2</v>
      </c>
      <c r="AG87" s="545">
        <f t="shared" si="109"/>
        <v>-83.882971918966177</v>
      </c>
      <c r="AH87" s="546">
        <f t="shared" si="110"/>
        <v>54.875943195230583</v>
      </c>
      <c r="AI87" s="528">
        <f t="shared" si="111"/>
        <v>-84.999987727520178</v>
      </c>
      <c r="AJ87" s="529">
        <f t="shared" si="112"/>
        <v>35.27815863413003</v>
      </c>
      <c r="AK87" s="578">
        <f t="shared" si="238"/>
        <v>5.5511151231257827E-17</v>
      </c>
      <c r="AL87" s="572">
        <f t="shared" si="113"/>
        <v>-0.99619467942338269</v>
      </c>
      <c r="AM87" s="577">
        <f t="shared" si="114"/>
        <v>-8.7155956127759157E-2</v>
      </c>
      <c r="AN87" s="524">
        <f t="shared" si="115"/>
        <v>-84.999987727520178</v>
      </c>
      <c r="AO87" s="525">
        <f t="shared" si="525"/>
        <v>0</v>
      </c>
      <c r="AP87" s="528">
        <f t="shared" si="117"/>
        <v>-90</v>
      </c>
      <c r="AQ87" s="529">
        <f t="shared" si="533"/>
        <v>0.99003288576748782</v>
      </c>
      <c r="AS87" s="932">
        <f t="shared" si="632"/>
        <v>35.816350554348489</v>
      </c>
      <c r="AT87" s="928">
        <f t="shared" si="534"/>
        <v>-1.9829633784224494</v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>Taper</v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1"/>
        <v>6.2380000000000004</v>
      </c>
      <c r="IJ87" s="674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0.13800000000000001</v>
      </c>
      <c r="IK87" s="677" cm="1">
        <f t="array" ref="IK87">IFERROR(ROUND(VALUE(IF($IJ87&lt;1,$IJ87+LARGE((IF($M$9:$M$150="",0,$M$9:$M$150)-MOD(IF($M$9:$M$150="",0,$M$9:$M$150),1)),1),$IJ87)),4),"")</f>
        <v>6.1379999999999999</v>
      </c>
      <c r="IL87" s="482">
        <f t="shared" si="596"/>
        <v>1613</v>
      </c>
      <c r="IM87" s="482" t="str">
        <f t="shared" si="732"/>
        <v>CPS-32193r1</v>
      </c>
      <c r="IN87" s="670">
        <f t="shared" si="597"/>
        <v>17.733232651332798</v>
      </c>
      <c r="IO87" s="702">
        <v>3.2223848743436603E-2</v>
      </c>
      <c r="IP87" s="5">
        <f t="shared" si="598"/>
        <v>1.4</v>
      </c>
      <c r="IQ87" s="714">
        <v>700</v>
      </c>
      <c r="IR87" s="9">
        <f t="shared" si="599"/>
        <v>-4.6145982010924467</v>
      </c>
      <c r="IS87" s="5">
        <f t="shared" si="600"/>
        <v>-2.4125680495752624</v>
      </c>
      <c r="IT87" s="5">
        <f t="shared" si="601"/>
        <v>0.3125</v>
      </c>
      <c r="IU87" s="5">
        <f t="shared" si="602"/>
        <v>0.27564766632193682</v>
      </c>
      <c r="IV87" s="670">
        <f t="shared" si="603"/>
        <v>77.411479062779947</v>
      </c>
      <c r="IW87" s="9">
        <f t="shared" si="604"/>
        <v>-4.6048970092467663</v>
      </c>
      <c r="IX87" s="5">
        <f t="shared" si="605"/>
        <v>-2.4296713323910164</v>
      </c>
      <c r="IY87" s="5">
        <f t="shared" si="606"/>
        <v>0.255</v>
      </c>
      <c r="IZ87" s="5">
        <f t="shared" si="607"/>
        <v>0.255</v>
      </c>
      <c r="JA87" s="705">
        <f t="shared" si="608"/>
        <v>84.999987727520178</v>
      </c>
    </row>
    <row r="88" spans="1:261" ht="15" customHeight="1" x14ac:dyDescent="0.25">
      <c r="A88" s="75">
        <f t="shared" si="256"/>
        <v>0</v>
      </c>
      <c r="B88" s="578">
        <f t="shared" si="515"/>
        <v>-2.5995625909552231</v>
      </c>
      <c r="C88" s="572">
        <f t="shared" si="516"/>
        <v>3.8762782826832805</v>
      </c>
      <c r="D88" s="576">
        <f t="shared" si="517"/>
        <v>-3.234295572924073</v>
      </c>
      <c r="E88" s="580">
        <f t="shared" si="518"/>
        <v>-0.55485955470048776</v>
      </c>
      <c r="F88" s="572">
        <f t="shared" si="519"/>
        <v>0.82736613048216623</v>
      </c>
      <c r="G88" s="579">
        <f t="shared" si="520"/>
        <v>8.7155956127758699E-2</v>
      </c>
      <c r="H88" s="580">
        <f t="shared" si="521"/>
        <v>0.255</v>
      </c>
      <c r="I88" s="572">
        <f t="shared" si="522"/>
        <v>0.41499999999999992</v>
      </c>
      <c r="J88" s="483">
        <f t="shared" si="523"/>
        <v>6.2439999999999998</v>
      </c>
      <c r="K88" s="806" t="str">
        <f t="shared" si="524"/>
        <v>CPS-32193r1</v>
      </c>
      <c r="L88" s="309"/>
      <c r="M88" s="164">
        <f t="shared" si="526"/>
        <v>6.2439999999999998</v>
      </c>
      <c r="N88" s="575">
        <f t="shared" si="527"/>
        <v>-2.5995625909552231</v>
      </c>
      <c r="O88" s="572">
        <f t="shared" si="528"/>
        <v>3.8762782826832805</v>
      </c>
      <c r="P88" s="576">
        <f t="shared" si="529"/>
        <v>-3.234295572924073</v>
      </c>
      <c r="Q88" s="528">
        <f t="shared" si="609"/>
        <v>123.8471345066403</v>
      </c>
      <c r="R88" s="572">
        <f t="shared" si="101"/>
        <v>4.667253902360132</v>
      </c>
      <c r="S88" s="577">
        <f t="shared" si="102"/>
        <v>-3.234295572924073</v>
      </c>
      <c r="T88" s="578">
        <f t="shared" si="103"/>
        <v>3.8516893700022981</v>
      </c>
      <c r="U88" s="572">
        <f t="shared" si="104"/>
        <v>2.6358581119072362</v>
      </c>
      <c r="V88" s="579">
        <f t="shared" si="141"/>
        <v>-3.234295572924073</v>
      </c>
      <c r="W88" s="528">
        <f t="shared" si="735"/>
        <v>34.385326426858768</v>
      </c>
      <c r="X88" s="572">
        <f t="shared" si="105"/>
        <v>4.667253902360132</v>
      </c>
      <c r="Y88" s="573">
        <f t="shared" si="733"/>
        <v>-3.234295572924073</v>
      </c>
      <c r="Z88" s="575">
        <f t="shared" si="530"/>
        <v>0.55485955470048776</v>
      </c>
      <c r="AA88" s="572">
        <f t="shared" si="531"/>
        <v>-0.82736613048216623</v>
      </c>
      <c r="AB88" s="572">
        <f t="shared" si="532"/>
        <v>-8.7155956127758699E-2</v>
      </c>
      <c r="AC88" s="579">
        <f t="shared" si="106"/>
        <v>1</v>
      </c>
      <c r="AD88" s="580">
        <f t="shared" si="142"/>
        <v>0.55485955470048776</v>
      </c>
      <c r="AE88" s="572">
        <f t="shared" si="107"/>
        <v>-0.82736613048216623</v>
      </c>
      <c r="AF88" s="576">
        <f t="shared" si="108"/>
        <v>-8.7155956127758699E-2</v>
      </c>
      <c r="AG88" s="545">
        <f t="shared" si="109"/>
        <v>-83.986556865144649</v>
      </c>
      <c r="AH88" s="546">
        <f t="shared" si="110"/>
        <v>56.298958196184827</v>
      </c>
      <c r="AI88" s="528">
        <f t="shared" si="111"/>
        <v>-84.999987727520192</v>
      </c>
      <c r="AJ88" s="529">
        <f t="shared" si="112"/>
        <v>33.84713450664028</v>
      </c>
      <c r="AK88" s="578">
        <f t="shared" si="238"/>
        <v>-3.8857805861880479E-16</v>
      </c>
      <c r="AL88" s="572">
        <f t="shared" si="113"/>
        <v>-0.9961946794233828</v>
      </c>
      <c r="AM88" s="577">
        <f t="shared" si="114"/>
        <v>-8.7155956127758699E-2</v>
      </c>
      <c r="AN88" s="524">
        <f t="shared" si="115"/>
        <v>-84.999987727520207</v>
      </c>
      <c r="AO88" s="525">
        <f t="shared" si="525"/>
        <v>0</v>
      </c>
      <c r="AP88" s="528">
        <f t="shared" si="117"/>
        <v>-90.000000000000014</v>
      </c>
      <c r="AQ88" s="529">
        <f t="shared" si="533"/>
        <v>0.97680812158684527</v>
      </c>
      <c r="AS88" s="932">
        <f t="shared" si="632"/>
        <v>34.385326426858768</v>
      </c>
      <c r="AT88" s="928">
        <f t="shared" si="534"/>
        <v>-2.7856000854451035</v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>Taper</v>
      </c>
      <c r="IH88" s="482" t="str">
        <f>IFERROR(IF((((($IY88*COS(RADIANS(180-$JA88)))*COS(RADIANS($JA88)))-(($IZ88*SIN(RADIANS(180-$JA88)))*SIN(RADIANS($JA88))))+$IW88)&lt;(((Settings!$C$19+$IH$8)/2)*-1),"Gage",""),"")</f>
        <v>Gage</v>
      </c>
      <c r="II88" s="788">
        <f t="shared" si="731"/>
        <v>6.2439999999999998</v>
      </c>
      <c r="IJ88" s="674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0.14399999999999999</v>
      </c>
      <c r="IK88" s="677" cm="1">
        <f t="array" ref="IK88">IFERROR(ROUND(VALUE(IF($IJ88&lt;1,$IJ88+LARGE((IF($M$9:$M$150="",0,$M$9:$M$150)-MOD(IF($M$9:$M$150="",0,$M$9:$M$150),1)),1),$IJ88)),4),"")</f>
        <v>6.1440000000000001</v>
      </c>
      <c r="IL88" s="482">
        <f t="shared" si="596"/>
        <v>1613</v>
      </c>
      <c r="IM88" s="482" t="str">
        <f t="shared" si="732"/>
        <v>CPS-32193r1</v>
      </c>
      <c r="IN88" s="670">
        <f t="shared" si="597"/>
        <v>19.050882548523433</v>
      </c>
      <c r="IO88" s="702">
        <v>3.0255619068961501E-2</v>
      </c>
      <c r="IP88" s="5">
        <f t="shared" si="598"/>
        <v>1.42</v>
      </c>
      <c r="IQ88" s="714">
        <v>710</v>
      </c>
      <c r="IR88" s="9">
        <f t="shared" si="599"/>
        <v>-4.6815981091732617</v>
      </c>
      <c r="IS88" s="5">
        <f t="shared" si="600"/>
        <v>-3.2169909373162522</v>
      </c>
      <c r="IT88" s="5">
        <f t="shared" si="601"/>
        <v>0.3125</v>
      </c>
      <c r="IU88" s="5">
        <f t="shared" si="602"/>
        <v>0.27120698295119039</v>
      </c>
      <c r="IV88" s="670">
        <f t="shared" si="603"/>
        <v>84.967735829436208</v>
      </c>
      <c r="IW88" s="9">
        <f t="shared" si="604"/>
        <v>-4.667253902360132</v>
      </c>
      <c r="IX88" s="5">
        <f t="shared" si="605"/>
        <v>-3.234295572924073</v>
      </c>
      <c r="IY88" s="5">
        <f t="shared" si="606"/>
        <v>0.255</v>
      </c>
      <c r="IZ88" s="5">
        <f t="shared" si="607"/>
        <v>0.255</v>
      </c>
      <c r="JA88" s="705">
        <f t="shared" si="608"/>
        <v>84.999987727520207</v>
      </c>
    </row>
    <row r="89" spans="1:261" ht="15" customHeight="1" x14ac:dyDescent="0.25">
      <c r="A89" s="75" t="str">
        <f t="shared" si="256"/>
        <v/>
      </c>
      <c r="B89" s="578" t="str">
        <f t="shared" si="515"/>
        <v/>
      </c>
      <c r="C89" s="572" t="str">
        <f t="shared" si="516"/>
        <v/>
      </c>
      <c r="D89" s="576" t="str">
        <f t="shared" si="517"/>
        <v/>
      </c>
      <c r="E89" s="580" t="str">
        <f t="shared" si="518"/>
        <v/>
      </c>
      <c r="F89" s="572" t="str">
        <f t="shared" si="519"/>
        <v/>
      </c>
      <c r="G89" s="579" t="str">
        <f t="shared" si="520"/>
        <v/>
      </c>
      <c r="H89" s="580" t="str">
        <f t="shared" si="521"/>
        <v/>
      </c>
      <c r="I89" s="572" t="str">
        <f t="shared" si="522"/>
        <v/>
      </c>
      <c r="J89" s="483" t="str">
        <f t="shared" si="523"/>
        <v/>
      </c>
      <c r="K89" s="806" t="str">
        <f t="shared" si="524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1"/>
        <v/>
      </c>
      <c r="S89" s="577" t="str">
        <f t="shared" si="102"/>
        <v/>
      </c>
      <c r="T89" s="578" t="str">
        <f t="shared" si="103"/>
        <v/>
      </c>
      <c r="U89" s="572" t="str">
        <f t="shared" si="104"/>
        <v/>
      </c>
      <c r="V89" s="579" t="str">
        <f t="shared" si="141"/>
        <v/>
      </c>
      <c r="W89" s="528" t="str">
        <f t="shared" si="735"/>
        <v/>
      </c>
      <c r="X89" s="572" t="str">
        <f t="shared" si="105"/>
        <v/>
      </c>
      <c r="Y89" s="573" t="str">
        <f t="shared" si="733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6"/>
        <v/>
      </c>
      <c r="AD89" s="580" t="str">
        <f t="shared" si="142"/>
        <v/>
      </c>
      <c r="AE89" s="572" t="str">
        <f t="shared" si="107"/>
        <v/>
      </c>
      <c r="AF89" s="576" t="str">
        <f t="shared" si="108"/>
        <v/>
      </c>
      <c r="AG89" s="545" t="str">
        <f t="shared" si="109"/>
        <v/>
      </c>
      <c r="AH89" s="546" t="str">
        <f t="shared" si="110"/>
        <v/>
      </c>
      <c r="AI89" s="528" t="str">
        <f t="shared" si="111"/>
        <v/>
      </c>
      <c r="AJ89" s="529" t="str">
        <f t="shared" si="112"/>
        <v/>
      </c>
      <c r="AK89" s="578" t="str">
        <f t="shared" si="238"/>
        <v/>
      </c>
      <c r="AL89" s="572" t="str">
        <f t="shared" si="113"/>
        <v/>
      </c>
      <c r="AM89" s="577" t="str">
        <f t="shared" si="114"/>
        <v/>
      </c>
      <c r="AN89" s="524" t="str">
        <f t="shared" si="115"/>
        <v/>
      </c>
      <c r="AO89" s="525" t="str">
        <f t="shared" si="525"/>
        <v/>
      </c>
      <c r="AP89" s="528" t="str">
        <f t="shared" si="117"/>
        <v/>
      </c>
      <c r="AQ89" s="529" t="str">
        <f t="shared" si="533"/>
        <v/>
      </c>
      <c r="AS89" s="932" t="str">
        <f t="shared" si="632"/>
        <v/>
      </c>
      <c r="AT89" s="928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1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256"/>
        <v/>
      </c>
      <c r="B90" s="578" t="str">
        <f t="shared" si="515"/>
        <v/>
      </c>
      <c r="C90" s="572" t="str">
        <f t="shared" si="516"/>
        <v/>
      </c>
      <c r="D90" s="576" t="str">
        <f t="shared" si="517"/>
        <v/>
      </c>
      <c r="E90" s="580" t="str">
        <f t="shared" si="518"/>
        <v/>
      </c>
      <c r="F90" s="572" t="str">
        <f t="shared" si="519"/>
        <v/>
      </c>
      <c r="G90" s="579" t="str">
        <f t="shared" si="520"/>
        <v/>
      </c>
      <c r="H90" s="580" t="str">
        <f t="shared" si="521"/>
        <v/>
      </c>
      <c r="I90" s="572" t="str">
        <f t="shared" si="522"/>
        <v/>
      </c>
      <c r="J90" s="483" t="str">
        <f t="shared" si="523"/>
        <v/>
      </c>
      <c r="K90" s="806" t="str">
        <f t="shared" si="524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1"/>
        <v/>
      </c>
      <c r="S90" s="577" t="str">
        <f t="shared" si="102"/>
        <v/>
      </c>
      <c r="T90" s="578" t="str">
        <f t="shared" si="103"/>
        <v/>
      </c>
      <c r="U90" s="572" t="str">
        <f t="shared" si="104"/>
        <v/>
      </c>
      <c r="V90" s="579" t="str">
        <f t="shared" si="141"/>
        <v/>
      </c>
      <c r="W90" s="528" t="str">
        <f t="shared" si="735"/>
        <v/>
      </c>
      <c r="X90" s="572" t="str">
        <f t="shared" si="105"/>
        <v/>
      </c>
      <c r="Y90" s="573" t="str">
        <f t="shared" si="733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6"/>
        <v/>
      </c>
      <c r="AD90" s="580" t="str">
        <f t="shared" si="142"/>
        <v/>
      </c>
      <c r="AE90" s="572" t="str">
        <f t="shared" si="107"/>
        <v/>
      </c>
      <c r="AF90" s="576" t="str">
        <f t="shared" si="108"/>
        <v/>
      </c>
      <c r="AG90" s="545" t="str">
        <f t="shared" si="109"/>
        <v/>
      </c>
      <c r="AH90" s="546" t="str">
        <f t="shared" si="110"/>
        <v/>
      </c>
      <c r="AI90" s="528" t="str">
        <f t="shared" si="111"/>
        <v/>
      </c>
      <c r="AJ90" s="529" t="str">
        <f t="shared" si="112"/>
        <v/>
      </c>
      <c r="AK90" s="578" t="str">
        <f t="shared" si="238"/>
        <v/>
      </c>
      <c r="AL90" s="572" t="str">
        <f t="shared" si="113"/>
        <v/>
      </c>
      <c r="AM90" s="577" t="str">
        <f t="shared" si="114"/>
        <v/>
      </c>
      <c r="AN90" s="524" t="str">
        <f t="shared" si="115"/>
        <v/>
      </c>
      <c r="AO90" s="525" t="str">
        <f t="shared" si="525"/>
        <v/>
      </c>
      <c r="AP90" s="528" t="str">
        <f t="shared" si="117"/>
        <v/>
      </c>
      <c r="AQ90" s="529" t="str">
        <f t="shared" si="533"/>
        <v/>
      </c>
      <c r="AS90" s="932" t="str">
        <f t="shared" si="632"/>
        <v/>
      </c>
      <c r="AT90" s="928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1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256"/>
        <v/>
      </c>
      <c r="B91" s="578" t="str">
        <f t="shared" si="515"/>
        <v/>
      </c>
      <c r="C91" s="572" t="str">
        <f t="shared" si="516"/>
        <v/>
      </c>
      <c r="D91" s="576" t="str">
        <f t="shared" si="517"/>
        <v/>
      </c>
      <c r="E91" s="580" t="str">
        <f t="shared" si="518"/>
        <v/>
      </c>
      <c r="F91" s="572" t="str">
        <f t="shared" si="519"/>
        <v/>
      </c>
      <c r="G91" s="579" t="str">
        <f t="shared" si="520"/>
        <v/>
      </c>
      <c r="H91" s="580" t="str">
        <f t="shared" si="521"/>
        <v/>
      </c>
      <c r="I91" s="572" t="str">
        <f t="shared" si="522"/>
        <v/>
      </c>
      <c r="J91" s="483" t="str">
        <f t="shared" si="523"/>
        <v/>
      </c>
      <c r="K91" s="806" t="str">
        <f t="shared" si="524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1"/>
        <v/>
      </c>
      <c r="S91" s="577" t="str">
        <f t="shared" si="102"/>
        <v/>
      </c>
      <c r="T91" s="578" t="str">
        <f t="shared" si="103"/>
        <v/>
      </c>
      <c r="U91" s="572" t="str">
        <f t="shared" si="104"/>
        <v/>
      </c>
      <c r="V91" s="579" t="str">
        <f t="shared" si="141"/>
        <v/>
      </c>
      <c r="W91" s="528" t="str">
        <f t="shared" si="735"/>
        <v/>
      </c>
      <c r="X91" s="572" t="str">
        <f t="shared" si="105"/>
        <v/>
      </c>
      <c r="Y91" s="573" t="str">
        <f t="shared" si="733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6"/>
        <v/>
      </c>
      <c r="AD91" s="580" t="str">
        <f t="shared" si="142"/>
        <v/>
      </c>
      <c r="AE91" s="572" t="str">
        <f t="shared" si="107"/>
        <v/>
      </c>
      <c r="AF91" s="576" t="str">
        <f t="shared" si="108"/>
        <v/>
      </c>
      <c r="AG91" s="545" t="str">
        <f t="shared" si="109"/>
        <v/>
      </c>
      <c r="AH91" s="546" t="str">
        <f t="shared" si="110"/>
        <v/>
      </c>
      <c r="AI91" s="528" t="str">
        <f t="shared" si="111"/>
        <v/>
      </c>
      <c r="AJ91" s="529" t="str">
        <f t="shared" si="112"/>
        <v/>
      </c>
      <c r="AK91" s="578" t="str">
        <f t="shared" si="238"/>
        <v/>
      </c>
      <c r="AL91" s="572" t="str">
        <f t="shared" si="113"/>
        <v/>
      </c>
      <c r="AM91" s="577" t="str">
        <f t="shared" si="114"/>
        <v/>
      </c>
      <c r="AN91" s="524" t="str">
        <f t="shared" si="115"/>
        <v/>
      </c>
      <c r="AO91" s="525" t="str">
        <f t="shared" si="525"/>
        <v/>
      </c>
      <c r="AP91" s="528" t="str">
        <f t="shared" si="117"/>
        <v/>
      </c>
      <c r="AQ91" s="529" t="str">
        <f t="shared" si="533"/>
        <v/>
      </c>
      <c r="AS91" s="932" t="str">
        <f t="shared" si="632"/>
        <v/>
      </c>
      <c r="AT91" s="928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1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256"/>
        <v/>
      </c>
      <c r="B92" s="578" t="str">
        <f t="shared" si="515"/>
        <v/>
      </c>
      <c r="C92" s="572" t="str">
        <f t="shared" si="516"/>
        <v/>
      </c>
      <c r="D92" s="576" t="str">
        <f t="shared" si="517"/>
        <v/>
      </c>
      <c r="E92" s="580" t="str">
        <f t="shared" si="518"/>
        <v/>
      </c>
      <c r="F92" s="572" t="str">
        <f t="shared" si="519"/>
        <v/>
      </c>
      <c r="G92" s="579" t="str">
        <f t="shared" si="520"/>
        <v/>
      </c>
      <c r="H92" s="580" t="str">
        <f t="shared" si="521"/>
        <v/>
      </c>
      <c r="I92" s="572" t="str">
        <f t="shared" si="522"/>
        <v/>
      </c>
      <c r="J92" s="483" t="str">
        <f t="shared" si="523"/>
        <v/>
      </c>
      <c r="K92" s="806" t="str">
        <f t="shared" si="524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1"/>
        <v/>
      </c>
      <c r="S92" s="577" t="str">
        <f t="shared" si="102"/>
        <v/>
      </c>
      <c r="T92" s="578" t="str">
        <f t="shared" si="103"/>
        <v/>
      </c>
      <c r="U92" s="572" t="str">
        <f t="shared" si="104"/>
        <v/>
      </c>
      <c r="V92" s="579" t="str">
        <f t="shared" si="141"/>
        <v/>
      </c>
      <c r="W92" s="528" t="str">
        <f t="shared" si="735"/>
        <v/>
      </c>
      <c r="X92" s="572" t="str">
        <f t="shared" si="105"/>
        <v/>
      </c>
      <c r="Y92" s="573" t="str">
        <f t="shared" si="733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6"/>
        <v/>
      </c>
      <c r="AD92" s="580" t="str">
        <f t="shared" si="142"/>
        <v/>
      </c>
      <c r="AE92" s="572" t="str">
        <f t="shared" si="107"/>
        <v/>
      </c>
      <c r="AF92" s="576" t="str">
        <f t="shared" si="108"/>
        <v/>
      </c>
      <c r="AG92" s="545" t="str">
        <f t="shared" si="109"/>
        <v/>
      </c>
      <c r="AH92" s="546" t="str">
        <f t="shared" si="110"/>
        <v/>
      </c>
      <c r="AI92" s="528" t="str">
        <f t="shared" si="111"/>
        <v/>
      </c>
      <c r="AJ92" s="529" t="str">
        <f t="shared" si="112"/>
        <v/>
      </c>
      <c r="AK92" s="578" t="str">
        <f t="shared" si="238"/>
        <v/>
      </c>
      <c r="AL92" s="572" t="str">
        <f t="shared" si="113"/>
        <v/>
      </c>
      <c r="AM92" s="577" t="str">
        <f t="shared" si="114"/>
        <v/>
      </c>
      <c r="AN92" s="524" t="str">
        <f t="shared" si="115"/>
        <v/>
      </c>
      <c r="AO92" s="525" t="str">
        <f t="shared" si="525"/>
        <v/>
      </c>
      <c r="AP92" s="528" t="str">
        <f t="shared" si="117"/>
        <v/>
      </c>
      <c r="AQ92" s="529" t="str">
        <f t="shared" si="533"/>
        <v/>
      </c>
      <c r="AS92" s="932" t="str">
        <f t="shared" si="632"/>
        <v/>
      </c>
      <c r="AT92" s="928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1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256"/>
        <v/>
      </c>
      <c r="B93" s="578" t="str">
        <f t="shared" si="515"/>
        <v/>
      </c>
      <c r="C93" s="572" t="str">
        <f t="shared" si="516"/>
        <v/>
      </c>
      <c r="D93" s="576" t="str">
        <f t="shared" si="517"/>
        <v/>
      </c>
      <c r="E93" s="580" t="str">
        <f t="shared" si="518"/>
        <v/>
      </c>
      <c r="F93" s="572" t="str">
        <f t="shared" si="519"/>
        <v/>
      </c>
      <c r="G93" s="579" t="str">
        <f t="shared" si="520"/>
        <v/>
      </c>
      <c r="H93" s="580" t="str">
        <f t="shared" si="521"/>
        <v/>
      </c>
      <c r="I93" s="572" t="str">
        <f t="shared" si="522"/>
        <v/>
      </c>
      <c r="J93" s="483" t="str">
        <f t="shared" si="523"/>
        <v/>
      </c>
      <c r="K93" s="806" t="str">
        <f t="shared" si="524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1"/>
        <v/>
      </c>
      <c r="S93" s="577" t="str">
        <f t="shared" si="102"/>
        <v/>
      </c>
      <c r="T93" s="578" t="str">
        <f t="shared" si="103"/>
        <v/>
      </c>
      <c r="U93" s="572" t="str">
        <f t="shared" si="104"/>
        <v/>
      </c>
      <c r="V93" s="579" t="str">
        <f t="shared" si="141"/>
        <v/>
      </c>
      <c r="W93" s="528" t="str">
        <f t="shared" si="735"/>
        <v/>
      </c>
      <c r="X93" s="572" t="str">
        <f t="shared" si="105"/>
        <v/>
      </c>
      <c r="Y93" s="573" t="str">
        <f t="shared" si="733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6"/>
        <v/>
      </c>
      <c r="AD93" s="580" t="str">
        <f t="shared" si="142"/>
        <v/>
      </c>
      <c r="AE93" s="572" t="str">
        <f t="shared" si="107"/>
        <v/>
      </c>
      <c r="AF93" s="576" t="str">
        <f t="shared" si="108"/>
        <v/>
      </c>
      <c r="AG93" s="545" t="str">
        <f t="shared" si="109"/>
        <v/>
      </c>
      <c r="AH93" s="546" t="str">
        <f t="shared" si="110"/>
        <v/>
      </c>
      <c r="AI93" s="528" t="str">
        <f t="shared" si="111"/>
        <v/>
      </c>
      <c r="AJ93" s="529" t="str">
        <f t="shared" si="112"/>
        <v/>
      </c>
      <c r="AK93" s="578" t="str">
        <f t="shared" si="238"/>
        <v/>
      </c>
      <c r="AL93" s="572" t="str">
        <f t="shared" si="113"/>
        <v/>
      </c>
      <c r="AM93" s="577" t="str">
        <f t="shared" si="114"/>
        <v/>
      </c>
      <c r="AN93" s="524" t="str">
        <f t="shared" si="115"/>
        <v/>
      </c>
      <c r="AO93" s="525" t="str">
        <f t="shared" si="525"/>
        <v/>
      </c>
      <c r="AP93" s="528" t="str">
        <f t="shared" si="117"/>
        <v/>
      </c>
      <c r="AQ93" s="529" t="str">
        <f t="shared" si="533"/>
        <v/>
      </c>
      <c r="AS93" s="932" t="str">
        <f t="shared" si="632"/>
        <v/>
      </c>
      <c r="AT93" s="928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1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256"/>
        <v/>
      </c>
      <c r="B94" s="578" t="str">
        <f t="shared" si="515"/>
        <v/>
      </c>
      <c r="C94" s="572" t="str">
        <f t="shared" si="516"/>
        <v/>
      </c>
      <c r="D94" s="576" t="str">
        <f t="shared" si="517"/>
        <v/>
      </c>
      <c r="E94" s="580" t="str">
        <f t="shared" si="518"/>
        <v/>
      </c>
      <c r="F94" s="572" t="str">
        <f t="shared" si="519"/>
        <v/>
      </c>
      <c r="G94" s="579" t="str">
        <f t="shared" si="520"/>
        <v/>
      </c>
      <c r="H94" s="580" t="str">
        <f t="shared" si="521"/>
        <v/>
      </c>
      <c r="I94" s="572" t="str">
        <f t="shared" si="522"/>
        <v/>
      </c>
      <c r="J94" s="483" t="str">
        <f t="shared" si="523"/>
        <v/>
      </c>
      <c r="K94" s="806" t="str">
        <f t="shared" si="524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1"/>
        <v/>
      </c>
      <c r="S94" s="577" t="str">
        <f t="shared" si="102"/>
        <v/>
      </c>
      <c r="T94" s="578" t="str">
        <f t="shared" si="103"/>
        <v/>
      </c>
      <c r="U94" s="572" t="str">
        <f t="shared" si="104"/>
        <v/>
      </c>
      <c r="V94" s="579" t="str">
        <f t="shared" si="141"/>
        <v/>
      </c>
      <c r="W94" s="528" t="str">
        <f t="shared" si="735"/>
        <v/>
      </c>
      <c r="X94" s="572" t="str">
        <f t="shared" si="105"/>
        <v/>
      </c>
      <c r="Y94" s="573" t="str">
        <f t="shared" si="733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6"/>
        <v/>
      </c>
      <c r="AD94" s="580" t="str">
        <f t="shared" si="142"/>
        <v/>
      </c>
      <c r="AE94" s="572" t="str">
        <f t="shared" si="107"/>
        <v/>
      </c>
      <c r="AF94" s="576" t="str">
        <f t="shared" si="108"/>
        <v/>
      </c>
      <c r="AG94" s="545" t="str">
        <f t="shared" si="109"/>
        <v/>
      </c>
      <c r="AH94" s="546" t="str">
        <f t="shared" si="110"/>
        <v/>
      </c>
      <c r="AI94" s="528" t="str">
        <f t="shared" si="111"/>
        <v/>
      </c>
      <c r="AJ94" s="529" t="str">
        <f t="shared" si="112"/>
        <v/>
      </c>
      <c r="AK94" s="578" t="str">
        <f t="shared" si="238"/>
        <v/>
      </c>
      <c r="AL94" s="572" t="str">
        <f t="shared" si="113"/>
        <v/>
      </c>
      <c r="AM94" s="577" t="str">
        <f t="shared" si="114"/>
        <v/>
      </c>
      <c r="AN94" s="524" t="str">
        <f t="shared" si="115"/>
        <v/>
      </c>
      <c r="AO94" s="525" t="str">
        <f t="shared" si="525"/>
        <v/>
      </c>
      <c r="AP94" s="528" t="str">
        <f t="shared" si="117"/>
        <v/>
      </c>
      <c r="AQ94" s="529" t="str">
        <f t="shared" si="533"/>
        <v/>
      </c>
      <c r="AS94" s="932" t="str">
        <f t="shared" si="632"/>
        <v/>
      </c>
      <c r="AT94" s="928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1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256"/>
        <v/>
      </c>
      <c r="B95" s="578" t="str">
        <f t="shared" si="515"/>
        <v/>
      </c>
      <c r="C95" s="572" t="str">
        <f t="shared" si="516"/>
        <v/>
      </c>
      <c r="D95" s="576" t="str">
        <f t="shared" si="517"/>
        <v/>
      </c>
      <c r="E95" s="580" t="str">
        <f t="shared" si="518"/>
        <v/>
      </c>
      <c r="F95" s="572" t="str">
        <f t="shared" si="519"/>
        <v/>
      </c>
      <c r="G95" s="579" t="str">
        <f t="shared" si="520"/>
        <v/>
      </c>
      <c r="H95" s="580" t="str">
        <f t="shared" si="521"/>
        <v/>
      </c>
      <c r="I95" s="572" t="str">
        <f t="shared" si="522"/>
        <v/>
      </c>
      <c r="J95" s="483" t="str">
        <f t="shared" si="523"/>
        <v/>
      </c>
      <c r="K95" s="806" t="str">
        <f t="shared" si="524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1"/>
        <v/>
      </c>
      <c r="S95" s="577" t="str">
        <f t="shared" si="102"/>
        <v/>
      </c>
      <c r="T95" s="578" t="str">
        <f t="shared" si="103"/>
        <v/>
      </c>
      <c r="U95" s="572" t="str">
        <f t="shared" si="104"/>
        <v/>
      </c>
      <c r="V95" s="579" t="str">
        <f t="shared" si="141"/>
        <v/>
      </c>
      <c r="W95" s="528" t="str">
        <f t="shared" si="735"/>
        <v/>
      </c>
      <c r="X95" s="572" t="str">
        <f t="shared" si="105"/>
        <v/>
      </c>
      <c r="Y95" s="573" t="str">
        <f t="shared" si="733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6"/>
        <v/>
      </c>
      <c r="AD95" s="580" t="str">
        <f t="shared" si="142"/>
        <v/>
      </c>
      <c r="AE95" s="572" t="str">
        <f t="shared" si="107"/>
        <v/>
      </c>
      <c r="AF95" s="576" t="str">
        <f t="shared" si="108"/>
        <v/>
      </c>
      <c r="AG95" s="545" t="str">
        <f t="shared" si="109"/>
        <v/>
      </c>
      <c r="AH95" s="546" t="str">
        <f t="shared" si="110"/>
        <v/>
      </c>
      <c r="AI95" s="528" t="str">
        <f t="shared" si="111"/>
        <v/>
      </c>
      <c r="AJ95" s="529" t="str">
        <f t="shared" si="112"/>
        <v/>
      </c>
      <c r="AK95" s="578" t="str">
        <f t="shared" si="238"/>
        <v/>
      </c>
      <c r="AL95" s="572" t="str">
        <f t="shared" si="113"/>
        <v/>
      </c>
      <c r="AM95" s="577" t="str">
        <f t="shared" si="114"/>
        <v/>
      </c>
      <c r="AN95" s="524" t="str">
        <f t="shared" si="115"/>
        <v/>
      </c>
      <c r="AO95" s="525" t="str">
        <f t="shared" si="525"/>
        <v/>
      </c>
      <c r="AP95" s="528" t="str">
        <f t="shared" si="117"/>
        <v/>
      </c>
      <c r="AQ95" s="529" t="str">
        <f t="shared" si="533"/>
        <v/>
      </c>
      <c r="AS95" s="932" t="str">
        <f t="shared" si="632"/>
        <v/>
      </c>
      <c r="AT95" s="928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1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256"/>
        <v/>
      </c>
      <c r="B96" s="578" t="str">
        <f t="shared" si="515"/>
        <v/>
      </c>
      <c r="C96" s="572" t="str">
        <f t="shared" si="516"/>
        <v/>
      </c>
      <c r="D96" s="576" t="str">
        <f t="shared" si="517"/>
        <v/>
      </c>
      <c r="E96" s="580" t="str">
        <f t="shared" si="518"/>
        <v/>
      </c>
      <c r="F96" s="572" t="str">
        <f t="shared" si="519"/>
        <v/>
      </c>
      <c r="G96" s="579" t="str">
        <f t="shared" si="520"/>
        <v/>
      </c>
      <c r="H96" s="580" t="str">
        <f t="shared" si="521"/>
        <v/>
      </c>
      <c r="I96" s="572" t="str">
        <f t="shared" si="522"/>
        <v/>
      </c>
      <c r="J96" s="483" t="str">
        <f t="shared" si="523"/>
        <v/>
      </c>
      <c r="K96" s="806" t="str">
        <f t="shared" si="524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1"/>
        <v/>
      </c>
      <c r="S96" s="577" t="str">
        <f t="shared" si="102"/>
        <v/>
      </c>
      <c r="T96" s="578" t="str">
        <f t="shared" si="103"/>
        <v/>
      </c>
      <c r="U96" s="572" t="str">
        <f t="shared" si="104"/>
        <v/>
      </c>
      <c r="V96" s="579" t="str">
        <f t="shared" si="141"/>
        <v/>
      </c>
      <c r="W96" s="528" t="str">
        <f t="shared" si="735"/>
        <v/>
      </c>
      <c r="X96" s="572" t="str">
        <f t="shared" si="105"/>
        <v/>
      </c>
      <c r="Y96" s="573" t="str">
        <f t="shared" si="733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6"/>
        <v/>
      </c>
      <c r="AD96" s="580" t="str">
        <f t="shared" si="142"/>
        <v/>
      </c>
      <c r="AE96" s="572" t="str">
        <f t="shared" si="107"/>
        <v/>
      </c>
      <c r="AF96" s="576" t="str">
        <f t="shared" si="108"/>
        <v/>
      </c>
      <c r="AG96" s="545" t="str">
        <f t="shared" si="109"/>
        <v/>
      </c>
      <c r="AH96" s="546" t="str">
        <f t="shared" si="110"/>
        <v/>
      </c>
      <c r="AI96" s="528" t="str">
        <f t="shared" si="111"/>
        <v/>
      </c>
      <c r="AJ96" s="529" t="str">
        <f t="shared" si="112"/>
        <v/>
      </c>
      <c r="AK96" s="578" t="str">
        <f t="shared" si="238"/>
        <v/>
      </c>
      <c r="AL96" s="572" t="str">
        <f t="shared" si="113"/>
        <v/>
      </c>
      <c r="AM96" s="577" t="str">
        <f t="shared" si="114"/>
        <v/>
      </c>
      <c r="AN96" s="524" t="str">
        <f t="shared" si="115"/>
        <v/>
      </c>
      <c r="AO96" s="525" t="str">
        <f t="shared" si="525"/>
        <v/>
      </c>
      <c r="AP96" s="528" t="str">
        <f t="shared" si="117"/>
        <v/>
      </c>
      <c r="AQ96" s="529" t="str">
        <f t="shared" si="533"/>
        <v/>
      </c>
      <c r="AS96" s="932" t="str">
        <f t="shared" si="632"/>
        <v/>
      </c>
      <c r="AT96" s="928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1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256"/>
        <v/>
      </c>
      <c r="B97" s="578" t="str">
        <f t="shared" si="515"/>
        <v/>
      </c>
      <c r="C97" s="572" t="str">
        <f t="shared" si="516"/>
        <v/>
      </c>
      <c r="D97" s="576" t="str">
        <f t="shared" si="517"/>
        <v/>
      </c>
      <c r="E97" s="580" t="str">
        <f t="shared" si="518"/>
        <v/>
      </c>
      <c r="F97" s="572" t="str">
        <f t="shared" si="519"/>
        <v/>
      </c>
      <c r="G97" s="579" t="str">
        <f t="shared" si="520"/>
        <v/>
      </c>
      <c r="H97" s="580" t="str">
        <f t="shared" si="521"/>
        <v/>
      </c>
      <c r="I97" s="572" t="str">
        <f t="shared" si="522"/>
        <v/>
      </c>
      <c r="J97" s="483" t="str">
        <f t="shared" si="523"/>
        <v/>
      </c>
      <c r="K97" s="806" t="str">
        <f t="shared" si="524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1"/>
        <v/>
      </c>
      <c r="S97" s="577" t="str">
        <f t="shared" si="102"/>
        <v/>
      </c>
      <c r="T97" s="578" t="str">
        <f t="shared" si="103"/>
        <v/>
      </c>
      <c r="U97" s="572" t="str">
        <f t="shared" si="104"/>
        <v/>
      </c>
      <c r="V97" s="579" t="str">
        <f t="shared" si="141"/>
        <v/>
      </c>
      <c r="W97" s="528" t="str">
        <f t="shared" si="735"/>
        <v/>
      </c>
      <c r="X97" s="572" t="str">
        <f t="shared" si="105"/>
        <v/>
      </c>
      <c r="Y97" s="573" t="str">
        <f t="shared" si="733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6"/>
        <v/>
      </c>
      <c r="AD97" s="580" t="str">
        <f t="shared" si="142"/>
        <v/>
      </c>
      <c r="AE97" s="572" t="str">
        <f t="shared" si="107"/>
        <v/>
      </c>
      <c r="AF97" s="576" t="str">
        <f t="shared" si="108"/>
        <v/>
      </c>
      <c r="AG97" s="545" t="str">
        <f t="shared" si="109"/>
        <v/>
      </c>
      <c r="AH97" s="546" t="str">
        <f t="shared" si="110"/>
        <v/>
      </c>
      <c r="AI97" s="528" t="str">
        <f t="shared" si="111"/>
        <v/>
      </c>
      <c r="AJ97" s="529" t="str">
        <f t="shared" si="112"/>
        <v/>
      </c>
      <c r="AK97" s="578" t="str">
        <f t="shared" si="238"/>
        <v/>
      </c>
      <c r="AL97" s="572" t="str">
        <f t="shared" si="113"/>
        <v/>
      </c>
      <c r="AM97" s="577" t="str">
        <f t="shared" si="114"/>
        <v/>
      </c>
      <c r="AN97" s="524" t="str">
        <f t="shared" si="115"/>
        <v/>
      </c>
      <c r="AO97" s="525" t="str">
        <f t="shared" si="525"/>
        <v/>
      </c>
      <c r="AP97" s="528" t="str">
        <f t="shared" si="117"/>
        <v/>
      </c>
      <c r="AQ97" s="529" t="str">
        <f t="shared" si="533"/>
        <v/>
      </c>
      <c r="AS97" s="932" t="str">
        <f t="shared" si="632"/>
        <v/>
      </c>
      <c r="AT97" s="928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1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256"/>
        <v/>
      </c>
      <c r="B98" s="578" t="str">
        <f t="shared" si="515"/>
        <v/>
      </c>
      <c r="C98" s="572" t="str">
        <f t="shared" si="516"/>
        <v/>
      </c>
      <c r="D98" s="576" t="str">
        <f t="shared" si="517"/>
        <v/>
      </c>
      <c r="E98" s="580" t="str">
        <f t="shared" si="518"/>
        <v/>
      </c>
      <c r="F98" s="572" t="str">
        <f t="shared" si="519"/>
        <v/>
      </c>
      <c r="G98" s="579" t="str">
        <f t="shared" si="520"/>
        <v/>
      </c>
      <c r="H98" s="580" t="str">
        <f t="shared" si="521"/>
        <v/>
      </c>
      <c r="I98" s="572" t="str">
        <f t="shared" si="522"/>
        <v/>
      </c>
      <c r="J98" s="483" t="str">
        <f t="shared" si="523"/>
        <v/>
      </c>
      <c r="K98" s="806" t="str">
        <f t="shared" si="524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1"/>
        <v/>
      </c>
      <c r="S98" s="577" t="str">
        <f t="shared" si="102"/>
        <v/>
      </c>
      <c r="T98" s="578" t="str">
        <f t="shared" si="103"/>
        <v/>
      </c>
      <c r="U98" s="572" t="str">
        <f t="shared" si="104"/>
        <v/>
      </c>
      <c r="V98" s="579" t="str">
        <f t="shared" si="141"/>
        <v/>
      </c>
      <c r="W98" s="528" t="str">
        <f t="shared" si="735"/>
        <v/>
      </c>
      <c r="X98" s="572" t="str">
        <f t="shared" si="105"/>
        <v/>
      </c>
      <c r="Y98" s="573" t="str">
        <f t="shared" si="733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6"/>
        <v/>
      </c>
      <c r="AD98" s="580" t="str">
        <f t="shared" si="142"/>
        <v/>
      </c>
      <c r="AE98" s="572" t="str">
        <f t="shared" si="107"/>
        <v/>
      </c>
      <c r="AF98" s="576" t="str">
        <f t="shared" si="108"/>
        <v/>
      </c>
      <c r="AG98" s="545" t="str">
        <f t="shared" si="109"/>
        <v/>
      </c>
      <c r="AH98" s="546" t="str">
        <f t="shared" si="110"/>
        <v/>
      </c>
      <c r="AI98" s="528" t="str">
        <f t="shared" si="111"/>
        <v/>
      </c>
      <c r="AJ98" s="529" t="str">
        <f t="shared" si="112"/>
        <v/>
      </c>
      <c r="AK98" s="578" t="str">
        <f t="shared" si="238"/>
        <v/>
      </c>
      <c r="AL98" s="572" t="str">
        <f t="shared" si="113"/>
        <v/>
      </c>
      <c r="AM98" s="577" t="str">
        <f t="shared" si="114"/>
        <v/>
      </c>
      <c r="AN98" s="524" t="str">
        <f t="shared" si="115"/>
        <v/>
      </c>
      <c r="AO98" s="525" t="str">
        <f t="shared" si="525"/>
        <v/>
      </c>
      <c r="AP98" s="528" t="str">
        <f t="shared" si="117"/>
        <v/>
      </c>
      <c r="AQ98" s="529" t="str">
        <f t="shared" si="533"/>
        <v/>
      </c>
      <c r="AS98" s="932" t="str">
        <f t="shared" si="632"/>
        <v/>
      </c>
      <c r="AT98" s="928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1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6.5465541156857165</v>
      </c>
      <c r="BA151" s="288">
        <f>SUM(BA9:BA150)</f>
        <v>0.99999999999999989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275" t="s">
        <v>42</v>
      </c>
      <c r="C157" s="1276"/>
      <c r="D157" s="1276"/>
      <c r="E157" s="1276"/>
      <c r="F157" s="1276"/>
      <c r="G157" s="1276"/>
      <c r="H157" s="1276"/>
      <c r="I157" s="1276"/>
      <c r="J157" s="1276"/>
      <c r="K157" s="1276"/>
      <c r="L157" s="1276"/>
      <c r="M157" s="1276"/>
      <c r="N157" s="1276"/>
      <c r="O157" s="1277"/>
      <c r="BC157" t="s">
        <v>101</v>
      </c>
      <c r="BD157" s="219">
        <v>0</v>
      </c>
    </row>
    <row r="158" spans="1:261" ht="15" customHeight="1" x14ac:dyDescent="0.25">
      <c r="B158" s="1278"/>
      <c r="C158" s="1279"/>
      <c r="D158" s="1279"/>
      <c r="E158" s="1279"/>
      <c r="F158" s="1279"/>
      <c r="G158" s="1279"/>
      <c r="H158" s="1279"/>
      <c r="I158" s="1279"/>
      <c r="J158" s="1279"/>
      <c r="K158" s="1279"/>
      <c r="L158" s="1279"/>
      <c r="M158" s="1279"/>
      <c r="N158" s="1279"/>
      <c r="O158" s="1280"/>
      <c r="BC158" t="s">
        <v>102</v>
      </c>
      <c r="BD158" s="219">
        <v>0.01</v>
      </c>
    </row>
    <row r="159" spans="1:261" ht="15" customHeight="1" x14ac:dyDescent="0.25">
      <c r="B159" s="1278"/>
      <c r="C159" s="1279"/>
      <c r="D159" s="1279"/>
      <c r="E159" s="1279"/>
      <c r="F159" s="1279"/>
      <c r="G159" s="1279"/>
      <c r="H159" s="1279"/>
      <c r="I159" s="1279"/>
      <c r="J159" s="1279"/>
      <c r="K159" s="1279"/>
      <c r="L159" s="1279"/>
      <c r="M159" s="1279"/>
      <c r="N159" s="1279"/>
      <c r="O159" s="1280"/>
      <c r="AJ159" s="31" t="s">
        <v>349</v>
      </c>
      <c r="AU159"/>
    </row>
    <row r="160" spans="1:261" ht="15" customHeight="1" x14ac:dyDescent="0.25">
      <c r="B160" s="1281" t="str">
        <f>CONCATENATE(B162," ; ",E162," ; ",H163)</f>
        <v>Absolute-Point ; Incremental-Vector Point ; Radius</v>
      </c>
      <c r="C160" s="1282"/>
      <c r="D160" s="1282"/>
      <c r="E160" s="1282"/>
      <c r="F160" s="1282"/>
      <c r="G160" s="1282"/>
      <c r="H160" s="1282"/>
      <c r="I160" s="1282"/>
      <c r="J160" s="1282"/>
      <c r="K160" s="1282"/>
      <c r="L160" s="1282"/>
      <c r="M160" s="1282"/>
      <c r="N160" s="1282"/>
      <c r="O160" s="1283"/>
      <c r="AJ160" s="82">
        <f>COUNT(_xlfn.ANCHORARRAY($AJ$164))</f>
        <v>480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281"/>
      <c r="C161" s="1282"/>
      <c r="D161" s="1282"/>
      <c r="E161" s="1282"/>
      <c r="F161" s="1282"/>
      <c r="G161" s="1282"/>
      <c r="H161" s="1282"/>
      <c r="I161" s="1282"/>
      <c r="J161" s="1282"/>
      <c r="K161" s="1282"/>
      <c r="L161" s="1282"/>
      <c r="M161" s="1282"/>
      <c r="N161" s="1282"/>
      <c r="O161" s="1283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987" t="s">
        <v>40</v>
      </c>
      <c r="C162" s="988"/>
      <c r="D162" s="989"/>
      <c r="E162" s="990" t="s">
        <v>41</v>
      </c>
      <c r="F162" s="988"/>
      <c r="G162" s="991"/>
      <c r="H162" s="992" t="s">
        <v>305</v>
      </c>
      <c r="I162" s="993"/>
      <c r="J162" s="994"/>
      <c r="K162" s="992" t="s">
        <v>386</v>
      </c>
      <c r="L162" s="1063"/>
      <c r="M162" s="937"/>
      <c r="N162" s="995" t="s">
        <v>398</v>
      </c>
      <c r="O162" s="996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0</v>
      </c>
      <c r="C164" s="646">
        <v>0.34210206355653566</v>
      </c>
      <c r="D164" s="647">
        <v>-0.69640384421045409</v>
      </c>
      <c r="E164" s="648">
        <v>-0.92718389610222329</v>
      </c>
      <c r="F164" s="646">
        <v>-5.8601349176929649E-2</v>
      </c>
      <c r="G164" s="649">
        <v>0.3699944657469153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419</v>
      </c>
      <c r="M164" s="969">
        <f>90+-70</f>
        <v>20</v>
      </c>
      <c r="N164" s="938"/>
      <c r="O164" s="939"/>
      <c r="P164" s="1">
        <f>-0.1182</f>
        <v>-0.1182</v>
      </c>
      <c r="Q164" s="162">
        <f t="shared" ref="Q164:Q195" si="1059">IFERROR(INDEX(B$164:B$305,MATCH($Y164,$J$164:$J$305,0)),"")</f>
        <v>0</v>
      </c>
      <c r="R164" s="162">
        <f t="shared" ref="R164:R195" si="1060">IFERROR(INDEX(C$164:C$305,MATCH($Y164,$J$164:$J$305,0)),"")</f>
        <v>0.34210206355653566</v>
      </c>
      <c r="S164" s="162">
        <f t="shared" ref="S164:S195" si="1061">IFERROR(INDEX(D$164:D$305,MATCH($Y164,$J$164:$J$305,0)),"")</f>
        <v>-0.69640384421045409</v>
      </c>
      <c r="T164" s="162">
        <f t="shared" ref="T164:T195" si="1062">IFERROR(IF($N164="Y",-1*INDEX(E$164:E$305,MATCH($Y164,$J$164:$J$305,0)),INDEX(E$164:E$305,MATCH($Y164,$J$164:$J$305,0))),"")</f>
        <v>-0.92718389610222329</v>
      </c>
      <c r="U164" s="162">
        <f t="shared" ref="U164:U195" si="1063">IFERROR(IF($N164="Y",-1*INDEX(F$164:F$305,MATCH($Y164,$J$164:$J$305,0)),INDEX(F$164:F$305,MATCH($Y164,$J$164:$J$305,0))),"")</f>
        <v>-5.8601349176929649E-2</v>
      </c>
      <c r="V164" s="162">
        <f t="shared" ref="V164:V195" si="1064">IFERROR(IF($N164="Y",-1*INDEX(G$164:G$305,MATCH($Y164,$J$164:$J$305,0)),INDEX(G$164:G$305,MATCH($Y164,$J$164:$J$305,0))),"")</f>
        <v>0.3699944657469153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43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643">ROUNDDOWN((_xlfn.ANCHORARRAY(AJ164)*1000),0)/1000</f>
        <v>6.2439999999999998</v>
      </c>
      <c r="AF164" s="166" cm="1">
        <f t="array" ref="AF164:AF643">ROUNDDOWN(_xlfn.ANCHORARRAY(AJ164),0)</f>
        <v>6</v>
      </c>
      <c r="AG164" s="82" cm="1">
        <f t="array" ref="AG164:AG643">VALUE(RIGHT(ROUNDDOWN(_xlfn.ANCHORARRAY(AJ164)*10,0),1))</f>
        <v>2</v>
      </c>
      <c r="AH164" s="82" cm="1">
        <f t="array" ref="AH164:AH643">VALUE(LEFT(RIGHT((_xlfn.ANCHORARRAY($AJ$164)*100000),2),1))</f>
        <v>1</v>
      </c>
      <c r="AI164" s="82" cm="1">
        <f t="array" ref="AI164:AI643">MOD(_xlfn.ANCHORARRAY($AJ$164)*10000,1)*10</f>
        <v>0.99999999998544808</v>
      </c>
      <c r="AJ164" s="166" cm="1">
        <f t="array" ref="AJ164:AJ643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6.24411</v>
      </c>
      <c r="AK164" s="82" t="str" cm="1">
        <f t="array" ref="AK164:AK643">IF(_xlfn.ANCHORARRAY($AH$164)=1,"Base",_xlfn.ANCHORARRAY($AJ$164)-0.0001)</f>
        <v>Base</v>
      </c>
      <c r="AL164" s="162" cm="1">
        <f t="array" ref="AL164:AL643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643">IF(_xlfn.ANCHORARRAY($AH$164)=1,-INDEX($R$9:$R$150,MATCH(_xlfn.ANCHORARRAY($AE$164),$M$9:$M$150,0)),0)</f>
        <v>-4.667253902360132</v>
      </c>
      <c r="AN164" s="162" cm="1">
        <f t="array" ref="AN164:AN643">IF(_xlfn.ANCHORARRAY($AH$164)=1,INDEX($AT$9:$AT$150,MATCH(_xlfn.ANCHORARRAY($AE$164),$M$9:$M$150,0))+((_xlfn.ANCHORARRAY($AI$164)-1)*-AS5),0)</f>
        <v>-2.7856000854378276</v>
      </c>
      <c r="AO164" s="162" cm="1">
        <f t="array" ref="AO164:AO643">IF(_xlfn.ANCHORARRAY($AH$164)=1,-INDEX($AN$9:$AN$150,MATCH(_xlfn.ANCHORARRAY($AE$164),$M$9:$M$150,0)),IF(_xlfn.ANCHORARRAY($AH$164)=2,_xlfn.ANCHORARRAY($AY$164),0))</f>
        <v>84.999987727520207</v>
      </c>
      <c r="AP164" s="162" cm="1">
        <f t="array" ref="AP164:AP643">IF(_xlfn.ANCHORARRAY($AH$164)=1,-INDEX($AO$9:$AO$150,MATCH(_xlfn.ANCHORARRAY($AE$164),$M$9:$M$150,0)),0)</f>
        <v>0</v>
      </c>
      <c r="AQ164" s="162" cm="1">
        <f t="array" ref="AQ164:AQ643">IF(_xlfn.ANCHORARRAY($AJ$164)="value",0,0)</f>
        <v>0</v>
      </c>
      <c r="AR164" s="710" t="str" cm="1">
        <f t="array" ref="AR164:AR643">INDEX($L$164:$L$305,MATCH(_xlfn.ANCHORARRAY($AE$164),$J$164:$J$305,0))</f>
        <v>32193r1.par</v>
      </c>
      <c r="AV164" s="82" t="str" cm="1">
        <f t="array" ref="AV164:AV643">INDEX(Settings!$C$3:$K$4,_xlfn.ANCHORARRAY(Assy.Model!$AG$164),_xlfn.ANCHORARRAY(Assy.Model!$AF$164))</f>
        <v>188,121,255</v>
      </c>
      <c r="AW164" s="947" cm="1">
        <f t="array" ref="AW164:AW643">-INDEX($M$164:$M$305,MATCH(_xlfn.ANCHORARRAY($AE$164),$J$164:$J$305,0))</f>
        <v>85</v>
      </c>
      <c r="AX164" s="947" cm="1">
        <f t="array" ref="AX164:AX643">-INDEX($AN$9:$AN$150,MATCH(_xlfn.ANCHORARRAY($AE$164),$M$9:$M$150,0))</f>
        <v>84.999987727520207</v>
      </c>
      <c r="AY164" s="947" cm="1">
        <f t="array" ref="AY164:AY643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8.5370249802008226E-18</v>
      </c>
      <c r="C165" s="651">
        <v>1.0375062582283126</v>
      </c>
      <c r="D165" s="652">
        <v>-0.44320251837115948</v>
      </c>
      <c r="E165" s="653">
        <v>-0.96126171816521044</v>
      </c>
      <c r="F165" s="651">
        <v>-1.4425736374339179E-2</v>
      </c>
      <c r="G165" s="654">
        <v>0.2752595272104596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419</v>
      </c>
      <c r="M165" s="970">
        <f>90+-70</f>
        <v>20</v>
      </c>
      <c r="N165" s="941"/>
      <c r="O165" s="942"/>
      <c r="P165">
        <f>-0.0514</f>
        <v>-5.1400000000000001E-2</v>
      </c>
      <c r="Q165" s="162">
        <f t="shared" si="1059"/>
        <v>8.5370249802008226E-18</v>
      </c>
      <c r="R165" s="162">
        <f t="shared" si="1060"/>
        <v>1.0375062582283126</v>
      </c>
      <c r="S165" s="162">
        <f t="shared" si="1061"/>
        <v>-0.44320251837115948</v>
      </c>
      <c r="T165" s="162">
        <f t="shared" si="1062"/>
        <v>-0.96126171816521044</v>
      </c>
      <c r="U165" s="162">
        <f t="shared" si="1063"/>
        <v>-1.4425736374339179E-2</v>
      </c>
      <c r="V165" s="162">
        <f t="shared" si="1064"/>
        <v>0.2752595272104596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6.2380000000000004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6.2381100000000007</v>
      </c>
      <c r="AK165" s="82" t="str">
        <v>Base</v>
      </c>
      <c r="AL165" s="162">
        <v>-26.25</v>
      </c>
      <c r="AM165" s="162">
        <v>-4.6048970092467663</v>
      </c>
      <c r="AN165" s="162">
        <v>-1.9829633784515532</v>
      </c>
      <c r="AO165" s="162">
        <v>84.999987727520178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85</v>
      </c>
      <c r="AX165" s="947">
        <v>84.999987727520178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8.5370249802008226E-18</v>
      </c>
      <c r="C166" s="651">
        <v>1.7333104553129</v>
      </c>
      <c r="D166" s="652">
        <v>-0.20640124501043247</v>
      </c>
      <c r="E166" s="653">
        <v>-0.96126171816521033</v>
      </c>
      <c r="F166" s="651">
        <v>0</v>
      </c>
      <c r="G166" s="654">
        <v>0.27563727830260493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419</v>
      </c>
      <c r="M166" s="970">
        <f>90+-76.8</f>
        <v>13.200000000000003</v>
      </c>
      <c r="N166" s="941"/>
      <c r="O166" s="942"/>
      <c r="Q166" s="162">
        <f t="shared" si="1059"/>
        <v>8.5370249802008226E-18</v>
      </c>
      <c r="R166" s="162">
        <f t="shared" si="1060"/>
        <v>1.7333104553129</v>
      </c>
      <c r="S166" s="162">
        <f t="shared" si="1061"/>
        <v>-0.20640124501043247</v>
      </c>
      <c r="T166" s="162">
        <f t="shared" si="1062"/>
        <v>-0.96126171816521033</v>
      </c>
      <c r="U166" s="162">
        <f t="shared" si="1063"/>
        <v>0</v>
      </c>
      <c r="V166" s="162">
        <f t="shared" si="1064"/>
        <v>0.27563727830260493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6.2320000000000002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6.2321100000000005</v>
      </c>
      <c r="AK166" s="82" t="str">
        <v>Base</v>
      </c>
      <c r="AL166" s="162">
        <v>-26.25</v>
      </c>
      <c r="AM166" s="162">
        <v>-4.4237445003532745</v>
      </c>
      <c r="AN166" s="162">
        <v>-1.2613343549291853</v>
      </c>
      <c r="AO166" s="162">
        <v>71.79998963336412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71.800000000000011</v>
      </c>
      <c r="AX166" s="947">
        <v>71.79998963336412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3.8619804411279672E-3</v>
      </c>
      <c r="C167" s="651">
        <v>2.4586117971501991</v>
      </c>
      <c r="D167" s="652">
        <v>-0.15630094280586537</v>
      </c>
      <c r="E167" s="653">
        <v>-0.96118534787544574</v>
      </c>
      <c r="F167" s="651">
        <v>4.9373783662916282E-2</v>
      </c>
      <c r="G167" s="654">
        <v>0.27144973110387521</v>
      </c>
      <c r="H167" s="653">
        <v>0.314</v>
      </c>
      <c r="I167" s="920">
        <v>0.52</v>
      </c>
      <c r="J167" s="924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423</v>
      </c>
      <c r="M167" s="970">
        <f>90+-95.3</f>
        <v>-5.2999999999999972</v>
      </c>
      <c r="N167" s="941"/>
      <c r="O167" s="942"/>
      <c r="Q167" s="162">
        <f t="shared" si="1059"/>
        <v>3.8619804411279672E-3</v>
      </c>
      <c r="R167" s="162">
        <f t="shared" si="1060"/>
        <v>2.4586117971501991</v>
      </c>
      <c r="S167" s="162">
        <f t="shared" si="1061"/>
        <v>-0.15630094280586537</v>
      </c>
      <c r="T167" s="162">
        <f t="shared" si="1062"/>
        <v>-0.96118534787544574</v>
      </c>
      <c r="U167" s="162">
        <f t="shared" si="1063"/>
        <v>4.9373783662916282E-2</v>
      </c>
      <c r="V167" s="162">
        <f t="shared" si="1064"/>
        <v>0.27144973110387521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6.226</v>
      </c>
      <c r="AF167" s="82">
        <v>6</v>
      </c>
      <c r="AG167" s="82">
        <v>2</v>
      </c>
      <c r="AH167" s="82">
        <v>1</v>
      </c>
      <c r="AI167" s="82">
        <v>1.0000000000582077</v>
      </c>
      <c r="AJ167" s="166">
        <v>6.2261100000000003</v>
      </c>
      <c r="AK167" s="82" t="str">
        <v>Base</v>
      </c>
      <c r="AL167" s="162">
        <v>-26.25</v>
      </c>
      <c r="AM167" s="162">
        <v>-4.073540666126596</v>
      </c>
      <c r="AN167" s="162">
        <v>-0.59431170246253207</v>
      </c>
      <c r="AO167" s="162">
        <v>47.15815732242519</v>
      </c>
      <c r="AP167" s="162">
        <v>-26.415050906318793</v>
      </c>
      <c r="AQ167" s="162">
        <v>0</v>
      </c>
      <c r="AR167" s="710" t="str">
        <v>1313.par</v>
      </c>
      <c r="AV167" s="82" t="str">
        <v>188,121,255</v>
      </c>
      <c r="AW167" s="947">
        <v>52.900000000000006</v>
      </c>
      <c r="AX167" s="947">
        <v>47.15815732242519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3.9948926829583807E-2</v>
      </c>
      <c r="C168" s="651">
        <v>3.1788681666771796</v>
      </c>
      <c r="D168" s="652">
        <v>-0.35160212086079434</v>
      </c>
      <c r="E168" s="653">
        <v>-0.95693249916017908</v>
      </c>
      <c r="F168" s="651">
        <v>0.13248958820462695</v>
      </c>
      <c r="G168" s="654">
        <v>0.25831511970541404</v>
      </c>
      <c r="H168" s="653">
        <v>0.314</v>
      </c>
      <c r="I168" s="920">
        <v>0.52</v>
      </c>
      <c r="J168" s="924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423</v>
      </c>
      <c r="M168" s="970">
        <f>90+-114.3</f>
        <v>-24.299999999999997</v>
      </c>
      <c r="N168" s="941"/>
      <c r="O168" s="942"/>
      <c r="Q168" s="162">
        <f t="shared" si="1059"/>
        <v>3.9948926829583807E-2</v>
      </c>
      <c r="R168" s="162">
        <f t="shared" si="1060"/>
        <v>3.1788681666771796</v>
      </c>
      <c r="S168" s="162">
        <f t="shared" si="1061"/>
        <v>-0.35160212086079434</v>
      </c>
      <c r="T168" s="162">
        <f t="shared" si="1062"/>
        <v>-0.95693249916017908</v>
      </c>
      <c r="U168" s="162">
        <f t="shared" si="1063"/>
        <v>0.13248958820462695</v>
      </c>
      <c r="V168" s="162">
        <f t="shared" si="1064"/>
        <v>0.25831511970541404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1.117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6.22</v>
      </c>
      <c r="AF168" s="82">
        <v>6</v>
      </c>
      <c r="AG168" s="82">
        <v>2</v>
      </c>
      <c r="AH168" s="82">
        <v>1</v>
      </c>
      <c r="AI168" s="82">
        <v>0.99999999998544808</v>
      </c>
      <c r="AJ168" s="166">
        <v>6.22011</v>
      </c>
      <c r="AK168" s="82" t="str">
        <v>Base</v>
      </c>
      <c r="AL168" s="162">
        <v>-26.25</v>
      </c>
      <c r="AM168" s="162">
        <v>-3.5204445435345106</v>
      </c>
      <c r="AN168" s="162">
        <v>-8.0877393576552714E-2</v>
      </c>
      <c r="AO168" s="162">
        <v>31.908377148153889</v>
      </c>
      <c r="AP168" s="162">
        <v>-23.08059346832755</v>
      </c>
      <c r="AQ168" s="162">
        <v>0</v>
      </c>
      <c r="AR168" s="710" t="str">
        <v>1310.par</v>
      </c>
      <c r="AV168" s="82" t="str">
        <v>188,121,255</v>
      </c>
      <c r="AW168" s="947">
        <v>33.900000000000006</v>
      </c>
      <c r="AX168" s="947">
        <v>31.908377148153889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0.10010962343467228</v>
      </c>
      <c r="C169" s="651">
        <v>3.7977036715750003</v>
      </c>
      <c r="D169" s="652">
        <v>-0.76830463440656527</v>
      </c>
      <c r="E169" s="653">
        <v>-0.93407177873866454</v>
      </c>
      <c r="F169" s="651">
        <v>0.24370134722468742</v>
      </c>
      <c r="G169" s="654">
        <v>0.26099725194886553</v>
      </c>
      <c r="H169" s="653">
        <v>0.314</v>
      </c>
      <c r="I169" s="920">
        <v>0.52</v>
      </c>
      <c r="J169" s="924">
        <v>1.123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423</v>
      </c>
      <c r="M169" s="970">
        <f>90+-133.4</f>
        <v>-43.400000000000006</v>
      </c>
      <c r="N169" s="941"/>
      <c r="O169" s="942"/>
      <c r="Q169" s="162">
        <f t="shared" si="1059"/>
        <v>0.10010962343467228</v>
      </c>
      <c r="R169" s="162">
        <f t="shared" si="1060"/>
        <v>3.7977036715750003</v>
      </c>
      <c r="S169" s="162">
        <f t="shared" si="1061"/>
        <v>-0.76830463440656527</v>
      </c>
      <c r="T169" s="162">
        <f t="shared" si="1062"/>
        <v>-0.93407177873866454</v>
      </c>
      <c r="U169" s="162">
        <f t="shared" si="1063"/>
        <v>0.24370134722468742</v>
      </c>
      <c r="V169" s="162">
        <f t="shared" si="1064"/>
        <v>0.26099725194886553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1.123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6.1440000000000001</v>
      </c>
      <c r="AF169" s="82">
        <v>6</v>
      </c>
      <c r="AG169" s="82">
        <v>1</v>
      </c>
      <c r="AH169" s="82">
        <v>1</v>
      </c>
      <c r="AI169" s="82">
        <v>1.0000000000582077</v>
      </c>
      <c r="AJ169" s="166">
        <v>6.1441100000000004</v>
      </c>
      <c r="AK169" s="82" t="str">
        <v>Base</v>
      </c>
      <c r="AL169" s="162">
        <v>-25.5</v>
      </c>
      <c r="AM169" s="162">
        <v>-4.6815981091732617</v>
      </c>
      <c r="AN169" s="162">
        <v>-2.794755008961558</v>
      </c>
      <c r="AO169" s="162">
        <v>84.967735829436208</v>
      </c>
      <c r="AP169" s="162">
        <v>-29.788827478517224</v>
      </c>
      <c r="AQ169" s="162">
        <v>0</v>
      </c>
      <c r="AR169" s="710" t="str">
        <v>1613.par</v>
      </c>
      <c r="AV169" s="82" t="str">
        <v>127,0,255</v>
      </c>
      <c r="AW169" s="947">
        <v>85</v>
      </c>
      <c r="AX169" s="947">
        <v>84.967735829436208</v>
      </c>
      <c r="AY169" s="947">
        <v>0</v>
      </c>
    </row>
    <row r="170" spans="2:58" x14ac:dyDescent="0.25">
      <c r="B170" s="650">
        <v>0.16450734455396118</v>
      </c>
      <c r="C170" s="651">
        <v>4.262852669872089</v>
      </c>
      <c r="D170" s="652">
        <v>-1.3519081546976925</v>
      </c>
      <c r="E170" s="653">
        <v>-0.90541672286991637</v>
      </c>
      <c r="F170" s="651">
        <v>0.3589309519346352</v>
      </c>
      <c r="G170" s="654">
        <v>0.22669170626822205</v>
      </c>
      <c r="H170" s="653">
        <v>0.314</v>
      </c>
      <c r="I170" s="920">
        <v>0.52</v>
      </c>
      <c r="J170" s="924">
        <v>1.129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423</v>
      </c>
      <c r="M170" s="970">
        <f>90+-152.4</f>
        <v>-62.400000000000006</v>
      </c>
      <c r="N170" s="941"/>
      <c r="O170" s="942"/>
      <c r="Q170" s="162">
        <f t="shared" si="1059"/>
        <v>0.16450734455396118</v>
      </c>
      <c r="R170" s="162">
        <f t="shared" si="1060"/>
        <v>4.262852669872089</v>
      </c>
      <c r="S170" s="162">
        <f t="shared" si="1061"/>
        <v>-1.3519081546976925</v>
      </c>
      <c r="T170" s="162">
        <f t="shared" si="1062"/>
        <v>-0.90541672286991637</v>
      </c>
      <c r="U170" s="162">
        <f t="shared" si="1063"/>
        <v>0.3589309519346352</v>
      </c>
      <c r="V170" s="162">
        <f t="shared" si="1064"/>
        <v>0.22669170626822205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1.129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6.1379999999999999</v>
      </c>
      <c r="AF170" s="82">
        <v>6</v>
      </c>
      <c r="AG170" s="82">
        <v>1</v>
      </c>
      <c r="AH170" s="82">
        <v>1</v>
      </c>
      <c r="AI170" s="82">
        <v>0.99999999998544808</v>
      </c>
      <c r="AJ170" s="166">
        <v>6.1381100000000002</v>
      </c>
      <c r="AK170" s="82" t="str">
        <v>Base</v>
      </c>
      <c r="AL170" s="162">
        <v>-25.5</v>
      </c>
      <c r="AM170" s="162">
        <v>-4.6145982010924467</v>
      </c>
      <c r="AN170" s="162">
        <v>-1.9904895853929372</v>
      </c>
      <c r="AO170" s="162">
        <v>77.411479062779947</v>
      </c>
      <c r="AP170" s="162">
        <v>-28.106608666641964</v>
      </c>
      <c r="AQ170" s="162">
        <v>0</v>
      </c>
      <c r="AR170" s="710" t="str">
        <v>1613.par</v>
      </c>
      <c r="AV170" s="82" t="str">
        <v>127,0,255</v>
      </c>
      <c r="AW170" s="947">
        <v>85</v>
      </c>
      <c r="AX170" s="947">
        <v>77.411479062779947</v>
      </c>
      <c r="AY170" s="947">
        <v>0</v>
      </c>
    </row>
    <row r="171" spans="2:58" x14ac:dyDescent="0.25">
      <c r="B171" s="650">
        <v>0.21127392106379556</v>
      </c>
      <c r="C171" s="651">
        <v>4.547522304581995</v>
      </c>
      <c r="D171" s="652">
        <v>-2.0427123216221439</v>
      </c>
      <c r="E171" s="653">
        <v>-0.87332428600470102</v>
      </c>
      <c r="F171" s="651">
        <v>0.46237059548592002</v>
      </c>
      <c r="G171" s="654">
        <v>0.15335619943248119</v>
      </c>
      <c r="H171" s="653">
        <v>0.314</v>
      </c>
      <c r="I171" s="920">
        <v>0.52</v>
      </c>
      <c r="J171" s="924">
        <v>1.135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423</v>
      </c>
      <c r="M171" s="970">
        <f>90+-171</f>
        <v>-81</v>
      </c>
      <c r="N171" s="941"/>
      <c r="O171" s="942"/>
      <c r="Q171" s="162">
        <f t="shared" si="1059"/>
        <v>0.21127392106379556</v>
      </c>
      <c r="R171" s="162">
        <f t="shared" si="1060"/>
        <v>4.547522304581995</v>
      </c>
      <c r="S171" s="162">
        <f t="shared" si="1061"/>
        <v>-2.0427123216221439</v>
      </c>
      <c r="T171" s="162">
        <f t="shared" si="1062"/>
        <v>-0.87332428600470102</v>
      </c>
      <c r="U171" s="162">
        <f t="shared" si="1063"/>
        <v>0.46237059548592002</v>
      </c>
      <c r="V171" s="162">
        <f t="shared" si="1064"/>
        <v>0.15335619943248119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1.135</v>
      </c>
      <c r="Z171" s="917">
        <f t="shared" si="1066"/>
        <v>1613</v>
      </c>
      <c r="AA171" s="82"/>
      <c r="AB171" s="75"/>
      <c r="AC171" s="166">
        <v>3.1000100000000002</v>
      </c>
      <c r="AD171" s="166">
        <v>-21</v>
      </c>
      <c r="AE171" s="75">
        <v>6.1319999999999997</v>
      </c>
      <c r="AF171" s="82">
        <v>6</v>
      </c>
      <c r="AG171" s="82">
        <v>1</v>
      </c>
      <c r="AH171" s="82">
        <v>1</v>
      </c>
      <c r="AI171" s="82">
        <v>0.99999999998544808</v>
      </c>
      <c r="AJ171" s="166">
        <v>6.1321099999999999</v>
      </c>
      <c r="AK171" s="82" t="str">
        <v>Base</v>
      </c>
      <c r="AL171" s="162">
        <v>-25.5</v>
      </c>
      <c r="AM171" s="162">
        <v>-4.4252775449577486</v>
      </c>
      <c r="AN171" s="162">
        <v>-1.2697228721498028</v>
      </c>
      <c r="AO171" s="162">
        <v>62.265059341656865</v>
      </c>
      <c r="AP171" s="162">
        <v>-24.751978224299812</v>
      </c>
      <c r="AQ171" s="162">
        <v>0</v>
      </c>
      <c r="AR171" s="710" t="str">
        <v>1613.par</v>
      </c>
      <c r="AV171" s="82" t="str">
        <v>127,0,255</v>
      </c>
      <c r="AW171" s="947">
        <v>71.800000000000011</v>
      </c>
      <c r="AX171" s="947">
        <v>62.265059341656865</v>
      </c>
      <c r="AY171" s="947">
        <v>0</v>
      </c>
    </row>
    <row r="172" spans="2:58" x14ac:dyDescent="0.25">
      <c r="B172" s="650">
        <v>0.23654036072108339</v>
      </c>
      <c r="C172" s="651">
        <v>4.6855614861476402</v>
      </c>
      <c r="D172" s="652">
        <v>-2.8411171375927311</v>
      </c>
      <c r="E172" s="653">
        <v>-0.83981067352744754</v>
      </c>
      <c r="F172" s="651">
        <v>0.54112751191674091</v>
      </c>
      <c r="G172" s="654">
        <v>4.3578073341675919E-2</v>
      </c>
      <c r="H172" s="653">
        <v>0.314</v>
      </c>
      <c r="I172" s="920">
        <v>0.52</v>
      </c>
      <c r="J172" s="924">
        <v>1.141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419</v>
      </c>
      <c r="M172" s="970">
        <f>90+-175</f>
        <v>-85</v>
      </c>
      <c r="N172" s="941"/>
      <c r="O172" s="942"/>
      <c r="Q172" s="162">
        <f t="shared" si="1059"/>
        <v>0.23654036072108339</v>
      </c>
      <c r="R172" s="162">
        <f t="shared" si="1060"/>
        <v>4.6855614861476402</v>
      </c>
      <c r="S172" s="162">
        <f t="shared" si="1061"/>
        <v>-2.8411171375927311</v>
      </c>
      <c r="T172" s="162">
        <f t="shared" si="1062"/>
        <v>-0.83981067352744754</v>
      </c>
      <c r="U172" s="162">
        <f t="shared" si="1063"/>
        <v>0.54112751191674091</v>
      </c>
      <c r="V172" s="162">
        <f t="shared" si="1064"/>
        <v>4.3578073341675919E-2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1.141</v>
      </c>
      <c r="Z172" s="917">
        <f t="shared" si="1066"/>
        <v>1613</v>
      </c>
      <c r="AA172" s="82"/>
      <c r="AB172" s="75"/>
      <c r="AC172" s="166">
        <v>2.2000100000000002</v>
      </c>
      <c r="AD172" s="166">
        <v>-20.25</v>
      </c>
      <c r="AE172" s="75">
        <v>6.1260000000000003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6.1261100000000006</v>
      </c>
      <c r="AK172" s="82" t="str">
        <v>Base</v>
      </c>
      <c r="AL172" s="162">
        <v>-25.5</v>
      </c>
      <c r="AM172" s="162">
        <v>-4.0484387926423295</v>
      </c>
      <c r="AN172" s="162">
        <v>-0.6271759661356846</v>
      </c>
      <c r="AO172" s="162">
        <v>47.046749081946118</v>
      </c>
      <c r="AP172" s="162">
        <v>-21.406663959613159</v>
      </c>
      <c r="AQ172" s="162">
        <v>0</v>
      </c>
      <c r="AR172" s="710" t="str">
        <v>1613.par</v>
      </c>
      <c r="AV172" s="82" t="str">
        <v>127,0,255</v>
      </c>
      <c r="AW172" s="947">
        <v>52.900000000000006</v>
      </c>
      <c r="AX172" s="947">
        <v>47.046749081946118</v>
      </c>
      <c r="AY172" s="947">
        <v>0</v>
      </c>
    </row>
    <row r="173" spans="2:58" x14ac:dyDescent="0.25">
      <c r="B173" s="650">
        <v>0.83767894810943144</v>
      </c>
      <c r="C173" s="651">
        <v>2.316338083779117</v>
      </c>
      <c r="D173" s="652">
        <v>-0.14155301784303104</v>
      </c>
      <c r="E173" s="653">
        <v>-0.88768808406184041</v>
      </c>
      <c r="F173" s="651">
        <v>0.37192056799571183</v>
      </c>
      <c r="G173" s="654">
        <v>0.2714497311038751</v>
      </c>
      <c r="H173" s="653">
        <v>0.26600000000000001</v>
      </c>
      <c r="I173" s="920">
        <v>0.39400000000000002</v>
      </c>
      <c r="J173" s="924">
        <v>1.2110000000000001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1310</v>
      </c>
      <c r="L173" s="940" t="s">
        <v>424</v>
      </c>
      <c r="M173" s="970">
        <f t="shared" ref="M173:M178" si="1067">M167</f>
        <v>-5.2999999999999972</v>
      </c>
      <c r="N173" s="941"/>
      <c r="O173" s="942"/>
      <c r="Q173" s="162">
        <f t="shared" si="1059"/>
        <v>0.83767894810943144</v>
      </c>
      <c r="R173" s="162">
        <f t="shared" si="1060"/>
        <v>2.316338083779117</v>
      </c>
      <c r="S173" s="162">
        <f t="shared" si="1061"/>
        <v>-0.14155301784303104</v>
      </c>
      <c r="T173" s="162">
        <f t="shared" si="1062"/>
        <v>-0.88768808406184041</v>
      </c>
      <c r="U173" s="162">
        <f t="shared" si="1063"/>
        <v>0.37192056799571183</v>
      </c>
      <c r="V173" s="162">
        <f t="shared" si="1064"/>
        <v>0.2714497311038751</v>
      </c>
      <c r="W173" s="162">
        <f>IFERROR(IF(ISNUMBER(MATCH($Z173,Settings!$AK$28:$AK$36,0)),INDEX(Settings!$AO$14:$AO$36,MATCH($Z173,Settings!$AK$14:$AK$36,0))/2,INDEX(Settings!$AM$14:$AM$36,MATCH($Z173,Settings!$AK$14:$AK$36,0))/2),"")</f>
        <v>0.26450000000000001</v>
      </c>
      <c r="X173" s="162">
        <f t="shared" si="1065"/>
        <v>0.39400000000000002</v>
      </c>
      <c r="Y173" s="75">
        <v>1.2110000000000001</v>
      </c>
      <c r="Z173" s="917">
        <f t="shared" si="1066"/>
        <v>1310</v>
      </c>
      <c r="AA173" s="82"/>
      <c r="AB173" s="75"/>
      <c r="AC173" s="166">
        <v>2.1000100000000002</v>
      </c>
      <c r="AD173" s="166">
        <v>-19.5</v>
      </c>
      <c r="AE173" s="75">
        <v>6.12</v>
      </c>
      <c r="AF173" s="82">
        <v>6</v>
      </c>
      <c r="AG173" s="82">
        <v>1</v>
      </c>
      <c r="AH173" s="82">
        <v>1</v>
      </c>
      <c r="AI173" s="82">
        <v>1.0000000000582077</v>
      </c>
      <c r="AJ173" s="166">
        <v>6.1201100000000004</v>
      </c>
      <c r="AK173" s="82" t="str">
        <v>Base</v>
      </c>
      <c r="AL173" s="162">
        <v>-25.5</v>
      </c>
      <c r="AM173" s="162">
        <v>-3.5023090784645645</v>
      </c>
      <c r="AN173" s="162">
        <v>-0.12078185957199111</v>
      </c>
      <c r="AO173" s="162">
        <v>31.697301739955826</v>
      </c>
      <c r="AP173" s="162">
        <v>-18.074864417424092</v>
      </c>
      <c r="AQ173" s="162">
        <v>0</v>
      </c>
      <c r="AR173" s="710" t="str">
        <v>1613.par</v>
      </c>
      <c r="AV173" s="82" t="str">
        <v>127,0,255</v>
      </c>
      <c r="AW173" s="947">
        <v>33.900000000000006</v>
      </c>
      <c r="AX173" s="947">
        <v>31.697301739955826</v>
      </c>
      <c r="AY173" s="947">
        <v>0</v>
      </c>
    </row>
    <row r="174" spans="2:58" x14ac:dyDescent="0.25">
      <c r="B174" s="650">
        <v>0.87400303131291435</v>
      </c>
      <c r="C174" s="651">
        <v>3.0680494717214049</v>
      </c>
      <c r="D174" s="652">
        <v>-0.33646365002079959</v>
      </c>
      <c r="E174" s="653">
        <v>-0.88884519803114048</v>
      </c>
      <c r="F174" s="651">
        <v>0.37845410932973167</v>
      </c>
      <c r="G174" s="654">
        <v>0.25831511970541404</v>
      </c>
      <c r="H174" s="653">
        <v>0.26600000000000001</v>
      </c>
      <c r="I174" s="920">
        <v>0.52</v>
      </c>
      <c r="J174" s="924">
        <v>1.2170000000000001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1313</v>
      </c>
      <c r="L174" s="940" t="s">
        <v>420</v>
      </c>
      <c r="M174" s="970">
        <f t="shared" si="1067"/>
        <v>-24.299999999999997</v>
      </c>
      <c r="N174" s="941"/>
      <c r="O174" s="942"/>
      <c r="Q174" s="162">
        <f t="shared" si="1059"/>
        <v>0.87400303131291435</v>
      </c>
      <c r="R174" s="162">
        <f t="shared" si="1060"/>
        <v>3.0680494717214049</v>
      </c>
      <c r="S174" s="162">
        <f t="shared" si="1061"/>
        <v>-0.33646365002079959</v>
      </c>
      <c r="T174" s="162">
        <f t="shared" si="1062"/>
        <v>-0.88884519803114048</v>
      </c>
      <c r="U174" s="162">
        <f t="shared" si="1063"/>
        <v>0.37845410932973167</v>
      </c>
      <c r="V174" s="162">
        <f t="shared" si="1064"/>
        <v>0.25831511970541404</v>
      </c>
      <c r="W174" s="162">
        <f>IFERROR(IF(ISNUMBER(MATCH($Z174,Settings!$AK$28:$AK$36,0)),INDEX(Settings!$AO$14:$AO$36,MATCH($Z174,Settings!$AK$14:$AK$36,0))/2,INDEX(Settings!$AM$14:$AM$36,MATCH($Z174,Settings!$AK$14:$AK$36,0))/2),"")</f>
        <v>0.26450000000000001</v>
      </c>
      <c r="X174" s="162">
        <f t="shared" si="1065"/>
        <v>0.52</v>
      </c>
      <c r="Y174" s="75">
        <v>1.2170000000000001</v>
      </c>
      <c r="Z174" s="917">
        <f t="shared" si="1066"/>
        <v>1313</v>
      </c>
      <c r="AA174" s="82"/>
      <c r="AB174" s="75"/>
      <c r="AC174" s="166">
        <v>1.20001</v>
      </c>
      <c r="AD174" s="166">
        <v>-18.75</v>
      </c>
      <c r="AE174" s="75">
        <v>6.1139999999999999</v>
      </c>
      <c r="AF174" s="82">
        <v>6</v>
      </c>
      <c r="AG174" s="82">
        <v>1</v>
      </c>
      <c r="AH174" s="82">
        <v>1</v>
      </c>
      <c r="AI174" s="82">
        <v>0.99999999998544808</v>
      </c>
      <c r="AJ174" s="166">
        <v>6.1141100000000002</v>
      </c>
      <c r="AK174" s="82" t="str">
        <v>Base</v>
      </c>
      <c r="AL174" s="162">
        <v>-25.5</v>
      </c>
      <c r="AM174" s="162">
        <v>-2.8255246930323525</v>
      </c>
      <c r="AN174" s="162">
        <v>0.19021019333946423</v>
      </c>
      <c r="AO174" s="162">
        <v>16.193879336207964</v>
      </c>
      <c r="AP174" s="162">
        <v>-15.887002584969139</v>
      </c>
      <c r="AQ174" s="162">
        <v>0</v>
      </c>
      <c r="AR174" s="710" t="str">
        <v>1613.par</v>
      </c>
      <c r="AV174" s="82" t="str">
        <v>127,0,255</v>
      </c>
      <c r="AW174" s="947">
        <v>14.799999999999997</v>
      </c>
      <c r="AX174" s="947">
        <v>16.193879336207964</v>
      </c>
      <c r="AY174" s="947">
        <v>0</v>
      </c>
    </row>
    <row r="175" spans="2:58" x14ac:dyDescent="0.25">
      <c r="B175" s="650">
        <v>0.93384325165128146</v>
      </c>
      <c r="C175" s="651">
        <v>3.6991211284024677</v>
      </c>
      <c r="D175" s="652">
        <v>-0.75608771623782833</v>
      </c>
      <c r="E175" s="653">
        <v>-0.85796482909796135</v>
      </c>
      <c r="F175" s="651">
        <v>0.44246670666395521</v>
      </c>
      <c r="G175" s="654">
        <v>0.26099725194886547</v>
      </c>
      <c r="H175" s="653">
        <v>0.26600000000000001</v>
      </c>
      <c r="I175" s="920">
        <v>0.52</v>
      </c>
      <c r="J175" s="924">
        <v>1.2230000000000001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0" t="s">
        <v>420</v>
      </c>
      <c r="M175" s="970">
        <f t="shared" si="1067"/>
        <v>-43.400000000000006</v>
      </c>
      <c r="N175" s="941"/>
      <c r="O175" s="942"/>
      <c r="Q175" s="162">
        <f t="shared" si="1059"/>
        <v>0.93384325165128146</v>
      </c>
      <c r="R175" s="162">
        <f t="shared" si="1060"/>
        <v>3.6991211284024677</v>
      </c>
      <c r="S175" s="162">
        <f t="shared" si="1061"/>
        <v>-0.75608771623782833</v>
      </c>
      <c r="T175" s="162">
        <f t="shared" si="1062"/>
        <v>-0.85796482909796135</v>
      </c>
      <c r="U175" s="162">
        <f t="shared" si="1063"/>
        <v>0.44246670666395521</v>
      </c>
      <c r="V175" s="162">
        <f t="shared" si="1064"/>
        <v>0.26099725194886547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0.52</v>
      </c>
      <c r="Y175" s="75">
        <v>1.2230000000000001</v>
      </c>
      <c r="Z175" s="917">
        <f t="shared" si="1066"/>
        <v>1313</v>
      </c>
      <c r="AA175" s="82"/>
      <c r="AB175" s="75"/>
      <c r="AC175" s="166">
        <v>1.1000100000000002</v>
      </c>
      <c r="AD175" s="166">
        <v>-18</v>
      </c>
      <c r="AE175" s="75">
        <v>5.2450000000000001</v>
      </c>
      <c r="AF175" s="82">
        <v>5</v>
      </c>
      <c r="AG175" s="82">
        <v>2</v>
      </c>
      <c r="AH175" s="82">
        <v>1</v>
      </c>
      <c r="AI175" s="82">
        <v>1.0000000000582077</v>
      </c>
      <c r="AJ175" s="166">
        <v>5.2451100000000004</v>
      </c>
      <c r="AK175" s="82" t="str">
        <v>Base</v>
      </c>
      <c r="AL175" s="162">
        <v>-24.75</v>
      </c>
      <c r="AM175" s="162">
        <v>-4.6672539023601329</v>
      </c>
      <c r="AN175" s="162">
        <v>-2.9923982927655524</v>
      </c>
      <c r="AO175" s="162">
        <v>84.999987727520178</v>
      </c>
      <c r="AP175" s="162">
        <v>0</v>
      </c>
      <c r="AQ175" s="162">
        <v>0</v>
      </c>
      <c r="AR175" s="710" t="str">
        <v>32193r1.par</v>
      </c>
      <c r="AV175" s="82" t="str">
        <v>121,188,255</v>
      </c>
      <c r="AW175" s="947">
        <v>85</v>
      </c>
      <c r="AX175" s="947">
        <v>84.999987727520178</v>
      </c>
      <c r="AY175" s="947">
        <v>0</v>
      </c>
    </row>
    <row r="176" spans="2:58" x14ac:dyDescent="0.25">
      <c r="B176" s="650">
        <v>0.99782248518333827</v>
      </c>
      <c r="C176" s="651">
        <v>4.1679846789202939</v>
      </c>
      <c r="D176" s="652">
        <v>-1.3443413354006248</v>
      </c>
      <c r="E176" s="653">
        <v>-0.81796485284476683</v>
      </c>
      <c r="F176" s="651">
        <v>0.52871955687286742</v>
      </c>
      <c r="G176" s="654">
        <v>0.22669170626822219</v>
      </c>
      <c r="H176" s="653">
        <v>0.26600000000000001</v>
      </c>
      <c r="I176" s="920">
        <v>0.52</v>
      </c>
      <c r="J176" s="924">
        <v>1.2290000000000001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940" t="s">
        <v>420</v>
      </c>
      <c r="M176" s="970">
        <f t="shared" si="1067"/>
        <v>-62.400000000000006</v>
      </c>
      <c r="N176" s="941"/>
      <c r="O176" s="942"/>
      <c r="Q176" s="162">
        <f t="shared" si="1059"/>
        <v>0.99782248518333827</v>
      </c>
      <c r="R176" s="162">
        <f t="shared" si="1060"/>
        <v>4.1679846789202939</v>
      </c>
      <c r="S176" s="162">
        <f t="shared" si="1061"/>
        <v>-1.3443413354006248</v>
      </c>
      <c r="T176" s="162">
        <f t="shared" si="1062"/>
        <v>-0.81796485284476683</v>
      </c>
      <c r="U176" s="162">
        <f t="shared" si="1063"/>
        <v>0.52871955687286742</v>
      </c>
      <c r="V176" s="162">
        <f t="shared" si="1064"/>
        <v>0.22669170626822219</v>
      </c>
      <c r="W176" s="162">
        <f>IFERROR(IF(ISNUMBER(MATCH($Z176,Settings!$AK$28:$AK$36,0)),INDEX(Settings!$AO$14:$AO$36,MATCH($Z176,Settings!$AK$14:$AK$36,0))/2,INDEX(Settings!$AM$14:$AM$36,MATCH($Z176,Settings!$AK$14:$AK$36,0))/2),"")</f>
        <v>0.26450000000000001</v>
      </c>
      <c r="X176" s="162">
        <f t="shared" si="1065"/>
        <v>0.52</v>
      </c>
      <c r="Y176" s="75">
        <v>1.2290000000000001</v>
      </c>
      <c r="Z176" s="917">
        <f t="shared" si="1066"/>
        <v>1313</v>
      </c>
      <c r="AA176" s="82"/>
      <c r="AB176" s="75"/>
      <c r="AC176" s="166">
        <v>6.2000200000000003</v>
      </c>
      <c r="AD176" s="166">
        <v>-17.25</v>
      </c>
      <c r="AE176" s="75">
        <v>5.2389999999999999</v>
      </c>
      <c r="AF176" s="82">
        <v>5</v>
      </c>
      <c r="AG176" s="82">
        <v>2</v>
      </c>
      <c r="AH176" s="82">
        <v>1</v>
      </c>
      <c r="AI176" s="82">
        <v>0.99999999998544808</v>
      </c>
      <c r="AJ176" s="166">
        <v>5.2391100000000002</v>
      </c>
      <c r="AK176" s="82" t="str">
        <v>Base</v>
      </c>
      <c r="AL176" s="162">
        <v>-24.75</v>
      </c>
      <c r="AM176" s="162">
        <v>-4.6161231555423221</v>
      </c>
      <c r="AN176" s="162">
        <v>-2.1886022271006524</v>
      </c>
      <c r="AO176" s="162">
        <v>84.999987727520178</v>
      </c>
      <c r="AP176" s="162">
        <v>0</v>
      </c>
      <c r="AQ176" s="162">
        <v>0</v>
      </c>
      <c r="AR176" s="710" t="str">
        <v>32193r1.par</v>
      </c>
      <c r="AV176" s="82" t="str">
        <v>121,188,255</v>
      </c>
      <c r="AW176" s="947">
        <v>85</v>
      </c>
      <c r="AX176" s="947">
        <v>84.999987727520178</v>
      </c>
      <c r="AY176" s="947">
        <v>0</v>
      </c>
    </row>
    <row r="177" spans="2:51" x14ac:dyDescent="0.25">
      <c r="B177" s="650">
        <v>1.1371251536855882</v>
      </c>
      <c r="C177" s="651">
        <v>4.4303465500168455</v>
      </c>
      <c r="D177" s="652">
        <v>-2.041398111812347</v>
      </c>
      <c r="E177" s="653">
        <v>-0.76102891865065869</v>
      </c>
      <c r="F177" s="651">
        <v>0.63033075529679994</v>
      </c>
      <c r="G177" s="654">
        <v>0.15335619943248102</v>
      </c>
      <c r="H177" s="653">
        <v>0.26600000000000001</v>
      </c>
      <c r="I177" s="920">
        <v>0.52</v>
      </c>
      <c r="J177" s="924">
        <v>1.2350000000000001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940" t="s">
        <v>420</v>
      </c>
      <c r="M177" s="970">
        <f t="shared" si="1067"/>
        <v>-81</v>
      </c>
      <c r="N177" s="941"/>
      <c r="O177" s="942"/>
      <c r="Q177" s="162">
        <f t="shared" si="1059"/>
        <v>1.1371251536855882</v>
      </c>
      <c r="R177" s="162">
        <f t="shared" si="1060"/>
        <v>4.4303465500168455</v>
      </c>
      <c r="S177" s="162">
        <f t="shared" si="1061"/>
        <v>-2.041398111812347</v>
      </c>
      <c r="T177" s="162">
        <f t="shared" si="1062"/>
        <v>-0.76102891865065869</v>
      </c>
      <c r="U177" s="162">
        <f t="shared" si="1063"/>
        <v>0.63033075529679994</v>
      </c>
      <c r="V177" s="162">
        <f t="shared" si="1064"/>
        <v>0.15335619943248102</v>
      </c>
      <c r="W177" s="162">
        <f>IFERROR(IF(ISNUMBER(MATCH($Z177,Settings!$AK$28:$AK$36,0)),INDEX(Settings!$AO$14:$AO$36,MATCH($Z177,Settings!$AK$14:$AK$36,0))/2,INDEX(Settings!$AM$14:$AM$36,MATCH($Z177,Settings!$AK$14:$AK$36,0))/2),"")</f>
        <v>0.26450000000000001</v>
      </c>
      <c r="X177" s="162">
        <f t="shared" si="1065"/>
        <v>0.52</v>
      </c>
      <c r="Y177" s="75">
        <v>1.2350000000000001</v>
      </c>
      <c r="Z177" s="917">
        <f t="shared" si="1066"/>
        <v>1313</v>
      </c>
      <c r="AA177" s="82"/>
      <c r="AB177" s="75"/>
      <c r="AC177" s="166">
        <v>6.1000199999999998</v>
      </c>
      <c r="AD177" s="166">
        <v>-16.5</v>
      </c>
      <c r="AE177" s="75">
        <v>5.2329999999999997</v>
      </c>
      <c r="AF177" s="82">
        <v>5</v>
      </c>
      <c r="AG177" s="82">
        <v>2</v>
      </c>
      <c r="AH177" s="82">
        <v>1</v>
      </c>
      <c r="AI177" s="82">
        <v>0.99999999998544808</v>
      </c>
      <c r="AJ177" s="166">
        <v>5.2331099999999999</v>
      </c>
      <c r="AK177" s="82" t="str">
        <v>Base</v>
      </c>
      <c r="AL177" s="162">
        <v>-24.75</v>
      </c>
      <c r="AM177" s="162">
        <v>-4.491286387539672</v>
      </c>
      <c r="AN177" s="162">
        <v>-1.4486314873508337</v>
      </c>
      <c r="AO177" s="162">
        <v>64.79440885837019</v>
      </c>
      <c r="AP177" s="162">
        <v>-25.311490125624598</v>
      </c>
      <c r="AQ177" s="162">
        <v>0</v>
      </c>
      <c r="AR177" s="710" t="str">
        <v>1313.par</v>
      </c>
      <c r="AV177" s="82" t="str">
        <v>121,188,255</v>
      </c>
      <c r="AW177" s="947">
        <v>74.900000000000006</v>
      </c>
      <c r="AX177" s="947">
        <v>64.79440885837019</v>
      </c>
      <c r="AY177" s="947">
        <v>0</v>
      </c>
    </row>
    <row r="178" spans="2:51" x14ac:dyDescent="0.25">
      <c r="B178" s="650">
        <v>1.7000668462632167</v>
      </c>
      <c r="C178" s="651">
        <v>4.3466115201766682</v>
      </c>
      <c r="D178" s="652">
        <v>-2.8586340045225662</v>
      </c>
      <c r="E178" s="653">
        <v>0.36286809810263143</v>
      </c>
      <c r="F178" s="651">
        <v>0.92775566971635115</v>
      </c>
      <c r="G178" s="654">
        <v>8.7155956127759296E-2</v>
      </c>
      <c r="H178" s="653">
        <v>0.25700000000000001</v>
      </c>
      <c r="I178" s="920">
        <v>0.41499999999999992</v>
      </c>
      <c r="J178" s="924">
        <v>1.2410000000000001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425</v>
      </c>
      <c r="M178" s="970">
        <f t="shared" si="1067"/>
        <v>-85</v>
      </c>
      <c r="N178" s="941"/>
      <c r="O178" s="942"/>
      <c r="Q178" s="162">
        <f t="shared" si="1059"/>
        <v>1.7000668462632167</v>
      </c>
      <c r="R178" s="162">
        <f t="shared" si="1060"/>
        <v>4.3466115201766682</v>
      </c>
      <c r="S178" s="162">
        <f t="shared" si="1061"/>
        <v>-2.8586340045225662</v>
      </c>
      <c r="T178" s="162">
        <f t="shared" si="1062"/>
        <v>0.36286809810263143</v>
      </c>
      <c r="U178" s="162">
        <f t="shared" si="1063"/>
        <v>0.92775566971635115</v>
      </c>
      <c r="V178" s="162">
        <f t="shared" si="1064"/>
        <v>8.7155956127759296E-2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1.2410000000000001</v>
      </c>
      <c r="Z178" s="917" t="str">
        <f t="shared" si="1066"/>
        <v>CPS-32193r1</v>
      </c>
      <c r="AA178" s="82"/>
      <c r="AB178" s="75"/>
      <c r="AC178" s="166">
        <v>5.2000200000000003</v>
      </c>
      <c r="AD178" s="166">
        <v>-15.75</v>
      </c>
      <c r="AE178" s="75">
        <v>5.2270000000000003</v>
      </c>
      <c r="AF178" s="82">
        <v>5</v>
      </c>
      <c r="AG178" s="82">
        <v>2</v>
      </c>
      <c r="AH178" s="82">
        <v>1</v>
      </c>
      <c r="AI178" s="82">
        <v>1.0000000000582077</v>
      </c>
      <c r="AJ178" s="166">
        <v>5.2271100000000006</v>
      </c>
      <c r="AK178" s="82" t="str">
        <v>Base</v>
      </c>
      <c r="AL178" s="162">
        <v>-24.75</v>
      </c>
      <c r="AM178" s="162">
        <v>-4.14242061150886</v>
      </c>
      <c r="AN178" s="162">
        <v>-0.78292792587913296</v>
      </c>
      <c r="AO178" s="162">
        <v>49.591934108104368</v>
      </c>
      <c r="AP178" s="162">
        <v>-21.964321744475381</v>
      </c>
      <c r="AQ178" s="162">
        <v>0</v>
      </c>
      <c r="AR178" s="710" t="str">
        <v>1313.par</v>
      </c>
      <c r="AV178" s="82" t="str">
        <v>121,188,255</v>
      </c>
      <c r="AW178" s="947">
        <v>56.099999999999994</v>
      </c>
      <c r="AX178" s="947">
        <v>49.591934108104368</v>
      </c>
      <c r="AY178" s="947">
        <v>0</v>
      </c>
    </row>
    <row r="179" spans="2:51" x14ac:dyDescent="0.25">
      <c r="B179" s="650">
        <v>0.82512641648020124</v>
      </c>
      <c r="C179" s="651">
        <v>4.6795251342285704</v>
      </c>
      <c r="D179" s="652">
        <v>-8.1462745691641008</v>
      </c>
      <c r="E179" s="653">
        <v>-0.64448344272813352</v>
      </c>
      <c r="F179" s="651">
        <v>0.75642736100337615</v>
      </c>
      <c r="G179" s="654">
        <v>-0.11161872412261602</v>
      </c>
      <c r="H179" s="653">
        <v>0.26600000000000001</v>
      </c>
      <c r="I179" s="920">
        <v>0.52</v>
      </c>
      <c r="J179" s="924">
        <v>1.399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940" t="s">
        <v>420</v>
      </c>
      <c r="M179" s="970">
        <v>0</v>
      </c>
      <c r="N179" s="941"/>
      <c r="O179" s="942" t="s">
        <v>9</v>
      </c>
      <c r="Q179" s="162">
        <f t="shared" si="1059"/>
        <v>2.0219573219127542</v>
      </c>
      <c r="R179" s="162">
        <f t="shared" si="1060"/>
        <v>1.1654942028650179</v>
      </c>
      <c r="S179" s="162">
        <f t="shared" si="1061"/>
        <v>-0.14790089213683616</v>
      </c>
      <c r="T179" s="162">
        <f t="shared" si="1062"/>
        <v>-0.44887861642149146</v>
      </c>
      <c r="U179" s="162">
        <f t="shared" si="1063"/>
        <v>0.85077992803660552</v>
      </c>
      <c r="V179" s="162">
        <f t="shared" si="1064"/>
        <v>0.27327916453611356</v>
      </c>
      <c r="W179" s="162">
        <f>IFERROR(IF(ISNUMBER(MATCH($Z179,Settings!$AK$28:$AK$36,0)),INDEX(Settings!$AO$14:$AO$36,MATCH($Z179,Settings!$AK$14:$AK$36,0))/2,INDEX(Settings!$AM$14:$AM$36,MATCH($Z179,Settings!$AK$14:$AK$36,0))/2),"")</f>
        <v>0.3125</v>
      </c>
      <c r="X179" s="162">
        <f t="shared" si="1065"/>
        <v>0.52</v>
      </c>
      <c r="Y179" s="75">
        <v>2.11</v>
      </c>
      <c r="Z179" s="917">
        <f t="shared" si="1066"/>
        <v>1613</v>
      </c>
      <c r="AA179" s="82"/>
      <c r="AB179" s="75"/>
      <c r="AC179" s="166">
        <v>5.1000199999999998</v>
      </c>
      <c r="AD179" s="166">
        <v>-15</v>
      </c>
      <c r="AE179" s="75">
        <v>5.2210000000000001</v>
      </c>
      <c r="AF179" s="82">
        <v>5</v>
      </c>
      <c r="AG179" s="82">
        <v>2</v>
      </c>
      <c r="AH179" s="82">
        <v>1</v>
      </c>
      <c r="AI179" s="82">
        <v>1.0000000000582077</v>
      </c>
      <c r="AJ179" s="166">
        <v>5.2211100000000004</v>
      </c>
      <c r="AK179" s="82" t="str">
        <v>Base</v>
      </c>
      <c r="AL179" s="162">
        <v>-24.75</v>
      </c>
      <c r="AM179" s="162">
        <v>-3.6183657612437519</v>
      </c>
      <c r="AN179" s="162">
        <v>-0.24309016080324575</v>
      </c>
      <c r="AO179" s="162">
        <v>34.271849486210627</v>
      </c>
      <c r="AP179" s="162">
        <v>-18.629596783767084</v>
      </c>
      <c r="AQ179" s="162">
        <v>0</v>
      </c>
      <c r="AR179" s="710" t="str">
        <v>1313.par</v>
      </c>
      <c r="AV179" s="82" t="str">
        <v>121,188,255</v>
      </c>
      <c r="AW179" s="947">
        <v>37.099999999999994</v>
      </c>
      <c r="AX179" s="947">
        <v>34.271849486210627</v>
      </c>
      <c r="AY179" s="947">
        <v>0</v>
      </c>
    </row>
    <row r="180" spans="2:51" x14ac:dyDescent="0.25">
      <c r="B180" s="650">
        <v>2.0219573219127542</v>
      </c>
      <c r="C180" s="651">
        <v>1.1654942028650179</v>
      </c>
      <c r="D180" s="652">
        <v>-0.14790089213683616</v>
      </c>
      <c r="E180" s="653">
        <v>-0.44887861642149146</v>
      </c>
      <c r="F180" s="651">
        <v>0.85077992803660552</v>
      </c>
      <c r="G180" s="654">
        <v>0.27327916453611356</v>
      </c>
      <c r="H180" s="653">
        <v>0.314</v>
      </c>
      <c r="I180" s="920">
        <v>0.52</v>
      </c>
      <c r="J180" s="924">
        <v>2.11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1613</v>
      </c>
      <c r="L180" s="940" t="s">
        <v>419</v>
      </c>
      <c r="M180" s="970">
        <f>90+-92.1</f>
        <v>-2.0999999999999943</v>
      </c>
      <c r="N180" s="941"/>
      <c r="O180" s="942"/>
      <c r="Q180" s="162">
        <f t="shared" si="1059"/>
        <v>2.6693280165979876</v>
      </c>
      <c r="R180" s="162">
        <f t="shared" si="1060"/>
        <v>1.5047002536835734</v>
      </c>
      <c r="S180" s="162">
        <f t="shared" si="1061"/>
        <v>-0.30240182408505245</v>
      </c>
      <c r="T180" s="162">
        <f t="shared" si="1062"/>
        <v>-0.38014431996273451</v>
      </c>
      <c r="U180" s="162">
        <f t="shared" si="1063"/>
        <v>0.88917984402224415</v>
      </c>
      <c r="V180" s="162">
        <f t="shared" si="1064"/>
        <v>0.25465565178226035</v>
      </c>
      <c r="W180" s="162">
        <f>IFERROR(IF(ISNUMBER(MATCH($Z180,Settings!$AK$28:$AK$36,0)),INDEX(Settings!$AO$14:$AO$36,MATCH($Z180,Settings!$AK$14:$AK$36,0))/2,INDEX(Settings!$AM$14:$AM$36,MATCH($Z180,Settings!$AK$14:$AK$36,0))/2),"")</f>
        <v>0.3125</v>
      </c>
      <c r="X180" s="162">
        <f t="shared" si="1065"/>
        <v>0.52</v>
      </c>
      <c r="Y180" s="75">
        <v>2.1160000000000001</v>
      </c>
      <c r="Z180" s="917">
        <f t="shared" si="1066"/>
        <v>1613</v>
      </c>
      <c r="AA180" s="82"/>
      <c r="AB180" s="75"/>
      <c r="AC180" s="166">
        <v>4.2000200000000003</v>
      </c>
      <c r="AD180" s="166">
        <v>-14.25</v>
      </c>
      <c r="AE180" s="75">
        <v>5.2149999999999999</v>
      </c>
      <c r="AF180" s="82">
        <v>5</v>
      </c>
      <c r="AG180" s="82">
        <v>2</v>
      </c>
      <c r="AH180" s="82">
        <v>1</v>
      </c>
      <c r="AI180" s="82">
        <v>0.99999999998544808</v>
      </c>
      <c r="AJ180" s="166">
        <v>5.2151100000000001</v>
      </c>
      <c r="AK180" s="82" t="str">
        <v>Base</v>
      </c>
      <c r="AL180" s="162">
        <v>-24.75</v>
      </c>
      <c r="AM180" s="162">
        <v>-2.9538354933176207</v>
      </c>
      <c r="AN180" s="162">
        <v>0.11051168059474051</v>
      </c>
      <c r="AO180" s="162">
        <v>18.768152489067734</v>
      </c>
      <c r="AP180" s="162">
        <v>-15.876217412548954</v>
      </c>
      <c r="AQ180" s="162">
        <v>0</v>
      </c>
      <c r="AR180" s="710" t="str">
        <v>1310.par</v>
      </c>
      <c r="AV180" s="82" t="str">
        <v>121,188,255</v>
      </c>
      <c r="AW180" s="947">
        <v>18</v>
      </c>
      <c r="AX180" s="947">
        <v>18.768152489067734</v>
      </c>
      <c r="AY180" s="947">
        <v>0</v>
      </c>
    </row>
    <row r="181" spans="2:51" x14ac:dyDescent="0.25">
      <c r="B181" s="650">
        <v>2.6693280165979876</v>
      </c>
      <c r="C181" s="651">
        <v>1.5047002536835734</v>
      </c>
      <c r="D181" s="652">
        <v>-0.30240182408505245</v>
      </c>
      <c r="E181" s="653">
        <v>-0.38014431996273451</v>
      </c>
      <c r="F181" s="651">
        <v>0.88917984402224415</v>
      </c>
      <c r="G181" s="654">
        <v>0.25465565178226035</v>
      </c>
      <c r="H181" s="653">
        <v>0.314</v>
      </c>
      <c r="I181" s="920">
        <v>0.52</v>
      </c>
      <c r="J181" s="924">
        <v>2.1160000000000001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940" t="s">
        <v>419</v>
      </c>
      <c r="M181" s="970">
        <f>90+-111.2</f>
        <v>-21.200000000000003</v>
      </c>
      <c r="N181" s="941"/>
      <c r="O181" s="942"/>
      <c r="Q181" s="162">
        <f t="shared" si="1059"/>
        <v>3.2525919326421571</v>
      </c>
      <c r="R181" s="162">
        <f t="shared" si="1060"/>
        <v>1.7748406803454111</v>
      </c>
      <c r="S181" s="162">
        <f t="shared" si="1061"/>
        <v>-0.68570413616111137</v>
      </c>
      <c r="T181" s="162">
        <f t="shared" si="1062"/>
        <v>-0.27476395871426218</v>
      </c>
      <c r="U181" s="162">
        <f t="shared" si="1063"/>
        <v>0.92484403526011338</v>
      </c>
      <c r="V181" s="162">
        <f t="shared" si="1064"/>
        <v>0.26299862629956372</v>
      </c>
      <c r="W181" s="162">
        <f>IFERROR(IF(ISNUMBER(MATCH($Z181,Settings!$AK$28:$AK$36,0)),INDEX(Settings!$AO$14:$AO$36,MATCH($Z181,Settings!$AK$14:$AK$36,0))/2,INDEX(Settings!$AM$14:$AM$36,MATCH($Z181,Settings!$AK$14:$AK$36,0))/2),"")</f>
        <v>0.3125</v>
      </c>
      <c r="X181" s="162">
        <f t="shared" si="1065"/>
        <v>0.52</v>
      </c>
      <c r="Y181" s="75">
        <v>2.1219999999999999</v>
      </c>
      <c r="Z181" s="917">
        <f t="shared" si="1066"/>
        <v>1613</v>
      </c>
      <c r="AA181" s="82"/>
      <c r="AB181" s="75"/>
      <c r="AC181" s="166">
        <v>4.1000199999999998</v>
      </c>
      <c r="AD181" s="166">
        <v>-13.5</v>
      </c>
      <c r="AE181" s="75">
        <v>5.1449999999999996</v>
      </c>
      <c r="AF181" s="82">
        <v>5</v>
      </c>
      <c r="AG181" s="82">
        <v>1</v>
      </c>
      <c r="AH181" s="82">
        <v>1</v>
      </c>
      <c r="AI181" s="82">
        <v>0.99999999998544808</v>
      </c>
      <c r="AJ181" s="166">
        <v>5.1451099999999999</v>
      </c>
      <c r="AK181" s="82" t="str">
        <v>Base</v>
      </c>
      <c r="AL181" s="162">
        <v>-24</v>
      </c>
      <c r="AM181" s="162">
        <v>-4.6815983957116218</v>
      </c>
      <c r="AN181" s="162">
        <v>-3.0017002165381532</v>
      </c>
      <c r="AO181" s="162">
        <v>84.967735525253516</v>
      </c>
      <c r="AP181" s="162">
        <v>-29.788825501047679</v>
      </c>
      <c r="AQ181" s="162">
        <v>0</v>
      </c>
      <c r="AR181" s="710" t="str">
        <v>1613.par</v>
      </c>
      <c r="AV181" s="82" t="str">
        <v>0,102,204</v>
      </c>
      <c r="AW181" s="947">
        <v>85</v>
      </c>
      <c r="AX181" s="947">
        <v>84.967735525253516</v>
      </c>
      <c r="AY181" s="947">
        <v>0</v>
      </c>
    </row>
    <row r="182" spans="2:51" x14ac:dyDescent="0.25">
      <c r="B182" s="650">
        <v>3.2525919326421571</v>
      </c>
      <c r="C182" s="651">
        <v>1.7748406803454111</v>
      </c>
      <c r="D182" s="652">
        <v>-0.68570413616111137</v>
      </c>
      <c r="E182" s="653">
        <v>-0.27476395871426218</v>
      </c>
      <c r="F182" s="651">
        <v>0.92484403526011338</v>
      </c>
      <c r="G182" s="654">
        <v>0.26299862629956372</v>
      </c>
      <c r="H182" s="653">
        <v>0.314</v>
      </c>
      <c r="I182" s="920">
        <v>0.52</v>
      </c>
      <c r="J182" s="924">
        <v>2.1219999999999999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419</v>
      </c>
      <c r="M182" s="970">
        <f>90+-130.3</f>
        <v>-40.300000000000011</v>
      </c>
      <c r="N182" s="941"/>
      <c r="O182" s="942"/>
      <c r="Q182" s="162">
        <f t="shared" si="1059"/>
        <v>3.7120162553525367</v>
      </c>
      <c r="R182" s="162">
        <f t="shared" si="1060"/>
        <v>1.9654078942629845</v>
      </c>
      <c r="S182" s="162">
        <f t="shared" si="1061"/>
        <v>-1.2456075134931908</v>
      </c>
      <c r="T182" s="162">
        <f t="shared" si="1062"/>
        <v>-0.16082013310222842</v>
      </c>
      <c r="U182" s="162">
        <f t="shared" si="1063"/>
        <v>0.95856930684284214</v>
      </c>
      <c r="V182" s="162">
        <f t="shared" si="1064"/>
        <v>0.23512075358805512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2.1280000000000001</v>
      </c>
      <c r="Z182" s="917">
        <f t="shared" si="1066"/>
        <v>1613</v>
      </c>
      <c r="AA182" s="82"/>
      <c r="AB182" s="75"/>
      <c r="AC182" s="75">
        <v>3.2000200000000003</v>
      </c>
      <c r="AD182" s="166">
        <v>-12.75</v>
      </c>
      <c r="AE182" s="75">
        <v>5.1390000000000002</v>
      </c>
      <c r="AF182" s="82">
        <v>5</v>
      </c>
      <c r="AG182" s="82">
        <v>1</v>
      </c>
      <c r="AH182" s="82">
        <v>1</v>
      </c>
      <c r="AI182" s="82">
        <v>1.0000000000582077</v>
      </c>
      <c r="AJ182" s="166">
        <v>5.1391100000000005</v>
      </c>
      <c r="AK182" s="82" t="str">
        <v>Base</v>
      </c>
      <c r="AL182" s="162">
        <v>-24</v>
      </c>
      <c r="AM182" s="162">
        <v>-4.6273483266927622</v>
      </c>
      <c r="AN182" s="162">
        <v>-2.1964193999103307</v>
      </c>
      <c r="AO182" s="162">
        <v>79.931174495836203</v>
      </c>
      <c r="AP182" s="162">
        <v>-28.666466441807767</v>
      </c>
      <c r="AQ182" s="162">
        <v>0</v>
      </c>
      <c r="AR182" s="710" t="str">
        <v>1613.par</v>
      </c>
      <c r="AV182" s="82" t="str">
        <v>0,102,204</v>
      </c>
      <c r="AW182" s="947">
        <v>85</v>
      </c>
      <c r="AX182" s="947">
        <v>79.931174495836203</v>
      </c>
      <c r="AY182" s="947">
        <v>0</v>
      </c>
    </row>
    <row r="183" spans="2:51" x14ac:dyDescent="0.25">
      <c r="B183" s="650">
        <v>3.7120162553525367</v>
      </c>
      <c r="C183" s="651">
        <v>1.9654078942629845</v>
      </c>
      <c r="D183" s="652">
        <v>-1.2456075134931908</v>
      </c>
      <c r="E183" s="653">
        <v>-0.16082013310222842</v>
      </c>
      <c r="F183" s="651">
        <v>0.95856930684284214</v>
      </c>
      <c r="G183" s="654">
        <v>0.23512075358805512</v>
      </c>
      <c r="H183" s="653">
        <v>0.314</v>
      </c>
      <c r="I183" s="920">
        <v>0.52</v>
      </c>
      <c r="J183" s="924">
        <v>2.1280000000000001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419</v>
      </c>
      <c r="M183" s="970">
        <f>90+-149.2</f>
        <v>-59.199999999999989</v>
      </c>
      <c r="N183" s="941"/>
      <c r="O183" s="942"/>
      <c r="Q183" s="162">
        <f t="shared" si="1059"/>
        <v>4.0109980857854248</v>
      </c>
      <c r="R183" s="162">
        <f t="shared" si="1060"/>
        <v>2.0791001491408281</v>
      </c>
      <c r="S183" s="162">
        <f t="shared" si="1061"/>
        <v>-1.9225115965724637</v>
      </c>
      <c r="T183" s="162">
        <f t="shared" si="1062"/>
        <v>-5.2746059524815057E-2</v>
      </c>
      <c r="U183" s="162">
        <f t="shared" si="1063"/>
        <v>0.98433428191476324</v>
      </c>
      <c r="V183" s="162">
        <f t="shared" si="1064"/>
        <v>0.16823755422601716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2.1339999999999999</v>
      </c>
      <c r="Z183" s="917">
        <f t="shared" si="1066"/>
        <v>1613</v>
      </c>
      <c r="AA183" s="82"/>
      <c r="AB183" s="75"/>
      <c r="AC183" s="75">
        <v>3.1000200000000002</v>
      </c>
      <c r="AD183" s="166">
        <v>-12</v>
      </c>
      <c r="AE183" s="75">
        <v>5.133</v>
      </c>
      <c r="AF183" s="82">
        <v>5</v>
      </c>
      <c r="AG183" s="82">
        <v>1</v>
      </c>
      <c r="AH183" s="82">
        <v>1</v>
      </c>
      <c r="AI183" s="82">
        <v>1.0000000000582077</v>
      </c>
      <c r="AJ183" s="166">
        <v>5.1331100000000003</v>
      </c>
      <c r="AK183" s="82" t="str">
        <v>Base</v>
      </c>
      <c r="AL183" s="162">
        <v>-24</v>
      </c>
      <c r="AM183" s="162">
        <v>-4.4701542294164271</v>
      </c>
      <c r="AN183" s="162">
        <v>-1.4679201067265031</v>
      </c>
      <c r="AO183" s="162">
        <v>64.793428678397888</v>
      </c>
      <c r="AP183" s="162">
        <v>-25.310505283617825</v>
      </c>
      <c r="AQ183" s="162">
        <v>0</v>
      </c>
      <c r="AR183" s="710" t="str">
        <v>1613 Ripper.par</v>
      </c>
      <c r="AV183" s="82" t="str">
        <v>0,102,204</v>
      </c>
      <c r="AW183" s="947">
        <v>74.900000000000006</v>
      </c>
      <c r="AX183" s="947">
        <v>64.793428678397888</v>
      </c>
      <c r="AY183" s="947">
        <v>0</v>
      </c>
    </row>
    <row r="184" spans="2:51" x14ac:dyDescent="0.25">
      <c r="B184" s="650">
        <v>4.0109980857854248</v>
      </c>
      <c r="C184" s="651">
        <v>2.0791001491408281</v>
      </c>
      <c r="D184" s="652">
        <v>-1.9225115965724637</v>
      </c>
      <c r="E184" s="653">
        <v>-5.2746059524815057E-2</v>
      </c>
      <c r="F184" s="651">
        <v>0.98433428191476324</v>
      </c>
      <c r="G184" s="654">
        <v>0.16823755422601716</v>
      </c>
      <c r="H184" s="653">
        <v>0.314</v>
      </c>
      <c r="I184" s="920">
        <v>0.52</v>
      </c>
      <c r="J184" s="924">
        <v>2.1339999999999999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419</v>
      </c>
      <c r="M184" s="970">
        <f>90+-168</f>
        <v>-78</v>
      </c>
      <c r="N184" s="941"/>
      <c r="O184" s="942"/>
      <c r="Q184" s="162">
        <f t="shared" si="1059"/>
        <v>4.1312023587887445</v>
      </c>
      <c r="R184" s="162">
        <f t="shared" si="1060"/>
        <v>2.122234355255245</v>
      </c>
      <c r="S184" s="162">
        <f t="shared" si="1061"/>
        <v>-2.6596160427797795</v>
      </c>
      <c r="T184" s="162">
        <f t="shared" si="1062"/>
        <v>3.5520095955876789E-2</v>
      </c>
      <c r="U184" s="162">
        <f t="shared" si="1063"/>
        <v>0.99730758193520941</v>
      </c>
      <c r="V184" s="162">
        <f t="shared" si="1064"/>
        <v>6.415535673527939E-2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2.14</v>
      </c>
      <c r="Z184" s="917">
        <f t="shared" si="1066"/>
        <v>1613</v>
      </c>
      <c r="AA184" s="82"/>
      <c r="AB184" s="75"/>
      <c r="AC184" s="75">
        <v>2.2000200000000003</v>
      </c>
      <c r="AD184" s="166">
        <v>-11.25</v>
      </c>
      <c r="AE184" s="75">
        <v>5.1269999999999998</v>
      </c>
      <c r="AF184" s="82">
        <v>5</v>
      </c>
      <c r="AG184" s="82">
        <v>1</v>
      </c>
      <c r="AH184" s="82">
        <v>1</v>
      </c>
      <c r="AI184" s="82">
        <v>0.99999999998544808</v>
      </c>
      <c r="AJ184" s="166">
        <v>5.1271100000000001</v>
      </c>
      <c r="AK184" s="82" t="str">
        <v>Base</v>
      </c>
      <c r="AL184" s="162">
        <v>-24</v>
      </c>
      <c r="AM184" s="162">
        <v>-4.1236875593669096</v>
      </c>
      <c r="AN184" s="162">
        <v>-0.80833758919398946</v>
      </c>
      <c r="AO184" s="162">
        <v>49.590063364549835</v>
      </c>
      <c r="AP184" s="162">
        <v>-21.963435541553316</v>
      </c>
      <c r="AQ184" s="162">
        <v>0</v>
      </c>
      <c r="AR184" s="710" t="str">
        <v>1613 Ripper.par</v>
      </c>
      <c r="AV184" s="82" t="str">
        <v>0,102,204</v>
      </c>
      <c r="AW184" s="947">
        <v>56.099999999999994</v>
      </c>
      <c r="AX184" s="947">
        <v>49.590063364549835</v>
      </c>
      <c r="AY184" s="947">
        <v>0</v>
      </c>
    </row>
    <row r="185" spans="2:51" x14ac:dyDescent="0.25">
      <c r="B185" s="650">
        <v>4.1312023587887445</v>
      </c>
      <c r="C185" s="651">
        <v>2.122234355255245</v>
      </c>
      <c r="D185" s="652">
        <v>-2.6596160427797795</v>
      </c>
      <c r="E185" s="653">
        <v>3.5520095955876789E-2</v>
      </c>
      <c r="F185" s="651">
        <v>0.99730758193520941</v>
      </c>
      <c r="G185" s="654">
        <v>6.415535673527939E-2</v>
      </c>
      <c r="H185" s="653">
        <v>0.314</v>
      </c>
      <c r="I185" s="920">
        <v>0.52</v>
      </c>
      <c r="J185" s="924">
        <v>2.14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40" t="s">
        <v>419</v>
      </c>
      <c r="M185" s="970">
        <f>90+-175</f>
        <v>-85</v>
      </c>
      <c r="N185" s="941"/>
      <c r="O185" s="942"/>
      <c r="Q185" s="162">
        <f t="shared" si="1059"/>
        <v>4.1760870745964747</v>
      </c>
      <c r="R185" s="162">
        <f t="shared" si="1060"/>
        <v>2.1379276246188499</v>
      </c>
      <c r="S185" s="162">
        <f t="shared" si="1061"/>
        <v>-3.466120907609787</v>
      </c>
      <c r="T185" s="162">
        <f t="shared" si="1062"/>
        <v>4.8725589608868164E-2</v>
      </c>
      <c r="U185" s="162">
        <f t="shared" si="1063"/>
        <v>0.99786109676702783</v>
      </c>
      <c r="V185" s="162">
        <f t="shared" si="1064"/>
        <v>4.357807334167571E-2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65"/>
        <v>0.52</v>
      </c>
      <c r="Y185" s="75">
        <v>2.1459999999999999</v>
      </c>
      <c r="Z185" s="917">
        <f t="shared" si="1066"/>
        <v>1613</v>
      </c>
      <c r="AA185" s="82"/>
      <c r="AB185" s="75"/>
      <c r="AC185" s="75">
        <v>2.1000200000000002</v>
      </c>
      <c r="AD185" s="166">
        <v>-10.5</v>
      </c>
      <c r="AE185" s="75">
        <v>5.1210000000000004</v>
      </c>
      <c r="AF185" s="82">
        <v>5</v>
      </c>
      <c r="AG185" s="82">
        <v>1</v>
      </c>
      <c r="AH185" s="82">
        <v>1</v>
      </c>
      <c r="AI185" s="82">
        <v>1.0000000000582077</v>
      </c>
      <c r="AJ185" s="166">
        <v>5.1211100000000007</v>
      </c>
      <c r="AK185" s="82" t="str">
        <v>Base</v>
      </c>
      <c r="AL185" s="162">
        <v>-24</v>
      </c>
      <c r="AM185" s="162">
        <v>-3.6037743770584467</v>
      </c>
      <c r="AN185" s="162">
        <v>-0.27504582528519683</v>
      </c>
      <c r="AO185" s="162">
        <v>34.268873940555387</v>
      </c>
      <c r="AP185" s="162">
        <v>-18.628913293533735</v>
      </c>
      <c r="AQ185" s="162">
        <v>0</v>
      </c>
      <c r="AR185" s="710" t="str">
        <v>1613 Ripper.par</v>
      </c>
      <c r="AV185" s="82" t="str">
        <v>0,102,204</v>
      </c>
      <c r="AW185" s="947">
        <v>37.099999999999994</v>
      </c>
      <c r="AX185" s="947">
        <v>34.268873940555387</v>
      </c>
      <c r="AY185" s="947">
        <v>0</v>
      </c>
    </row>
    <row r="186" spans="2:51" x14ac:dyDescent="0.25">
      <c r="B186" s="650">
        <v>4.1760870745964747</v>
      </c>
      <c r="C186" s="651">
        <v>2.1379276246188499</v>
      </c>
      <c r="D186" s="652">
        <v>-3.466120907609787</v>
      </c>
      <c r="E186" s="653">
        <v>4.8725589608868164E-2</v>
      </c>
      <c r="F186" s="651">
        <v>0.99786109676702783</v>
      </c>
      <c r="G186" s="654">
        <v>4.357807334167571E-2</v>
      </c>
      <c r="H186" s="653">
        <v>0.314</v>
      </c>
      <c r="I186" s="920">
        <v>0.52</v>
      </c>
      <c r="J186" s="924">
        <v>2.1459999999999999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419</v>
      </c>
      <c r="M186" s="970">
        <f>90+-175</f>
        <v>-85</v>
      </c>
      <c r="N186" s="941"/>
      <c r="O186" s="942"/>
      <c r="Q186" s="162">
        <f t="shared" si="1059"/>
        <v>2.9907884357714263</v>
      </c>
      <c r="R186" s="162">
        <f t="shared" si="1060"/>
        <v>0.72605657674015123</v>
      </c>
      <c r="S186" s="162">
        <f t="shared" si="1061"/>
        <v>-0.27871608615839866</v>
      </c>
      <c r="T186" s="162">
        <f t="shared" si="1062"/>
        <v>-8.6972423193327694E-2</v>
      </c>
      <c r="U186" s="162">
        <f t="shared" si="1063"/>
        <v>0.93958290640326325</v>
      </c>
      <c r="V186" s="162">
        <f t="shared" si="1064"/>
        <v>0.33108874882526201</v>
      </c>
      <c r="W186" s="162">
        <f>IFERROR(IF(ISNUMBER(MATCH($Z186,Settings!$AK$28:$AK$36,0)),INDEX(Settings!$AO$14:$AO$36,MATCH($Z186,Settings!$AK$14:$AK$36,0))/2,INDEX(Settings!$AM$14:$AM$36,MATCH($Z186,Settings!$AK$14:$AK$36,0))/2),"")</f>
        <v>0.26450000000000001</v>
      </c>
      <c r="X186" s="162">
        <f t="shared" si="1065"/>
        <v>0.39400000000000002</v>
      </c>
      <c r="Y186" s="75">
        <v>2.2160000000000002</v>
      </c>
      <c r="Z186" s="917">
        <f t="shared" si="1066"/>
        <v>1310</v>
      </c>
      <c r="AA186" s="82"/>
      <c r="AB186" s="75"/>
      <c r="AC186" s="75">
        <v>1.2000199999999999</v>
      </c>
      <c r="AD186" s="166">
        <v>-9.75</v>
      </c>
      <c r="AE186" s="75">
        <v>5.1150000000000002</v>
      </c>
      <c r="AF186" s="82">
        <v>5</v>
      </c>
      <c r="AG186" s="82">
        <v>1</v>
      </c>
      <c r="AH186" s="82">
        <v>1</v>
      </c>
      <c r="AI186" s="82">
        <v>1.0000000000582077</v>
      </c>
      <c r="AJ186" s="166">
        <v>5.1151100000000005</v>
      </c>
      <c r="AK186" s="82" t="str">
        <v>Base</v>
      </c>
      <c r="AL186" s="162">
        <v>-24</v>
      </c>
      <c r="AM186" s="162">
        <v>-2.9448949404755744</v>
      </c>
      <c r="AN186" s="162">
        <v>7.2273735471733991E-2</v>
      </c>
      <c r="AO186" s="162">
        <v>18.764382264774945</v>
      </c>
      <c r="AP186" s="162">
        <v>-15.875853085721719</v>
      </c>
      <c r="AQ186" s="162">
        <v>0</v>
      </c>
      <c r="AR186" s="710" t="str">
        <v>1613 Ripper.par</v>
      </c>
      <c r="AV186" s="82" t="str">
        <v>0,102,204</v>
      </c>
      <c r="AW186" s="947">
        <v>18</v>
      </c>
      <c r="AX186" s="947">
        <v>18.764382264774945</v>
      </c>
      <c r="AY186" s="947">
        <v>0</v>
      </c>
    </row>
    <row r="187" spans="2:51" x14ac:dyDescent="0.25">
      <c r="B187" s="650">
        <v>2.9907884357714263</v>
      </c>
      <c r="C187" s="651">
        <v>0.72605657674015123</v>
      </c>
      <c r="D187" s="652">
        <v>-0.27871608615839866</v>
      </c>
      <c r="E187" s="653">
        <v>-8.6972423193327694E-2</v>
      </c>
      <c r="F187" s="651">
        <v>0.93958290640326325</v>
      </c>
      <c r="G187" s="654">
        <v>0.33108874882526201</v>
      </c>
      <c r="H187" s="653">
        <v>0.26600000000000001</v>
      </c>
      <c r="I187" s="920">
        <v>0.39400000000000002</v>
      </c>
      <c r="J187" s="924">
        <v>2.2160000000000002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1310</v>
      </c>
      <c r="L187" s="940" t="s">
        <v>424</v>
      </c>
      <c r="M187" s="970">
        <f t="shared" ref="M187:M192" si="1068">M181</f>
        <v>-21.200000000000003</v>
      </c>
      <c r="N187" s="941"/>
      <c r="O187" s="942"/>
      <c r="Q187" s="162">
        <f t="shared" si="1059"/>
        <v>3.5890096420432758</v>
      </c>
      <c r="R187" s="162">
        <f t="shared" si="1060"/>
        <v>1.0045038006381046</v>
      </c>
      <c r="S187" s="162">
        <f t="shared" si="1061"/>
        <v>-0.66475589456821371</v>
      </c>
      <c r="T187" s="162">
        <f t="shared" si="1062"/>
        <v>-3.7277270677844583E-3</v>
      </c>
      <c r="U187" s="162">
        <f t="shared" si="1063"/>
        <v>0.9449362360236081</v>
      </c>
      <c r="V187" s="162">
        <f t="shared" si="1064"/>
        <v>0.32723327138364811</v>
      </c>
      <c r="W187" s="162">
        <f>IFERROR(IF(ISNUMBER(MATCH($Z187,Settings!$AK$28:$AK$36,0)),INDEX(Settings!$AO$14:$AO$36,MATCH($Z187,Settings!$AK$14:$AK$36,0))/2,INDEX(Settings!$AM$14:$AM$36,MATCH($Z187,Settings!$AK$14:$AK$36,0))/2),"")</f>
        <v>0.26450000000000001</v>
      </c>
      <c r="X187" s="162">
        <f t="shared" si="1065"/>
        <v>0.52</v>
      </c>
      <c r="Y187" s="75">
        <v>2.222</v>
      </c>
      <c r="Z187" s="917">
        <f t="shared" si="1066"/>
        <v>1313</v>
      </c>
      <c r="AA187" s="82"/>
      <c r="AB187" s="75"/>
      <c r="AC187" s="75">
        <v>1.10002</v>
      </c>
      <c r="AD187" s="166">
        <v>-9</v>
      </c>
      <c r="AE187" s="75">
        <v>5.109</v>
      </c>
      <c r="AF187" s="82">
        <v>5</v>
      </c>
      <c r="AG187" s="82">
        <v>1</v>
      </c>
      <c r="AH187" s="82">
        <v>1</v>
      </c>
      <c r="AI187" s="82">
        <v>1.0000000000582077</v>
      </c>
      <c r="AJ187" s="166">
        <v>5.1091100000000003</v>
      </c>
      <c r="AK187" s="82" t="str">
        <v>Base</v>
      </c>
      <c r="AL187" s="162">
        <v>-24</v>
      </c>
      <c r="AM187" s="162">
        <v>-2.2084164912059197</v>
      </c>
      <c r="AN187" s="162">
        <v>0.18449726771986197</v>
      </c>
      <c r="AO187" s="162">
        <v>3.2628915737279782</v>
      </c>
      <c r="AP187" s="162">
        <v>-15.964055654186145</v>
      </c>
      <c r="AQ187" s="162">
        <v>0</v>
      </c>
      <c r="AR187" s="710" t="str">
        <v>1613 Ripper.par</v>
      </c>
      <c r="AV187" s="82" t="str">
        <v>0,102,204</v>
      </c>
      <c r="AW187" s="947">
        <v>-1</v>
      </c>
      <c r="AX187" s="947">
        <v>3.2628915737279782</v>
      </c>
      <c r="AY187" s="947">
        <v>0</v>
      </c>
    </row>
    <row r="188" spans="2:51" x14ac:dyDescent="0.25">
      <c r="B188" s="650">
        <v>3.5890096420432758</v>
      </c>
      <c r="C188" s="651">
        <v>1.0045038006381046</v>
      </c>
      <c r="D188" s="652">
        <v>-0.66475589456821371</v>
      </c>
      <c r="E188" s="653">
        <v>-3.7277270677844583E-3</v>
      </c>
      <c r="F188" s="651">
        <v>0.9449362360236081</v>
      </c>
      <c r="G188" s="654">
        <v>0.32723327138364811</v>
      </c>
      <c r="H188" s="653">
        <v>0.26600000000000001</v>
      </c>
      <c r="I188" s="920">
        <v>0.52</v>
      </c>
      <c r="J188" s="924">
        <v>2.222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940" t="s">
        <v>420</v>
      </c>
      <c r="M188" s="970">
        <f t="shared" si="1068"/>
        <v>-40.300000000000011</v>
      </c>
      <c r="N188" s="941"/>
      <c r="O188" s="942"/>
      <c r="Q188" s="162">
        <f t="shared" si="1059"/>
        <v>4.0550749147174052</v>
      </c>
      <c r="R188" s="162">
        <f t="shared" si="1060"/>
        <v>1.198704120909712</v>
      </c>
      <c r="S188" s="162">
        <f t="shared" si="1061"/>
        <v>-1.2302344032036185</v>
      </c>
      <c r="T188" s="162">
        <f t="shared" si="1062"/>
        <v>0.10294571164960269</v>
      </c>
      <c r="U188" s="162">
        <f t="shared" si="1063"/>
        <v>0.95352984251754958</v>
      </c>
      <c r="V188" s="162">
        <f t="shared" si="1064"/>
        <v>0.28316606414154621</v>
      </c>
      <c r="W188" s="162">
        <f>IFERROR(IF(ISNUMBER(MATCH($Z188,Settings!$AK$28:$AK$36,0)),INDEX(Settings!$AO$14:$AO$36,MATCH($Z188,Settings!$AK$14:$AK$36,0))/2,INDEX(Settings!$AM$14:$AM$36,MATCH($Z188,Settings!$AK$14:$AK$36,0))/2),"")</f>
        <v>0.26450000000000001</v>
      </c>
      <c r="X188" s="162">
        <f t="shared" si="1065"/>
        <v>0.52</v>
      </c>
      <c r="Y188" s="75">
        <v>2.2280000000000002</v>
      </c>
      <c r="Z188" s="917">
        <f t="shared" si="1066"/>
        <v>1313</v>
      </c>
      <c r="AA188" s="82"/>
      <c r="AB188" s="75"/>
      <c r="AC188" s="75">
        <v>6.2000299999999999</v>
      </c>
      <c r="AD188" s="166">
        <v>-8.25</v>
      </c>
      <c r="AE188" s="75">
        <v>5.1059999999999999</v>
      </c>
      <c r="AF188" s="82">
        <v>5</v>
      </c>
      <c r="AG188" s="82">
        <v>1</v>
      </c>
      <c r="AH188" s="82">
        <v>1</v>
      </c>
      <c r="AI188" s="82">
        <v>0.99999999998544808</v>
      </c>
      <c r="AJ188" s="166">
        <v>5.1061100000000001</v>
      </c>
      <c r="AK188" s="82" t="str">
        <v>Base</v>
      </c>
      <c r="AL188" s="162">
        <v>-24</v>
      </c>
      <c r="AM188" s="162">
        <v>-1.5014283394123136</v>
      </c>
      <c r="AN188" s="162">
        <v>5.6888686843766967E-2</v>
      </c>
      <c r="AO188" s="162">
        <v>-3.5543907468982434</v>
      </c>
      <c r="AP188" s="162">
        <v>-16.029154803271066</v>
      </c>
      <c r="AQ188" s="162">
        <v>0</v>
      </c>
      <c r="AR188" s="710" t="str">
        <v>1613.par</v>
      </c>
      <c r="AV188" s="82" t="str">
        <v>0,102,204</v>
      </c>
      <c r="AW188" s="947">
        <v>-19.400000000000006</v>
      </c>
      <c r="AX188" s="947">
        <v>-3.5543907468982434</v>
      </c>
      <c r="AY188" s="947">
        <v>0</v>
      </c>
    </row>
    <row r="189" spans="2:51" x14ac:dyDescent="0.25">
      <c r="B189" s="650">
        <v>4.0550749147174052</v>
      </c>
      <c r="C189" s="651">
        <v>1.198704120909712</v>
      </c>
      <c r="D189" s="652">
        <v>-1.2302344032036185</v>
      </c>
      <c r="E189" s="653">
        <v>0.10294571164960269</v>
      </c>
      <c r="F189" s="651">
        <v>0.95352984251754958</v>
      </c>
      <c r="G189" s="654">
        <v>0.28316606414154621</v>
      </c>
      <c r="H189" s="653">
        <v>0.26600000000000001</v>
      </c>
      <c r="I189" s="920">
        <v>0.52</v>
      </c>
      <c r="J189" s="924">
        <v>2.2280000000000002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940" t="s">
        <v>420</v>
      </c>
      <c r="M189" s="970">
        <f t="shared" si="1068"/>
        <v>-59.199999999999989</v>
      </c>
      <c r="N189" s="941"/>
      <c r="O189" s="942"/>
      <c r="Q189" s="162">
        <f t="shared" si="1059"/>
        <v>4.4358761017849817</v>
      </c>
      <c r="R189" s="162">
        <f t="shared" si="1060"/>
        <v>0.79023077357360227</v>
      </c>
      <c r="S189" s="162">
        <f t="shared" si="1061"/>
        <v>-1.9419447778296888</v>
      </c>
      <c r="T189" s="162">
        <f t="shared" si="1062"/>
        <v>0.96298635108670283</v>
      </c>
      <c r="U189" s="162">
        <f t="shared" si="1063"/>
        <v>0.17155155637774694</v>
      </c>
      <c r="V189" s="162">
        <f t="shared" si="1064"/>
        <v>0.20791188307812125</v>
      </c>
      <c r="W189" s="162">
        <f>IFERROR(IF(ISNUMBER(MATCH($Z189,Settings!$AK$28:$AK$36,0)),INDEX(Settings!$AO$14:$AO$36,MATCH($Z189,Settings!$AK$14:$AK$36,0))/2,INDEX(Settings!$AM$14:$AM$36,MATCH($Z189,Settings!$AK$14:$AK$36,0))/2),"")</f>
        <v>0.255</v>
      </c>
      <c r="X189" s="162">
        <f t="shared" si="1065"/>
        <v>0.41499999999999992</v>
      </c>
      <c r="Y189" s="75">
        <v>2.234</v>
      </c>
      <c r="Z189" s="917" t="str">
        <f t="shared" si="1066"/>
        <v>CPS-32193r1</v>
      </c>
      <c r="AA189" s="82"/>
      <c r="AB189" s="75"/>
      <c r="AC189" s="75">
        <v>6.1000299999999994</v>
      </c>
      <c r="AD189" s="166">
        <v>-7.5</v>
      </c>
      <c r="AE189" s="75">
        <v>5.1029999999999998</v>
      </c>
      <c r="AF189" s="82">
        <v>5</v>
      </c>
      <c r="AG189" s="82">
        <v>1</v>
      </c>
      <c r="AH189" s="82">
        <v>1</v>
      </c>
      <c r="AI189" s="82">
        <v>0.99999999998544808</v>
      </c>
      <c r="AJ189" s="166">
        <v>5.10311</v>
      </c>
      <c r="AK189" s="82" t="str">
        <v>Base</v>
      </c>
      <c r="AL189" s="162">
        <v>-24</v>
      </c>
      <c r="AM189" s="162">
        <v>-0.80633962298272444</v>
      </c>
      <c r="AN189" s="162">
        <v>-0.19556520234167285</v>
      </c>
      <c r="AO189" s="162">
        <v>-8.4007263319275101</v>
      </c>
      <c r="AP189" s="162">
        <v>-17.146907594407718</v>
      </c>
      <c r="AQ189" s="162">
        <v>0</v>
      </c>
      <c r="AR189" s="710" t="str">
        <v>1613.par</v>
      </c>
      <c r="AV189" s="82" t="str">
        <v>0,102,204</v>
      </c>
      <c r="AW189" s="947">
        <v>-20</v>
      </c>
      <c r="AX189" s="947">
        <v>-8.4007263319275101</v>
      </c>
      <c r="AY189" s="947">
        <v>0</v>
      </c>
    </row>
    <row r="190" spans="2:51" x14ac:dyDescent="0.25">
      <c r="B190" s="650">
        <v>4.4358761017849817</v>
      </c>
      <c r="C190" s="651">
        <v>0.79023077357360227</v>
      </c>
      <c r="D190" s="652">
        <v>-1.9419447778296888</v>
      </c>
      <c r="E190" s="653">
        <v>0.96298635108670283</v>
      </c>
      <c r="F190" s="651">
        <v>0.17155155637774694</v>
      </c>
      <c r="G190" s="654">
        <v>0.20791188307812125</v>
      </c>
      <c r="H190" s="653">
        <v>0.25700000000000001</v>
      </c>
      <c r="I190" s="920">
        <v>0.41499999999999992</v>
      </c>
      <c r="J190" s="924">
        <v>2.234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40" t="s">
        <v>425</v>
      </c>
      <c r="M190" s="970">
        <f t="shared" si="1068"/>
        <v>-78</v>
      </c>
      <c r="N190" s="941"/>
      <c r="O190" s="942"/>
      <c r="Q190" s="162">
        <f t="shared" si="1059"/>
        <v>4.5676554935744589</v>
      </c>
      <c r="R190" s="162">
        <f t="shared" si="1060"/>
        <v>0.70628803136087814</v>
      </c>
      <c r="S190" s="162">
        <f t="shared" si="1061"/>
        <v>-2.6779102049937911</v>
      </c>
      <c r="T190" s="162">
        <f t="shared" si="1062"/>
        <v>0.98449463895438771</v>
      </c>
      <c r="U190" s="162">
        <f t="shared" si="1063"/>
        <v>0.15223056585826056</v>
      </c>
      <c r="V190" s="162">
        <f t="shared" si="1064"/>
        <v>8.7155956127758921E-2</v>
      </c>
      <c r="W190" s="162">
        <f>IFERROR(IF(ISNUMBER(MATCH($Z190,Settings!$AK$28:$AK$36,0)),INDEX(Settings!$AO$14:$AO$36,MATCH($Z190,Settings!$AK$14:$AK$36,0))/2,INDEX(Settings!$AM$14:$AM$36,MATCH($Z190,Settings!$AK$14:$AK$36,0))/2),"")</f>
        <v>0.255</v>
      </c>
      <c r="X190" s="162">
        <f t="shared" si="1065"/>
        <v>0.41499999999999992</v>
      </c>
      <c r="Y190" s="75">
        <v>2.2400000000000002</v>
      </c>
      <c r="Z190" s="917" t="str">
        <f t="shared" si="1066"/>
        <v>CPS-32193r1</v>
      </c>
      <c r="AA190" s="82"/>
      <c r="AB190" s="75"/>
      <c r="AC190" s="75">
        <v>5.2000299999999999</v>
      </c>
      <c r="AD190" s="166">
        <v>-6.75</v>
      </c>
      <c r="AE190" s="75">
        <v>4.242</v>
      </c>
      <c r="AF190" s="82">
        <v>4</v>
      </c>
      <c r="AG190" s="82">
        <v>2</v>
      </c>
      <c r="AH190" s="82">
        <v>1</v>
      </c>
      <c r="AI190" s="82">
        <v>1.0000000000582077</v>
      </c>
      <c r="AJ190" s="166">
        <v>4.2421100000000003</v>
      </c>
      <c r="AK190" s="82" t="str">
        <v>Base</v>
      </c>
      <c r="AL190" s="162">
        <v>-23.25</v>
      </c>
      <c r="AM190" s="162">
        <v>-4.6672539023601338</v>
      </c>
      <c r="AN190" s="162">
        <v>-2.6997806951989136</v>
      </c>
      <c r="AO190" s="162">
        <v>84.999987727520178</v>
      </c>
      <c r="AP190" s="162">
        <v>0</v>
      </c>
      <c r="AQ190" s="162">
        <v>0</v>
      </c>
      <c r="AR190" s="710" t="str">
        <v>32193r1.par</v>
      </c>
      <c r="AV190" s="82" t="str">
        <v>91,255,255</v>
      </c>
      <c r="AW190" s="947">
        <v>85</v>
      </c>
      <c r="AX190" s="947">
        <v>84.999987727520178</v>
      </c>
      <c r="AY190" s="947">
        <v>0</v>
      </c>
    </row>
    <row r="191" spans="2:51" x14ac:dyDescent="0.25">
      <c r="B191" s="650">
        <v>4.5676554935744589</v>
      </c>
      <c r="C191" s="651">
        <v>0.70628803136087814</v>
      </c>
      <c r="D191" s="652">
        <v>-2.6779102049937911</v>
      </c>
      <c r="E191" s="653">
        <v>0.98449463895438771</v>
      </c>
      <c r="F191" s="651">
        <v>0.15223056585826056</v>
      </c>
      <c r="G191" s="654">
        <v>8.7155956127758921E-2</v>
      </c>
      <c r="H191" s="653">
        <v>0.25700000000000001</v>
      </c>
      <c r="I191" s="920">
        <v>0.41499999999999992</v>
      </c>
      <c r="J191" s="924">
        <v>2.2400000000000002</v>
      </c>
      <c r="K191" s="790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40" t="s">
        <v>425</v>
      </c>
      <c r="M191" s="970">
        <f t="shared" si="1068"/>
        <v>-85</v>
      </c>
      <c r="N191" s="941"/>
      <c r="O191" s="942"/>
      <c r="Q191" s="162">
        <f t="shared" si="1059"/>
        <v>4.6292414710736898</v>
      </c>
      <c r="R191" s="162">
        <f t="shared" si="1060"/>
        <v>0.59445974701942328</v>
      </c>
      <c r="S191" s="162">
        <f t="shared" si="1061"/>
        <v>-3.4847383831051117</v>
      </c>
      <c r="T191" s="162">
        <f t="shared" si="1062"/>
        <v>0.98808117574195675</v>
      </c>
      <c r="U191" s="162">
        <f t="shared" si="1063"/>
        <v>0.12688352712566217</v>
      </c>
      <c r="V191" s="162">
        <f t="shared" si="1064"/>
        <v>8.7155956127758935E-2</v>
      </c>
      <c r="W191" s="162">
        <f>IFERROR(IF(ISNUMBER(MATCH($Z191,Settings!$AK$28:$AK$36,0)),INDEX(Settings!$AO$14:$AO$36,MATCH($Z191,Settings!$AK$14:$AK$36,0))/2,INDEX(Settings!$AM$14:$AM$36,MATCH($Z191,Settings!$AK$14:$AK$36,0))/2),"")</f>
        <v>0.255</v>
      </c>
      <c r="X191" s="162">
        <f t="shared" si="1065"/>
        <v>0.41499999999999992</v>
      </c>
      <c r="Y191" s="75">
        <v>2.246</v>
      </c>
      <c r="Z191" s="917" t="str">
        <f t="shared" si="1066"/>
        <v>CPS-32193r1</v>
      </c>
      <c r="AA191" s="82"/>
      <c r="AB191" s="75"/>
      <c r="AC191" s="75">
        <v>5.1000299999999994</v>
      </c>
      <c r="AD191" s="166">
        <v>-6</v>
      </c>
      <c r="AE191" s="75">
        <v>4.2359999999999998</v>
      </c>
      <c r="AF191" s="82">
        <v>4</v>
      </c>
      <c r="AG191" s="82">
        <v>2</v>
      </c>
      <c r="AH191" s="82">
        <v>1</v>
      </c>
      <c r="AI191" s="82">
        <v>0.99999999998544808</v>
      </c>
      <c r="AJ191" s="166">
        <v>4.23611</v>
      </c>
      <c r="AK191" s="82" t="str">
        <v>Base</v>
      </c>
      <c r="AL191" s="162">
        <v>-23.25</v>
      </c>
      <c r="AM191" s="162">
        <v>-4.5661780150713582</v>
      </c>
      <c r="AN191" s="162">
        <v>-1.9015117204923724</v>
      </c>
      <c r="AO191" s="162">
        <v>84.099987857464086</v>
      </c>
      <c r="AP191" s="162">
        <v>0</v>
      </c>
      <c r="AQ191" s="162">
        <v>0</v>
      </c>
      <c r="AR191" s="710" t="str">
        <v>32193r1.par</v>
      </c>
      <c r="AV191" s="82" t="str">
        <v>91,255,255</v>
      </c>
      <c r="AW191" s="947">
        <v>84.1</v>
      </c>
      <c r="AX191" s="947">
        <v>84.099987857464086</v>
      </c>
      <c r="AY191" s="947">
        <v>0</v>
      </c>
    </row>
    <row r="192" spans="2:51" x14ac:dyDescent="0.25">
      <c r="B192" s="650">
        <v>4.6292414710736898</v>
      </c>
      <c r="C192" s="651">
        <v>0.59445974701942328</v>
      </c>
      <c r="D192" s="652">
        <v>-3.4847383831051117</v>
      </c>
      <c r="E192" s="653">
        <v>0.98808117574195675</v>
      </c>
      <c r="F192" s="651">
        <v>0.12688352712566217</v>
      </c>
      <c r="G192" s="654">
        <v>8.7155956127758935E-2</v>
      </c>
      <c r="H192" s="653">
        <v>0.25700000000000001</v>
      </c>
      <c r="I192" s="920">
        <v>0.41499999999999992</v>
      </c>
      <c r="J192" s="924">
        <v>2.246</v>
      </c>
      <c r="K192" s="790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940" t="s">
        <v>425</v>
      </c>
      <c r="M192" s="970">
        <f t="shared" si="1068"/>
        <v>-85</v>
      </c>
      <c r="N192" s="941"/>
      <c r="O192" s="942"/>
      <c r="Q192" s="162">
        <f t="shared" si="1059"/>
        <v>0.47011405864095024</v>
      </c>
      <c r="R192" s="162">
        <f t="shared" si="1060"/>
        <v>-0.32917784080157375</v>
      </c>
      <c r="S192" s="162">
        <f t="shared" si="1061"/>
        <v>-0.61190334939616409</v>
      </c>
      <c r="T192" s="162">
        <f t="shared" si="1062"/>
        <v>0.5144510019936902</v>
      </c>
      <c r="U192" s="162">
        <f t="shared" si="1063"/>
        <v>0.79404264331834762</v>
      </c>
      <c r="V192" s="162">
        <f t="shared" si="1064"/>
        <v>0.32378456902653585</v>
      </c>
      <c r="W192" s="162">
        <f>IFERROR(IF(ISNUMBER(MATCH($Z192,Settings!$AK$28:$AK$36,0)),INDEX(Settings!$AO$14:$AO$36,MATCH($Z192,Settings!$AK$14:$AK$36,0))/2,INDEX(Settings!$AM$14:$AM$36,MATCH($Z192,Settings!$AK$14:$AK$36,0))/2),"")</f>
        <v>0.3125</v>
      </c>
      <c r="X192" s="162">
        <f t="shared" si="1065"/>
        <v>0.52</v>
      </c>
      <c r="Y192" s="75">
        <v>3.1019999999999999</v>
      </c>
      <c r="Z192" s="917">
        <f t="shared" si="1066"/>
        <v>1613</v>
      </c>
      <c r="AA192" s="82"/>
      <c r="AB192" s="75"/>
      <c r="AC192" s="75">
        <v>4.2000299999999999</v>
      </c>
      <c r="AD192" s="166">
        <v>-5.25</v>
      </c>
      <c r="AE192" s="75">
        <v>4.2300000000000004</v>
      </c>
      <c r="AF192" s="82">
        <v>4</v>
      </c>
      <c r="AG192" s="82">
        <v>2</v>
      </c>
      <c r="AH192" s="82">
        <v>1</v>
      </c>
      <c r="AI192" s="82">
        <v>1.0000000000582077</v>
      </c>
      <c r="AJ192" s="166">
        <v>4.2301100000000007</v>
      </c>
      <c r="AK192" s="82" t="str">
        <v>Base</v>
      </c>
      <c r="AL192" s="162">
        <v>-23.25</v>
      </c>
      <c r="AM192" s="162">
        <v>-4.3206141215657672</v>
      </c>
      <c r="AN192" s="162">
        <v>-1.1984506484182682</v>
      </c>
      <c r="AO192" s="162">
        <v>65.499990542971446</v>
      </c>
      <c r="AP192" s="162">
        <v>0</v>
      </c>
      <c r="AQ192" s="162">
        <v>0</v>
      </c>
      <c r="AR192" s="710" t="str">
        <v>32193r1.par</v>
      </c>
      <c r="AV192" s="82" t="str">
        <v>91,255,255</v>
      </c>
      <c r="AW192" s="947">
        <v>65.5</v>
      </c>
      <c r="AX192" s="947">
        <v>65.499990542971446</v>
      </c>
      <c r="AY192" s="947">
        <v>0</v>
      </c>
    </row>
    <row r="193" spans="2:51" x14ac:dyDescent="0.25">
      <c r="B193" s="650">
        <v>4.4651520807385952</v>
      </c>
      <c r="C193" s="651">
        <v>1.6251787535302604</v>
      </c>
      <c r="D193" s="652">
        <v>-8.1462745691641008</v>
      </c>
      <c r="E193" s="653">
        <v>0.33284429724910797</v>
      </c>
      <c r="F193" s="651">
        <v>0.93635246259834604</v>
      </c>
      <c r="G193" s="654">
        <v>-0.11161872412261609</v>
      </c>
      <c r="H193" s="653">
        <v>0.26600000000000001</v>
      </c>
      <c r="I193" s="920">
        <v>0.52</v>
      </c>
      <c r="J193" s="924">
        <v>2.399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1313</v>
      </c>
      <c r="L193" s="940" t="s">
        <v>420</v>
      </c>
      <c r="M193" s="970">
        <v>0</v>
      </c>
      <c r="N193" s="941"/>
      <c r="O193" s="942" t="s">
        <v>9</v>
      </c>
      <c r="Q193" s="162">
        <f t="shared" si="1059"/>
        <v>1.0398375010637424</v>
      </c>
      <c r="R193" s="162">
        <f t="shared" si="1060"/>
        <v>-0.72810300348662027</v>
      </c>
      <c r="S193" s="162">
        <f t="shared" si="1061"/>
        <v>-0.35880199059175122</v>
      </c>
      <c r="T193" s="162">
        <f t="shared" si="1062"/>
        <v>0.54347762566989888</v>
      </c>
      <c r="U193" s="162">
        <f t="shared" si="1063"/>
        <v>0.79293675529694452</v>
      </c>
      <c r="V193" s="162">
        <f t="shared" si="1064"/>
        <v>0.27546936761709651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65"/>
        <v>0.52</v>
      </c>
      <c r="Y193" s="75">
        <v>3.105</v>
      </c>
      <c r="Z193" s="917">
        <f t="shared" si="1066"/>
        <v>1613</v>
      </c>
      <c r="AA193" s="82"/>
      <c r="AB193" s="75"/>
      <c r="AC193" s="75">
        <v>4.1000299999999994</v>
      </c>
      <c r="AD193" s="166">
        <v>-4.5</v>
      </c>
      <c r="AE193" s="75">
        <v>4.2240000000000002</v>
      </c>
      <c r="AF193" s="82">
        <v>4</v>
      </c>
      <c r="AG193" s="82">
        <v>2</v>
      </c>
      <c r="AH193" s="82">
        <v>1</v>
      </c>
      <c r="AI193" s="82">
        <v>1.0000000000582077</v>
      </c>
      <c r="AJ193" s="166">
        <v>4.2241100000000005</v>
      </c>
      <c r="AK193" s="82" t="str">
        <v>Base</v>
      </c>
      <c r="AL193" s="162">
        <v>-23.25</v>
      </c>
      <c r="AM193" s="162">
        <v>-3.9067904300618412</v>
      </c>
      <c r="AN193" s="162">
        <v>-0.56872922590542885</v>
      </c>
      <c r="AO193" s="162">
        <v>42.087330809158544</v>
      </c>
      <c r="AP193" s="162">
        <v>-25.301810178738418</v>
      </c>
      <c r="AQ193" s="162">
        <v>0</v>
      </c>
      <c r="AR193" s="710" t="str">
        <v>1313.par</v>
      </c>
      <c r="AV193" s="82" t="str">
        <v>91,255,255</v>
      </c>
      <c r="AW193" s="947">
        <v>46.599999999999994</v>
      </c>
      <c r="AX193" s="947">
        <v>42.087330809158544</v>
      </c>
      <c r="AY193" s="947">
        <v>0</v>
      </c>
    </row>
    <row r="194" spans="2:51" x14ac:dyDescent="0.25">
      <c r="B194" s="650">
        <v>0.47011405864095024</v>
      </c>
      <c r="C194" s="651">
        <v>-0.32917784080157375</v>
      </c>
      <c r="D194" s="652">
        <v>-0.61190334939616409</v>
      </c>
      <c r="E194" s="653">
        <v>0.5144510019936902</v>
      </c>
      <c r="F194" s="651">
        <v>0.79404264331834762</v>
      </c>
      <c r="G194" s="654">
        <v>0.32378456902653585</v>
      </c>
      <c r="H194" s="653">
        <v>0.314</v>
      </c>
      <c r="I194" s="920">
        <v>0.52</v>
      </c>
      <c r="J194" s="924">
        <v>3.1019999999999999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40" t="s">
        <v>419</v>
      </c>
      <c r="M194" s="970">
        <f>90+-70</f>
        <v>20</v>
      </c>
      <c r="N194" s="941"/>
      <c r="O194" s="942"/>
      <c r="P194">
        <v>-9.5899999999999999E-2</v>
      </c>
      <c r="Q194" s="162">
        <f t="shared" si="1059"/>
        <v>1.613329064360139</v>
      </c>
      <c r="R194" s="162">
        <f t="shared" si="1060"/>
        <v>-1.1296666407930216</v>
      </c>
      <c r="S194" s="162">
        <f t="shared" si="1061"/>
        <v>-0.16390086520253183</v>
      </c>
      <c r="T194" s="162">
        <f t="shared" si="1062"/>
        <v>0.56120630095402524</v>
      </c>
      <c r="U194" s="162">
        <f t="shared" si="1063"/>
        <v>0.78052298757442873</v>
      </c>
      <c r="V194" s="162">
        <f t="shared" si="1064"/>
        <v>0.2753749328413691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65"/>
        <v>0.52</v>
      </c>
      <c r="Y194" s="75">
        <v>3.1080000000000001</v>
      </c>
      <c r="Z194" s="917">
        <f t="shared" si="1066"/>
        <v>1613</v>
      </c>
      <c r="AA194" s="82"/>
      <c r="AB194" s="75"/>
      <c r="AC194" s="75">
        <v>3.2000300000000004</v>
      </c>
      <c r="AD194" s="166">
        <v>-3.75</v>
      </c>
      <c r="AE194" s="75">
        <v>4.218</v>
      </c>
      <c r="AF194" s="82">
        <v>4</v>
      </c>
      <c r="AG194" s="82">
        <v>2</v>
      </c>
      <c r="AH194" s="82">
        <v>1</v>
      </c>
      <c r="AI194" s="82">
        <v>1.0000000000582077</v>
      </c>
      <c r="AJ194" s="166">
        <v>4.2181100000000002</v>
      </c>
      <c r="AK194" s="82" t="str">
        <v>Base</v>
      </c>
      <c r="AL194" s="162">
        <v>-23.25</v>
      </c>
      <c r="AM194" s="162">
        <v>-3.3040777583800769</v>
      </c>
      <c r="AN194" s="162">
        <v>-0.11452667481836809</v>
      </c>
      <c r="AO194" s="162">
        <v>26.794015628638547</v>
      </c>
      <c r="AP194" s="162">
        <v>-21.97339278431285</v>
      </c>
      <c r="AQ194" s="162">
        <v>0</v>
      </c>
      <c r="AR194" s="710" t="str">
        <v>1310.par</v>
      </c>
      <c r="AV194" s="82" t="str">
        <v>91,255,255</v>
      </c>
      <c r="AW194" s="947">
        <v>27.5</v>
      </c>
      <c r="AX194" s="947">
        <v>26.794015628638547</v>
      </c>
      <c r="AY194" s="947">
        <v>0</v>
      </c>
    </row>
    <row r="195" spans="2:51" x14ac:dyDescent="0.25">
      <c r="B195" s="650">
        <v>1.0398375010637424</v>
      </c>
      <c r="C195" s="651">
        <v>-0.72810300348662027</v>
      </c>
      <c r="D195" s="652">
        <v>-0.35880199059175122</v>
      </c>
      <c r="E195" s="653">
        <v>0.54347762566989888</v>
      </c>
      <c r="F195" s="651">
        <v>0.79293675529694452</v>
      </c>
      <c r="G195" s="654">
        <v>0.27546936761709651</v>
      </c>
      <c r="H195" s="653">
        <v>0.314</v>
      </c>
      <c r="I195" s="920">
        <v>0.52</v>
      </c>
      <c r="J195" s="924">
        <v>3.105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419</v>
      </c>
      <c r="M195" s="970">
        <f>90+-70</f>
        <v>20</v>
      </c>
      <c r="N195" s="941"/>
      <c r="O195" s="942"/>
      <c r="P195">
        <f>-0.0291</f>
        <v>-2.9100000000000001E-2</v>
      </c>
      <c r="Q195" s="162">
        <f t="shared" si="1059"/>
        <v>2.2092452121262722</v>
      </c>
      <c r="R195" s="162">
        <f t="shared" si="1060"/>
        <v>-1.5619204002424905</v>
      </c>
      <c r="S195" s="162">
        <f t="shared" si="1061"/>
        <v>-0.19420103384637774</v>
      </c>
      <c r="T195" s="162">
        <f t="shared" si="1062"/>
        <v>0.6131771671920192</v>
      </c>
      <c r="U195" s="162">
        <f t="shared" si="1063"/>
        <v>0.74372526543771755</v>
      </c>
      <c r="V195" s="162">
        <f t="shared" si="1064"/>
        <v>0.2662451711937085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3.113</v>
      </c>
      <c r="Z195" s="917">
        <f t="shared" si="1066"/>
        <v>1613</v>
      </c>
      <c r="AA195" s="82"/>
      <c r="AB195" s="75"/>
      <c r="AC195" s="75">
        <v>3.1000300000000003</v>
      </c>
      <c r="AD195" s="166">
        <v>-3</v>
      </c>
      <c r="AE195" s="75">
        <v>4.1420000000000003</v>
      </c>
      <c r="AF195" s="82">
        <v>4</v>
      </c>
      <c r="AG195" s="82">
        <v>1</v>
      </c>
      <c r="AH195" s="82">
        <v>1</v>
      </c>
      <c r="AI195" s="82">
        <v>1.0000000000582077</v>
      </c>
      <c r="AJ195" s="166">
        <v>4.1421100000000006</v>
      </c>
      <c r="AK195" s="82" t="str">
        <v>Base</v>
      </c>
      <c r="AL195" s="162">
        <v>-22.5</v>
      </c>
      <c r="AM195" s="162">
        <v>-4.681598395711621</v>
      </c>
      <c r="AN195" s="162">
        <v>-2.708642387177433</v>
      </c>
      <c r="AO195" s="162">
        <v>84.967735525253488</v>
      </c>
      <c r="AP195" s="162">
        <v>-29.788825501047654</v>
      </c>
      <c r="AQ195" s="162">
        <v>0</v>
      </c>
      <c r="AR195" s="710" t="str">
        <v>1613.par</v>
      </c>
      <c r="AV195" s="82" t="str">
        <v>0,204,204</v>
      </c>
      <c r="AW195" s="947">
        <v>85</v>
      </c>
      <c r="AX195" s="947">
        <v>84.967735525253488</v>
      </c>
      <c r="AY195" s="947">
        <v>0</v>
      </c>
    </row>
    <row r="196" spans="2:51" x14ac:dyDescent="0.25">
      <c r="B196" s="650">
        <v>1.613329064360139</v>
      </c>
      <c r="C196" s="651">
        <v>-1.1296666407930216</v>
      </c>
      <c r="D196" s="652">
        <v>-0.16390086520253183</v>
      </c>
      <c r="E196" s="653">
        <v>0.56120630095402524</v>
      </c>
      <c r="F196" s="651">
        <v>0.78052298757442873</v>
      </c>
      <c r="G196" s="654">
        <v>0.2753749328413691</v>
      </c>
      <c r="H196" s="653">
        <v>0.314</v>
      </c>
      <c r="I196" s="920">
        <v>0.52</v>
      </c>
      <c r="J196" s="924">
        <v>3.1080000000000001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40" t="s">
        <v>419</v>
      </c>
      <c r="M196" s="970">
        <f>90+-82.9</f>
        <v>7.0999999999999943</v>
      </c>
      <c r="N196" s="941"/>
      <c r="O196" s="942"/>
      <c r="Q196" s="162">
        <f t="shared" ref="Q196:Q209" si="1069">IFERROR(INDEX(B$164:B$305,MATCH($Y196,$J$164:$J$305,0)),"")</f>
        <v>2.75145143249742</v>
      </c>
      <c r="R196" s="162">
        <f t="shared" ref="R196:R209" si="1070">IFERROR(INDEX(C$164:C$305,MATCH($Y196,$J$164:$J$305,0)),"")</f>
        <v>-1.9975819154056074</v>
      </c>
      <c r="S196" s="162">
        <f t="shared" ref="S196:S209" si="1071">IFERROR(INDEX(D$164:D$305,MATCH($Y196,$J$164:$J$305,0)),"")</f>
        <v>-0.46830269781950817</v>
      </c>
      <c r="T196" s="162">
        <f t="shared" ref="T196:T209" si="1072">IFERROR(IF($N196="Y",-1*INDEX(E$164:E$305,MATCH($Y196,$J$164:$J$305,0)),INDEX(E$164:E$305,MATCH($Y196,$J$164:$J$305,0))),"")</f>
        <v>0.68263455077487167</v>
      </c>
      <c r="U196" s="162">
        <f t="shared" ref="U196:U209" si="1073">IFERROR(IF($N196="Y",-1*INDEX(F$164:F$305,MATCH($Y196,$J$164:$J$305,0)),INDEX(F$164:F$305,MATCH($Y196,$J$164:$J$305,0))),"")</f>
        <v>0.68178779765956588</v>
      </c>
      <c r="V196" s="162">
        <f t="shared" ref="V196:V209" si="1074">IFERROR(IF($N196="Y",-1*INDEX(G$164:G$305,MATCH($Y196,$J$164:$J$305,0)),INDEX(G$164:G$305,MATCH($Y196,$J$164:$J$305,0))),"")</f>
        <v>0.26301229828832762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09" si="1075">IFERROR(INDEX(I$164:I$305,MATCH($Y196,$J$164:$J$305,0)),"")</f>
        <v>0.52</v>
      </c>
      <c r="Y196" s="75">
        <v>3.1190000000000002</v>
      </c>
      <c r="Z196" s="917">
        <f t="shared" ref="Z196:Z209" si="1076">IFERROR(INDEX(K$164:K$305,MATCH($Y196,$J$164:$J$305,0)),"")</f>
        <v>1613</v>
      </c>
      <c r="AA196" s="82"/>
      <c r="AB196" s="75"/>
      <c r="AC196" s="75">
        <v>2.2000300000000004</v>
      </c>
      <c r="AD196" s="166">
        <v>-2.25</v>
      </c>
      <c r="AE196" s="75">
        <v>4.1360000000000001</v>
      </c>
      <c r="AF196" s="82">
        <v>4</v>
      </c>
      <c r="AG196" s="82">
        <v>1</v>
      </c>
      <c r="AH196" s="82">
        <v>1</v>
      </c>
      <c r="AI196" s="82">
        <v>1.0000000000582077</v>
      </c>
      <c r="AJ196" s="166">
        <v>4.1361100000000004</v>
      </c>
      <c r="AK196" s="82" t="str">
        <v>Base</v>
      </c>
      <c r="AL196" s="162">
        <v>-22.5</v>
      </c>
      <c r="AM196" s="162">
        <v>-4.5729433964538257</v>
      </c>
      <c r="AN196" s="162">
        <v>-1.9088498945863894</v>
      </c>
      <c r="AO196" s="162">
        <v>72.368498147459562</v>
      </c>
      <c r="AP196" s="162">
        <v>-26.987508550221261</v>
      </c>
      <c r="AQ196" s="162">
        <v>0</v>
      </c>
      <c r="AR196" s="710" t="str">
        <v>1613.par</v>
      </c>
      <c r="AV196" s="82" t="str">
        <v>0,204,204</v>
      </c>
      <c r="AW196" s="947">
        <v>84.1</v>
      </c>
      <c r="AX196" s="947">
        <v>72.368498147459562</v>
      </c>
      <c r="AY196" s="947">
        <v>0</v>
      </c>
    </row>
    <row r="197" spans="2:51" x14ac:dyDescent="0.25">
      <c r="B197" s="650">
        <v>2.2092452121262722</v>
      </c>
      <c r="C197" s="651">
        <v>-1.5619204002424905</v>
      </c>
      <c r="D197" s="652">
        <v>-0.19420103384637774</v>
      </c>
      <c r="E197" s="653">
        <v>0.6131771671920192</v>
      </c>
      <c r="F197" s="651">
        <v>0.74372526543771755</v>
      </c>
      <c r="G197" s="654">
        <v>0.2662451711937085</v>
      </c>
      <c r="H197" s="653">
        <v>0.314</v>
      </c>
      <c r="I197" s="920">
        <v>0.52</v>
      </c>
      <c r="J197" s="924">
        <v>3.113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940" t="s">
        <v>423</v>
      </c>
      <c r="M197" s="970">
        <f>90+-101.6</f>
        <v>-11.599999999999994</v>
      </c>
      <c r="N197" s="941"/>
      <c r="O197" s="942"/>
      <c r="Q197" s="162">
        <f t="shared" si="1069"/>
        <v>3.1833848492140642</v>
      </c>
      <c r="R197" s="162">
        <f t="shared" si="1070"/>
        <v>-2.3780146400168523</v>
      </c>
      <c r="S197" s="162">
        <f t="shared" si="1071"/>
        <v>-0.94730571413945119</v>
      </c>
      <c r="T197" s="162">
        <f t="shared" si="1072"/>
        <v>0.76194904191279822</v>
      </c>
      <c r="U197" s="162">
        <f t="shared" si="1073"/>
        <v>0.59580711520482887</v>
      </c>
      <c r="V197" s="162">
        <f t="shared" si="1074"/>
        <v>0.25386519848035183</v>
      </c>
      <c r="W197" s="162">
        <f>IFERROR(IF(ISNUMBER(MATCH($Z197,Settings!$AK$28:$AK$36,0)),INDEX(Settings!$AO$14:$AO$36,MATCH($Z197,Settings!$AK$14:$AK$36,0))/2,INDEX(Settings!$AM$14:$AM$36,MATCH($Z197,Settings!$AK$14:$AK$36,0))/2),"")</f>
        <v>0.3125</v>
      </c>
      <c r="X197" s="162">
        <f t="shared" si="1075"/>
        <v>0.52</v>
      </c>
      <c r="Y197" s="75">
        <v>3.125</v>
      </c>
      <c r="Z197" s="917">
        <f t="shared" si="1076"/>
        <v>1613</v>
      </c>
      <c r="AA197" s="82"/>
      <c r="AB197" s="75"/>
      <c r="AC197" s="75">
        <v>2.1000300000000003</v>
      </c>
      <c r="AD197" s="166">
        <v>-1.5</v>
      </c>
      <c r="AE197" s="75">
        <v>4.13</v>
      </c>
      <c r="AF197" s="82">
        <v>4</v>
      </c>
      <c r="AG197" s="82">
        <v>1</v>
      </c>
      <c r="AH197" s="82">
        <v>1</v>
      </c>
      <c r="AI197" s="82">
        <v>0.99999999998544808</v>
      </c>
      <c r="AJ197" s="166">
        <v>4.1301100000000002</v>
      </c>
      <c r="AK197" s="82" t="str">
        <v>Base</v>
      </c>
      <c r="AL197" s="162">
        <v>-22.5</v>
      </c>
      <c r="AM197" s="162">
        <v>-4.3199471297604974</v>
      </c>
      <c r="AN197" s="162">
        <v>-1.2079819787665109</v>
      </c>
      <c r="AO197" s="162">
        <v>57.20232780701231</v>
      </c>
      <c r="AP197" s="162">
        <v>-23.635700041569176</v>
      </c>
      <c r="AQ197" s="162">
        <v>0</v>
      </c>
      <c r="AR197" s="710" t="str">
        <v>1613.par</v>
      </c>
      <c r="AV197" s="82" t="str">
        <v>0,204,204</v>
      </c>
      <c r="AW197" s="947">
        <v>65.5</v>
      </c>
      <c r="AX197" s="947">
        <v>57.20232780701231</v>
      </c>
      <c r="AY197" s="947">
        <v>0</v>
      </c>
    </row>
    <row r="198" spans="2:51" x14ac:dyDescent="0.25">
      <c r="B198" s="650">
        <v>2.75145143249742</v>
      </c>
      <c r="C198" s="651">
        <v>-1.9975819154056074</v>
      </c>
      <c r="D198" s="652">
        <v>-0.46830269781950817</v>
      </c>
      <c r="E198" s="653">
        <v>0.68263455077487167</v>
      </c>
      <c r="F198" s="651">
        <v>0.68178779765956588</v>
      </c>
      <c r="G198" s="654">
        <v>0.26301229828832762</v>
      </c>
      <c r="H198" s="653">
        <v>0.314</v>
      </c>
      <c r="I198" s="920">
        <v>0.52</v>
      </c>
      <c r="J198" s="924">
        <v>3.1190000000000002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940" t="s">
        <v>423</v>
      </c>
      <c r="M198" s="970">
        <f>90+-120.7</f>
        <v>-30.700000000000003</v>
      </c>
      <c r="N198" s="941"/>
      <c r="O198" s="942"/>
      <c r="Q198" s="162">
        <f t="shared" si="1069"/>
        <v>3.4818471520395136</v>
      </c>
      <c r="R198" s="162">
        <f t="shared" si="1070"/>
        <v>-2.6611135611454357</v>
      </c>
      <c r="S198" s="162">
        <f t="shared" si="1071"/>
        <v>-1.5731094889821287</v>
      </c>
      <c r="T198" s="162">
        <f t="shared" si="1072"/>
        <v>0.83724802079777449</v>
      </c>
      <c r="U198" s="162">
        <f t="shared" si="1073"/>
        <v>0.50631207039290416</v>
      </c>
      <c r="V198" s="162">
        <f t="shared" si="1074"/>
        <v>0.20655226710123603</v>
      </c>
      <c r="W198" s="162">
        <f>IFERROR(IF(ISNUMBER(MATCH($Z198,Settings!$AK$28:$AK$36,0)),INDEX(Settings!$AO$14:$AO$36,MATCH($Z198,Settings!$AK$14:$AK$36,0))/2,INDEX(Settings!$AM$14:$AM$36,MATCH($Z198,Settings!$AK$14:$AK$36,0))/2),"")</f>
        <v>0.3125</v>
      </c>
      <c r="X198" s="162">
        <f t="shared" si="1075"/>
        <v>0.52</v>
      </c>
      <c r="Y198" s="75">
        <v>3.1309999999999998</v>
      </c>
      <c r="Z198" s="917">
        <f t="shared" si="1076"/>
        <v>1613</v>
      </c>
      <c r="AA198" s="82"/>
      <c r="AB198" s="75"/>
      <c r="AC198" s="75">
        <v>1.2000299999999999</v>
      </c>
      <c r="AD198" s="166">
        <v>-0.75</v>
      </c>
      <c r="AE198" s="75">
        <v>4.1239999999999997</v>
      </c>
      <c r="AF198" s="82">
        <v>4</v>
      </c>
      <c r="AG198" s="82">
        <v>1</v>
      </c>
      <c r="AH198" s="82">
        <v>1</v>
      </c>
      <c r="AI198" s="82">
        <v>0.99999999998544808</v>
      </c>
      <c r="AJ198" s="166">
        <v>4.1241099999999999</v>
      </c>
      <c r="AK198" s="82" t="str">
        <v>Base</v>
      </c>
      <c r="AL198" s="162">
        <v>-22.5</v>
      </c>
      <c r="AM198" s="162">
        <v>-3.8838408758893723</v>
      </c>
      <c r="AN198" s="162">
        <v>-0.60406381750421501</v>
      </c>
      <c r="AO198" s="162">
        <v>41.94924363130859</v>
      </c>
      <c r="AP198" s="162">
        <v>-20.294240984608646</v>
      </c>
      <c r="AQ198" s="162">
        <v>0</v>
      </c>
      <c r="AR198" s="710" t="str">
        <v>1613.par</v>
      </c>
      <c r="AV198" s="82" t="str">
        <v>0,204,204</v>
      </c>
      <c r="AW198" s="947">
        <v>46.599999999999994</v>
      </c>
      <c r="AX198" s="947">
        <v>41.94924363130859</v>
      </c>
      <c r="AY198" s="947">
        <v>0</v>
      </c>
    </row>
    <row r="199" spans="2:51" x14ac:dyDescent="0.25">
      <c r="B199" s="650">
        <v>3.1833848492140642</v>
      </c>
      <c r="C199" s="651">
        <v>-2.3780146400168523</v>
      </c>
      <c r="D199" s="652">
        <v>-0.94730571413945119</v>
      </c>
      <c r="E199" s="653">
        <v>0.76194904191279822</v>
      </c>
      <c r="F199" s="651">
        <v>0.59580711520482887</v>
      </c>
      <c r="G199" s="654">
        <v>0.25386519848035183</v>
      </c>
      <c r="H199" s="653">
        <v>0.314</v>
      </c>
      <c r="I199" s="920">
        <v>0.52</v>
      </c>
      <c r="J199" s="924">
        <v>3.125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40" t="s">
        <v>423</v>
      </c>
      <c r="M199" s="970">
        <f>90+-139.8</f>
        <v>-49.800000000000011</v>
      </c>
      <c r="N199" s="941"/>
      <c r="O199" s="942"/>
      <c r="Q199" s="162">
        <f t="shared" si="1069"/>
        <v>3.6419541418539367</v>
      </c>
      <c r="R199" s="162">
        <f t="shared" si="1070"/>
        <v>-2.8188889769718806</v>
      </c>
      <c r="S199" s="162">
        <f t="shared" si="1071"/>
        <v>-2.2869137946432065</v>
      </c>
      <c r="T199" s="162">
        <f t="shared" si="1072"/>
        <v>0.89741093860954213</v>
      </c>
      <c r="U199" s="162">
        <f t="shared" si="1073"/>
        <v>0.42440699833804396</v>
      </c>
      <c r="V199" s="162">
        <f t="shared" si="1074"/>
        <v>0.1205500187707669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75"/>
        <v>0.52</v>
      </c>
      <c r="Y199" s="75">
        <v>3.137</v>
      </c>
      <c r="Z199" s="917">
        <f t="shared" si="1076"/>
        <v>1613</v>
      </c>
      <c r="AA199" s="82"/>
      <c r="AB199" s="75"/>
      <c r="AC199" s="75">
        <v>1.1000300000000001</v>
      </c>
      <c r="AD199" s="166">
        <v>0</v>
      </c>
      <c r="AE199" s="75">
        <v>4.1180000000000003</v>
      </c>
      <c r="AF199" s="82">
        <v>4</v>
      </c>
      <c r="AG199" s="82">
        <v>1</v>
      </c>
      <c r="AH199" s="82">
        <v>1</v>
      </c>
      <c r="AI199" s="82">
        <v>1.0000000000582077</v>
      </c>
      <c r="AJ199" s="166">
        <v>4.1181100000000006</v>
      </c>
      <c r="AK199" s="82" t="str">
        <v>Base</v>
      </c>
      <c r="AL199" s="162">
        <v>-22.5</v>
      </c>
      <c r="AM199" s="162">
        <v>-3.2885567842225605</v>
      </c>
      <c r="AN199" s="162">
        <v>-0.1565427506040532</v>
      </c>
      <c r="AO199" s="162">
        <v>26.532266593200465</v>
      </c>
      <c r="AP199" s="162">
        <v>-16.96871890548951</v>
      </c>
      <c r="AQ199" s="162">
        <v>0</v>
      </c>
      <c r="AR199" s="710" t="str">
        <v>1613.par</v>
      </c>
      <c r="AV199" s="82" t="str">
        <v>0,204,204</v>
      </c>
      <c r="AW199" s="947">
        <v>27.5</v>
      </c>
      <c r="AX199" s="947">
        <v>26.532266593200465</v>
      </c>
      <c r="AY199" s="947">
        <v>0</v>
      </c>
    </row>
    <row r="200" spans="2:51" x14ac:dyDescent="0.25">
      <c r="B200" s="650">
        <v>3.4818471520395136</v>
      </c>
      <c r="C200" s="651">
        <v>-2.6611135611454357</v>
      </c>
      <c r="D200" s="652">
        <v>-1.5731094889821287</v>
      </c>
      <c r="E200" s="653">
        <v>0.83724802079777449</v>
      </c>
      <c r="F200" s="651">
        <v>0.50631207039290416</v>
      </c>
      <c r="G200" s="654">
        <v>0.20655226710123603</v>
      </c>
      <c r="H200" s="653">
        <v>0.314</v>
      </c>
      <c r="I200" s="920">
        <v>0.52</v>
      </c>
      <c r="J200" s="924">
        <v>3.1309999999999998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40" t="s">
        <v>423</v>
      </c>
      <c r="M200" s="970">
        <f>90+-158.7</f>
        <v>-68.699999999999989</v>
      </c>
      <c r="N200" s="941"/>
      <c r="O200" s="942"/>
      <c r="Q200" s="162">
        <f t="shared" si="1069"/>
        <v>3.7025115866017186</v>
      </c>
      <c r="R200" s="162">
        <f t="shared" si="1070"/>
        <v>-2.8812923721483341</v>
      </c>
      <c r="S200" s="162">
        <f t="shared" si="1071"/>
        <v>-3.0911186455995541</v>
      </c>
      <c r="T200" s="162">
        <f t="shared" si="1072"/>
        <v>0.92496154452172341</v>
      </c>
      <c r="U200" s="162">
        <f t="shared" si="1073"/>
        <v>0.37755409238917742</v>
      </c>
      <c r="V200" s="162">
        <f t="shared" si="1074"/>
        <v>4.3578073341676044E-2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75"/>
        <v>0.52</v>
      </c>
      <c r="Y200" s="75">
        <v>3.1429999999999998</v>
      </c>
      <c r="Z200" s="917">
        <f t="shared" si="1076"/>
        <v>1613</v>
      </c>
      <c r="AA200" s="82"/>
      <c r="AB200" s="75"/>
      <c r="AC200" s="75"/>
      <c r="AD200" s="166"/>
      <c r="AE200" s="75">
        <v>4.1120000000000001</v>
      </c>
      <c r="AF200" s="82">
        <v>4</v>
      </c>
      <c r="AG200" s="82">
        <v>1</v>
      </c>
      <c r="AH200" s="82">
        <v>1</v>
      </c>
      <c r="AI200" s="82">
        <v>1.0000000000582077</v>
      </c>
      <c r="AJ200" s="166">
        <v>4.1121100000000004</v>
      </c>
      <c r="AK200" s="82" t="str">
        <v>Base</v>
      </c>
      <c r="AL200" s="162">
        <v>-22.5</v>
      </c>
      <c r="AM200" s="162">
        <v>-2.5814940171882013</v>
      </c>
      <c r="AN200" s="162">
        <v>7.778453124552151E-2</v>
      </c>
      <c r="AO200" s="162">
        <v>11.038949585803891</v>
      </c>
      <c r="AP200" s="162">
        <v>-15.912950944662017</v>
      </c>
      <c r="AQ200" s="162">
        <v>0</v>
      </c>
      <c r="AR200" s="710" t="str">
        <v>1613.par</v>
      </c>
      <c r="AV200" s="82" t="str">
        <v>0,204,204</v>
      </c>
      <c r="AW200" s="947">
        <v>8.5</v>
      </c>
      <c r="AX200" s="947">
        <v>11.038949585803891</v>
      </c>
      <c r="AY200" s="947">
        <v>0</v>
      </c>
    </row>
    <row r="201" spans="2:51" x14ac:dyDescent="0.25">
      <c r="B201" s="650">
        <v>3.6419541418539367</v>
      </c>
      <c r="C201" s="651">
        <v>-2.8188889769718806</v>
      </c>
      <c r="D201" s="652">
        <v>-2.2869137946432065</v>
      </c>
      <c r="E201" s="653">
        <v>0.89741093860954213</v>
      </c>
      <c r="F201" s="651">
        <v>0.42440699833804396</v>
      </c>
      <c r="G201" s="654">
        <v>0.1205500187707669</v>
      </c>
      <c r="H201" s="653">
        <v>0.314</v>
      </c>
      <c r="I201" s="920">
        <v>0.52</v>
      </c>
      <c r="J201" s="924">
        <v>3.137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40" t="s">
        <v>423</v>
      </c>
      <c r="M201" s="970">
        <f>90+-175</f>
        <v>-85</v>
      </c>
      <c r="N201" s="941"/>
      <c r="O201" s="942"/>
      <c r="Q201" s="162">
        <f t="shared" si="1069"/>
        <v>1.6255252354370524</v>
      </c>
      <c r="R201" s="162">
        <f t="shared" si="1070"/>
        <v>-2.1713322866352596</v>
      </c>
      <c r="S201" s="162">
        <f t="shared" si="1071"/>
        <v>-0.17890701892494909</v>
      </c>
      <c r="T201" s="162">
        <f t="shared" si="1072"/>
        <v>0.81226900146346681</v>
      </c>
      <c r="U201" s="162">
        <f t="shared" si="1073"/>
        <v>0.51897261784951199</v>
      </c>
      <c r="V201" s="162">
        <f t="shared" si="1074"/>
        <v>0.26624517119370844</v>
      </c>
      <c r="W201" s="162">
        <f>IFERROR(IF(ISNUMBER(MATCH($Z201,Settings!$AK$28:$AK$36,0)),INDEX(Settings!$AO$14:$AO$36,MATCH($Z201,Settings!$AK$14:$AK$36,0))/2,INDEX(Settings!$AM$14:$AM$36,MATCH($Z201,Settings!$AK$14:$AK$36,0))/2),"")</f>
        <v>0.26450000000000001</v>
      </c>
      <c r="X201" s="162">
        <f t="shared" si="1075"/>
        <v>0.39400000000000002</v>
      </c>
      <c r="Y201" s="75">
        <v>3.2130000000000001</v>
      </c>
      <c r="Z201" s="917">
        <f t="shared" si="1076"/>
        <v>1310</v>
      </c>
      <c r="AA201" s="82"/>
      <c r="AB201" s="75"/>
      <c r="AC201" s="75"/>
      <c r="AD201" s="166"/>
      <c r="AE201" s="75">
        <v>3.2429999999999999</v>
      </c>
      <c r="AF201" s="82">
        <v>3</v>
      </c>
      <c r="AG201" s="82">
        <v>2</v>
      </c>
      <c r="AH201" s="82">
        <v>1</v>
      </c>
      <c r="AI201" s="82">
        <v>0.99999999998544808</v>
      </c>
      <c r="AJ201" s="166">
        <v>3.2431099999999997</v>
      </c>
      <c r="AK201" s="82" t="str">
        <v>Base</v>
      </c>
      <c r="AL201" s="162">
        <v>-21.75</v>
      </c>
      <c r="AM201" s="162">
        <v>-4.6672539023601338</v>
      </c>
      <c r="AN201" s="162">
        <v>-2.9093571491791379</v>
      </c>
      <c r="AO201" s="162">
        <v>84.999987727520192</v>
      </c>
      <c r="AP201" s="162">
        <v>0</v>
      </c>
      <c r="AQ201" s="162">
        <v>0</v>
      </c>
      <c r="AR201" s="710" t="str">
        <v>32193r1.par</v>
      </c>
      <c r="AV201" s="82" t="str">
        <v>97,255,97</v>
      </c>
      <c r="AW201" s="947">
        <v>85</v>
      </c>
      <c r="AX201" s="947">
        <v>84.999987727520192</v>
      </c>
      <c r="AY201" s="947">
        <v>0</v>
      </c>
    </row>
    <row r="202" spans="2:51" x14ac:dyDescent="0.25">
      <c r="B202" s="650">
        <v>3.7025115866017186</v>
      </c>
      <c r="C202" s="651">
        <v>-2.8812923721483341</v>
      </c>
      <c r="D202" s="652">
        <v>-3.0911186455995541</v>
      </c>
      <c r="E202" s="653">
        <v>0.92496154452172341</v>
      </c>
      <c r="F202" s="651">
        <v>0.37755409238917742</v>
      </c>
      <c r="G202" s="654">
        <v>4.3578073341676044E-2</v>
      </c>
      <c r="H202" s="653">
        <v>0.314</v>
      </c>
      <c r="I202" s="920">
        <v>0.52</v>
      </c>
      <c r="J202" s="924">
        <v>3.1429999999999998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0" t="s">
        <v>419</v>
      </c>
      <c r="M202" s="970">
        <f>90+-175</f>
        <v>-85</v>
      </c>
      <c r="N202" s="941"/>
      <c r="O202" s="942"/>
      <c r="Q202" s="162">
        <f t="shared" si="1069"/>
        <v>2.1868497462922809</v>
      </c>
      <c r="R202" s="162">
        <f t="shared" si="1070"/>
        <v>-2.6203374249263374</v>
      </c>
      <c r="S202" s="162">
        <f t="shared" si="1071"/>
        <v>-0.45389119132972006</v>
      </c>
      <c r="T202" s="162">
        <f t="shared" si="1072"/>
        <v>0.82878899656715244</v>
      </c>
      <c r="U202" s="162">
        <f t="shared" si="1073"/>
        <v>0.49389607218351556</v>
      </c>
      <c r="V202" s="162">
        <f t="shared" si="1074"/>
        <v>0.26301229828832773</v>
      </c>
      <c r="W202" s="162">
        <f>IFERROR(IF(ISNUMBER(MATCH($Z202,Settings!$AK$28:$AK$36,0)),INDEX(Settings!$AO$14:$AO$36,MATCH($Z202,Settings!$AK$14:$AK$36,0))/2,INDEX(Settings!$AM$14:$AM$36,MATCH($Z202,Settings!$AK$14:$AK$36,0))/2),"")</f>
        <v>0.26450000000000001</v>
      </c>
      <c r="X202" s="162">
        <f t="shared" si="1075"/>
        <v>0.52</v>
      </c>
      <c r="Y202" s="75">
        <v>3.2189999999999999</v>
      </c>
      <c r="Z202" s="917">
        <f t="shared" si="1076"/>
        <v>1313</v>
      </c>
      <c r="AA202" s="82"/>
      <c r="AB202" s="75"/>
      <c r="AC202" s="75"/>
      <c r="AD202" s="166"/>
      <c r="AE202" s="75">
        <v>3.2370000000000001</v>
      </c>
      <c r="AF202" s="82">
        <v>3</v>
      </c>
      <c r="AG202" s="82">
        <v>2</v>
      </c>
      <c r="AH202" s="82">
        <v>1</v>
      </c>
      <c r="AI202" s="82">
        <v>0.99999999998544808</v>
      </c>
      <c r="AJ202" s="166">
        <v>3.2371099999999999</v>
      </c>
      <c r="AK202" s="82" t="str">
        <v>Base</v>
      </c>
      <c r="AL202" s="162">
        <v>-21.75</v>
      </c>
      <c r="AM202" s="162">
        <v>-4.6181734655583746</v>
      </c>
      <c r="AN202" s="162">
        <v>-2.0999205502123162</v>
      </c>
      <c r="AO202" s="162">
        <v>74.891136988870954</v>
      </c>
      <c r="AP202" s="162">
        <v>-27.547953825498922</v>
      </c>
      <c r="AQ202" s="162">
        <v>0</v>
      </c>
      <c r="AR202" s="710" t="str">
        <v>1313.par</v>
      </c>
      <c r="AV202" s="82" t="str">
        <v>97,255,97</v>
      </c>
      <c r="AW202" s="947">
        <v>85</v>
      </c>
      <c r="AX202" s="947">
        <v>74.891136988870954</v>
      </c>
      <c r="AY202" s="947">
        <v>0</v>
      </c>
    </row>
    <row r="203" spans="2:51" x14ac:dyDescent="0.25">
      <c r="B203" s="650">
        <v>1.6255252354370524</v>
      </c>
      <c r="C203" s="651">
        <v>-2.1713322866352596</v>
      </c>
      <c r="D203" s="652">
        <v>-0.17890701892494909</v>
      </c>
      <c r="E203" s="653">
        <v>0.81226900146346681</v>
      </c>
      <c r="F203" s="651">
        <v>0.51897261784951199</v>
      </c>
      <c r="G203" s="654">
        <v>0.26624517119370844</v>
      </c>
      <c r="H203" s="653">
        <v>0.26600000000000001</v>
      </c>
      <c r="I203" s="920">
        <v>0.39400000000000002</v>
      </c>
      <c r="J203" s="924">
        <v>3.2130000000000001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1310</v>
      </c>
      <c r="L203" s="940" t="s">
        <v>424</v>
      </c>
      <c r="M203" s="970">
        <f>M197</f>
        <v>-11.599999999999994</v>
      </c>
      <c r="N203" s="941"/>
      <c r="O203" s="942"/>
      <c r="Q203" s="162">
        <f t="shared" si="1069"/>
        <v>2.6260478391178532</v>
      </c>
      <c r="R203" s="162">
        <f t="shared" si="1070"/>
        <v>-3.0054007874734596</v>
      </c>
      <c r="S203" s="162">
        <f t="shared" si="1071"/>
        <v>-0.9364883074278274</v>
      </c>
      <c r="T203" s="162">
        <f t="shared" si="1072"/>
        <v>0.86986729956861031</v>
      </c>
      <c r="U203" s="162">
        <f t="shared" si="1073"/>
        <v>0.42294602745710419</v>
      </c>
      <c r="V203" s="162">
        <f t="shared" si="1074"/>
        <v>0.25386519848035166</v>
      </c>
      <c r="W203" s="162">
        <f>IFERROR(IF(ISNUMBER(MATCH($Z203,Settings!$AK$28:$AK$36,0)),INDEX(Settings!$AO$14:$AO$36,MATCH($Z203,Settings!$AK$14:$AK$36,0))/2,INDEX(Settings!$AM$14:$AM$36,MATCH($Z203,Settings!$AK$14:$AK$36,0))/2),"")</f>
        <v>0.26450000000000001</v>
      </c>
      <c r="X203" s="162">
        <f t="shared" si="1075"/>
        <v>0.52</v>
      </c>
      <c r="Y203" s="75">
        <v>3.2250000000000001</v>
      </c>
      <c r="Z203" s="917">
        <f t="shared" si="1076"/>
        <v>1313</v>
      </c>
      <c r="AA203" s="82"/>
      <c r="AB203" s="75"/>
      <c r="AC203" s="75"/>
      <c r="AD203" s="166"/>
      <c r="AE203" s="75">
        <v>3.2309999999999999</v>
      </c>
      <c r="AF203" s="82">
        <v>3</v>
      </c>
      <c r="AG203" s="82">
        <v>2</v>
      </c>
      <c r="AH203" s="82">
        <v>1</v>
      </c>
      <c r="AI203" s="82">
        <v>0.99999999998544808</v>
      </c>
      <c r="AJ203" s="166">
        <v>3.2311099999999997</v>
      </c>
      <c r="AK203" s="82" t="str">
        <v>Base</v>
      </c>
      <c r="AL203" s="162">
        <v>-21.75</v>
      </c>
      <c r="AM203" s="162">
        <v>-4.3957449530886858</v>
      </c>
      <c r="AN203" s="162">
        <v>-1.3832926057528938</v>
      </c>
      <c r="AO203" s="162">
        <v>59.736004521697225</v>
      </c>
      <c r="AP203" s="162">
        <v>-24.194668033190343</v>
      </c>
      <c r="AQ203" s="162">
        <v>0</v>
      </c>
      <c r="AR203" s="710" t="str">
        <v>1313.par</v>
      </c>
      <c r="AV203" s="82" t="str">
        <v>97,255,97</v>
      </c>
      <c r="AW203" s="947">
        <v>68.699999999999989</v>
      </c>
      <c r="AX203" s="947">
        <v>59.736004521697225</v>
      </c>
      <c r="AY203" s="947">
        <v>0</v>
      </c>
    </row>
    <row r="204" spans="2:51" x14ac:dyDescent="0.25">
      <c r="B204" s="650">
        <v>2.1868497462922809</v>
      </c>
      <c r="C204" s="651">
        <v>-2.6203374249263374</v>
      </c>
      <c r="D204" s="652">
        <v>-0.45389119132972006</v>
      </c>
      <c r="E204" s="653">
        <v>0.82878899656715244</v>
      </c>
      <c r="F204" s="651">
        <v>0.49389607218351556</v>
      </c>
      <c r="G204" s="654">
        <v>0.26301229828832773</v>
      </c>
      <c r="H204" s="653">
        <v>0.26600000000000001</v>
      </c>
      <c r="I204" s="920">
        <v>0.52</v>
      </c>
      <c r="J204" s="924">
        <v>3.2189999999999999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1313</v>
      </c>
      <c r="L204" s="940" t="s">
        <v>420</v>
      </c>
      <c r="M204" s="970">
        <f t="shared" ref="M204:M208" si="1077">M198</f>
        <v>-30.700000000000003</v>
      </c>
      <c r="N204" s="941"/>
      <c r="O204" s="942"/>
      <c r="Q204" s="162">
        <f t="shared" si="1069"/>
        <v>2.9265669984934859</v>
      </c>
      <c r="R204" s="162">
        <f t="shared" si="1070"/>
        <v>-3.2894380777068331</v>
      </c>
      <c r="S204" s="162">
        <f t="shared" si="1071"/>
        <v>-1.5673369048637502</v>
      </c>
      <c r="T204" s="162">
        <f t="shared" si="1072"/>
        <v>0.91818510977957513</v>
      </c>
      <c r="U204" s="162">
        <f t="shared" si="1073"/>
        <v>0.33804180974312825</v>
      </c>
      <c r="V204" s="162">
        <f t="shared" si="1074"/>
        <v>0.20655226710123581</v>
      </c>
      <c r="W204" s="162">
        <f>IFERROR(IF(ISNUMBER(MATCH($Z204,Settings!$AK$28:$AK$36,0)),INDEX(Settings!$AO$14:$AO$36,MATCH($Z204,Settings!$AK$14:$AK$36,0))/2,INDEX(Settings!$AM$14:$AM$36,MATCH($Z204,Settings!$AK$14:$AK$36,0))/2),"")</f>
        <v>0.26450000000000001</v>
      </c>
      <c r="X204" s="162">
        <f t="shared" si="1075"/>
        <v>0.52</v>
      </c>
      <c r="Y204" s="75">
        <v>3.2309999999999999</v>
      </c>
      <c r="Z204" s="917">
        <f t="shared" si="1076"/>
        <v>1313</v>
      </c>
      <c r="AA204" s="82"/>
      <c r="AB204" s="75"/>
      <c r="AC204" s="75"/>
      <c r="AD204" s="166"/>
      <c r="AE204" s="75">
        <v>3.2250000000000001</v>
      </c>
      <c r="AF204" s="82">
        <v>3</v>
      </c>
      <c r="AG204" s="82">
        <v>2</v>
      </c>
      <c r="AH204" s="82">
        <v>1</v>
      </c>
      <c r="AI204" s="82">
        <v>0.99999999998544808</v>
      </c>
      <c r="AJ204" s="166">
        <v>3.2251099999999999</v>
      </c>
      <c r="AK204" s="82" t="str">
        <v>Base</v>
      </c>
      <c r="AL204" s="162">
        <v>-21.75</v>
      </c>
      <c r="AM204" s="162">
        <v>-3.9860265597372924</v>
      </c>
      <c r="AN204" s="162">
        <v>-0.75263503702795997</v>
      </c>
      <c r="AO204" s="162">
        <v>44.502166526717595</v>
      </c>
      <c r="AP204" s="162">
        <v>-20.851088795337319</v>
      </c>
      <c r="AQ204" s="162">
        <v>0</v>
      </c>
      <c r="AR204" s="710" t="str">
        <v>1313.par</v>
      </c>
      <c r="AV204" s="82" t="str">
        <v>97,255,97</v>
      </c>
      <c r="AW204" s="947">
        <v>49.800000000000011</v>
      </c>
      <c r="AX204" s="947">
        <v>44.502166526717595</v>
      </c>
      <c r="AY204" s="947">
        <v>0</v>
      </c>
    </row>
    <row r="205" spans="2:51" x14ac:dyDescent="0.25">
      <c r="B205" s="650">
        <v>2.6260478391178532</v>
      </c>
      <c r="C205" s="651">
        <v>-3.0054007874734596</v>
      </c>
      <c r="D205" s="652">
        <v>-0.9364883074278274</v>
      </c>
      <c r="E205" s="653">
        <v>0.86986729956861031</v>
      </c>
      <c r="F205" s="651">
        <v>0.42294602745710419</v>
      </c>
      <c r="G205" s="654">
        <v>0.25386519848035166</v>
      </c>
      <c r="H205" s="653">
        <v>0.26600000000000001</v>
      </c>
      <c r="I205" s="920">
        <v>0.52</v>
      </c>
      <c r="J205" s="924">
        <v>3.2250000000000001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940" t="s">
        <v>420</v>
      </c>
      <c r="M205" s="970">
        <f t="shared" si="1077"/>
        <v>-49.800000000000011</v>
      </c>
      <c r="N205" s="941"/>
      <c r="O205" s="942"/>
      <c r="Q205" s="162">
        <f t="shared" si="1069"/>
        <v>2.9784635251714331</v>
      </c>
      <c r="R205" s="162">
        <f t="shared" si="1070"/>
        <v>-3.541067158063921</v>
      </c>
      <c r="S205" s="162">
        <f t="shared" si="1071"/>
        <v>-2.2878700865819259</v>
      </c>
      <c r="T205" s="162">
        <f t="shared" si="1072"/>
        <v>0.96680035675680231</v>
      </c>
      <c r="U205" s="162">
        <f t="shared" si="1073"/>
        <v>0.22531037070957818</v>
      </c>
      <c r="V205" s="162">
        <f t="shared" si="1074"/>
        <v>0.12055001877076714</v>
      </c>
      <c r="W205" s="162">
        <f>IFERROR(IF(ISNUMBER(MATCH($Z205,Settings!$AK$28:$AK$36,0)),INDEX(Settings!$AO$14:$AO$36,MATCH($Z205,Settings!$AK$14:$AK$36,0))/2,INDEX(Settings!$AM$14:$AM$36,MATCH($Z205,Settings!$AK$14:$AK$36,0))/2),"")</f>
        <v>0.26450000000000001</v>
      </c>
      <c r="X205" s="162">
        <f t="shared" si="1075"/>
        <v>0.52</v>
      </c>
      <c r="Y205" s="75">
        <v>3.2370000000000001</v>
      </c>
      <c r="Z205" s="917">
        <f t="shared" si="1076"/>
        <v>1313</v>
      </c>
      <c r="AA205" s="82"/>
      <c r="AB205" s="75"/>
      <c r="AC205" s="75"/>
      <c r="AD205" s="166"/>
      <c r="AE205" s="75">
        <v>3.2189999999999999</v>
      </c>
      <c r="AF205" s="82">
        <v>3</v>
      </c>
      <c r="AG205" s="82">
        <v>2</v>
      </c>
      <c r="AH205" s="82">
        <v>1</v>
      </c>
      <c r="AI205" s="82">
        <v>0.99999999998544808</v>
      </c>
      <c r="AJ205" s="166">
        <v>3.2191099999999997</v>
      </c>
      <c r="AK205" s="82" t="str">
        <v>Base</v>
      </c>
      <c r="AL205" s="162">
        <v>-21.75</v>
      </c>
      <c r="AM205" s="162">
        <v>-3.4100032048876927</v>
      </c>
      <c r="AN205" s="162">
        <v>-0.26834481809910771</v>
      </c>
      <c r="AO205" s="162">
        <v>29.122098100860278</v>
      </c>
      <c r="AP205" s="162">
        <v>-17.522031550884623</v>
      </c>
      <c r="AQ205" s="162">
        <v>0</v>
      </c>
      <c r="AR205" s="710" t="str">
        <v>1313.par</v>
      </c>
      <c r="AV205" s="82" t="str">
        <v>97,255,97</v>
      </c>
      <c r="AW205" s="947">
        <v>30.700000000000003</v>
      </c>
      <c r="AX205" s="947">
        <v>29.122098100860278</v>
      </c>
      <c r="AY205" s="947">
        <v>0</v>
      </c>
    </row>
    <row r="206" spans="2:51" x14ac:dyDescent="0.25">
      <c r="B206" s="650">
        <v>2.9265669984934859</v>
      </c>
      <c r="C206" s="651">
        <v>-3.2894380777068331</v>
      </c>
      <c r="D206" s="652">
        <v>-1.5673369048637502</v>
      </c>
      <c r="E206" s="653">
        <v>0.91818510977957513</v>
      </c>
      <c r="F206" s="651">
        <v>0.33804180974312825</v>
      </c>
      <c r="G206" s="654">
        <v>0.20655226710123581</v>
      </c>
      <c r="H206" s="653">
        <v>0.26600000000000001</v>
      </c>
      <c r="I206" s="920">
        <v>0.52</v>
      </c>
      <c r="J206" s="924">
        <v>3.2309999999999999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940" t="s">
        <v>420</v>
      </c>
      <c r="M206" s="970">
        <f t="shared" si="1077"/>
        <v>-68.699999999999989</v>
      </c>
      <c r="N206" s="941"/>
      <c r="O206" s="942"/>
      <c r="Q206" s="162">
        <f t="shared" si="1069"/>
        <v>2.549563914816309</v>
      </c>
      <c r="R206" s="162">
        <f t="shared" si="1070"/>
        <v>-3.9093455760986946</v>
      </c>
      <c r="S206" s="162">
        <f t="shared" si="1071"/>
        <v>-3.1090747033886283</v>
      </c>
      <c r="T206" s="162">
        <f t="shared" si="1072"/>
        <v>0.54418766579326228</v>
      </c>
      <c r="U206" s="162">
        <f t="shared" si="1073"/>
        <v>-0.83442412699414259</v>
      </c>
      <c r="V206" s="162">
        <f t="shared" si="1074"/>
        <v>8.7155956127758921E-2</v>
      </c>
      <c r="W206" s="162">
        <f>IFERROR(IF(ISNUMBER(MATCH($Z206,Settings!$AK$28:$AK$36,0)),INDEX(Settings!$AO$14:$AO$36,MATCH($Z206,Settings!$AK$14:$AK$36,0))/2,INDEX(Settings!$AM$14:$AM$36,MATCH($Z206,Settings!$AK$14:$AK$36,0))/2),"")</f>
        <v>0.255</v>
      </c>
      <c r="X206" s="162">
        <f t="shared" si="1075"/>
        <v>0.41499999999999992</v>
      </c>
      <c r="Y206" s="75">
        <v>3.2429999999999999</v>
      </c>
      <c r="Z206" s="917" t="str">
        <f t="shared" si="1076"/>
        <v>CPS-32193r1</v>
      </c>
      <c r="AA206" s="82"/>
      <c r="AB206" s="75"/>
      <c r="AC206" s="75"/>
      <c r="AD206" s="166"/>
      <c r="AE206" s="75">
        <v>3.2130000000000001</v>
      </c>
      <c r="AF206" s="82">
        <v>3</v>
      </c>
      <c r="AG206" s="82">
        <v>2</v>
      </c>
      <c r="AH206" s="82">
        <v>1</v>
      </c>
      <c r="AI206" s="82">
        <v>0.99999999998544808</v>
      </c>
      <c r="AJ206" s="166">
        <v>3.2131099999999999</v>
      </c>
      <c r="AK206" s="82" t="str">
        <v>Base</v>
      </c>
      <c r="AL206" s="162">
        <v>-21.75</v>
      </c>
      <c r="AM206" s="162">
        <v>-2.7110233796627212</v>
      </c>
      <c r="AN206" s="162">
        <v>1.0899413632142363E-2</v>
      </c>
      <c r="AO206" s="162">
        <v>13.622378361018271</v>
      </c>
      <c r="AP206" s="162">
        <v>-15.899551033654374</v>
      </c>
      <c r="AQ206" s="162">
        <v>0</v>
      </c>
      <c r="AR206" s="710" t="str">
        <v>1310.par</v>
      </c>
      <c r="AV206" s="82" t="str">
        <v>97,255,97</v>
      </c>
      <c r="AW206" s="947">
        <v>11.599999999999994</v>
      </c>
      <c r="AX206" s="947">
        <v>13.622378361018271</v>
      </c>
      <c r="AY206" s="947">
        <v>0</v>
      </c>
    </row>
    <row r="207" spans="2:51" x14ac:dyDescent="0.25">
      <c r="B207" s="650">
        <v>2.9784635251714331</v>
      </c>
      <c r="C207" s="651">
        <v>-3.541067158063921</v>
      </c>
      <c r="D207" s="652">
        <v>-2.2878700865819259</v>
      </c>
      <c r="E207" s="653">
        <v>0.96680035675680231</v>
      </c>
      <c r="F207" s="651">
        <v>0.22531037070957818</v>
      </c>
      <c r="G207" s="654">
        <v>0.12055001877076714</v>
      </c>
      <c r="H207" s="653">
        <v>0.26600000000000001</v>
      </c>
      <c r="I207" s="920">
        <v>0.52</v>
      </c>
      <c r="J207" s="924">
        <v>3.2370000000000001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40" t="s">
        <v>420</v>
      </c>
      <c r="M207" s="970">
        <f t="shared" si="1077"/>
        <v>-85</v>
      </c>
      <c r="N207" s="941"/>
      <c r="O207" s="942"/>
      <c r="Q207" s="162">
        <f t="shared" si="1069"/>
        <v>-0.27757759576593966</v>
      </c>
      <c r="R207" s="162">
        <f t="shared" si="1070"/>
        <v>-2.5676553575863439</v>
      </c>
      <c r="S207" s="162">
        <f t="shared" si="1071"/>
        <v>-0.17170091906806434</v>
      </c>
      <c r="T207" s="162">
        <f t="shared" si="1072"/>
        <v>0.94928136182383838</v>
      </c>
      <c r="U207" s="162">
        <f t="shared" si="1073"/>
        <v>-0.16262890398991914</v>
      </c>
      <c r="V207" s="162">
        <f t="shared" si="1074"/>
        <v>0.26910357797865947</v>
      </c>
      <c r="W207" s="162">
        <f>IFERROR(IF(ISNUMBER(MATCH($Z207,Settings!$AK$28:$AK$36,0)),INDEX(Settings!$AO$14:$AO$36,MATCH($Z207,Settings!$AK$14:$AK$36,0))/2,INDEX(Settings!$AM$14:$AM$36,MATCH($Z207,Settings!$AK$14:$AK$36,0))/2),"")</f>
        <v>0.3125</v>
      </c>
      <c r="X207" s="162">
        <f t="shared" si="1075"/>
        <v>0.52</v>
      </c>
      <c r="Y207" s="75">
        <v>4.1120000000000001</v>
      </c>
      <c r="Z207" s="917">
        <f t="shared" si="1076"/>
        <v>1613</v>
      </c>
      <c r="AA207" s="82"/>
      <c r="AB207" s="75"/>
      <c r="AC207" s="75"/>
      <c r="AD207" s="166"/>
      <c r="AE207" s="75">
        <v>3.1429999999999998</v>
      </c>
      <c r="AF207" s="82">
        <v>3</v>
      </c>
      <c r="AG207" s="82">
        <v>1</v>
      </c>
      <c r="AH207" s="82">
        <v>1</v>
      </c>
      <c r="AI207" s="82">
        <v>0.9999999999490683</v>
      </c>
      <c r="AJ207" s="166">
        <v>3.1431099999999996</v>
      </c>
      <c r="AK207" s="82" t="str">
        <v>Base</v>
      </c>
      <c r="AL207" s="162">
        <v>-21</v>
      </c>
      <c r="AM207" s="162">
        <v>-4.681598395711621</v>
      </c>
      <c r="AN207" s="162">
        <v>-2.9183653511161238</v>
      </c>
      <c r="AO207" s="162">
        <v>84.967735525253474</v>
      </c>
      <c r="AP207" s="162">
        <v>-29.788825501047665</v>
      </c>
      <c r="AQ207" s="162">
        <v>0</v>
      </c>
      <c r="AR207" s="710" t="str">
        <v>1613.par</v>
      </c>
      <c r="AV207" s="82" t="str">
        <v>0,204,0</v>
      </c>
      <c r="AW207" s="947">
        <v>85</v>
      </c>
      <c r="AX207" s="947">
        <v>84.967735525253474</v>
      </c>
      <c r="AY207" s="947">
        <v>0</v>
      </c>
    </row>
    <row r="208" spans="2:51" x14ac:dyDescent="0.25">
      <c r="B208" s="650">
        <v>2.549563914816309</v>
      </c>
      <c r="C208" s="651">
        <v>-3.9093455760986946</v>
      </c>
      <c r="D208" s="652">
        <v>-3.1090747033886283</v>
      </c>
      <c r="E208" s="653">
        <v>0.54418766579326228</v>
      </c>
      <c r="F208" s="651">
        <v>-0.83442412699414259</v>
      </c>
      <c r="G208" s="654">
        <v>8.7155956127758921E-2</v>
      </c>
      <c r="H208" s="653">
        <v>0.25700000000000001</v>
      </c>
      <c r="I208" s="920">
        <v>0.41499999999999992</v>
      </c>
      <c r="J208" s="924">
        <v>3.2429999999999999</v>
      </c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40" t="s">
        <v>425</v>
      </c>
      <c r="M208" s="970">
        <f t="shared" si="1077"/>
        <v>-85</v>
      </c>
      <c r="N208" s="941"/>
      <c r="O208" s="942"/>
      <c r="Q208" s="162">
        <f t="shared" si="1069"/>
        <v>-0.3925466984970637</v>
      </c>
      <c r="R208" s="162">
        <f t="shared" si="1070"/>
        <v>-3.2677262228498263</v>
      </c>
      <c r="S208" s="162">
        <f t="shared" si="1071"/>
        <v>-0.40700233875846736</v>
      </c>
      <c r="T208" s="162">
        <f t="shared" si="1072"/>
        <v>0.93265629180194831</v>
      </c>
      <c r="U208" s="162">
        <f t="shared" si="1073"/>
        <v>-0.24894243497651788</v>
      </c>
      <c r="V208" s="162">
        <f t="shared" si="1074"/>
        <v>0.26111282126736224</v>
      </c>
      <c r="W208" s="162">
        <f>IFERROR(IF(ISNUMBER(MATCH($Z208,Settings!$AK$28:$AK$36,0)),INDEX(Settings!$AO$14:$AO$36,MATCH($Z208,Settings!$AK$14:$AK$36,0))/2,INDEX(Settings!$AM$14:$AM$36,MATCH($Z208,Settings!$AK$14:$AK$36,0))/2),"")</f>
        <v>0.3125</v>
      </c>
      <c r="X208" s="162">
        <f t="shared" si="1075"/>
        <v>0.52</v>
      </c>
      <c r="Y208" s="75">
        <v>4.1180000000000003</v>
      </c>
      <c r="Z208" s="917">
        <f t="shared" si="1076"/>
        <v>1613</v>
      </c>
      <c r="AA208" s="82"/>
      <c r="AB208" s="75"/>
      <c r="AC208" s="75"/>
      <c r="AD208" s="166"/>
      <c r="AE208" s="75">
        <v>3.137</v>
      </c>
      <c r="AF208" s="82">
        <v>3</v>
      </c>
      <c r="AG208" s="82">
        <v>1</v>
      </c>
      <c r="AH208" s="82">
        <v>1</v>
      </c>
      <c r="AI208" s="82">
        <v>0.99999999998544808</v>
      </c>
      <c r="AJ208" s="166">
        <v>3.1371099999999998</v>
      </c>
      <c r="AK208" s="82" t="str">
        <v>Base</v>
      </c>
      <c r="AL208" s="162">
        <v>-21</v>
      </c>
      <c r="AM208" s="162">
        <v>-4.5964638899832382</v>
      </c>
      <c r="AN208" s="162">
        <v>-2.1158962816127755</v>
      </c>
      <c r="AO208" s="162">
        <v>74.890618752992069</v>
      </c>
      <c r="AP208" s="162">
        <v>-27.546952600410776</v>
      </c>
      <c r="AQ208" s="162">
        <v>0</v>
      </c>
      <c r="AR208" s="710" t="str">
        <v>1613 Ripper.par</v>
      </c>
      <c r="AV208" s="82" t="str">
        <v>0,204,0</v>
      </c>
      <c r="AW208" s="947">
        <v>85</v>
      </c>
      <c r="AX208" s="947">
        <v>74.890618752992069</v>
      </c>
      <c r="AY208" s="947">
        <v>0</v>
      </c>
    </row>
    <row r="209" spans="2:51" x14ac:dyDescent="0.25">
      <c r="B209" s="650">
        <v>3.3599675207715705</v>
      </c>
      <c r="C209" s="651">
        <v>-3.3599713308911618</v>
      </c>
      <c r="D209" s="652">
        <v>-8.1462745691641008</v>
      </c>
      <c r="E209" s="653">
        <v>0.98928959119080806</v>
      </c>
      <c r="F209" s="651">
        <v>9.4060433694318865E-2</v>
      </c>
      <c r="G209" s="654">
        <v>-0.11161872412261607</v>
      </c>
      <c r="H209" s="653">
        <v>0.26600000000000001</v>
      </c>
      <c r="I209" s="920">
        <v>0.52</v>
      </c>
      <c r="J209" s="924">
        <v>3.399</v>
      </c>
      <c r="K209" s="790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1313</v>
      </c>
      <c r="L209" s="940" t="s">
        <v>420</v>
      </c>
      <c r="M209" s="970">
        <v>0</v>
      </c>
      <c r="N209" s="941"/>
      <c r="O209" s="942" t="s">
        <v>9</v>
      </c>
      <c r="Q209" s="162">
        <f t="shared" si="1069"/>
        <v>-0.51697438854437772</v>
      </c>
      <c r="R209" s="162">
        <f t="shared" si="1070"/>
        <v>-3.8540044288446209</v>
      </c>
      <c r="S209" s="162">
        <f t="shared" si="1071"/>
        <v>-0.8556050693102808</v>
      </c>
      <c r="T209" s="162">
        <f t="shared" si="1072"/>
        <v>0.89705254934743606</v>
      </c>
      <c r="U209" s="162">
        <f t="shared" si="1073"/>
        <v>-0.35882300068300227</v>
      </c>
      <c r="V209" s="162">
        <f t="shared" si="1074"/>
        <v>0.25795886860139539</v>
      </c>
      <c r="W209" s="162">
        <f>IFERROR(IF(ISNUMBER(MATCH($Z209,Settings!$AK$28:$AK$36,0)),INDEX(Settings!$AO$14:$AO$36,MATCH($Z209,Settings!$AK$14:$AK$36,0))/2,INDEX(Settings!$AM$14:$AM$36,MATCH($Z209,Settings!$AK$14:$AK$36,0))/2),"")</f>
        <v>0.3125</v>
      </c>
      <c r="X209" s="162">
        <f t="shared" si="1075"/>
        <v>0.52</v>
      </c>
      <c r="Y209" s="75">
        <v>4.1239999999999997</v>
      </c>
      <c r="Z209" s="917">
        <f t="shared" si="1076"/>
        <v>1613</v>
      </c>
      <c r="AA209" s="82"/>
      <c r="AB209" s="75"/>
      <c r="AC209" s="75"/>
      <c r="AD209" s="166"/>
      <c r="AE209" s="75">
        <v>3.1309999999999998</v>
      </c>
      <c r="AF209" s="82">
        <v>3</v>
      </c>
      <c r="AG209" s="82">
        <v>1</v>
      </c>
      <c r="AH209" s="82">
        <v>1</v>
      </c>
      <c r="AI209" s="82">
        <v>0.9999999999490683</v>
      </c>
      <c r="AJ209" s="166">
        <v>3.1311099999999996</v>
      </c>
      <c r="AK209" s="82" t="str">
        <v>Base</v>
      </c>
      <c r="AL209" s="162">
        <v>-21</v>
      </c>
      <c r="AM209" s="162">
        <v>-4.3752091699871158</v>
      </c>
      <c r="AN209" s="162">
        <v>-1.4042732599383976</v>
      </c>
      <c r="AO209" s="162">
        <v>59.734754558642074</v>
      </c>
      <c r="AP209" s="162">
        <v>-24.193705600630707</v>
      </c>
      <c r="AQ209" s="162">
        <v>0</v>
      </c>
      <c r="AR209" s="710" t="str">
        <v>1613 Ripper.par</v>
      </c>
      <c r="AV209" s="82" t="str">
        <v>0,204,0</v>
      </c>
      <c r="AW209" s="947">
        <v>68.699999999999989</v>
      </c>
      <c r="AX209" s="947">
        <v>59.734754558642074</v>
      </c>
      <c r="AY209" s="947">
        <v>0</v>
      </c>
    </row>
    <row r="210" spans="2:51" x14ac:dyDescent="0.25">
      <c r="B210" s="650">
        <v>-0.27757759576593966</v>
      </c>
      <c r="C210" s="651">
        <v>-2.5676553575863439</v>
      </c>
      <c r="D210" s="652">
        <v>-0.17170091906806434</v>
      </c>
      <c r="E210" s="653">
        <v>0.94928136182383838</v>
      </c>
      <c r="F210" s="651">
        <v>-0.16262890398991914</v>
      </c>
      <c r="G210" s="654">
        <v>0.26910357797865947</v>
      </c>
      <c r="H210" s="653">
        <v>0.314</v>
      </c>
      <c r="I210" s="920">
        <v>0.52</v>
      </c>
      <c r="J210" s="924">
        <v>4.1120000000000001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940" t="s">
        <v>419</v>
      </c>
      <c r="M210" s="970">
        <f>90+-98.5</f>
        <v>-8.5</v>
      </c>
      <c r="N210" s="941"/>
      <c r="O210" s="942"/>
      <c r="Q210" s="162">
        <f t="shared" ref="Q210:Q273" si="1078">IFERROR(INDEX(B$164:B$305,MATCH($Y210,$J$164:$J$305,0)),"")</f>
        <v>-0.62459157003067378</v>
      </c>
      <c r="R210" s="162">
        <f t="shared" ref="R210:R273" si="1079">IFERROR(INDEX(C$164:C$305,MATCH($Y210,$J$164:$J$305,0)),"")</f>
        <v>-4.2814067903488766</v>
      </c>
      <c r="S210" s="162">
        <f t="shared" ref="S210:S273" si="1080">IFERROR(INDEX(D$164:D$305,MATCH($Y210,$J$164:$J$305,0)),"")</f>
        <v>-1.4612088139982744</v>
      </c>
      <c r="T210" s="162">
        <f t="shared" ref="T210:T273" si="1081">IFERROR(IF($N210="Y",-1*INDEX(E$164:E$305,MATCH($Y210,$J$164:$J$305,0)),INDEX(E$164:E$305,MATCH($Y210,$J$164:$J$305,0))),"")</f>
        <v>0.85588815384348982</v>
      </c>
      <c r="U210" s="162">
        <f t="shared" ref="U210:U273" si="1082">IFERROR(IF($N210="Y",-1*INDEX(F$164:F$305,MATCH($Y210,$J$164:$J$305,0)),INDEX(F$164:F$305,MATCH($Y210,$J$164:$J$305,0))),"")</f>
        <v>-0.46935440894399982</v>
      </c>
      <c r="V210" s="162">
        <f t="shared" ref="V210:V273" si="1083">IFERROR(IF($N210="Y",-1*INDEX(G$164:G$305,MATCH($Y210,$J$164:$J$305,0)),INDEX(G$164:G$305,MATCH($Y210,$J$164:$J$305,0))),"")</f>
        <v>0.2171679233109976</v>
      </c>
      <c r="W210" s="162">
        <f>IFERROR(IF(ISNUMBER(MATCH($Z210,Settings!$AK$28:$AK$36,0)),INDEX(Settings!$AO$14:$AO$36,MATCH($Z210,Settings!$AK$14:$AK$36,0))/2,INDEX(Settings!$AM$14:$AM$36,MATCH($Z210,Settings!$AK$14:$AK$36,0))/2),"")</f>
        <v>0.3125</v>
      </c>
      <c r="X210" s="162">
        <f t="shared" ref="X210:X273" si="1084">IFERROR(INDEX(I$164:I$305,MATCH($Y210,$J$164:$J$305,0)),"")</f>
        <v>0.52</v>
      </c>
      <c r="Y210" s="75">
        <v>4.13</v>
      </c>
      <c r="Z210" s="917">
        <f t="shared" ref="Z210:Z273" si="1085">IFERROR(INDEX(K$164:K$305,MATCH($Y210,$J$164:$J$305,0)),"")</f>
        <v>1613</v>
      </c>
      <c r="AA210" s="82"/>
      <c r="AB210" s="75"/>
      <c r="AC210" s="75"/>
      <c r="AD210" s="166"/>
      <c r="AE210" s="75">
        <v>3.125</v>
      </c>
      <c r="AF210" s="82">
        <v>3</v>
      </c>
      <c r="AG210" s="82">
        <v>1</v>
      </c>
      <c r="AH210" s="82">
        <v>1</v>
      </c>
      <c r="AI210" s="82">
        <v>0.99999999998544808</v>
      </c>
      <c r="AJ210" s="166">
        <v>3.1251099999999998</v>
      </c>
      <c r="AK210" s="82" t="str">
        <v>Base</v>
      </c>
      <c r="AL210" s="162">
        <v>-21</v>
      </c>
      <c r="AM210" s="162">
        <v>-3.968490567910163</v>
      </c>
      <c r="AN210" s="162">
        <v>-0.78024770943967126</v>
      </c>
      <c r="AO210" s="162">
        <v>44.499946249576794</v>
      </c>
      <c r="AP210" s="162">
        <v>-20.850257744862255</v>
      </c>
      <c r="AQ210" s="162">
        <v>0</v>
      </c>
      <c r="AR210" s="710" t="str">
        <v>1613 Ripper.par</v>
      </c>
      <c r="AV210" s="82" t="str">
        <v>0,204,0</v>
      </c>
      <c r="AW210" s="947">
        <v>49.800000000000011</v>
      </c>
      <c r="AX210" s="947">
        <v>44.499946249576794</v>
      </c>
      <c r="AY210" s="947">
        <v>0</v>
      </c>
    </row>
    <row r="211" spans="2:51" x14ac:dyDescent="0.25">
      <c r="B211" s="650">
        <v>-0.3925466984970637</v>
      </c>
      <c r="C211" s="651">
        <v>-3.2677262228498263</v>
      </c>
      <c r="D211" s="652">
        <v>-0.40700233875846736</v>
      </c>
      <c r="E211" s="653">
        <v>0.93265629180194831</v>
      </c>
      <c r="F211" s="651">
        <v>-0.24894243497651788</v>
      </c>
      <c r="G211" s="654">
        <v>0.26111282126736224</v>
      </c>
      <c r="H211" s="653">
        <v>0.314</v>
      </c>
      <c r="I211" s="920">
        <v>0.52</v>
      </c>
      <c r="J211" s="924">
        <v>4.1180000000000003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0" t="s">
        <v>419</v>
      </c>
      <c r="M211" s="970">
        <f>90+-117.5</f>
        <v>-27.5</v>
      </c>
      <c r="N211" s="941"/>
      <c r="O211" s="942"/>
      <c r="Q211" s="162">
        <f t="shared" si="1078"/>
        <v>-0.69381311173375759</v>
      </c>
      <c r="R211" s="162">
        <f t="shared" si="1079"/>
        <v>-4.5287895914941974</v>
      </c>
      <c r="S211" s="162">
        <f t="shared" si="1080"/>
        <v>-2.1642130545134592</v>
      </c>
      <c r="T211" s="162">
        <f t="shared" si="1081"/>
        <v>0.81314284021933736</v>
      </c>
      <c r="U211" s="162">
        <f t="shared" si="1082"/>
        <v>-0.56560201205730121</v>
      </c>
      <c r="V211" s="162">
        <f t="shared" si="1083"/>
        <v>0.13745212023378078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4"/>
        <v>0.52</v>
      </c>
      <c r="Y211" s="75">
        <v>4.1360000000000001</v>
      </c>
      <c r="Z211" s="917">
        <f t="shared" si="1085"/>
        <v>1613</v>
      </c>
      <c r="AA211" s="82"/>
      <c r="AB211" s="75"/>
      <c r="AC211" s="75"/>
      <c r="AD211" s="166"/>
      <c r="AE211" s="75">
        <v>3.1190000000000002</v>
      </c>
      <c r="AF211" s="82">
        <v>3</v>
      </c>
      <c r="AG211" s="82">
        <v>1</v>
      </c>
      <c r="AH211" s="82">
        <v>1</v>
      </c>
      <c r="AI211" s="82">
        <v>1.0000000000218279</v>
      </c>
      <c r="AJ211" s="166">
        <v>3.11911</v>
      </c>
      <c r="AK211" s="82" t="str">
        <v>Base</v>
      </c>
      <c r="AL211" s="162">
        <v>-21</v>
      </c>
      <c r="AM211" s="162">
        <v>-3.3971368047881008</v>
      </c>
      <c r="AN211" s="162">
        <v>-0.30243890666461137</v>
      </c>
      <c r="AO211" s="162">
        <v>29.118742089064096</v>
      </c>
      <c r="AP211" s="162">
        <v>-17.521441320236239</v>
      </c>
      <c r="AQ211" s="162">
        <v>0</v>
      </c>
      <c r="AR211" s="710" t="str">
        <v>1613 Ripper.par</v>
      </c>
      <c r="AV211" s="82" t="str">
        <v>0,204,0</v>
      </c>
      <c r="AW211" s="947">
        <v>30.700000000000003</v>
      </c>
      <c r="AX211" s="947">
        <v>29.118742089064096</v>
      </c>
      <c r="AY211" s="947">
        <v>0</v>
      </c>
    </row>
    <row r="212" spans="2:51" x14ac:dyDescent="0.25">
      <c r="B212" s="650">
        <v>-0.51697438854437772</v>
      </c>
      <c r="C212" s="651">
        <v>-3.8540044288446209</v>
      </c>
      <c r="D212" s="652">
        <v>-0.8556050693102808</v>
      </c>
      <c r="E212" s="653">
        <v>0.89705254934743606</v>
      </c>
      <c r="F212" s="651">
        <v>-0.35882300068300227</v>
      </c>
      <c r="G212" s="654">
        <v>0.25795886860139539</v>
      </c>
      <c r="H212" s="653">
        <v>0.314</v>
      </c>
      <c r="I212" s="920">
        <v>0.52</v>
      </c>
      <c r="J212" s="924">
        <v>4.1239999999999997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0" t="s">
        <v>419</v>
      </c>
      <c r="M212" s="970">
        <f>90+-136.6</f>
        <v>-46.599999999999994</v>
      </c>
      <c r="N212" s="941"/>
      <c r="O212" s="942"/>
      <c r="Q212" s="162">
        <f t="shared" si="1078"/>
        <v>-0.72502114195133027</v>
      </c>
      <c r="R212" s="162">
        <f t="shared" si="1079"/>
        <v>-4.6351679717615131</v>
      </c>
      <c r="S212" s="162">
        <f t="shared" si="1080"/>
        <v>-2.9661178915961419</v>
      </c>
      <c r="T212" s="162">
        <f t="shared" si="1081"/>
        <v>0.77864660107525707</v>
      </c>
      <c r="U212" s="162">
        <f t="shared" si="1082"/>
        <v>-0.62594761934029042</v>
      </c>
      <c r="V212" s="162">
        <f t="shared" si="1083"/>
        <v>4.357807334167587E-2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4"/>
        <v>0.52</v>
      </c>
      <c r="Y212" s="75">
        <v>4.1420000000000003</v>
      </c>
      <c r="Z212" s="917">
        <f t="shared" si="1085"/>
        <v>1613</v>
      </c>
      <c r="AA212" s="82"/>
      <c r="AB212" s="75"/>
      <c r="AC212" s="75"/>
      <c r="AD212" s="166"/>
      <c r="AE212" s="75">
        <v>3.113</v>
      </c>
      <c r="AF212" s="82">
        <v>3</v>
      </c>
      <c r="AG212" s="82">
        <v>1</v>
      </c>
      <c r="AH212" s="82">
        <v>1</v>
      </c>
      <c r="AI212" s="82">
        <v>0.99999999998544808</v>
      </c>
      <c r="AJ212" s="166">
        <v>3.1131099999999998</v>
      </c>
      <c r="AK212" s="82" t="str">
        <v>Base</v>
      </c>
      <c r="AL212" s="162">
        <v>-21</v>
      </c>
      <c r="AM212" s="162">
        <v>-2.7042578699411042</v>
      </c>
      <c r="AN212" s="162">
        <v>-2.9282529769640742E-2</v>
      </c>
      <c r="AO212" s="162">
        <v>13.618907176394012</v>
      </c>
      <c r="AP212" s="162">
        <v>-15.899311451360761</v>
      </c>
      <c r="AQ212" s="162">
        <v>0</v>
      </c>
      <c r="AR212" s="710" t="str">
        <v>1613 Ripper.par</v>
      </c>
      <c r="AV212" s="82" t="str">
        <v>0,204,0</v>
      </c>
      <c r="AW212" s="947">
        <v>11.599999999999994</v>
      </c>
      <c r="AX212" s="947">
        <v>13.618907176394012</v>
      </c>
      <c r="AY212" s="947">
        <v>0</v>
      </c>
    </row>
    <row r="213" spans="2:51" x14ac:dyDescent="0.25">
      <c r="B213" s="650">
        <v>-0.62459157003067378</v>
      </c>
      <c r="C213" s="651">
        <v>-4.2814067903488766</v>
      </c>
      <c r="D213" s="652">
        <v>-1.4612088139982744</v>
      </c>
      <c r="E213" s="653">
        <v>0.85588815384348982</v>
      </c>
      <c r="F213" s="651">
        <v>-0.46935440894399982</v>
      </c>
      <c r="G213" s="654">
        <v>0.2171679233109976</v>
      </c>
      <c r="H213" s="653">
        <v>0.314</v>
      </c>
      <c r="I213" s="920">
        <v>0.52</v>
      </c>
      <c r="J213" s="924">
        <v>4.13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419</v>
      </c>
      <c r="M213" s="970">
        <f>90+-155.5</f>
        <v>-65.5</v>
      </c>
      <c r="N213" s="941"/>
      <c r="O213" s="942"/>
      <c r="Q213" s="162">
        <f t="shared" si="1078"/>
        <v>-1.2123093853163698</v>
      </c>
      <c r="R213" s="162">
        <f t="shared" si="1079"/>
        <v>-3.0773175768159233</v>
      </c>
      <c r="S213" s="162">
        <f t="shared" si="1080"/>
        <v>-0.38386211299590139</v>
      </c>
      <c r="T213" s="162">
        <f t="shared" si="1081"/>
        <v>0.7981954758072628</v>
      </c>
      <c r="U213" s="162">
        <f t="shared" si="1082"/>
        <v>-0.50132502682655644</v>
      </c>
      <c r="V213" s="162">
        <f t="shared" si="1083"/>
        <v>0.33400179621997522</v>
      </c>
      <c r="W213" s="162">
        <f>IFERROR(IF(ISNUMBER(MATCH($Z213,Settings!$AK$28:$AK$36,0)),INDEX(Settings!$AO$14:$AO$36,MATCH($Z213,Settings!$AK$14:$AK$36,0))/2,INDEX(Settings!$AM$14:$AM$36,MATCH($Z213,Settings!$AK$14:$AK$36,0))/2),"")</f>
        <v>0.26450000000000001</v>
      </c>
      <c r="X213" s="162">
        <f t="shared" si="1084"/>
        <v>0.39400000000000002</v>
      </c>
      <c r="Y213" s="75">
        <v>4.218</v>
      </c>
      <c r="Z213" s="917">
        <f t="shared" si="1085"/>
        <v>1310</v>
      </c>
      <c r="AA213" s="82"/>
      <c r="AB213" s="75"/>
      <c r="AC213" s="75"/>
      <c r="AD213" s="166"/>
      <c r="AE213" s="75">
        <v>3.1080000000000001</v>
      </c>
      <c r="AF213" s="82">
        <v>3</v>
      </c>
      <c r="AG213" s="82">
        <v>1</v>
      </c>
      <c r="AH213" s="82">
        <v>1</v>
      </c>
      <c r="AI213" s="82">
        <v>0.99999999998544808</v>
      </c>
      <c r="AJ213" s="166">
        <v>3.1081099999999999</v>
      </c>
      <c r="AK213" s="82" t="str">
        <v>Base</v>
      </c>
      <c r="AL213" s="162">
        <v>-21</v>
      </c>
      <c r="AM213" s="162">
        <v>-1.9693653471330419</v>
      </c>
      <c r="AN213" s="162">
        <v>6.8505170139857019E-4</v>
      </c>
      <c r="AO213" s="162">
        <v>0.54897347881994862</v>
      </c>
      <c r="AP213" s="162">
        <v>-15.985112335508287</v>
      </c>
      <c r="AQ213" s="162">
        <v>0</v>
      </c>
      <c r="AR213" s="710" t="str">
        <v>1613.par</v>
      </c>
      <c r="AV213" s="82" t="str">
        <v>0,204,0</v>
      </c>
      <c r="AW213" s="947">
        <v>-7.0999999999999943</v>
      </c>
      <c r="AX213" s="947">
        <v>0.54897347881994862</v>
      </c>
      <c r="AY213" s="947">
        <v>0</v>
      </c>
    </row>
    <row r="214" spans="2:51" x14ac:dyDescent="0.25">
      <c r="B214" s="650">
        <v>-0.69381311173375759</v>
      </c>
      <c r="C214" s="651">
        <v>-4.5287895914941974</v>
      </c>
      <c r="D214" s="652">
        <v>-2.1642130545134592</v>
      </c>
      <c r="E214" s="653">
        <v>0.81314284021933736</v>
      </c>
      <c r="F214" s="651">
        <v>-0.56560201205730121</v>
      </c>
      <c r="G214" s="654">
        <v>0.13745212023378078</v>
      </c>
      <c r="H214" s="653">
        <v>0.314</v>
      </c>
      <c r="I214" s="920">
        <v>0.52</v>
      </c>
      <c r="J214" s="924">
        <v>4.1360000000000001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40" t="s">
        <v>419</v>
      </c>
      <c r="M214" s="970">
        <f>90+-174.1</f>
        <v>-84.1</v>
      </c>
      <c r="N214" s="941"/>
      <c r="O214" s="942"/>
      <c r="Q214" s="162">
        <f t="shared" si="1078"/>
        <v>-1.3383221308373929</v>
      </c>
      <c r="R214" s="162">
        <f t="shared" si="1079"/>
        <v>-3.6765514874520182</v>
      </c>
      <c r="S214" s="162">
        <f t="shared" si="1080"/>
        <v>-0.83623987151094625</v>
      </c>
      <c r="T214" s="162">
        <f t="shared" si="1081"/>
        <v>0.74886722638515835</v>
      </c>
      <c r="U214" s="162">
        <f t="shared" si="1082"/>
        <v>-0.5818923334370214</v>
      </c>
      <c r="V214" s="162">
        <f t="shared" si="1083"/>
        <v>0.31717375290748528</v>
      </c>
      <c r="W214" s="162">
        <f>IFERROR(IF(ISNUMBER(MATCH($Z214,Settings!$AK$28:$AK$36,0)),INDEX(Settings!$AO$14:$AO$36,MATCH($Z214,Settings!$AK$14:$AK$36,0))/2,INDEX(Settings!$AM$14:$AM$36,MATCH($Z214,Settings!$AK$14:$AK$36,0))/2),"")</f>
        <v>0.26450000000000001</v>
      </c>
      <c r="X214" s="162">
        <f t="shared" si="1084"/>
        <v>0.52</v>
      </c>
      <c r="Y214" s="75">
        <v>4.2240000000000002</v>
      </c>
      <c r="Z214" s="917">
        <f t="shared" si="1085"/>
        <v>1313</v>
      </c>
      <c r="AA214" s="82"/>
      <c r="AB214" s="75"/>
      <c r="AC214" s="75"/>
      <c r="AD214" s="166"/>
      <c r="AE214" s="75">
        <v>3.105</v>
      </c>
      <c r="AF214" s="82">
        <v>3</v>
      </c>
      <c r="AG214" s="82">
        <v>1</v>
      </c>
      <c r="AH214" s="82">
        <v>1</v>
      </c>
      <c r="AI214" s="82">
        <v>0.99999999998544808</v>
      </c>
      <c r="AJ214" s="166">
        <v>3.1051099999999998</v>
      </c>
      <c r="AK214" s="82" t="str">
        <v>Base</v>
      </c>
      <c r="AL214" s="162">
        <v>-21</v>
      </c>
      <c r="AM214" s="162">
        <v>-1.2697456862039611</v>
      </c>
      <c r="AN214" s="162">
        <v>-0.19378989222032342</v>
      </c>
      <c r="AO214" s="162">
        <v>-5.0149734933954218</v>
      </c>
      <c r="AP214" s="162">
        <v>-16.053090590113129</v>
      </c>
      <c r="AQ214" s="162">
        <v>0</v>
      </c>
      <c r="AR214" s="710" t="str">
        <v>1613.par</v>
      </c>
      <c r="AV214" s="82" t="str">
        <v>0,204,0</v>
      </c>
      <c r="AW214" s="947">
        <v>-20</v>
      </c>
      <c r="AX214" s="947">
        <v>-5.0149734933954218</v>
      </c>
      <c r="AY214" s="947">
        <v>0</v>
      </c>
    </row>
    <row r="215" spans="2:51" x14ac:dyDescent="0.25">
      <c r="B215" s="650">
        <v>-0.72502114195133027</v>
      </c>
      <c r="C215" s="651">
        <v>-4.6351679717615131</v>
      </c>
      <c r="D215" s="652">
        <v>-2.9661178915961419</v>
      </c>
      <c r="E215" s="653">
        <v>0.77864660107525707</v>
      </c>
      <c r="F215" s="651">
        <v>-0.62594761934029042</v>
      </c>
      <c r="G215" s="654">
        <v>4.357807334167587E-2</v>
      </c>
      <c r="H215" s="653">
        <v>0.314</v>
      </c>
      <c r="I215" s="920">
        <v>0.52</v>
      </c>
      <c r="J215" s="924">
        <v>4.1420000000000003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940" t="s">
        <v>419</v>
      </c>
      <c r="M215" s="970">
        <f>90+-175</f>
        <v>-85</v>
      </c>
      <c r="N215" s="941"/>
      <c r="O215" s="942"/>
      <c r="Q215" s="162">
        <f t="shared" si="1078"/>
        <v>-1.8432979955374242</v>
      </c>
      <c r="R215" s="162">
        <f t="shared" si="1079"/>
        <v>-3.9076794759961109</v>
      </c>
      <c r="S215" s="162">
        <f t="shared" si="1080"/>
        <v>-1.4792307651506384</v>
      </c>
      <c r="T215" s="162">
        <f t="shared" si="1081"/>
        <v>-0.38821556687547565</v>
      </c>
      <c r="U215" s="162">
        <f t="shared" si="1082"/>
        <v>-0.82299335572119225</v>
      </c>
      <c r="V215" s="162">
        <f t="shared" si="1083"/>
        <v>0.41469339285106099</v>
      </c>
      <c r="W215" s="162">
        <f>IFERROR(IF(ISNUMBER(MATCH($Z215,Settings!$AK$28:$AK$36,0)),INDEX(Settings!$AO$14:$AO$36,MATCH($Z215,Settings!$AK$14:$AK$36,0))/2,INDEX(Settings!$AM$14:$AM$36,MATCH($Z215,Settings!$AK$14:$AK$36,0))/2),"")</f>
        <v>0.255</v>
      </c>
      <c r="X215" s="162">
        <f t="shared" si="1084"/>
        <v>0.41499999999999992</v>
      </c>
      <c r="Y215" s="75">
        <v>4.2300000000000004</v>
      </c>
      <c r="Z215" s="917" t="str">
        <f t="shared" si="1085"/>
        <v>CPS-32193r1</v>
      </c>
      <c r="AA215" s="82"/>
      <c r="AB215" s="75"/>
      <c r="AC215" s="75"/>
      <c r="AD215" s="166"/>
      <c r="AE215" s="75">
        <v>3.1019999999999999</v>
      </c>
      <c r="AF215" s="82">
        <v>3</v>
      </c>
      <c r="AG215" s="82">
        <v>1</v>
      </c>
      <c r="AH215" s="82">
        <v>1</v>
      </c>
      <c r="AI215" s="82">
        <v>0.99999999998544808</v>
      </c>
      <c r="AJ215" s="166">
        <v>3.1021099999999997</v>
      </c>
      <c r="AK215" s="82" t="str">
        <v>Base</v>
      </c>
      <c r="AL215" s="162">
        <v>-21</v>
      </c>
      <c r="AM215" s="162">
        <v>-0.57489526715768602</v>
      </c>
      <c r="AN215" s="162">
        <v>-0.44644442255844652</v>
      </c>
      <c r="AO215" s="162">
        <v>-11.37071787295627</v>
      </c>
      <c r="AP215" s="162">
        <v>-19.284983884531435</v>
      </c>
      <c r="AQ215" s="162">
        <v>0</v>
      </c>
      <c r="AR215" s="710" t="str">
        <v>1613.par</v>
      </c>
      <c r="AV215" s="82" t="str">
        <v>0,204,0</v>
      </c>
      <c r="AW215" s="947">
        <v>-20</v>
      </c>
      <c r="AX215" s="947">
        <v>-11.37071787295627</v>
      </c>
      <c r="AY215" s="947">
        <v>0</v>
      </c>
    </row>
    <row r="216" spans="2:51" x14ac:dyDescent="0.25">
      <c r="B216" s="650">
        <v>-1.2123093853163698</v>
      </c>
      <c r="C216" s="651">
        <v>-3.0773175768159233</v>
      </c>
      <c r="D216" s="652">
        <v>-0.38386211299590139</v>
      </c>
      <c r="E216" s="653">
        <v>0.7981954758072628</v>
      </c>
      <c r="F216" s="651">
        <v>-0.50132502682655644</v>
      </c>
      <c r="G216" s="654">
        <v>0.33400179621997522</v>
      </c>
      <c r="H216" s="653">
        <v>0.26600000000000001</v>
      </c>
      <c r="I216" s="920">
        <v>0.39400000000000002</v>
      </c>
      <c r="J216" s="924">
        <v>4.218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1310</v>
      </c>
      <c r="L216" s="940" t="s">
        <v>424</v>
      </c>
      <c r="M216" s="970">
        <f>M211</f>
        <v>-27.5</v>
      </c>
      <c r="N216" s="941"/>
      <c r="O216" s="942"/>
      <c r="Q216" s="162">
        <f t="shared" si="1078"/>
        <v>-2.0228554225626101</v>
      </c>
      <c r="R216" s="162">
        <f t="shared" si="1079"/>
        <v>-4.0936582178694465</v>
      </c>
      <c r="S216" s="162">
        <f t="shared" si="1080"/>
        <v>-2.183739325206862</v>
      </c>
      <c r="T216" s="162">
        <f t="shared" si="1081"/>
        <v>-0.44066173870913378</v>
      </c>
      <c r="U216" s="162">
        <f t="shared" si="1082"/>
        <v>-0.89176840215403441</v>
      </c>
      <c r="V216" s="162">
        <f t="shared" si="1083"/>
        <v>0.10279274759185855</v>
      </c>
      <c r="W216" s="162">
        <f>IFERROR(IF(ISNUMBER(MATCH($Z216,Settings!$AK$28:$AK$36,0)),INDEX(Settings!$AO$14:$AO$36,MATCH($Z216,Settings!$AK$14:$AK$36,0))/2,INDEX(Settings!$AM$14:$AM$36,MATCH($Z216,Settings!$AK$14:$AK$36,0))/2),"")</f>
        <v>0.255</v>
      </c>
      <c r="X216" s="162">
        <f t="shared" si="1084"/>
        <v>0.41499999999999992</v>
      </c>
      <c r="Y216" s="75">
        <v>4.2359999999999998</v>
      </c>
      <c r="Z216" s="917" t="str">
        <f t="shared" si="1085"/>
        <v>CPS-32193r1</v>
      </c>
      <c r="AA216" s="82"/>
      <c r="AB216" s="75"/>
      <c r="AC216" s="75"/>
      <c r="AD216" s="166"/>
      <c r="AE216" s="75">
        <v>2.246</v>
      </c>
      <c r="AF216" s="82">
        <v>2</v>
      </c>
      <c r="AG216" s="82">
        <v>2</v>
      </c>
      <c r="AH216" s="82">
        <v>1</v>
      </c>
      <c r="AI216" s="82">
        <v>0.99999999998544808</v>
      </c>
      <c r="AJ216" s="166">
        <v>2.2461099999999998</v>
      </c>
      <c r="AK216" s="82" t="str">
        <v>Base</v>
      </c>
      <c r="AL216" s="162">
        <v>-20.25</v>
      </c>
      <c r="AM216" s="162">
        <v>-4.6672539022786079</v>
      </c>
      <c r="AN216" s="162">
        <v>-3.3741962327259691</v>
      </c>
      <c r="AO216" s="162">
        <v>84.999987727520192</v>
      </c>
      <c r="AP216" s="162">
        <v>0</v>
      </c>
      <c r="AQ216" s="162">
        <v>0</v>
      </c>
      <c r="AR216" s="710" t="str">
        <v>32193r1.par</v>
      </c>
      <c r="AV216" s="82" t="str">
        <v>255,255,91</v>
      </c>
      <c r="AW216" s="947">
        <v>85</v>
      </c>
      <c r="AX216" s="947">
        <v>84.999987727520192</v>
      </c>
      <c r="AY216" s="947">
        <v>0</v>
      </c>
    </row>
    <row r="217" spans="2:51" x14ac:dyDescent="0.25">
      <c r="B217" s="650">
        <v>-1.3383221308373929</v>
      </c>
      <c r="C217" s="651">
        <v>-3.6765514874520182</v>
      </c>
      <c r="D217" s="652">
        <v>-0.83623987151094625</v>
      </c>
      <c r="E217" s="653">
        <v>0.74886722638515835</v>
      </c>
      <c r="F217" s="651">
        <v>-0.5818923334370214</v>
      </c>
      <c r="G217" s="654">
        <v>0.31717375290748528</v>
      </c>
      <c r="H217" s="653">
        <v>0.26600000000000001</v>
      </c>
      <c r="I217" s="920">
        <v>0.52</v>
      </c>
      <c r="J217" s="924">
        <v>4.2240000000000002</v>
      </c>
      <c r="K217" s="790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1313</v>
      </c>
      <c r="L217" s="940" t="s">
        <v>420</v>
      </c>
      <c r="M217" s="970">
        <f>M212</f>
        <v>-46.599999999999994</v>
      </c>
      <c r="N217" s="941"/>
      <c r="O217" s="942"/>
      <c r="Q217" s="162">
        <f t="shared" si="1078"/>
        <v>-2.1641265939885073</v>
      </c>
      <c r="R217" s="162">
        <f t="shared" si="1079"/>
        <v>-4.1351922656978841</v>
      </c>
      <c r="S217" s="162">
        <f t="shared" si="1080"/>
        <v>-2.9838541826838672</v>
      </c>
      <c r="T217" s="162">
        <f t="shared" si="1081"/>
        <v>-0.46191860216557118</v>
      </c>
      <c r="U217" s="162">
        <f t="shared" si="1082"/>
        <v>-0.88262961897098213</v>
      </c>
      <c r="V217" s="162">
        <f t="shared" si="1083"/>
        <v>8.7155956127759088E-2</v>
      </c>
      <c r="W217" s="162">
        <f>IFERROR(IF(ISNUMBER(MATCH($Z217,Settings!$AK$28:$AK$36,0)),INDEX(Settings!$AO$14:$AO$36,MATCH($Z217,Settings!$AK$14:$AK$36,0))/2,INDEX(Settings!$AM$14:$AM$36,MATCH($Z217,Settings!$AK$14:$AK$36,0))/2),"")</f>
        <v>0.255</v>
      </c>
      <c r="X217" s="162">
        <f t="shared" si="1084"/>
        <v>0.41499999999999992</v>
      </c>
      <c r="Y217" s="75">
        <v>4.242</v>
      </c>
      <c r="Z217" s="917" t="str">
        <f t="shared" si="1085"/>
        <v>CPS-32193r1</v>
      </c>
      <c r="AA217" s="82"/>
      <c r="AB217" s="75"/>
      <c r="AC217" s="75"/>
      <c r="AD217" s="166"/>
      <c r="AE217" s="75">
        <v>2.2400000000000002</v>
      </c>
      <c r="AF217" s="82">
        <v>2</v>
      </c>
      <c r="AG217" s="82">
        <v>2</v>
      </c>
      <c r="AH217" s="82">
        <v>1</v>
      </c>
      <c r="AI217" s="82">
        <v>1.0000000000218279</v>
      </c>
      <c r="AJ217" s="166">
        <v>2.24011</v>
      </c>
      <c r="AK217" s="82" t="str">
        <v>Base</v>
      </c>
      <c r="AL217" s="162">
        <v>-20.25</v>
      </c>
      <c r="AM217" s="162">
        <v>-4.6219389320094395</v>
      </c>
      <c r="AN217" s="162">
        <v>-2.569413037881751</v>
      </c>
      <c r="AO217" s="162">
        <v>84.999987727520192</v>
      </c>
      <c r="AP217" s="162">
        <v>0</v>
      </c>
      <c r="AQ217" s="162">
        <v>0</v>
      </c>
      <c r="AR217" s="710" t="str">
        <v>32193r1.par</v>
      </c>
      <c r="AV217" s="82" t="str">
        <v>255,255,91</v>
      </c>
      <c r="AW217" s="947">
        <v>85</v>
      </c>
      <c r="AX217" s="947">
        <v>84.999987727520192</v>
      </c>
      <c r="AY217" s="947">
        <v>0</v>
      </c>
    </row>
    <row r="218" spans="2:51" x14ac:dyDescent="0.25">
      <c r="B218" s="650">
        <v>-1.8432979955374242</v>
      </c>
      <c r="C218" s="651">
        <v>-3.9076794759961109</v>
      </c>
      <c r="D218" s="652">
        <v>-1.4792307651506384</v>
      </c>
      <c r="E218" s="653">
        <v>-0.38821556687547565</v>
      </c>
      <c r="F218" s="651">
        <v>-0.82299335572119225</v>
      </c>
      <c r="G218" s="654">
        <v>0.41469339285106099</v>
      </c>
      <c r="H218" s="653">
        <v>0.25700000000000001</v>
      </c>
      <c r="I218" s="920">
        <v>0.41499999999999992</v>
      </c>
      <c r="J218" s="924">
        <v>4.2300000000000004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0" t="s">
        <v>425</v>
      </c>
      <c r="M218" s="970">
        <f>M213</f>
        <v>-65.5</v>
      </c>
      <c r="N218" s="941"/>
      <c r="O218" s="942"/>
      <c r="Q218" s="162">
        <f t="shared" si="1078"/>
        <v>-0.73021669241848064</v>
      </c>
      <c r="R218" s="162">
        <f t="shared" si="1079"/>
        <v>-0.34050537106142859</v>
      </c>
      <c r="S218" s="162">
        <f t="shared" si="1080"/>
        <v>-0.52760293893611609</v>
      </c>
      <c r="T218" s="162">
        <f t="shared" si="1081"/>
        <v>0.42263558847450511</v>
      </c>
      <c r="U218" s="162">
        <f t="shared" si="1082"/>
        <v>-0.85808737417459102</v>
      </c>
      <c r="V218" s="162">
        <f t="shared" si="1083"/>
        <v>0.29165942062097749</v>
      </c>
      <c r="W218" s="162">
        <f>IFERROR(IF(ISNUMBER(MATCH($Z218,Settings!$AK$28:$AK$36,0)),INDEX(Settings!$AO$14:$AO$36,MATCH($Z218,Settings!$AK$14:$AK$36,0))/2,INDEX(Settings!$AM$14:$AM$36,MATCH($Z218,Settings!$AK$14:$AK$36,0))/2),"")</f>
        <v>0.3125</v>
      </c>
      <c r="X218" s="162">
        <f t="shared" si="1084"/>
        <v>0.52</v>
      </c>
      <c r="Y218" s="75">
        <v>5.1029999999999998</v>
      </c>
      <c r="Z218" s="917">
        <f t="shared" si="1085"/>
        <v>1613</v>
      </c>
      <c r="AA218" s="82"/>
      <c r="AB218" s="75"/>
      <c r="AC218" s="75"/>
      <c r="AD218" s="166"/>
      <c r="AE218" s="75">
        <v>2.234</v>
      </c>
      <c r="AF218" s="82">
        <v>2</v>
      </c>
      <c r="AG218" s="82">
        <v>2</v>
      </c>
      <c r="AH218" s="82">
        <v>1</v>
      </c>
      <c r="AI218" s="82">
        <v>0.99999999998544808</v>
      </c>
      <c r="AJ218" s="166">
        <v>2.2341099999999998</v>
      </c>
      <c r="AK218" s="82" t="str">
        <v>Base</v>
      </c>
      <c r="AL218" s="162">
        <v>-20.25</v>
      </c>
      <c r="AM218" s="162">
        <v>-4.5057143125024979</v>
      </c>
      <c r="AN218" s="162">
        <v>-1.8352685656456429</v>
      </c>
      <c r="AO218" s="162">
        <v>77.999988738195015</v>
      </c>
      <c r="AP218" s="162">
        <v>0</v>
      </c>
      <c r="AQ218" s="162">
        <v>0</v>
      </c>
      <c r="AR218" s="710" t="str">
        <v>32193r1.par</v>
      </c>
      <c r="AV218" s="82" t="str">
        <v>255,255,91</v>
      </c>
      <c r="AW218" s="947">
        <v>78</v>
      </c>
      <c r="AX218" s="947">
        <v>77.999988738195015</v>
      </c>
      <c r="AY218" s="947">
        <v>0</v>
      </c>
    </row>
    <row r="219" spans="2:51" x14ac:dyDescent="0.25">
      <c r="B219" s="650">
        <v>-2.0228554225626101</v>
      </c>
      <c r="C219" s="651">
        <v>-4.0936582178694465</v>
      </c>
      <c r="D219" s="652">
        <v>-2.183739325206862</v>
      </c>
      <c r="E219" s="653">
        <v>-0.44066173870913378</v>
      </c>
      <c r="F219" s="651">
        <v>-0.89176840215403441</v>
      </c>
      <c r="G219" s="654">
        <v>0.10279274759185855</v>
      </c>
      <c r="H219" s="653">
        <v>0.25700000000000001</v>
      </c>
      <c r="I219" s="920">
        <v>0.41499999999999992</v>
      </c>
      <c r="J219" s="924">
        <v>4.2359999999999998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0" t="s">
        <v>425</v>
      </c>
      <c r="M219" s="970">
        <f>M214</f>
        <v>-84.1</v>
      </c>
      <c r="N219" s="941"/>
      <c r="O219" s="942"/>
      <c r="Q219" s="162">
        <f t="shared" si="1078"/>
        <v>-1.3605576297063979</v>
      </c>
      <c r="R219" s="162">
        <f t="shared" si="1079"/>
        <v>-0.63443794865021641</v>
      </c>
      <c r="S219" s="162">
        <f t="shared" si="1080"/>
        <v>-0.27460159314108862</v>
      </c>
      <c r="T219" s="162">
        <f t="shared" si="1081"/>
        <v>0.41060632752337173</v>
      </c>
      <c r="U219" s="162">
        <f t="shared" si="1082"/>
        <v>-0.86916608069452284</v>
      </c>
      <c r="V219" s="162">
        <f t="shared" si="1083"/>
        <v>0.27559529743428468</v>
      </c>
      <c r="W219" s="162">
        <f>IFERROR(IF(ISNUMBER(MATCH($Z219,Settings!$AK$28:$AK$36,0)),INDEX(Settings!$AO$14:$AO$36,MATCH($Z219,Settings!$AK$14:$AK$36,0))/2,INDEX(Settings!$AM$14:$AM$36,MATCH($Z219,Settings!$AK$14:$AK$36,0))/2),"")</f>
        <v>0.3125</v>
      </c>
      <c r="X219" s="162">
        <f t="shared" si="1084"/>
        <v>0.52</v>
      </c>
      <c r="Y219" s="75">
        <v>5.1059999999999999</v>
      </c>
      <c r="Z219" s="917">
        <f t="shared" si="1085"/>
        <v>1613</v>
      </c>
      <c r="AA219" s="82"/>
      <c r="AB219" s="75"/>
      <c r="AC219" s="75"/>
      <c r="AD219" s="166"/>
      <c r="AE219" s="75">
        <v>2.2280000000000002</v>
      </c>
      <c r="AF219" s="82">
        <v>2</v>
      </c>
      <c r="AG219" s="82">
        <v>2</v>
      </c>
      <c r="AH219" s="82">
        <v>1</v>
      </c>
      <c r="AI219" s="82">
        <v>0.99999999998544808</v>
      </c>
      <c r="AJ219" s="166">
        <v>2.22811</v>
      </c>
      <c r="AK219" s="82" t="str">
        <v>Base</v>
      </c>
      <c r="AL219" s="162">
        <v>-20.25</v>
      </c>
      <c r="AM219" s="162">
        <v>-4.2211934273694895</v>
      </c>
      <c r="AN219" s="162">
        <v>-1.1377307708845155</v>
      </c>
      <c r="AO219" s="162">
        <v>52.219556611012919</v>
      </c>
      <c r="AP219" s="162">
        <v>-27.529698338169545</v>
      </c>
      <c r="AQ219" s="162">
        <v>0</v>
      </c>
      <c r="AR219" s="710" t="str">
        <v>1313.par</v>
      </c>
      <c r="AV219" s="82" t="str">
        <v>255,255,91</v>
      </c>
      <c r="AW219" s="947">
        <v>59.199999999999989</v>
      </c>
      <c r="AX219" s="947">
        <v>52.219556611012919</v>
      </c>
      <c r="AY219" s="947">
        <v>0</v>
      </c>
    </row>
    <row r="220" spans="2:51" x14ac:dyDescent="0.25">
      <c r="B220" s="650">
        <v>-2.1641265939885073</v>
      </c>
      <c r="C220" s="651">
        <v>-4.1351922656978841</v>
      </c>
      <c r="D220" s="652">
        <v>-2.9838541826838672</v>
      </c>
      <c r="E220" s="653">
        <v>-0.46191860216557118</v>
      </c>
      <c r="F220" s="651">
        <v>-0.88262961897098213</v>
      </c>
      <c r="G220" s="654">
        <v>8.7155956127759088E-2</v>
      </c>
      <c r="H220" s="653">
        <v>0.25700000000000001</v>
      </c>
      <c r="I220" s="920">
        <v>0.41499999999999992</v>
      </c>
      <c r="J220" s="924">
        <v>4.242</v>
      </c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40" t="s">
        <v>425</v>
      </c>
      <c r="M220" s="970">
        <f>M215</f>
        <v>-85</v>
      </c>
      <c r="N220" s="941"/>
      <c r="O220" s="942"/>
      <c r="Q220" s="162">
        <f t="shared" si="1078"/>
        <v>-2.002027842398463</v>
      </c>
      <c r="R220" s="162">
        <f t="shared" si="1079"/>
        <v>-0.93313482455010721</v>
      </c>
      <c r="S220" s="162">
        <f t="shared" si="1080"/>
        <v>-0.14670081678084992</v>
      </c>
      <c r="T220" s="162">
        <f t="shared" si="1081"/>
        <v>0.38432010769060276</v>
      </c>
      <c r="U220" s="162">
        <f t="shared" si="1082"/>
        <v>-0.88141889456201628</v>
      </c>
      <c r="V220" s="162">
        <f t="shared" si="1083"/>
        <v>0.274588395846869</v>
      </c>
      <c r="W220" s="162">
        <f>IFERROR(IF(ISNUMBER(MATCH($Z220,Settings!$AK$28:$AK$36,0)),INDEX(Settings!$AO$14:$AO$36,MATCH($Z220,Settings!$AK$14:$AK$36,0))/2,INDEX(Settings!$AM$14:$AM$36,MATCH($Z220,Settings!$AK$14:$AK$36,0))/2),"")</f>
        <v>0.3125</v>
      </c>
      <c r="X220" s="162">
        <f t="shared" si="1084"/>
        <v>0.52</v>
      </c>
      <c r="Y220" s="75">
        <v>5.109</v>
      </c>
      <c r="Z220" s="917">
        <f t="shared" si="1085"/>
        <v>1613</v>
      </c>
      <c r="AA220" s="82"/>
      <c r="AB220" s="75"/>
      <c r="AC220" s="75"/>
      <c r="AD220" s="166"/>
      <c r="AE220" s="75">
        <v>2.222</v>
      </c>
      <c r="AF220" s="82">
        <v>2</v>
      </c>
      <c r="AG220" s="82">
        <v>2</v>
      </c>
      <c r="AH220" s="82">
        <v>1</v>
      </c>
      <c r="AI220" s="82">
        <v>0.99999999998544808</v>
      </c>
      <c r="AJ220" s="166">
        <v>2.2221099999999998</v>
      </c>
      <c r="AK220" s="82" t="str">
        <v>Base</v>
      </c>
      <c r="AL220" s="162">
        <v>-20.25</v>
      </c>
      <c r="AM220" s="162">
        <v>-3.7219541555274631</v>
      </c>
      <c r="AN220" s="162">
        <v>-0.57192234932566699</v>
      </c>
      <c r="AO220" s="162">
        <v>37.00497307238664</v>
      </c>
      <c r="AP220" s="162">
        <v>-24.190214672522526</v>
      </c>
      <c r="AQ220" s="162">
        <v>0</v>
      </c>
      <c r="AR220" s="710" t="str">
        <v>1313.par</v>
      </c>
      <c r="AV220" s="82" t="str">
        <v>255,255,91</v>
      </c>
      <c r="AW220" s="947">
        <v>40.300000000000011</v>
      </c>
      <c r="AX220" s="947">
        <v>37.00497307238664</v>
      </c>
      <c r="AY220" s="947">
        <v>0</v>
      </c>
    </row>
    <row r="221" spans="2:51" x14ac:dyDescent="0.25">
      <c r="B221" s="650">
        <v>-1.3097518615136297</v>
      </c>
      <c r="C221" s="651">
        <v>-4.5676404353136144</v>
      </c>
      <c r="D221" s="652">
        <v>-8.1462745691641008</v>
      </c>
      <c r="E221" s="653">
        <v>0.5618843459838736</v>
      </c>
      <c r="F221" s="651">
        <v>-0.81965068301290034</v>
      </c>
      <c r="G221" s="654">
        <v>-0.11161872412261603</v>
      </c>
      <c r="H221" s="653">
        <v>0.26600000000000001</v>
      </c>
      <c r="I221" s="920">
        <v>0.52</v>
      </c>
      <c r="J221" s="924">
        <v>4.399</v>
      </c>
      <c r="K221" s="790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1313</v>
      </c>
      <c r="L221" s="940" t="s">
        <v>420</v>
      </c>
      <c r="M221" s="970">
        <v>0</v>
      </c>
      <c r="N221" s="941"/>
      <c r="O221" s="942" t="s">
        <v>9</v>
      </c>
      <c r="Q221" s="162">
        <f t="shared" si="1078"/>
        <v>-2.6807591035205833</v>
      </c>
      <c r="R221" s="162">
        <f t="shared" si="1079"/>
        <v>-1.2233869243457207</v>
      </c>
      <c r="S221" s="162">
        <f t="shared" si="1080"/>
        <v>-0.25970146471952726</v>
      </c>
      <c r="T221" s="162">
        <f t="shared" si="1081"/>
        <v>0.31332168946855277</v>
      </c>
      <c r="U221" s="162">
        <f t="shared" si="1082"/>
        <v>-0.91364166819818449</v>
      </c>
      <c r="V221" s="162">
        <f t="shared" si="1083"/>
        <v>0.25901432593702273</v>
      </c>
      <c r="W221" s="162">
        <f>IFERROR(IF(ISNUMBER(MATCH($Z221,Settings!$AK$28:$AK$36,0)),INDEX(Settings!$AO$14:$AO$36,MATCH($Z221,Settings!$AK$14:$AK$36,0))/2,INDEX(Settings!$AM$14:$AM$36,MATCH($Z221,Settings!$AK$14:$AK$36,0))/2),"")</f>
        <v>0.3125</v>
      </c>
      <c r="X221" s="162">
        <f t="shared" si="1084"/>
        <v>0.52</v>
      </c>
      <c r="Y221" s="75">
        <v>5.1150000000000002</v>
      </c>
      <c r="Z221" s="917">
        <f t="shared" si="1085"/>
        <v>1613</v>
      </c>
      <c r="AA221" s="82"/>
      <c r="AB221" s="75"/>
      <c r="AC221" s="75"/>
      <c r="AD221" s="166"/>
      <c r="AE221" s="75">
        <v>2.2160000000000002</v>
      </c>
      <c r="AF221" s="82">
        <v>2</v>
      </c>
      <c r="AG221" s="82">
        <v>2</v>
      </c>
      <c r="AH221" s="82">
        <v>1</v>
      </c>
      <c r="AI221" s="82">
        <v>0.99999999998544808</v>
      </c>
      <c r="AJ221" s="166">
        <v>2.21611</v>
      </c>
      <c r="AK221" s="82" t="str">
        <v>Base</v>
      </c>
      <c r="AL221" s="162">
        <v>-20.25</v>
      </c>
      <c r="AM221" s="162">
        <v>-3.0749710247456186</v>
      </c>
      <c r="AN221" s="162">
        <v>-0.18310119374987682</v>
      </c>
      <c r="AO221" s="162">
        <v>21.657237421822494</v>
      </c>
      <c r="AP221" s="162">
        <v>-20.869219180098696</v>
      </c>
      <c r="AQ221" s="162">
        <v>0</v>
      </c>
      <c r="AR221" s="710" t="str">
        <v>1310.par</v>
      </c>
      <c r="AV221" s="82" t="str">
        <v>255,255,91</v>
      </c>
      <c r="AW221" s="947">
        <v>21.200000000000003</v>
      </c>
      <c r="AX221" s="947">
        <v>21.657237421822494</v>
      </c>
      <c r="AY221" s="947">
        <v>0</v>
      </c>
    </row>
    <row r="222" spans="2:51" x14ac:dyDescent="0.25">
      <c r="B222" s="650">
        <v>-0.73021669241848064</v>
      </c>
      <c r="C222" s="651">
        <v>-0.34050537106142859</v>
      </c>
      <c r="D222" s="652">
        <v>-0.52760293893611609</v>
      </c>
      <c r="E222" s="653">
        <v>0.42263558847450511</v>
      </c>
      <c r="F222" s="651">
        <v>-0.85808737417459102</v>
      </c>
      <c r="G222" s="654">
        <v>0.29165942062097749</v>
      </c>
      <c r="H222" s="653">
        <v>0.314</v>
      </c>
      <c r="I222" s="920">
        <v>0.52</v>
      </c>
      <c r="J222" s="924">
        <v>5.1029999999999998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1613</v>
      </c>
      <c r="L222" s="940" t="s">
        <v>419</v>
      </c>
      <c r="M222" s="970">
        <f>90+-70</f>
        <v>20</v>
      </c>
      <c r="N222" s="941"/>
      <c r="O222" s="942"/>
      <c r="P222">
        <f>-0.0737</f>
        <v>-7.3700000000000002E-2</v>
      </c>
      <c r="Q222" s="162">
        <f t="shared" si="1078"/>
        <v>-3.3019147384645753</v>
      </c>
      <c r="R222" s="162">
        <f t="shared" si="1079"/>
        <v>-1.4528761447815206</v>
      </c>
      <c r="S222" s="162">
        <f t="shared" si="1080"/>
        <v>-0.60790351634703488</v>
      </c>
      <c r="T222" s="162">
        <f t="shared" si="1081"/>
        <v>0.21206984792240485</v>
      </c>
      <c r="U222" s="162">
        <f t="shared" si="1082"/>
        <v>-0.94092429585517001</v>
      </c>
      <c r="V222" s="162">
        <f t="shared" si="1083"/>
        <v>0.26398456218427013</v>
      </c>
      <c r="W222" s="162">
        <f>IFERROR(IF(ISNUMBER(MATCH($Z222,Settings!$AK$28:$AK$36,0)),INDEX(Settings!$AO$14:$AO$36,MATCH($Z222,Settings!$AK$14:$AK$36,0))/2,INDEX(Settings!$AM$14:$AM$36,MATCH($Z222,Settings!$AK$14:$AK$36,0))/2),"")</f>
        <v>0.3125</v>
      </c>
      <c r="X222" s="162">
        <f t="shared" si="1084"/>
        <v>0.52</v>
      </c>
      <c r="Y222" s="75">
        <v>5.1210000000000004</v>
      </c>
      <c r="Z222" s="917">
        <f t="shared" si="1085"/>
        <v>1613</v>
      </c>
      <c r="AA222" s="82"/>
      <c r="AB222" s="75"/>
      <c r="AC222" s="75"/>
      <c r="AD222" s="166"/>
      <c r="AE222" s="75">
        <v>2.1459999999999999</v>
      </c>
      <c r="AF222" s="82">
        <v>2</v>
      </c>
      <c r="AG222" s="82">
        <v>1</v>
      </c>
      <c r="AH222" s="82">
        <v>1</v>
      </c>
      <c r="AI222" s="82">
        <v>0.99999999998544808</v>
      </c>
      <c r="AJ222" s="166">
        <v>2.1461099999999997</v>
      </c>
      <c r="AK222" s="82" t="str">
        <v>Base</v>
      </c>
      <c r="AL222" s="162">
        <v>-19.5</v>
      </c>
      <c r="AM222" s="162">
        <v>-4.6815983957116192</v>
      </c>
      <c r="AN222" s="162">
        <v>-3.3836453778878282</v>
      </c>
      <c r="AO222" s="162">
        <v>84.967735525253531</v>
      </c>
      <c r="AP222" s="162">
        <v>-29.788825501047729</v>
      </c>
      <c r="AQ222" s="162">
        <v>0</v>
      </c>
      <c r="AR222" s="710" t="str">
        <v>1613.par</v>
      </c>
      <c r="AV222" s="82" t="str">
        <v>204,204,0</v>
      </c>
      <c r="AW222" s="947">
        <v>85</v>
      </c>
      <c r="AX222" s="947">
        <v>84.967735525253531</v>
      </c>
      <c r="AY222" s="947">
        <v>0</v>
      </c>
    </row>
    <row r="223" spans="2:51" x14ac:dyDescent="0.25">
      <c r="B223" s="650">
        <v>-1.3605576297063979</v>
      </c>
      <c r="C223" s="651">
        <v>-0.63443794865021641</v>
      </c>
      <c r="D223" s="652">
        <v>-0.27460159314108862</v>
      </c>
      <c r="E223" s="653">
        <v>0.41060632752337173</v>
      </c>
      <c r="F223" s="651">
        <v>-0.86916608069452284</v>
      </c>
      <c r="G223" s="654">
        <v>0.27559529743428468</v>
      </c>
      <c r="H223" s="653">
        <v>0.314</v>
      </c>
      <c r="I223" s="920">
        <v>0.52</v>
      </c>
      <c r="J223" s="924">
        <v>5.1059999999999999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40" t="s">
        <v>419</v>
      </c>
      <c r="M223" s="970">
        <f>90+-70.6</f>
        <v>19.400000000000006</v>
      </c>
      <c r="N223" s="941"/>
      <c r="O223" s="942"/>
      <c r="P223">
        <f>-0.007</f>
        <v>-7.0000000000000001E-3</v>
      </c>
      <c r="Q223" s="162">
        <f t="shared" si="1078"/>
        <v>-3.8011561216994139</v>
      </c>
      <c r="R223" s="162">
        <f t="shared" si="1079"/>
        <v>-1.6134937913344882</v>
      </c>
      <c r="S223" s="162">
        <f t="shared" si="1080"/>
        <v>-1.1426068921943806</v>
      </c>
      <c r="T223" s="162">
        <f t="shared" si="1081"/>
        <v>9.5891637359119763E-2</v>
      </c>
      <c r="U223" s="162">
        <f t="shared" si="1082"/>
        <v>-0.96541180862168952</v>
      </c>
      <c r="V223" s="162">
        <f t="shared" si="1083"/>
        <v>0.24245583857351313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4"/>
        <v>0.52</v>
      </c>
      <c r="Y223" s="75">
        <v>5.1269999999999998</v>
      </c>
      <c r="Z223" s="917">
        <f t="shared" si="1085"/>
        <v>1613</v>
      </c>
      <c r="AA223" s="82"/>
      <c r="AB223" s="75"/>
      <c r="AC223" s="75"/>
      <c r="AD223" s="166"/>
      <c r="AE223" s="75">
        <v>2.14</v>
      </c>
      <c r="AF223" s="82">
        <v>2</v>
      </c>
      <c r="AG223" s="82">
        <v>1</v>
      </c>
      <c r="AH223" s="82">
        <v>1</v>
      </c>
      <c r="AI223" s="82">
        <v>0.99999999998544808</v>
      </c>
      <c r="AJ223" s="166">
        <v>2.14011</v>
      </c>
      <c r="AK223" s="82" t="str">
        <v>Base</v>
      </c>
      <c r="AL223" s="162">
        <v>-19.5</v>
      </c>
      <c r="AM223" s="162">
        <v>-4.6347146079159982</v>
      </c>
      <c r="AN223" s="162">
        <v>-2.5776585276307493</v>
      </c>
      <c r="AO223" s="162">
        <v>82.449795298402833</v>
      </c>
      <c r="AP223" s="162">
        <v>-29.226525862122337</v>
      </c>
      <c r="AQ223" s="162">
        <v>0</v>
      </c>
      <c r="AR223" s="710" t="str">
        <v>1613.par</v>
      </c>
      <c r="AV223" s="82" t="str">
        <v>204,204,0</v>
      </c>
      <c r="AW223" s="947">
        <v>85</v>
      </c>
      <c r="AX223" s="947">
        <v>82.449795298402833</v>
      </c>
      <c r="AY223" s="947">
        <v>0</v>
      </c>
    </row>
    <row r="224" spans="2:51" x14ac:dyDescent="0.25">
      <c r="B224" s="650">
        <v>-2.002027842398463</v>
      </c>
      <c r="C224" s="651">
        <v>-0.93313482455010721</v>
      </c>
      <c r="D224" s="652">
        <v>-0.14670081678084992</v>
      </c>
      <c r="E224" s="653">
        <v>0.38432010769060276</v>
      </c>
      <c r="F224" s="651">
        <v>-0.88141889456201628</v>
      </c>
      <c r="G224" s="654">
        <v>0.274588395846869</v>
      </c>
      <c r="H224" s="653">
        <v>0.314</v>
      </c>
      <c r="I224" s="920">
        <v>0.52</v>
      </c>
      <c r="J224" s="924">
        <v>5.109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40" t="s">
        <v>423</v>
      </c>
      <c r="M224" s="970">
        <f>90+-89</f>
        <v>1</v>
      </c>
      <c r="N224" s="941"/>
      <c r="O224" s="942"/>
      <c r="Q224" s="162">
        <f t="shared" si="1078"/>
        <v>-4.138260917322131</v>
      </c>
      <c r="R224" s="162">
        <f t="shared" si="1079"/>
        <v>-1.7107386984430857</v>
      </c>
      <c r="S224" s="162">
        <f t="shared" si="1080"/>
        <v>-1.8041108823804315</v>
      </c>
      <c r="T224" s="162">
        <f t="shared" si="1081"/>
        <v>-1.6078566625609345E-2</v>
      </c>
      <c r="U224" s="162">
        <f t="shared" si="1082"/>
        <v>-0.9831531663898081</v>
      </c>
      <c r="V224" s="162">
        <f t="shared" si="1083"/>
        <v>0.18207506999301165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4"/>
        <v>0.52</v>
      </c>
      <c r="Y224" s="75">
        <v>5.133</v>
      </c>
      <c r="Z224" s="917">
        <f t="shared" si="1085"/>
        <v>1613</v>
      </c>
      <c r="AA224" s="82"/>
      <c r="AB224" s="75"/>
      <c r="AC224" s="75"/>
      <c r="AD224" s="166"/>
      <c r="AE224" s="75">
        <v>2.1339999999999999</v>
      </c>
      <c r="AF224" s="82">
        <v>2</v>
      </c>
      <c r="AG224" s="82">
        <v>1</v>
      </c>
      <c r="AH224" s="82">
        <v>1</v>
      </c>
      <c r="AI224" s="82">
        <v>0.99999999998544808</v>
      </c>
      <c r="AJ224" s="166">
        <v>2.1341099999999997</v>
      </c>
      <c r="AK224" s="82" t="str">
        <v>Base</v>
      </c>
      <c r="AL224" s="162">
        <v>-19.5</v>
      </c>
      <c r="AM224" s="162">
        <v>-4.5097398089512915</v>
      </c>
      <c r="AN224" s="162">
        <v>-1.8429094662095007</v>
      </c>
      <c r="AO224" s="162">
        <v>67.320028691284776</v>
      </c>
      <c r="AP224" s="162">
        <v>-25.869275744657813</v>
      </c>
      <c r="AQ224" s="162">
        <v>0</v>
      </c>
      <c r="AR224" s="710" t="str">
        <v>1613.par</v>
      </c>
      <c r="AV224" s="82" t="str">
        <v>204,204,0</v>
      </c>
      <c r="AW224" s="947">
        <v>78</v>
      </c>
      <c r="AX224" s="947">
        <v>67.320028691284776</v>
      </c>
      <c r="AY224" s="947">
        <v>0</v>
      </c>
    </row>
    <row r="225" spans="2:51" x14ac:dyDescent="0.25">
      <c r="B225" s="650">
        <v>-2.6807591035205833</v>
      </c>
      <c r="C225" s="651">
        <v>-1.2233869243457207</v>
      </c>
      <c r="D225" s="652">
        <v>-0.25970146471952726</v>
      </c>
      <c r="E225" s="653">
        <v>0.31332168946855277</v>
      </c>
      <c r="F225" s="651">
        <v>-0.91364166819818449</v>
      </c>
      <c r="G225" s="654">
        <v>0.25901432593702273</v>
      </c>
      <c r="H225" s="653">
        <v>0.314</v>
      </c>
      <c r="I225" s="920">
        <v>0.52</v>
      </c>
      <c r="J225" s="924">
        <v>5.1150000000000002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40" t="s">
        <v>423</v>
      </c>
      <c r="M225" s="970">
        <f>90+-108</f>
        <v>-18</v>
      </c>
      <c r="N225" s="941"/>
      <c r="O225" s="942"/>
      <c r="Q225" s="162">
        <f t="shared" si="1078"/>
        <v>-4.2931031065925449</v>
      </c>
      <c r="R225" s="162">
        <f t="shared" si="1079"/>
        <v>-1.7519815447334346</v>
      </c>
      <c r="S225" s="162">
        <f t="shared" si="1080"/>
        <v>-2.5349152905859742</v>
      </c>
      <c r="T225" s="162">
        <f t="shared" si="1081"/>
        <v>-0.10953056954288305</v>
      </c>
      <c r="U225" s="162">
        <f t="shared" si="1082"/>
        <v>-0.99043888188152318</v>
      </c>
      <c r="V225" s="162">
        <f t="shared" si="1083"/>
        <v>8.3868203706112157E-2</v>
      </c>
      <c r="W225" s="162">
        <f>IFERROR(IF(ISNUMBER(MATCH($Z225,Settings!$AK$28:$AK$36,0)),INDEX(Settings!$AO$14:$AO$36,MATCH($Z225,Settings!$AK$14:$AK$36,0))/2,INDEX(Settings!$AM$14:$AM$36,MATCH($Z225,Settings!$AK$14:$AK$36,0))/2),"")</f>
        <v>0.3125</v>
      </c>
      <c r="X225" s="162">
        <f t="shared" si="1084"/>
        <v>0.52</v>
      </c>
      <c r="Y225" s="75">
        <v>5.1390000000000002</v>
      </c>
      <c r="Z225" s="917">
        <f t="shared" si="1085"/>
        <v>1613</v>
      </c>
      <c r="AA225" s="82"/>
      <c r="AB225" s="75"/>
      <c r="AC225" s="75"/>
      <c r="AD225" s="166"/>
      <c r="AE225" s="75">
        <v>2.1280000000000001</v>
      </c>
      <c r="AF225" s="82">
        <v>2</v>
      </c>
      <c r="AG225" s="82">
        <v>1</v>
      </c>
      <c r="AH225" s="82">
        <v>1</v>
      </c>
      <c r="AI225" s="82">
        <v>0.99999999998544808</v>
      </c>
      <c r="AJ225" s="166">
        <v>2.1281099999999999</v>
      </c>
      <c r="AK225" s="82" t="str">
        <v>Base</v>
      </c>
      <c r="AL225" s="162">
        <v>-19.5</v>
      </c>
      <c r="AM225" s="162">
        <v>-4.1941376048886463</v>
      </c>
      <c r="AN225" s="162">
        <v>-1.1680044471814337</v>
      </c>
      <c r="AO225" s="162">
        <v>52.13023867353359</v>
      </c>
      <c r="AP225" s="162">
        <v>-22.520548757886122</v>
      </c>
      <c r="AQ225" s="162">
        <v>0</v>
      </c>
      <c r="AR225" s="710" t="str">
        <v>1613.par</v>
      </c>
      <c r="AV225" s="82" t="str">
        <v>204,204,0</v>
      </c>
      <c r="AW225" s="947">
        <v>59.199999999999989</v>
      </c>
      <c r="AX225" s="947">
        <v>52.13023867353359</v>
      </c>
      <c r="AY225" s="947">
        <v>0</v>
      </c>
    </row>
    <row r="226" spans="2:51" x14ac:dyDescent="0.25">
      <c r="B226" s="650">
        <v>-3.3019147384645753</v>
      </c>
      <c r="C226" s="651">
        <v>-1.4528761447815206</v>
      </c>
      <c r="D226" s="652">
        <v>-0.60790351634703488</v>
      </c>
      <c r="E226" s="653">
        <v>0.21206984792240485</v>
      </c>
      <c r="F226" s="651">
        <v>-0.94092429585517001</v>
      </c>
      <c r="G226" s="654">
        <v>0.26398456218427013</v>
      </c>
      <c r="H226" s="653">
        <v>0.314</v>
      </c>
      <c r="I226" s="920">
        <v>0.52</v>
      </c>
      <c r="J226" s="924">
        <v>5.1210000000000004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40" t="s">
        <v>423</v>
      </c>
      <c r="M226" s="970">
        <f>90+-127.1</f>
        <v>-37.099999999999994</v>
      </c>
      <c r="N226" s="941"/>
      <c r="O226" s="942"/>
      <c r="Q226" s="162">
        <f t="shared" si="1078"/>
        <v>-4.3465276493386149</v>
      </c>
      <c r="R226" s="162">
        <f t="shared" si="1079"/>
        <v>-1.7658242200896135</v>
      </c>
      <c r="S226" s="162">
        <f t="shared" si="1080"/>
        <v>-3.3411201536063744</v>
      </c>
      <c r="T226" s="162">
        <f t="shared" si="1081"/>
        <v>-0.13550903763505226</v>
      </c>
      <c r="U226" s="162">
        <f t="shared" si="1082"/>
        <v>-0.9898172822511484</v>
      </c>
      <c r="V226" s="162">
        <f t="shared" si="1083"/>
        <v>4.357807334167578E-2</v>
      </c>
      <c r="W226" s="162">
        <f>IFERROR(IF(ISNUMBER(MATCH($Z226,Settings!$AK$28:$AK$36,0)),INDEX(Settings!$AO$14:$AO$36,MATCH($Z226,Settings!$AK$14:$AK$36,0))/2,INDEX(Settings!$AM$14:$AM$36,MATCH($Z226,Settings!$AK$14:$AK$36,0))/2),"")</f>
        <v>0.3125</v>
      </c>
      <c r="X226" s="162">
        <f t="shared" si="1084"/>
        <v>0.52</v>
      </c>
      <c r="Y226" s="75">
        <v>5.1449999999999996</v>
      </c>
      <c r="Z226" s="917">
        <f t="shared" si="1085"/>
        <v>1613</v>
      </c>
      <c r="AA226" s="82"/>
      <c r="AB226" s="75"/>
      <c r="AC226" s="75"/>
      <c r="AD226" s="166"/>
      <c r="AE226" s="75">
        <v>2.1219999999999999</v>
      </c>
      <c r="AF226" s="82">
        <v>2</v>
      </c>
      <c r="AG226" s="82">
        <v>1</v>
      </c>
      <c r="AH226" s="82">
        <v>1</v>
      </c>
      <c r="AI226" s="82">
        <v>0.99999999998544808</v>
      </c>
      <c r="AJ226" s="166">
        <v>2.1221099999999997</v>
      </c>
      <c r="AK226" s="82" t="str">
        <v>Base</v>
      </c>
      <c r="AL226" s="162">
        <v>-19.5</v>
      </c>
      <c r="AM226" s="162">
        <v>-3.7013343299864774</v>
      </c>
      <c r="AN226" s="162">
        <v>-0.60960297163113486</v>
      </c>
      <c r="AO226" s="162">
        <v>36.834274386343019</v>
      </c>
      <c r="AP226" s="162">
        <v>-19.183527167538802</v>
      </c>
      <c r="AQ226" s="162">
        <v>0</v>
      </c>
      <c r="AR226" s="710" t="str">
        <v>1613.par</v>
      </c>
      <c r="AV226" s="82" t="str">
        <v>204,204,0</v>
      </c>
      <c r="AW226" s="947">
        <v>40.300000000000011</v>
      </c>
      <c r="AX226" s="947">
        <v>36.834274386343019</v>
      </c>
      <c r="AY226" s="947">
        <v>0</v>
      </c>
    </row>
    <row r="227" spans="2:51" x14ac:dyDescent="0.25">
      <c r="B227" s="650">
        <v>-3.8011561216994139</v>
      </c>
      <c r="C227" s="651">
        <v>-1.6134937913344882</v>
      </c>
      <c r="D227" s="652">
        <v>-1.1426068921943806</v>
      </c>
      <c r="E227" s="653">
        <v>9.5891637359119763E-2</v>
      </c>
      <c r="F227" s="651">
        <v>-0.96541180862168952</v>
      </c>
      <c r="G227" s="654">
        <v>0.24245583857351313</v>
      </c>
      <c r="H227" s="653">
        <v>0.314</v>
      </c>
      <c r="I227" s="920">
        <v>0.52</v>
      </c>
      <c r="J227" s="924">
        <v>5.1269999999999998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40" t="s">
        <v>423</v>
      </c>
      <c r="M227" s="970">
        <f>90+-146.1</f>
        <v>-56.099999999999994</v>
      </c>
      <c r="N227" s="941"/>
      <c r="O227" s="942"/>
      <c r="Q227" s="162">
        <f t="shared" si="1078"/>
        <v>-2.926030509748264</v>
      </c>
      <c r="R227" s="162">
        <f t="shared" si="1079"/>
        <v>-0.41744702722000238</v>
      </c>
      <c r="S227" s="162">
        <f t="shared" si="1080"/>
        <v>-0.24425441414535282</v>
      </c>
      <c r="T227" s="162">
        <f t="shared" si="1081"/>
        <v>4.2436832912363227E-2</v>
      </c>
      <c r="U227" s="162">
        <f t="shared" si="1082"/>
        <v>-0.96494077236468667</v>
      </c>
      <c r="V227" s="162">
        <f t="shared" si="1083"/>
        <v>0.25901432593702273</v>
      </c>
      <c r="W227" s="162">
        <f>IFERROR(IF(ISNUMBER(MATCH($Z227,Settings!$AK$28:$AK$36,0)),INDEX(Settings!$AO$14:$AO$36,MATCH($Z227,Settings!$AK$14:$AK$36,0))/2,INDEX(Settings!$AM$14:$AM$36,MATCH($Z227,Settings!$AK$14:$AK$36,0))/2),"")</f>
        <v>0.26450000000000001</v>
      </c>
      <c r="X227" s="162">
        <f t="shared" si="1084"/>
        <v>0.39400000000000002</v>
      </c>
      <c r="Y227" s="75">
        <v>5.2149999999999999</v>
      </c>
      <c r="Z227" s="917">
        <f t="shared" si="1085"/>
        <v>1310</v>
      </c>
      <c r="AA227" s="82"/>
      <c r="AB227" s="75"/>
      <c r="AC227" s="75"/>
      <c r="AD227" s="166"/>
      <c r="AE227" s="75">
        <v>2.1160000000000001</v>
      </c>
      <c r="AF227" s="82">
        <v>2</v>
      </c>
      <c r="AG227" s="82">
        <v>1</v>
      </c>
      <c r="AH227" s="82">
        <v>1</v>
      </c>
      <c r="AI227" s="82">
        <v>0.99999999998544808</v>
      </c>
      <c r="AJ227" s="166">
        <v>2.1161099999999999</v>
      </c>
      <c r="AK227" s="82" t="str">
        <v>Base</v>
      </c>
      <c r="AL227" s="162">
        <v>-19.5</v>
      </c>
      <c r="AM227" s="162">
        <v>-3.0621691990646474</v>
      </c>
      <c r="AN227" s="162">
        <v>-0.22713708792093207</v>
      </c>
      <c r="AO227" s="162">
        <v>21.330954638783709</v>
      </c>
      <c r="AP227" s="162">
        <v>-15.865725674112454</v>
      </c>
      <c r="AQ227" s="162">
        <v>0</v>
      </c>
      <c r="AR227" s="710" t="str">
        <v>1613.par</v>
      </c>
      <c r="AV227" s="82" t="str">
        <v>204,204,0</v>
      </c>
      <c r="AW227" s="947">
        <v>21.200000000000003</v>
      </c>
      <c r="AX227" s="947">
        <v>21.330954638783709</v>
      </c>
      <c r="AY227" s="947">
        <v>0</v>
      </c>
    </row>
    <row r="228" spans="2:51" x14ac:dyDescent="0.25">
      <c r="B228" s="650">
        <v>-4.138260917322131</v>
      </c>
      <c r="C228" s="651">
        <v>-1.7107386984430857</v>
      </c>
      <c r="D228" s="652">
        <v>-1.8041108823804315</v>
      </c>
      <c r="E228" s="653">
        <v>-1.6078566625609345E-2</v>
      </c>
      <c r="F228" s="651">
        <v>-0.9831531663898081</v>
      </c>
      <c r="G228" s="654">
        <v>0.18207506999301165</v>
      </c>
      <c r="H228" s="653">
        <v>0.314</v>
      </c>
      <c r="I228" s="920">
        <v>0.52</v>
      </c>
      <c r="J228" s="924">
        <v>5.133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0" t="s">
        <v>423</v>
      </c>
      <c r="M228" s="970">
        <f>90+-164.9</f>
        <v>-74.900000000000006</v>
      </c>
      <c r="N228" s="941"/>
      <c r="O228" s="942"/>
      <c r="Q228" s="162">
        <f t="shared" si="1078"/>
        <v>-3.5624255814446726</v>
      </c>
      <c r="R228" s="162">
        <f t="shared" si="1079"/>
        <v>-0.654295740991649</v>
      </c>
      <c r="S228" s="162">
        <f t="shared" si="1080"/>
        <v>-0.59447769044630305</v>
      </c>
      <c r="T228" s="162">
        <f t="shared" si="1081"/>
        <v>-1.0796227663284447E-2</v>
      </c>
      <c r="U228" s="162">
        <f t="shared" si="1082"/>
        <v>-0.96446648070144025</v>
      </c>
      <c r="V228" s="162">
        <f t="shared" si="1083"/>
        <v>0.26398456218427013</v>
      </c>
      <c r="W228" s="162">
        <f>IFERROR(IF(ISNUMBER(MATCH($Z228,Settings!$AK$28:$AK$36,0)),INDEX(Settings!$AO$14:$AO$36,MATCH($Z228,Settings!$AK$14:$AK$36,0))/2,INDEX(Settings!$AM$14:$AM$36,MATCH($Z228,Settings!$AK$14:$AK$36,0))/2),"")</f>
        <v>0.26450000000000001</v>
      </c>
      <c r="X228" s="162">
        <f t="shared" si="1084"/>
        <v>0.52</v>
      </c>
      <c r="Y228" s="75">
        <v>5.2210000000000001</v>
      </c>
      <c r="Z228" s="917">
        <f t="shared" si="1085"/>
        <v>1313</v>
      </c>
      <c r="AA228" s="82"/>
      <c r="AB228" s="75"/>
      <c r="AC228" s="75"/>
      <c r="AD228" s="166"/>
      <c r="AE228" s="75">
        <v>2.11</v>
      </c>
      <c r="AF228" s="82">
        <v>2</v>
      </c>
      <c r="AG228" s="82">
        <v>1</v>
      </c>
      <c r="AH228" s="82">
        <v>1</v>
      </c>
      <c r="AI228" s="82">
        <v>0.99999999998544808</v>
      </c>
      <c r="AJ228" s="166">
        <v>2.1101099999999997</v>
      </c>
      <c r="AK228" s="82" t="str">
        <v>Base</v>
      </c>
      <c r="AL228" s="162">
        <v>-19.5</v>
      </c>
      <c r="AM228" s="162">
        <v>-2.3331737288918646</v>
      </c>
      <c r="AN228" s="162">
        <v>-7.3616408082403967E-2</v>
      </c>
      <c r="AO228" s="162">
        <v>5.8616718774737446</v>
      </c>
      <c r="AP228" s="162">
        <v>-15.945063753204032</v>
      </c>
      <c r="AQ228" s="162">
        <v>0</v>
      </c>
      <c r="AR228" s="710" t="str">
        <v>1613.par</v>
      </c>
      <c r="AV228" s="82" t="str">
        <v>204,204,0</v>
      </c>
      <c r="AW228" s="947">
        <v>2.0999999999999943</v>
      </c>
      <c r="AX228" s="947">
        <v>5.8616718774737446</v>
      </c>
      <c r="AY228" s="947">
        <v>0</v>
      </c>
    </row>
    <row r="229" spans="2:51" x14ac:dyDescent="0.25">
      <c r="B229" s="650">
        <v>-4.2931031065925449</v>
      </c>
      <c r="C229" s="651">
        <v>-1.7519815447334346</v>
      </c>
      <c r="D229" s="652">
        <v>-2.5349152905859742</v>
      </c>
      <c r="E229" s="653">
        <v>-0.10953056954288305</v>
      </c>
      <c r="F229" s="651">
        <v>-0.99043888188152318</v>
      </c>
      <c r="G229" s="654">
        <v>8.3868203706112157E-2</v>
      </c>
      <c r="H229" s="653">
        <v>0.314</v>
      </c>
      <c r="I229" s="920">
        <v>0.52</v>
      </c>
      <c r="J229" s="924">
        <v>5.1390000000000002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40" t="s">
        <v>419</v>
      </c>
      <c r="M229" s="970">
        <f>90+-175</f>
        <v>-85</v>
      </c>
      <c r="N229" s="941"/>
      <c r="O229" s="942"/>
      <c r="Q229" s="162">
        <f t="shared" si="1078"/>
        <v>-4.0667586098895123</v>
      </c>
      <c r="R229" s="162">
        <f t="shared" si="1079"/>
        <v>-0.8177349432228862</v>
      </c>
      <c r="S229" s="162">
        <f t="shared" si="1080"/>
        <v>-1.133349341032448</v>
      </c>
      <c r="T229" s="162">
        <f t="shared" si="1081"/>
        <v>-0.1007067009545886</v>
      </c>
      <c r="U229" s="162">
        <f t="shared" si="1082"/>
        <v>-0.9649214096103671</v>
      </c>
      <c r="V229" s="162">
        <f t="shared" si="1083"/>
        <v>0.24245583857351316</v>
      </c>
      <c r="W229" s="162">
        <f>IFERROR(IF(ISNUMBER(MATCH($Z229,Settings!$AK$28:$AK$36,0)),INDEX(Settings!$AO$14:$AO$36,MATCH($Z229,Settings!$AK$14:$AK$36,0))/2,INDEX(Settings!$AM$14:$AM$36,MATCH($Z229,Settings!$AK$14:$AK$36,0))/2),"")</f>
        <v>0.26450000000000001</v>
      </c>
      <c r="X229" s="162">
        <f t="shared" si="1084"/>
        <v>0.52</v>
      </c>
      <c r="Y229" s="75">
        <v>5.2270000000000003</v>
      </c>
      <c r="Z229" s="917">
        <f t="shared" si="1085"/>
        <v>1313</v>
      </c>
      <c r="AA229" s="82"/>
      <c r="AB229" s="75"/>
      <c r="AC229" s="75"/>
      <c r="AD229" s="166"/>
      <c r="AE229" s="75">
        <v>1.2410000000000001</v>
      </c>
      <c r="AF229" s="82">
        <v>1</v>
      </c>
      <c r="AG229" s="82">
        <v>2</v>
      </c>
      <c r="AH229" s="82">
        <v>1</v>
      </c>
      <c r="AI229" s="82">
        <v>1.0000000000218279</v>
      </c>
      <c r="AJ229" s="166">
        <v>1.2411100000000002</v>
      </c>
      <c r="AK229" s="82" t="str">
        <v>Base</v>
      </c>
      <c r="AL229" s="162">
        <v>-18.75</v>
      </c>
      <c r="AM229" s="162">
        <v>-4.667253902360132</v>
      </c>
      <c r="AN229" s="162">
        <v>-2.8332595910191403</v>
      </c>
      <c r="AO229" s="162">
        <v>84.999987727520178</v>
      </c>
      <c r="AP229" s="162">
        <v>0</v>
      </c>
      <c r="AQ229" s="162">
        <v>0</v>
      </c>
      <c r="AR229" s="710" t="str">
        <v>32193r1.par</v>
      </c>
      <c r="AV229" s="82" t="str">
        <v>255,188,121</v>
      </c>
      <c r="AW229" s="947">
        <v>85</v>
      </c>
      <c r="AX229" s="947">
        <v>84.999987727520178</v>
      </c>
      <c r="AY229" s="947">
        <v>0</v>
      </c>
    </row>
    <row r="230" spans="2:51" x14ac:dyDescent="0.25">
      <c r="B230" s="650">
        <v>-4.3465276493386149</v>
      </c>
      <c r="C230" s="651">
        <v>-1.7658242200896135</v>
      </c>
      <c r="D230" s="652">
        <v>-3.3411201536063744</v>
      </c>
      <c r="E230" s="653">
        <v>-0.13550903763505226</v>
      </c>
      <c r="F230" s="651">
        <v>-0.9898172822511484</v>
      </c>
      <c r="G230" s="654">
        <v>4.357807334167578E-2</v>
      </c>
      <c r="H230" s="653">
        <v>0.314</v>
      </c>
      <c r="I230" s="920">
        <v>0.52</v>
      </c>
      <c r="J230" s="924">
        <v>5.1449999999999996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40" t="s">
        <v>419</v>
      </c>
      <c r="M230" s="970">
        <f>90+-175</f>
        <v>-85</v>
      </c>
      <c r="N230" s="941"/>
      <c r="O230" s="942"/>
      <c r="Q230" s="162">
        <f t="shared" si="1078"/>
        <v>-4.4143364859501082</v>
      </c>
      <c r="R230" s="162">
        <f t="shared" si="1079"/>
        <v>-0.86900422155143187</v>
      </c>
      <c r="S230" s="162">
        <f t="shared" si="1080"/>
        <v>-1.8005473770332912</v>
      </c>
      <c r="T230" s="162">
        <f t="shared" si="1081"/>
        <v>-0.20880054138555146</v>
      </c>
      <c r="U230" s="162">
        <f t="shared" si="1082"/>
        <v>-0.96085951252206514</v>
      </c>
      <c r="V230" s="162">
        <f t="shared" si="1083"/>
        <v>0.18207506999301179</v>
      </c>
      <c r="W230" s="162">
        <f>IFERROR(IF(ISNUMBER(MATCH($Z230,Settings!$AK$28:$AK$36,0)),INDEX(Settings!$AO$14:$AO$36,MATCH($Z230,Settings!$AK$14:$AK$36,0))/2,INDEX(Settings!$AM$14:$AM$36,MATCH($Z230,Settings!$AK$14:$AK$36,0))/2),"")</f>
        <v>0.26450000000000001</v>
      </c>
      <c r="X230" s="162">
        <f t="shared" si="1084"/>
        <v>0.52</v>
      </c>
      <c r="Y230" s="75">
        <v>5.2329999999999997</v>
      </c>
      <c r="Z230" s="917">
        <f t="shared" si="1085"/>
        <v>1313</v>
      </c>
      <c r="AA230" s="82"/>
      <c r="AB230" s="75"/>
      <c r="AC230" s="75"/>
      <c r="AD230" s="166"/>
      <c r="AE230" s="75">
        <v>1.2350000000000001</v>
      </c>
      <c r="AF230" s="82">
        <v>1</v>
      </c>
      <c r="AG230" s="82">
        <v>2</v>
      </c>
      <c r="AH230" s="82">
        <v>1</v>
      </c>
      <c r="AI230" s="82">
        <v>1.0000000000218279</v>
      </c>
      <c r="AJ230" s="166">
        <v>1.2351100000000002</v>
      </c>
      <c r="AK230" s="82" t="str">
        <v>Base</v>
      </c>
      <c r="AL230" s="162">
        <v>-18.75</v>
      </c>
      <c r="AM230" s="162">
        <v>-4.5655587630322234</v>
      </c>
      <c r="AN230" s="162">
        <v>-2.0284548941097933</v>
      </c>
      <c r="AO230" s="162">
        <v>69.845744995743289</v>
      </c>
      <c r="AP230" s="162">
        <v>-26.429278338880472</v>
      </c>
      <c r="AQ230" s="162">
        <v>0</v>
      </c>
      <c r="AR230" s="710" t="str">
        <v>1313.par</v>
      </c>
      <c r="AV230" s="82" t="str">
        <v>255,188,121</v>
      </c>
      <c r="AW230" s="947">
        <v>81</v>
      </c>
      <c r="AX230" s="947">
        <v>69.845744995743289</v>
      </c>
      <c r="AY230" s="947">
        <v>0</v>
      </c>
    </row>
    <row r="231" spans="2:51" x14ac:dyDescent="0.25">
      <c r="B231" s="650">
        <v>-2.926030509748264</v>
      </c>
      <c r="C231" s="651">
        <v>-0.41744702722000238</v>
      </c>
      <c r="D231" s="652">
        <v>-0.24425441414535282</v>
      </c>
      <c r="E231" s="653">
        <v>4.2436832912363227E-2</v>
      </c>
      <c r="F231" s="651">
        <v>-0.96494077236468667</v>
      </c>
      <c r="G231" s="654">
        <v>0.25901432593702273</v>
      </c>
      <c r="H231" s="653">
        <v>0.26600000000000001</v>
      </c>
      <c r="I231" s="920">
        <v>0.39400000000000002</v>
      </c>
      <c r="J231" s="924">
        <v>5.2149999999999999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1310</v>
      </c>
      <c r="L231" s="940" t="s">
        <v>424</v>
      </c>
      <c r="M231" s="970">
        <f>M225</f>
        <v>-18</v>
      </c>
      <c r="N231" s="941"/>
      <c r="O231" s="942"/>
      <c r="Q231" s="162">
        <f t="shared" si="1078"/>
        <v>-4.6046829327776138</v>
      </c>
      <c r="R231" s="162">
        <f t="shared" si="1079"/>
        <v>-0.32478927894954163</v>
      </c>
      <c r="S231" s="162">
        <f t="shared" si="1080"/>
        <v>-2.5537039424860004</v>
      </c>
      <c r="T231" s="162">
        <f t="shared" si="1081"/>
        <v>-0.99372579186003041</v>
      </c>
      <c r="U231" s="162">
        <f t="shared" si="1082"/>
        <v>-7.0092010269443991E-2</v>
      </c>
      <c r="V231" s="162">
        <f t="shared" si="1083"/>
        <v>8.7155956127759088E-2</v>
      </c>
      <c r="W231" s="162">
        <f>IFERROR(IF(ISNUMBER(MATCH($Z231,Settings!$AK$28:$AK$36,0)),INDEX(Settings!$AO$14:$AO$36,MATCH($Z231,Settings!$AK$14:$AK$36,0))/2,INDEX(Settings!$AM$14:$AM$36,MATCH($Z231,Settings!$AK$14:$AK$36,0))/2),"")</f>
        <v>0.255</v>
      </c>
      <c r="X231" s="162">
        <f t="shared" si="1084"/>
        <v>0.41499999999999992</v>
      </c>
      <c r="Y231" s="75">
        <v>5.2389999999999999</v>
      </c>
      <c r="Z231" s="917" t="str">
        <f t="shared" si="1085"/>
        <v>CPS-32193r1</v>
      </c>
      <c r="AA231" s="82"/>
      <c r="AB231" s="75"/>
      <c r="AC231" s="75"/>
      <c r="AD231" s="166"/>
      <c r="AE231" s="75">
        <v>1.2290000000000001</v>
      </c>
      <c r="AF231" s="82">
        <v>1</v>
      </c>
      <c r="AG231" s="82">
        <v>2</v>
      </c>
      <c r="AH231" s="82">
        <v>1</v>
      </c>
      <c r="AI231" s="82">
        <v>1.0000000000218279</v>
      </c>
      <c r="AJ231" s="166">
        <v>1.2291100000000001</v>
      </c>
      <c r="AK231" s="82" t="str">
        <v>Base</v>
      </c>
      <c r="AL231" s="162">
        <v>-18.75</v>
      </c>
      <c r="AM231" s="162">
        <v>-4.2793252959304864</v>
      </c>
      <c r="AN231" s="162">
        <v>-1.3341290884002195</v>
      </c>
      <c r="AO231" s="162">
        <v>54.669117106879419</v>
      </c>
      <c r="AP231" s="162">
        <v>-23.078906517516071</v>
      </c>
      <c r="AQ231" s="162">
        <v>0</v>
      </c>
      <c r="AR231" s="710" t="str">
        <v>1313.par</v>
      </c>
      <c r="AV231" s="82" t="str">
        <v>255,188,121</v>
      </c>
      <c r="AW231" s="947">
        <v>62.400000000000006</v>
      </c>
      <c r="AX231" s="947">
        <v>54.669117106879419</v>
      </c>
      <c r="AY231" s="947">
        <v>0</v>
      </c>
    </row>
    <row r="232" spans="2:51" x14ac:dyDescent="0.25">
      <c r="B232" s="650">
        <v>-3.5624255814446726</v>
      </c>
      <c r="C232" s="651">
        <v>-0.654295740991649</v>
      </c>
      <c r="D232" s="652">
        <v>-0.59447769044630305</v>
      </c>
      <c r="E232" s="653">
        <v>-1.0796227663284447E-2</v>
      </c>
      <c r="F232" s="651">
        <v>-0.96446648070144025</v>
      </c>
      <c r="G232" s="654">
        <v>0.26398456218427013</v>
      </c>
      <c r="H232" s="653">
        <v>0.26600000000000001</v>
      </c>
      <c r="I232" s="920">
        <v>0.52</v>
      </c>
      <c r="J232" s="924">
        <v>5.2210000000000001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1313</v>
      </c>
      <c r="L232" s="940" t="s">
        <v>420</v>
      </c>
      <c r="M232" s="970">
        <f t="shared" ref="M232:M235" si="1086">M226</f>
        <v>-37.099999999999994</v>
      </c>
      <c r="N232" s="941"/>
      <c r="O232" s="942"/>
      <c r="Q232" s="162">
        <f t="shared" si="1078"/>
        <v>-4.6625135117155097</v>
      </c>
      <c r="R232" s="162">
        <f t="shared" si="1079"/>
        <v>-0.21030155055586119</v>
      </c>
      <c r="S232" s="162">
        <f t="shared" si="1080"/>
        <v>-3.3595167976572102</v>
      </c>
      <c r="T232" s="162">
        <f t="shared" si="1081"/>
        <v>-0.99518287418686568</v>
      </c>
      <c r="U232" s="162">
        <f t="shared" si="1082"/>
        <v>-4.4887484186856702E-2</v>
      </c>
      <c r="V232" s="162">
        <f t="shared" si="1083"/>
        <v>8.7155956127759046E-2</v>
      </c>
      <c r="W232" s="162">
        <f>IFERROR(IF(ISNUMBER(MATCH($Z232,Settings!$AK$28:$AK$36,0)),INDEX(Settings!$AO$14:$AO$36,MATCH($Z232,Settings!$AK$14:$AK$36,0))/2,INDEX(Settings!$AM$14:$AM$36,MATCH($Z232,Settings!$AK$14:$AK$36,0))/2),"")</f>
        <v>0.255</v>
      </c>
      <c r="X232" s="162">
        <f t="shared" si="1084"/>
        <v>0.41499999999999992</v>
      </c>
      <c r="Y232" s="75">
        <v>5.2450000000000001</v>
      </c>
      <c r="Z232" s="917" t="str">
        <f t="shared" si="1085"/>
        <v>CPS-32193r1</v>
      </c>
      <c r="AA232" s="82"/>
      <c r="AB232" s="75"/>
      <c r="AC232" s="75"/>
      <c r="AD232" s="166"/>
      <c r="AE232" s="75">
        <v>1.2230000000000001</v>
      </c>
      <c r="AF232" s="82">
        <v>1</v>
      </c>
      <c r="AG232" s="82">
        <v>2</v>
      </c>
      <c r="AH232" s="82">
        <v>1</v>
      </c>
      <c r="AI232" s="82">
        <v>1.0000000000218279</v>
      </c>
      <c r="AJ232" s="166">
        <v>1.2231100000000001</v>
      </c>
      <c r="AK232" s="82" t="str">
        <v>Base</v>
      </c>
      <c r="AL232" s="162">
        <v>-18.75</v>
      </c>
      <c r="AM232" s="162">
        <v>-3.8108413457299499</v>
      </c>
      <c r="AN232" s="162">
        <v>-0.74553143810879308</v>
      </c>
      <c r="AO232" s="162">
        <v>39.396777291230784</v>
      </c>
      <c r="AP232" s="162">
        <v>-19.739412278917303</v>
      </c>
      <c r="AQ232" s="162">
        <v>0</v>
      </c>
      <c r="AR232" s="710" t="str">
        <v>1313.par</v>
      </c>
      <c r="AV232" s="82" t="str">
        <v>255,188,121</v>
      </c>
      <c r="AW232" s="947">
        <v>43.400000000000006</v>
      </c>
      <c r="AX232" s="947">
        <v>39.396777291230784</v>
      </c>
      <c r="AY232" s="947">
        <v>0</v>
      </c>
    </row>
    <row r="233" spans="2:51" x14ac:dyDescent="0.25">
      <c r="B233" s="650">
        <v>-4.0667586098895123</v>
      </c>
      <c r="C233" s="651">
        <v>-0.8177349432228862</v>
      </c>
      <c r="D233" s="652">
        <v>-1.133349341032448</v>
      </c>
      <c r="E233" s="653">
        <v>-0.1007067009545886</v>
      </c>
      <c r="F233" s="651">
        <v>-0.9649214096103671</v>
      </c>
      <c r="G233" s="654">
        <v>0.24245583857351316</v>
      </c>
      <c r="H233" s="653">
        <v>0.26600000000000001</v>
      </c>
      <c r="I233" s="920">
        <v>0.52</v>
      </c>
      <c r="J233" s="924">
        <v>5.2270000000000003</v>
      </c>
      <c r="K233" s="790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1313</v>
      </c>
      <c r="L233" s="940" t="s">
        <v>420</v>
      </c>
      <c r="M233" s="970">
        <f t="shared" si="1086"/>
        <v>-56.099999999999994</v>
      </c>
      <c r="N233" s="941"/>
      <c r="O233" s="942"/>
      <c r="Q233" s="162">
        <f t="shared" si="1078"/>
        <v>-2.3338066778344655</v>
      </c>
      <c r="R233" s="162">
        <f t="shared" si="1079"/>
        <v>1.5955992375410406</v>
      </c>
      <c r="S233" s="162">
        <f t="shared" si="1080"/>
        <v>-0.22350129727438597</v>
      </c>
      <c r="T233" s="162">
        <f t="shared" si="1081"/>
        <v>-0.61095019017185548</v>
      </c>
      <c r="U233" s="162">
        <f t="shared" si="1082"/>
        <v>-0.74674895113791018</v>
      </c>
      <c r="V233" s="162">
        <f t="shared" si="1083"/>
        <v>0.26287995188565599</v>
      </c>
      <c r="W233" s="162">
        <f>IFERROR(IF(ISNUMBER(MATCH($Z233,Settings!$AK$28:$AK$36,0)),INDEX(Settings!$AO$14:$AO$36,MATCH($Z233,Settings!$AK$14:$AK$36,0))/2,INDEX(Settings!$AM$14:$AM$36,MATCH($Z233,Settings!$AK$14:$AK$36,0))/2),"")</f>
        <v>0.3125</v>
      </c>
      <c r="X233" s="162">
        <f t="shared" si="1084"/>
        <v>0.52</v>
      </c>
      <c r="Y233" s="75">
        <v>6.1139999999999999</v>
      </c>
      <c r="Z233" s="917">
        <f t="shared" si="1085"/>
        <v>1613</v>
      </c>
      <c r="AA233" s="82"/>
      <c r="AB233" s="75"/>
      <c r="AC233" s="75"/>
      <c r="AD233" s="166"/>
      <c r="AE233" s="75">
        <v>1.2170000000000001</v>
      </c>
      <c r="AF233" s="82">
        <v>1</v>
      </c>
      <c r="AG233" s="82">
        <v>2</v>
      </c>
      <c r="AH233" s="82">
        <v>1</v>
      </c>
      <c r="AI233" s="82">
        <v>1.0000000000218279</v>
      </c>
      <c r="AJ233" s="166">
        <v>1.2171100000000001</v>
      </c>
      <c r="AK233" s="82" t="str">
        <v>Base</v>
      </c>
      <c r="AL233" s="162">
        <v>-18.75</v>
      </c>
      <c r="AM233" s="162">
        <v>-3.1877596627857026</v>
      </c>
      <c r="AN233" s="162">
        <v>-0.32336155235597136</v>
      </c>
      <c r="AO233" s="162">
        <v>23.940454553934082</v>
      </c>
      <c r="AP233" s="162">
        <v>-16.417262779123849</v>
      </c>
      <c r="AQ233" s="162">
        <v>0</v>
      </c>
      <c r="AR233" s="710" t="str">
        <v>1313.par</v>
      </c>
      <c r="AV233" s="82" t="str">
        <v>255,188,121</v>
      </c>
      <c r="AW233" s="947">
        <v>24.299999999999997</v>
      </c>
      <c r="AX233" s="947">
        <v>23.940454553934082</v>
      </c>
      <c r="AY233" s="947">
        <v>0</v>
      </c>
    </row>
    <row r="234" spans="2:51" x14ac:dyDescent="0.25">
      <c r="B234" s="650">
        <v>-4.4143364859501082</v>
      </c>
      <c r="C234" s="651">
        <v>-0.86900422155143187</v>
      </c>
      <c r="D234" s="652">
        <v>-1.8005473770332912</v>
      </c>
      <c r="E234" s="653">
        <v>-0.20880054138555146</v>
      </c>
      <c r="F234" s="651">
        <v>-0.96085951252206514</v>
      </c>
      <c r="G234" s="654">
        <v>0.18207506999301179</v>
      </c>
      <c r="H234" s="653">
        <v>0.26600000000000001</v>
      </c>
      <c r="I234" s="920">
        <v>0.52</v>
      </c>
      <c r="J234" s="924">
        <v>5.2329999999999997</v>
      </c>
      <c r="K234" s="790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1313</v>
      </c>
      <c r="L234" s="940" t="s">
        <v>420</v>
      </c>
      <c r="M234" s="970">
        <f t="shared" si="1086"/>
        <v>-74.900000000000006</v>
      </c>
      <c r="N234" s="941"/>
      <c r="O234" s="942"/>
      <c r="Q234" s="162">
        <f t="shared" si="1078"/>
        <v>-2.8677707307213303</v>
      </c>
      <c r="R234" s="162">
        <f t="shared" si="1079"/>
        <v>2.0162514508376508</v>
      </c>
      <c r="S234" s="162">
        <f t="shared" si="1080"/>
        <v>-0.53540315657553683</v>
      </c>
      <c r="T234" s="162">
        <f t="shared" si="1081"/>
        <v>-0.68382346021508134</v>
      </c>
      <c r="U234" s="162">
        <f t="shared" si="1082"/>
        <v>-0.68022064402392435</v>
      </c>
      <c r="V234" s="162">
        <f t="shared" si="1083"/>
        <v>0.26397983010667825</v>
      </c>
      <c r="W234" s="162">
        <f>IFERROR(IF(ISNUMBER(MATCH($Z234,Settings!$AK$28:$AK$36,0)),INDEX(Settings!$AO$14:$AO$36,MATCH($Z234,Settings!$AK$14:$AK$36,0))/2,INDEX(Settings!$AM$14:$AM$36,MATCH($Z234,Settings!$AK$14:$AK$36,0))/2),"")</f>
        <v>0.3125</v>
      </c>
      <c r="X234" s="162">
        <f t="shared" si="1084"/>
        <v>0.52</v>
      </c>
      <c r="Y234" s="75">
        <v>6.12</v>
      </c>
      <c r="Z234" s="917">
        <f t="shared" si="1085"/>
        <v>1613</v>
      </c>
      <c r="AA234" s="82"/>
      <c r="AB234" s="75"/>
      <c r="AC234" s="75"/>
      <c r="AD234" s="166"/>
      <c r="AE234" s="75">
        <v>1.2110000000000001</v>
      </c>
      <c r="AF234" s="82">
        <v>1</v>
      </c>
      <c r="AG234" s="82">
        <v>2</v>
      </c>
      <c r="AH234" s="82">
        <v>1</v>
      </c>
      <c r="AI234" s="82">
        <v>1.0000000000218279</v>
      </c>
      <c r="AJ234" s="166">
        <v>1.2111100000000001</v>
      </c>
      <c r="AK234" s="82" t="str">
        <v>Base</v>
      </c>
      <c r="AL234" s="162">
        <v>-18.75</v>
      </c>
      <c r="AM234" s="162">
        <v>-2.4622718814698974</v>
      </c>
      <c r="AN234" s="162">
        <v>-0.12304140918929864</v>
      </c>
      <c r="AO234" s="162">
        <v>8.4563376107190713</v>
      </c>
      <c r="AP234" s="162">
        <v>-15.928246062290501</v>
      </c>
      <c r="AQ234" s="162">
        <v>0</v>
      </c>
      <c r="AR234" s="710" t="str">
        <v>1310.par</v>
      </c>
      <c r="AV234" s="82" t="str">
        <v>255,188,121</v>
      </c>
      <c r="AW234" s="947">
        <v>5.2999999999999972</v>
      </c>
      <c r="AX234" s="947">
        <v>8.4563376107190713</v>
      </c>
      <c r="AY234" s="947">
        <v>0</v>
      </c>
    </row>
    <row r="235" spans="2:51" x14ac:dyDescent="0.25">
      <c r="B235" s="650">
        <v>-4.6046829327776138</v>
      </c>
      <c r="C235" s="651">
        <v>-0.32478927894954163</v>
      </c>
      <c r="D235" s="652">
        <v>-2.5537039424860004</v>
      </c>
      <c r="E235" s="653">
        <v>-0.99372579186003041</v>
      </c>
      <c r="F235" s="651">
        <v>-7.0092010269443991E-2</v>
      </c>
      <c r="G235" s="654">
        <v>8.7155956127759088E-2</v>
      </c>
      <c r="H235" s="653">
        <v>0.25700000000000001</v>
      </c>
      <c r="I235" s="920">
        <v>0.41499999999999992</v>
      </c>
      <c r="J235" s="924">
        <v>5.2389999999999999</v>
      </c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CPS-32193r1</v>
      </c>
      <c r="L235" s="940" t="s">
        <v>425</v>
      </c>
      <c r="M235" s="970">
        <f t="shared" si="1086"/>
        <v>-85</v>
      </c>
      <c r="N235" s="941"/>
      <c r="O235" s="942"/>
      <c r="Q235" s="162">
        <f t="shared" si="1078"/>
        <v>-3.2845957197167142</v>
      </c>
      <c r="R235" s="162">
        <f t="shared" si="1079"/>
        <v>2.3759045132301755</v>
      </c>
      <c r="S235" s="162">
        <f t="shared" si="1080"/>
        <v>-1.0431062004084823</v>
      </c>
      <c r="T235" s="162">
        <f t="shared" si="1081"/>
        <v>-0.76484113930807474</v>
      </c>
      <c r="U235" s="162">
        <f t="shared" si="1082"/>
        <v>-0.5942774396847299</v>
      </c>
      <c r="V235" s="162">
        <f t="shared" si="1083"/>
        <v>0.24870133956954971</v>
      </c>
      <c r="W235" s="162">
        <f>IFERROR(IF(ISNUMBER(MATCH($Z235,Settings!$AK$28:$AK$36,0)),INDEX(Settings!$AO$14:$AO$36,MATCH($Z235,Settings!$AK$14:$AK$36,0))/2,INDEX(Settings!$AM$14:$AM$36,MATCH($Z235,Settings!$AK$14:$AK$36,0))/2),"")</f>
        <v>0.3125</v>
      </c>
      <c r="X235" s="162">
        <f t="shared" si="1084"/>
        <v>0.52</v>
      </c>
      <c r="Y235" s="75">
        <v>6.1260000000000003</v>
      </c>
      <c r="Z235" s="917">
        <f t="shared" si="1085"/>
        <v>1613</v>
      </c>
      <c r="AA235" s="82"/>
      <c r="AB235" s="75"/>
      <c r="AC235" s="75"/>
      <c r="AD235" s="166"/>
      <c r="AE235" s="75">
        <v>1.141</v>
      </c>
      <c r="AF235" s="82">
        <v>1</v>
      </c>
      <c r="AG235" s="82">
        <v>1</v>
      </c>
      <c r="AH235" s="82">
        <v>1</v>
      </c>
      <c r="AI235" s="82">
        <v>1.000000000003638</v>
      </c>
      <c r="AJ235" s="166">
        <v>1.1411100000000001</v>
      </c>
      <c r="AK235" s="82" t="str">
        <v>Base</v>
      </c>
      <c r="AL235" s="162">
        <v>-18</v>
      </c>
      <c r="AM235" s="162">
        <v>-4.6815983957116201</v>
      </c>
      <c r="AN235" s="162">
        <v>-2.8419750013724152</v>
      </c>
      <c r="AO235" s="162">
        <v>84.967735525253502</v>
      </c>
      <c r="AP235" s="162">
        <v>-29.788825501047704</v>
      </c>
      <c r="AQ235" s="162">
        <v>0</v>
      </c>
      <c r="AR235" s="710" t="str">
        <v>1613.par</v>
      </c>
      <c r="AV235" s="82" t="str">
        <v>255,127,0</v>
      </c>
      <c r="AW235" s="947">
        <v>85</v>
      </c>
      <c r="AX235" s="947">
        <v>84.967735525253502</v>
      </c>
      <c r="AY235" s="947">
        <v>0</v>
      </c>
    </row>
    <row r="236" spans="2:51" x14ac:dyDescent="0.25">
      <c r="B236" s="650">
        <v>-4.6625135117155097</v>
      </c>
      <c r="C236" s="651">
        <v>-0.21030155055586119</v>
      </c>
      <c r="D236" s="652">
        <v>-3.3595167976572102</v>
      </c>
      <c r="E236" s="653">
        <v>-0.99518287418686568</v>
      </c>
      <c r="F236" s="651">
        <v>-4.4887484186856702E-2</v>
      </c>
      <c r="G236" s="654">
        <v>8.7155956127759046E-2</v>
      </c>
      <c r="H236" s="653">
        <v>0.25700000000000001</v>
      </c>
      <c r="I236" s="920">
        <v>0.41499999999999992</v>
      </c>
      <c r="J236" s="924">
        <v>5.2450000000000001</v>
      </c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CPS-32193r1</v>
      </c>
      <c r="L236" s="940" t="s">
        <v>425</v>
      </c>
      <c r="M236" s="970">
        <f>M230</f>
        <v>-85</v>
      </c>
      <c r="N236" s="941"/>
      <c r="O236" s="942"/>
      <c r="Q236" s="162">
        <f t="shared" si="1078"/>
        <v>-3.5646573982575633</v>
      </c>
      <c r="R236" s="162">
        <f t="shared" si="1079"/>
        <v>2.6348210427708456</v>
      </c>
      <c r="S236" s="162">
        <f t="shared" si="1080"/>
        <v>-1.6875100904395122</v>
      </c>
      <c r="T236" s="162">
        <f t="shared" si="1081"/>
        <v>-0.83989089842819253</v>
      </c>
      <c r="U236" s="162">
        <f t="shared" si="1082"/>
        <v>-0.50657306186393891</v>
      </c>
      <c r="V236" s="162">
        <f t="shared" si="1083"/>
        <v>0.19485125540082499</v>
      </c>
      <c r="W236" s="162">
        <f>IFERROR(IF(ISNUMBER(MATCH($Z236,Settings!$AK$28:$AK$36,0)),INDEX(Settings!$AO$14:$AO$36,MATCH($Z236,Settings!$AK$14:$AK$36,0))/2,INDEX(Settings!$AM$14:$AM$36,MATCH($Z236,Settings!$AK$14:$AK$36,0))/2),"")</f>
        <v>0.3125</v>
      </c>
      <c r="X236" s="162">
        <f t="shared" si="1084"/>
        <v>0.52</v>
      </c>
      <c r="Y236" s="75">
        <v>6.1319999999999997</v>
      </c>
      <c r="Z236" s="917">
        <f t="shared" si="1085"/>
        <v>1613</v>
      </c>
      <c r="AA236" s="82"/>
      <c r="AB236" s="75"/>
      <c r="AC236" s="75"/>
      <c r="AD236" s="166"/>
      <c r="AE236" s="75">
        <v>1.135</v>
      </c>
      <c r="AF236" s="82">
        <v>1</v>
      </c>
      <c r="AG236" s="82">
        <v>1</v>
      </c>
      <c r="AH236" s="82">
        <v>1</v>
      </c>
      <c r="AI236" s="82">
        <v>1.000000000003638</v>
      </c>
      <c r="AJ236" s="166">
        <v>1.1351100000000001</v>
      </c>
      <c r="AK236" s="82" t="str">
        <v>Base</v>
      </c>
      <c r="AL236" s="162">
        <v>-18</v>
      </c>
      <c r="AM236" s="162">
        <v>-4.5440357805760314</v>
      </c>
      <c r="AN236" s="162">
        <v>-2.0460665367547479</v>
      </c>
      <c r="AO236" s="162">
        <v>69.845008350277126</v>
      </c>
      <c r="AP236" s="162">
        <v>-26.428280775048751</v>
      </c>
      <c r="AQ236" s="162">
        <v>0</v>
      </c>
      <c r="AR236" s="710" t="str">
        <v>1613 Ripper.par</v>
      </c>
      <c r="AV236" s="82" t="str">
        <v>255,127,0</v>
      </c>
      <c r="AW236" s="947">
        <v>81</v>
      </c>
      <c r="AX236" s="947">
        <v>69.845008350277126</v>
      </c>
      <c r="AY236" s="947">
        <v>0</v>
      </c>
    </row>
    <row r="237" spans="2:51" x14ac:dyDescent="0.25">
      <c r="B237" s="650">
        <v>-4.5898039170320333</v>
      </c>
      <c r="C237" s="651">
        <v>-1.2298329513587469</v>
      </c>
      <c r="D237" s="652">
        <v>-8.1462745691641008</v>
      </c>
      <c r="E237" s="653">
        <v>-0.41318579722816046</v>
      </c>
      <c r="F237" s="651">
        <v>-0.90378025946253593</v>
      </c>
      <c r="G237" s="654">
        <v>-0.11161872412261614</v>
      </c>
      <c r="H237" s="653">
        <v>0.26600000000000001</v>
      </c>
      <c r="I237" s="920">
        <v>0.52</v>
      </c>
      <c r="J237" s="924">
        <v>5.399</v>
      </c>
      <c r="K237" s="790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1313</v>
      </c>
      <c r="L237" s="940" t="s">
        <v>420</v>
      </c>
      <c r="M237" s="970">
        <v>0</v>
      </c>
      <c r="N237" s="941"/>
      <c r="O237" s="942" t="s">
        <v>9</v>
      </c>
      <c r="Q237" s="162">
        <f t="shared" si="1078"/>
        <v>-3.7038933058835499</v>
      </c>
      <c r="R237" s="162">
        <f t="shared" si="1079"/>
        <v>2.7678432475317165</v>
      </c>
      <c r="S237" s="162">
        <f t="shared" si="1080"/>
        <v>-2.410514486816564</v>
      </c>
      <c r="T237" s="162">
        <f t="shared" si="1081"/>
        <v>-0.89796267583338263</v>
      </c>
      <c r="U237" s="162">
        <f t="shared" si="1082"/>
        <v>-0.42792549912381916</v>
      </c>
      <c r="V237" s="162">
        <f t="shared" si="1083"/>
        <v>0.10267813793491598</v>
      </c>
      <c r="W237" s="162">
        <f>IFERROR(IF(ISNUMBER(MATCH($Z237,Settings!$AK$28:$AK$36,0)),INDEX(Settings!$AO$14:$AO$36,MATCH($Z237,Settings!$AK$14:$AK$36,0))/2,INDEX(Settings!$AM$14:$AM$36,MATCH($Z237,Settings!$AK$14:$AK$36,0))/2),"")</f>
        <v>0.3125</v>
      </c>
      <c r="X237" s="162">
        <f t="shared" si="1084"/>
        <v>0.52</v>
      </c>
      <c r="Y237" s="75">
        <v>6.1379999999999999</v>
      </c>
      <c r="Z237" s="917">
        <f t="shared" si="1085"/>
        <v>1613</v>
      </c>
      <c r="AA237" s="82"/>
      <c r="AB237" s="75"/>
      <c r="AC237" s="75"/>
      <c r="AD237" s="166"/>
      <c r="AE237" s="75">
        <v>1.129</v>
      </c>
      <c r="AF237" s="82">
        <v>1</v>
      </c>
      <c r="AG237" s="82">
        <v>1</v>
      </c>
      <c r="AH237" s="82">
        <v>1</v>
      </c>
      <c r="AI237" s="82">
        <v>1.000000000003638</v>
      </c>
      <c r="AJ237" s="166">
        <v>1.1291100000000001</v>
      </c>
      <c r="AK237" s="82" t="str">
        <v>Base</v>
      </c>
      <c r="AL237" s="162">
        <v>-18</v>
      </c>
      <c r="AM237" s="162">
        <v>-4.2595903691737202</v>
      </c>
      <c r="AN237" s="162">
        <v>-1.357323928639538</v>
      </c>
      <c r="AO237" s="162">
        <v>54.667570340259566</v>
      </c>
      <c r="AP237" s="162">
        <v>-23.077976777541668</v>
      </c>
      <c r="AQ237" s="162">
        <v>0</v>
      </c>
      <c r="AR237" s="710" t="str">
        <v>1613 Ripper.par</v>
      </c>
      <c r="AV237" s="82" t="str">
        <v>255,127,0</v>
      </c>
      <c r="AW237" s="947">
        <v>62.400000000000006</v>
      </c>
      <c r="AX237" s="947">
        <v>54.667570340259566</v>
      </c>
      <c r="AY237" s="947">
        <v>0</v>
      </c>
    </row>
    <row r="238" spans="2:51" x14ac:dyDescent="0.25">
      <c r="B238" s="650">
        <v>-2.3338066778344655</v>
      </c>
      <c r="C238" s="651">
        <v>1.5955992375410406</v>
      </c>
      <c r="D238" s="652">
        <v>-0.22350129727438597</v>
      </c>
      <c r="E238" s="653">
        <v>-0.61095019017185548</v>
      </c>
      <c r="F238" s="651">
        <v>-0.74674895113791018</v>
      </c>
      <c r="G238" s="654">
        <v>0.26287995188565599</v>
      </c>
      <c r="H238" s="653">
        <v>0.314</v>
      </c>
      <c r="I238" s="920">
        <v>0.52</v>
      </c>
      <c r="J238" s="924">
        <v>6.1139999999999999</v>
      </c>
      <c r="K238" s="790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940" t="s">
        <v>419</v>
      </c>
      <c r="M238" s="970">
        <f>90+-104.8</f>
        <v>-14.799999999999997</v>
      </c>
      <c r="N238" s="941"/>
      <c r="O238" s="942"/>
      <c r="Q238" s="162">
        <f t="shared" si="1078"/>
        <v>-3.7522343013297603</v>
      </c>
      <c r="R238" s="162">
        <f t="shared" si="1079"/>
        <v>2.8162338055793845</v>
      </c>
      <c r="S238" s="162">
        <f t="shared" si="1080"/>
        <v>-3.2161193758494186</v>
      </c>
      <c r="T238" s="162">
        <f t="shared" si="1081"/>
        <v>-0.91823126336694949</v>
      </c>
      <c r="U238" s="162">
        <f t="shared" si="1082"/>
        <v>-0.39363980807251114</v>
      </c>
      <c r="V238" s="162">
        <f t="shared" si="1083"/>
        <v>4.357807334167562E-2</v>
      </c>
      <c r="W238" s="162">
        <f>IFERROR(IF(ISNUMBER(MATCH($Z238,Settings!$AK$28:$AK$36,0)),INDEX(Settings!$AO$14:$AO$36,MATCH($Z238,Settings!$AK$14:$AK$36,0))/2,INDEX(Settings!$AM$14:$AM$36,MATCH($Z238,Settings!$AK$14:$AK$36,0))/2),"")</f>
        <v>0.3125</v>
      </c>
      <c r="X238" s="162">
        <f t="shared" si="1084"/>
        <v>0.52</v>
      </c>
      <c r="Y238" s="75">
        <v>6.1440000000000001</v>
      </c>
      <c r="Z238" s="917">
        <f t="shared" si="1085"/>
        <v>1613</v>
      </c>
      <c r="AA238" s="82"/>
      <c r="AB238" s="75"/>
      <c r="AC238" s="75"/>
      <c r="AD238" s="166"/>
      <c r="AE238" s="75">
        <v>1.123</v>
      </c>
      <c r="AF238" s="82">
        <v>1</v>
      </c>
      <c r="AG238" s="82">
        <v>1</v>
      </c>
      <c r="AH238" s="82">
        <v>1</v>
      </c>
      <c r="AI238" s="82">
        <v>1.000000000003638</v>
      </c>
      <c r="AJ238" s="166">
        <v>1.1231100000000001</v>
      </c>
      <c r="AK238" s="82" t="str">
        <v>Base</v>
      </c>
      <c r="AL238" s="162">
        <v>-18</v>
      </c>
      <c r="AM238" s="162">
        <v>-3.7946894509153921</v>
      </c>
      <c r="AN238" s="162">
        <v>-0.77532763865943677</v>
      </c>
      <c r="AO238" s="162">
        <v>39.394185673437661</v>
      </c>
      <c r="AP238" s="162">
        <v>-19.738648552093483</v>
      </c>
      <c r="AQ238" s="162">
        <v>0</v>
      </c>
      <c r="AR238" s="710" t="str">
        <v>1613 Ripper.par</v>
      </c>
      <c r="AV238" s="82" t="str">
        <v>255,127,0</v>
      </c>
      <c r="AW238" s="947">
        <v>43.400000000000006</v>
      </c>
      <c r="AX238" s="947">
        <v>39.394185673437661</v>
      </c>
      <c r="AY238" s="947">
        <v>0</v>
      </c>
    </row>
    <row r="239" spans="2:51" x14ac:dyDescent="0.25">
      <c r="B239" s="650">
        <v>-2.8677707307213303</v>
      </c>
      <c r="C239" s="651">
        <v>2.0162514508376508</v>
      </c>
      <c r="D239" s="652">
        <v>-0.53540315657553683</v>
      </c>
      <c r="E239" s="653">
        <v>-0.68382346021508134</v>
      </c>
      <c r="F239" s="651">
        <v>-0.68022064402392435</v>
      </c>
      <c r="G239" s="654">
        <v>0.26397983010667825</v>
      </c>
      <c r="H239" s="653">
        <v>0.314</v>
      </c>
      <c r="I239" s="920">
        <v>0.52</v>
      </c>
      <c r="J239" s="924">
        <v>6.12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940" t="s">
        <v>419</v>
      </c>
      <c r="M239" s="970">
        <f>90+-123.9</f>
        <v>-33.900000000000006</v>
      </c>
      <c r="N239" s="941"/>
      <c r="O239" s="942"/>
      <c r="Q239" s="162">
        <f t="shared" si="1078"/>
        <v>-2.3194346351860329</v>
      </c>
      <c r="R239" s="162">
        <f t="shared" si="1079"/>
        <v>2.653919235450525</v>
      </c>
      <c r="S239" s="162">
        <f t="shared" si="1080"/>
        <v>-0.51318639349565587</v>
      </c>
      <c r="T239" s="162">
        <f t="shared" si="1081"/>
        <v>-0.83138287275906908</v>
      </c>
      <c r="U239" s="162">
        <f t="shared" si="1082"/>
        <v>-0.44503311086804898</v>
      </c>
      <c r="V239" s="162">
        <f t="shared" si="1083"/>
        <v>0.33278829473703631</v>
      </c>
      <c r="W239" s="162">
        <f>IFERROR(IF(ISNUMBER(MATCH($Z239,Settings!$AK$28:$AK$36,0)),INDEX(Settings!$AO$14:$AO$36,MATCH($Z239,Settings!$AK$14:$AK$36,0))/2,INDEX(Settings!$AM$14:$AM$36,MATCH($Z239,Settings!$AK$14:$AK$36,0))/2),"")</f>
        <v>0.26450000000000001</v>
      </c>
      <c r="X239" s="162">
        <f t="shared" si="1084"/>
        <v>0.39400000000000002</v>
      </c>
      <c r="Y239" s="75">
        <v>6.22</v>
      </c>
      <c r="Z239" s="917">
        <f t="shared" si="1085"/>
        <v>1310</v>
      </c>
      <c r="AA239" s="82"/>
      <c r="AB239" s="75"/>
      <c r="AC239" s="75"/>
      <c r="AD239" s="166"/>
      <c r="AE239" s="75">
        <v>1.117</v>
      </c>
      <c r="AF239" s="82">
        <v>1</v>
      </c>
      <c r="AG239" s="82">
        <v>1</v>
      </c>
      <c r="AH239" s="82">
        <v>1</v>
      </c>
      <c r="AI239" s="82">
        <v>1.000000000003638</v>
      </c>
      <c r="AJ239" s="166">
        <v>1.11711</v>
      </c>
      <c r="AK239" s="82" t="str">
        <v>Base</v>
      </c>
      <c r="AL239" s="162">
        <v>-18</v>
      </c>
      <c r="AM239" s="162">
        <v>-3.1767679340595749</v>
      </c>
      <c r="AN239" s="162">
        <v>-0.35958280809741033</v>
      </c>
      <c r="AO239" s="162">
        <v>23.936756233692545</v>
      </c>
      <c r="AP239" s="162">
        <v>-16.41677902573819</v>
      </c>
      <c r="AQ239" s="162">
        <v>0</v>
      </c>
      <c r="AR239" s="710" t="str">
        <v>1613 Ripper.par</v>
      </c>
      <c r="AV239" s="82" t="str">
        <v>255,127,0</v>
      </c>
      <c r="AW239" s="947">
        <v>24.299999999999997</v>
      </c>
      <c r="AX239" s="947">
        <v>23.936756233692545</v>
      </c>
      <c r="AY239" s="947">
        <v>0</v>
      </c>
    </row>
    <row r="240" spans="2:51" x14ac:dyDescent="0.25">
      <c r="B240" s="650">
        <v>-3.2845957197167142</v>
      </c>
      <c r="C240" s="651">
        <v>2.3759045132301755</v>
      </c>
      <c r="D240" s="652">
        <v>-1.0431062004084823</v>
      </c>
      <c r="E240" s="653">
        <v>-0.76484113930807474</v>
      </c>
      <c r="F240" s="651">
        <v>-0.5942774396847299</v>
      </c>
      <c r="G240" s="654">
        <v>0.24870133956954971</v>
      </c>
      <c r="H240" s="653">
        <v>0.314</v>
      </c>
      <c r="I240" s="920">
        <v>0.52</v>
      </c>
      <c r="J240" s="924">
        <v>6.1260000000000003</v>
      </c>
      <c r="K240" s="790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40" t="s">
        <v>419</v>
      </c>
      <c r="M240" s="970">
        <f>90+-142.9</f>
        <v>-52.900000000000006</v>
      </c>
      <c r="N240" s="941"/>
      <c r="O240" s="942"/>
      <c r="Q240" s="162">
        <f t="shared" si="1078"/>
        <v>-2.7443430146286993</v>
      </c>
      <c r="R240" s="162">
        <f t="shared" si="1079"/>
        <v>3.0192431072000261</v>
      </c>
      <c r="S240" s="162">
        <f t="shared" si="1080"/>
        <v>-1.0256090707592713</v>
      </c>
      <c r="T240" s="162">
        <f t="shared" si="1081"/>
        <v>-0.88371243124749965</v>
      </c>
      <c r="U240" s="162">
        <f t="shared" si="1082"/>
        <v>-0.35713454619924395</v>
      </c>
      <c r="V240" s="162">
        <f t="shared" si="1083"/>
        <v>0.30250166077179397</v>
      </c>
      <c r="W240" s="162">
        <f>IFERROR(IF(ISNUMBER(MATCH($Z240,Settings!$AK$28:$AK$36,0)),INDEX(Settings!$AO$14:$AO$36,MATCH($Z240,Settings!$AK$14:$AK$36,0))/2,INDEX(Settings!$AM$14:$AM$36,MATCH($Z240,Settings!$AK$14:$AK$36,0))/2),"")</f>
        <v>0.26450000000000001</v>
      </c>
      <c r="X240" s="162">
        <f t="shared" si="1084"/>
        <v>0.52</v>
      </c>
      <c r="Y240" s="75">
        <v>6.226</v>
      </c>
      <c r="Z240" s="917">
        <f t="shared" si="1085"/>
        <v>1313</v>
      </c>
      <c r="AA240" s="82"/>
      <c r="AB240" s="75"/>
      <c r="AC240" s="75"/>
      <c r="AD240" s="166"/>
      <c r="AE240" s="75">
        <v>1.111</v>
      </c>
      <c r="AF240" s="82">
        <v>1</v>
      </c>
      <c r="AG240" s="82">
        <v>1</v>
      </c>
      <c r="AH240" s="82">
        <v>1</v>
      </c>
      <c r="AI240" s="82">
        <v>1.000000000003638</v>
      </c>
      <c r="AJ240" s="166">
        <v>1.11111</v>
      </c>
      <c r="AK240" s="82" t="str">
        <v>Base</v>
      </c>
      <c r="AL240" s="162">
        <v>-18</v>
      </c>
      <c r="AM240" s="162">
        <v>-2.4577327467561765</v>
      </c>
      <c r="AN240" s="162">
        <v>-0.16527705213571078</v>
      </c>
      <c r="AO240" s="162">
        <v>8.4534739187834553</v>
      </c>
      <c r="AP240" s="162">
        <v>-15.928124578379785</v>
      </c>
      <c r="AQ240" s="162">
        <v>0</v>
      </c>
      <c r="AR240" s="710" t="str">
        <v>1613 Ripper.par</v>
      </c>
      <c r="AV240" s="82" t="str">
        <v>255,127,0</v>
      </c>
      <c r="AW240" s="947">
        <v>5.2999999999999972</v>
      </c>
      <c r="AX240" s="947">
        <v>8.4534739187834553</v>
      </c>
      <c r="AY240" s="947">
        <v>0</v>
      </c>
    </row>
    <row r="241" spans="2:51" x14ac:dyDescent="0.25">
      <c r="B241" s="650">
        <v>-3.5646573982575633</v>
      </c>
      <c r="C241" s="651">
        <v>2.6348210427708456</v>
      </c>
      <c r="D241" s="652">
        <v>-1.6875100904395122</v>
      </c>
      <c r="E241" s="653">
        <v>-0.83989089842819253</v>
      </c>
      <c r="F241" s="651">
        <v>-0.50657306186393891</v>
      </c>
      <c r="G241" s="654">
        <v>0.19485125540082499</v>
      </c>
      <c r="H241" s="653">
        <v>0.314</v>
      </c>
      <c r="I241" s="920">
        <v>0.52</v>
      </c>
      <c r="J241" s="924">
        <v>6.1319999999999997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40" t="s">
        <v>419</v>
      </c>
      <c r="M241" s="970">
        <f>90+-161.8</f>
        <v>-71.800000000000011</v>
      </c>
      <c r="N241" s="941"/>
      <c r="O241" s="942"/>
      <c r="Q241" s="162">
        <f t="shared" si="1078"/>
        <v>-2.6277187677321066</v>
      </c>
      <c r="R241" s="162">
        <f t="shared" si="1079"/>
        <v>3.558737062795494</v>
      </c>
      <c r="S241" s="162">
        <f t="shared" si="1080"/>
        <v>-1.7064264025839397</v>
      </c>
      <c r="T241" s="162">
        <f t="shared" si="1081"/>
        <v>-0.56428648623738398</v>
      </c>
      <c r="U241" s="162">
        <f t="shared" si="1082"/>
        <v>0.7642169539858259</v>
      </c>
      <c r="V241" s="162">
        <f t="shared" si="1083"/>
        <v>0.31233509039250279</v>
      </c>
      <c r="W241" s="162">
        <f>IFERROR(IF(ISNUMBER(MATCH($Z241,Settings!$AK$28:$AK$36,0)),INDEX(Settings!$AO$14:$AO$36,MATCH($Z241,Settings!$AK$14:$AK$36,0))/2,INDEX(Settings!$AM$14:$AM$36,MATCH($Z241,Settings!$AK$14:$AK$36,0))/2),"")</f>
        <v>0.255</v>
      </c>
      <c r="X241" s="162">
        <f t="shared" si="1084"/>
        <v>0.41499999999999992</v>
      </c>
      <c r="Y241" s="75">
        <v>6.2320000000000002</v>
      </c>
      <c r="Z241" s="917" t="str">
        <f t="shared" si="1085"/>
        <v>CPS-32193r1</v>
      </c>
      <c r="AA241" s="82"/>
      <c r="AB241" s="75"/>
      <c r="AC241" s="75"/>
      <c r="AD241" s="166"/>
      <c r="AE241" s="75">
        <v>1.107</v>
      </c>
      <c r="AF241" s="82">
        <v>1</v>
      </c>
      <c r="AG241" s="82">
        <v>1</v>
      </c>
      <c r="AH241" s="82">
        <v>1</v>
      </c>
      <c r="AI241" s="82">
        <v>1.000000000003638</v>
      </c>
      <c r="AJ241" s="166">
        <v>1.10711</v>
      </c>
      <c r="AK241" s="82" t="str">
        <v>Base</v>
      </c>
      <c r="AL241" s="162">
        <v>-18</v>
      </c>
      <c r="AM241" s="162">
        <v>-1.7334170716054855</v>
      </c>
      <c r="AN241" s="162">
        <v>-0.21532598656268487</v>
      </c>
      <c r="AO241" s="162">
        <v>-2.2150241492923901</v>
      </c>
      <c r="AP241" s="162">
        <v>-16.012280643730861</v>
      </c>
      <c r="AQ241" s="162">
        <v>0</v>
      </c>
      <c r="AR241" s="710" t="str">
        <v>1613.par</v>
      </c>
      <c r="AV241" s="82" t="str">
        <v>255,127,0</v>
      </c>
      <c r="AW241" s="947">
        <v>-13.200000000000003</v>
      </c>
      <c r="AX241" s="947">
        <v>-2.2150241492923901</v>
      </c>
      <c r="AY241" s="947">
        <v>0</v>
      </c>
    </row>
    <row r="242" spans="2:51" x14ac:dyDescent="0.25">
      <c r="B242" s="650">
        <v>-3.7038933058835499</v>
      </c>
      <c r="C242" s="651">
        <v>2.7678432475317165</v>
      </c>
      <c r="D242" s="652">
        <v>-2.410514486816564</v>
      </c>
      <c r="E242" s="653">
        <v>-0.89796267583338263</v>
      </c>
      <c r="F242" s="651">
        <v>-0.42792549912381916</v>
      </c>
      <c r="G242" s="654">
        <v>0.10267813793491598</v>
      </c>
      <c r="H242" s="653">
        <v>0.314</v>
      </c>
      <c r="I242" s="920">
        <v>0.52</v>
      </c>
      <c r="J242" s="924">
        <v>6.1379999999999999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40" t="s">
        <v>419</v>
      </c>
      <c r="M242" s="970">
        <f>90+-175</f>
        <v>-85</v>
      </c>
      <c r="N242" s="941"/>
      <c r="O242" s="942"/>
      <c r="Q242" s="162">
        <f t="shared" si="1078"/>
        <v>-2.6595420017994535</v>
      </c>
      <c r="R242" s="162">
        <f t="shared" si="1079"/>
        <v>3.7592436481870086</v>
      </c>
      <c r="S242" s="162">
        <f t="shared" si="1080"/>
        <v>-2.4296713323910164</v>
      </c>
      <c r="T242" s="162">
        <f t="shared" si="1081"/>
        <v>-0.57534871823962908</v>
      </c>
      <c r="U242" s="162">
        <f t="shared" si="1082"/>
        <v>0.81325130908684806</v>
      </c>
      <c r="V242" s="162">
        <f t="shared" si="1083"/>
        <v>8.7155956127759157E-2</v>
      </c>
      <c r="W242" s="162">
        <f>IFERROR(IF(ISNUMBER(MATCH($Z242,Settings!$AK$28:$AK$36,0)),INDEX(Settings!$AO$14:$AO$36,MATCH($Z242,Settings!$AK$14:$AK$36,0))/2,INDEX(Settings!$AM$14:$AM$36,MATCH($Z242,Settings!$AK$14:$AK$36,0))/2),"")</f>
        <v>0.255</v>
      </c>
      <c r="X242" s="162">
        <f t="shared" si="1084"/>
        <v>0.41499999999999992</v>
      </c>
      <c r="Y242" s="75">
        <v>6.2380000000000004</v>
      </c>
      <c r="Z242" s="917" t="str">
        <f t="shared" si="1085"/>
        <v>CPS-32193r1</v>
      </c>
      <c r="AA242" s="82"/>
      <c r="AB242" s="75"/>
      <c r="AC242" s="75"/>
      <c r="AD242" s="166"/>
      <c r="AE242" s="75">
        <v>1.1040000000000001</v>
      </c>
      <c r="AF242" s="82">
        <v>1</v>
      </c>
      <c r="AG242" s="82">
        <v>1</v>
      </c>
      <c r="AH242" s="82">
        <v>1</v>
      </c>
      <c r="AI242" s="82">
        <v>1.0000000000218279</v>
      </c>
      <c r="AJ242" s="166">
        <v>1.1041100000000001</v>
      </c>
      <c r="AK242" s="82" t="str">
        <v>Base</v>
      </c>
      <c r="AL242" s="162">
        <v>-18</v>
      </c>
      <c r="AM242" s="162">
        <v>-1.0379728322122419</v>
      </c>
      <c r="AN242" s="162">
        <v>-0.45152830174152586</v>
      </c>
      <c r="AO242" s="162">
        <v>-6.6778445705640328</v>
      </c>
      <c r="AP242" s="162">
        <v>-16.089568715731136</v>
      </c>
      <c r="AQ242" s="162">
        <v>0</v>
      </c>
      <c r="AR242" s="710" t="str">
        <v>1613.par</v>
      </c>
      <c r="AV242" s="82" t="str">
        <v>255,127,0</v>
      </c>
      <c r="AW242" s="947">
        <v>-20</v>
      </c>
      <c r="AX242" s="947">
        <v>-6.6778445705640328</v>
      </c>
      <c r="AY242" s="947">
        <v>0</v>
      </c>
    </row>
    <row r="243" spans="2:51" x14ac:dyDescent="0.25">
      <c r="B243" s="650">
        <v>-3.7522343013297603</v>
      </c>
      <c r="C243" s="651">
        <v>2.8162338055793845</v>
      </c>
      <c r="D243" s="652">
        <v>-3.2161193758494186</v>
      </c>
      <c r="E243" s="653">
        <v>-0.91823126336694949</v>
      </c>
      <c r="F243" s="651">
        <v>-0.39363980807251114</v>
      </c>
      <c r="G243" s="654">
        <v>4.357807334167562E-2</v>
      </c>
      <c r="H243" s="653">
        <v>0.314</v>
      </c>
      <c r="I243" s="920">
        <v>0.52</v>
      </c>
      <c r="J243" s="924">
        <v>6.1440000000000001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40" t="s">
        <v>419</v>
      </c>
      <c r="M243" s="970">
        <f>90+-175</f>
        <v>-85</v>
      </c>
      <c r="N243" s="941"/>
      <c r="O243" s="942"/>
      <c r="Q243" s="162">
        <f t="shared" si="1078"/>
        <v>-2.5995625909552231</v>
      </c>
      <c r="R243" s="162">
        <f t="shared" si="1079"/>
        <v>3.8762782826832805</v>
      </c>
      <c r="S243" s="162">
        <f t="shared" si="1080"/>
        <v>-3.234295572924073</v>
      </c>
      <c r="T243" s="162">
        <f t="shared" si="1081"/>
        <v>-0.55485955470048776</v>
      </c>
      <c r="U243" s="162">
        <f t="shared" si="1082"/>
        <v>0.82736613048216623</v>
      </c>
      <c r="V243" s="162">
        <f t="shared" si="1083"/>
        <v>8.7155956127758699E-2</v>
      </c>
      <c r="W243" s="162">
        <f>IFERROR(IF(ISNUMBER(MATCH($Z243,Settings!$AK$28:$AK$36,0)),INDEX(Settings!$AO$14:$AO$36,MATCH($Z243,Settings!$AK$14:$AK$36,0))/2,INDEX(Settings!$AM$14:$AM$36,MATCH($Z243,Settings!$AK$14:$AK$36,0))/2),"")</f>
        <v>0.255</v>
      </c>
      <c r="X243" s="162">
        <f t="shared" si="1084"/>
        <v>0.41499999999999992</v>
      </c>
      <c r="Y243" s="75">
        <v>6.2439999999999998</v>
      </c>
      <c r="Z243" s="917" t="str">
        <f t="shared" si="1085"/>
        <v>CPS-32193r1</v>
      </c>
      <c r="AA243" s="82"/>
      <c r="AB243" s="75"/>
      <c r="AC243" s="75"/>
      <c r="AD243" s="166"/>
      <c r="AE243" s="75">
        <v>1.101</v>
      </c>
      <c r="AF243" s="82">
        <v>1</v>
      </c>
      <c r="AG243" s="82">
        <v>1</v>
      </c>
      <c r="AH243" s="82">
        <v>1</v>
      </c>
      <c r="AI243" s="82">
        <v>1.000000000003638</v>
      </c>
      <c r="AJ243" s="166">
        <v>1.10111</v>
      </c>
      <c r="AK243" s="82" t="str">
        <v>Base</v>
      </c>
      <c r="AL243" s="162">
        <v>-18</v>
      </c>
      <c r="AM243" s="162">
        <v>-0.34377459072332789</v>
      </c>
      <c r="AN243" s="162">
        <v>-0.70380373352721137</v>
      </c>
      <c r="AO243" s="162">
        <v>-16.347873003628511</v>
      </c>
      <c r="AP243" s="162">
        <v>-22.679965146972126</v>
      </c>
      <c r="AQ243" s="162">
        <v>0</v>
      </c>
      <c r="AR243" s="710" t="str">
        <v>1613.par</v>
      </c>
      <c r="AV243" s="82" t="str">
        <v>255,127,0</v>
      </c>
      <c r="AW243" s="947">
        <v>-20</v>
      </c>
      <c r="AX243" s="947">
        <v>-16.347873003628511</v>
      </c>
      <c r="AY243" s="947">
        <v>0</v>
      </c>
    </row>
    <row r="244" spans="2:51" x14ac:dyDescent="0.25">
      <c r="B244" s="650">
        <v>-2.3194346351860329</v>
      </c>
      <c r="C244" s="651">
        <v>2.653919235450525</v>
      </c>
      <c r="D244" s="652">
        <v>-0.51318639349565587</v>
      </c>
      <c r="E244" s="653">
        <v>-0.83138287275906908</v>
      </c>
      <c r="F244" s="651">
        <v>-0.44503311086804898</v>
      </c>
      <c r="G244" s="654">
        <v>0.33278829473703631</v>
      </c>
      <c r="H244" s="653">
        <v>0.26600000000000001</v>
      </c>
      <c r="I244" s="920">
        <v>0.39400000000000002</v>
      </c>
      <c r="J244" s="924">
        <v>6.22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1310</v>
      </c>
      <c r="L244" s="940" t="s">
        <v>424</v>
      </c>
      <c r="M244" s="970">
        <f>M239</f>
        <v>-33.900000000000006</v>
      </c>
      <c r="N244" s="941"/>
      <c r="O244" s="942"/>
      <c r="Q244" s="162" t="str">
        <f t="shared" si="1078"/>
        <v/>
      </c>
      <c r="R244" s="162" t="str">
        <f t="shared" si="1079"/>
        <v/>
      </c>
      <c r="S244" s="162" t="str">
        <f t="shared" si="1080"/>
        <v/>
      </c>
      <c r="T244" s="162" t="str">
        <f t="shared" si="1081"/>
        <v/>
      </c>
      <c r="U244" s="162" t="str">
        <f t="shared" si="1082"/>
        <v/>
      </c>
      <c r="V244" s="162" t="str">
        <f t="shared" si="1083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84"/>
        <v/>
      </c>
      <c r="Y244" s="75"/>
      <c r="Z244" s="917" t="str">
        <f t="shared" si="1085"/>
        <v/>
      </c>
      <c r="AA244" s="82"/>
      <c r="AB244" s="75"/>
      <c r="AC244" s="75"/>
      <c r="AD244" s="166"/>
      <c r="AE244" s="75">
        <v>6.2439999999999998</v>
      </c>
      <c r="AF244" s="82">
        <v>6</v>
      </c>
      <c r="AG244" s="82">
        <v>2</v>
      </c>
      <c r="AH244" s="82">
        <v>2</v>
      </c>
      <c r="AI244" s="82">
        <v>0.99999999998544808</v>
      </c>
      <c r="AJ244" s="166">
        <v>6.2442099999999998</v>
      </c>
      <c r="AK244" s="82">
        <v>6.24411</v>
      </c>
      <c r="AL244" s="162">
        <v>0</v>
      </c>
      <c r="AM244" s="162">
        <v>0</v>
      </c>
      <c r="AN244" s="162">
        <v>0</v>
      </c>
      <c r="AO244" s="162">
        <v>1.2272479793296043E-5</v>
      </c>
      <c r="AP244" s="162">
        <v>0</v>
      </c>
      <c r="AQ244" s="162">
        <v>0</v>
      </c>
      <c r="AR244" s="710" t="str">
        <v>32193r1.par</v>
      </c>
      <c r="AV244" s="82" t="str">
        <v>188,121,255</v>
      </c>
      <c r="AW244" s="947">
        <v>85</v>
      </c>
      <c r="AX244" s="947">
        <v>84.999987727520207</v>
      </c>
      <c r="AY244" s="947">
        <v>1.2272479793296043E-5</v>
      </c>
    </row>
    <row r="245" spans="2:51" x14ac:dyDescent="0.25">
      <c r="B245" s="650">
        <v>-2.7443430146286993</v>
      </c>
      <c r="C245" s="651">
        <v>3.0192431072000261</v>
      </c>
      <c r="D245" s="652">
        <v>-1.0256090707592713</v>
      </c>
      <c r="E245" s="653">
        <v>-0.88371243124749965</v>
      </c>
      <c r="F245" s="651">
        <v>-0.35713454619924395</v>
      </c>
      <c r="G245" s="654">
        <v>0.30250166077179397</v>
      </c>
      <c r="H245" s="653">
        <v>0.26600000000000001</v>
      </c>
      <c r="I245" s="920">
        <v>0.52</v>
      </c>
      <c r="J245" s="924">
        <v>6.226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1313</v>
      </c>
      <c r="L245" s="940" t="s">
        <v>420</v>
      </c>
      <c r="M245" s="970">
        <f t="shared" ref="M245:M248" si="1087">M240</f>
        <v>-52.900000000000006</v>
      </c>
      <c r="N245" s="941"/>
      <c r="O245" s="942"/>
      <c r="Q245" s="162" t="str">
        <f t="shared" si="1078"/>
        <v/>
      </c>
      <c r="R245" s="162" t="str">
        <f t="shared" si="1079"/>
        <v/>
      </c>
      <c r="S245" s="162" t="str">
        <f t="shared" si="1080"/>
        <v/>
      </c>
      <c r="T245" s="162" t="str">
        <f t="shared" si="1081"/>
        <v/>
      </c>
      <c r="U245" s="162" t="str">
        <f t="shared" si="1082"/>
        <v/>
      </c>
      <c r="V245" s="162" t="str">
        <f t="shared" si="1083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84"/>
        <v/>
      </c>
      <c r="Y245" s="75"/>
      <c r="Z245" s="917" t="str">
        <f t="shared" si="1085"/>
        <v/>
      </c>
      <c r="AA245" s="82"/>
      <c r="AB245" s="75"/>
      <c r="AC245" s="75"/>
      <c r="AD245" s="166"/>
      <c r="AE245" s="75">
        <v>6.2380000000000004</v>
      </c>
      <c r="AF245" s="82">
        <v>6</v>
      </c>
      <c r="AG245" s="82">
        <v>2</v>
      </c>
      <c r="AH245" s="82">
        <v>2</v>
      </c>
      <c r="AI245" s="82">
        <v>1.0000000000582077</v>
      </c>
      <c r="AJ245" s="166">
        <v>6.2382100000000005</v>
      </c>
      <c r="AK245" s="82">
        <v>6.2381100000000007</v>
      </c>
      <c r="AL245" s="162">
        <v>0</v>
      </c>
      <c r="AM245" s="162">
        <v>0</v>
      </c>
      <c r="AN245" s="162">
        <v>0</v>
      </c>
      <c r="AO245" s="162">
        <v>1.2272479821717752E-5</v>
      </c>
      <c r="AP245" s="162">
        <v>0</v>
      </c>
      <c r="AQ245" s="162">
        <v>0</v>
      </c>
      <c r="AR245" s="710" t="str">
        <v>32193r1.par</v>
      </c>
      <c r="AV245" s="82" t="str">
        <v>188,121,255</v>
      </c>
      <c r="AW245" s="947">
        <v>85</v>
      </c>
      <c r="AX245" s="947">
        <v>84.999987727520178</v>
      </c>
      <c r="AY245" s="947">
        <v>1.2272479821717752E-5</v>
      </c>
    </row>
    <row r="246" spans="2:51" x14ac:dyDescent="0.25">
      <c r="B246" s="650">
        <v>-2.6277187677321066</v>
      </c>
      <c r="C246" s="651">
        <v>3.558737062795494</v>
      </c>
      <c r="D246" s="652">
        <v>-1.7064264025839397</v>
      </c>
      <c r="E246" s="653">
        <v>-0.56428648623738398</v>
      </c>
      <c r="F246" s="651">
        <v>0.7642169539858259</v>
      </c>
      <c r="G246" s="654">
        <v>0.31233509039250279</v>
      </c>
      <c r="H246" s="653">
        <v>0.25700000000000001</v>
      </c>
      <c r="I246" s="920">
        <v>0.41499999999999992</v>
      </c>
      <c r="J246" s="924">
        <v>6.2320000000000002</v>
      </c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CPS-32193r1</v>
      </c>
      <c r="L246" s="940" t="s">
        <v>425</v>
      </c>
      <c r="M246" s="970">
        <f t="shared" si="1087"/>
        <v>-71.800000000000011</v>
      </c>
      <c r="N246" s="941"/>
      <c r="O246" s="942"/>
      <c r="Q246" s="162" t="str">
        <f t="shared" si="1078"/>
        <v/>
      </c>
      <c r="R246" s="162" t="str">
        <f t="shared" si="1079"/>
        <v/>
      </c>
      <c r="S246" s="162" t="str">
        <f t="shared" si="1080"/>
        <v/>
      </c>
      <c r="T246" s="162" t="str">
        <f t="shared" si="1081"/>
        <v/>
      </c>
      <c r="U246" s="162" t="str">
        <f t="shared" si="1082"/>
        <v/>
      </c>
      <c r="V246" s="162" t="str">
        <f t="shared" si="1083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84"/>
        <v/>
      </c>
      <c r="Y246" s="75"/>
      <c r="Z246" s="917" t="str">
        <f t="shared" si="1085"/>
        <v/>
      </c>
      <c r="AA246" s="82"/>
      <c r="AB246" s="75"/>
      <c r="AC246" s="75"/>
      <c r="AD246" s="166"/>
      <c r="AE246" s="75">
        <v>6.2320000000000002</v>
      </c>
      <c r="AF246" s="82">
        <v>6</v>
      </c>
      <c r="AG246" s="82">
        <v>2</v>
      </c>
      <c r="AH246" s="82">
        <v>2</v>
      </c>
      <c r="AI246" s="82">
        <v>1.0000000000582077</v>
      </c>
      <c r="AJ246" s="166">
        <v>6.2322100000000002</v>
      </c>
      <c r="AK246" s="82">
        <v>6.2321100000000005</v>
      </c>
      <c r="AL246" s="162">
        <v>0</v>
      </c>
      <c r="AM246" s="162">
        <v>0</v>
      </c>
      <c r="AN246" s="162">
        <v>0</v>
      </c>
      <c r="AO246" s="162">
        <v>1.0366635891045917E-5</v>
      </c>
      <c r="AP246" s="162">
        <v>0</v>
      </c>
      <c r="AQ246" s="162">
        <v>0</v>
      </c>
      <c r="AR246" s="710" t="str">
        <v>32193r1.par</v>
      </c>
      <c r="AV246" s="82" t="str">
        <v>188,121,255</v>
      </c>
      <c r="AW246" s="947">
        <v>71.800000000000011</v>
      </c>
      <c r="AX246" s="947">
        <v>71.79998963336412</v>
      </c>
      <c r="AY246" s="947">
        <v>1.0366635891045917E-5</v>
      </c>
    </row>
    <row r="247" spans="2:51" x14ac:dyDescent="0.25">
      <c r="B247" s="650">
        <v>-2.6595420017994535</v>
      </c>
      <c r="C247" s="651">
        <v>3.7592436481870086</v>
      </c>
      <c r="D247" s="652">
        <v>-2.4296713323910164</v>
      </c>
      <c r="E247" s="653">
        <v>-0.57534871823962908</v>
      </c>
      <c r="F247" s="651">
        <v>0.81325130908684806</v>
      </c>
      <c r="G247" s="654">
        <v>8.7155956127759157E-2</v>
      </c>
      <c r="H247" s="653">
        <v>0.25700000000000001</v>
      </c>
      <c r="I247" s="920">
        <v>0.41499999999999992</v>
      </c>
      <c r="J247" s="924">
        <v>6.2380000000000004</v>
      </c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940" t="s">
        <v>425</v>
      </c>
      <c r="M247" s="970">
        <f t="shared" si="1087"/>
        <v>-85</v>
      </c>
      <c r="N247" s="941"/>
      <c r="O247" s="942"/>
      <c r="Q247" s="162" t="str">
        <f t="shared" si="1078"/>
        <v/>
      </c>
      <c r="R247" s="162" t="str">
        <f t="shared" si="1079"/>
        <v/>
      </c>
      <c r="S247" s="162" t="str">
        <f t="shared" si="1080"/>
        <v/>
      </c>
      <c r="T247" s="162" t="str">
        <f t="shared" si="1081"/>
        <v/>
      </c>
      <c r="U247" s="162" t="str">
        <f t="shared" si="1082"/>
        <v/>
      </c>
      <c r="V247" s="162" t="str">
        <f t="shared" si="1083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84"/>
        <v/>
      </c>
      <c r="Y247" s="75"/>
      <c r="Z247" s="917" t="str">
        <f t="shared" si="1085"/>
        <v/>
      </c>
      <c r="AA247" s="82"/>
      <c r="AB247" s="75"/>
      <c r="AC247" s="75"/>
      <c r="AD247" s="166"/>
      <c r="AE247" s="75">
        <v>6.226</v>
      </c>
      <c r="AF247" s="82">
        <v>6</v>
      </c>
      <c r="AG247" s="82">
        <v>2</v>
      </c>
      <c r="AH247" s="82">
        <v>2</v>
      </c>
      <c r="AI247" s="82">
        <v>0.99999999998544808</v>
      </c>
      <c r="AJ247" s="166">
        <v>6.22621</v>
      </c>
      <c r="AK247" s="82">
        <v>6.2261100000000003</v>
      </c>
      <c r="AL247" s="162">
        <v>0</v>
      </c>
      <c r="AM247" s="162">
        <v>0</v>
      </c>
      <c r="AN247" s="162">
        <v>0</v>
      </c>
      <c r="AO247" s="162">
        <v>5.7418426775748159</v>
      </c>
      <c r="AP247" s="162">
        <v>0</v>
      </c>
      <c r="AQ247" s="162">
        <v>0</v>
      </c>
      <c r="AR247" s="710" t="str">
        <v>1313.par</v>
      </c>
      <c r="AV247" s="82" t="str">
        <v>188,121,255</v>
      </c>
      <c r="AW247" s="947">
        <v>52.900000000000006</v>
      </c>
      <c r="AX247" s="947">
        <v>47.15815732242519</v>
      </c>
      <c r="AY247" s="947">
        <v>5.7418426775748159</v>
      </c>
    </row>
    <row r="248" spans="2:51" x14ac:dyDescent="0.25">
      <c r="B248" s="650">
        <v>-2.5995625909552231</v>
      </c>
      <c r="C248" s="651">
        <v>3.8762782826832805</v>
      </c>
      <c r="D248" s="652">
        <v>-3.234295572924073</v>
      </c>
      <c r="E248" s="653">
        <v>-0.55485955470048776</v>
      </c>
      <c r="F248" s="651">
        <v>0.82736613048216623</v>
      </c>
      <c r="G248" s="654">
        <v>8.7155956127758699E-2</v>
      </c>
      <c r="H248" s="653">
        <v>0.25700000000000001</v>
      </c>
      <c r="I248" s="920">
        <v>0.41499999999999992</v>
      </c>
      <c r="J248" s="924">
        <v>6.2439999999999998</v>
      </c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CPS-32193r1</v>
      </c>
      <c r="L248" s="940" t="s">
        <v>425</v>
      </c>
      <c r="M248" s="970">
        <f t="shared" si="1087"/>
        <v>-85</v>
      </c>
      <c r="N248" s="941"/>
      <c r="O248" s="942"/>
      <c r="Q248" s="162" t="str">
        <f t="shared" si="1078"/>
        <v/>
      </c>
      <c r="R248" s="162" t="str">
        <f t="shared" si="1079"/>
        <v/>
      </c>
      <c r="S248" s="162" t="str">
        <f t="shared" si="1080"/>
        <v/>
      </c>
      <c r="T248" s="162" t="str">
        <f t="shared" si="1081"/>
        <v/>
      </c>
      <c r="U248" s="162" t="str">
        <f t="shared" si="1082"/>
        <v/>
      </c>
      <c r="V248" s="162" t="str">
        <f t="shared" si="1083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84"/>
        <v/>
      </c>
      <c r="Y248" s="75"/>
      <c r="Z248" s="917" t="str">
        <f t="shared" si="1085"/>
        <v/>
      </c>
      <c r="AA248" s="82"/>
      <c r="AB248" s="75"/>
      <c r="AC248" s="75"/>
      <c r="AD248" s="166"/>
      <c r="AE248" s="75">
        <v>6.22</v>
      </c>
      <c r="AF248" s="82">
        <v>6</v>
      </c>
      <c r="AG248" s="82">
        <v>2</v>
      </c>
      <c r="AH248" s="82">
        <v>2</v>
      </c>
      <c r="AI248" s="82">
        <v>0.99999999998544808</v>
      </c>
      <c r="AJ248" s="166">
        <v>6.2202099999999998</v>
      </c>
      <c r="AK248" s="82">
        <v>6.22011</v>
      </c>
      <c r="AL248" s="162">
        <v>0</v>
      </c>
      <c r="AM248" s="162">
        <v>0</v>
      </c>
      <c r="AN248" s="162">
        <v>0</v>
      </c>
      <c r="AO248" s="162">
        <v>1.9916228518461168</v>
      </c>
      <c r="AP248" s="162">
        <v>0</v>
      </c>
      <c r="AQ248" s="162">
        <v>0</v>
      </c>
      <c r="AR248" s="710" t="str">
        <v>1310.par</v>
      </c>
      <c r="AV248" s="82" t="str">
        <v>188,121,255</v>
      </c>
      <c r="AW248" s="947">
        <v>33.900000000000006</v>
      </c>
      <c r="AX248" s="947">
        <v>31.908377148153889</v>
      </c>
      <c r="AY248" s="947">
        <v>1.9916228518461168</v>
      </c>
    </row>
    <row r="249" spans="2:51" x14ac:dyDescent="0.25">
      <c r="B249" s="650">
        <v>-3.4180968556281881</v>
      </c>
      <c r="C249" s="651">
        <v>3.3008185303944062</v>
      </c>
      <c r="D249" s="652">
        <v>-8.1462745691641008</v>
      </c>
      <c r="E249" s="653">
        <v>-0.98749728646643409</v>
      </c>
      <c r="F249" s="651">
        <v>-0.11131203729457519</v>
      </c>
      <c r="G249" s="654">
        <v>-0.11161872412261609</v>
      </c>
      <c r="H249" s="653">
        <v>0.26600000000000001</v>
      </c>
      <c r="I249" s="920">
        <v>0.52</v>
      </c>
      <c r="J249" s="924">
        <v>6.399</v>
      </c>
      <c r="K249" s="790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1313</v>
      </c>
      <c r="L249" s="940" t="s">
        <v>420</v>
      </c>
      <c r="M249" s="970">
        <v>0</v>
      </c>
      <c r="N249" s="941"/>
      <c r="O249" s="942" t="s">
        <v>9</v>
      </c>
      <c r="Q249" s="162" t="str">
        <f t="shared" si="1078"/>
        <v/>
      </c>
      <c r="R249" s="162" t="str">
        <f t="shared" si="1079"/>
        <v/>
      </c>
      <c r="S249" s="162" t="str">
        <f t="shared" si="1080"/>
        <v/>
      </c>
      <c r="T249" s="162" t="str">
        <f t="shared" si="1081"/>
        <v/>
      </c>
      <c r="U249" s="162" t="str">
        <f t="shared" si="1082"/>
        <v/>
      </c>
      <c r="V249" s="162" t="str">
        <f t="shared" si="1083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84"/>
        <v/>
      </c>
      <c r="Y249" s="75"/>
      <c r="Z249" s="917" t="str">
        <f t="shared" si="1085"/>
        <v/>
      </c>
      <c r="AA249" s="82"/>
      <c r="AB249" s="75"/>
      <c r="AC249" s="75"/>
      <c r="AD249" s="166"/>
      <c r="AE249" s="75">
        <v>6.1440000000000001</v>
      </c>
      <c r="AF249" s="82">
        <v>6</v>
      </c>
      <c r="AG249" s="82">
        <v>1</v>
      </c>
      <c r="AH249" s="82">
        <v>2</v>
      </c>
      <c r="AI249" s="82">
        <v>0.99999999998544808</v>
      </c>
      <c r="AJ249" s="166">
        <v>6.1442100000000002</v>
      </c>
      <c r="AK249" s="82">
        <v>6.1441100000000004</v>
      </c>
      <c r="AL249" s="162">
        <v>0</v>
      </c>
      <c r="AM249" s="162">
        <v>0</v>
      </c>
      <c r="AN249" s="162">
        <v>0</v>
      </c>
      <c r="AO249" s="162">
        <v>3.226417056379205E-2</v>
      </c>
      <c r="AP249" s="162">
        <v>0</v>
      </c>
      <c r="AQ249" s="162">
        <v>0</v>
      </c>
      <c r="AR249" s="710" t="str">
        <v>1613.par</v>
      </c>
      <c r="AV249" s="82" t="str">
        <v>127,0,255</v>
      </c>
      <c r="AW249" s="947">
        <v>85</v>
      </c>
      <c r="AX249" s="947">
        <v>84.967735829436208</v>
      </c>
      <c r="AY249" s="947">
        <v>3.226417056379205E-2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20"/>
      <c r="J250" s="924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43"/>
      <c r="M250" s="970"/>
      <c r="N250" s="941"/>
      <c r="O250" s="942"/>
      <c r="Q250" s="162" t="str">
        <f t="shared" si="1078"/>
        <v/>
      </c>
      <c r="R250" s="162" t="str">
        <f t="shared" si="1079"/>
        <v/>
      </c>
      <c r="S250" s="162" t="str">
        <f t="shared" si="1080"/>
        <v/>
      </c>
      <c r="T250" s="162" t="str">
        <f t="shared" si="1081"/>
        <v/>
      </c>
      <c r="U250" s="162" t="str">
        <f t="shared" si="1082"/>
        <v/>
      </c>
      <c r="V250" s="162" t="str">
        <f t="shared" si="1083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84"/>
        <v/>
      </c>
      <c r="Y250" s="75"/>
      <c r="Z250" s="917" t="str">
        <f t="shared" si="1085"/>
        <v/>
      </c>
      <c r="AA250" s="82"/>
      <c r="AB250" s="75"/>
      <c r="AC250" s="75"/>
      <c r="AD250" s="166"/>
      <c r="AE250" s="75">
        <v>6.1379999999999999</v>
      </c>
      <c r="AF250" s="82">
        <v>6</v>
      </c>
      <c r="AG250" s="82">
        <v>1</v>
      </c>
      <c r="AH250" s="82">
        <v>2</v>
      </c>
      <c r="AI250" s="82">
        <v>0.99999999998544808</v>
      </c>
      <c r="AJ250" s="166">
        <v>6.1382099999999999</v>
      </c>
      <c r="AK250" s="82">
        <v>6.1381100000000002</v>
      </c>
      <c r="AL250" s="162">
        <v>0</v>
      </c>
      <c r="AM250" s="162">
        <v>0</v>
      </c>
      <c r="AN250" s="162">
        <v>0</v>
      </c>
      <c r="AO250" s="162">
        <v>7.5885209372200535</v>
      </c>
      <c r="AP250" s="162">
        <v>0</v>
      </c>
      <c r="AQ250" s="162">
        <v>0</v>
      </c>
      <c r="AR250" s="710" t="str">
        <v>1613.par</v>
      </c>
      <c r="AV250" s="82" t="str">
        <v>127,0,255</v>
      </c>
      <c r="AW250" s="947">
        <v>85</v>
      </c>
      <c r="AX250" s="947">
        <v>77.411479062779947</v>
      </c>
      <c r="AY250" s="947">
        <v>7.5885209372200535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20"/>
      <c r="J251" s="924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43"/>
      <c r="M251" s="970"/>
      <c r="N251" s="941"/>
      <c r="O251" s="942"/>
      <c r="Q251" s="162" t="str">
        <f t="shared" si="1078"/>
        <v/>
      </c>
      <c r="R251" s="162" t="str">
        <f t="shared" si="1079"/>
        <v/>
      </c>
      <c r="S251" s="162" t="str">
        <f t="shared" si="1080"/>
        <v/>
      </c>
      <c r="T251" s="162" t="str">
        <f t="shared" si="1081"/>
        <v/>
      </c>
      <c r="U251" s="162" t="str">
        <f t="shared" si="1082"/>
        <v/>
      </c>
      <c r="V251" s="162" t="str">
        <f t="shared" si="1083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84"/>
        <v/>
      </c>
      <c r="Y251" s="75"/>
      <c r="Z251" s="917" t="str">
        <f t="shared" si="1085"/>
        <v/>
      </c>
      <c r="AA251" s="82"/>
      <c r="AB251" s="75"/>
      <c r="AC251" s="75"/>
      <c r="AD251" s="166"/>
      <c r="AE251" s="75">
        <v>6.1319999999999997</v>
      </c>
      <c r="AF251" s="82">
        <v>6</v>
      </c>
      <c r="AG251" s="82">
        <v>1</v>
      </c>
      <c r="AH251" s="82">
        <v>2</v>
      </c>
      <c r="AI251" s="82">
        <v>0.99999999998544808</v>
      </c>
      <c r="AJ251" s="166">
        <v>6.1322099999999997</v>
      </c>
      <c r="AK251" s="82">
        <v>6.1321099999999999</v>
      </c>
      <c r="AL251" s="162">
        <v>0</v>
      </c>
      <c r="AM251" s="162">
        <v>0</v>
      </c>
      <c r="AN251" s="162">
        <v>0</v>
      </c>
      <c r="AO251" s="162">
        <v>9.534940658343146</v>
      </c>
      <c r="AP251" s="162">
        <v>0</v>
      </c>
      <c r="AQ251" s="162">
        <v>0</v>
      </c>
      <c r="AR251" s="710" t="str">
        <v>1613.par</v>
      </c>
      <c r="AV251" s="82" t="str">
        <v>127,0,255</v>
      </c>
      <c r="AW251" s="947">
        <v>71.800000000000011</v>
      </c>
      <c r="AX251" s="947">
        <v>62.265059341656865</v>
      </c>
      <c r="AY251" s="947">
        <v>9.534940658343146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20"/>
      <c r="J252" s="924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43"/>
      <c r="M252" s="970"/>
      <c r="N252" s="941"/>
      <c r="O252" s="942"/>
      <c r="Q252" s="162" t="str">
        <f t="shared" si="1078"/>
        <v/>
      </c>
      <c r="R252" s="162" t="str">
        <f t="shared" si="1079"/>
        <v/>
      </c>
      <c r="S252" s="162" t="str">
        <f t="shared" si="1080"/>
        <v/>
      </c>
      <c r="T252" s="162" t="str">
        <f t="shared" si="1081"/>
        <v/>
      </c>
      <c r="U252" s="162" t="str">
        <f t="shared" si="1082"/>
        <v/>
      </c>
      <c r="V252" s="162" t="str">
        <f t="shared" si="1083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84"/>
        <v/>
      </c>
      <c r="Y252" s="75"/>
      <c r="Z252" s="917" t="str">
        <f t="shared" si="1085"/>
        <v/>
      </c>
      <c r="AA252" s="82"/>
      <c r="AB252" s="75"/>
      <c r="AC252" s="75"/>
      <c r="AD252" s="166"/>
      <c r="AE252" s="75">
        <v>6.1260000000000003</v>
      </c>
      <c r="AF252" s="82">
        <v>6</v>
      </c>
      <c r="AG252" s="82">
        <v>1</v>
      </c>
      <c r="AH252" s="82">
        <v>2</v>
      </c>
      <c r="AI252" s="82">
        <v>1.0000000000582077</v>
      </c>
      <c r="AJ252" s="166">
        <v>6.1262100000000004</v>
      </c>
      <c r="AK252" s="82">
        <v>6.1261100000000006</v>
      </c>
      <c r="AL252" s="162">
        <v>0</v>
      </c>
      <c r="AM252" s="162">
        <v>0</v>
      </c>
      <c r="AN252" s="162">
        <v>0</v>
      </c>
      <c r="AO252" s="162">
        <v>5.8532509180538881</v>
      </c>
      <c r="AP252" s="162">
        <v>0</v>
      </c>
      <c r="AQ252" s="162">
        <v>0</v>
      </c>
      <c r="AR252" s="710" t="str">
        <v>1613.par</v>
      </c>
      <c r="AV252" s="82" t="str">
        <v>127,0,255</v>
      </c>
      <c r="AW252" s="947">
        <v>52.900000000000006</v>
      </c>
      <c r="AX252" s="947">
        <v>47.046749081946118</v>
      </c>
      <c r="AY252" s="947">
        <v>5.8532509180538881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20"/>
      <c r="J253" s="924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43"/>
      <c r="M253" s="970"/>
      <c r="N253" s="941"/>
      <c r="O253" s="942"/>
      <c r="Q253" s="162" t="str">
        <f t="shared" si="1078"/>
        <v/>
      </c>
      <c r="R253" s="162" t="str">
        <f t="shared" si="1079"/>
        <v/>
      </c>
      <c r="S253" s="162" t="str">
        <f t="shared" si="1080"/>
        <v/>
      </c>
      <c r="T253" s="162" t="str">
        <f t="shared" si="1081"/>
        <v/>
      </c>
      <c r="U253" s="162" t="str">
        <f t="shared" si="1082"/>
        <v/>
      </c>
      <c r="V253" s="162" t="str">
        <f t="shared" si="1083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84"/>
        <v/>
      </c>
      <c r="Y253" s="75"/>
      <c r="Z253" s="917" t="str">
        <f t="shared" si="1085"/>
        <v/>
      </c>
      <c r="AA253" s="82"/>
      <c r="AB253" s="75"/>
      <c r="AC253" s="75"/>
      <c r="AD253" s="166"/>
      <c r="AE253" s="75">
        <v>6.12</v>
      </c>
      <c r="AF253" s="82">
        <v>6</v>
      </c>
      <c r="AG253" s="82">
        <v>1</v>
      </c>
      <c r="AH253" s="82">
        <v>2</v>
      </c>
      <c r="AI253" s="82">
        <v>0.99999999998544808</v>
      </c>
      <c r="AJ253" s="166">
        <v>6.1202100000000002</v>
      </c>
      <c r="AK253" s="82">
        <v>6.1201100000000004</v>
      </c>
      <c r="AL253" s="162">
        <v>0</v>
      </c>
      <c r="AM253" s="162">
        <v>0</v>
      </c>
      <c r="AN253" s="162">
        <v>0</v>
      </c>
      <c r="AO253" s="162">
        <v>2.2026982600441798</v>
      </c>
      <c r="AP253" s="162">
        <v>0</v>
      </c>
      <c r="AQ253" s="162">
        <v>0</v>
      </c>
      <c r="AR253" s="710" t="str">
        <v>1613.par</v>
      </c>
      <c r="AV253" s="82" t="str">
        <v>127,0,255</v>
      </c>
      <c r="AW253" s="947">
        <v>33.900000000000006</v>
      </c>
      <c r="AX253" s="947">
        <v>31.697301739955826</v>
      </c>
      <c r="AY253" s="947">
        <v>2.2026982600441798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70"/>
      <c r="N254" s="941"/>
      <c r="O254" s="942"/>
      <c r="Q254" s="162" t="str">
        <f t="shared" si="1078"/>
        <v/>
      </c>
      <c r="R254" s="162" t="str">
        <f t="shared" si="1079"/>
        <v/>
      </c>
      <c r="S254" s="162" t="str">
        <f t="shared" si="1080"/>
        <v/>
      </c>
      <c r="T254" s="162" t="str">
        <f t="shared" si="1081"/>
        <v/>
      </c>
      <c r="U254" s="162" t="str">
        <f t="shared" si="1082"/>
        <v/>
      </c>
      <c r="V254" s="162" t="str">
        <f t="shared" si="1083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4"/>
        <v/>
      </c>
      <c r="Y254" s="75"/>
      <c r="Z254" s="917" t="str">
        <f t="shared" si="1085"/>
        <v/>
      </c>
      <c r="AA254" s="82"/>
      <c r="AB254" s="75"/>
      <c r="AC254" s="75"/>
      <c r="AD254" s="166"/>
      <c r="AE254" s="75">
        <v>6.1139999999999999</v>
      </c>
      <c r="AF254" s="82">
        <v>6</v>
      </c>
      <c r="AG254" s="82">
        <v>1</v>
      </c>
      <c r="AH254" s="82">
        <v>2</v>
      </c>
      <c r="AI254" s="82">
        <v>0.99999999998544808</v>
      </c>
      <c r="AJ254" s="166">
        <v>6.1142099999999999</v>
      </c>
      <c r="AK254" s="82">
        <v>6.1141100000000002</v>
      </c>
      <c r="AL254" s="162">
        <v>0</v>
      </c>
      <c r="AM254" s="162">
        <v>0</v>
      </c>
      <c r="AN254" s="162">
        <v>0</v>
      </c>
      <c r="AO254" s="162">
        <v>-1.3938793362079664</v>
      </c>
      <c r="AP254" s="162">
        <v>0</v>
      </c>
      <c r="AQ254" s="162">
        <v>0</v>
      </c>
      <c r="AR254" s="710" t="str">
        <v>1613.par</v>
      </c>
      <c r="AV254" s="82" t="str">
        <v>127,0,255</v>
      </c>
      <c r="AW254" s="947">
        <v>14.799999999999997</v>
      </c>
      <c r="AX254" s="947">
        <v>16.193879336207964</v>
      </c>
      <c r="AY254" s="947">
        <v>-1.3938793362079664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70"/>
      <c r="N255" s="941"/>
      <c r="O255" s="942"/>
      <c r="Q255" s="162" t="str">
        <f t="shared" si="1078"/>
        <v/>
      </c>
      <c r="R255" s="162" t="str">
        <f t="shared" si="1079"/>
        <v/>
      </c>
      <c r="S255" s="162" t="str">
        <f t="shared" si="1080"/>
        <v/>
      </c>
      <c r="T255" s="162" t="str">
        <f t="shared" si="1081"/>
        <v/>
      </c>
      <c r="U255" s="162" t="str">
        <f t="shared" si="1082"/>
        <v/>
      </c>
      <c r="V255" s="162" t="str">
        <f t="shared" si="1083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4"/>
        <v/>
      </c>
      <c r="Y255" s="75"/>
      <c r="Z255" s="917" t="str">
        <f t="shared" si="1085"/>
        <v/>
      </c>
      <c r="AA255" s="82"/>
      <c r="AB255" s="75"/>
      <c r="AC255" s="75"/>
      <c r="AD255" s="166"/>
      <c r="AE255" s="75">
        <v>5.2450000000000001</v>
      </c>
      <c r="AF255" s="82">
        <v>5</v>
      </c>
      <c r="AG255" s="82">
        <v>2</v>
      </c>
      <c r="AH255" s="82">
        <v>2</v>
      </c>
      <c r="AI255" s="82">
        <v>0.99999999998544808</v>
      </c>
      <c r="AJ255" s="166">
        <v>5.2452100000000002</v>
      </c>
      <c r="AK255" s="82">
        <v>5.2451100000000004</v>
      </c>
      <c r="AL255" s="162">
        <v>0</v>
      </c>
      <c r="AM255" s="162">
        <v>0</v>
      </c>
      <c r="AN255" s="162">
        <v>0</v>
      </c>
      <c r="AO255" s="162">
        <v>1.2272479821717752E-5</v>
      </c>
      <c r="AP255" s="162">
        <v>0</v>
      </c>
      <c r="AQ255" s="162">
        <v>0</v>
      </c>
      <c r="AR255" s="710" t="str">
        <v>32193r1.par</v>
      </c>
      <c r="AV255" s="82" t="str">
        <v>121,188,255</v>
      </c>
      <c r="AW255" s="947">
        <v>85</v>
      </c>
      <c r="AX255" s="947">
        <v>84.999987727520178</v>
      </c>
      <c r="AY255" s="947">
        <v>1.2272479821717752E-5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70"/>
      <c r="N256" s="941"/>
      <c r="O256" s="942"/>
      <c r="Q256" s="162" t="str">
        <f t="shared" si="1078"/>
        <v/>
      </c>
      <c r="R256" s="162" t="str">
        <f t="shared" si="1079"/>
        <v/>
      </c>
      <c r="S256" s="162" t="str">
        <f t="shared" si="1080"/>
        <v/>
      </c>
      <c r="T256" s="162" t="str">
        <f t="shared" si="1081"/>
        <v/>
      </c>
      <c r="U256" s="162" t="str">
        <f t="shared" si="1082"/>
        <v/>
      </c>
      <c r="V256" s="162" t="str">
        <f t="shared" si="1083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4"/>
        <v/>
      </c>
      <c r="Y256" s="75"/>
      <c r="Z256" s="917" t="str">
        <f t="shared" si="1085"/>
        <v/>
      </c>
      <c r="AA256" s="82"/>
      <c r="AB256" s="75"/>
      <c r="AC256" s="75"/>
      <c r="AD256" s="166"/>
      <c r="AE256" s="75">
        <v>5.2389999999999999</v>
      </c>
      <c r="AF256" s="82">
        <v>5</v>
      </c>
      <c r="AG256" s="82">
        <v>2</v>
      </c>
      <c r="AH256" s="82">
        <v>2</v>
      </c>
      <c r="AI256" s="82">
        <v>0.99999999998544808</v>
      </c>
      <c r="AJ256" s="166">
        <v>5.2392099999999999</v>
      </c>
      <c r="AK256" s="82">
        <v>5.2391100000000002</v>
      </c>
      <c r="AL256" s="162">
        <v>0</v>
      </c>
      <c r="AM256" s="162">
        <v>0</v>
      </c>
      <c r="AN256" s="162">
        <v>0</v>
      </c>
      <c r="AO256" s="162">
        <v>1.2272479821717752E-5</v>
      </c>
      <c r="AP256" s="162">
        <v>0</v>
      </c>
      <c r="AQ256" s="162">
        <v>0</v>
      </c>
      <c r="AR256" s="710" t="str">
        <v>32193r1.par</v>
      </c>
      <c r="AV256" s="82" t="str">
        <v>121,188,255</v>
      </c>
      <c r="AW256" s="947">
        <v>85</v>
      </c>
      <c r="AX256" s="947">
        <v>84.999987727520178</v>
      </c>
      <c r="AY256" s="947">
        <v>1.2272479821717752E-5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70"/>
      <c r="N257" s="941"/>
      <c r="O257" s="942"/>
      <c r="Q257" s="162" t="str">
        <f t="shared" si="1078"/>
        <v/>
      </c>
      <c r="R257" s="162" t="str">
        <f t="shared" si="1079"/>
        <v/>
      </c>
      <c r="S257" s="162" t="str">
        <f t="shared" si="1080"/>
        <v/>
      </c>
      <c r="T257" s="162" t="str">
        <f t="shared" si="1081"/>
        <v/>
      </c>
      <c r="U257" s="162" t="str">
        <f t="shared" si="1082"/>
        <v/>
      </c>
      <c r="V257" s="162" t="str">
        <f t="shared" si="1083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4"/>
        <v/>
      </c>
      <c r="Y257" s="75"/>
      <c r="Z257" s="917" t="str">
        <f t="shared" si="1085"/>
        <v/>
      </c>
      <c r="AA257" s="82"/>
      <c r="AB257" s="75"/>
      <c r="AC257" s="75"/>
      <c r="AD257" s="166"/>
      <c r="AE257" s="75">
        <v>5.2329999999999997</v>
      </c>
      <c r="AF257" s="82">
        <v>5</v>
      </c>
      <c r="AG257" s="82">
        <v>2</v>
      </c>
      <c r="AH257" s="82">
        <v>2</v>
      </c>
      <c r="AI257" s="82">
        <v>0.99999999998544808</v>
      </c>
      <c r="AJ257" s="166">
        <v>5.2332099999999997</v>
      </c>
      <c r="AK257" s="82">
        <v>5.2331099999999999</v>
      </c>
      <c r="AL257" s="162">
        <v>0</v>
      </c>
      <c r="AM257" s="162">
        <v>0</v>
      </c>
      <c r="AN257" s="162">
        <v>0</v>
      </c>
      <c r="AO257" s="162">
        <v>10.105591141629816</v>
      </c>
      <c r="AP257" s="162">
        <v>0</v>
      </c>
      <c r="AQ257" s="162">
        <v>0</v>
      </c>
      <c r="AR257" s="710" t="str">
        <v>1313.par</v>
      </c>
      <c r="AV257" s="82" t="str">
        <v>121,188,255</v>
      </c>
      <c r="AW257" s="947">
        <v>74.900000000000006</v>
      </c>
      <c r="AX257" s="947">
        <v>64.79440885837019</v>
      </c>
      <c r="AY257" s="947">
        <v>10.105591141629816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70"/>
      <c r="N258" s="941"/>
      <c r="O258" s="942"/>
      <c r="Q258" s="162" t="str">
        <f t="shared" si="1078"/>
        <v/>
      </c>
      <c r="R258" s="162" t="str">
        <f t="shared" si="1079"/>
        <v/>
      </c>
      <c r="S258" s="162" t="str">
        <f t="shared" si="1080"/>
        <v/>
      </c>
      <c r="T258" s="162" t="str">
        <f t="shared" si="1081"/>
        <v/>
      </c>
      <c r="U258" s="162" t="str">
        <f t="shared" si="1082"/>
        <v/>
      </c>
      <c r="V258" s="162" t="str">
        <f t="shared" si="1083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4"/>
        <v/>
      </c>
      <c r="Y258" s="75"/>
      <c r="Z258" s="917" t="str">
        <f t="shared" si="1085"/>
        <v/>
      </c>
      <c r="AA258" s="82"/>
      <c r="AB258" s="75"/>
      <c r="AC258" s="75"/>
      <c r="AD258" s="166"/>
      <c r="AE258" s="75">
        <v>5.2270000000000003</v>
      </c>
      <c r="AF258" s="82">
        <v>5</v>
      </c>
      <c r="AG258" s="82">
        <v>2</v>
      </c>
      <c r="AH258" s="82">
        <v>2</v>
      </c>
      <c r="AI258" s="82">
        <v>1.0000000000582077</v>
      </c>
      <c r="AJ258" s="166">
        <v>5.2272100000000004</v>
      </c>
      <c r="AK258" s="82">
        <v>5.2271100000000006</v>
      </c>
      <c r="AL258" s="162">
        <v>0</v>
      </c>
      <c r="AM258" s="162">
        <v>0</v>
      </c>
      <c r="AN258" s="162">
        <v>0</v>
      </c>
      <c r="AO258" s="162">
        <v>6.508065891895626</v>
      </c>
      <c r="AP258" s="162">
        <v>0</v>
      </c>
      <c r="AQ258" s="162">
        <v>0</v>
      </c>
      <c r="AR258" s="710" t="str">
        <v>1313.par</v>
      </c>
      <c r="AV258" s="82" t="str">
        <v>121,188,255</v>
      </c>
      <c r="AW258" s="947">
        <v>56.099999999999994</v>
      </c>
      <c r="AX258" s="947">
        <v>49.591934108104368</v>
      </c>
      <c r="AY258" s="947">
        <v>6.508065891895626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70"/>
      <c r="N259" s="941"/>
      <c r="O259" s="942"/>
      <c r="Q259" s="162" t="str">
        <f t="shared" si="1078"/>
        <v/>
      </c>
      <c r="R259" s="162" t="str">
        <f t="shared" si="1079"/>
        <v/>
      </c>
      <c r="S259" s="162" t="str">
        <f t="shared" si="1080"/>
        <v/>
      </c>
      <c r="T259" s="162" t="str">
        <f t="shared" si="1081"/>
        <v/>
      </c>
      <c r="U259" s="162" t="str">
        <f t="shared" si="1082"/>
        <v/>
      </c>
      <c r="V259" s="162" t="str">
        <f t="shared" si="1083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4"/>
        <v/>
      </c>
      <c r="Y259" s="75"/>
      <c r="Z259" s="917" t="str">
        <f t="shared" si="1085"/>
        <v/>
      </c>
      <c r="AA259" s="82"/>
      <c r="AB259" s="75"/>
      <c r="AC259" s="75"/>
      <c r="AD259" s="166"/>
      <c r="AE259" s="75">
        <v>5.2210000000000001</v>
      </c>
      <c r="AF259" s="82">
        <v>5</v>
      </c>
      <c r="AG259" s="82">
        <v>2</v>
      </c>
      <c r="AH259" s="82">
        <v>2</v>
      </c>
      <c r="AI259" s="82">
        <v>0.99999999998544808</v>
      </c>
      <c r="AJ259" s="166">
        <v>5.2212100000000001</v>
      </c>
      <c r="AK259" s="82">
        <v>5.2211100000000004</v>
      </c>
      <c r="AL259" s="162">
        <v>0</v>
      </c>
      <c r="AM259" s="162">
        <v>0</v>
      </c>
      <c r="AN259" s="162">
        <v>0</v>
      </c>
      <c r="AO259" s="162">
        <v>2.8281505137893674</v>
      </c>
      <c r="AP259" s="162">
        <v>0</v>
      </c>
      <c r="AQ259" s="162">
        <v>0</v>
      </c>
      <c r="AR259" s="710" t="str">
        <v>1313.par</v>
      </c>
      <c r="AV259" s="82" t="str">
        <v>121,188,255</v>
      </c>
      <c r="AW259" s="947">
        <v>37.099999999999994</v>
      </c>
      <c r="AX259" s="947">
        <v>34.271849486210627</v>
      </c>
      <c r="AY259" s="947">
        <v>2.8281505137893674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70"/>
      <c r="N260" s="941"/>
      <c r="O260" s="942"/>
      <c r="Q260" s="162" t="str">
        <f t="shared" si="1078"/>
        <v/>
      </c>
      <c r="R260" s="162" t="str">
        <f t="shared" si="1079"/>
        <v/>
      </c>
      <c r="S260" s="162" t="str">
        <f t="shared" si="1080"/>
        <v/>
      </c>
      <c r="T260" s="162" t="str">
        <f t="shared" si="1081"/>
        <v/>
      </c>
      <c r="U260" s="162" t="str">
        <f t="shared" si="1082"/>
        <v/>
      </c>
      <c r="V260" s="162" t="str">
        <f t="shared" si="1083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4"/>
        <v/>
      </c>
      <c r="Y260" s="75"/>
      <c r="Z260" s="917" t="str">
        <f t="shared" si="1085"/>
        <v/>
      </c>
      <c r="AA260" s="82"/>
      <c r="AB260" s="75"/>
      <c r="AC260" s="75"/>
      <c r="AD260" s="166"/>
      <c r="AE260" s="75">
        <v>5.2149999999999999</v>
      </c>
      <c r="AF260" s="82">
        <v>5</v>
      </c>
      <c r="AG260" s="82">
        <v>2</v>
      </c>
      <c r="AH260" s="82">
        <v>2</v>
      </c>
      <c r="AI260" s="82">
        <v>0.99999999998544808</v>
      </c>
      <c r="AJ260" s="166">
        <v>5.2152099999999999</v>
      </c>
      <c r="AK260" s="82">
        <v>5.2151100000000001</v>
      </c>
      <c r="AL260" s="162">
        <v>0</v>
      </c>
      <c r="AM260" s="162">
        <v>0</v>
      </c>
      <c r="AN260" s="162">
        <v>0</v>
      </c>
      <c r="AO260" s="162">
        <v>-0.76815248906773448</v>
      </c>
      <c r="AP260" s="162">
        <v>0</v>
      </c>
      <c r="AQ260" s="162">
        <v>0</v>
      </c>
      <c r="AR260" s="710" t="str">
        <v>1310.par</v>
      </c>
      <c r="AV260" s="82" t="str">
        <v>121,188,255</v>
      </c>
      <c r="AW260" s="947">
        <v>18</v>
      </c>
      <c r="AX260" s="947">
        <v>18.768152489067734</v>
      </c>
      <c r="AY260" s="947">
        <v>-0.76815248906773448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70"/>
      <c r="N261" s="941"/>
      <c r="O261" s="942"/>
      <c r="Q261" s="162" t="str">
        <f t="shared" si="1078"/>
        <v/>
      </c>
      <c r="R261" s="162" t="str">
        <f t="shared" si="1079"/>
        <v/>
      </c>
      <c r="S261" s="162" t="str">
        <f t="shared" si="1080"/>
        <v/>
      </c>
      <c r="T261" s="162" t="str">
        <f t="shared" si="1081"/>
        <v/>
      </c>
      <c r="U261" s="162" t="str">
        <f t="shared" si="1082"/>
        <v/>
      </c>
      <c r="V261" s="162" t="str">
        <f t="shared" si="1083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4"/>
        <v/>
      </c>
      <c r="Y261" s="75"/>
      <c r="Z261" s="917" t="str">
        <f t="shared" si="1085"/>
        <v/>
      </c>
      <c r="AA261" s="82"/>
      <c r="AB261" s="75"/>
      <c r="AC261" s="75"/>
      <c r="AD261" s="166"/>
      <c r="AE261" s="75">
        <v>5.1449999999999996</v>
      </c>
      <c r="AF261" s="82">
        <v>5</v>
      </c>
      <c r="AG261" s="82">
        <v>1</v>
      </c>
      <c r="AH261" s="82">
        <v>2</v>
      </c>
      <c r="AI261" s="82">
        <v>0.99999999998544808</v>
      </c>
      <c r="AJ261" s="166">
        <v>5.1452099999999996</v>
      </c>
      <c r="AK261" s="82">
        <v>5.1451099999999999</v>
      </c>
      <c r="AL261" s="162">
        <v>0</v>
      </c>
      <c r="AM261" s="162">
        <v>0</v>
      </c>
      <c r="AN261" s="162">
        <v>0</v>
      </c>
      <c r="AO261" s="162">
        <v>3.2264474746483529E-2</v>
      </c>
      <c r="AP261" s="162">
        <v>0</v>
      </c>
      <c r="AQ261" s="162">
        <v>0</v>
      </c>
      <c r="AR261" s="710" t="str">
        <v>1613.par</v>
      </c>
      <c r="AV261" s="82" t="str">
        <v>0,102,204</v>
      </c>
      <c r="AW261" s="947">
        <v>85</v>
      </c>
      <c r="AX261" s="947">
        <v>84.967735525253516</v>
      </c>
      <c r="AY261" s="947">
        <v>3.2264474746483529E-2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70"/>
      <c r="N262" s="941"/>
      <c r="O262" s="942"/>
      <c r="Q262" s="162" t="str">
        <f t="shared" si="1078"/>
        <v/>
      </c>
      <c r="R262" s="162" t="str">
        <f t="shared" si="1079"/>
        <v/>
      </c>
      <c r="S262" s="162" t="str">
        <f t="shared" si="1080"/>
        <v/>
      </c>
      <c r="T262" s="162" t="str">
        <f t="shared" si="1081"/>
        <v/>
      </c>
      <c r="U262" s="162" t="str">
        <f t="shared" si="1082"/>
        <v/>
      </c>
      <c r="V262" s="162" t="str">
        <f t="shared" si="1083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4"/>
        <v/>
      </c>
      <c r="Y262" s="75"/>
      <c r="Z262" s="917" t="str">
        <f t="shared" si="1085"/>
        <v/>
      </c>
      <c r="AA262" s="82"/>
      <c r="AB262" s="75"/>
      <c r="AC262" s="75"/>
      <c r="AD262" s="166"/>
      <c r="AE262" s="75">
        <v>5.1390000000000002</v>
      </c>
      <c r="AF262" s="82">
        <v>5</v>
      </c>
      <c r="AG262" s="82">
        <v>1</v>
      </c>
      <c r="AH262" s="82">
        <v>2</v>
      </c>
      <c r="AI262" s="82">
        <v>1.0000000000582077</v>
      </c>
      <c r="AJ262" s="166">
        <v>5.1392100000000003</v>
      </c>
      <c r="AK262" s="82">
        <v>5.1391100000000005</v>
      </c>
      <c r="AL262" s="162">
        <v>0</v>
      </c>
      <c r="AM262" s="162">
        <v>0</v>
      </c>
      <c r="AN262" s="162">
        <v>0</v>
      </c>
      <c r="AO262" s="162">
        <v>5.0688255041637973</v>
      </c>
      <c r="AP262" s="162">
        <v>0</v>
      </c>
      <c r="AQ262" s="162">
        <v>0</v>
      </c>
      <c r="AR262" s="710" t="str">
        <v>1613.par</v>
      </c>
      <c r="AV262" s="82" t="str">
        <v>0,102,204</v>
      </c>
      <c r="AW262" s="947">
        <v>85</v>
      </c>
      <c r="AX262" s="947">
        <v>79.931174495836203</v>
      </c>
      <c r="AY262" s="947">
        <v>5.0688255041637973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70"/>
      <c r="N263" s="941"/>
      <c r="O263" s="942"/>
      <c r="Q263" s="162" t="str">
        <f t="shared" si="1078"/>
        <v/>
      </c>
      <c r="R263" s="162" t="str">
        <f t="shared" si="1079"/>
        <v/>
      </c>
      <c r="S263" s="162" t="str">
        <f t="shared" si="1080"/>
        <v/>
      </c>
      <c r="T263" s="162" t="str">
        <f t="shared" si="1081"/>
        <v/>
      </c>
      <c r="U263" s="162" t="str">
        <f t="shared" si="1082"/>
        <v/>
      </c>
      <c r="V263" s="162" t="str">
        <f t="shared" si="1083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4"/>
        <v/>
      </c>
      <c r="Y263" s="75"/>
      <c r="Z263" s="917" t="str">
        <f t="shared" si="1085"/>
        <v/>
      </c>
      <c r="AA263" s="82"/>
      <c r="AB263" s="75"/>
      <c r="AC263" s="75"/>
      <c r="AD263" s="166"/>
      <c r="AE263" s="75">
        <v>5.133</v>
      </c>
      <c r="AF263" s="82">
        <v>5</v>
      </c>
      <c r="AG263" s="82">
        <v>1</v>
      </c>
      <c r="AH263" s="82">
        <v>2</v>
      </c>
      <c r="AI263" s="82">
        <v>0.99999999998544808</v>
      </c>
      <c r="AJ263" s="166">
        <v>5.1332100000000001</v>
      </c>
      <c r="AK263" s="82">
        <v>5.1331100000000003</v>
      </c>
      <c r="AL263" s="162">
        <v>0</v>
      </c>
      <c r="AM263" s="162">
        <v>0</v>
      </c>
      <c r="AN263" s="162">
        <v>0</v>
      </c>
      <c r="AO263" s="162">
        <v>10.106571321602118</v>
      </c>
      <c r="AP263" s="162">
        <v>0</v>
      </c>
      <c r="AQ263" s="162">
        <v>0</v>
      </c>
      <c r="AR263" s="710" t="str">
        <v>1613 Ripper.par</v>
      </c>
      <c r="AV263" s="82" t="str">
        <v>0,102,204</v>
      </c>
      <c r="AW263" s="947">
        <v>74.900000000000006</v>
      </c>
      <c r="AX263" s="947">
        <v>64.793428678397888</v>
      </c>
      <c r="AY263" s="947">
        <v>10.106571321602118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70"/>
      <c r="N264" s="941"/>
      <c r="O264" s="942"/>
      <c r="Q264" s="162" t="str">
        <f t="shared" si="1078"/>
        <v/>
      </c>
      <c r="R264" s="162" t="str">
        <f t="shared" si="1079"/>
        <v/>
      </c>
      <c r="S264" s="162" t="str">
        <f t="shared" si="1080"/>
        <v/>
      </c>
      <c r="T264" s="162" t="str">
        <f t="shared" si="1081"/>
        <v/>
      </c>
      <c r="U264" s="162" t="str">
        <f t="shared" si="1082"/>
        <v/>
      </c>
      <c r="V264" s="162" t="str">
        <f t="shared" si="1083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4"/>
        <v/>
      </c>
      <c r="Y264" s="75"/>
      <c r="Z264" s="917" t="str">
        <f t="shared" si="1085"/>
        <v/>
      </c>
      <c r="AA264" s="82"/>
      <c r="AB264" s="75"/>
      <c r="AC264" s="75"/>
      <c r="AD264" s="166"/>
      <c r="AE264" s="75">
        <v>5.1269999999999998</v>
      </c>
      <c r="AF264" s="82">
        <v>5</v>
      </c>
      <c r="AG264" s="82">
        <v>1</v>
      </c>
      <c r="AH264" s="82">
        <v>2</v>
      </c>
      <c r="AI264" s="82">
        <v>0.99999999998544808</v>
      </c>
      <c r="AJ264" s="166">
        <v>5.1272099999999998</v>
      </c>
      <c r="AK264" s="82">
        <v>5.1271100000000001</v>
      </c>
      <c r="AL264" s="162">
        <v>0</v>
      </c>
      <c r="AM264" s="162">
        <v>0</v>
      </c>
      <c r="AN264" s="162">
        <v>0</v>
      </c>
      <c r="AO264" s="162">
        <v>6.5099366354501598</v>
      </c>
      <c r="AP264" s="162">
        <v>0</v>
      </c>
      <c r="AQ264" s="162">
        <v>0</v>
      </c>
      <c r="AR264" s="710" t="str">
        <v>1613 Ripper.par</v>
      </c>
      <c r="AV264" s="82" t="str">
        <v>0,102,204</v>
      </c>
      <c r="AW264" s="947">
        <v>56.099999999999994</v>
      </c>
      <c r="AX264" s="947">
        <v>49.590063364549835</v>
      </c>
      <c r="AY264" s="947">
        <v>6.5099366354501598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70"/>
      <c r="N265" s="941"/>
      <c r="O265" s="942"/>
      <c r="Q265" s="162" t="str">
        <f t="shared" si="1078"/>
        <v/>
      </c>
      <c r="R265" s="162" t="str">
        <f t="shared" si="1079"/>
        <v/>
      </c>
      <c r="S265" s="162" t="str">
        <f t="shared" si="1080"/>
        <v/>
      </c>
      <c r="T265" s="162" t="str">
        <f t="shared" si="1081"/>
        <v/>
      </c>
      <c r="U265" s="162" t="str">
        <f t="shared" si="1082"/>
        <v/>
      </c>
      <c r="V265" s="162" t="str">
        <f t="shared" si="1083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4"/>
        <v/>
      </c>
      <c r="Y265" s="75"/>
      <c r="Z265" s="917" t="str">
        <f t="shared" si="1085"/>
        <v/>
      </c>
      <c r="AA265" s="82"/>
      <c r="AB265" s="75"/>
      <c r="AC265" s="75"/>
      <c r="AD265" s="166"/>
      <c r="AE265" s="75">
        <v>5.1210000000000004</v>
      </c>
      <c r="AF265" s="82">
        <v>5</v>
      </c>
      <c r="AG265" s="82">
        <v>1</v>
      </c>
      <c r="AH265" s="82">
        <v>2</v>
      </c>
      <c r="AI265" s="82">
        <v>1.0000000000582077</v>
      </c>
      <c r="AJ265" s="166">
        <v>5.1212100000000005</v>
      </c>
      <c r="AK265" s="82">
        <v>5.1211100000000007</v>
      </c>
      <c r="AL265" s="162">
        <v>0</v>
      </c>
      <c r="AM265" s="162">
        <v>0</v>
      </c>
      <c r="AN265" s="162">
        <v>0</v>
      </c>
      <c r="AO265" s="162">
        <v>2.8311260594446068</v>
      </c>
      <c r="AP265" s="162">
        <v>0</v>
      </c>
      <c r="AQ265" s="162">
        <v>0</v>
      </c>
      <c r="AR265" s="710" t="str">
        <v>1613 Ripper.par</v>
      </c>
      <c r="AV265" s="82" t="str">
        <v>0,102,204</v>
      </c>
      <c r="AW265" s="947">
        <v>37.099999999999994</v>
      </c>
      <c r="AX265" s="947">
        <v>34.268873940555387</v>
      </c>
      <c r="AY265" s="947">
        <v>2.8311260594446068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70"/>
      <c r="N266" s="941"/>
      <c r="O266" s="942"/>
      <c r="Q266" s="162" t="str">
        <f t="shared" si="1078"/>
        <v/>
      </c>
      <c r="R266" s="162" t="str">
        <f t="shared" si="1079"/>
        <v/>
      </c>
      <c r="S266" s="162" t="str">
        <f t="shared" si="1080"/>
        <v/>
      </c>
      <c r="T266" s="162" t="str">
        <f t="shared" si="1081"/>
        <v/>
      </c>
      <c r="U266" s="162" t="str">
        <f t="shared" si="1082"/>
        <v/>
      </c>
      <c r="V266" s="162" t="str">
        <f t="shared" si="1083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4"/>
        <v/>
      </c>
      <c r="Y266" s="75"/>
      <c r="Z266" s="917" t="str">
        <f t="shared" si="1085"/>
        <v/>
      </c>
      <c r="AA266" s="82"/>
      <c r="AB266" s="75"/>
      <c r="AC266" s="75"/>
      <c r="AD266" s="166"/>
      <c r="AE266" s="75">
        <v>5.1150000000000002</v>
      </c>
      <c r="AF266" s="82">
        <v>5</v>
      </c>
      <c r="AG266" s="82">
        <v>1</v>
      </c>
      <c r="AH266" s="82">
        <v>2</v>
      </c>
      <c r="AI266" s="82">
        <v>1.0000000000582077</v>
      </c>
      <c r="AJ266" s="166">
        <v>5.1152100000000003</v>
      </c>
      <c r="AK266" s="82">
        <v>5.1151100000000005</v>
      </c>
      <c r="AL266" s="162">
        <v>0</v>
      </c>
      <c r="AM266" s="162">
        <v>0</v>
      </c>
      <c r="AN266" s="162">
        <v>0</v>
      </c>
      <c r="AO266" s="162">
        <v>-0.76438226477494453</v>
      </c>
      <c r="AP266" s="162">
        <v>0</v>
      </c>
      <c r="AQ266" s="162">
        <v>0</v>
      </c>
      <c r="AR266" s="710" t="str">
        <v>1613 Ripper.par</v>
      </c>
      <c r="AV266" s="82" t="str">
        <v>0,102,204</v>
      </c>
      <c r="AW266" s="947">
        <v>18</v>
      </c>
      <c r="AX266" s="947">
        <v>18.764382264774945</v>
      </c>
      <c r="AY266" s="947">
        <v>-0.76438226477494453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70"/>
      <c r="N267" s="941"/>
      <c r="O267" s="942"/>
      <c r="Q267" s="162" t="str">
        <f t="shared" si="1078"/>
        <v/>
      </c>
      <c r="R267" s="162" t="str">
        <f t="shared" si="1079"/>
        <v/>
      </c>
      <c r="S267" s="162" t="str">
        <f t="shared" si="1080"/>
        <v/>
      </c>
      <c r="T267" s="162" t="str">
        <f t="shared" si="1081"/>
        <v/>
      </c>
      <c r="U267" s="162" t="str">
        <f t="shared" si="1082"/>
        <v/>
      </c>
      <c r="V267" s="162" t="str">
        <f t="shared" si="1083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4"/>
        <v/>
      </c>
      <c r="Y267" s="75"/>
      <c r="Z267" s="917" t="str">
        <f t="shared" si="1085"/>
        <v/>
      </c>
      <c r="AA267" s="82"/>
      <c r="AB267" s="75"/>
      <c r="AC267" s="75"/>
      <c r="AD267" s="166"/>
      <c r="AE267" s="75">
        <v>5.109</v>
      </c>
      <c r="AF267" s="82">
        <v>5</v>
      </c>
      <c r="AG267" s="82">
        <v>1</v>
      </c>
      <c r="AH267" s="82">
        <v>2</v>
      </c>
      <c r="AI267" s="82">
        <v>0.99999999998544808</v>
      </c>
      <c r="AJ267" s="166">
        <v>5.10921</v>
      </c>
      <c r="AK267" s="82">
        <v>5.1091100000000003</v>
      </c>
      <c r="AL267" s="162">
        <v>0</v>
      </c>
      <c r="AM267" s="162">
        <v>0</v>
      </c>
      <c r="AN267" s="162">
        <v>0</v>
      </c>
      <c r="AO267" s="162">
        <v>-4.2628915737279787</v>
      </c>
      <c r="AP267" s="162">
        <v>0</v>
      </c>
      <c r="AQ267" s="162">
        <v>0</v>
      </c>
      <c r="AR267" s="710" t="str">
        <v>1613 Ripper.par</v>
      </c>
      <c r="AV267" s="82" t="str">
        <v>0,102,204</v>
      </c>
      <c r="AW267" s="947">
        <v>-1</v>
      </c>
      <c r="AX267" s="947">
        <v>3.2628915737279782</v>
      </c>
      <c r="AY267" s="947">
        <v>-4.2628915737279787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70"/>
      <c r="N268" s="941"/>
      <c r="O268" s="942"/>
      <c r="Q268" s="162" t="str">
        <f t="shared" si="1078"/>
        <v/>
      </c>
      <c r="R268" s="162" t="str">
        <f t="shared" si="1079"/>
        <v/>
      </c>
      <c r="S268" s="162" t="str">
        <f t="shared" si="1080"/>
        <v/>
      </c>
      <c r="T268" s="162" t="str">
        <f t="shared" si="1081"/>
        <v/>
      </c>
      <c r="U268" s="162" t="str">
        <f t="shared" si="1082"/>
        <v/>
      </c>
      <c r="V268" s="162" t="str">
        <f t="shared" si="1083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4"/>
        <v/>
      </c>
      <c r="Y268" s="75"/>
      <c r="Z268" s="917" t="str">
        <f t="shared" si="1085"/>
        <v/>
      </c>
      <c r="AA268" s="82"/>
      <c r="AB268" s="75"/>
      <c r="AC268" s="75"/>
      <c r="AD268" s="166"/>
      <c r="AE268" s="75">
        <v>5.1059999999999999</v>
      </c>
      <c r="AF268" s="82">
        <v>5</v>
      </c>
      <c r="AG268" s="82">
        <v>1</v>
      </c>
      <c r="AH268" s="82">
        <v>2</v>
      </c>
      <c r="AI268" s="82">
        <v>0.99999999998544808</v>
      </c>
      <c r="AJ268" s="166">
        <v>5.1062099999999999</v>
      </c>
      <c r="AK268" s="82">
        <v>5.1061100000000001</v>
      </c>
      <c r="AL268" s="162">
        <v>0</v>
      </c>
      <c r="AM268" s="162">
        <v>0</v>
      </c>
      <c r="AN268" s="162">
        <v>0</v>
      </c>
      <c r="AO268" s="162">
        <v>-15.845609253101763</v>
      </c>
      <c r="AP268" s="162">
        <v>0</v>
      </c>
      <c r="AQ268" s="162">
        <v>0</v>
      </c>
      <c r="AR268" s="710" t="str">
        <v>1613.par</v>
      </c>
      <c r="AV268" s="82" t="str">
        <v>0,102,204</v>
      </c>
      <c r="AW268" s="947">
        <v>-19.400000000000006</v>
      </c>
      <c r="AX268" s="947">
        <v>-3.5543907468982434</v>
      </c>
      <c r="AY268" s="947">
        <v>-15.845609253101763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70"/>
      <c r="N269" s="941"/>
      <c r="O269" s="942"/>
      <c r="Q269" s="162" t="str">
        <f t="shared" si="1078"/>
        <v/>
      </c>
      <c r="R269" s="162" t="str">
        <f t="shared" si="1079"/>
        <v/>
      </c>
      <c r="S269" s="162" t="str">
        <f t="shared" si="1080"/>
        <v/>
      </c>
      <c r="T269" s="162" t="str">
        <f t="shared" si="1081"/>
        <v/>
      </c>
      <c r="U269" s="162" t="str">
        <f t="shared" si="1082"/>
        <v/>
      </c>
      <c r="V269" s="162" t="str">
        <f t="shared" si="1083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4"/>
        <v/>
      </c>
      <c r="Y269" s="75"/>
      <c r="Z269" s="917" t="str">
        <f t="shared" si="1085"/>
        <v/>
      </c>
      <c r="AA269" s="82"/>
      <c r="AB269" s="75"/>
      <c r="AC269" s="75"/>
      <c r="AD269" s="166"/>
      <c r="AE269" s="75">
        <v>5.1029999999999998</v>
      </c>
      <c r="AF269" s="82">
        <v>5</v>
      </c>
      <c r="AG269" s="82">
        <v>1</v>
      </c>
      <c r="AH269" s="82">
        <v>2</v>
      </c>
      <c r="AI269" s="82">
        <v>0.99999999998544808</v>
      </c>
      <c r="AJ269" s="166">
        <v>5.1032099999999998</v>
      </c>
      <c r="AK269" s="82">
        <v>5.10311</v>
      </c>
      <c r="AL269" s="162">
        <v>0</v>
      </c>
      <c r="AM269" s="162">
        <v>0</v>
      </c>
      <c r="AN269" s="162">
        <v>0</v>
      </c>
      <c r="AO269" s="162">
        <v>-11.59927366807249</v>
      </c>
      <c r="AP269" s="162">
        <v>0</v>
      </c>
      <c r="AQ269" s="162">
        <v>0</v>
      </c>
      <c r="AR269" s="710" t="str">
        <v>1613.par</v>
      </c>
      <c r="AV269" s="82" t="str">
        <v>0,102,204</v>
      </c>
      <c r="AW269" s="947">
        <v>-20</v>
      </c>
      <c r="AX269" s="947">
        <v>-8.4007263319275101</v>
      </c>
      <c r="AY269" s="947">
        <v>-11.59927366807249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70"/>
      <c r="N270" s="941"/>
      <c r="O270" s="942"/>
      <c r="Q270" s="162" t="str">
        <f t="shared" si="1078"/>
        <v/>
      </c>
      <c r="R270" s="162" t="str">
        <f t="shared" si="1079"/>
        <v/>
      </c>
      <c r="S270" s="162" t="str">
        <f t="shared" si="1080"/>
        <v/>
      </c>
      <c r="T270" s="162" t="str">
        <f t="shared" si="1081"/>
        <v/>
      </c>
      <c r="U270" s="162" t="str">
        <f t="shared" si="1082"/>
        <v/>
      </c>
      <c r="V270" s="162" t="str">
        <f t="shared" si="1083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4"/>
        <v/>
      </c>
      <c r="Y270" s="75"/>
      <c r="Z270" s="917" t="str">
        <f t="shared" si="1085"/>
        <v/>
      </c>
      <c r="AA270" s="82"/>
      <c r="AB270" s="75"/>
      <c r="AC270" s="75"/>
      <c r="AD270" s="166"/>
      <c r="AE270" s="75">
        <v>4.242</v>
      </c>
      <c r="AF270" s="82">
        <v>4</v>
      </c>
      <c r="AG270" s="82">
        <v>2</v>
      </c>
      <c r="AH270" s="82">
        <v>2</v>
      </c>
      <c r="AI270" s="82">
        <v>0.99999999998544808</v>
      </c>
      <c r="AJ270" s="166">
        <v>4.24221</v>
      </c>
      <c r="AK270" s="82">
        <v>4.2421100000000003</v>
      </c>
      <c r="AL270" s="162">
        <v>0</v>
      </c>
      <c r="AM270" s="162">
        <v>0</v>
      </c>
      <c r="AN270" s="162">
        <v>0</v>
      </c>
      <c r="AO270" s="162">
        <v>1.2272479821717752E-5</v>
      </c>
      <c r="AP270" s="162">
        <v>0</v>
      </c>
      <c r="AQ270" s="162">
        <v>0</v>
      </c>
      <c r="AR270" s="710" t="str">
        <v>32193r1.par</v>
      </c>
      <c r="AV270" s="82" t="str">
        <v>91,255,255</v>
      </c>
      <c r="AW270" s="947">
        <v>85</v>
      </c>
      <c r="AX270" s="947">
        <v>84.999987727520178</v>
      </c>
      <c r="AY270" s="947">
        <v>1.2272479821717752E-5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70"/>
      <c r="N271" s="941"/>
      <c r="O271" s="942"/>
      <c r="Q271" s="162" t="str">
        <f t="shared" si="1078"/>
        <v/>
      </c>
      <c r="R271" s="162" t="str">
        <f t="shared" si="1079"/>
        <v/>
      </c>
      <c r="S271" s="162" t="str">
        <f t="shared" si="1080"/>
        <v/>
      </c>
      <c r="T271" s="162" t="str">
        <f t="shared" si="1081"/>
        <v/>
      </c>
      <c r="U271" s="162" t="str">
        <f t="shared" si="1082"/>
        <v/>
      </c>
      <c r="V271" s="162" t="str">
        <f t="shared" si="1083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4"/>
        <v/>
      </c>
      <c r="Y271" s="75"/>
      <c r="Z271" s="917" t="str">
        <f t="shared" si="1085"/>
        <v/>
      </c>
      <c r="AA271" s="82"/>
      <c r="AB271" s="75"/>
      <c r="AC271" s="75"/>
      <c r="AD271" s="166"/>
      <c r="AE271" s="75">
        <v>4.2359999999999998</v>
      </c>
      <c r="AF271" s="82">
        <v>4</v>
      </c>
      <c r="AG271" s="82">
        <v>2</v>
      </c>
      <c r="AH271" s="82">
        <v>2</v>
      </c>
      <c r="AI271" s="82">
        <v>0.99999999998544808</v>
      </c>
      <c r="AJ271" s="166">
        <v>4.2362099999999998</v>
      </c>
      <c r="AK271" s="82">
        <v>4.23611</v>
      </c>
      <c r="AL271" s="162">
        <v>0</v>
      </c>
      <c r="AM271" s="162">
        <v>0</v>
      </c>
      <c r="AN271" s="162">
        <v>0</v>
      </c>
      <c r="AO271" s="162">
        <v>1.2142535908310492E-5</v>
      </c>
      <c r="AP271" s="162">
        <v>0</v>
      </c>
      <c r="AQ271" s="162">
        <v>0</v>
      </c>
      <c r="AR271" s="710" t="str">
        <v>32193r1.par</v>
      </c>
      <c r="AV271" s="82" t="str">
        <v>91,255,255</v>
      </c>
      <c r="AW271" s="947">
        <v>84.1</v>
      </c>
      <c r="AX271" s="947">
        <v>84.099987857464086</v>
      </c>
      <c r="AY271" s="947">
        <v>1.2142535908310492E-5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70"/>
      <c r="N272" s="941"/>
      <c r="O272" s="942"/>
      <c r="Q272" s="162" t="str">
        <f t="shared" si="1078"/>
        <v/>
      </c>
      <c r="R272" s="162" t="str">
        <f t="shared" si="1079"/>
        <v/>
      </c>
      <c r="S272" s="162" t="str">
        <f t="shared" si="1080"/>
        <v/>
      </c>
      <c r="T272" s="162" t="str">
        <f t="shared" si="1081"/>
        <v/>
      </c>
      <c r="U272" s="162" t="str">
        <f t="shared" si="1082"/>
        <v/>
      </c>
      <c r="V272" s="162" t="str">
        <f t="shared" si="1083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4"/>
        <v/>
      </c>
      <c r="Y272" s="75"/>
      <c r="Z272" s="917" t="str">
        <f t="shared" si="1085"/>
        <v/>
      </c>
      <c r="AA272" s="82"/>
      <c r="AB272" s="75"/>
      <c r="AC272" s="75"/>
      <c r="AD272" s="166"/>
      <c r="AE272" s="75">
        <v>4.2300000000000004</v>
      </c>
      <c r="AF272" s="82">
        <v>4</v>
      </c>
      <c r="AG272" s="82">
        <v>2</v>
      </c>
      <c r="AH272" s="82">
        <v>2</v>
      </c>
      <c r="AI272" s="82">
        <v>1.0000000000582077</v>
      </c>
      <c r="AJ272" s="166">
        <v>4.2302100000000005</v>
      </c>
      <c r="AK272" s="82">
        <v>4.2301100000000007</v>
      </c>
      <c r="AL272" s="162">
        <v>0</v>
      </c>
      <c r="AM272" s="162">
        <v>0</v>
      </c>
      <c r="AN272" s="162">
        <v>0</v>
      </c>
      <c r="AO272" s="162">
        <v>9.4570285540385157E-6</v>
      </c>
      <c r="AP272" s="162">
        <v>0</v>
      </c>
      <c r="AQ272" s="162">
        <v>0</v>
      </c>
      <c r="AR272" s="710" t="str">
        <v>32193r1.par</v>
      </c>
      <c r="AV272" s="82" t="str">
        <v>91,255,255</v>
      </c>
      <c r="AW272" s="947">
        <v>65.5</v>
      </c>
      <c r="AX272" s="947">
        <v>65.499990542971446</v>
      </c>
      <c r="AY272" s="947">
        <v>9.4570285540385157E-6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70"/>
      <c r="N273" s="941"/>
      <c r="O273" s="942"/>
      <c r="Q273" s="162" t="str">
        <f t="shared" si="1078"/>
        <v/>
      </c>
      <c r="R273" s="162" t="str">
        <f t="shared" si="1079"/>
        <v/>
      </c>
      <c r="S273" s="162" t="str">
        <f t="shared" si="1080"/>
        <v/>
      </c>
      <c r="T273" s="162" t="str">
        <f t="shared" si="1081"/>
        <v/>
      </c>
      <c r="U273" s="162" t="str">
        <f t="shared" si="1082"/>
        <v/>
      </c>
      <c r="V273" s="162" t="str">
        <f t="shared" si="1083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4"/>
        <v/>
      </c>
      <c r="Y273" s="75"/>
      <c r="Z273" s="917" t="str">
        <f t="shared" si="1085"/>
        <v/>
      </c>
      <c r="AA273" s="82"/>
      <c r="AB273" s="75"/>
      <c r="AC273" s="75"/>
      <c r="AD273" s="166"/>
      <c r="AE273" s="75">
        <v>4.2240000000000002</v>
      </c>
      <c r="AF273" s="82">
        <v>4</v>
      </c>
      <c r="AG273" s="82">
        <v>2</v>
      </c>
      <c r="AH273" s="82">
        <v>2</v>
      </c>
      <c r="AI273" s="82">
        <v>1.0000000000582077</v>
      </c>
      <c r="AJ273" s="166">
        <v>4.2242100000000002</v>
      </c>
      <c r="AK273" s="82">
        <v>4.2241100000000005</v>
      </c>
      <c r="AL273" s="162">
        <v>0</v>
      </c>
      <c r="AM273" s="162">
        <v>0</v>
      </c>
      <c r="AN273" s="162">
        <v>0</v>
      </c>
      <c r="AO273" s="162">
        <v>4.51266919084145</v>
      </c>
      <c r="AP273" s="162">
        <v>0</v>
      </c>
      <c r="AQ273" s="162">
        <v>0</v>
      </c>
      <c r="AR273" s="710" t="str">
        <v>1313.par</v>
      </c>
      <c r="AV273" s="82" t="str">
        <v>91,255,255</v>
      </c>
      <c r="AW273" s="947">
        <v>46.599999999999994</v>
      </c>
      <c r="AX273" s="947">
        <v>42.087330809158544</v>
      </c>
      <c r="AY273" s="947">
        <v>4.51266919084145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70"/>
      <c r="N274" s="941"/>
      <c r="O274" s="942"/>
      <c r="Q274" s="162" t="str">
        <f t="shared" ref="Q274:Q305" si="1088">IFERROR(INDEX(B$164:B$305,MATCH($Y274,$J$164:$J$305,0)),"")</f>
        <v/>
      </c>
      <c r="R274" s="162" t="str">
        <f t="shared" ref="R274:R305" si="1089">IFERROR(INDEX(C$164:C$305,MATCH($Y274,$J$164:$J$305,0)),"")</f>
        <v/>
      </c>
      <c r="S274" s="162" t="str">
        <f t="shared" ref="S274:S305" si="1090">IFERROR(INDEX(D$164:D$305,MATCH($Y274,$J$164:$J$305,0)),"")</f>
        <v/>
      </c>
      <c r="T274" s="162" t="str">
        <f t="shared" ref="T274:T305" si="1091">IFERROR(IF($N274="Y",-1*INDEX(E$164:E$305,MATCH($Y274,$J$164:$J$305,0)),INDEX(E$164:E$305,MATCH($Y274,$J$164:$J$305,0))),"")</f>
        <v/>
      </c>
      <c r="U274" s="162" t="str">
        <f t="shared" ref="U274:U305" si="1092">IFERROR(IF($N274="Y",-1*INDEX(F$164:F$305,MATCH($Y274,$J$164:$J$305,0)),INDEX(F$164:F$305,MATCH($Y274,$J$164:$J$305,0))),"")</f>
        <v/>
      </c>
      <c r="V274" s="162" t="str">
        <f t="shared" ref="V274:V305" si="1093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94">IFERROR(INDEX(I$164:I$305,MATCH($Y274,$J$164:$J$305,0)),"")</f>
        <v/>
      </c>
      <c r="Y274" s="75"/>
      <c r="Z274" s="917" t="str">
        <f t="shared" ref="Z274:Z305" si="1095">IFERROR(INDEX(K$164:K$305,MATCH($Y274,$J$164:$J$305,0)),"")</f>
        <v/>
      </c>
      <c r="AA274" s="82"/>
      <c r="AB274" s="75"/>
      <c r="AC274" s="75"/>
      <c r="AD274" s="166"/>
      <c r="AE274" s="75">
        <v>4.218</v>
      </c>
      <c r="AF274" s="82">
        <v>4</v>
      </c>
      <c r="AG274" s="82">
        <v>2</v>
      </c>
      <c r="AH274" s="82">
        <v>2</v>
      </c>
      <c r="AI274" s="82">
        <v>0.99999999998544808</v>
      </c>
      <c r="AJ274" s="166">
        <v>4.21821</v>
      </c>
      <c r="AK274" s="82">
        <v>4.2181100000000002</v>
      </c>
      <c r="AL274" s="162">
        <v>0</v>
      </c>
      <c r="AM274" s="162">
        <v>0</v>
      </c>
      <c r="AN274" s="162">
        <v>0</v>
      </c>
      <c r="AO274" s="162">
        <v>0.70598437136145265</v>
      </c>
      <c r="AP274" s="162">
        <v>0</v>
      </c>
      <c r="AQ274" s="162">
        <v>0</v>
      </c>
      <c r="AR274" s="710" t="str">
        <v>1310.par</v>
      </c>
      <c r="AV274" s="82" t="str">
        <v>91,255,255</v>
      </c>
      <c r="AW274" s="947">
        <v>27.5</v>
      </c>
      <c r="AX274" s="947">
        <v>26.794015628638547</v>
      </c>
      <c r="AY274" s="947">
        <v>0.70598437136145265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70"/>
      <c r="N275" s="941"/>
      <c r="O275" s="942"/>
      <c r="Q275" s="162" t="str">
        <f t="shared" si="1088"/>
        <v/>
      </c>
      <c r="R275" s="162" t="str">
        <f t="shared" si="1089"/>
        <v/>
      </c>
      <c r="S275" s="162" t="str">
        <f t="shared" si="1090"/>
        <v/>
      </c>
      <c r="T275" s="162" t="str">
        <f t="shared" si="1091"/>
        <v/>
      </c>
      <c r="U275" s="162" t="str">
        <f t="shared" si="1092"/>
        <v/>
      </c>
      <c r="V275" s="162" t="str">
        <f t="shared" si="1093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94"/>
        <v/>
      </c>
      <c r="Y275" s="75"/>
      <c r="Z275" s="917" t="str">
        <f t="shared" si="1095"/>
        <v/>
      </c>
      <c r="AA275" s="82"/>
      <c r="AB275" s="75"/>
      <c r="AC275" s="75"/>
      <c r="AD275" s="166"/>
      <c r="AE275" s="75">
        <v>4.1420000000000003</v>
      </c>
      <c r="AF275" s="82">
        <v>4</v>
      </c>
      <c r="AG275" s="82">
        <v>1</v>
      </c>
      <c r="AH275" s="82">
        <v>2</v>
      </c>
      <c r="AI275" s="82">
        <v>1.0000000000582077</v>
      </c>
      <c r="AJ275" s="166">
        <v>4.1422100000000004</v>
      </c>
      <c r="AK275" s="82">
        <v>4.1421100000000006</v>
      </c>
      <c r="AL275" s="162">
        <v>0</v>
      </c>
      <c r="AM275" s="162">
        <v>0</v>
      </c>
      <c r="AN275" s="162">
        <v>0</v>
      </c>
      <c r="AO275" s="162">
        <v>3.2264474746511951E-2</v>
      </c>
      <c r="AP275" s="162">
        <v>0</v>
      </c>
      <c r="AQ275" s="162">
        <v>0</v>
      </c>
      <c r="AR275" s="710" t="str">
        <v>1613.par</v>
      </c>
      <c r="AV275" s="82" t="str">
        <v>0,204,204</v>
      </c>
      <c r="AW275" s="947">
        <v>85</v>
      </c>
      <c r="AX275" s="947">
        <v>84.967735525253488</v>
      </c>
      <c r="AY275" s="947">
        <v>3.2264474746511951E-2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70"/>
      <c r="N276" s="941"/>
      <c r="O276" s="942"/>
      <c r="Q276" s="162" t="str">
        <f t="shared" si="1088"/>
        <v/>
      </c>
      <c r="R276" s="162" t="str">
        <f t="shared" si="1089"/>
        <v/>
      </c>
      <c r="S276" s="162" t="str">
        <f t="shared" si="1090"/>
        <v/>
      </c>
      <c r="T276" s="162" t="str">
        <f t="shared" si="1091"/>
        <v/>
      </c>
      <c r="U276" s="162" t="str">
        <f t="shared" si="1092"/>
        <v/>
      </c>
      <c r="V276" s="162" t="str">
        <f t="shared" si="1093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94"/>
        <v/>
      </c>
      <c r="Y276" s="75"/>
      <c r="Z276" s="917" t="str">
        <f t="shared" si="1095"/>
        <v/>
      </c>
      <c r="AA276" s="82"/>
      <c r="AB276" s="75"/>
      <c r="AC276" s="75"/>
      <c r="AD276" s="166"/>
      <c r="AE276" s="75">
        <v>4.1360000000000001</v>
      </c>
      <c r="AF276" s="82">
        <v>4</v>
      </c>
      <c r="AG276" s="82">
        <v>1</v>
      </c>
      <c r="AH276" s="82">
        <v>2</v>
      </c>
      <c r="AI276" s="82">
        <v>0.99999999998544808</v>
      </c>
      <c r="AJ276" s="166">
        <v>4.1362100000000002</v>
      </c>
      <c r="AK276" s="82">
        <v>4.1361100000000004</v>
      </c>
      <c r="AL276" s="162">
        <v>0</v>
      </c>
      <c r="AM276" s="162">
        <v>0</v>
      </c>
      <c r="AN276" s="162">
        <v>0</v>
      </c>
      <c r="AO276" s="162">
        <v>11.731501852540433</v>
      </c>
      <c r="AP276" s="162">
        <v>0</v>
      </c>
      <c r="AQ276" s="162">
        <v>0</v>
      </c>
      <c r="AR276" s="710" t="str">
        <v>1613.par</v>
      </c>
      <c r="AV276" s="82" t="str">
        <v>0,204,204</v>
      </c>
      <c r="AW276" s="947">
        <v>84.1</v>
      </c>
      <c r="AX276" s="947">
        <v>72.368498147459562</v>
      </c>
      <c r="AY276" s="947">
        <v>11.731501852540433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70"/>
      <c r="N277" s="941"/>
      <c r="O277" s="942"/>
      <c r="Q277" s="162" t="str">
        <f t="shared" si="1088"/>
        <v/>
      </c>
      <c r="R277" s="162" t="str">
        <f t="shared" si="1089"/>
        <v/>
      </c>
      <c r="S277" s="162" t="str">
        <f t="shared" si="1090"/>
        <v/>
      </c>
      <c r="T277" s="162" t="str">
        <f t="shared" si="1091"/>
        <v/>
      </c>
      <c r="U277" s="162" t="str">
        <f t="shared" si="1092"/>
        <v/>
      </c>
      <c r="V277" s="162" t="str">
        <f t="shared" si="1093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94"/>
        <v/>
      </c>
      <c r="Y277" s="75"/>
      <c r="Z277" s="917" t="str">
        <f t="shared" si="1095"/>
        <v/>
      </c>
      <c r="AA277" s="82"/>
      <c r="AB277" s="75"/>
      <c r="AC277" s="75"/>
      <c r="AD277" s="166"/>
      <c r="AE277" s="75">
        <v>4.13</v>
      </c>
      <c r="AF277" s="82">
        <v>4</v>
      </c>
      <c r="AG277" s="82">
        <v>1</v>
      </c>
      <c r="AH277" s="82">
        <v>2</v>
      </c>
      <c r="AI277" s="82">
        <v>0.99999999998544808</v>
      </c>
      <c r="AJ277" s="166">
        <v>4.1302099999999999</v>
      </c>
      <c r="AK277" s="82">
        <v>4.1301100000000002</v>
      </c>
      <c r="AL277" s="162">
        <v>0</v>
      </c>
      <c r="AM277" s="162">
        <v>0</v>
      </c>
      <c r="AN277" s="162">
        <v>0</v>
      </c>
      <c r="AO277" s="162">
        <v>8.2976721929876902</v>
      </c>
      <c r="AP277" s="162">
        <v>0</v>
      </c>
      <c r="AQ277" s="162">
        <v>0</v>
      </c>
      <c r="AR277" s="710" t="str">
        <v>1613.par</v>
      </c>
      <c r="AV277" s="82" t="str">
        <v>0,204,204</v>
      </c>
      <c r="AW277" s="947">
        <v>65.5</v>
      </c>
      <c r="AX277" s="947">
        <v>57.20232780701231</v>
      </c>
      <c r="AY277" s="947">
        <v>8.2976721929876902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70"/>
      <c r="N278" s="941"/>
      <c r="O278" s="942"/>
      <c r="Q278" s="162" t="str">
        <f t="shared" si="1088"/>
        <v/>
      </c>
      <c r="R278" s="162" t="str">
        <f t="shared" si="1089"/>
        <v/>
      </c>
      <c r="S278" s="162" t="str">
        <f t="shared" si="1090"/>
        <v/>
      </c>
      <c r="T278" s="162" t="str">
        <f t="shared" si="1091"/>
        <v/>
      </c>
      <c r="U278" s="162" t="str">
        <f t="shared" si="1092"/>
        <v/>
      </c>
      <c r="V278" s="162" t="str">
        <f t="shared" si="1093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94"/>
        <v/>
      </c>
      <c r="Y278" s="75"/>
      <c r="Z278" s="917" t="str">
        <f t="shared" si="1095"/>
        <v/>
      </c>
      <c r="AA278" s="82"/>
      <c r="AB278" s="75"/>
      <c r="AC278" s="75"/>
      <c r="AD278" s="166"/>
      <c r="AE278" s="75">
        <v>4.1239999999999997</v>
      </c>
      <c r="AF278" s="82">
        <v>4</v>
      </c>
      <c r="AG278" s="82">
        <v>1</v>
      </c>
      <c r="AH278" s="82">
        <v>2</v>
      </c>
      <c r="AI278" s="82">
        <v>0.99999999998544808</v>
      </c>
      <c r="AJ278" s="166">
        <v>4.1242099999999997</v>
      </c>
      <c r="AK278" s="82">
        <v>4.1241099999999999</v>
      </c>
      <c r="AL278" s="162">
        <v>0</v>
      </c>
      <c r="AM278" s="162">
        <v>0</v>
      </c>
      <c r="AN278" s="162">
        <v>0</v>
      </c>
      <c r="AO278" s="162">
        <v>4.650756368691404</v>
      </c>
      <c r="AP278" s="162">
        <v>0</v>
      </c>
      <c r="AQ278" s="162">
        <v>0</v>
      </c>
      <c r="AR278" s="710" t="str">
        <v>1613.par</v>
      </c>
      <c r="AV278" s="82" t="str">
        <v>0,204,204</v>
      </c>
      <c r="AW278" s="947">
        <v>46.599999999999994</v>
      </c>
      <c r="AX278" s="947">
        <v>41.94924363130859</v>
      </c>
      <c r="AY278" s="947">
        <v>4.650756368691404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70"/>
      <c r="N279" s="941"/>
      <c r="O279" s="942"/>
      <c r="Q279" s="162" t="str">
        <f t="shared" si="1088"/>
        <v/>
      </c>
      <c r="R279" s="162" t="str">
        <f t="shared" si="1089"/>
        <v/>
      </c>
      <c r="S279" s="162" t="str">
        <f t="shared" si="1090"/>
        <v/>
      </c>
      <c r="T279" s="162" t="str">
        <f t="shared" si="1091"/>
        <v/>
      </c>
      <c r="U279" s="162" t="str">
        <f t="shared" si="1092"/>
        <v/>
      </c>
      <c r="V279" s="162" t="str">
        <f t="shared" si="1093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94"/>
        <v/>
      </c>
      <c r="Y279" s="75"/>
      <c r="Z279" s="917" t="str">
        <f t="shared" si="1095"/>
        <v/>
      </c>
      <c r="AA279" s="82"/>
      <c r="AB279" s="75"/>
      <c r="AC279" s="75"/>
      <c r="AD279" s="166"/>
      <c r="AE279" s="75">
        <v>4.1180000000000003</v>
      </c>
      <c r="AF279" s="82">
        <v>4</v>
      </c>
      <c r="AG279" s="82">
        <v>1</v>
      </c>
      <c r="AH279" s="82">
        <v>2</v>
      </c>
      <c r="AI279" s="82">
        <v>1.0000000000582077</v>
      </c>
      <c r="AJ279" s="166">
        <v>4.1182100000000004</v>
      </c>
      <c r="AK279" s="82">
        <v>4.1181100000000006</v>
      </c>
      <c r="AL279" s="162">
        <v>0</v>
      </c>
      <c r="AM279" s="162">
        <v>0</v>
      </c>
      <c r="AN279" s="162">
        <v>0</v>
      </c>
      <c r="AO279" s="162">
        <v>0.96773340679953535</v>
      </c>
      <c r="AP279" s="162">
        <v>0</v>
      </c>
      <c r="AQ279" s="162">
        <v>0</v>
      </c>
      <c r="AR279" s="710" t="str">
        <v>1613.par</v>
      </c>
      <c r="AV279" s="82" t="str">
        <v>0,204,204</v>
      </c>
      <c r="AW279" s="947">
        <v>27.5</v>
      </c>
      <c r="AX279" s="947">
        <v>26.532266593200465</v>
      </c>
      <c r="AY279" s="947">
        <v>0.96773340679953535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70"/>
      <c r="N280" s="941"/>
      <c r="O280" s="942"/>
      <c r="Q280" s="162" t="str">
        <f t="shared" si="1088"/>
        <v/>
      </c>
      <c r="R280" s="162" t="str">
        <f t="shared" si="1089"/>
        <v/>
      </c>
      <c r="S280" s="162" t="str">
        <f t="shared" si="1090"/>
        <v/>
      </c>
      <c r="T280" s="162" t="str">
        <f t="shared" si="1091"/>
        <v/>
      </c>
      <c r="U280" s="162" t="str">
        <f t="shared" si="1092"/>
        <v/>
      </c>
      <c r="V280" s="162" t="str">
        <f t="shared" si="1093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94"/>
        <v/>
      </c>
      <c r="Y280" s="75"/>
      <c r="Z280" s="917" t="str">
        <f t="shared" si="1095"/>
        <v/>
      </c>
      <c r="AA280" s="82"/>
      <c r="AB280" s="75"/>
      <c r="AC280" s="75"/>
      <c r="AD280" s="166"/>
      <c r="AE280" s="75">
        <v>4.1120000000000001</v>
      </c>
      <c r="AF280" s="82">
        <v>4</v>
      </c>
      <c r="AG280" s="82">
        <v>1</v>
      </c>
      <c r="AH280" s="82">
        <v>2</v>
      </c>
      <c r="AI280" s="82">
        <v>0.99999999998544808</v>
      </c>
      <c r="AJ280" s="166">
        <v>4.1122100000000001</v>
      </c>
      <c r="AK280" s="82">
        <v>4.1121100000000004</v>
      </c>
      <c r="AL280" s="162">
        <v>0</v>
      </c>
      <c r="AM280" s="162">
        <v>0</v>
      </c>
      <c r="AN280" s="162">
        <v>0</v>
      </c>
      <c r="AO280" s="162">
        <v>-2.5389495858038913</v>
      </c>
      <c r="AP280" s="162">
        <v>0</v>
      </c>
      <c r="AQ280" s="162">
        <v>0</v>
      </c>
      <c r="AR280" s="710" t="str">
        <v>1613.par</v>
      </c>
      <c r="AV280" s="82" t="str">
        <v>0,204,204</v>
      </c>
      <c r="AW280" s="947">
        <v>8.5</v>
      </c>
      <c r="AX280" s="947">
        <v>11.038949585803891</v>
      </c>
      <c r="AY280" s="947">
        <v>-2.5389495858038913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70"/>
      <c r="N281" s="941"/>
      <c r="O281" s="942"/>
      <c r="Q281" s="162" t="str">
        <f t="shared" si="1088"/>
        <v/>
      </c>
      <c r="R281" s="162" t="str">
        <f t="shared" si="1089"/>
        <v/>
      </c>
      <c r="S281" s="162" t="str">
        <f t="shared" si="1090"/>
        <v/>
      </c>
      <c r="T281" s="162" t="str">
        <f t="shared" si="1091"/>
        <v/>
      </c>
      <c r="U281" s="162" t="str">
        <f t="shared" si="1092"/>
        <v/>
      </c>
      <c r="V281" s="162" t="str">
        <f t="shared" si="1093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94"/>
        <v/>
      </c>
      <c r="Y281" s="75"/>
      <c r="Z281" s="917" t="str">
        <f t="shared" si="1095"/>
        <v/>
      </c>
      <c r="AA281" s="82"/>
      <c r="AB281" s="75"/>
      <c r="AC281" s="75"/>
      <c r="AD281" s="166"/>
      <c r="AE281" s="75">
        <v>3.2429999999999999</v>
      </c>
      <c r="AF281" s="82">
        <v>3</v>
      </c>
      <c r="AG281" s="82">
        <v>2</v>
      </c>
      <c r="AH281" s="82">
        <v>2</v>
      </c>
      <c r="AI281" s="82">
        <v>0.99999999998544808</v>
      </c>
      <c r="AJ281" s="166">
        <v>3.2432099999999999</v>
      </c>
      <c r="AK281" s="82">
        <v>3.2431099999999997</v>
      </c>
      <c r="AL281" s="162">
        <v>0</v>
      </c>
      <c r="AM281" s="162">
        <v>0</v>
      </c>
      <c r="AN281" s="162">
        <v>0</v>
      </c>
      <c r="AO281" s="162">
        <v>1.2272479807506897E-5</v>
      </c>
      <c r="AP281" s="162">
        <v>0</v>
      </c>
      <c r="AQ281" s="162">
        <v>0</v>
      </c>
      <c r="AR281" s="710" t="str">
        <v>32193r1.par</v>
      </c>
      <c r="AV281" s="82" t="str">
        <v>97,255,97</v>
      </c>
      <c r="AW281" s="947">
        <v>85</v>
      </c>
      <c r="AX281" s="947">
        <v>84.999987727520192</v>
      </c>
      <c r="AY281" s="947">
        <v>1.2272479807506897E-5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70"/>
      <c r="N282" s="941"/>
      <c r="O282" s="942"/>
      <c r="Q282" s="162" t="str">
        <f t="shared" si="1088"/>
        <v/>
      </c>
      <c r="R282" s="162" t="str">
        <f t="shared" si="1089"/>
        <v/>
      </c>
      <c r="S282" s="162" t="str">
        <f t="shared" si="1090"/>
        <v/>
      </c>
      <c r="T282" s="162" t="str">
        <f t="shared" si="1091"/>
        <v/>
      </c>
      <c r="U282" s="162" t="str">
        <f t="shared" si="1092"/>
        <v/>
      </c>
      <c r="V282" s="162" t="str">
        <f t="shared" si="1093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94"/>
        <v/>
      </c>
      <c r="Y282" s="75"/>
      <c r="Z282" s="917" t="str">
        <f t="shared" si="1095"/>
        <v/>
      </c>
      <c r="AA282" s="82"/>
      <c r="AB282" s="75"/>
      <c r="AC282" s="75"/>
      <c r="AD282" s="166"/>
      <c r="AE282" s="75">
        <v>3.2370000000000001</v>
      </c>
      <c r="AF282" s="82">
        <v>3</v>
      </c>
      <c r="AG282" s="82">
        <v>2</v>
      </c>
      <c r="AH282" s="82">
        <v>2</v>
      </c>
      <c r="AI282" s="82">
        <v>1.0000000000218279</v>
      </c>
      <c r="AJ282" s="166">
        <v>3.2372100000000001</v>
      </c>
      <c r="AK282" s="82">
        <v>3.2371099999999999</v>
      </c>
      <c r="AL282" s="162">
        <v>0</v>
      </c>
      <c r="AM282" s="162">
        <v>0</v>
      </c>
      <c r="AN282" s="162">
        <v>0</v>
      </c>
      <c r="AO282" s="162">
        <v>10.108863011129046</v>
      </c>
      <c r="AP282" s="162">
        <v>0</v>
      </c>
      <c r="AQ282" s="162">
        <v>0</v>
      </c>
      <c r="AR282" s="710" t="str">
        <v>1313.par</v>
      </c>
      <c r="AV282" s="82" t="str">
        <v>97,255,97</v>
      </c>
      <c r="AW282" s="947">
        <v>85</v>
      </c>
      <c r="AX282" s="947">
        <v>74.891136988870954</v>
      </c>
      <c r="AY282" s="947">
        <v>10.108863011129046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70"/>
      <c r="N283" s="941"/>
      <c r="O283" s="942"/>
      <c r="Q283" s="162" t="str">
        <f t="shared" si="1088"/>
        <v/>
      </c>
      <c r="R283" s="162" t="str">
        <f t="shared" si="1089"/>
        <v/>
      </c>
      <c r="S283" s="162" t="str">
        <f t="shared" si="1090"/>
        <v/>
      </c>
      <c r="T283" s="162" t="str">
        <f t="shared" si="1091"/>
        <v/>
      </c>
      <c r="U283" s="162" t="str">
        <f t="shared" si="1092"/>
        <v/>
      </c>
      <c r="V283" s="162" t="str">
        <f t="shared" si="1093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94"/>
        <v/>
      </c>
      <c r="Y283" s="75"/>
      <c r="Z283" s="917" t="str">
        <f t="shared" si="1095"/>
        <v/>
      </c>
      <c r="AA283" s="82"/>
      <c r="AB283" s="75"/>
      <c r="AC283" s="75"/>
      <c r="AD283" s="166"/>
      <c r="AE283" s="75">
        <v>3.2309999999999999</v>
      </c>
      <c r="AF283" s="82">
        <v>3</v>
      </c>
      <c r="AG283" s="82">
        <v>2</v>
      </c>
      <c r="AH283" s="82">
        <v>2</v>
      </c>
      <c r="AI283" s="82">
        <v>0.99999999998544808</v>
      </c>
      <c r="AJ283" s="166">
        <v>3.2312099999999999</v>
      </c>
      <c r="AK283" s="82">
        <v>3.2311099999999997</v>
      </c>
      <c r="AL283" s="162">
        <v>0</v>
      </c>
      <c r="AM283" s="162">
        <v>0</v>
      </c>
      <c r="AN283" s="162">
        <v>0</v>
      </c>
      <c r="AO283" s="162">
        <v>8.9639954783027633</v>
      </c>
      <c r="AP283" s="162">
        <v>0</v>
      </c>
      <c r="AQ283" s="162">
        <v>0</v>
      </c>
      <c r="AR283" s="710" t="str">
        <v>1313.par</v>
      </c>
      <c r="AV283" s="82" t="str">
        <v>97,255,97</v>
      </c>
      <c r="AW283" s="947">
        <v>68.699999999999989</v>
      </c>
      <c r="AX283" s="947">
        <v>59.736004521697225</v>
      </c>
      <c r="AY283" s="947">
        <v>8.9639954783027633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70"/>
      <c r="N284" s="941"/>
      <c r="O284" s="942"/>
      <c r="Q284" s="162" t="str">
        <f t="shared" si="1088"/>
        <v/>
      </c>
      <c r="R284" s="162" t="str">
        <f t="shared" si="1089"/>
        <v/>
      </c>
      <c r="S284" s="162" t="str">
        <f t="shared" si="1090"/>
        <v/>
      </c>
      <c r="T284" s="162" t="str">
        <f t="shared" si="1091"/>
        <v/>
      </c>
      <c r="U284" s="162" t="str">
        <f t="shared" si="1092"/>
        <v/>
      </c>
      <c r="V284" s="162" t="str">
        <f t="shared" si="1093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94"/>
        <v/>
      </c>
      <c r="Y284" s="75"/>
      <c r="Z284" s="917" t="str">
        <f t="shared" si="1095"/>
        <v/>
      </c>
      <c r="AA284" s="82"/>
      <c r="AB284" s="75"/>
      <c r="AC284" s="75"/>
      <c r="AD284" s="166"/>
      <c r="AE284" s="75">
        <v>3.2250000000000001</v>
      </c>
      <c r="AF284" s="82">
        <v>3</v>
      </c>
      <c r="AG284" s="82">
        <v>2</v>
      </c>
      <c r="AH284" s="82">
        <v>2</v>
      </c>
      <c r="AI284" s="82">
        <v>1.0000000000218279</v>
      </c>
      <c r="AJ284" s="166">
        <v>3.2252100000000001</v>
      </c>
      <c r="AK284" s="82">
        <v>3.2251099999999999</v>
      </c>
      <c r="AL284" s="162">
        <v>0</v>
      </c>
      <c r="AM284" s="162">
        <v>0</v>
      </c>
      <c r="AN284" s="162">
        <v>0</v>
      </c>
      <c r="AO284" s="162">
        <v>5.2978334732824166</v>
      </c>
      <c r="AP284" s="162">
        <v>0</v>
      </c>
      <c r="AQ284" s="162">
        <v>0</v>
      </c>
      <c r="AR284" s="710" t="str">
        <v>1313.par</v>
      </c>
      <c r="AV284" s="82" t="str">
        <v>97,255,97</v>
      </c>
      <c r="AW284" s="947">
        <v>49.800000000000011</v>
      </c>
      <c r="AX284" s="947">
        <v>44.502166526717595</v>
      </c>
      <c r="AY284" s="947">
        <v>5.2978334732824166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70"/>
      <c r="N285" s="941"/>
      <c r="O285" s="942"/>
      <c r="Q285" s="162" t="str">
        <f t="shared" si="1088"/>
        <v/>
      </c>
      <c r="R285" s="162" t="str">
        <f t="shared" si="1089"/>
        <v/>
      </c>
      <c r="S285" s="162" t="str">
        <f t="shared" si="1090"/>
        <v/>
      </c>
      <c r="T285" s="162" t="str">
        <f t="shared" si="1091"/>
        <v/>
      </c>
      <c r="U285" s="162" t="str">
        <f t="shared" si="1092"/>
        <v/>
      </c>
      <c r="V285" s="162" t="str">
        <f t="shared" si="1093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94"/>
        <v/>
      </c>
      <c r="Y285" s="75"/>
      <c r="Z285" s="917" t="str">
        <f t="shared" si="1095"/>
        <v/>
      </c>
      <c r="AA285" s="82"/>
      <c r="AB285" s="75"/>
      <c r="AC285" s="75"/>
      <c r="AD285" s="166"/>
      <c r="AE285" s="75">
        <v>3.2189999999999999</v>
      </c>
      <c r="AF285" s="82">
        <v>3</v>
      </c>
      <c r="AG285" s="82">
        <v>2</v>
      </c>
      <c r="AH285" s="82">
        <v>2</v>
      </c>
      <c r="AI285" s="82">
        <v>0.99999999998544808</v>
      </c>
      <c r="AJ285" s="166">
        <v>3.2192099999999999</v>
      </c>
      <c r="AK285" s="82">
        <v>3.2191099999999997</v>
      </c>
      <c r="AL285" s="162">
        <v>0</v>
      </c>
      <c r="AM285" s="162">
        <v>0</v>
      </c>
      <c r="AN285" s="162">
        <v>0</v>
      </c>
      <c r="AO285" s="162">
        <v>1.5779018991397251</v>
      </c>
      <c r="AP285" s="162">
        <v>0</v>
      </c>
      <c r="AQ285" s="162">
        <v>0</v>
      </c>
      <c r="AR285" s="710" t="str">
        <v>1313.par</v>
      </c>
      <c r="AV285" s="82" t="str">
        <v>97,255,97</v>
      </c>
      <c r="AW285" s="947">
        <v>30.700000000000003</v>
      </c>
      <c r="AX285" s="947">
        <v>29.122098100860278</v>
      </c>
      <c r="AY285" s="947">
        <v>1.5779018991397251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70"/>
      <c r="N286" s="941"/>
      <c r="O286" s="942"/>
      <c r="Q286" s="162" t="str">
        <f t="shared" si="1088"/>
        <v/>
      </c>
      <c r="R286" s="162" t="str">
        <f t="shared" si="1089"/>
        <v/>
      </c>
      <c r="S286" s="162" t="str">
        <f t="shared" si="1090"/>
        <v/>
      </c>
      <c r="T286" s="162" t="str">
        <f t="shared" si="1091"/>
        <v/>
      </c>
      <c r="U286" s="162" t="str">
        <f t="shared" si="1092"/>
        <v/>
      </c>
      <c r="V286" s="162" t="str">
        <f t="shared" si="1093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94"/>
        <v/>
      </c>
      <c r="Y286" s="75"/>
      <c r="Z286" s="917" t="str">
        <f t="shared" si="1095"/>
        <v/>
      </c>
      <c r="AA286" s="82"/>
      <c r="AB286" s="75"/>
      <c r="AC286" s="75"/>
      <c r="AD286" s="166"/>
      <c r="AE286" s="75">
        <v>3.2130000000000001</v>
      </c>
      <c r="AF286" s="82">
        <v>3</v>
      </c>
      <c r="AG286" s="82">
        <v>2</v>
      </c>
      <c r="AH286" s="82">
        <v>2</v>
      </c>
      <c r="AI286" s="82">
        <v>1.0000000000218279</v>
      </c>
      <c r="AJ286" s="166">
        <v>3.2132100000000001</v>
      </c>
      <c r="AK286" s="82">
        <v>3.2131099999999999</v>
      </c>
      <c r="AL286" s="162">
        <v>0</v>
      </c>
      <c r="AM286" s="162">
        <v>0</v>
      </c>
      <c r="AN286" s="162">
        <v>0</v>
      </c>
      <c r="AO286" s="162">
        <v>-2.0223783610182764</v>
      </c>
      <c r="AP286" s="162">
        <v>0</v>
      </c>
      <c r="AQ286" s="162">
        <v>0</v>
      </c>
      <c r="AR286" s="710" t="str">
        <v>1310.par</v>
      </c>
      <c r="AV286" s="82" t="str">
        <v>97,255,97</v>
      </c>
      <c r="AW286" s="947">
        <v>11.599999999999994</v>
      </c>
      <c r="AX286" s="947">
        <v>13.622378361018271</v>
      </c>
      <c r="AY286" s="947">
        <v>-2.0223783610182764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70"/>
      <c r="N287" s="941"/>
      <c r="O287" s="942"/>
      <c r="Q287" s="162" t="str">
        <f t="shared" si="1088"/>
        <v/>
      </c>
      <c r="R287" s="162" t="str">
        <f t="shared" si="1089"/>
        <v/>
      </c>
      <c r="S287" s="162" t="str">
        <f t="shared" si="1090"/>
        <v/>
      </c>
      <c r="T287" s="162" t="str">
        <f t="shared" si="1091"/>
        <v/>
      </c>
      <c r="U287" s="162" t="str">
        <f t="shared" si="1092"/>
        <v/>
      </c>
      <c r="V287" s="162" t="str">
        <f t="shared" si="1093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94"/>
        <v/>
      </c>
      <c r="Y287" s="75"/>
      <c r="Z287" s="917" t="str">
        <f t="shared" si="1095"/>
        <v/>
      </c>
      <c r="AA287" s="82"/>
      <c r="AB287" s="75"/>
      <c r="AC287" s="75"/>
      <c r="AD287" s="166"/>
      <c r="AE287" s="75">
        <v>3.1429999999999998</v>
      </c>
      <c r="AF287" s="82">
        <v>3</v>
      </c>
      <c r="AG287" s="82">
        <v>1</v>
      </c>
      <c r="AH287" s="82">
        <v>2</v>
      </c>
      <c r="AI287" s="82">
        <v>0.99999999998544808</v>
      </c>
      <c r="AJ287" s="166">
        <v>3.1432099999999998</v>
      </c>
      <c r="AK287" s="82">
        <v>3.1431099999999996</v>
      </c>
      <c r="AL287" s="162">
        <v>0</v>
      </c>
      <c r="AM287" s="162">
        <v>0</v>
      </c>
      <c r="AN287" s="162">
        <v>0</v>
      </c>
      <c r="AO287" s="162">
        <v>3.2264474746526162E-2</v>
      </c>
      <c r="AP287" s="162">
        <v>0</v>
      </c>
      <c r="AQ287" s="162">
        <v>0</v>
      </c>
      <c r="AR287" s="710" t="str">
        <v>1613.par</v>
      </c>
      <c r="AV287" s="82" t="str">
        <v>0,204,0</v>
      </c>
      <c r="AW287" s="947">
        <v>85</v>
      </c>
      <c r="AX287" s="947">
        <v>84.967735525253474</v>
      </c>
      <c r="AY287" s="947">
        <v>3.2264474746526162E-2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70"/>
      <c r="N288" s="941"/>
      <c r="O288" s="942"/>
      <c r="Q288" s="162" t="str">
        <f t="shared" si="1088"/>
        <v/>
      </c>
      <c r="R288" s="162" t="str">
        <f t="shared" si="1089"/>
        <v/>
      </c>
      <c r="S288" s="162" t="str">
        <f t="shared" si="1090"/>
        <v/>
      </c>
      <c r="T288" s="162" t="str">
        <f t="shared" si="1091"/>
        <v/>
      </c>
      <c r="U288" s="162" t="str">
        <f t="shared" si="1092"/>
        <v/>
      </c>
      <c r="V288" s="162" t="str">
        <f t="shared" si="1093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94"/>
        <v/>
      </c>
      <c r="Y288" s="75"/>
      <c r="Z288" s="917" t="str">
        <f t="shared" si="1095"/>
        <v/>
      </c>
      <c r="AA288" s="82"/>
      <c r="AB288" s="75"/>
      <c r="AC288" s="75"/>
      <c r="AD288" s="166"/>
      <c r="AE288" s="75">
        <v>3.137</v>
      </c>
      <c r="AF288" s="82">
        <v>3</v>
      </c>
      <c r="AG288" s="82">
        <v>1</v>
      </c>
      <c r="AH288" s="82">
        <v>2</v>
      </c>
      <c r="AI288" s="82">
        <v>1.0000000000218279</v>
      </c>
      <c r="AJ288" s="166">
        <v>3.1372100000000001</v>
      </c>
      <c r="AK288" s="82">
        <v>3.1371099999999998</v>
      </c>
      <c r="AL288" s="162">
        <v>0</v>
      </c>
      <c r="AM288" s="162">
        <v>0</v>
      </c>
      <c r="AN288" s="162">
        <v>0</v>
      </c>
      <c r="AO288" s="162">
        <v>10.109381247007931</v>
      </c>
      <c r="AP288" s="162">
        <v>0</v>
      </c>
      <c r="AQ288" s="162">
        <v>0</v>
      </c>
      <c r="AR288" s="710" t="str">
        <v>1613 Ripper.par</v>
      </c>
      <c r="AV288" s="82" t="str">
        <v>0,204,0</v>
      </c>
      <c r="AW288" s="947">
        <v>85</v>
      </c>
      <c r="AX288" s="947">
        <v>74.890618752992069</v>
      </c>
      <c r="AY288" s="947">
        <v>10.109381247007931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70"/>
      <c r="N289" s="941"/>
      <c r="O289" s="942"/>
      <c r="Q289" s="162" t="str">
        <f t="shared" si="1088"/>
        <v/>
      </c>
      <c r="R289" s="162" t="str">
        <f t="shared" si="1089"/>
        <v/>
      </c>
      <c r="S289" s="162" t="str">
        <f t="shared" si="1090"/>
        <v/>
      </c>
      <c r="T289" s="162" t="str">
        <f t="shared" si="1091"/>
        <v/>
      </c>
      <c r="U289" s="162" t="str">
        <f t="shared" si="1092"/>
        <v/>
      </c>
      <c r="V289" s="162" t="str">
        <f t="shared" si="1093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94"/>
        <v/>
      </c>
      <c r="Y289" s="75"/>
      <c r="Z289" s="917" t="str">
        <f t="shared" si="1095"/>
        <v/>
      </c>
      <c r="AA289" s="82"/>
      <c r="AB289" s="75"/>
      <c r="AC289" s="75"/>
      <c r="AD289" s="166"/>
      <c r="AE289" s="75">
        <v>3.1309999999999998</v>
      </c>
      <c r="AF289" s="82">
        <v>3</v>
      </c>
      <c r="AG289" s="82">
        <v>1</v>
      </c>
      <c r="AH289" s="82">
        <v>2</v>
      </c>
      <c r="AI289" s="82">
        <v>0.99999999998544808</v>
      </c>
      <c r="AJ289" s="166">
        <v>3.1312099999999998</v>
      </c>
      <c r="AK289" s="82">
        <v>3.1311099999999996</v>
      </c>
      <c r="AL289" s="162">
        <v>0</v>
      </c>
      <c r="AM289" s="162">
        <v>0</v>
      </c>
      <c r="AN289" s="162">
        <v>0</v>
      </c>
      <c r="AO289" s="162">
        <v>8.965245441357915</v>
      </c>
      <c r="AP289" s="162">
        <v>0</v>
      </c>
      <c r="AQ289" s="162">
        <v>0</v>
      </c>
      <c r="AR289" s="710" t="str">
        <v>1613 Ripper.par</v>
      </c>
      <c r="AV289" s="82" t="str">
        <v>0,204,0</v>
      </c>
      <c r="AW289" s="947">
        <v>68.699999999999989</v>
      </c>
      <c r="AX289" s="947">
        <v>59.734754558642074</v>
      </c>
      <c r="AY289" s="947">
        <v>8.965245441357915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70"/>
      <c r="N290" s="941"/>
      <c r="O290" s="942"/>
      <c r="Q290" s="162" t="str">
        <f t="shared" si="1088"/>
        <v/>
      </c>
      <c r="R290" s="162" t="str">
        <f t="shared" si="1089"/>
        <v/>
      </c>
      <c r="S290" s="162" t="str">
        <f t="shared" si="1090"/>
        <v/>
      </c>
      <c r="T290" s="162" t="str">
        <f t="shared" si="1091"/>
        <v/>
      </c>
      <c r="U290" s="162" t="str">
        <f t="shared" si="1092"/>
        <v/>
      </c>
      <c r="V290" s="162" t="str">
        <f t="shared" si="1093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94"/>
        <v/>
      </c>
      <c r="Y290" s="75"/>
      <c r="Z290" s="917" t="str">
        <f t="shared" si="1095"/>
        <v/>
      </c>
      <c r="AA290" s="82"/>
      <c r="AB290" s="75"/>
      <c r="AC290" s="75"/>
      <c r="AD290" s="166"/>
      <c r="AE290" s="75">
        <v>3.125</v>
      </c>
      <c r="AF290" s="82">
        <v>3</v>
      </c>
      <c r="AG290" s="82">
        <v>1</v>
      </c>
      <c r="AH290" s="82">
        <v>2</v>
      </c>
      <c r="AI290" s="82">
        <v>1.0000000000218279</v>
      </c>
      <c r="AJ290" s="166">
        <v>3.12521</v>
      </c>
      <c r="AK290" s="82">
        <v>3.1251099999999998</v>
      </c>
      <c r="AL290" s="162">
        <v>0</v>
      </c>
      <c r="AM290" s="162">
        <v>0</v>
      </c>
      <c r="AN290" s="162">
        <v>0</v>
      </c>
      <c r="AO290" s="162">
        <v>5.300053750423217</v>
      </c>
      <c r="AP290" s="162">
        <v>0</v>
      </c>
      <c r="AQ290" s="162">
        <v>0</v>
      </c>
      <c r="AR290" s="710" t="str">
        <v>1613 Ripper.par</v>
      </c>
      <c r="AV290" s="82" t="str">
        <v>0,204,0</v>
      </c>
      <c r="AW290" s="947">
        <v>49.800000000000011</v>
      </c>
      <c r="AX290" s="947">
        <v>44.499946249576794</v>
      </c>
      <c r="AY290" s="947">
        <v>5.300053750423217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70"/>
      <c r="N291" s="941"/>
      <c r="O291" s="942"/>
      <c r="Q291" s="162" t="str">
        <f t="shared" si="1088"/>
        <v/>
      </c>
      <c r="R291" s="162" t="str">
        <f t="shared" si="1089"/>
        <v/>
      </c>
      <c r="S291" s="162" t="str">
        <f t="shared" si="1090"/>
        <v/>
      </c>
      <c r="T291" s="162" t="str">
        <f t="shared" si="1091"/>
        <v/>
      </c>
      <c r="U291" s="162" t="str">
        <f t="shared" si="1092"/>
        <v/>
      </c>
      <c r="V291" s="162" t="str">
        <f t="shared" si="1093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94"/>
        <v/>
      </c>
      <c r="Y291" s="75"/>
      <c r="Z291" s="917" t="str">
        <f t="shared" si="1095"/>
        <v/>
      </c>
      <c r="AA291" s="82"/>
      <c r="AB291" s="75"/>
      <c r="AC291" s="75"/>
      <c r="AD291" s="166"/>
      <c r="AE291" s="75">
        <v>3.1190000000000002</v>
      </c>
      <c r="AF291" s="82">
        <v>3</v>
      </c>
      <c r="AG291" s="82">
        <v>1</v>
      </c>
      <c r="AH291" s="82">
        <v>2</v>
      </c>
      <c r="AI291" s="82">
        <v>1.0000000000218279</v>
      </c>
      <c r="AJ291" s="166">
        <v>3.1192100000000003</v>
      </c>
      <c r="AK291" s="82">
        <v>3.11911</v>
      </c>
      <c r="AL291" s="162">
        <v>0</v>
      </c>
      <c r="AM291" s="162">
        <v>0</v>
      </c>
      <c r="AN291" s="162">
        <v>0</v>
      </c>
      <c r="AO291" s="162">
        <v>1.5812579109359071</v>
      </c>
      <c r="AP291" s="162">
        <v>0</v>
      </c>
      <c r="AQ291" s="162">
        <v>0</v>
      </c>
      <c r="AR291" s="710" t="str">
        <v>1613 Ripper.par</v>
      </c>
      <c r="AV291" s="82" t="str">
        <v>0,204,0</v>
      </c>
      <c r="AW291" s="947">
        <v>30.700000000000003</v>
      </c>
      <c r="AX291" s="947">
        <v>29.118742089064096</v>
      </c>
      <c r="AY291" s="947">
        <v>1.5812579109359071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70"/>
      <c r="N292" s="941"/>
      <c r="O292" s="942"/>
      <c r="Q292" s="162" t="str">
        <f t="shared" si="1088"/>
        <v/>
      </c>
      <c r="R292" s="162" t="str">
        <f t="shared" si="1089"/>
        <v/>
      </c>
      <c r="S292" s="162" t="str">
        <f t="shared" si="1090"/>
        <v/>
      </c>
      <c r="T292" s="162" t="str">
        <f t="shared" si="1091"/>
        <v/>
      </c>
      <c r="U292" s="162" t="str">
        <f t="shared" si="1092"/>
        <v/>
      </c>
      <c r="V292" s="162" t="str">
        <f t="shared" si="1093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94"/>
        <v/>
      </c>
      <c r="Y292" s="75"/>
      <c r="Z292" s="917" t="str">
        <f t="shared" si="1095"/>
        <v/>
      </c>
      <c r="AA292" s="82"/>
      <c r="AB292" s="75"/>
      <c r="AC292" s="75"/>
      <c r="AD292" s="166"/>
      <c r="AE292" s="75">
        <v>3.113</v>
      </c>
      <c r="AF292" s="82">
        <v>3</v>
      </c>
      <c r="AG292" s="82">
        <v>1</v>
      </c>
      <c r="AH292" s="82">
        <v>2</v>
      </c>
      <c r="AI292" s="82">
        <v>0.99999999998544808</v>
      </c>
      <c r="AJ292" s="166">
        <v>3.11321</v>
      </c>
      <c r="AK292" s="82">
        <v>3.1131099999999998</v>
      </c>
      <c r="AL292" s="162">
        <v>0</v>
      </c>
      <c r="AM292" s="162">
        <v>0</v>
      </c>
      <c r="AN292" s="162">
        <v>0</v>
      </c>
      <c r="AO292" s="162">
        <v>-2.0189071763940181</v>
      </c>
      <c r="AP292" s="162">
        <v>0</v>
      </c>
      <c r="AQ292" s="162">
        <v>0</v>
      </c>
      <c r="AR292" s="710" t="str">
        <v>1613 Ripper.par</v>
      </c>
      <c r="AV292" s="82" t="str">
        <v>0,204,0</v>
      </c>
      <c r="AW292" s="947">
        <v>11.599999999999994</v>
      </c>
      <c r="AX292" s="947">
        <v>13.618907176394012</v>
      </c>
      <c r="AY292" s="947">
        <v>-2.0189071763940181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70"/>
      <c r="N293" s="941"/>
      <c r="O293" s="942"/>
      <c r="Q293" s="162" t="str">
        <f t="shared" si="1088"/>
        <v/>
      </c>
      <c r="R293" s="162" t="str">
        <f t="shared" si="1089"/>
        <v/>
      </c>
      <c r="S293" s="162" t="str">
        <f t="shared" si="1090"/>
        <v/>
      </c>
      <c r="T293" s="162" t="str">
        <f t="shared" si="1091"/>
        <v/>
      </c>
      <c r="U293" s="162" t="str">
        <f t="shared" si="1092"/>
        <v/>
      </c>
      <c r="V293" s="162" t="str">
        <f t="shared" si="1093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94"/>
        <v/>
      </c>
      <c r="Y293" s="75"/>
      <c r="Z293" s="917" t="str">
        <f t="shared" si="1095"/>
        <v/>
      </c>
      <c r="AA293" s="82"/>
      <c r="AB293" s="75"/>
      <c r="AC293" s="75"/>
      <c r="AD293" s="166"/>
      <c r="AE293" s="75">
        <v>3.1080000000000001</v>
      </c>
      <c r="AF293" s="82">
        <v>3</v>
      </c>
      <c r="AG293" s="82">
        <v>1</v>
      </c>
      <c r="AH293" s="82">
        <v>2</v>
      </c>
      <c r="AI293" s="82">
        <v>1.0000000000218279</v>
      </c>
      <c r="AJ293" s="166">
        <v>3.1082100000000001</v>
      </c>
      <c r="AK293" s="82">
        <v>3.1081099999999999</v>
      </c>
      <c r="AL293" s="162">
        <v>0</v>
      </c>
      <c r="AM293" s="162">
        <v>0</v>
      </c>
      <c r="AN293" s="162">
        <v>0</v>
      </c>
      <c r="AO293" s="162">
        <v>-7.6489734788199426</v>
      </c>
      <c r="AP293" s="162">
        <v>0</v>
      </c>
      <c r="AQ293" s="162">
        <v>0</v>
      </c>
      <c r="AR293" s="710" t="str">
        <v>1613.par</v>
      </c>
      <c r="AV293" s="82" t="str">
        <v>0,204,0</v>
      </c>
      <c r="AW293" s="947">
        <v>-7.0999999999999943</v>
      </c>
      <c r="AX293" s="947">
        <v>0.54897347881994862</v>
      </c>
      <c r="AY293" s="947">
        <v>-7.6489734788199426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70"/>
      <c r="N294" s="941"/>
      <c r="O294" s="942"/>
      <c r="Q294" s="162" t="str">
        <f t="shared" si="1088"/>
        <v/>
      </c>
      <c r="R294" s="162" t="str">
        <f t="shared" si="1089"/>
        <v/>
      </c>
      <c r="S294" s="162" t="str">
        <f t="shared" si="1090"/>
        <v/>
      </c>
      <c r="T294" s="162" t="str">
        <f t="shared" si="1091"/>
        <v/>
      </c>
      <c r="U294" s="162" t="str">
        <f t="shared" si="1092"/>
        <v/>
      </c>
      <c r="V294" s="162" t="str">
        <f t="shared" si="1093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94"/>
        <v/>
      </c>
      <c r="Y294" s="75"/>
      <c r="Z294" s="917" t="str">
        <f t="shared" si="1095"/>
        <v/>
      </c>
      <c r="AA294" s="82"/>
      <c r="AB294" s="75"/>
      <c r="AC294" s="75"/>
      <c r="AD294" s="166"/>
      <c r="AE294" s="75">
        <v>3.105</v>
      </c>
      <c r="AF294" s="82">
        <v>3</v>
      </c>
      <c r="AG294" s="82">
        <v>1</v>
      </c>
      <c r="AH294" s="82">
        <v>2</v>
      </c>
      <c r="AI294" s="82">
        <v>0.99999999998544808</v>
      </c>
      <c r="AJ294" s="166">
        <v>3.10521</v>
      </c>
      <c r="AK294" s="82">
        <v>3.1051099999999998</v>
      </c>
      <c r="AL294" s="162">
        <v>0</v>
      </c>
      <c r="AM294" s="162">
        <v>0</v>
      </c>
      <c r="AN294" s="162">
        <v>0</v>
      </c>
      <c r="AO294" s="162">
        <v>-14.985026506604578</v>
      </c>
      <c r="AP294" s="162">
        <v>0</v>
      </c>
      <c r="AQ294" s="162">
        <v>0</v>
      </c>
      <c r="AR294" s="710" t="str">
        <v>1613.par</v>
      </c>
      <c r="AV294" s="82" t="str">
        <v>0,204,0</v>
      </c>
      <c r="AW294" s="947">
        <v>-20</v>
      </c>
      <c r="AX294" s="947">
        <v>-5.0149734933954218</v>
      </c>
      <c r="AY294" s="947">
        <v>-14.985026506604578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70"/>
      <c r="N295" s="941"/>
      <c r="O295" s="942"/>
      <c r="Q295" s="162" t="str">
        <f t="shared" si="1088"/>
        <v/>
      </c>
      <c r="R295" s="162" t="str">
        <f t="shared" si="1089"/>
        <v/>
      </c>
      <c r="S295" s="162" t="str">
        <f t="shared" si="1090"/>
        <v/>
      </c>
      <c r="T295" s="162" t="str">
        <f t="shared" si="1091"/>
        <v/>
      </c>
      <c r="U295" s="162" t="str">
        <f t="shared" si="1092"/>
        <v/>
      </c>
      <c r="V295" s="162" t="str">
        <f t="shared" si="1093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94"/>
        <v/>
      </c>
      <c r="Y295" s="75"/>
      <c r="Z295" s="917" t="str">
        <f t="shared" si="1095"/>
        <v/>
      </c>
      <c r="AA295" s="82"/>
      <c r="AB295" s="75"/>
      <c r="AC295" s="75"/>
      <c r="AD295" s="166"/>
      <c r="AE295" s="75">
        <v>3.1019999999999999</v>
      </c>
      <c r="AF295" s="82">
        <v>3</v>
      </c>
      <c r="AG295" s="82">
        <v>1</v>
      </c>
      <c r="AH295" s="82">
        <v>2</v>
      </c>
      <c r="AI295" s="82">
        <v>0.99999999998544808</v>
      </c>
      <c r="AJ295" s="166">
        <v>3.1022099999999999</v>
      </c>
      <c r="AK295" s="82">
        <v>3.1021099999999997</v>
      </c>
      <c r="AL295" s="162">
        <v>0</v>
      </c>
      <c r="AM295" s="162">
        <v>0</v>
      </c>
      <c r="AN295" s="162">
        <v>0</v>
      </c>
      <c r="AO295" s="162">
        <v>-8.6292821270437301</v>
      </c>
      <c r="AP295" s="162">
        <v>0</v>
      </c>
      <c r="AQ295" s="162">
        <v>0</v>
      </c>
      <c r="AR295" s="710" t="str">
        <v>1613.par</v>
      </c>
      <c r="AV295" s="82" t="str">
        <v>0,204,0</v>
      </c>
      <c r="AW295" s="947">
        <v>-20</v>
      </c>
      <c r="AX295" s="947">
        <v>-11.37071787295627</v>
      </c>
      <c r="AY295" s="947">
        <v>-8.6292821270437301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70"/>
      <c r="N296" s="941"/>
      <c r="O296" s="942"/>
      <c r="Q296" s="162" t="str">
        <f t="shared" si="1088"/>
        <v/>
      </c>
      <c r="R296" s="162" t="str">
        <f t="shared" si="1089"/>
        <v/>
      </c>
      <c r="S296" s="162" t="str">
        <f t="shared" si="1090"/>
        <v/>
      </c>
      <c r="T296" s="162" t="str">
        <f t="shared" si="1091"/>
        <v/>
      </c>
      <c r="U296" s="162" t="str">
        <f t="shared" si="1092"/>
        <v/>
      </c>
      <c r="V296" s="162" t="str">
        <f t="shared" si="1093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94"/>
        <v/>
      </c>
      <c r="Y296" s="75"/>
      <c r="Z296" s="917" t="str">
        <f t="shared" si="1095"/>
        <v/>
      </c>
      <c r="AA296" s="82"/>
      <c r="AB296" s="75"/>
      <c r="AC296" s="75"/>
      <c r="AD296" s="166"/>
      <c r="AE296" s="75">
        <v>2.246</v>
      </c>
      <c r="AF296" s="82">
        <v>2</v>
      </c>
      <c r="AG296" s="82">
        <v>2</v>
      </c>
      <c r="AH296" s="82">
        <v>2</v>
      </c>
      <c r="AI296" s="82">
        <v>1.0000000000218279</v>
      </c>
      <c r="AJ296" s="166">
        <v>2.24621</v>
      </c>
      <c r="AK296" s="82">
        <v>2.2461099999999998</v>
      </c>
      <c r="AL296" s="162">
        <v>0</v>
      </c>
      <c r="AM296" s="162">
        <v>0</v>
      </c>
      <c r="AN296" s="162">
        <v>0</v>
      </c>
      <c r="AO296" s="162">
        <v>1.2272479807506897E-5</v>
      </c>
      <c r="AP296" s="162">
        <v>0</v>
      </c>
      <c r="AQ296" s="162">
        <v>0</v>
      </c>
      <c r="AR296" s="710" t="str">
        <v>32193r1.par</v>
      </c>
      <c r="AV296" s="82" t="str">
        <v>255,255,91</v>
      </c>
      <c r="AW296" s="947">
        <v>85</v>
      </c>
      <c r="AX296" s="947">
        <v>84.999987727520192</v>
      </c>
      <c r="AY296" s="947">
        <v>1.2272479807506897E-5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70"/>
      <c r="N297" s="941"/>
      <c r="O297" s="942"/>
      <c r="Q297" s="162" t="str">
        <f t="shared" si="1088"/>
        <v/>
      </c>
      <c r="R297" s="162" t="str">
        <f t="shared" si="1089"/>
        <v/>
      </c>
      <c r="S297" s="162" t="str">
        <f t="shared" si="1090"/>
        <v/>
      </c>
      <c r="T297" s="162" t="str">
        <f t="shared" si="1091"/>
        <v/>
      </c>
      <c r="U297" s="162" t="str">
        <f t="shared" si="1092"/>
        <v/>
      </c>
      <c r="V297" s="162" t="str">
        <f t="shared" si="1093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94"/>
        <v/>
      </c>
      <c r="Y297" s="75"/>
      <c r="Z297" s="917" t="str">
        <f t="shared" si="1095"/>
        <v/>
      </c>
      <c r="AA297" s="82"/>
      <c r="AB297" s="75"/>
      <c r="AC297" s="75"/>
      <c r="AD297" s="166"/>
      <c r="AE297" s="75">
        <v>2.2400000000000002</v>
      </c>
      <c r="AF297" s="82">
        <v>2</v>
      </c>
      <c r="AG297" s="82">
        <v>2</v>
      </c>
      <c r="AH297" s="82">
        <v>2</v>
      </c>
      <c r="AI297" s="82">
        <v>1.0000000000218279</v>
      </c>
      <c r="AJ297" s="166">
        <v>2.2402100000000003</v>
      </c>
      <c r="AK297" s="82">
        <v>2.24011</v>
      </c>
      <c r="AL297" s="162">
        <v>0</v>
      </c>
      <c r="AM297" s="162">
        <v>0</v>
      </c>
      <c r="AN297" s="162">
        <v>0</v>
      </c>
      <c r="AO297" s="162">
        <v>1.2272479807506897E-5</v>
      </c>
      <c r="AP297" s="162">
        <v>0</v>
      </c>
      <c r="AQ297" s="162">
        <v>0</v>
      </c>
      <c r="AR297" s="710" t="str">
        <v>32193r1.par</v>
      </c>
      <c r="AV297" s="82" t="str">
        <v>255,255,91</v>
      </c>
      <c r="AW297" s="947">
        <v>85</v>
      </c>
      <c r="AX297" s="947">
        <v>84.999987727520192</v>
      </c>
      <c r="AY297" s="947">
        <v>1.2272479807506897E-5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70"/>
      <c r="N298" s="941"/>
      <c r="O298" s="942"/>
      <c r="Q298" s="162" t="str">
        <f t="shared" si="1088"/>
        <v/>
      </c>
      <c r="R298" s="162" t="str">
        <f t="shared" si="1089"/>
        <v/>
      </c>
      <c r="S298" s="162" t="str">
        <f t="shared" si="1090"/>
        <v/>
      </c>
      <c r="T298" s="162" t="str">
        <f t="shared" si="1091"/>
        <v/>
      </c>
      <c r="U298" s="162" t="str">
        <f t="shared" si="1092"/>
        <v/>
      </c>
      <c r="V298" s="162" t="str">
        <f t="shared" si="1093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94"/>
        <v/>
      </c>
      <c r="Y298" s="75"/>
      <c r="Z298" s="917" t="str">
        <f t="shared" si="1095"/>
        <v/>
      </c>
      <c r="AA298" s="82"/>
      <c r="AB298" s="75"/>
      <c r="AC298" s="75"/>
      <c r="AD298" s="166"/>
      <c r="AE298" s="75">
        <v>2.234</v>
      </c>
      <c r="AF298" s="82">
        <v>2</v>
      </c>
      <c r="AG298" s="82">
        <v>2</v>
      </c>
      <c r="AH298" s="82">
        <v>2</v>
      </c>
      <c r="AI298" s="82">
        <v>0.99999999998544808</v>
      </c>
      <c r="AJ298" s="166">
        <v>2.23421</v>
      </c>
      <c r="AK298" s="82">
        <v>2.2341099999999998</v>
      </c>
      <c r="AL298" s="162">
        <v>0</v>
      </c>
      <c r="AM298" s="162">
        <v>0</v>
      </c>
      <c r="AN298" s="162">
        <v>0</v>
      </c>
      <c r="AO298" s="162">
        <v>1.1261804985451818E-5</v>
      </c>
      <c r="AP298" s="162">
        <v>0</v>
      </c>
      <c r="AQ298" s="162">
        <v>0</v>
      </c>
      <c r="AR298" s="710" t="str">
        <v>32193r1.par</v>
      </c>
      <c r="AV298" s="82" t="str">
        <v>255,255,91</v>
      </c>
      <c r="AW298" s="947">
        <v>78</v>
      </c>
      <c r="AX298" s="947">
        <v>77.999988738195015</v>
      </c>
      <c r="AY298" s="947">
        <v>1.1261804985451818E-5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70"/>
      <c r="N299" s="941"/>
      <c r="O299" s="942"/>
      <c r="Q299" s="162" t="str">
        <f t="shared" si="1088"/>
        <v/>
      </c>
      <c r="R299" s="162" t="str">
        <f t="shared" si="1089"/>
        <v/>
      </c>
      <c r="S299" s="162" t="str">
        <f t="shared" si="1090"/>
        <v/>
      </c>
      <c r="T299" s="162" t="str">
        <f t="shared" si="1091"/>
        <v/>
      </c>
      <c r="U299" s="162" t="str">
        <f t="shared" si="1092"/>
        <v/>
      </c>
      <c r="V299" s="162" t="str">
        <f t="shared" si="1093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94"/>
        <v/>
      </c>
      <c r="Y299" s="75"/>
      <c r="Z299" s="917" t="str">
        <f t="shared" si="1095"/>
        <v/>
      </c>
      <c r="AA299" s="82"/>
      <c r="AB299" s="75"/>
      <c r="AC299" s="75"/>
      <c r="AD299" s="166"/>
      <c r="AE299" s="75">
        <v>2.2280000000000002</v>
      </c>
      <c r="AF299" s="82">
        <v>2</v>
      </c>
      <c r="AG299" s="82">
        <v>2</v>
      </c>
      <c r="AH299" s="82">
        <v>2</v>
      </c>
      <c r="AI299" s="82">
        <v>1.0000000000218279</v>
      </c>
      <c r="AJ299" s="166">
        <v>2.2282100000000002</v>
      </c>
      <c r="AK299" s="82">
        <v>2.22811</v>
      </c>
      <c r="AL299" s="162">
        <v>0</v>
      </c>
      <c r="AM299" s="162">
        <v>0</v>
      </c>
      <c r="AN299" s="162">
        <v>0</v>
      </c>
      <c r="AO299" s="162">
        <v>6.9804433889870694</v>
      </c>
      <c r="AP299" s="162">
        <v>0</v>
      </c>
      <c r="AQ299" s="162">
        <v>0</v>
      </c>
      <c r="AR299" s="710" t="str">
        <v>1313.par</v>
      </c>
      <c r="AV299" s="82" t="str">
        <v>255,255,91</v>
      </c>
      <c r="AW299" s="947">
        <v>59.199999999999989</v>
      </c>
      <c r="AX299" s="947">
        <v>52.219556611012919</v>
      </c>
      <c r="AY299" s="947">
        <v>6.9804433889870694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70"/>
      <c r="N300" s="941"/>
      <c r="O300" s="942"/>
      <c r="Q300" s="162" t="str">
        <f t="shared" si="1088"/>
        <v/>
      </c>
      <c r="R300" s="162" t="str">
        <f t="shared" si="1089"/>
        <v/>
      </c>
      <c r="S300" s="162" t="str">
        <f t="shared" si="1090"/>
        <v/>
      </c>
      <c r="T300" s="162" t="str">
        <f t="shared" si="1091"/>
        <v/>
      </c>
      <c r="U300" s="162" t="str">
        <f t="shared" si="1092"/>
        <v/>
      </c>
      <c r="V300" s="162" t="str">
        <f t="shared" si="1093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94"/>
        <v/>
      </c>
      <c r="Y300" s="75"/>
      <c r="Z300" s="917" t="str">
        <f t="shared" si="1095"/>
        <v/>
      </c>
      <c r="AA300" s="82"/>
      <c r="AB300" s="75"/>
      <c r="AC300" s="75"/>
      <c r="AD300" s="166"/>
      <c r="AE300" s="75">
        <v>2.222</v>
      </c>
      <c r="AF300" s="82">
        <v>2</v>
      </c>
      <c r="AG300" s="82">
        <v>2</v>
      </c>
      <c r="AH300" s="82">
        <v>2</v>
      </c>
      <c r="AI300" s="82">
        <v>0.99999999998544808</v>
      </c>
      <c r="AJ300" s="166">
        <v>2.22221</v>
      </c>
      <c r="AK300" s="82">
        <v>2.2221099999999998</v>
      </c>
      <c r="AL300" s="162">
        <v>0</v>
      </c>
      <c r="AM300" s="162">
        <v>0</v>
      </c>
      <c r="AN300" s="162">
        <v>0</v>
      </c>
      <c r="AO300" s="162">
        <v>3.295026927613371</v>
      </c>
      <c r="AP300" s="162">
        <v>0</v>
      </c>
      <c r="AQ300" s="162">
        <v>0</v>
      </c>
      <c r="AR300" s="710" t="str">
        <v>1313.par</v>
      </c>
      <c r="AV300" s="82" t="str">
        <v>255,255,91</v>
      </c>
      <c r="AW300" s="947">
        <v>40.300000000000011</v>
      </c>
      <c r="AX300" s="947">
        <v>37.00497307238664</v>
      </c>
      <c r="AY300" s="947">
        <v>3.295026927613371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70"/>
      <c r="N301" s="941"/>
      <c r="O301" s="942"/>
      <c r="Q301" s="162" t="str">
        <f t="shared" si="1088"/>
        <v/>
      </c>
      <c r="R301" s="162" t="str">
        <f t="shared" si="1089"/>
        <v/>
      </c>
      <c r="S301" s="162" t="str">
        <f t="shared" si="1090"/>
        <v/>
      </c>
      <c r="T301" s="162" t="str">
        <f t="shared" si="1091"/>
        <v/>
      </c>
      <c r="U301" s="162" t="str">
        <f t="shared" si="1092"/>
        <v/>
      </c>
      <c r="V301" s="162" t="str">
        <f t="shared" si="1093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94"/>
        <v/>
      </c>
      <c r="Y301" s="75"/>
      <c r="Z301" s="917" t="str">
        <f t="shared" si="1095"/>
        <v/>
      </c>
      <c r="AA301" s="82"/>
      <c r="AB301" s="75"/>
      <c r="AC301" s="75"/>
      <c r="AD301" s="166"/>
      <c r="AE301" s="75">
        <v>2.2160000000000002</v>
      </c>
      <c r="AF301" s="82">
        <v>2</v>
      </c>
      <c r="AG301" s="82">
        <v>2</v>
      </c>
      <c r="AH301" s="82">
        <v>2</v>
      </c>
      <c r="AI301" s="82">
        <v>1.0000000000218279</v>
      </c>
      <c r="AJ301" s="166">
        <v>2.2162100000000002</v>
      </c>
      <c r="AK301" s="82">
        <v>2.21611</v>
      </c>
      <c r="AL301" s="162">
        <v>0</v>
      </c>
      <c r="AM301" s="162">
        <v>0</v>
      </c>
      <c r="AN301" s="162">
        <v>0</v>
      </c>
      <c r="AO301" s="162">
        <v>-0.45723742182249083</v>
      </c>
      <c r="AP301" s="162">
        <v>0</v>
      </c>
      <c r="AQ301" s="162">
        <v>0</v>
      </c>
      <c r="AR301" s="710" t="str">
        <v>1310.par</v>
      </c>
      <c r="AV301" s="82" t="str">
        <v>255,255,91</v>
      </c>
      <c r="AW301" s="947">
        <v>21.200000000000003</v>
      </c>
      <c r="AX301" s="947">
        <v>21.657237421822494</v>
      </c>
      <c r="AY301" s="947">
        <v>-0.45723742182249083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70"/>
      <c r="N302" s="941"/>
      <c r="O302" s="942"/>
      <c r="Q302" s="162" t="str">
        <f t="shared" si="1088"/>
        <v/>
      </c>
      <c r="R302" s="162" t="str">
        <f t="shared" si="1089"/>
        <v/>
      </c>
      <c r="S302" s="162" t="str">
        <f t="shared" si="1090"/>
        <v/>
      </c>
      <c r="T302" s="162" t="str">
        <f t="shared" si="1091"/>
        <v/>
      </c>
      <c r="U302" s="162" t="str">
        <f t="shared" si="1092"/>
        <v/>
      </c>
      <c r="V302" s="162" t="str">
        <f t="shared" si="1093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94"/>
        <v/>
      </c>
      <c r="Y302" s="75"/>
      <c r="Z302" s="917" t="str">
        <f t="shared" si="1095"/>
        <v/>
      </c>
      <c r="AA302" s="82"/>
      <c r="AB302" s="75"/>
      <c r="AC302" s="75"/>
      <c r="AD302" s="166"/>
      <c r="AE302" s="75">
        <v>2.1459999999999999</v>
      </c>
      <c r="AF302" s="82">
        <v>2</v>
      </c>
      <c r="AG302" s="82">
        <v>1</v>
      </c>
      <c r="AH302" s="82">
        <v>2</v>
      </c>
      <c r="AI302" s="82">
        <v>0.99999999998544808</v>
      </c>
      <c r="AJ302" s="166">
        <v>2.14621</v>
      </c>
      <c r="AK302" s="82">
        <v>2.1461099999999997</v>
      </c>
      <c r="AL302" s="162">
        <v>0</v>
      </c>
      <c r="AM302" s="162">
        <v>0</v>
      </c>
      <c r="AN302" s="162">
        <v>0</v>
      </c>
      <c r="AO302" s="162">
        <v>3.2264474746469318E-2</v>
      </c>
      <c r="AP302" s="162">
        <v>0</v>
      </c>
      <c r="AQ302" s="162">
        <v>0</v>
      </c>
      <c r="AR302" s="710" t="str">
        <v>1613.par</v>
      </c>
      <c r="AV302" s="82" t="str">
        <v>204,204,0</v>
      </c>
      <c r="AW302" s="947">
        <v>85</v>
      </c>
      <c r="AX302" s="947">
        <v>84.967735525253531</v>
      </c>
      <c r="AY302" s="947">
        <v>3.2264474746469318E-2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70"/>
      <c r="N303" s="941"/>
      <c r="O303" s="942"/>
      <c r="Q303" s="162" t="str">
        <f t="shared" si="1088"/>
        <v/>
      </c>
      <c r="R303" s="162" t="str">
        <f t="shared" si="1089"/>
        <v/>
      </c>
      <c r="S303" s="162" t="str">
        <f t="shared" si="1090"/>
        <v/>
      </c>
      <c r="T303" s="162" t="str">
        <f t="shared" si="1091"/>
        <v/>
      </c>
      <c r="U303" s="162" t="str">
        <f t="shared" si="1092"/>
        <v/>
      </c>
      <c r="V303" s="162" t="str">
        <f t="shared" si="1093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94"/>
        <v/>
      </c>
      <c r="Y303" s="75"/>
      <c r="Z303" s="917" t="str">
        <f t="shared" si="1095"/>
        <v/>
      </c>
      <c r="AA303" s="82"/>
      <c r="AB303" s="75"/>
      <c r="AC303" s="75"/>
      <c r="AD303" s="166"/>
      <c r="AE303" s="75">
        <v>2.14</v>
      </c>
      <c r="AF303" s="82">
        <v>2</v>
      </c>
      <c r="AG303" s="82">
        <v>1</v>
      </c>
      <c r="AH303" s="82">
        <v>2</v>
      </c>
      <c r="AI303" s="82">
        <v>1.0000000000218279</v>
      </c>
      <c r="AJ303" s="166">
        <v>2.1402100000000002</v>
      </c>
      <c r="AK303" s="82">
        <v>2.14011</v>
      </c>
      <c r="AL303" s="162">
        <v>0</v>
      </c>
      <c r="AM303" s="162">
        <v>0</v>
      </c>
      <c r="AN303" s="162">
        <v>0</v>
      </c>
      <c r="AO303" s="162">
        <v>2.5502047015971669</v>
      </c>
      <c r="AP303" s="162">
        <v>0</v>
      </c>
      <c r="AQ303" s="162">
        <v>0</v>
      </c>
      <c r="AR303" s="710" t="str">
        <v>1613.par</v>
      </c>
      <c r="AV303" s="82" t="str">
        <v>204,204,0</v>
      </c>
      <c r="AW303" s="947">
        <v>85</v>
      </c>
      <c r="AX303" s="947">
        <v>82.449795298402833</v>
      </c>
      <c r="AY303" s="947">
        <v>2.5502047015971669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70"/>
      <c r="N304" s="941"/>
      <c r="O304" s="942"/>
      <c r="Q304" s="162" t="str">
        <f t="shared" si="1088"/>
        <v/>
      </c>
      <c r="R304" s="162" t="str">
        <f t="shared" si="1089"/>
        <v/>
      </c>
      <c r="S304" s="162" t="str">
        <f t="shared" si="1090"/>
        <v/>
      </c>
      <c r="T304" s="162" t="str">
        <f t="shared" si="1091"/>
        <v/>
      </c>
      <c r="U304" s="162" t="str">
        <f t="shared" si="1092"/>
        <v/>
      </c>
      <c r="V304" s="162" t="str">
        <f t="shared" si="1093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94"/>
        <v/>
      </c>
      <c r="Y304" s="75"/>
      <c r="Z304" s="917" t="str">
        <f t="shared" si="1095"/>
        <v/>
      </c>
      <c r="AA304" s="82"/>
      <c r="AB304" s="75"/>
      <c r="AC304" s="75"/>
      <c r="AD304" s="166"/>
      <c r="AE304" s="75">
        <v>2.1339999999999999</v>
      </c>
      <c r="AF304" s="82">
        <v>2</v>
      </c>
      <c r="AG304" s="82">
        <v>1</v>
      </c>
      <c r="AH304" s="82">
        <v>2</v>
      </c>
      <c r="AI304" s="82">
        <v>0.99999999998544808</v>
      </c>
      <c r="AJ304" s="166">
        <v>2.1342099999999999</v>
      </c>
      <c r="AK304" s="82">
        <v>2.1341099999999997</v>
      </c>
      <c r="AL304" s="162">
        <v>0</v>
      </c>
      <c r="AM304" s="162">
        <v>0</v>
      </c>
      <c r="AN304" s="162">
        <v>0</v>
      </c>
      <c r="AO304" s="162">
        <v>10.679971308715224</v>
      </c>
      <c r="AP304" s="162">
        <v>0</v>
      </c>
      <c r="AQ304" s="162">
        <v>0</v>
      </c>
      <c r="AR304" s="710" t="str">
        <v>1613.par</v>
      </c>
      <c r="AV304" s="82" t="str">
        <v>204,204,0</v>
      </c>
      <c r="AW304" s="947">
        <v>78</v>
      </c>
      <c r="AX304" s="947">
        <v>67.320028691284776</v>
      </c>
      <c r="AY304" s="947">
        <v>10.679971308715224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71"/>
      <c r="N305" s="945"/>
      <c r="O305" s="946"/>
      <c r="Q305" s="162" t="str">
        <f t="shared" si="1088"/>
        <v/>
      </c>
      <c r="R305" s="162" t="str">
        <f t="shared" si="1089"/>
        <v/>
      </c>
      <c r="S305" s="162" t="str">
        <f t="shared" si="1090"/>
        <v/>
      </c>
      <c r="T305" s="162" t="str">
        <f t="shared" si="1091"/>
        <v/>
      </c>
      <c r="U305" s="162" t="str">
        <f t="shared" si="1092"/>
        <v/>
      </c>
      <c r="V305" s="162" t="str">
        <f t="shared" si="1093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94"/>
        <v/>
      </c>
      <c r="Y305" s="75"/>
      <c r="Z305" s="917" t="str">
        <f t="shared" si="1095"/>
        <v/>
      </c>
      <c r="AA305" s="82"/>
      <c r="AB305" s="75"/>
      <c r="AC305" s="75"/>
      <c r="AD305" s="166"/>
      <c r="AE305" s="75">
        <v>2.1280000000000001</v>
      </c>
      <c r="AF305" s="82">
        <v>2</v>
      </c>
      <c r="AG305" s="82">
        <v>1</v>
      </c>
      <c r="AH305" s="82">
        <v>2</v>
      </c>
      <c r="AI305" s="82">
        <v>1.0000000000218279</v>
      </c>
      <c r="AJ305" s="166">
        <v>2.1282100000000002</v>
      </c>
      <c r="AK305" s="82">
        <v>2.1281099999999999</v>
      </c>
      <c r="AL305" s="162">
        <v>0</v>
      </c>
      <c r="AM305" s="162">
        <v>0</v>
      </c>
      <c r="AN305" s="162">
        <v>0</v>
      </c>
      <c r="AO305" s="162">
        <v>7.0697613264663985</v>
      </c>
      <c r="AP305" s="162">
        <v>0</v>
      </c>
      <c r="AQ305" s="162">
        <v>0</v>
      </c>
      <c r="AR305" s="710" t="str">
        <v>1613.par</v>
      </c>
      <c r="AV305" s="82" t="str">
        <v>204,204,0</v>
      </c>
      <c r="AW305" s="947">
        <v>59.199999999999989</v>
      </c>
      <c r="AX305" s="947">
        <v>52.13023867353359</v>
      </c>
      <c r="AY305" s="947">
        <v>7.0697613264663985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3"/>
      <c r="V306" s="975"/>
      <c r="W306" s="199"/>
      <c r="X306" s="199"/>
      <c r="AA306" s="82"/>
      <c r="AB306" s="75"/>
      <c r="AC306" s="75"/>
      <c r="AD306" s="166"/>
      <c r="AE306" s="75">
        <v>2.1219999999999999</v>
      </c>
      <c r="AF306" s="82">
        <v>2</v>
      </c>
      <c r="AG306" s="82">
        <v>1</v>
      </c>
      <c r="AH306" s="82">
        <v>2</v>
      </c>
      <c r="AI306" s="82">
        <v>0.99999999998544808</v>
      </c>
      <c r="AJ306" s="166">
        <v>2.1222099999999999</v>
      </c>
      <c r="AK306" s="82">
        <v>2.1221099999999997</v>
      </c>
      <c r="AL306" s="162">
        <v>0</v>
      </c>
      <c r="AM306" s="162">
        <v>0</v>
      </c>
      <c r="AN306" s="162">
        <v>0</v>
      </c>
      <c r="AO306" s="162">
        <v>3.4657256136569927</v>
      </c>
      <c r="AP306" s="162">
        <v>0</v>
      </c>
      <c r="AQ306" s="162">
        <v>0</v>
      </c>
      <c r="AR306" s="710" t="str">
        <v>1613.par</v>
      </c>
      <c r="AV306" s="82" t="str">
        <v>204,204,0</v>
      </c>
      <c r="AW306" s="947">
        <v>40.300000000000011</v>
      </c>
      <c r="AX306" s="947">
        <v>36.834274386343019</v>
      </c>
      <c r="AY306" s="947">
        <v>3.4657256136569927</v>
      </c>
    </row>
    <row r="307" spans="2:51" x14ac:dyDescent="0.25">
      <c r="Q307" s="139"/>
      <c r="R307" s="973"/>
      <c r="V307" s="975"/>
      <c r="W307" s="199"/>
      <c r="X307" s="199"/>
      <c r="AA307" s="82"/>
      <c r="AB307" s="75"/>
      <c r="AC307" s="75"/>
      <c r="AD307" s="166"/>
      <c r="AE307" s="75">
        <v>2.1160000000000001</v>
      </c>
      <c r="AF307" s="82">
        <v>2</v>
      </c>
      <c r="AG307" s="82">
        <v>1</v>
      </c>
      <c r="AH307" s="82">
        <v>2</v>
      </c>
      <c r="AI307" s="82">
        <v>1.0000000000218279</v>
      </c>
      <c r="AJ307" s="166">
        <v>2.1162100000000001</v>
      </c>
      <c r="AK307" s="82">
        <v>2.1161099999999999</v>
      </c>
      <c r="AL307" s="162">
        <v>0</v>
      </c>
      <c r="AM307" s="162">
        <v>0</v>
      </c>
      <c r="AN307" s="162">
        <v>0</v>
      </c>
      <c r="AO307" s="162">
        <v>-0.13095463878370595</v>
      </c>
      <c r="AP307" s="162">
        <v>0</v>
      </c>
      <c r="AQ307" s="162">
        <v>0</v>
      </c>
      <c r="AR307" s="710" t="str">
        <v>1613.par</v>
      </c>
      <c r="AV307" s="82" t="str">
        <v>204,204,0</v>
      </c>
      <c r="AW307" s="947">
        <v>21.200000000000003</v>
      </c>
      <c r="AX307" s="947">
        <v>21.330954638783709</v>
      </c>
      <c r="AY307" s="947">
        <v>-0.13095463878370595</v>
      </c>
    </row>
    <row r="308" spans="2:51" x14ac:dyDescent="0.25">
      <c r="Q308" s="139"/>
      <c r="R308" s="973"/>
      <c r="V308" s="975"/>
      <c r="W308" s="199"/>
      <c r="X308" s="199"/>
      <c r="AA308" s="82"/>
      <c r="AB308" s="75"/>
      <c r="AC308" s="75"/>
      <c r="AD308" s="166"/>
      <c r="AE308" s="75">
        <v>2.11</v>
      </c>
      <c r="AF308" s="82">
        <v>2</v>
      </c>
      <c r="AG308" s="82">
        <v>1</v>
      </c>
      <c r="AH308" s="82">
        <v>2</v>
      </c>
      <c r="AI308" s="82">
        <v>0.99999999998544808</v>
      </c>
      <c r="AJ308" s="166">
        <v>2.1102099999999999</v>
      </c>
      <c r="AK308" s="82">
        <v>2.1101099999999997</v>
      </c>
      <c r="AL308" s="162">
        <v>0</v>
      </c>
      <c r="AM308" s="162">
        <v>0</v>
      </c>
      <c r="AN308" s="162">
        <v>0</v>
      </c>
      <c r="AO308" s="162">
        <v>-3.7616718774737503</v>
      </c>
      <c r="AP308" s="162">
        <v>0</v>
      </c>
      <c r="AQ308" s="162">
        <v>0</v>
      </c>
      <c r="AR308" s="710" t="str">
        <v>1613.par</v>
      </c>
      <c r="AV308" s="82" t="str">
        <v>204,204,0</v>
      </c>
      <c r="AW308" s="947">
        <v>2.0999999999999943</v>
      </c>
      <c r="AX308" s="947">
        <v>5.8616718774737446</v>
      </c>
      <c r="AY308" s="947">
        <v>-3.7616718774737503</v>
      </c>
    </row>
    <row r="309" spans="2:51" x14ac:dyDescent="0.25">
      <c r="E309" s="983" t="s">
        <v>11</v>
      </c>
      <c r="F309" s="984"/>
      <c r="G309" s="985" t="s">
        <v>10</v>
      </c>
      <c r="H309" s="976" t="s">
        <v>15</v>
      </c>
      <c r="I309" s="977" t="s">
        <v>16</v>
      </c>
      <c r="Q309" s="139"/>
      <c r="R309" s="973"/>
      <c r="V309" s="975"/>
      <c r="W309" s="199"/>
      <c r="X309" s="199"/>
      <c r="AA309" s="82"/>
      <c r="AB309" s="75"/>
      <c r="AC309" s="75"/>
      <c r="AD309" s="166"/>
      <c r="AE309" s="75">
        <v>1.2410000000000001</v>
      </c>
      <c r="AF309" s="82">
        <v>1</v>
      </c>
      <c r="AG309" s="82">
        <v>2</v>
      </c>
      <c r="AH309" s="82">
        <v>2</v>
      </c>
      <c r="AI309" s="82">
        <v>1.0000000000218279</v>
      </c>
      <c r="AJ309" s="166">
        <v>1.2412100000000001</v>
      </c>
      <c r="AK309" s="82">
        <v>1.2411100000000002</v>
      </c>
      <c r="AL309" s="162">
        <v>0</v>
      </c>
      <c r="AM309" s="162">
        <v>0</v>
      </c>
      <c r="AN309" s="162">
        <v>0</v>
      </c>
      <c r="AO309" s="162">
        <v>1.2272479821717752E-5</v>
      </c>
      <c r="AP309" s="162">
        <v>0</v>
      </c>
      <c r="AQ309" s="162">
        <v>0</v>
      </c>
      <c r="AR309" s="710" t="str">
        <v>32193r1.par</v>
      </c>
      <c r="AV309" s="82" t="str">
        <v>255,188,121</v>
      </c>
      <c r="AW309" s="947">
        <v>85</v>
      </c>
      <c r="AX309" s="947">
        <v>84.999987727520178</v>
      </c>
      <c r="AY309" s="947">
        <v>1.2272479821717752E-5</v>
      </c>
    </row>
    <row r="310" spans="2:51" ht="15.75" thickBot="1" x14ac:dyDescent="0.3">
      <c r="E310" s="978" t="s">
        <v>18</v>
      </c>
      <c r="F310" s="979" t="s">
        <v>19</v>
      </c>
      <c r="G310" s="986"/>
      <c r="H310" s="980" t="s">
        <v>26</v>
      </c>
      <c r="I310" s="981" t="s">
        <v>27</v>
      </c>
      <c r="J310" s="31" t="s">
        <v>426</v>
      </c>
      <c r="Q310" s="139"/>
      <c r="R310" s="973"/>
      <c r="V310" s="975"/>
      <c r="W310" s="199"/>
      <c r="X310" s="199"/>
      <c r="AA310" s="82"/>
      <c r="AB310" s="75"/>
      <c r="AC310" s="75"/>
      <c r="AD310" s="166"/>
      <c r="AE310" s="75">
        <v>1.2350000000000001</v>
      </c>
      <c r="AF310" s="82">
        <v>1</v>
      </c>
      <c r="AG310" s="82">
        <v>2</v>
      </c>
      <c r="AH310" s="82">
        <v>2</v>
      </c>
      <c r="AI310" s="82">
        <v>1.0000000000218279</v>
      </c>
      <c r="AJ310" s="166">
        <v>1.2352100000000001</v>
      </c>
      <c r="AK310" s="82">
        <v>1.2351100000000002</v>
      </c>
      <c r="AL310" s="162">
        <v>0</v>
      </c>
      <c r="AM310" s="162">
        <v>0</v>
      </c>
      <c r="AN310" s="162">
        <v>0</v>
      </c>
      <c r="AO310" s="162">
        <v>11.154255004256711</v>
      </c>
      <c r="AP310" s="162">
        <v>0</v>
      </c>
      <c r="AQ310" s="162">
        <v>0</v>
      </c>
      <c r="AR310" s="710" t="str">
        <v>1313.par</v>
      </c>
      <c r="AV310" s="82" t="str">
        <v>255,188,121</v>
      </c>
      <c r="AW310" s="947">
        <v>81</v>
      </c>
      <c r="AX310" s="947">
        <v>69.845744995743289</v>
      </c>
      <c r="AY310" s="947">
        <v>11.154255004256711</v>
      </c>
    </row>
    <row r="311" spans="2:51" ht="15.75" thickTop="1" x14ac:dyDescent="0.25">
      <c r="D311" s="163">
        <v>1.101</v>
      </c>
      <c r="E311">
        <f>INDEX($Q$9:$Q$150,MATCH($D311,$M$9:$M$150,0))</f>
        <v>86.907885491498305</v>
      </c>
      <c r="F311">
        <f>INDEX($R$9:$R$150,MATCH($D311,$M$9:$M$150,0))</f>
        <v>0.34377459072332789</v>
      </c>
      <c r="G311">
        <f>INDEX($S$9:$S$150,MATCH($D311,$M$9:$M$150,0))</f>
        <v>-0.70380373352539238</v>
      </c>
      <c r="H311">
        <f>INDEX($AN$9:$AN$150,MATCH($D311,$M$9:$M$150,0))</f>
        <v>16.347873003628511</v>
      </c>
      <c r="I311">
        <f>INDEX($AO$9:$AO$150,MATCH($D311,$M$9:$M$150,0))</f>
        <v>22.679965146972126</v>
      </c>
      <c r="J311" s="974">
        <v>70</v>
      </c>
      <c r="Q311" s="139"/>
      <c r="R311" s="973"/>
      <c r="V311" s="975"/>
      <c r="W311" s="199"/>
      <c r="X311" s="199"/>
      <c r="AA311" s="82"/>
      <c r="AB311" s="75"/>
      <c r="AC311" s="75"/>
      <c r="AD311" s="166"/>
      <c r="AE311" s="75">
        <v>1.2290000000000001</v>
      </c>
      <c r="AF311" s="82">
        <v>1</v>
      </c>
      <c r="AG311" s="82">
        <v>2</v>
      </c>
      <c r="AH311" s="82">
        <v>2</v>
      </c>
      <c r="AI311" s="82">
        <v>1.0000000000218279</v>
      </c>
      <c r="AJ311" s="166">
        <v>1.2292100000000001</v>
      </c>
      <c r="AK311" s="82">
        <v>1.2291100000000001</v>
      </c>
      <c r="AL311" s="162">
        <v>0</v>
      </c>
      <c r="AM311" s="162">
        <v>0</v>
      </c>
      <c r="AN311" s="162">
        <v>0</v>
      </c>
      <c r="AO311" s="162">
        <v>7.7308828931205866</v>
      </c>
      <c r="AP311" s="162">
        <v>0</v>
      </c>
      <c r="AQ311" s="162">
        <v>0</v>
      </c>
      <c r="AR311" s="710" t="str">
        <v>1313.par</v>
      </c>
      <c r="AV311" s="82" t="str">
        <v>255,188,121</v>
      </c>
      <c r="AW311" s="947">
        <v>62.400000000000006</v>
      </c>
      <c r="AX311" s="947">
        <v>54.669117106879419</v>
      </c>
      <c r="AY311" s="947">
        <v>7.7308828931205866</v>
      </c>
    </row>
    <row r="312" spans="2:51" x14ac:dyDescent="0.25">
      <c r="D312" s="164">
        <v>1.1040000000000001</v>
      </c>
      <c r="E312">
        <f t="shared" ref="E312:E357" si="1096">INDEX($Q$9:$Q$150,MATCH($D312,$M$9:$M$150,0))</f>
        <v>88.938712318473435</v>
      </c>
      <c r="F312">
        <f t="shared" ref="F312:F357" si="1097">INDEX($R$9:$R$150,MATCH($D312,$M$9:$M$150,0))</f>
        <v>1.0379728322122419</v>
      </c>
      <c r="G312">
        <f t="shared" ref="G312:G357" si="1098">INDEX($S$9:$S$150,MATCH($D312,$M$9:$M$150,0))</f>
        <v>-0.44870770891536865</v>
      </c>
      <c r="H312">
        <f t="shared" ref="H312:H357" si="1099">INDEX($AN$9:$AN$150,MATCH($D312,$M$9:$M$150,0))</f>
        <v>6.6778445705640328</v>
      </c>
      <c r="I312">
        <f t="shared" ref="I312:I357" si="1100">INDEX($AO$9:$AO$150,MATCH($D312,$M$9:$M$150,0))</f>
        <v>16.089568715731136</v>
      </c>
      <c r="J312" s="974">
        <v>70</v>
      </c>
      <c r="Q312" s="139"/>
      <c r="R312" s="973"/>
      <c r="V312" s="975"/>
      <c r="W312" s="199"/>
      <c r="X312" s="199"/>
      <c r="AA312" s="82"/>
      <c r="AB312" s="75"/>
      <c r="AC312" s="75"/>
      <c r="AD312" s="166"/>
      <c r="AE312" s="75">
        <v>1.2230000000000001</v>
      </c>
      <c r="AF312" s="82">
        <v>1</v>
      </c>
      <c r="AG312" s="82">
        <v>2</v>
      </c>
      <c r="AH312" s="82">
        <v>2</v>
      </c>
      <c r="AI312" s="82">
        <v>1.0000000000218279</v>
      </c>
      <c r="AJ312" s="166">
        <v>1.2232100000000001</v>
      </c>
      <c r="AK312" s="82">
        <v>1.2231100000000001</v>
      </c>
      <c r="AL312" s="162">
        <v>0</v>
      </c>
      <c r="AM312" s="162">
        <v>0</v>
      </c>
      <c r="AN312" s="162">
        <v>0</v>
      </c>
      <c r="AO312" s="162">
        <v>4.003222708769222</v>
      </c>
      <c r="AP312" s="162">
        <v>0</v>
      </c>
      <c r="AQ312" s="162">
        <v>0</v>
      </c>
      <c r="AR312" s="710" t="str">
        <v>1313.par</v>
      </c>
      <c r="AV312" s="82" t="str">
        <v>255,188,121</v>
      </c>
      <c r="AW312" s="947">
        <v>43.400000000000006</v>
      </c>
      <c r="AX312" s="947">
        <v>39.396777291230784</v>
      </c>
      <c r="AY312" s="947">
        <v>4.003222708769222</v>
      </c>
    </row>
    <row r="313" spans="2:51" x14ac:dyDescent="0.25">
      <c r="D313" s="164">
        <v>1.107</v>
      </c>
      <c r="E313">
        <f t="shared" si="1096"/>
        <v>89.364522600252798</v>
      </c>
      <c r="F313">
        <f t="shared" si="1097"/>
        <v>1.7334170716054855</v>
      </c>
      <c r="G313">
        <f t="shared" si="1098"/>
        <v>-0.21191399057648458</v>
      </c>
      <c r="H313">
        <f t="shared" si="1099"/>
        <v>2.2150241492923901</v>
      </c>
      <c r="I313">
        <f t="shared" si="1100"/>
        <v>16.012280643730861</v>
      </c>
      <c r="J313" s="974">
        <v>76.8</v>
      </c>
      <c r="Q313" s="139"/>
      <c r="R313" s="973"/>
      <c r="V313" s="975"/>
      <c r="W313" s="199"/>
      <c r="X313" s="199"/>
      <c r="AA313" s="82"/>
      <c r="AB313" s="75"/>
      <c r="AC313" s="75"/>
      <c r="AD313" s="166"/>
      <c r="AE313" s="75">
        <v>1.2170000000000001</v>
      </c>
      <c r="AF313" s="82">
        <v>1</v>
      </c>
      <c r="AG313" s="82">
        <v>2</v>
      </c>
      <c r="AH313" s="82">
        <v>2</v>
      </c>
      <c r="AI313" s="82">
        <v>1.000000000003638</v>
      </c>
      <c r="AJ313" s="166">
        <v>1.2172100000000001</v>
      </c>
      <c r="AK313" s="82">
        <v>1.2171100000000001</v>
      </c>
      <c r="AL313" s="162">
        <v>0</v>
      </c>
      <c r="AM313" s="162">
        <v>0</v>
      </c>
      <c r="AN313" s="162">
        <v>0</v>
      </c>
      <c r="AO313" s="162">
        <v>0.35954544606591554</v>
      </c>
      <c r="AP313" s="162">
        <v>0</v>
      </c>
      <c r="AQ313" s="162">
        <v>0</v>
      </c>
      <c r="AR313" s="710" t="str">
        <v>1313.par</v>
      </c>
      <c r="AV313" s="82" t="str">
        <v>255,188,121</v>
      </c>
      <c r="AW313" s="947">
        <v>24.299999999999997</v>
      </c>
      <c r="AX313" s="947">
        <v>23.940454553934082</v>
      </c>
      <c r="AY313" s="947">
        <v>0.35954544606591554</v>
      </c>
    </row>
    <row r="314" spans="2:51" x14ac:dyDescent="0.25">
      <c r="D314" s="164">
        <v>1.111</v>
      </c>
      <c r="E314">
        <f t="shared" si="1096"/>
        <v>89.461808079781534</v>
      </c>
      <c r="F314">
        <f t="shared" si="1097"/>
        <v>2.4577327467561765</v>
      </c>
      <c r="G314">
        <f t="shared" si="1098"/>
        <v>-0.16172993742794287</v>
      </c>
      <c r="H314">
        <f t="shared" si="1099"/>
        <v>-8.4534739187834553</v>
      </c>
      <c r="I314">
        <f t="shared" si="1100"/>
        <v>15.928124578379785</v>
      </c>
      <c r="J314" s="974">
        <v>95.3</v>
      </c>
      <c r="Q314" s="139"/>
      <c r="R314" s="973"/>
      <c r="V314" s="975"/>
      <c r="W314" s="199"/>
      <c r="X314" s="199"/>
      <c r="AA314" s="82"/>
      <c r="AB314" s="75"/>
      <c r="AC314" s="75"/>
      <c r="AD314" s="166"/>
      <c r="AE314" s="75">
        <v>1.2110000000000001</v>
      </c>
      <c r="AF314" s="82">
        <v>1</v>
      </c>
      <c r="AG314" s="82">
        <v>2</v>
      </c>
      <c r="AH314" s="82">
        <v>2</v>
      </c>
      <c r="AI314" s="82">
        <v>1.000000000003638</v>
      </c>
      <c r="AJ314" s="166">
        <v>1.2112100000000001</v>
      </c>
      <c r="AK314" s="82">
        <v>1.2111100000000001</v>
      </c>
      <c r="AL314" s="162">
        <v>0</v>
      </c>
      <c r="AM314" s="162">
        <v>0</v>
      </c>
      <c r="AN314" s="162">
        <v>0</v>
      </c>
      <c r="AO314" s="162">
        <v>-3.1563376107190741</v>
      </c>
      <c r="AP314" s="162">
        <v>0</v>
      </c>
      <c r="AQ314" s="162">
        <v>0</v>
      </c>
      <c r="AR314" s="710" t="str">
        <v>1310.par</v>
      </c>
      <c r="AV314" s="82" t="str">
        <v>255,188,121</v>
      </c>
      <c r="AW314" s="947">
        <v>5.2999999999999972</v>
      </c>
      <c r="AX314" s="947">
        <v>8.4563376107190713</v>
      </c>
      <c r="AY314" s="947">
        <v>-3.1563376107190741</v>
      </c>
    </row>
    <row r="315" spans="2:51" x14ac:dyDescent="0.25">
      <c r="D315" s="164">
        <v>1.117</v>
      </c>
      <c r="E315">
        <f t="shared" si="1096"/>
        <v>88.934242576794219</v>
      </c>
      <c r="F315">
        <f t="shared" si="1097"/>
        <v>3.1767679340595749</v>
      </c>
      <c r="G315">
        <f t="shared" si="1098"/>
        <v>-0.3567684232549026</v>
      </c>
      <c r="H315">
        <f t="shared" si="1099"/>
        <v>-23.936756233692545</v>
      </c>
      <c r="I315">
        <f t="shared" si="1100"/>
        <v>16.41677902573819</v>
      </c>
      <c r="J315" s="974">
        <v>114.3</v>
      </c>
      <c r="Q315" s="139"/>
      <c r="R315" s="973"/>
      <c r="V315" s="975"/>
      <c r="W315" s="199"/>
      <c r="X315" s="199"/>
      <c r="AA315" s="82"/>
      <c r="AB315" s="75"/>
      <c r="AC315" s="75"/>
      <c r="AD315" s="166"/>
      <c r="AE315" s="75">
        <v>1.141</v>
      </c>
      <c r="AF315" s="82">
        <v>1</v>
      </c>
      <c r="AG315" s="82">
        <v>1</v>
      </c>
      <c r="AH315" s="82">
        <v>2</v>
      </c>
      <c r="AI315" s="82">
        <v>1.000000000003638</v>
      </c>
      <c r="AJ315" s="166">
        <v>1.1412100000000001</v>
      </c>
      <c r="AK315" s="82">
        <v>1.1411100000000001</v>
      </c>
      <c r="AL315" s="162">
        <v>0</v>
      </c>
      <c r="AM315" s="162">
        <v>0</v>
      </c>
      <c r="AN315" s="162">
        <v>0</v>
      </c>
      <c r="AO315" s="162">
        <v>3.226447474649774E-2</v>
      </c>
      <c r="AP315" s="162">
        <v>0</v>
      </c>
      <c r="AQ315" s="162">
        <v>0</v>
      </c>
      <c r="AR315" s="710" t="str">
        <v>1613.par</v>
      </c>
      <c r="AV315" s="82" t="str">
        <v>255,127,0</v>
      </c>
      <c r="AW315" s="947">
        <v>85</v>
      </c>
      <c r="AX315" s="947">
        <v>84.967735525253502</v>
      </c>
      <c r="AY315" s="947">
        <v>3.226447474649774E-2</v>
      </c>
    </row>
    <row r="316" spans="2:51" x14ac:dyDescent="0.25">
      <c r="D316" s="164">
        <v>1.123</v>
      </c>
      <c r="E316">
        <f t="shared" si="1096"/>
        <v>88.206088124192405</v>
      </c>
      <c r="F316">
        <f t="shared" si="1097"/>
        <v>3.7946894509153921</v>
      </c>
      <c r="G316">
        <f t="shared" si="1098"/>
        <v>-0.77352457944554254</v>
      </c>
      <c r="H316">
        <f t="shared" si="1099"/>
        <v>-39.394185673437661</v>
      </c>
      <c r="I316">
        <f t="shared" si="1100"/>
        <v>19.738648552093483</v>
      </c>
      <c r="J316" s="974">
        <v>133.4</v>
      </c>
      <c r="Q316" s="139"/>
      <c r="R316" s="973"/>
      <c r="V316" s="975"/>
      <c r="W316" s="199"/>
      <c r="X316" s="199"/>
      <c r="AA316" s="82"/>
      <c r="AB316" s="75"/>
      <c r="AC316" s="75"/>
      <c r="AD316" s="166"/>
      <c r="AE316" s="75">
        <v>1.135</v>
      </c>
      <c r="AF316" s="82">
        <v>1</v>
      </c>
      <c r="AG316" s="82">
        <v>1</v>
      </c>
      <c r="AH316" s="82">
        <v>2</v>
      </c>
      <c r="AI316" s="82">
        <v>1.000000000003638</v>
      </c>
      <c r="AJ316" s="166">
        <v>1.1352100000000001</v>
      </c>
      <c r="AK316" s="82">
        <v>1.1351100000000001</v>
      </c>
      <c r="AL316" s="162">
        <v>0</v>
      </c>
      <c r="AM316" s="162">
        <v>0</v>
      </c>
      <c r="AN316" s="162">
        <v>0</v>
      </c>
      <c r="AO316" s="162">
        <v>11.154991649722874</v>
      </c>
      <c r="AP316" s="162">
        <v>0</v>
      </c>
      <c r="AQ316" s="162">
        <v>0</v>
      </c>
      <c r="AR316" s="710" t="str">
        <v>1613 Ripper.par</v>
      </c>
      <c r="AV316" s="82" t="str">
        <v>255,127,0</v>
      </c>
      <c r="AW316" s="947">
        <v>81</v>
      </c>
      <c r="AX316" s="947">
        <v>69.845008350277126</v>
      </c>
      <c r="AY316" s="947">
        <v>11.154991649722874</v>
      </c>
    </row>
    <row r="317" spans="2:51" x14ac:dyDescent="0.25">
      <c r="D317" s="164">
        <v>1.129</v>
      </c>
      <c r="E317">
        <f t="shared" si="1096"/>
        <v>87.542882158054923</v>
      </c>
      <c r="F317">
        <f t="shared" si="1097"/>
        <v>4.2595903691737202</v>
      </c>
      <c r="G317">
        <f t="shared" si="1098"/>
        <v>-1.356441988823057</v>
      </c>
      <c r="H317">
        <f t="shared" si="1099"/>
        <v>-54.667570340259566</v>
      </c>
      <c r="I317">
        <f t="shared" si="1100"/>
        <v>23.077976777541668</v>
      </c>
      <c r="J317" s="974">
        <v>152.4</v>
      </c>
      <c r="Q317" s="139"/>
      <c r="R317" s="973"/>
      <c r="V317" s="975"/>
      <c r="W317" s="199"/>
      <c r="X317" s="199"/>
      <c r="AA317" s="82"/>
      <c r="AB317" s="75"/>
      <c r="AC317" s="75"/>
      <c r="AD317" s="166"/>
      <c r="AE317" s="75">
        <v>1.129</v>
      </c>
      <c r="AF317" s="82">
        <v>1</v>
      </c>
      <c r="AG317" s="82">
        <v>1</v>
      </c>
      <c r="AH317" s="82">
        <v>2</v>
      </c>
      <c r="AI317" s="82">
        <v>1.000000000003638</v>
      </c>
      <c r="AJ317" s="166">
        <v>1.12921</v>
      </c>
      <c r="AK317" s="82">
        <v>1.1291100000000001</v>
      </c>
      <c r="AL317" s="162">
        <v>0</v>
      </c>
      <c r="AM317" s="162">
        <v>0</v>
      </c>
      <c r="AN317" s="162">
        <v>0</v>
      </c>
      <c r="AO317" s="162">
        <v>7.7324296597404398</v>
      </c>
      <c r="AP317" s="162">
        <v>0</v>
      </c>
      <c r="AQ317" s="162">
        <v>0</v>
      </c>
      <c r="AR317" s="710" t="str">
        <v>1613 Ripper.par</v>
      </c>
      <c r="AV317" s="82" t="str">
        <v>255,127,0</v>
      </c>
      <c r="AW317" s="947">
        <v>62.400000000000006</v>
      </c>
      <c r="AX317" s="947">
        <v>54.667570340259566</v>
      </c>
      <c r="AY317" s="947">
        <v>7.7324296597404398</v>
      </c>
    </row>
    <row r="318" spans="2:51" x14ac:dyDescent="0.25">
      <c r="D318" s="164">
        <v>1.135</v>
      </c>
      <c r="E318">
        <f t="shared" si="1096"/>
        <v>87.114591113835786</v>
      </c>
      <c r="F318">
        <f t="shared" si="1097"/>
        <v>4.5440357805760314</v>
      </c>
      <c r="G318">
        <f t="shared" si="1098"/>
        <v>-2.0457794456107936</v>
      </c>
      <c r="H318">
        <f t="shared" si="1099"/>
        <v>-69.845008350277126</v>
      </c>
      <c r="I318">
        <f t="shared" si="1100"/>
        <v>26.428280775048751</v>
      </c>
      <c r="J318" s="974">
        <v>171</v>
      </c>
      <c r="Q318" s="139"/>
      <c r="R318" s="973"/>
      <c r="V318" s="975"/>
      <c r="W318" s="199"/>
      <c r="X318" s="199"/>
      <c r="AA318" s="82"/>
      <c r="AB318" s="75"/>
      <c r="AC318" s="75"/>
      <c r="AD318" s="166"/>
      <c r="AE318" s="75">
        <v>1.123</v>
      </c>
      <c r="AF318" s="82">
        <v>1</v>
      </c>
      <c r="AG318" s="82">
        <v>1</v>
      </c>
      <c r="AH318" s="82">
        <v>2</v>
      </c>
      <c r="AI318" s="82">
        <v>1.000000000003638</v>
      </c>
      <c r="AJ318" s="166">
        <v>1.12321</v>
      </c>
      <c r="AK318" s="82">
        <v>1.1231100000000001</v>
      </c>
      <c r="AL318" s="162">
        <v>0</v>
      </c>
      <c r="AM318" s="162">
        <v>0</v>
      </c>
      <c r="AN318" s="162">
        <v>0</v>
      </c>
      <c r="AO318" s="162">
        <v>4.0058143265623443</v>
      </c>
      <c r="AP318" s="162">
        <v>0</v>
      </c>
      <c r="AQ318" s="162">
        <v>0</v>
      </c>
      <c r="AR318" s="710" t="str">
        <v>1613 Ripper.par</v>
      </c>
      <c r="AV318" s="82" t="str">
        <v>255,127,0</v>
      </c>
      <c r="AW318" s="947">
        <v>43.400000000000006</v>
      </c>
      <c r="AX318" s="947">
        <v>39.394185673437661</v>
      </c>
      <c r="AY318" s="947">
        <v>4.0058143265623443</v>
      </c>
    </row>
    <row r="319" spans="2:51" x14ac:dyDescent="0.25">
      <c r="D319" s="164">
        <v>1.141</v>
      </c>
      <c r="E319">
        <f t="shared" si="1096"/>
        <v>86.898023155440939</v>
      </c>
      <c r="F319">
        <f t="shared" si="1097"/>
        <v>4.6815983957116201</v>
      </c>
      <c r="G319">
        <f t="shared" si="1098"/>
        <v>-2.8419886990595646</v>
      </c>
      <c r="H319">
        <f t="shared" si="1099"/>
        <v>-84.967735525253502</v>
      </c>
      <c r="I319">
        <f t="shared" si="1100"/>
        <v>29.788825501047704</v>
      </c>
      <c r="J319" s="974">
        <v>175</v>
      </c>
      <c r="Q319" s="139"/>
      <c r="R319" s="973"/>
      <c r="V319" s="975"/>
      <c r="W319" s="199"/>
      <c r="X319" s="199"/>
      <c r="AA319" s="82"/>
      <c r="AB319" s="75"/>
      <c r="AC319" s="75"/>
      <c r="AD319" s="166"/>
      <c r="AE319" s="75">
        <v>1.117</v>
      </c>
      <c r="AF319" s="82">
        <v>1</v>
      </c>
      <c r="AG319" s="82">
        <v>1</v>
      </c>
      <c r="AH319" s="82">
        <v>2</v>
      </c>
      <c r="AI319" s="82">
        <v>1.000000000003638</v>
      </c>
      <c r="AJ319" s="166">
        <v>1.11721</v>
      </c>
      <c r="AK319" s="82">
        <v>1.11711</v>
      </c>
      <c r="AL319" s="162">
        <v>0</v>
      </c>
      <c r="AM319" s="162">
        <v>0</v>
      </c>
      <c r="AN319" s="162">
        <v>0</v>
      </c>
      <c r="AO319" s="162">
        <v>0.36324376630745192</v>
      </c>
      <c r="AP319" s="162">
        <v>0</v>
      </c>
      <c r="AQ319" s="162">
        <v>0</v>
      </c>
      <c r="AR319" s="710" t="str">
        <v>1613 Ripper.par</v>
      </c>
      <c r="AV319" s="82" t="str">
        <v>255,127,0</v>
      </c>
      <c r="AW319" s="947">
        <v>24.299999999999997</v>
      </c>
      <c r="AX319" s="947">
        <v>23.936756233692545</v>
      </c>
      <c r="AY319" s="947">
        <v>0.36324376630745192</v>
      </c>
    </row>
    <row r="320" spans="2:51" x14ac:dyDescent="0.25">
      <c r="D320" s="164">
        <v>2.11</v>
      </c>
      <c r="E320">
        <f t="shared" si="1096"/>
        <v>29.487837008225782</v>
      </c>
      <c r="F320">
        <f t="shared" si="1097"/>
        <v>2.3331737288918646</v>
      </c>
      <c r="G320">
        <f t="shared" si="1098"/>
        <v>-0.15336647542755844</v>
      </c>
      <c r="H320">
        <f t="shared" si="1099"/>
        <v>-5.8616718774737446</v>
      </c>
      <c r="I320">
        <f t="shared" si="1100"/>
        <v>15.945063753204032</v>
      </c>
      <c r="J320" s="974">
        <v>92.1</v>
      </c>
      <c r="Q320" s="139"/>
      <c r="R320" s="973"/>
      <c r="V320" s="975"/>
      <c r="W320" s="199"/>
      <c r="X320" s="199"/>
      <c r="AA320" s="82"/>
      <c r="AB320" s="75"/>
      <c r="AC320" s="75"/>
      <c r="AD320" s="166"/>
      <c r="AE320" s="75">
        <v>1.111</v>
      </c>
      <c r="AF320" s="82">
        <v>1</v>
      </c>
      <c r="AG320" s="82">
        <v>1</v>
      </c>
      <c r="AH320" s="82">
        <v>2</v>
      </c>
      <c r="AI320" s="82">
        <v>1.000000000003638</v>
      </c>
      <c r="AJ320" s="166">
        <v>1.11121</v>
      </c>
      <c r="AK320" s="82">
        <v>1.11111</v>
      </c>
      <c r="AL320" s="162">
        <v>0</v>
      </c>
      <c r="AM320" s="162">
        <v>0</v>
      </c>
      <c r="AN320" s="162">
        <v>0</v>
      </c>
      <c r="AO320" s="162">
        <v>-3.1534739187834582</v>
      </c>
      <c r="AP320" s="162">
        <v>0</v>
      </c>
      <c r="AQ320" s="162">
        <v>0</v>
      </c>
      <c r="AR320" s="710" t="str">
        <v>1613 Ripper.par</v>
      </c>
      <c r="AV320" s="82" t="str">
        <v>255,127,0</v>
      </c>
      <c r="AW320" s="947">
        <v>5.2999999999999972</v>
      </c>
      <c r="AX320" s="947">
        <v>8.4534739187834553</v>
      </c>
      <c r="AY320" s="947">
        <v>-3.1534739187834582</v>
      </c>
    </row>
    <row r="321" spans="4:51" x14ac:dyDescent="0.25">
      <c r="D321" s="164">
        <v>2.1160000000000001</v>
      </c>
      <c r="E321">
        <f t="shared" si="1096"/>
        <v>29.050234072905745</v>
      </c>
      <c r="F321">
        <f t="shared" si="1097"/>
        <v>3.0621691990646474</v>
      </c>
      <c r="G321">
        <f t="shared" si="1098"/>
        <v>-0.30749493712069764</v>
      </c>
      <c r="H321">
        <f t="shared" si="1099"/>
        <v>-21.330954638783709</v>
      </c>
      <c r="I321">
        <f t="shared" si="1100"/>
        <v>15.865725674112454</v>
      </c>
      <c r="J321" s="974">
        <v>111.2</v>
      </c>
      <c r="Q321" s="139"/>
      <c r="R321" s="973"/>
      <c r="V321" s="975"/>
      <c r="W321" s="199"/>
      <c r="X321" s="199"/>
      <c r="AA321" s="82"/>
      <c r="AB321" s="75"/>
      <c r="AC321" s="75"/>
      <c r="AD321" s="166"/>
      <c r="AE321" s="75">
        <v>1.107</v>
      </c>
      <c r="AF321" s="82">
        <v>1</v>
      </c>
      <c r="AG321" s="82">
        <v>1</v>
      </c>
      <c r="AH321" s="82">
        <v>2</v>
      </c>
      <c r="AI321" s="82">
        <v>1.000000000003638</v>
      </c>
      <c r="AJ321" s="166">
        <v>1.10721</v>
      </c>
      <c r="AK321" s="82">
        <v>1.10711</v>
      </c>
      <c r="AL321" s="162">
        <v>0</v>
      </c>
      <c r="AM321" s="162">
        <v>0</v>
      </c>
      <c r="AN321" s="162">
        <v>0</v>
      </c>
      <c r="AO321" s="162">
        <v>-10.984975850707613</v>
      </c>
      <c r="AP321" s="162">
        <v>0</v>
      </c>
      <c r="AQ321" s="162">
        <v>0</v>
      </c>
      <c r="AR321" s="710" t="str">
        <v>1613.par</v>
      </c>
      <c r="AV321" s="82" t="str">
        <v>255,127,0</v>
      </c>
      <c r="AW321" s="947">
        <v>-13.200000000000003</v>
      </c>
      <c r="AX321" s="947">
        <v>-2.2150241492923901</v>
      </c>
      <c r="AY321" s="947">
        <v>-10.984975850707613</v>
      </c>
    </row>
    <row r="322" spans="4:51" x14ac:dyDescent="0.25">
      <c r="D322" s="164">
        <v>2.1219999999999999</v>
      </c>
      <c r="E322">
        <f t="shared" si="1096"/>
        <v>28.327866816440107</v>
      </c>
      <c r="F322">
        <f t="shared" si="1097"/>
        <v>3.7013343299864774</v>
      </c>
      <c r="G322">
        <f t="shared" si="1098"/>
        <v>-0.69096410868710267</v>
      </c>
      <c r="H322">
        <f t="shared" si="1099"/>
        <v>-36.834274386343019</v>
      </c>
      <c r="I322">
        <f t="shared" si="1100"/>
        <v>19.183527167538802</v>
      </c>
      <c r="J322" s="974">
        <v>130.30000000000001</v>
      </c>
      <c r="Q322" s="139"/>
      <c r="R322" s="973"/>
      <c r="V322" s="975"/>
      <c r="W322" s="199"/>
      <c r="X322" s="199"/>
      <c r="AA322" s="82"/>
      <c r="AB322" s="75"/>
      <c r="AC322" s="75"/>
      <c r="AD322" s="166"/>
      <c r="AE322" s="75">
        <v>1.1040000000000001</v>
      </c>
      <c r="AF322" s="82">
        <v>1</v>
      </c>
      <c r="AG322" s="82">
        <v>1</v>
      </c>
      <c r="AH322" s="82">
        <v>2</v>
      </c>
      <c r="AI322" s="82">
        <v>1.0000000000218279</v>
      </c>
      <c r="AJ322" s="166">
        <v>1.1042100000000001</v>
      </c>
      <c r="AK322" s="82">
        <v>1.1041100000000001</v>
      </c>
      <c r="AL322" s="162">
        <v>0</v>
      </c>
      <c r="AM322" s="162">
        <v>0</v>
      </c>
      <c r="AN322" s="162">
        <v>0</v>
      </c>
      <c r="AO322" s="162">
        <v>-13.322155429435966</v>
      </c>
      <c r="AP322" s="162">
        <v>0</v>
      </c>
      <c r="AQ322" s="162">
        <v>0</v>
      </c>
      <c r="AR322" s="710" t="str">
        <v>1613.par</v>
      </c>
      <c r="AV322" s="82" t="str">
        <v>255,127,0</v>
      </c>
      <c r="AW322" s="947">
        <v>-20</v>
      </c>
      <c r="AX322" s="947">
        <v>-6.6778445705640328</v>
      </c>
      <c r="AY322" s="947">
        <v>-13.322155429435966</v>
      </c>
    </row>
    <row r="323" spans="4:51" x14ac:dyDescent="0.25">
      <c r="D323" s="164">
        <v>2.1280000000000001</v>
      </c>
      <c r="E323">
        <f t="shared" si="1096"/>
        <v>27.647938900603901</v>
      </c>
      <c r="F323">
        <f t="shared" si="1097"/>
        <v>4.1941376048886463</v>
      </c>
      <c r="G323">
        <f t="shared" si="1098"/>
        <v>-1.2503099285649519</v>
      </c>
      <c r="H323">
        <f t="shared" si="1099"/>
        <v>-52.13023867353359</v>
      </c>
      <c r="I323">
        <f t="shared" si="1100"/>
        <v>22.520548757886122</v>
      </c>
      <c r="J323" s="974">
        <v>149.19999999999999</v>
      </c>
      <c r="Q323" s="139"/>
      <c r="R323" s="973"/>
      <c r="V323" s="975"/>
      <c r="W323" s="199"/>
      <c r="X323" s="199"/>
      <c r="AA323" s="82"/>
      <c r="AB323" s="75"/>
      <c r="AC323" s="75"/>
      <c r="AD323" s="166"/>
      <c r="AE323" s="75">
        <v>1.101</v>
      </c>
      <c r="AF323" s="82">
        <v>1</v>
      </c>
      <c r="AG323" s="82">
        <v>1</v>
      </c>
      <c r="AH323" s="82">
        <v>2</v>
      </c>
      <c r="AI323" s="82">
        <v>1.000000000003638</v>
      </c>
      <c r="AJ323" s="166">
        <v>1.10121</v>
      </c>
      <c r="AK323" s="82">
        <v>1.10111</v>
      </c>
      <c r="AL323" s="162">
        <v>0</v>
      </c>
      <c r="AM323" s="162">
        <v>0</v>
      </c>
      <c r="AN323" s="162">
        <v>0</v>
      </c>
      <c r="AO323" s="162">
        <v>-3.6521269963714893</v>
      </c>
      <c r="AP323" s="162">
        <v>0</v>
      </c>
      <c r="AQ323" s="162">
        <v>0</v>
      </c>
      <c r="AR323" s="710" t="str">
        <v>1613.par</v>
      </c>
      <c r="AV323" s="82" t="str">
        <v>255,127,0</v>
      </c>
      <c r="AW323" s="947">
        <v>-20</v>
      </c>
      <c r="AX323" s="947">
        <v>-16.347873003628511</v>
      </c>
      <c r="AY323" s="947">
        <v>-3.6521269963714893</v>
      </c>
    </row>
    <row r="324" spans="4:51" x14ac:dyDescent="0.25">
      <c r="D324" s="164">
        <v>2.1339999999999999</v>
      </c>
      <c r="E324">
        <f t="shared" si="1096"/>
        <v>27.171730854549004</v>
      </c>
      <c r="F324">
        <f t="shared" si="1097"/>
        <v>4.5097398089512915</v>
      </c>
      <c r="G324">
        <f t="shared" si="1098"/>
        <v>-1.925876347656984</v>
      </c>
      <c r="H324">
        <f t="shared" si="1099"/>
        <v>-67.320028691284776</v>
      </c>
      <c r="I324">
        <f t="shared" si="1100"/>
        <v>25.869275744657813</v>
      </c>
      <c r="J324" s="974">
        <v>168</v>
      </c>
      <c r="Q324" s="139"/>
      <c r="R324" s="973"/>
      <c r="V324" s="975"/>
      <c r="W324" s="199"/>
      <c r="X324" s="199"/>
      <c r="AA324" s="82"/>
      <c r="AB324" s="75"/>
      <c r="AC324" s="75"/>
      <c r="AD324" s="166"/>
      <c r="AE324" s="75">
        <v>6.2439999999999998</v>
      </c>
      <c r="AF324" s="82">
        <v>6</v>
      </c>
      <c r="AG324" s="82">
        <v>2</v>
      </c>
      <c r="AH324" s="82">
        <v>1</v>
      </c>
      <c r="AI324" s="82">
        <v>1.9999999999708962</v>
      </c>
      <c r="AJ324" s="166">
        <v>6.2441199999999997</v>
      </c>
      <c r="AK324" s="82" t="str">
        <v>Base</v>
      </c>
      <c r="AL324" s="162">
        <v>-17.25</v>
      </c>
      <c r="AM324" s="162">
        <v>-4.667253902360132</v>
      </c>
      <c r="AN324" s="162">
        <v>-3.2856000854305516</v>
      </c>
      <c r="AO324" s="162">
        <v>84.999987727520207</v>
      </c>
      <c r="AP324" s="162">
        <v>0</v>
      </c>
      <c r="AQ324" s="162">
        <v>0</v>
      </c>
      <c r="AR324" s="710" t="str">
        <v>32193r1.par</v>
      </c>
      <c r="AV324" s="82" t="str">
        <v>188,121,255</v>
      </c>
      <c r="AW324" s="947">
        <v>85</v>
      </c>
      <c r="AX324" s="947">
        <v>84.999987727520207</v>
      </c>
      <c r="AY324" s="947">
        <v>0</v>
      </c>
    </row>
    <row r="325" spans="4:51" x14ac:dyDescent="0.25">
      <c r="D325" s="164">
        <v>2.14</v>
      </c>
      <c r="E325">
        <f t="shared" si="1096"/>
        <v>26.974637452447411</v>
      </c>
      <c r="F325">
        <f t="shared" si="1097"/>
        <v>4.6347146079159982</v>
      </c>
      <c r="G325">
        <f t="shared" si="1098"/>
        <v>-2.660899149914485</v>
      </c>
      <c r="H325">
        <f t="shared" si="1099"/>
        <v>-82.449795298402833</v>
      </c>
      <c r="I325">
        <f t="shared" si="1100"/>
        <v>29.226525862122337</v>
      </c>
      <c r="J325" s="974">
        <v>175</v>
      </c>
      <c r="Q325" s="139"/>
      <c r="R325" s="973"/>
      <c r="V325" s="975"/>
      <c r="W325" s="199"/>
      <c r="X325" s="199"/>
      <c r="AA325" s="82"/>
      <c r="AB325" s="75"/>
      <c r="AC325" s="75"/>
      <c r="AD325" s="166"/>
      <c r="AE325" s="75">
        <v>6.2380000000000004</v>
      </c>
      <c r="AF325" s="82">
        <v>6</v>
      </c>
      <c r="AG325" s="82">
        <v>2</v>
      </c>
      <c r="AH325" s="82">
        <v>1</v>
      </c>
      <c r="AI325" s="82">
        <v>2.0000000000436557</v>
      </c>
      <c r="AJ325" s="166">
        <v>6.2381200000000003</v>
      </c>
      <c r="AK325" s="82" t="str">
        <v>Base</v>
      </c>
      <c r="AL325" s="162">
        <v>-17.25</v>
      </c>
      <c r="AM325" s="162">
        <v>-4.6048970092467663</v>
      </c>
      <c r="AN325" s="162">
        <v>-2.4829633784442775</v>
      </c>
      <c r="AO325" s="162">
        <v>84.999987727520178</v>
      </c>
      <c r="AP325" s="162">
        <v>0</v>
      </c>
      <c r="AQ325" s="162">
        <v>0</v>
      </c>
      <c r="AR325" s="710" t="str">
        <v>32193r1.par</v>
      </c>
      <c r="AV325" s="82" t="str">
        <v>188,121,255</v>
      </c>
      <c r="AW325" s="947">
        <v>85</v>
      </c>
      <c r="AX325" s="947">
        <v>84.999987727520178</v>
      </c>
      <c r="AY325" s="947">
        <v>0</v>
      </c>
    </row>
    <row r="326" spans="4:51" x14ac:dyDescent="0.25">
      <c r="D326" s="164">
        <v>2.1459999999999999</v>
      </c>
      <c r="E326">
        <f t="shared" si="1096"/>
        <v>26.897979840806304</v>
      </c>
      <c r="F326">
        <f t="shared" si="1097"/>
        <v>4.6815983957116192</v>
      </c>
      <c r="G326">
        <f t="shared" si="1098"/>
        <v>-3.4669924690766205</v>
      </c>
      <c r="H326">
        <f t="shared" si="1099"/>
        <v>-84.967735525253531</v>
      </c>
      <c r="I326">
        <f t="shared" si="1100"/>
        <v>29.788825501047729</v>
      </c>
      <c r="J326" s="974">
        <v>175</v>
      </c>
      <c r="Q326" s="139"/>
      <c r="R326" s="973"/>
      <c r="V326" s="975"/>
      <c r="W326" s="199"/>
      <c r="X326" s="199"/>
      <c r="AA326" s="82"/>
      <c r="AB326" s="75"/>
      <c r="AC326" s="75"/>
      <c r="AD326" s="166"/>
      <c r="AE326" s="75">
        <v>6.2320000000000002</v>
      </c>
      <c r="AF326" s="82">
        <v>6</v>
      </c>
      <c r="AG326" s="82">
        <v>2</v>
      </c>
      <c r="AH326" s="82">
        <v>1</v>
      </c>
      <c r="AI326" s="82">
        <v>2.0000000000436557</v>
      </c>
      <c r="AJ326" s="166">
        <v>6.2321200000000001</v>
      </c>
      <c r="AK326" s="82" t="str">
        <v>Base</v>
      </c>
      <c r="AL326" s="162">
        <v>-17.25</v>
      </c>
      <c r="AM326" s="162">
        <v>-4.4237445003532745</v>
      </c>
      <c r="AN326" s="162">
        <v>-1.7613343549219094</v>
      </c>
      <c r="AO326" s="162">
        <v>71.79998963336412</v>
      </c>
      <c r="AP326" s="162">
        <v>0</v>
      </c>
      <c r="AQ326" s="162">
        <v>0</v>
      </c>
      <c r="AR326" s="710" t="str">
        <v>32193r1.par</v>
      </c>
      <c r="AV326" s="82" t="str">
        <v>188,121,255</v>
      </c>
      <c r="AW326" s="947">
        <v>71.800000000000011</v>
      </c>
      <c r="AX326" s="947">
        <v>71.79998963336412</v>
      </c>
      <c r="AY326" s="947">
        <v>0</v>
      </c>
    </row>
    <row r="327" spans="4:51" x14ac:dyDescent="0.25">
      <c r="D327" s="164">
        <v>3.1019999999999999</v>
      </c>
      <c r="E327">
        <f t="shared" si="1096"/>
        <v>323.11496037959824</v>
      </c>
      <c r="F327">
        <f t="shared" si="1097"/>
        <v>0.57489526715768602</v>
      </c>
      <c r="G327">
        <f t="shared" si="1098"/>
        <v>-0.61837904077669481</v>
      </c>
      <c r="H327">
        <f t="shared" si="1099"/>
        <v>11.37071787295627</v>
      </c>
      <c r="I327">
        <f t="shared" si="1100"/>
        <v>19.284983884531435</v>
      </c>
      <c r="J327" s="974">
        <v>70</v>
      </c>
      <c r="Q327" s="139"/>
      <c r="R327" s="973"/>
      <c r="V327" s="975"/>
      <c r="W327" s="199"/>
      <c r="X327" s="199"/>
      <c r="AA327" s="82"/>
      <c r="AB327" s="75"/>
      <c r="AC327" s="75"/>
      <c r="AD327" s="166"/>
      <c r="AE327" s="75">
        <v>6.226</v>
      </c>
      <c r="AF327" s="82">
        <v>6</v>
      </c>
      <c r="AG327" s="82">
        <v>2</v>
      </c>
      <c r="AH327" s="82">
        <v>1</v>
      </c>
      <c r="AI327" s="82">
        <v>1.9999999999708962</v>
      </c>
      <c r="AJ327" s="166">
        <v>6.2261199999999999</v>
      </c>
      <c r="AK327" s="82" t="str">
        <v>Base</v>
      </c>
      <c r="AL327" s="162">
        <v>-17.25</v>
      </c>
      <c r="AM327" s="162">
        <v>-4.073540666126596</v>
      </c>
      <c r="AN327" s="162">
        <v>-1.0943117024188762</v>
      </c>
      <c r="AO327" s="162">
        <v>47.15815732242519</v>
      </c>
      <c r="AP327" s="162">
        <v>-26.415050906318793</v>
      </c>
      <c r="AQ327" s="162">
        <v>0</v>
      </c>
      <c r="AR327" s="710" t="str">
        <v>1313.par</v>
      </c>
      <c r="AV327" s="82" t="str">
        <v>188,121,255</v>
      </c>
      <c r="AW327" s="947">
        <v>52.900000000000006</v>
      </c>
      <c r="AX327" s="947">
        <v>47.15815732242519</v>
      </c>
      <c r="AY327" s="947">
        <v>0</v>
      </c>
    </row>
    <row r="328" spans="4:51" x14ac:dyDescent="0.25">
      <c r="D328" s="164">
        <v>3.105</v>
      </c>
      <c r="E328">
        <f t="shared" si="1096"/>
        <v>324.1324157756228</v>
      </c>
      <c r="F328">
        <f t="shared" si="1097"/>
        <v>1.2697456862039611</v>
      </c>
      <c r="G328">
        <f t="shared" si="1098"/>
        <v>-0.36431137794409313</v>
      </c>
      <c r="H328">
        <f t="shared" si="1099"/>
        <v>5.0149734933954218</v>
      </c>
      <c r="I328">
        <f t="shared" si="1100"/>
        <v>16.053090590113129</v>
      </c>
      <c r="J328" s="974">
        <v>70</v>
      </c>
      <c r="Q328" s="139"/>
      <c r="R328" s="973"/>
      <c r="V328" s="975"/>
      <c r="W328" s="199"/>
      <c r="X328" s="199"/>
      <c r="AA328" s="82"/>
      <c r="AB328" s="75"/>
      <c r="AC328" s="75"/>
      <c r="AD328" s="166"/>
      <c r="AE328" s="75">
        <v>6.22</v>
      </c>
      <c r="AF328" s="82">
        <v>6</v>
      </c>
      <c r="AG328" s="82">
        <v>2</v>
      </c>
      <c r="AH328" s="82">
        <v>1</v>
      </c>
      <c r="AI328" s="82">
        <v>1.9999999999708962</v>
      </c>
      <c r="AJ328" s="166">
        <v>6.2201199999999996</v>
      </c>
      <c r="AK328" s="82" t="str">
        <v>Base</v>
      </c>
      <c r="AL328" s="162">
        <v>-17.25</v>
      </c>
      <c r="AM328" s="162">
        <v>-3.5204445435345106</v>
      </c>
      <c r="AN328" s="162">
        <v>-0.58087739356927681</v>
      </c>
      <c r="AO328" s="162">
        <v>31.908377148153889</v>
      </c>
      <c r="AP328" s="162">
        <v>-23.08059346832755</v>
      </c>
      <c r="AQ328" s="162">
        <v>0</v>
      </c>
      <c r="AR328" s="710" t="str">
        <v>1310.par</v>
      </c>
      <c r="AV328" s="82" t="str">
        <v>188,121,255</v>
      </c>
      <c r="AW328" s="947">
        <v>33.900000000000006</v>
      </c>
      <c r="AX328" s="947">
        <v>31.908377148153889</v>
      </c>
      <c r="AY328" s="947">
        <v>0</v>
      </c>
    </row>
    <row r="329" spans="4:51" x14ac:dyDescent="0.25">
      <c r="D329" s="164">
        <v>3.1080000000000001</v>
      </c>
      <c r="E329">
        <f t="shared" si="1096"/>
        <v>324.4406262929914</v>
      </c>
      <c r="F329">
        <f t="shared" si="1097"/>
        <v>1.9693653471330419</v>
      </c>
      <c r="G329">
        <f t="shared" si="1098"/>
        <v>-0.1694083638593592</v>
      </c>
      <c r="H329">
        <f t="shared" si="1099"/>
        <v>-0.54897347881994862</v>
      </c>
      <c r="I329">
        <f t="shared" si="1100"/>
        <v>15.985112335508287</v>
      </c>
      <c r="J329" s="974">
        <v>82.9</v>
      </c>
      <c r="AA329" s="82"/>
      <c r="AB329" s="75"/>
      <c r="AC329" s="75"/>
      <c r="AD329" s="166"/>
      <c r="AE329" s="75">
        <v>6.1440000000000001</v>
      </c>
      <c r="AF329" s="82">
        <v>6</v>
      </c>
      <c r="AG329" s="82">
        <v>1</v>
      </c>
      <c r="AH329" s="82">
        <v>1</v>
      </c>
      <c r="AI329" s="82">
        <v>1.9999999999708962</v>
      </c>
      <c r="AJ329" s="166">
        <v>6.14412</v>
      </c>
      <c r="AK329" s="82" t="str">
        <v>Base</v>
      </c>
      <c r="AL329" s="162">
        <v>-16.5</v>
      </c>
      <c r="AM329" s="162">
        <v>-4.6815981091732617</v>
      </c>
      <c r="AN329" s="162">
        <v>-3.2947550089179023</v>
      </c>
      <c r="AO329" s="162">
        <v>84.967735829436208</v>
      </c>
      <c r="AP329" s="162">
        <v>-29.788827478517224</v>
      </c>
      <c r="AQ329" s="162">
        <v>0</v>
      </c>
      <c r="AR329" s="710" t="str">
        <v>1613.par</v>
      </c>
      <c r="AV329" s="82" t="str">
        <v>127,0,255</v>
      </c>
      <c r="AW329" s="947">
        <v>85</v>
      </c>
      <c r="AX329" s="947">
        <v>84.967735829436208</v>
      </c>
      <c r="AY329" s="947">
        <v>0</v>
      </c>
    </row>
    <row r="330" spans="4:51" x14ac:dyDescent="0.25">
      <c r="D330" s="164">
        <v>3.113</v>
      </c>
      <c r="E330">
        <f t="shared" si="1096"/>
        <v>324.33263209629695</v>
      </c>
      <c r="F330">
        <f t="shared" si="1097"/>
        <v>2.7042578699411042</v>
      </c>
      <c r="G330">
        <f t="shared" si="1098"/>
        <v>-0.19952593727025192</v>
      </c>
      <c r="H330">
        <f t="shared" si="1099"/>
        <v>-13.618907176394012</v>
      </c>
      <c r="I330">
        <f t="shared" si="1100"/>
        <v>15.899311451360761</v>
      </c>
      <c r="J330" s="974">
        <v>101.6</v>
      </c>
      <c r="AA330" s="82"/>
      <c r="AB330" s="75"/>
      <c r="AC330" s="75"/>
      <c r="AD330" s="166"/>
      <c r="AE330" s="75">
        <v>6.1379999999999999</v>
      </c>
      <c r="AF330" s="82">
        <v>6</v>
      </c>
      <c r="AG330" s="82">
        <v>1</v>
      </c>
      <c r="AH330" s="82">
        <v>1</v>
      </c>
      <c r="AI330" s="82">
        <v>1.9999999999708962</v>
      </c>
      <c r="AJ330" s="166">
        <v>6.1381199999999998</v>
      </c>
      <c r="AK330" s="82" t="str">
        <v>Base</v>
      </c>
      <c r="AL330" s="162">
        <v>-16.5</v>
      </c>
      <c r="AM330" s="162">
        <v>-4.6145982010924467</v>
      </c>
      <c r="AN330" s="162">
        <v>-2.490489585385661</v>
      </c>
      <c r="AO330" s="162">
        <v>77.411479062779947</v>
      </c>
      <c r="AP330" s="162">
        <v>-28.106608666641964</v>
      </c>
      <c r="AQ330" s="162">
        <v>0</v>
      </c>
      <c r="AR330" s="710" t="str">
        <v>1613.par</v>
      </c>
      <c r="AV330" s="82" t="str">
        <v>127,0,255</v>
      </c>
      <c r="AW330" s="947">
        <v>85</v>
      </c>
      <c r="AX330" s="947">
        <v>77.411479062779947</v>
      </c>
      <c r="AY330" s="947">
        <v>0</v>
      </c>
    </row>
    <row r="331" spans="4:51" x14ac:dyDescent="0.25">
      <c r="D331" s="164">
        <v>3.1190000000000002</v>
      </c>
      <c r="E331">
        <f t="shared" si="1096"/>
        <v>323.69857875676263</v>
      </c>
      <c r="F331">
        <f t="shared" si="1097"/>
        <v>3.3971368047881008</v>
      </c>
      <c r="G331">
        <f t="shared" si="1098"/>
        <v>-0.47356294378527475</v>
      </c>
      <c r="H331">
        <f t="shared" si="1099"/>
        <v>-29.118742089064096</v>
      </c>
      <c r="I331">
        <f t="shared" si="1100"/>
        <v>17.521441320236239</v>
      </c>
      <c r="J331" s="974">
        <v>120.7</v>
      </c>
      <c r="AA331" s="82"/>
      <c r="AB331" s="75"/>
      <c r="AC331" s="75"/>
      <c r="AD331" s="166"/>
      <c r="AE331" s="75">
        <v>6.1319999999999997</v>
      </c>
      <c r="AF331" s="82">
        <v>6</v>
      </c>
      <c r="AG331" s="82">
        <v>1</v>
      </c>
      <c r="AH331" s="82">
        <v>1</v>
      </c>
      <c r="AI331" s="82">
        <v>1.9999999999708962</v>
      </c>
      <c r="AJ331" s="166">
        <v>6.1321199999999996</v>
      </c>
      <c r="AK331" s="82" t="str">
        <v>Base</v>
      </c>
      <c r="AL331" s="162">
        <v>-16.5</v>
      </c>
      <c r="AM331" s="162">
        <v>-4.4252775449577486</v>
      </c>
      <c r="AN331" s="162">
        <v>-1.7697228721425269</v>
      </c>
      <c r="AO331" s="162">
        <v>62.265059341656865</v>
      </c>
      <c r="AP331" s="162">
        <v>-24.751978224299812</v>
      </c>
      <c r="AQ331" s="162">
        <v>0</v>
      </c>
      <c r="AR331" s="710" t="str">
        <v>1613.par</v>
      </c>
      <c r="AV331" s="82" t="str">
        <v>127,0,255</v>
      </c>
      <c r="AW331" s="947">
        <v>71.800000000000011</v>
      </c>
      <c r="AX331" s="947">
        <v>62.265059341656865</v>
      </c>
      <c r="AY331" s="947">
        <v>0</v>
      </c>
    </row>
    <row r="332" spans="4:51" x14ac:dyDescent="0.25">
      <c r="D332" s="164">
        <v>3.125</v>
      </c>
      <c r="E332">
        <f t="shared" si="1096"/>
        <v>322.97046325477834</v>
      </c>
      <c r="F332">
        <f t="shared" si="1097"/>
        <v>3.968490567910163</v>
      </c>
      <c r="G332">
        <f t="shared" si="1098"/>
        <v>-0.95238301810905823</v>
      </c>
      <c r="H332">
        <f t="shared" si="1099"/>
        <v>-44.499946249576794</v>
      </c>
      <c r="I332">
        <f t="shared" si="1100"/>
        <v>20.850257744862255</v>
      </c>
      <c r="J332" s="974">
        <v>139.80000000000001</v>
      </c>
      <c r="AA332" s="82"/>
      <c r="AB332" s="75"/>
      <c r="AC332" s="75"/>
      <c r="AD332" s="166"/>
      <c r="AE332" s="75">
        <v>6.1260000000000003</v>
      </c>
      <c r="AF332" s="82">
        <v>6</v>
      </c>
      <c r="AG332" s="82">
        <v>1</v>
      </c>
      <c r="AH332" s="82">
        <v>1</v>
      </c>
      <c r="AI332" s="82">
        <v>2.0000000000436557</v>
      </c>
      <c r="AJ332" s="166">
        <v>6.1261200000000002</v>
      </c>
      <c r="AK332" s="82" t="str">
        <v>Base</v>
      </c>
      <c r="AL332" s="162">
        <v>-16.5</v>
      </c>
      <c r="AM332" s="162">
        <v>-4.0484387926423295</v>
      </c>
      <c r="AN332" s="162">
        <v>-1.1271759661284086</v>
      </c>
      <c r="AO332" s="162">
        <v>47.046749081946118</v>
      </c>
      <c r="AP332" s="162">
        <v>-21.406663959613159</v>
      </c>
      <c r="AQ332" s="162">
        <v>0</v>
      </c>
      <c r="AR332" s="710" t="str">
        <v>1613.par</v>
      </c>
      <c r="AV332" s="82" t="str">
        <v>127,0,255</v>
      </c>
      <c r="AW332" s="947">
        <v>52.900000000000006</v>
      </c>
      <c r="AX332" s="947">
        <v>47.046749081946118</v>
      </c>
      <c r="AY332" s="947">
        <v>0</v>
      </c>
    </row>
    <row r="333" spans="4:51" x14ac:dyDescent="0.25">
      <c r="D333" s="164">
        <v>3.1309999999999998</v>
      </c>
      <c r="E333">
        <f t="shared" si="1096"/>
        <v>322.37144795208962</v>
      </c>
      <c r="F333">
        <f t="shared" si="1097"/>
        <v>4.3752091699871158</v>
      </c>
      <c r="G333">
        <f t="shared" si="1098"/>
        <v>-1.5772405343241533</v>
      </c>
      <c r="H333">
        <f t="shared" si="1099"/>
        <v>-59.734754558642074</v>
      </c>
      <c r="I333">
        <f t="shared" si="1100"/>
        <v>24.193705600630707</v>
      </c>
      <c r="J333" s="974">
        <v>158.69999999999999</v>
      </c>
      <c r="AA333" s="82"/>
      <c r="AB333" s="75"/>
      <c r="AC333" s="75"/>
      <c r="AD333" s="166"/>
      <c r="AE333" s="75">
        <v>6.12</v>
      </c>
      <c r="AF333" s="82">
        <v>6</v>
      </c>
      <c r="AG333" s="82">
        <v>1</v>
      </c>
      <c r="AH333" s="82">
        <v>1</v>
      </c>
      <c r="AI333" s="82">
        <v>1.9999999999708962</v>
      </c>
      <c r="AJ333" s="166">
        <v>6.12012</v>
      </c>
      <c r="AK333" s="82" t="str">
        <v>Base</v>
      </c>
      <c r="AL333" s="162">
        <v>-16.5</v>
      </c>
      <c r="AM333" s="162">
        <v>-3.5023090784645645</v>
      </c>
      <c r="AN333" s="162">
        <v>-0.62078185952833542</v>
      </c>
      <c r="AO333" s="162">
        <v>31.697301739955826</v>
      </c>
      <c r="AP333" s="162">
        <v>-18.074864417424092</v>
      </c>
      <c r="AQ333" s="162">
        <v>0</v>
      </c>
      <c r="AR333" s="710" t="str">
        <v>1613.par</v>
      </c>
      <c r="AV333" s="82" t="str">
        <v>127,0,255</v>
      </c>
      <c r="AW333" s="947">
        <v>33.900000000000006</v>
      </c>
      <c r="AX333" s="947">
        <v>31.697301739955826</v>
      </c>
      <c r="AY333" s="947">
        <v>0</v>
      </c>
    </row>
    <row r="334" spans="4:51" x14ac:dyDescent="0.25">
      <c r="D334" s="164">
        <v>3.137</v>
      </c>
      <c r="E334">
        <f t="shared" si="1096"/>
        <v>322.03935584452773</v>
      </c>
      <c r="F334">
        <f t="shared" si="1097"/>
        <v>4.5964638899832382</v>
      </c>
      <c r="G334">
        <f t="shared" si="1098"/>
        <v>-2.2893247950186217</v>
      </c>
      <c r="H334">
        <f t="shared" si="1099"/>
        <v>-74.890618752992069</v>
      </c>
      <c r="I334">
        <f t="shared" si="1100"/>
        <v>27.546952600410776</v>
      </c>
      <c r="J334" s="974">
        <v>175</v>
      </c>
      <c r="AA334" s="82"/>
      <c r="AB334" s="75"/>
      <c r="AC334" s="75"/>
      <c r="AD334" s="166"/>
      <c r="AE334" s="75">
        <v>6.1139999999999999</v>
      </c>
      <c r="AF334" s="82">
        <v>6</v>
      </c>
      <c r="AG334" s="82">
        <v>1</v>
      </c>
      <c r="AH334" s="82">
        <v>1</v>
      </c>
      <c r="AI334" s="82">
        <v>1.9999999999708962</v>
      </c>
      <c r="AJ334" s="166">
        <v>6.1141199999999998</v>
      </c>
      <c r="AK334" s="82" t="str">
        <v>Base</v>
      </c>
      <c r="AL334" s="162">
        <v>-16.5</v>
      </c>
      <c r="AM334" s="162">
        <v>-2.8255246930323525</v>
      </c>
      <c r="AN334" s="162">
        <v>-0.30978980665325984</v>
      </c>
      <c r="AO334" s="162">
        <v>16.193879336207964</v>
      </c>
      <c r="AP334" s="162">
        <v>-15.887002584969139</v>
      </c>
      <c r="AQ334" s="162">
        <v>0</v>
      </c>
      <c r="AR334" s="710" t="str">
        <v>1613.par</v>
      </c>
      <c r="AV334" s="82" t="str">
        <v>127,0,255</v>
      </c>
      <c r="AW334" s="947">
        <v>14.799999999999997</v>
      </c>
      <c r="AX334" s="947">
        <v>16.193879336207964</v>
      </c>
      <c r="AY334" s="947">
        <v>0</v>
      </c>
    </row>
    <row r="335" spans="4:51" x14ac:dyDescent="0.25">
      <c r="D335" s="164">
        <v>3.1429999999999998</v>
      </c>
      <c r="E335">
        <f t="shared" si="1096"/>
        <v>321.89798922564381</v>
      </c>
      <c r="F335">
        <f t="shared" si="1097"/>
        <v>4.681598395711621</v>
      </c>
      <c r="G335">
        <f t="shared" si="1098"/>
        <v>-3.0919902070663876</v>
      </c>
      <c r="H335">
        <f t="shared" si="1099"/>
        <v>-84.967735525253474</v>
      </c>
      <c r="I335">
        <f t="shared" si="1100"/>
        <v>29.788825501047665</v>
      </c>
      <c r="J335" s="974">
        <v>175</v>
      </c>
      <c r="AA335" s="82"/>
      <c r="AB335" s="75"/>
      <c r="AC335" s="75"/>
      <c r="AD335" s="166"/>
      <c r="AE335" s="75">
        <v>5.2450000000000001</v>
      </c>
      <c r="AF335" s="82">
        <v>5</v>
      </c>
      <c r="AG335" s="82">
        <v>2</v>
      </c>
      <c r="AH335" s="82">
        <v>1</v>
      </c>
      <c r="AI335" s="82">
        <v>1.9999999999708962</v>
      </c>
      <c r="AJ335" s="166">
        <v>5.24512</v>
      </c>
      <c r="AK335" s="82" t="str">
        <v>Base</v>
      </c>
      <c r="AL335" s="162">
        <v>-15.75</v>
      </c>
      <c r="AM335" s="162">
        <v>-4.6672539023601329</v>
      </c>
      <c r="AN335" s="162">
        <v>-3.4923982927218966</v>
      </c>
      <c r="AO335" s="162">
        <v>84.999987727520178</v>
      </c>
      <c r="AP335" s="162">
        <v>0</v>
      </c>
      <c r="AQ335" s="162">
        <v>0</v>
      </c>
      <c r="AR335" s="710" t="str">
        <v>32193r1.par</v>
      </c>
      <c r="AV335" s="82" t="str">
        <v>121,188,255</v>
      </c>
      <c r="AW335" s="947">
        <v>85</v>
      </c>
      <c r="AX335" s="947">
        <v>84.999987727520178</v>
      </c>
      <c r="AY335" s="947">
        <v>0</v>
      </c>
    </row>
    <row r="336" spans="4:51" x14ac:dyDescent="0.25">
      <c r="D336" s="164">
        <v>4.1120000000000001</v>
      </c>
      <c r="E336">
        <f t="shared" si="1096"/>
        <v>263.40326972186904</v>
      </c>
      <c r="F336">
        <f t="shared" si="1097"/>
        <v>2.5814940171882013</v>
      </c>
      <c r="G336">
        <f t="shared" si="1098"/>
        <v>-0.17708299062763752</v>
      </c>
      <c r="H336">
        <f t="shared" si="1099"/>
        <v>-11.038949585803891</v>
      </c>
      <c r="I336">
        <f t="shared" si="1100"/>
        <v>15.912950944662017</v>
      </c>
      <c r="J336" s="974">
        <v>98.5</v>
      </c>
      <c r="AA336" s="82"/>
      <c r="AB336" s="75"/>
      <c r="AC336" s="75"/>
      <c r="AD336" s="166"/>
      <c r="AE336" s="75">
        <v>5.2389999999999999</v>
      </c>
      <c r="AF336" s="82">
        <v>5</v>
      </c>
      <c r="AG336" s="82">
        <v>2</v>
      </c>
      <c r="AH336" s="82">
        <v>1</v>
      </c>
      <c r="AI336" s="82">
        <v>1.9999999999708962</v>
      </c>
      <c r="AJ336" s="166">
        <v>5.2391199999999998</v>
      </c>
      <c r="AK336" s="82" t="str">
        <v>Base</v>
      </c>
      <c r="AL336" s="162">
        <v>-15.75</v>
      </c>
      <c r="AM336" s="162">
        <v>-4.6161231555423221</v>
      </c>
      <c r="AN336" s="162">
        <v>-2.6886022270933765</v>
      </c>
      <c r="AO336" s="162">
        <v>84.999987727520178</v>
      </c>
      <c r="AP336" s="162">
        <v>0</v>
      </c>
      <c r="AQ336" s="162">
        <v>0</v>
      </c>
      <c r="AR336" s="710" t="str">
        <v>32193r1.par</v>
      </c>
      <c r="AV336" s="82" t="str">
        <v>121,188,255</v>
      </c>
      <c r="AW336" s="947">
        <v>85</v>
      </c>
      <c r="AX336" s="947">
        <v>84.999987727520178</v>
      </c>
      <c r="AY336" s="947">
        <v>0</v>
      </c>
    </row>
    <row r="337" spans="4:51" x14ac:dyDescent="0.25">
      <c r="D337" s="164">
        <v>4.1180000000000003</v>
      </c>
      <c r="E337">
        <f t="shared" si="1096"/>
        <v>262.81695737311532</v>
      </c>
      <c r="F337">
        <f t="shared" si="1097"/>
        <v>3.2885567842225605</v>
      </c>
      <c r="G337">
        <f t="shared" si="1098"/>
        <v>-0.4122245951838146</v>
      </c>
      <c r="H337">
        <f t="shared" si="1099"/>
        <v>-26.532266593200465</v>
      </c>
      <c r="I337">
        <f t="shared" si="1100"/>
        <v>16.96871890548951</v>
      </c>
      <c r="J337" s="974">
        <v>117.5</v>
      </c>
      <c r="AA337" s="82"/>
      <c r="AB337" s="75"/>
      <c r="AC337" s="75"/>
      <c r="AD337" s="166"/>
      <c r="AE337" s="75">
        <v>5.2329999999999997</v>
      </c>
      <c r="AF337" s="82">
        <v>5</v>
      </c>
      <c r="AG337" s="82">
        <v>2</v>
      </c>
      <c r="AH337" s="82">
        <v>1</v>
      </c>
      <c r="AI337" s="82">
        <v>1.9999999999708962</v>
      </c>
      <c r="AJ337" s="166">
        <v>5.2331199999999995</v>
      </c>
      <c r="AK337" s="82" t="str">
        <v>Base</v>
      </c>
      <c r="AL337" s="162">
        <v>-15.75</v>
      </c>
      <c r="AM337" s="162">
        <v>-4.491286387539672</v>
      </c>
      <c r="AN337" s="162">
        <v>-1.9486314873435577</v>
      </c>
      <c r="AO337" s="162">
        <v>64.79440885837019</v>
      </c>
      <c r="AP337" s="162">
        <v>-25.311490125624598</v>
      </c>
      <c r="AQ337" s="162">
        <v>0</v>
      </c>
      <c r="AR337" s="710" t="str">
        <v>1313.par</v>
      </c>
      <c r="AV337" s="82" t="str">
        <v>121,188,255</v>
      </c>
      <c r="AW337" s="947">
        <v>74.900000000000006</v>
      </c>
      <c r="AX337" s="947">
        <v>64.79440885837019</v>
      </c>
      <c r="AY337" s="947">
        <v>0</v>
      </c>
    </row>
    <row r="338" spans="4:51" x14ac:dyDescent="0.25">
      <c r="D338" s="164">
        <v>4.1239999999999997</v>
      </c>
      <c r="E338">
        <f t="shared" si="1096"/>
        <v>262.08357648850955</v>
      </c>
      <c r="F338">
        <f t="shared" si="1097"/>
        <v>3.8838408758893723</v>
      </c>
      <c r="G338">
        <f t="shared" si="1098"/>
        <v>-0.86076424668230866</v>
      </c>
      <c r="H338">
        <f t="shared" si="1099"/>
        <v>-41.94924363130859</v>
      </c>
      <c r="I338">
        <f t="shared" si="1100"/>
        <v>20.294240984608646</v>
      </c>
      <c r="J338" s="974">
        <v>136.6</v>
      </c>
      <c r="AA338" s="82"/>
      <c r="AB338" s="75"/>
      <c r="AC338" s="75"/>
      <c r="AD338" s="166"/>
      <c r="AE338" s="75">
        <v>5.2270000000000003</v>
      </c>
      <c r="AF338" s="82">
        <v>5</v>
      </c>
      <c r="AG338" s="82">
        <v>2</v>
      </c>
      <c r="AH338" s="82">
        <v>1</v>
      </c>
      <c r="AI338" s="82">
        <v>2.0000000000436557</v>
      </c>
      <c r="AJ338" s="166">
        <v>5.2271200000000002</v>
      </c>
      <c r="AK338" s="82" t="str">
        <v>Base</v>
      </c>
      <c r="AL338" s="162">
        <v>-15.75</v>
      </c>
      <c r="AM338" s="162">
        <v>-4.14242061150886</v>
      </c>
      <c r="AN338" s="162">
        <v>-1.2829279258718569</v>
      </c>
      <c r="AO338" s="162">
        <v>49.591934108104368</v>
      </c>
      <c r="AP338" s="162">
        <v>-21.964321744475381</v>
      </c>
      <c r="AQ338" s="162">
        <v>0</v>
      </c>
      <c r="AR338" s="710" t="str">
        <v>1313.par</v>
      </c>
      <c r="AV338" s="82" t="str">
        <v>121,188,255</v>
      </c>
      <c r="AW338" s="947">
        <v>56.099999999999994</v>
      </c>
      <c r="AX338" s="947">
        <v>49.591934108104368</v>
      </c>
      <c r="AY338" s="947">
        <v>0</v>
      </c>
    </row>
    <row r="339" spans="4:51" x14ac:dyDescent="0.25">
      <c r="D339" s="164">
        <v>4.13</v>
      </c>
      <c r="E339">
        <f t="shared" si="1096"/>
        <v>261.45734603418884</v>
      </c>
      <c r="F339">
        <f t="shared" si="1097"/>
        <v>4.3199471297604974</v>
      </c>
      <c r="G339">
        <f t="shared" si="1098"/>
        <v>-1.4655521724644944</v>
      </c>
      <c r="H339">
        <f t="shared" si="1099"/>
        <v>-57.20232780701231</v>
      </c>
      <c r="I339">
        <f t="shared" si="1100"/>
        <v>23.635700041569176</v>
      </c>
      <c r="J339" s="974">
        <v>155.5</v>
      </c>
      <c r="AA339" s="82"/>
      <c r="AB339" s="75"/>
      <c r="AC339" s="75"/>
      <c r="AD339" s="166"/>
      <c r="AE339" s="75">
        <v>5.2210000000000001</v>
      </c>
      <c r="AF339" s="82">
        <v>5</v>
      </c>
      <c r="AG339" s="82">
        <v>2</v>
      </c>
      <c r="AH339" s="82">
        <v>1</v>
      </c>
      <c r="AI339" s="82">
        <v>1.9999999999708962</v>
      </c>
      <c r="AJ339" s="166">
        <v>5.22112</v>
      </c>
      <c r="AK339" s="82" t="str">
        <v>Base</v>
      </c>
      <c r="AL339" s="162">
        <v>-15.75</v>
      </c>
      <c r="AM339" s="162">
        <v>-3.6183657612437519</v>
      </c>
      <c r="AN339" s="162">
        <v>-0.74309016075959</v>
      </c>
      <c r="AO339" s="162">
        <v>34.271849486210627</v>
      </c>
      <c r="AP339" s="162">
        <v>-18.629596783767084</v>
      </c>
      <c r="AQ339" s="162">
        <v>0</v>
      </c>
      <c r="AR339" s="710" t="str">
        <v>1313.par</v>
      </c>
      <c r="AV339" s="82" t="str">
        <v>121,188,255</v>
      </c>
      <c r="AW339" s="947">
        <v>37.099999999999994</v>
      </c>
      <c r="AX339" s="947">
        <v>34.271849486210627</v>
      </c>
      <c r="AY339" s="947">
        <v>0</v>
      </c>
    </row>
    <row r="340" spans="4:51" x14ac:dyDescent="0.25">
      <c r="D340" s="164">
        <v>4.1360000000000001</v>
      </c>
      <c r="E340">
        <f t="shared" si="1096"/>
        <v>261.06709979168699</v>
      </c>
      <c r="F340">
        <f t="shared" si="1097"/>
        <v>4.5729433964538257</v>
      </c>
      <c r="G340">
        <f t="shared" si="1098"/>
        <v>-2.1669620969181347</v>
      </c>
      <c r="H340">
        <f t="shared" si="1099"/>
        <v>-72.368498147459562</v>
      </c>
      <c r="I340">
        <f t="shared" si="1100"/>
        <v>26.987508550221261</v>
      </c>
      <c r="J340" s="974">
        <v>174.1</v>
      </c>
      <c r="AA340" s="82"/>
      <c r="AB340" s="75"/>
      <c r="AC340" s="75"/>
      <c r="AD340" s="166"/>
      <c r="AE340" s="75">
        <v>5.2149999999999999</v>
      </c>
      <c r="AF340" s="82">
        <v>5</v>
      </c>
      <c r="AG340" s="82">
        <v>2</v>
      </c>
      <c r="AH340" s="82">
        <v>1</v>
      </c>
      <c r="AI340" s="82">
        <v>1.9999999999708962</v>
      </c>
      <c r="AJ340" s="166">
        <v>5.2151199999999998</v>
      </c>
      <c r="AK340" s="82" t="str">
        <v>Base</v>
      </c>
      <c r="AL340" s="162">
        <v>-15.75</v>
      </c>
      <c r="AM340" s="162">
        <v>-2.9538354933176207</v>
      </c>
      <c r="AN340" s="162">
        <v>-0.38948831939798356</v>
      </c>
      <c r="AO340" s="162">
        <v>18.768152489067734</v>
      </c>
      <c r="AP340" s="162">
        <v>-15.876217412548954</v>
      </c>
      <c r="AQ340" s="162">
        <v>0</v>
      </c>
      <c r="AR340" s="710" t="str">
        <v>1310.par</v>
      </c>
      <c r="AV340" s="82" t="str">
        <v>121,188,255</v>
      </c>
      <c r="AW340" s="947">
        <v>18</v>
      </c>
      <c r="AX340" s="947">
        <v>18.768152489067734</v>
      </c>
      <c r="AY340" s="947">
        <v>0</v>
      </c>
    </row>
    <row r="341" spans="4:51" x14ac:dyDescent="0.25">
      <c r="D341" s="164">
        <v>4.1420000000000003</v>
      </c>
      <c r="E341">
        <f t="shared" si="1096"/>
        <v>260.89799803295284</v>
      </c>
      <c r="F341">
        <f t="shared" si="1097"/>
        <v>4.681598395711621</v>
      </c>
      <c r="G341">
        <f t="shared" si="1098"/>
        <v>-2.9669894530629755</v>
      </c>
      <c r="H341">
        <f t="shared" si="1099"/>
        <v>-84.967735525253488</v>
      </c>
      <c r="I341">
        <f t="shared" si="1100"/>
        <v>29.788825501047654</v>
      </c>
      <c r="J341" s="974">
        <v>175</v>
      </c>
      <c r="AA341" s="82"/>
      <c r="AB341" s="75"/>
      <c r="AC341" s="75"/>
      <c r="AD341" s="166"/>
      <c r="AE341" s="75">
        <v>5.1449999999999996</v>
      </c>
      <c r="AF341" s="82">
        <v>5</v>
      </c>
      <c r="AG341" s="82">
        <v>1</v>
      </c>
      <c r="AH341" s="82">
        <v>1</v>
      </c>
      <c r="AI341" s="82">
        <v>1.9999999999708962</v>
      </c>
      <c r="AJ341" s="166">
        <v>5.1451199999999995</v>
      </c>
      <c r="AK341" s="82" t="str">
        <v>Base</v>
      </c>
      <c r="AL341" s="162">
        <v>-15</v>
      </c>
      <c r="AM341" s="162">
        <v>-4.6815983957116218</v>
      </c>
      <c r="AN341" s="162">
        <v>-3.5017002165308773</v>
      </c>
      <c r="AO341" s="162">
        <v>84.967735525253516</v>
      </c>
      <c r="AP341" s="162">
        <v>-29.788825501047679</v>
      </c>
      <c r="AQ341" s="162">
        <v>0</v>
      </c>
      <c r="AR341" s="710" t="str">
        <v>1613.par</v>
      </c>
      <c r="AV341" s="82" t="str">
        <v>0,102,204</v>
      </c>
      <c r="AW341" s="947">
        <v>85</v>
      </c>
      <c r="AX341" s="947">
        <v>84.967735525253516</v>
      </c>
      <c r="AY341" s="947">
        <v>0</v>
      </c>
    </row>
    <row r="342" spans="4:51" x14ac:dyDescent="0.25">
      <c r="D342" s="164">
        <v>5.1029999999999998</v>
      </c>
      <c r="E342">
        <f t="shared" si="1096"/>
        <v>203.64081949179581</v>
      </c>
      <c r="F342">
        <f t="shared" si="1097"/>
        <v>0.80633962298272444</v>
      </c>
      <c r="G342">
        <f t="shared" si="1098"/>
        <v>-0.53343612734853563</v>
      </c>
      <c r="H342">
        <f t="shared" si="1099"/>
        <v>8.4007263319275101</v>
      </c>
      <c r="I342">
        <f t="shared" si="1100"/>
        <v>17.146907594407718</v>
      </c>
      <c r="J342" s="974">
        <v>70</v>
      </c>
      <c r="AA342" s="82"/>
      <c r="AB342" s="75"/>
      <c r="AC342" s="75"/>
      <c r="AD342" s="166"/>
      <c r="AE342" s="75">
        <v>5.1390000000000002</v>
      </c>
      <c r="AF342" s="82">
        <v>5</v>
      </c>
      <c r="AG342" s="82">
        <v>1</v>
      </c>
      <c r="AH342" s="82">
        <v>1</v>
      </c>
      <c r="AI342" s="82">
        <v>2.0000000000436557</v>
      </c>
      <c r="AJ342" s="166">
        <v>5.1391200000000001</v>
      </c>
      <c r="AK342" s="82" t="str">
        <v>Base</v>
      </c>
      <c r="AL342" s="162">
        <v>-15</v>
      </c>
      <c r="AM342" s="162">
        <v>-4.6273483266927622</v>
      </c>
      <c r="AN342" s="162">
        <v>-2.6964193999030548</v>
      </c>
      <c r="AO342" s="162">
        <v>79.931174495836203</v>
      </c>
      <c r="AP342" s="162">
        <v>-28.666466441807767</v>
      </c>
      <c r="AQ342" s="162">
        <v>0</v>
      </c>
      <c r="AR342" s="710" t="str">
        <v>1613.par</v>
      </c>
      <c r="AV342" s="82" t="str">
        <v>0,102,204</v>
      </c>
      <c r="AW342" s="947">
        <v>85</v>
      </c>
      <c r="AX342" s="947">
        <v>79.931174495836203</v>
      </c>
      <c r="AY342" s="947">
        <v>0</v>
      </c>
    </row>
    <row r="343" spans="4:51" x14ac:dyDescent="0.25">
      <c r="D343" s="164">
        <v>5.1059999999999999</v>
      </c>
      <c r="E343">
        <f t="shared" si="1096"/>
        <v>204.26631162458727</v>
      </c>
      <c r="F343">
        <f t="shared" si="1097"/>
        <v>1.5014283394123136</v>
      </c>
      <c r="G343">
        <f t="shared" si="1098"/>
        <v>-0.28011349908977429</v>
      </c>
      <c r="H343">
        <f t="shared" si="1099"/>
        <v>3.5543907468982434</v>
      </c>
      <c r="I343">
        <f t="shared" si="1100"/>
        <v>16.029154803271066</v>
      </c>
      <c r="J343" s="974">
        <v>70.599999999999994</v>
      </c>
      <c r="AA343" s="82"/>
      <c r="AB343" s="75"/>
      <c r="AC343" s="75"/>
      <c r="AD343" s="166"/>
      <c r="AE343" s="75">
        <v>5.133</v>
      </c>
      <c r="AF343" s="82">
        <v>5</v>
      </c>
      <c r="AG343" s="82">
        <v>1</v>
      </c>
      <c r="AH343" s="82">
        <v>1</v>
      </c>
      <c r="AI343" s="82">
        <v>1.9999999999708962</v>
      </c>
      <c r="AJ343" s="166">
        <v>5.1331199999999999</v>
      </c>
      <c r="AK343" s="82" t="str">
        <v>Base</v>
      </c>
      <c r="AL343" s="162">
        <v>-15</v>
      </c>
      <c r="AM343" s="162">
        <v>-4.4701542294164271</v>
      </c>
      <c r="AN343" s="162">
        <v>-1.9679201066828473</v>
      </c>
      <c r="AO343" s="162">
        <v>64.793428678397888</v>
      </c>
      <c r="AP343" s="162">
        <v>-25.310505283617825</v>
      </c>
      <c r="AQ343" s="162">
        <v>0</v>
      </c>
      <c r="AR343" s="710" t="str">
        <v>1613 Ripper.par</v>
      </c>
      <c r="AV343" s="82" t="str">
        <v>0,102,204</v>
      </c>
      <c r="AW343" s="947">
        <v>74.900000000000006</v>
      </c>
      <c r="AX343" s="947">
        <v>64.793428678397888</v>
      </c>
      <c r="AY343" s="947">
        <v>0</v>
      </c>
    </row>
    <row r="344" spans="4:51" x14ac:dyDescent="0.25">
      <c r="D344" s="164">
        <v>5.109</v>
      </c>
      <c r="E344">
        <f t="shared" si="1096"/>
        <v>204.49119172983612</v>
      </c>
      <c r="F344">
        <f t="shared" si="1097"/>
        <v>2.2084164912059197</v>
      </c>
      <c r="G344">
        <f t="shared" si="1098"/>
        <v>-0.15219258469778729</v>
      </c>
      <c r="H344">
        <f t="shared" si="1099"/>
        <v>-3.2628915737279782</v>
      </c>
      <c r="I344">
        <f t="shared" si="1100"/>
        <v>15.964055654186145</v>
      </c>
      <c r="J344" s="974">
        <v>89</v>
      </c>
      <c r="AA344" s="82"/>
      <c r="AB344" s="75"/>
      <c r="AC344" s="75"/>
      <c r="AD344" s="166"/>
      <c r="AE344" s="75">
        <v>5.1269999999999998</v>
      </c>
      <c r="AF344" s="82">
        <v>5</v>
      </c>
      <c r="AG344" s="82">
        <v>1</v>
      </c>
      <c r="AH344" s="82">
        <v>1</v>
      </c>
      <c r="AI344" s="82">
        <v>1.9999999999708962</v>
      </c>
      <c r="AJ344" s="166">
        <v>5.1271199999999997</v>
      </c>
      <c r="AK344" s="82" t="str">
        <v>Base</v>
      </c>
      <c r="AL344" s="162">
        <v>-15</v>
      </c>
      <c r="AM344" s="162">
        <v>-4.1236875593669096</v>
      </c>
      <c r="AN344" s="162">
        <v>-1.3083375891867135</v>
      </c>
      <c r="AO344" s="162">
        <v>49.590063364549835</v>
      </c>
      <c r="AP344" s="162">
        <v>-21.963435541553316</v>
      </c>
      <c r="AQ344" s="162">
        <v>0</v>
      </c>
      <c r="AR344" s="710" t="str">
        <v>1613 Ripper.par</v>
      </c>
      <c r="AV344" s="82" t="str">
        <v>0,102,204</v>
      </c>
      <c r="AW344" s="947">
        <v>56.099999999999994</v>
      </c>
      <c r="AX344" s="947">
        <v>49.590063364549835</v>
      </c>
      <c r="AY344" s="947">
        <v>0</v>
      </c>
    </row>
    <row r="345" spans="4:51" x14ac:dyDescent="0.25">
      <c r="D345" s="164">
        <v>5.1150000000000002</v>
      </c>
      <c r="E345">
        <f t="shared" si="1096"/>
        <v>204.1559350393423</v>
      </c>
      <c r="F345">
        <f t="shared" si="1097"/>
        <v>2.9448949404755744</v>
      </c>
      <c r="G345">
        <f t="shared" si="1098"/>
        <v>-0.26488175123826774</v>
      </c>
      <c r="H345">
        <f t="shared" si="1099"/>
        <v>-18.764382264774945</v>
      </c>
      <c r="I345">
        <f t="shared" si="1100"/>
        <v>15.875853085721719</v>
      </c>
      <c r="J345" s="974">
        <v>108</v>
      </c>
      <c r="AA345" s="82"/>
      <c r="AB345" s="75"/>
      <c r="AC345" s="75"/>
      <c r="AD345" s="166"/>
      <c r="AE345" s="75">
        <v>5.1210000000000004</v>
      </c>
      <c r="AF345" s="82">
        <v>5</v>
      </c>
      <c r="AG345" s="82">
        <v>1</v>
      </c>
      <c r="AH345" s="82">
        <v>1</v>
      </c>
      <c r="AI345" s="82">
        <v>2.0000000000436557</v>
      </c>
      <c r="AJ345" s="166">
        <v>5.1211200000000003</v>
      </c>
      <c r="AK345" s="82" t="str">
        <v>Base</v>
      </c>
      <c r="AL345" s="162">
        <v>-15</v>
      </c>
      <c r="AM345" s="162">
        <v>-3.6037743770584467</v>
      </c>
      <c r="AN345" s="162">
        <v>-0.77504582527792087</v>
      </c>
      <c r="AO345" s="162">
        <v>34.268873940555387</v>
      </c>
      <c r="AP345" s="162">
        <v>-18.628913293533735</v>
      </c>
      <c r="AQ345" s="162">
        <v>0</v>
      </c>
      <c r="AR345" s="710" t="str">
        <v>1613 Ripper.par</v>
      </c>
      <c r="AV345" s="82" t="str">
        <v>0,102,204</v>
      </c>
      <c r="AW345" s="947">
        <v>37.099999999999994</v>
      </c>
      <c r="AX345" s="947">
        <v>34.268873940555387</v>
      </c>
      <c r="AY345" s="947">
        <v>0</v>
      </c>
    </row>
    <row r="346" spans="4:51" x14ac:dyDescent="0.25">
      <c r="D346" s="164">
        <v>5.1210000000000004</v>
      </c>
      <c r="E346">
        <f t="shared" si="1096"/>
        <v>203.44897021056667</v>
      </c>
      <c r="F346">
        <f t="shared" si="1097"/>
        <v>3.6037743770584467</v>
      </c>
      <c r="G346">
        <f t="shared" si="1098"/>
        <v>-0.61318320759072031</v>
      </c>
      <c r="H346">
        <f t="shared" si="1099"/>
        <v>-34.268873940555387</v>
      </c>
      <c r="I346">
        <f t="shared" si="1100"/>
        <v>18.628913293533735</v>
      </c>
      <c r="J346" s="974">
        <v>127.1</v>
      </c>
      <c r="AA346" s="82"/>
      <c r="AB346" s="75"/>
      <c r="AC346" s="75"/>
      <c r="AD346" s="166"/>
      <c r="AE346" s="75">
        <v>5.1150000000000002</v>
      </c>
      <c r="AF346" s="82">
        <v>5</v>
      </c>
      <c r="AG346" s="82">
        <v>1</v>
      </c>
      <c r="AH346" s="82">
        <v>1</v>
      </c>
      <c r="AI346" s="82">
        <v>2.0000000000436557</v>
      </c>
      <c r="AJ346" s="166">
        <v>5.1151200000000001</v>
      </c>
      <c r="AK346" s="82" t="str">
        <v>Base</v>
      </c>
      <c r="AL346" s="162">
        <v>-15</v>
      </c>
      <c r="AM346" s="162">
        <v>-2.9448949404755744</v>
      </c>
      <c r="AN346" s="162">
        <v>-0.42772626452099005</v>
      </c>
      <c r="AO346" s="162">
        <v>18.764382264774945</v>
      </c>
      <c r="AP346" s="162">
        <v>-15.875853085721719</v>
      </c>
      <c r="AQ346" s="162">
        <v>0</v>
      </c>
      <c r="AR346" s="710" t="str">
        <v>1613 Ripper.par</v>
      </c>
      <c r="AV346" s="82" t="str">
        <v>0,102,204</v>
      </c>
      <c r="AW346" s="947">
        <v>18</v>
      </c>
      <c r="AX346" s="947">
        <v>18.764382264774945</v>
      </c>
      <c r="AY346" s="947">
        <v>0</v>
      </c>
    </row>
    <row r="347" spans="4:51" x14ac:dyDescent="0.25">
      <c r="D347" s="164">
        <v>5.1269999999999998</v>
      </c>
      <c r="E347">
        <f t="shared" si="1096"/>
        <v>202.74262326099682</v>
      </c>
      <c r="F347">
        <f t="shared" si="1097"/>
        <v>4.1236875593669096</v>
      </c>
      <c r="G347">
        <f t="shared" si="1098"/>
        <v>-1.1474560089658508</v>
      </c>
      <c r="H347">
        <f t="shared" si="1099"/>
        <v>-49.590063364549835</v>
      </c>
      <c r="I347">
        <f t="shared" si="1100"/>
        <v>21.963435541553316</v>
      </c>
      <c r="J347" s="974">
        <v>146.1</v>
      </c>
      <c r="AA347" s="82"/>
      <c r="AB347" s="75"/>
      <c r="AC347" s="75"/>
      <c r="AD347" s="166"/>
      <c r="AE347" s="75">
        <v>5.109</v>
      </c>
      <c r="AF347" s="82">
        <v>5</v>
      </c>
      <c r="AG347" s="82">
        <v>1</v>
      </c>
      <c r="AH347" s="82">
        <v>1</v>
      </c>
      <c r="AI347" s="82">
        <v>1.9999999999708962</v>
      </c>
      <c r="AJ347" s="166">
        <v>5.1091199999999999</v>
      </c>
      <c r="AK347" s="82" t="str">
        <v>Base</v>
      </c>
      <c r="AL347" s="162">
        <v>-15</v>
      </c>
      <c r="AM347" s="162">
        <v>-2.2084164912059197</v>
      </c>
      <c r="AN347" s="162">
        <v>-0.31550273223648229</v>
      </c>
      <c r="AO347" s="162">
        <v>3.2628915737279782</v>
      </c>
      <c r="AP347" s="162">
        <v>-15.964055654186145</v>
      </c>
      <c r="AQ347" s="162">
        <v>0</v>
      </c>
      <c r="AR347" s="710" t="str">
        <v>1613 Ripper.par</v>
      </c>
      <c r="AV347" s="82" t="str">
        <v>0,102,204</v>
      </c>
      <c r="AW347" s="947">
        <v>-1</v>
      </c>
      <c r="AX347" s="947">
        <v>3.2628915737279782</v>
      </c>
      <c r="AY347" s="947">
        <v>0</v>
      </c>
    </row>
    <row r="348" spans="4:51" x14ac:dyDescent="0.25">
      <c r="D348" s="164">
        <v>5.133</v>
      </c>
      <c r="E348">
        <f t="shared" si="1096"/>
        <v>202.2286459918156</v>
      </c>
      <c r="F348">
        <f t="shared" si="1097"/>
        <v>4.4701542294164271</v>
      </c>
      <c r="G348">
        <f t="shared" si="1098"/>
        <v>-1.8077523837802918</v>
      </c>
      <c r="H348">
        <f t="shared" si="1099"/>
        <v>-64.793428678397888</v>
      </c>
      <c r="I348">
        <f t="shared" si="1100"/>
        <v>25.310505283617825</v>
      </c>
      <c r="J348" s="974">
        <v>164.9</v>
      </c>
      <c r="AA348" s="82"/>
      <c r="AB348" s="75"/>
      <c r="AC348" s="75"/>
      <c r="AD348" s="166"/>
      <c r="AE348" s="75">
        <v>5.1059999999999999</v>
      </c>
      <c r="AF348" s="82">
        <v>5</v>
      </c>
      <c r="AG348" s="82">
        <v>1</v>
      </c>
      <c r="AH348" s="82">
        <v>1</v>
      </c>
      <c r="AI348" s="82">
        <v>1.9999999999708962</v>
      </c>
      <c r="AJ348" s="166">
        <v>5.1061199999999998</v>
      </c>
      <c r="AK348" s="82" t="str">
        <v>Base</v>
      </c>
      <c r="AL348" s="162">
        <v>-15</v>
      </c>
      <c r="AM348" s="162">
        <v>-1.5014283394123136</v>
      </c>
      <c r="AN348" s="162">
        <v>-0.44311131314895708</v>
      </c>
      <c r="AO348" s="162">
        <v>-3.5543907468982434</v>
      </c>
      <c r="AP348" s="162">
        <v>-16.029154803271066</v>
      </c>
      <c r="AQ348" s="162">
        <v>0</v>
      </c>
      <c r="AR348" s="710" t="str">
        <v>1613.par</v>
      </c>
      <c r="AV348" s="82" t="str">
        <v>0,102,204</v>
      </c>
      <c r="AW348" s="947">
        <v>-19.400000000000006</v>
      </c>
      <c r="AX348" s="947">
        <v>-3.5543907468982434</v>
      </c>
      <c r="AY348" s="947">
        <v>0</v>
      </c>
    </row>
    <row r="349" spans="4:51" x14ac:dyDescent="0.25">
      <c r="D349" s="164">
        <v>5.1390000000000002</v>
      </c>
      <c r="E349">
        <f t="shared" si="1096"/>
        <v>201.98314205071222</v>
      </c>
      <c r="F349">
        <f t="shared" si="1097"/>
        <v>4.6273483266927622</v>
      </c>
      <c r="G349">
        <f t="shared" si="1098"/>
        <v>-2.5365926546600965</v>
      </c>
      <c r="H349">
        <f t="shared" si="1099"/>
        <v>-79.931174495836203</v>
      </c>
      <c r="I349">
        <f t="shared" si="1100"/>
        <v>28.666466441807767</v>
      </c>
      <c r="J349" s="974">
        <v>175</v>
      </c>
      <c r="AA349" s="82"/>
      <c r="AB349" s="75"/>
      <c r="AC349" s="75"/>
      <c r="AD349" s="166"/>
      <c r="AE349" s="75">
        <v>5.1029999999999998</v>
      </c>
      <c r="AF349" s="82">
        <v>5</v>
      </c>
      <c r="AG349" s="82">
        <v>1</v>
      </c>
      <c r="AH349" s="82">
        <v>1</v>
      </c>
      <c r="AI349" s="82">
        <v>1.9999999999708962</v>
      </c>
      <c r="AJ349" s="166">
        <v>5.1031199999999997</v>
      </c>
      <c r="AK349" s="82" t="str">
        <v>Base</v>
      </c>
      <c r="AL349" s="162">
        <v>-15</v>
      </c>
      <c r="AM349" s="162">
        <v>-0.80633962298272444</v>
      </c>
      <c r="AN349" s="162">
        <v>-0.69556520233439689</v>
      </c>
      <c r="AO349" s="162">
        <v>-8.4007263319275101</v>
      </c>
      <c r="AP349" s="162">
        <v>-17.146907594407718</v>
      </c>
      <c r="AQ349" s="162">
        <v>0</v>
      </c>
      <c r="AR349" s="710" t="str">
        <v>1613.par</v>
      </c>
      <c r="AV349" s="82" t="str">
        <v>0,102,204</v>
      </c>
      <c r="AW349" s="947">
        <v>-20</v>
      </c>
      <c r="AX349" s="947">
        <v>-8.4007263319275101</v>
      </c>
      <c r="AY349" s="947">
        <v>0</v>
      </c>
    </row>
    <row r="350" spans="4:51" x14ac:dyDescent="0.25">
      <c r="D350" s="164">
        <v>5.1449999999999996</v>
      </c>
      <c r="E350">
        <f t="shared" si="1096"/>
        <v>201.89800655149767</v>
      </c>
      <c r="F350">
        <f t="shared" si="1097"/>
        <v>4.6815983957116218</v>
      </c>
      <c r="G350">
        <f t="shared" si="1098"/>
        <v>-3.3419917150732079</v>
      </c>
      <c r="H350">
        <f t="shared" si="1099"/>
        <v>-84.967735525253516</v>
      </c>
      <c r="I350">
        <f t="shared" si="1100"/>
        <v>29.788825501047679</v>
      </c>
      <c r="J350" s="974">
        <v>175</v>
      </c>
      <c r="AA350" s="82"/>
      <c r="AB350" s="75"/>
      <c r="AC350" s="75"/>
      <c r="AD350" s="166"/>
      <c r="AE350" s="75">
        <v>4.242</v>
      </c>
      <c r="AF350" s="82">
        <v>4</v>
      </c>
      <c r="AG350" s="82">
        <v>2</v>
      </c>
      <c r="AH350" s="82">
        <v>1</v>
      </c>
      <c r="AI350" s="82">
        <v>1.9999999999708962</v>
      </c>
      <c r="AJ350" s="166">
        <v>4.2421199999999999</v>
      </c>
      <c r="AK350" s="82" t="str">
        <v>Base</v>
      </c>
      <c r="AL350" s="162">
        <v>-14.25</v>
      </c>
      <c r="AM350" s="162">
        <v>-4.6672539023601338</v>
      </c>
      <c r="AN350" s="162">
        <v>-3.1997806951552579</v>
      </c>
      <c r="AO350" s="162">
        <v>84.999987727520178</v>
      </c>
      <c r="AP350" s="162">
        <v>0</v>
      </c>
      <c r="AQ350" s="162">
        <v>0</v>
      </c>
      <c r="AR350" s="710" t="str">
        <v>32193r1.par</v>
      </c>
      <c r="AV350" s="82" t="str">
        <v>91,255,255</v>
      </c>
      <c r="AW350" s="947">
        <v>85</v>
      </c>
      <c r="AX350" s="947">
        <v>84.999987727520178</v>
      </c>
      <c r="AY350" s="947">
        <v>0</v>
      </c>
    </row>
    <row r="351" spans="4:51" x14ac:dyDescent="0.25">
      <c r="D351" s="164">
        <v>6.1139999999999999</v>
      </c>
      <c r="E351">
        <f t="shared" si="1096"/>
        <v>145.25014094761141</v>
      </c>
      <c r="F351">
        <f t="shared" si="1097"/>
        <v>2.8255246930323525</v>
      </c>
      <c r="G351">
        <f t="shared" si="1098"/>
        <v>-0.22875889631209909</v>
      </c>
      <c r="H351">
        <f t="shared" si="1099"/>
        <v>-16.193879336207964</v>
      </c>
      <c r="I351">
        <f t="shared" si="1100"/>
        <v>15.887002584969139</v>
      </c>
      <c r="J351" s="974">
        <v>104.8</v>
      </c>
      <c r="AA351" s="82"/>
      <c r="AB351" s="75"/>
      <c r="AC351" s="75"/>
      <c r="AD351" s="166"/>
      <c r="AE351" s="75">
        <v>4.2359999999999998</v>
      </c>
      <c r="AF351" s="82">
        <v>4</v>
      </c>
      <c r="AG351" s="82">
        <v>2</v>
      </c>
      <c r="AH351" s="82">
        <v>1</v>
      </c>
      <c r="AI351" s="82">
        <v>1.9999999999708962</v>
      </c>
      <c r="AJ351" s="166">
        <v>4.2361199999999997</v>
      </c>
      <c r="AK351" s="82" t="str">
        <v>Base</v>
      </c>
      <c r="AL351" s="162">
        <v>-14.25</v>
      </c>
      <c r="AM351" s="162">
        <v>-4.5661780150713582</v>
      </c>
      <c r="AN351" s="162">
        <v>-2.4015117204850966</v>
      </c>
      <c r="AO351" s="162">
        <v>84.099987857464086</v>
      </c>
      <c r="AP351" s="162">
        <v>0</v>
      </c>
      <c r="AQ351" s="162">
        <v>0</v>
      </c>
      <c r="AR351" s="710" t="str">
        <v>32193r1.par</v>
      </c>
      <c r="AV351" s="82" t="str">
        <v>91,255,255</v>
      </c>
      <c r="AW351" s="947">
        <v>84.1</v>
      </c>
      <c r="AX351" s="947">
        <v>84.099987857464086</v>
      </c>
      <c r="AY351" s="947">
        <v>0</v>
      </c>
    </row>
    <row r="352" spans="4:51" x14ac:dyDescent="0.25">
      <c r="D352" s="164">
        <v>6.12</v>
      </c>
      <c r="E352">
        <f t="shared" si="1096"/>
        <v>144.57924207445444</v>
      </c>
      <c r="F352">
        <f t="shared" si="1097"/>
        <v>3.5023090784645645</v>
      </c>
      <c r="G352">
        <f t="shared" si="1098"/>
        <v>-0.54068275317767045</v>
      </c>
      <c r="H352">
        <f t="shared" si="1099"/>
        <v>-31.697301739955826</v>
      </c>
      <c r="I352">
        <f t="shared" si="1100"/>
        <v>18.074864417424092</v>
      </c>
      <c r="J352" s="974">
        <v>123.9</v>
      </c>
      <c r="AA352" s="82"/>
      <c r="AB352" s="75"/>
      <c r="AC352" s="75"/>
      <c r="AD352" s="166"/>
      <c r="AE352" s="75">
        <v>4.2300000000000004</v>
      </c>
      <c r="AF352" s="82">
        <v>4</v>
      </c>
      <c r="AG352" s="82">
        <v>2</v>
      </c>
      <c r="AH352" s="82">
        <v>1</v>
      </c>
      <c r="AI352" s="82">
        <v>2.0000000000436557</v>
      </c>
      <c r="AJ352" s="166">
        <v>4.2301200000000003</v>
      </c>
      <c r="AK352" s="82" t="str">
        <v>Base</v>
      </c>
      <c r="AL352" s="162">
        <v>-14.25</v>
      </c>
      <c r="AM352" s="162">
        <v>-4.3206141215657672</v>
      </c>
      <c r="AN352" s="162">
        <v>-1.6984506484109922</v>
      </c>
      <c r="AO352" s="162">
        <v>65.499990542971446</v>
      </c>
      <c r="AP352" s="162">
        <v>0</v>
      </c>
      <c r="AQ352" s="162">
        <v>0</v>
      </c>
      <c r="AR352" s="710" t="str">
        <v>32193r1.par</v>
      </c>
      <c r="AV352" s="82" t="str">
        <v>91,255,255</v>
      </c>
      <c r="AW352" s="947">
        <v>65.5</v>
      </c>
      <c r="AX352" s="947">
        <v>65.499990542971446</v>
      </c>
      <c r="AY352" s="947">
        <v>0</v>
      </c>
    </row>
    <row r="353" spans="4:51" x14ac:dyDescent="0.25">
      <c r="D353" s="164">
        <v>6.1260000000000003</v>
      </c>
      <c r="E353">
        <f t="shared" si="1096"/>
        <v>143.85681750432769</v>
      </c>
      <c r="F353">
        <f t="shared" si="1097"/>
        <v>4.0484387926423295</v>
      </c>
      <c r="G353">
        <f t="shared" si="1098"/>
        <v>-1.0480802271998733</v>
      </c>
      <c r="H353">
        <f t="shared" si="1099"/>
        <v>-47.046749081946118</v>
      </c>
      <c r="I353">
        <f t="shared" si="1100"/>
        <v>21.406663959613159</v>
      </c>
      <c r="J353" s="974">
        <v>142.9</v>
      </c>
      <c r="AA353" s="82"/>
      <c r="AB353" s="75"/>
      <c r="AC353" s="75"/>
      <c r="AD353" s="166"/>
      <c r="AE353" s="75">
        <v>4.2240000000000002</v>
      </c>
      <c r="AF353" s="82">
        <v>4</v>
      </c>
      <c r="AG353" s="82">
        <v>2</v>
      </c>
      <c r="AH353" s="82">
        <v>1</v>
      </c>
      <c r="AI353" s="82">
        <v>2.0000000000436557</v>
      </c>
      <c r="AJ353" s="166">
        <v>4.2241200000000001</v>
      </c>
      <c r="AK353" s="82" t="str">
        <v>Base</v>
      </c>
      <c r="AL353" s="162">
        <v>-14.25</v>
      </c>
      <c r="AM353" s="162">
        <v>-3.9067904300618412</v>
      </c>
      <c r="AN353" s="162">
        <v>-1.0687292258981529</v>
      </c>
      <c r="AO353" s="162">
        <v>42.087330809158544</v>
      </c>
      <c r="AP353" s="162">
        <v>-25.301810178738418</v>
      </c>
      <c r="AQ353" s="162">
        <v>0</v>
      </c>
      <c r="AR353" s="710" t="str">
        <v>1313.par</v>
      </c>
      <c r="AV353" s="82" t="str">
        <v>91,255,255</v>
      </c>
      <c r="AW353" s="947">
        <v>46.599999999999994</v>
      </c>
      <c r="AX353" s="947">
        <v>42.087330809158544</v>
      </c>
      <c r="AY353" s="947">
        <v>0</v>
      </c>
    </row>
    <row r="354" spans="4:51" x14ac:dyDescent="0.25">
      <c r="D354" s="164">
        <v>6.1319999999999997</v>
      </c>
      <c r="E354">
        <f t="shared" si="1096"/>
        <v>143.29523025037429</v>
      </c>
      <c r="F354">
        <f t="shared" si="1097"/>
        <v>4.4252775449577486</v>
      </c>
      <c r="G354">
        <f t="shared" si="1098"/>
        <v>-1.6914071155475288</v>
      </c>
      <c r="H354">
        <f t="shared" si="1099"/>
        <v>-62.265059341656865</v>
      </c>
      <c r="I354">
        <f t="shared" si="1100"/>
        <v>24.751978224299812</v>
      </c>
      <c r="J354" s="974">
        <v>161.80000000000001</v>
      </c>
      <c r="AA354" s="82"/>
      <c r="AB354" s="75"/>
      <c r="AC354" s="75"/>
      <c r="AD354" s="166"/>
      <c r="AE354" s="75">
        <v>4.218</v>
      </c>
      <c r="AF354" s="82">
        <v>4</v>
      </c>
      <c r="AG354" s="82">
        <v>2</v>
      </c>
      <c r="AH354" s="82">
        <v>1</v>
      </c>
      <c r="AI354" s="82">
        <v>1.9999999999708962</v>
      </c>
      <c r="AJ354" s="166">
        <v>4.2181199999999999</v>
      </c>
      <c r="AK354" s="82" t="str">
        <v>Base</v>
      </c>
      <c r="AL354" s="162">
        <v>-14.25</v>
      </c>
      <c r="AM354" s="162">
        <v>-3.3040777583800769</v>
      </c>
      <c r="AN354" s="162">
        <v>-0.61452667477471234</v>
      </c>
      <c r="AO354" s="162">
        <v>26.794015628638547</v>
      </c>
      <c r="AP354" s="162">
        <v>-21.97339278431285</v>
      </c>
      <c r="AQ354" s="162">
        <v>0</v>
      </c>
      <c r="AR354" s="710" t="str">
        <v>1310.par</v>
      </c>
      <c r="AV354" s="82" t="str">
        <v>91,255,255</v>
      </c>
      <c r="AW354" s="947">
        <v>27.5</v>
      </c>
      <c r="AX354" s="947">
        <v>26.794015628638547</v>
      </c>
      <c r="AY354" s="947">
        <v>0</v>
      </c>
    </row>
    <row r="355" spans="4:51" x14ac:dyDescent="0.25">
      <c r="D355" s="164">
        <v>6.1379999999999999</v>
      </c>
      <c r="E355">
        <f t="shared" si="1096"/>
        <v>143.01139128546282</v>
      </c>
      <c r="F355">
        <f t="shared" si="1097"/>
        <v>4.6145982010924467</v>
      </c>
      <c r="G355">
        <f t="shared" si="1098"/>
        <v>-2.4125680495752624</v>
      </c>
      <c r="H355">
        <f t="shared" si="1099"/>
        <v>-77.411479062779947</v>
      </c>
      <c r="I355">
        <f t="shared" si="1100"/>
        <v>28.106608666641964</v>
      </c>
      <c r="J355" s="974">
        <v>175</v>
      </c>
      <c r="AA355" s="82"/>
      <c r="AB355" s="75"/>
      <c r="AC355" s="75"/>
      <c r="AD355" s="166"/>
      <c r="AE355" s="75">
        <v>4.1420000000000003</v>
      </c>
      <c r="AF355" s="82">
        <v>4</v>
      </c>
      <c r="AG355" s="82">
        <v>1</v>
      </c>
      <c r="AH355" s="82">
        <v>1</v>
      </c>
      <c r="AI355" s="82">
        <v>2.0000000000436557</v>
      </c>
      <c r="AJ355" s="166">
        <v>4.1421200000000002</v>
      </c>
      <c r="AK355" s="82" t="str">
        <v>Base</v>
      </c>
      <c r="AL355" s="162">
        <v>-13.5</v>
      </c>
      <c r="AM355" s="162">
        <v>-4.681598395711621</v>
      </c>
      <c r="AN355" s="162">
        <v>-3.208642387170157</v>
      </c>
      <c r="AO355" s="162">
        <v>84.967735525253488</v>
      </c>
      <c r="AP355" s="162">
        <v>-29.788825501047654</v>
      </c>
      <c r="AQ355" s="162">
        <v>0</v>
      </c>
      <c r="AR355" s="710" t="str">
        <v>1613.par</v>
      </c>
      <c r="AV355" s="82" t="str">
        <v>0,204,204</v>
      </c>
      <c r="AW355" s="947">
        <v>85</v>
      </c>
      <c r="AX355" s="947">
        <v>84.967735525253488</v>
      </c>
      <c r="AY355" s="947">
        <v>0</v>
      </c>
    </row>
    <row r="356" spans="4:51" x14ac:dyDescent="0.25">
      <c r="D356" s="164">
        <v>6.1440000000000001</v>
      </c>
      <c r="E356">
        <f t="shared" si="1096"/>
        <v>142.89801705516373</v>
      </c>
      <c r="F356">
        <f t="shared" si="1097"/>
        <v>4.6815981091732617</v>
      </c>
      <c r="G356">
        <f t="shared" si="1098"/>
        <v>-3.2169909373162522</v>
      </c>
      <c r="H356">
        <f t="shared" si="1099"/>
        <v>-84.967735829436208</v>
      </c>
      <c r="I356">
        <f t="shared" si="1100"/>
        <v>29.788827478517224</v>
      </c>
      <c r="J356" s="974">
        <v>175</v>
      </c>
      <c r="AA356" s="82"/>
      <c r="AB356" s="75"/>
      <c r="AC356" s="75"/>
      <c r="AD356" s="166"/>
      <c r="AE356" s="75">
        <v>4.1360000000000001</v>
      </c>
      <c r="AF356" s="82">
        <v>4</v>
      </c>
      <c r="AG356" s="82">
        <v>1</v>
      </c>
      <c r="AH356" s="82">
        <v>1</v>
      </c>
      <c r="AI356" s="82">
        <v>1.9999999999708962</v>
      </c>
      <c r="AJ356" s="166">
        <v>4.13612</v>
      </c>
      <c r="AK356" s="82" t="str">
        <v>Base</v>
      </c>
      <c r="AL356" s="162">
        <v>-13.5</v>
      </c>
      <c r="AM356" s="162">
        <v>-4.5729433964538257</v>
      </c>
      <c r="AN356" s="162">
        <v>-2.4088498945427337</v>
      </c>
      <c r="AO356" s="162">
        <v>72.368498147459562</v>
      </c>
      <c r="AP356" s="162">
        <v>-26.987508550221261</v>
      </c>
      <c r="AQ356" s="162">
        <v>0</v>
      </c>
      <c r="AR356" s="710" t="str">
        <v>1613.par</v>
      </c>
      <c r="AV356" s="82" t="str">
        <v>0,204,204</v>
      </c>
      <c r="AW356" s="947">
        <v>84.1</v>
      </c>
      <c r="AX356" s="947">
        <v>72.368498147459562</v>
      </c>
      <c r="AY356" s="947">
        <v>0</v>
      </c>
    </row>
    <row r="357" spans="4:51" x14ac:dyDescent="0.25">
      <c r="D357" s="982">
        <v>2.246</v>
      </c>
      <c r="E357">
        <f t="shared" si="1096"/>
        <v>7.3175372237543481</v>
      </c>
      <c r="F357">
        <f t="shared" si="1097"/>
        <v>4.6672539022786079</v>
      </c>
      <c r="G357">
        <f t="shared" si="1098"/>
        <v>-3.4847383831051117</v>
      </c>
      <c r="H357">
        <f t="shared" si="1099"/>
        <v>-84.999987727520192</v>
      </c>
      <c r="I357">
        <f t="shared" si="1100"/>
        <v>0</v>
      </c>
      <c r="AA357" s="82"/>
      <c r="AB357" s="75"/>
      <c r="AC357" s="75"/>
      <c r="AD357" s="166"/>
      <c r="AE357" s="75">
        <v>4.13</v>
      </c>
      <c r="AF357" s="82">
        <v>4</v>
      </c>
      <c r="AG357" s="82">
        <v>1</v>
      </c>
      <c r="AH357" s="82">
        <v>1</v>
      </c>
      <c r="AI357" s="82">
        <v>1.9999999999708962</v>
      </c>
      <c r="AJ357" s="166">
        <v>4.1301199999999998</v>
      </c>
      <c r="AK357" s="82" t="str">
        <v>Base</v>
      </c>
      <c r="AL357" s="162">
        <v>-13.5</v>
      </c>
      <c r="AM357" s="162">
        <v>-4.3199471297604974</v>
      </c>
      <c r="AN357" s="162">
        <v>-1.707981978759235</v>
      </c>
      <c r="AO357" s="162">
        <v>57.20232780701231</v>
      </c>
      <c r="AP357" s="162">
        <v>-23.635700041569176</v>
      </c>
      <c r="AQ357" s="162">
        <v>0</v>
      </c>
      <c r="AR357" s="710" t="str">
        <v>1613.par</v>
      </c>
      <c r="AV357" s="82" t="str">
        <v>0,204,204</v>
      </c>
      <c r="AW357" s="947">
        <v>65.5</v>
      </c>
      <c r="AX357" s="947">
        <v>57.20232780701231</v>
      </c>
      <c r="AY357" s="947">
        <v>0</v>
      </c>
    </row>
    <row r="358" spans="4:51" x14ac:dyDescent="0.25">
      <c r="AA358" s="82"/>
      <c r="AB358" s="75"/>
      <c r="AC358" s="75"/>
      <c r="AD358" s="166"/>
      <c r="AE358" s="75">
        <v>4.1239999999999997</v>
      </c>
      <c r="AF358" s="82">
        <v>4</v>
      </c>
      <c r="AG358" s="82">
        <v>1</v>
      </c>
      <c r="AH358" s="82">
        <v>1</v>
      </c>
      <c r="AI358" s="82">
        <v>1.9999999999708962</v>
      </c>
      <c r="AJ358" s="166">
        <v>4.1241199999999996</v>
      </c>
      <c r="AK358" s="82" t="str">
        <v>Base</v>
      </c>
      <c r="AL358" s="162">
        <v>-13.5</v>
      </c>
      <c r="AM358" s="162">
        <v>-3.8838408758893723</v>
      </c>
      <c r="AN358" s="162">
        <v>-1.104063817496939</v>
      </c>
      <c r="AO358" s="162">
        <v>41.94924363130859</v>
      </c>
      <c r="AP358" s="162">
        <v>-20.294240984608646</v>
      </c>
      <c r="AQ358" s="162">
        <v>0</v>
      </c>
      <c r="AR358" s="710" t="str">
        <v>1613.par</v>
      </c>
      <c r="AV358" s="82" t="str">
        <v>0,204,204</v>
      </c>
      <c r="AW358" s="947">
        <v>46.599999999999994</v>
      </c>
      <c r="AX358" s="947">
        <v>41.94924363130859</v>
      </c>
      <c r="AY358" s="947">
        <v>0</v>
      </c>
    </row>
    <row r="359" spans="4:51" x14ac:dyDescent="0.25">
      <c r="AA359" s="82"/>
      <c r="AB359" s="75"/>
      <c r="AC359" s="75"/>
      <c r="AD359" s="166"/>
      <c r="AE359" s="75">
        <v>4.1180000000000003</v>
      </c>
      <c r="AF359" s="82">
        <v>4</v>
      </c>
      <c r="AG359" s="82">
        <v>1</v>
      </c>
      <c r="AH359" s="82">
        <v>1</v>
      </c>
      <c r="AI359" s="82">
        <v>2.0000000000436557</v>
      </c>
      <c r="AJ359" s="166">
        <v>4.1181200000000002</v>
      </c>
      <c r="AK359" s="82" t="str">
        <v>Base</v>
      </c>
      <c r="AL359" s="162">
        <v>-13.5</v>
      </c>
      <c r="AM359" s="162">
        <v>-3.2885567842225605</v>
      </c>
      <c r="AN359" s="162">
        <v>-0.65654275059677725</v>
      </c>
      <c r="AO359" s="162">
        <v>26.532266593200465</v>
      </c>
      <c r="AP359" s="162">
        <v>-16.96871890548951</v>
      </c>
      <c r="AQ359" s="162">
        <v>0</v>
      </c>
      <c r="AR359" s="710" t="str">
        <v>1613.par</v>
      </c>
      <c r="AV359" s="82" t="str">
        <v>0,204,204</v>
      </c>
      <c r="AW359" s="947">
        <v>27.5</v>
      </c>
      <c r="AX359" s="947">
        <v>26.532266593200465</v>
      </c>
      <c r="AY359" s="947">
        <v>0</v>
      </c>
    </row>
    <row r="360" spans="4:51" x14ac:dyDescent="0.25">
      <c r="AA360" s="82"/>
      <c r="AB360" s="75"/>
      <c r="AC360" s="75"/>
      <c r="AD360" s="166"/>
      <c r="AE360" s="75">
        <v>4.1120000000000001</v>
      </c>
      <c r="AF360" s="82">
        <v>4</v>
      </c>
      <c r="AG360" s="82">
        <v>1</v>
      </c>
      <c r="AH360" s="82">
        <v>1</v>
      </c>
      <c r="AI360" s="82">
        <v>1.9999999999708962</v>
      </c>
      <c r="AJ360" s="166">
        <v>4.11212</v>
      </c>
      <c r="AK360" s="82" t="str">
        <v>Base</v>
      </c>
      <c r="AL360" s="162">
        <v>-13.5</v>
      </c>
      <c r="AM360" s="162">
        <v>-2.5814940171882013</v>
      </c>
      <c r="AN360" s="162">
        <v>-0.42221546871082272</v>
      </c>
      <c r="AO360" s="162">
        <v>11.038949585803891</v>
      </c>
      <c r="AP360" s="162">
        <v>-15.912950944662017</v>
      </c>
      <c r="AQ360" s="162">
        <v>0</v>
      </c>
      <c r="AR360" s="710" t="str">
        <v>1613.par</v>
      </c>
      <c r="AV360" s="82" t="str">
        <v>0,204,204</v>
      </c>
      <c r="AW360" s="947">
        <v>8.5</v>
      </c>
      <c r="AX360" s="947">
        <v>11.038949585803891</v>
      </c>
      <c r="AY360" s="947">
        <v>0</v>
      </c>
    </row>
    <row r="361" spans="4:51" x14ac:dyDescent="0.25">
      <c r="AA361" s="82"/>
      <c r="AB361" s="75"/>
      <c r="AC361" s="75"/>
      <c r="AD361" s="166"/>
      <c r="AE361" s="75">
        <v>3.2429999999999999</v>
      </c>
      <c r="AF361" s="82">
        <v>3</v>
      </c>
      <c r="AG361" s="82">
        <v>2</v>
      </c>
      <c r="AH361" s="82">
        <v>1</v>
      </c>
      <c r="AI361" s="82">
        <v>1.9999999999708962</v>
      </c>
      <c r="AJ361" s="166">
        <v>3.2431199999999998</v>
      </c>
      <c r="AK361" s="82" t="str">
        <v>Base</v>
      </c>
      <c r="AL361" s="162">
        <v>-12.75</v>
      </c>
      <c r="AM361" s="162">
        <v>-4.6672539023601338</v>
      </c>
      <c r="AN361" s="162">
        <v>-3.4093571491718619</v>
      </c>
      <c r="AO361" s="162">
        <v>84.999987727520192</v>
      </c>
      <c r="AP361" s="162">
        <v>0</v>
      </c>
      <c r="AQ361" s="162">
        <v>0</v>
      </c>
      <c r="AR361" s="710" t="str">
        <v>32193r1.par</v>
      </c>
      <c r="AV361" s="82" t="str">
        <v>97,255,97</v>
      </c>
      <c r="AW361" s="947">
        <v>85</v>
      </c>
      <c r="AX361" s="947">
        <v>84.999987727520192</v>
      </c>
      <c r="AY361" s="947">
        <v>0</v>
      </c>
    </row>
    <row r="362" spans="4:51" x14ac:dyDescent="0.25">
      <c r="AE362">
        <v>3.2370000000000001</v>
      </c>
      <c r="AF362" s="82">
        <v>3</v>
      </c>
      <c r="AG362">
        <v>2</v>
      </c>
      <c r="AH362">
        <v>1</v>
      </c>
      <c r="AI362">
        <v>2.000000000007276</v>
      </c>
      <c r="AJ362">
        <v>3.23712</v>
      </c>
      <c r="AK362" t="str">
        <v>Base</v>
      </c>
      <c r="AL362">
        <v>-12.75</v>
      </c>
      <c r="AM362">
        <v>-4.6181734655583746</v>
      </c>
      <c r="AN362">
        <v>-2.5999205502232301</v>
      </c>
      <c r="AO362">
        <v>74.891136988870954</v>
      </c>
      <c r="AP362">
        <v>-27.547953825498922</v>
      </c>
      <c r="AQ362">
        <v>0</v>
      </c>
      <c r="AR362" t="str">
        <v>1313.par</v>
      </c>
      <c r="AV362" t="str">
        <v>97,255,97</v>
      </c>
      <c r="AW362" s="31">
        <v>85</v>
      </c>
      <c r="AX362" s="31">
        <v>74.891136988870954</v>
      </c>
      <c r="AY362" s="31">
        <v>0</v>
      </c>
    </row>
    <row r="363" spans="4:51" x14ac:dyDescent="0.25">
      <c r="AE363">
        <v>3.2309999999999999</v>
      </c>
      <c r="AF363" s="82">
        <v>3</v>
      </c>
      <c r="AG363">
        <v>2</v>
      </c>
      <c r="AH363">
        <v>1</v>
      </c>
      <c r="AI363">
        <v>1.9999999999708962</v>
      </c>
      <c r="AJ363">
        <v>3.2311199999999998</v>
      </c>
      <c r="AK363" t="str">
        <v>Base</v>
      </c>
      <c r="AL363">
        <v>-12.75</v>
      </c>
      <c r="AM363">
        <v>-4.3957449530886858</v>
      </c>
      <c r="AN363">
        <v>-1.8832926057456179</v>
      </c>
      <c r="AO363">
        <v>59.736004521697225</v>
      </c>
      <c r="AP363">
        <v>-24.194668033190343</v>
      </c>
      <c r="AQ363">
        <v>0</v>
      </c>
      <c r="AR363" t="str">
        <v>1313.par</v>
      </c>
      <c r="AV363" t="str">
        <v>97,255,97</v>
      </c>
      <c r="AW363" s="31">
        <v>68.699999999999989</v>
      </c>
      <c r="AX363" s="31">
        <v>59.736004521697225</v>
      </c>
      <c r="AY363" s="31">
        <v>0</v>
      </c>
    </row>
    <row r="364" spans="4:51" x14ac:dyDescent="0.25">
      <c r="AE364">
        <v>3.2250000000000001</v>
      </c>
      <c r="AF364" s="82">
        <v>3</v>
      </c>
      <c r="AG364">
        <v>2</v>
      </c>
      <c r="AH364">
        <v>1</v>
      </c>
      <c r="AI364">
        <v>2.000000000007276</v>
      </c>
      <c r="AJ364">
        <v>3.22512</v>
      </c>
      <c r="AK364" t="str">
        <v>Base</v>
      </c>
      <c r="AL364">
        <v>-12.75</v>
      </c>
      <c r="AM364">
        <v>-3.9860265597372924</v>
      </c>
      <c r="AN364">
        <v>-1.2526350370388739</v>
      </c>
      <c r="AO364">
        <v>44.502166526717595</v>
      </c>
      <c r="AP364">
        <v>-20.851088795337319</v>
      </c>
      <c r="AQ364">
        <v>0</v>
      </c>
      <c r="AR364" t="str">
        <v>1313.par</v>
      </c>
      <c r="AV364" t="str">
        <v>97,255,97</v>
      </c>
      <c r="AW364" s="31">
        <v>49.800000000000011</v>
      </c>
      <c r="AX364" s="31">
        <v>44.502166526717595</v>
      </c>
      <c r="AY364" s="31">
        <v>0</v>
      </c>
    </row>
    <row r="365" spans="4:51" x14ac:dyDescent="0.25">
      <c r="AE365">
        <v>3.2189999999999999</v>
      </c>
      <c r="AF365" s="82">
        <v>3</v>
      </c>
      <c r="AG365">
        <v>2</v>
      </c>
      <c r="AH365">
        <v>1</v>
      </c>
      <c r="AI365">
        <v>1.9999999999708962</v>
      </c>
      <c r="AJ365">
        <v>3.2191199999999998</v>
      </c>
      <c r="AK365" t="str">
        <v>Base</v>
      </c>
      <c r="AL365">
        <v>-12.75</v>
      </c>
      <c r="AM365">
        <v>-3.4100032048876927</v>
      </c>
      <c r="AN365">
        <v>-0.76834481809183175</v>
      </c>
      <c r="AO365">
        <v>29.122098100860278</v>
      </c>
      <c r="AP365">
        <v>-17.522031550884623</v>
      </c>
      <c r="AQ365">
        <v>0</v>
      </c>
      <c r="AR365" t="str">
        <v>1313.par</v>
      </c>
      <c r="AV365" t="str">
        <v>97,255,97</v>
      </c>
      <c r="AW365" s="31">
        <v>30.700000000000003</v>
      </c>
      <c r="AX365" s="31">
        <v>29.122098100860278</v>
      </c>
      <c r="AY365" s="31">
        <v>0</v>
      </c>
    </row>
    <row r="366" spans="4:51" x14ac:dyDescent="0.25">
      <c r="AE366">
        <v>3.2130000000000001</v>
      </c>
      <c r="AF366" s="82">
        <v>3</v>
      </c>
      <c r="AG366">
        <v>2</v>
      </c>
      <c r="AH366">
        <v>1</v>
      </c>
      <c r="AI366">
        <v>2.000000000007276</v>
      </c>
      <c r="AJ366">
        <v>3.21312</v>
      </c>
      <c r="AK366" t="str">
        <v>Base</v>
      </c>
      <c r="AL366">
        <v>-12.75</v>
      </c>
      <c r="AM366">
        <v>-2.7110233796627212</v>
      </c>
      <c r="AN366">
        <v>-0.48910058637877157</v>
      </c>
      <c r="AO366">
        <v>13.622378361018271</v>
      </c>
      <c r="AP366">
        <v>-15.899551033654374</v>
      </c>
      <c r="AQ366">
        <v>0</v>
      </c>
      <c r="AR366" t="str">
        <v>1310.par</v>
      </c>
      <c r="AV366" t="str">
        <v>97,255,97</v>
      </c>
      <c r="AW366" s="31">
        <v>11.599999999999994</v>
      </c>
      <c r="AX366" s="31">
        <v>13.622378361018271</v>
      </c>
      <c r="AY366" s="31">
        <v>0</v>
      </c>
    </row>
    <row r="367" spans="4:51" x14ac:dyDescent="0.25">
      <c r="AE367">
        <v>3.1429999999999998</v>
      </c>
      <c r="AF367" s="82">
        <v>3</v>
      </c>
      <c r="AG367">
        <v>1</v>
      </c>
      <c r="AH367">
        <v>1</v>
      </c>
      <c r="AI367">
        <v>1.9999999999708962</v>
      </c>
      <c r="AJ367">
        <v>3.1431199999999997</v>
      </c>
      <c r="AK367" t="str">
        <v>Base</v>
      </c>
      <c r="AL367">
        <v>-12</v>
      </c>
      <c r="AM367">
        <v>-4.681598395711621</v>
      </c>
      <c r="AN367">
        <v>-3.4183653511270378</v>
      </c>
      <c r="AO367">
        <v>84.967735525253474</v>
      </c>
      <c r="AP367">
        <v>-29.788825501047665</v>
      </c>
      <c r="AQ367">
        <v>0</v>
      </c>
      <c r="AR367" t="str">
        <v>1613.par</v>
      </c>
      <c r="AV367" t="str">
        <v>0,204,0</v>
      </c>
      <c r="AW367" s="31">
        <v>85</v>
      </c>
      <c r="AX367" s="31">
        <v>84.967735525253474</v>
      </c>
      <c r="AY367" s="31">
        <v>0</v>
      </c>
    </row>
    <row r="368" spans="4:51" x14ac:dyDescent="0.25">
      <c r="AE368">
        <v>3.137</v>
      </c>
      <c r="AF368" s="82">
        <v>3</v>
      </c>
      <c r="AG368">
        <v>1</v>
      </c>
      <c r="AH368">
        <v>1</v>
      </c>
      <c r="AI368">
        <v>2.000000000007276</v>
      </c>
      <c r="AJ368">
        <v>3.1371199999999999</v>
      </c>
      <c r="AK368" t="str">
        <v>Base</v>
      </c>
      <c r="AL368">
        <v>-12</v>
      </c>
      <c r="AM368">
        <v>-4.5964638899832382</v>
      </c>
      <c r="AN368">
        <v>-2.6158962816236895</v>
      </c>
      <c r="AO368">
        <v>74.890618752992069</v>
      </c>
      <c r="AP368">
        <v>-27.546952600410776</v>
      </c>
      <c r="AQ368">
        <v>0</v>
      </c>
      <c r="AR368" t="str">
        <v>1613 Ripper.par</v>
      </c>
      <c r="AV368" t="str">
        <v>0,204,0</v>
      </c>
      <c r="AW368" s="31">
        <v>85</v>
      </c>
      <c r="AX368" s="31">
        <v>74.890618752992069</v>
      </c>
      <c r="AY368" s="31">
        <v>0</v>
      </c>
    </row>
    <row r="369" spans="31:51" x14ac:dyDescent="0.25">
      <c r="AE369">
        <v>3.1309999999999998</v>
      </c>
      <c r="AF369" s="82">
        <v>3</v>
      </c>
      <c r="AG369">
        <v>1</v>
      </c>
      <c r="AH369">
        <v>1</v>
      </c>
      <c r="AI369">
        <v>1.9999999999708962</v>
      </c>
      <c r="AJ369">
        <v>3.1311199999999997</v>
      </c>
      <c r="AK369" t="str">
        <v>Base</v>
      </c>
      <c r="AL369">
        <v>-12</v>
      </c>
      <c r="AM369">
        <v>-4.3752091699871158</v>
      </c>
      <c r="AN369">
        <v>-1.9042732599493115</v>
      </c>
      <c r="AO369">
        <v>59.734754558642074</v>
      </c>
      <c r="AP369">
        <v>-24.193705600630707</v>
      </c>
      <c r="AQ369">
        <v>0</v>
      </c>
      <c r="AR369" t="str">
        <v>1613 Ripper.par</v>
      </c>
      <c r="AV369" t="str">
        <v>0,204,0</v>
      </c>
      <c r="AW369" s="31">
        <v>68.699999999999989</v>
      </c>
      <c r="AX369" s="31">
        <v>59.734754558642074</v>
      </c>
      <c r="AY369" s="31">
        <v>0</v>
      </c>
    </row>
    <row r="370" spans="31:51" x14ac:dyDescent="0.25">
      <c r="AE370">
        <v>3.125</v>
      </c>
      <c r="AF370" s="82">
        <v>3</v>
      </c>
      <c r="AG370">
        <v>1</v>
      </c>
      <c r="AH370">
        <v>1</v>
      </c>
      <c r="AI370">
        <v>2.000000000007276</v>
      </c>
      <c r="AJ370">
        <v>3.1251199999999999</v>
      </c>
      <c r="AK370" t="str">
        <v>Base</v>
      </c>
      <c r="AL370">
        <v>-12</v>
      </c>
      <c r="AM370">
        <v>-3.968490567910163</v>
      </c>
      <c r="AN370">
        <v>-1.2802477094505851</v>
      </c>
      <c r="AO370">
        <v>44.499946249576794</v>
      </c>
      <c r="AP370">
        <v>-20.850257744862255</v>
      </c>
      <c r="AQ370">
        <v>0</v>
      </c>
      <c r="AR370" t="str">
        <v>1613 Ripper.par</v>
      </c>
      <c r="AV370" t="str">
        <v>0,204,0</v>
      </c>
      <c r="AW370" s="31">
        <v>49.800000000000011</v>
      </c>
      <c r="AX370" s="31">
        <v>44.499946249576794</v>
      </c>
      <c r="AY370" s="31">
        <v>0</v>
      </c>
    </row>
    <row r="371" spans="31:51" x14ac:dyDescent="0.25">
      <c r="AE371">
        <v>3.1190000000000002</v>
      </c>
      <c r="AF371" s="82">
        <v>3</v>
      </c>
      <c r="AG371">
        <v>1</v>
      </c>
      <c r="AH371">
        <v>1</v>
      </c>
      <c r="AI371">
        <v>2.000000000007276</v>
      </c>
      <c r="AJ371">
        <v>3.1191200000000001</v>
      </c>
      <c r="AK371" t="str">
        <v>Base</v>
      </c>
      <c r="AL371">
        <v>-12</v>
      </c>
      <c r="AM371">
        <v>-3.3971368047881008</v>
      </c>
      <c r="AN371">
        <v>-0.80243890665733542</v>
      </c>
      <c r="AO371">
        <v>29.118742089064096</v>
      </c>
      <c r="AP371">
        <v>-17.521441320236239</v>
      </c>
      <c r="AQ371">
        <v>0</v>
      </c>
      <c r="AR371" t="str">
        <v>1613 Ripper.par</v>
      </c>
      <c r="AV371" t="str">
        <v>0,204,0</v>
      </c>
      <c r="AW371" s="31">
        <v>30.700000000000003</v>
      </c>
      <c r="AX371" s="31">
        <v>29.118742089064096</v>
      </c>
      <c r="AY371" s="31">
        <v>0</v>
      </c>
    </row>
    <row r="372" spans="31:51" x14ac:dyDescent="0.25">
      <c r="AE372">
        <v>3.113</v>
      </c>
      <c r="AF372" s="82">
        <v>3</v>
      </c>
      <c r="AG372">
        <v>1</v>
      </c>
      <c r="AH372">
        <v>1</v>
      </c>
      <c r="AI372">
        <v>1.9999999999708962</v>
      </c>
      <c r="AJ372">
        <v>3.1131199999999999</v>
      </c>
      <c r="AK372" t="str">
        <v>Base</v>
      </c>
      <c r="AL372">
        <v>-12</v>
      </c>
      <c r="AM372">
        <v>-2.7042578699411042</v>
      </c>
      <c r="AN372">
        <v>-0.52928252976236478</v>
      </c>
      <c r="AO372">
        <v>13.618907176394012</v>
      </c>
      <c r="AP372">
        <v>-15.899311451360761</v>
      </c>
      <c r="AQ372">
        <v>0</v>
      </c>
      <c r="AR372" t="str">
        <v>1613 Ripper.par</v>
      </c>
      <c r="AV372" t="str">
        <v>0,204,0</v>
      </c>
      <c r="AW372" s="31">
        <v>11.599999999999994</v>
      </c>
      <c r="AX372" s="31">
        <v>13.618907176394012</v>
      </c>
      <c r="AY372" s="31">
        <v>0</v>
      </c>
    </row>
    <row r="373" spans="31:51" x14ac:dyDescent="0.25">
      <c r="AE373">
        <v>3.1080000000000001</v>
      </c>
      <c r="AF373" s="82">
        <v>3</v>
      </c>
      <c r="AG373">
        <v>1</v>
      </c>
      <c r="AH373">
        <v>1</v>
      </c>
      <c r="AI373">
        <v>2.000000000007276</v>
      </c>
      <c r="AJ373">
        <v>3.10812</v>
      </c>
      <c r="AK373" t="str">
        <v>Base</v>
      </c>
      <c r="AL373">
        <v>-12</v>
      </c>
      <c r="AM373">
        <v>-1.9693653471330419</v>
      </c>
      <c r="AN373">
        <v>-0.49931494830951539</v>
      </c>
      <c r="AO373">
        <v>0.54897347881994862</v>
      </c>
      <c r="AP373">
        <v>-15.985112335508287</v>
      </c>
      <c r="AQ373">
        <v>0</v>
      </c>
      <c r="AR373" t="str">
        <v>1613.par</v>
      </c>
      <c r="AV373" t="str">
        <v>0,204,0</v>
      </c>
      <c r="AW373" s="31">
        <v>-7.0999999999999943</v>
      </c>
      <c r="AX373" s="31">
        <v>0.54897347881994862</v>
      </c>
      <c r="AY373" s="31">
        <v>0</v>
      </c>
    </row>
    <row r="374" spans="31:51" x14ac:dyDescent="0.25">
      <c r="AE374">
        <v>3.105</v>
      </c>
      <c r="AF374">
        <v>3</v>
      </c>
      <c r="AG374">
        <v>1</v>
      </c>
      <c r="AH374">
        <v>1</v>
      </c>
      <c r="AI374">
        <v>1.9999999999708962</v>
      </c>
      <c r="AJ374">
        <v>3.1051199999999999</v>
      </c>
      <c r="AK374" t="str">
        <v>Base</v>
      </c>
      <c r="AL374">
        <v>-12</v>
      </c>
      <c r="AM374">
        <v>-1.2697456862039611</v>
      </c>
      <c r="AN374">
        <v>-0.69378989221304743</v>
      </c>
      <c r="AO374">
        <v>-5.0149734933954218</v>
      </c>
      <c r="AP374">
        <v>-16.053090590113129</v>
      </c>
      <c r="AQ374">
        <v>0</v>
      </c>
      <c r="AR374" t="str">
        <v>1613.par</v>
      </c>
      <c r="AV374" t="str">
        <v>0,204,0</v>
      </c>
      <c r="AW374" s="31">
        <v>-20</v>
      </c>
      <c r="AX374" s="31">
        <v>-5.0149734933954218</v>
      </c>
      <c r="AY374" s="31">
        <v>0</v>
      </c>
    </row>
    <row r="375" spans="31:51" x14ac:dyDescent="0.25">
      <c r="AE375">
        <v>3.1019999999999999</v>
      </c>
      <c r="AF375">
        <v>3</v>
      </c>
      <c r="AG375">
        <v>1</v>
      </c>
      <c r="AH375">
        <v>1</v>
      </c>
      <c r="AI375">
        <v>1.9999999999708962</v>
      </c>
      <c r="AJ375">
        <v>3.1021199999999998</v>
      </c>
      <c r="AK375" t="str">
        <v>Base</v>
      </c>
      <c r="AL375">
        <v>-12</v>
      </c>
      <c r="AM375">
        <v>-0.57489526715768602</v>
      </c>
      <c r="AN375">
        <v>-0.94644442255117056</v>
      </c>
      <c r="AO375">
        <v>-11.37071787295627</v>
      </c>
      <c r="AP375">
        <v>-19.284983884531435</v>
      </c>
      <c r="AQ375">
        <v>0</v>
      </c>
      <c r="AR375" t="str">
        <v>1613.par</v>
      </c>
      <c r="AV375" t="str">
        <v>0,204,0</v>
      </c>
      <c r="AW375" s="31">
        <v>-20</v>
      </c>
      <c r="AX375" s="31">
        <v>-11.37071787295627</v>
      </c>
      <c r="AY375" s="31">
        <v>0</v>
      </c>
    </row>
    <row r="376" spans="31:51" x14ac:dyDescent="0.25">
      <c r="AE376">
        <v>2.246</v>
      </c>
      <c r="AF376">
        <v>2</v>
      </c>
      <c r="AG376">
        <v>2</v>
      </c>
      <c r="AH376">
        <v>1</v>
      </c>
      <c r="AI376">
        <v>2.000000000007276</v>
      </c>
      <c r="AJ376">
        <v>2.2461199999999999</v>
      </c>
      <c r="AK376" t="str">
        <v>Base</v>
      </c>
      <c r="AL376">
        <v>-11.25</v>
      </c>
      <c r="AM376">
        <v>-4.6672539022786079</v>
      </c>
      <c r="AN376">
        <v>-3.8741962327368831</v>
      </c>
      <c r="AO376">
        <v>84.999987727520192</v>
      </c>
      <c r="AP376">
        <v>0</v>
      </c>
      <c r="AQ376">
        <v>0</v>
      </c>
      <c r="AR376" t="str">
        <v>32193r1.par</v>
      </c>
      <c r="AV376" t="str">
        <v>255,255,91</v>
      </c>
      <c r="AW376" s="31">
        <v>85</v>
      </c>
      <c r="AX376" s="31">
        <v>84.999987727520192</v>
      </c>
      <c r="AY376" s="31">
        <v>0</v>
      </c>
    </row>
    <row r="377" spans="31:51" x14ac:dyDescent="0.25">
      <c r="AE377">
        <v>2.2400000000000002</v>
      </c>
      <c r="AF377">
        <v>2</v>
      </c>
      <c r="AG377">
        <v>2</v>
      </c>
      <c r="AH377">
        <v>1</v>
      </c>
      <c r="AI377">
        <v>2.000000000007276</v>
      </c>
      <c r="AJ377">
        <v>2.2401200000000001</v>
      </c>
      <c r="AK377" t="str">
        <v>Base</v>
      </c>
      <c r="AL377">
        <v>-11.25</v>
      </c>
      <c r="AM377">
        <v>-4.6219389320094395</v>
      </c>
      <c r="AN377">
        <v>-3.0694130378744751</v>
      </c>
      <c r="AO377">
        <v>84.999987727520192</v>
      </c>
      <c r="AP377">
        <v>0</v>
      </c>
      <c r="AQ377">
        <v>0</v>
      </c>
      <c r="AR377" t="str">
        <v>32193r1.par</v>
      </c>
      <c r="AV377" t="str">
        <v>255,255,91</v>
      </c>
      <c r="AW377" s="31">
        <v>85</v>
      </c>
      <c r="AX377" s="31">
        <v>84.999987727520192</v>
      </c>
      <c r="AY377" s="31">
        <v>0</v>
      </c>
    </row>
    <row r="378" spans="31:51" x14ac:dyDescent="0.25">
      <c r="AE378">
        <v>2.234</v>
      </c>
      <c r="AF378">
        <v>2</v>
      </c>
      <c r="AG378">
        <v>2</v>
      </c>
      <c r="AH378">
        <v>1</v>
      </c>
      <c r="AI378">
        <v>1.9999999999708962</v>
      </c>
      <c r="AJ378">
        <v>2.2341199999999999</v>
      </c>
      <c r="AK378" t="str">
        <v>Base</v>
      </c>
      <c r="AL378">
        <v>-11.25</v>
      </c>
      <c r="AM378">
        <v>-4.5057143125024979</v>
      </c>
      <c r="AN378">
        <v>-2.3352685656383669</v>
      </c>
      <c r="AO378">
        <v>77.999988738195015</v>
      </c>
      <c r="AP378">
        <v>0</v>
      </c>
      <c r="AQ378">
        <v>0</v>
      </c>
      <c r="AR378" t="str">
        <v>32193r1.par</v>
      </c>
      <c r="AV378" t="str">
        <v>255,255,91</v>
      </c>
      <c r="AW378" s="31">
        <v>78</v>
      </c>
      <c r="AX378" s="31">
        <v>77.999988738195015</v>
      </c>
      <c r="AY378" s="31">
        <v>0</v>
      </c>
    </row>
    <row r="379" spans="31:51" x14ac:dyDescent="0.25">
      <c r="AE379">
        <v>2.2280000000000002</v>
      </c>
      <c r="AF379">
        <v>2</v>
      </c>
      <c r="AG379">
        <v>2</v>
      </c>
      <c r="AH379">
        <v>1</v>
      </c>
      <c r="AI379">
        <v>2.000000000007276</v>
      </c>
      <c r="AJ379">
        <v>2.2281200000000001</v>
      </c>
      <c r="AK379" t="str">
        <v>Base</v>
      </c>
      <c r="AL379">
        <v>-11.25</v>
      </c>
      <c r="AM379">
        <v>-4.2211934273694895</v>
      </c>
      <c r="AN379">
        <v>-1.6377307708954294</v>
      </c>
      <c r="AO379">
        <v>52.219556611012919</v>
      </c>
      <c r="AP379">
        <v>-27.529698338169545</v>
      </c>
      <c r="AQ379">
        <v>0</v>
      </c>
      <c r="AR379" t="str">
        <v>1313.par</v>
      </c>
      <c r="AV379" t="str">
        <v>255,255,91</v>
      </c>
      <c r="AW379" s="31">
        <v>59.199999999999989</v>
      </c>
      <c r="AX379" s="31">
        <v>52.219556611012919</v>
      </c>
      <c r="AY379" s="31">
        <v>0</v>
      </c>
    </row>
    <row r="380" spans="31:51" x14ac:dyDescent="0.25">
      <c r="AE380">
        <v>2.222</v>
      </c>
      <c r="AF380">
        <v>2</v>
      </c>
      <c r="AG380">
        <v>2</v>
      </c>
      <c r="AH380">
        <v>1</v>
      </c>
      <c r="AI380">
        <v>1.9999999999708962</v>
      </c>
      <c r="AJ380">
        <v>2.2221199999999999</v>
      </c>
      <c r="AK380" t="str">
        <v>Base</v>
      </c>
      <c r="AL380">
        <v>-11.25</v>
      </c>
      <c r="AM380">
        <v>-3.7219541555274631</v>
      </c>
      <c r="AN380">
        <v>-1.0719223493183909</v>
      </c>
      <c r="AO380">
        <v>37.00497307238664</v>
      </c>
      <c r="AP380">
        <v>-24.190214672522526</v>
      </c>
      <c r="AQ380">
        <v>0</v>
      </c>
      <c r="AR380" t="str">
        <v>1313.par</v>
      </c>
      <c r="AV380" t="str">
        <v>255,255,91</v>
      </c>
      <c r="AW380" s="31">
        <v>40.300000000000011</v>
      </c>
      <c r="AX380" s="31">
        <v>37.00497307238664</v>
      </c>
      <c r="AY380" s="31">
        <v>0</v>
      </c>
    </row>
    <row r="381" spans="31:51" x14ac:dyDescent="0.25">
      <c r="AE381">
        <v>2.2160000000000002</v>
      </c>
      <c r="AF381">
        <v>2</v>
      </c>
      <c r="AG381">
        <v>2</v>
      </c>
      <c r="AH381">
        <v>1</v>
      </c>
      <c r="AI381">
        <v>2.000000000007276</v>
      </c>
      <c r="AJ381">
        <v>2.2161200000000001</v>
      </c>
      <c r="AK381" t="str">
        <v>Base</v>
      </c>
      <c r="AL381">
        <v>-11.25</v>
      </c>
      <c r="AM381">
        <v>-3.0749710247456186</v>
      </c>
      <c r="AN381">
        <v>-0.6831011937607907</v>
      </c>
      <c r="AO381">
        <v>21.657237421822494</v>
      </c>
      <c r="AP381">
        <v>-20.869219180098696</v>
      </c>
      <c r="AQ381">
        <v>0</v>
      </c>
      <c r="AR381" t="str">
        <v>1310.par</v>
      </c>
      <c r="AV381" t="str">
        <v>255,255,91</v>
      </c>
      <c r="AW381" s="31">
        <v>21.200000000000003</v>
      </c>
      <c r="AX381" s="31">
        <v>21.657237421822494</v>
      </c>
      <c r="AY381" s="31">
        <v>0</v>
      </c>
    </row>
    <row r="382" spans="31:51" x14ac:dyDescent="0.25">
      <c r="AE382">
        <v>2.1459999999999999</v>
      </c>
      <c r="AF382">
        <v>2</v>
      </c>
      <c r="AG382">
        <v>1</v>
      </c>
      <c r="AH382">
        <v>1</v>
      </c>
      <c r="AI382">
        <v>1.9999999999708962</v>
      </c>
      <c r="AJ382">
        <v>2.1461199999999998</v>
      </c>
      <c r="AK382" t="str">
        <v>Base</v>
      </c>
      <c r="AL382">
        <v>-10.5</v>
      </c>
      <c r="AM382">
        <v>-4.6815983957116192</v>
      </c>
      <c r="AN382">
        <v>-3.8836453778805522</v>
      </c>
      <c r="AO382">
        <v>84.967735525253531</v>
      </c>
      <c r="AP382">
        <v>-29.788825501047729</v>
      </c>
      <c r="AQ382">
        <v>0</v>
      </c>
      <c r="AR382" t="str">
        <v>1613.par</v>
      </c>
      <c r="AV382" t="str">
        <v>204,204,0</v>
      </c>
      <c r="AW382" s="31">
        <v>85</v>
      </c>
      <c r="AX382" s="31">
        <v>84.967735525253531</v>
      </c>
      <c r="AY382" s="31">
        <v>0</v>
      </c>
    </row>
    <row r="383" spans="31:51" x14ac:dyDescent="0.25">
      <c r="AE383">
        <v>2.14</v>
      </c>
      <c r="AF383">
        <v>2</v>
      </c>
      <c r="AG383">
        <v>1</v>
      </c>
      <c r="AH383">
        <v>1</v>
      </c>
      <c r="AI383">
        <v>2.000000000007276</v>
      </c>
      <c r="AJ383">
        <v>2.14012</v>
      </c>
      <c r="AK383" t="str">
        <v>Base</v>
      </c>
      <c r="AL383">
        <v>-10.5</v>
      </c>
      <c r="AM383">
        <v>-4.6347146079159982</v>
      </c>
      <c r="AN383">
        <v>-3.0776585276416633</v>
      </c>
      <c r="AO383">
        <v>82.449795298402833</v>
      </c>
      <c r="AP383">
        <v>-29.226525862122337</v>
      </c>
      <c r="AQ383">
        <v>0</v>
      </c>
      <c r="AR383" t="str">
        <v>1613.par</v>
      </c>
      <c r="AV383" t="str">
        <v>204,204,0</v>
      </c>
      <c r="AW383" s="31">
        <v>85</v>
      </c>
      <c r="AX383" s="31">
        <v>82.449795298402833</v>
      </c>
      <c r="AY383" s="31">
        <v>0</v>
      </c>
    </row>
    <row r="384" spans="31:51" x14ac:dyDescent="0.25">
      <c r="AE384">
        <v>2.1339999999999999</v>
      </c>
      <c r="AF384">
        <v>2</v>
      </c>
      <c r="AG384">
        <v>1</v>
      </c>
      <c r="AH384">
        <v>1</v>
      </c>
      <c r="AI384">
        <v>1.9999999999708962</v>
      </c>
      <c r="AJ384">
        <v>2.1341199999999998</v>
      </c>
      <c r="AK384" t="str">
        <v>Base</v>
      </c>
      <c r="AL384">
        <v>-10.5</v>
      </c>
      <c r="AM384">
        <v>-4.5097398089512915</v>
      </c>
      <c r="AN384">
        <v>-2.342909466202225</v>
      </c>
      <c r="AO384">
        <v>67.320028691284776</v>
      </c>
      <c r="AP384">
        <v>-25.869275744657813</v>
      </c>
      <c r="AQ384">
        <v>0</v>
      </c>
      <c r="AR384" t="str">
        <v>1613.par</v>
      </c>
      <c r="AV384" t="str">
        <v>204,204,0</v>
      </c>
      <c r="AW384" s="31">
        <v>78</v>
      </c>
      <c r="AX384" s="31">
        <v>67.320028691284776</v>
      </c>
      <c r="AY384" s="31">
        <v>0</v>
      </c>
    </row>
    <row r="385" spans="31:51" x14ac:dyDescent="0.25">
      <c r="AE385">
        <v>2.1280000000000001</v>
      </c>
      <c r="AF385">
        <v>2</v>
      </c>
      <c r="AG385">
        <v>1</v>
      </c>
      <c r="AH385">
        <v>1</v>
      </c>
      <c r="AI385">
        <v>2.000000000007276</v>
      </c>
      <c r="AJ385">
        <v>2.12812</v>
      </c>
      <c r="AK385" t="str">
        <v>Base</v>
      </c>
      <c r="AL385">
        <v>-10.5</v>
      </c>
      <c r="AM385">
        <v>-4.1941376048886463</v>
      </c>
      <c r="AN385">
        <v>-1.6680044471923476</v>
      </c>
      <c r="AO385">
        <v>52.13023867353359</v>
      </c>
      <c r="AP385">
        <v>-22.520548757886122</v>
      </c>
      <c r="AQ385">
        <v>0</v>
      </c>
      <c r="AR385" t="str">
        <v>1613.par</v>
      </c>
      <c r="AV385" t="str">
        <v>204,204,0</v>
      </c>
      <c r="AW385" s="31">
        <v>59.199999999999989</v>
      </c>
      <c r="AX385" s="31">
        <v>52.13023867353359</v>
      </c>
      <c r="AY385" s="31">
        <v>0</v>
      </c>
    </row>
    <row r="386" spans="31:51" x14ac:dyDescent="0.25">
      <c r="AE386">
        <v>2.1219999999999999</v>
      </c>
      <c r="AF386">
        <v>2</v>
      </c>
      <c r="AG386">
        <v>1</v>
      </c>
      <c r="AH386">
        <v>1</v>
      </c>
      <c r="AI386">
        <v>1.9999999999708962</v>
      </c>
      <c r="AJ386">
        <v>2.1221199999999998</v>
      </c>
      <c r="AK386" t="str">
        <v>Base</v>
      </c>
      <c r="AL386">
        <v>-10.5</v>
      </c>
      <c r="AM386">
        <v>-3.7013343299864774</v>
      </c>
      <c r="AN386">
        <v>-1.1096029716238589</v>
      </c>
      <c r="AO386">
        <v>36.834274386343019</v>
      </c>
      <c r="AP386">
        <v>-19.183527167538802</v>
      </c>
      <c r="AQ386">
        <v>0</v>
      </c>
      <c r="AR386" t="str">
        <v>1613.par</v>
      </c>
      <c r="AV386" t="str">
        <v>204,204,0</v>
      </c>
      <c r="AW386" s="31">
        <v>40.300000000000011</v>
      </c>
      <c r="AX386" s="31">
        <v>36.834274386343019</v>
      </c>
      <c r="AY386" s="31">
        <v>0</v>
      </c>
    </row>
    <row r="387" spans="31:51" x14ac:dyDescent="0.25">
      <c r="AE387">
        <v>2.1160000000000001</v>
      </c>
      <c r="AF387">
        <v>2</v>
      </c>
      <c r="AG387">
        <v>1</v>
      </c>
      <c r="AH387">
        <v>1</v>
      </c>
      <c r="AI387">
        <v>2.000000000007276</v>
      </c>
      <c r="AJ387">
        <v>2.11612</v>
      </c>
      <c r="AK387" t="str">
        <v>Base</v>
      </c>
      <c r="AL387">
        <v>-10.5</v>
      </c>
      <c r="AM387">
        <v>-3.0621691990646474</v>
      </c>
      <c r="AN387">
        <v>-0.72713708793184595</v>
      </c>
      <c r="AO387">
        <v>21.330954638783709</v>
      </c>
      <c r="AP387">
        <v>-15.865725674112454</v>
      </c>
      <c r="AQ387">
        <v>0</v>
      </c>
      <c r="AR387" t="str">
        <v>1613.par</v>
      </c>
      <c r="AV387" t="str">
        <v>204,204,0</v>
      </c>
      <c r="AW387" s="31">
        <v>21.200000000000003</v>
      </c>
      <c r="AX387" s="31">
        <v>21.330954638783709</v>
      </c>
      <c r="AY387" s="31">
        <v>0</v>
      </c>
    </row>
    <row r="388" spans="31:51" x14ac:dyDescent="0.25">
      <c r="AE388">
        <v>2.11</v>
      </c>
      <c r="AF388">
        <v>2</v>
      </c>
      <c r="AG388">
        <v>1</v>
      </c>
      <c r="AH388">
        <v>1</v>
      </c>
      <c r="AI388">
        <v>1.9999999999708962</v>
      </c>
      <c r="AJ388">
        <v>2.1101199999999998</v>
      </c>
      <c r="AK388" t="str">
        <v>Base</v>
      </c>
      <c r="AL388">
        <v>-10.5</v>
      </c>
      <c r="AM388">
        <v>-2.3331737288918646</v>
      </c>
      <c r="AN388">
        <v>-0.57361640807512804</v>
      </c>
      <c r="AO388">
        <v>5.8616718774737446</v>
      </c>
      <c r="AP388">
        <v>-15.945063753204032</v>
      </c>
      <c r="AQ388">
        <v>0</v>
      </c>
      <c r="AR388" t="str">
        <v>1613.par</v>
      </c>
      <c r="AV388" t="str">
        <v>204,204,0</v>
      </c>
      <c r="AW388" s="31">
        <v>2.0999999999999943</v>
      </c>
      <c r="AX388" s="31">
        <v>5.8616718774737446</v>
      </c>
      <c r="AY388" s="31">
        <v>0</v>
      </c>
    </row>
    <row r="389" spans="31:51" x14ac:dyDescent="0.25">
      <c r="AE389">
        <v>1.2410000000000001</v>
      </c>
      <c r="AF389">
        <v>1</v>
      </c>
      <c r="AG389">
        <v>2</v>
      </c>
      <c r="AH389">
        <v>1</v>
      </c>
      <c r="AI389">
        <v>2.000000000007276</v>
      </c>
      <c r="AJ389">
        <v>1.24112</v>
      </c>
      <c r="AK389" t="str">
        <v>Base</v>
      </c>
      <c r="AL389">
        <v>-9.75</v>
      </c>
      <c r="AM389">
        <v>-4.667253902360132</v>
      </c>
      <c r="AN389">
        <v>-3.3332595910118643</v>
      </c>
      <c r="AO389">
        <v>84.999987727520178</v>
      </c>
      <c r="AP389">
        <v>0</v>
      </c>
      <c r="AQ389">
        <v>0</v>
      </c>
      <c r="AR389" t="str">
        <v>32193r1.par</v>
      </c>
      <c r="AV389" t="str">
        <v>255,188,121</v>
      </c>
      <c r="AW389" s="31">
        <v>85</v>
      </c>
      <c r="AX389" s="31">
        <v>84.999987727520178</v>
      </c>
      <c r="AY389" s="31">
        <v>0</v>
      </c>
    </row>
    <row r="390" spans="31:51" x14ac:dyDescent="0.25">
      <c r="AE390">
        <v>1.2350000000000001</v>
      </c>
      <c r="AF390">
        <v>1</v>
      </c>
      <c r="AG390">
        <v>2</v>
      </c>
      <c r="AH390">
        <v>1</v>
      </c>
      <c r="AI390">
        <v>2.000000000007276</v>
      </c>
      <c r="AJ390">
        <v>1.23512</v>
      </c>
      <c r="AK390" t="str">
        <v>Base</v>
      </c>
      <c r="AL390">
        <v>-9.75</v>
      </c>
      <c r="AM390">
        <v>-4.5655587630322234</v>
      </c>
      <c r="AN390">
        <v>-2.5284548941025173</v>
      </c>
      <c r="AO390">
        <v>69.845744995743289</v>
      </c>
      <c r="AP390">
        <v>-26.429278338880472</v>
      </c>
      <c r="AQ390">
        <v>0</v>
      </c>
      <c r="AR390" t="str">
        <v>1313.par</v>
      </c>
      <c r="AV390" t="str">
        <v>255,188,121</v>
      </c>
      <c r="AW390" s="31">
        <v>81</v>
      </c>
      <c r="AX390" s="31">
        <v>69.845744995743289</v>
      </c>
      <c r="AY390" s="31">
        <v>0</v>
      </c>
    </row>
    <row r="391" spans="31:51" x14ac:dyDescent="0.25">
      <c r="AE391">
        <v>1.2290000000000001</v>
      </c>
      <c r="AF391">
        <v>1</v>
      </c>
      <c r="AG391">
        <v>2</v>
      </c>
      <c r="AH391">
        <v>1</v>
      </c>
      <c r="AI391">
        <v>2.000000000007276</v>
      </c>
      <c r="AJ391">
        <v>1.22912</v>
      </c>
      <c r="AK391" t="str">
        <v>Base</v>
      </c>
      <c r="AL391">
        <v>-9.75</v>
      </c>
      <c r="AM391">
        <v>-4.2793252959304864</v>
      </c>
      <c r="AN391">
        <v>-1.8341290883929435</v>
      </c>
      <c r="AO391">
        <v>54.669117106879419</v>
      </c>
      <c r="AP391">
        <v>-23.078906517516071</v>
      </c>
      <c r="AQ391">
        <v>0</v>
      </c>
      <c r="AR391" t="str">
        <v>1313.par</v>
      </c>
      <c r="AV391" t="str">
        <v>255,188,121</v>
      </c>
      <c r="AW391" s="31">
        <v>62.400000000000006</v>
      </c>
      <c r="AX391" s="31">
        <v>54.669117106879419</v>
      </c>
      <c r="AY391" s="31">
        <v>0</v>
      </c>
    </row>
    <row r="392" spans="31:51" x14ac:dyDescent="0.25">
      <c r="AE392">
        <v>1.2230000000000001</v>
      </c>
      <c r="AF392">
        <v>1</v>
      </c>
      <c r="AG392">
        <v>2</v>
      </c>
      <c r="AH392">
        <v>1</v>
      </c>
      <c r="AI392">
        <v>2.000000000007276</v>
      </c>
      <c r="AJ392">
        <v>1.22312</v>
      </c>
      <c r="AK392" t="str">
        <v>Base</v>
      </c>
      <c r="AL392">
        <v>-9.75</v>
      </c>
      <c r="AM392">
        <v>-3.8108413457299499</v>
      </c>
      <c r="AN392">
        <v>-1.245531438101517</v>
      </c>
      <c r="AO392">
        <v>39.396777291230784</v>
      </c>
      <c r="AP392">
        <v>-19.739412278917303</v>
      </c>
      <c r="AQ392">
        <v>0</v>
      </c>
      <c r="AR392" t="str">
        <v>1313.par</v>
      </c>
      <c r="AV392" t="str">
        <v>255,188,121</v>
      </c>
      <c r="AW392" s="31">
        <v>43.400000000000006</v>
      </c>
      <c r="AX392" s="31">
        <v>39.396777291230784</v>
      </c>
      <c r="AY392" s="31">
        <v>0</v>
      </c>
    </row>
    <row r="393" spans="31:51" x14ac:dyDescent="0.25">
      <c r="AE393">
        <v>1.2170000000000001</v>
      </c>
      <c r="AF393">
        <v>1</v>
      </c>
      <c r="AG393">
        <v>2</v>
      </c>
      <c r="AH393">
        <v>1</v>
      </c>
      <c r="AI393">
        <v>1.9999999999890861</v>
      </c>
      <c r="AJ393">
        <v>1.21712</v>
      </c>
      <c r="AK393" t="str">
        <v>Base</v>
      </c>
      <c r="AL393">
        <v>-9.75</v>
      </c>
      <c r="AM393">
        <v>-3.1877596627857026</v>
      </c>
      <c r="AN393">
        <v>-0.82336155233960051</v>
      </c>
      <c r="AO393">
        <v>23.940454553934082</v>
      </c>
      <c r="AP393">
        <v>-16.417262779123849</v>
      </c>
      <c r="AQ393">
        <v>0</v>
      </c>
      <c r="AR393" t="str">
        <v>1313.par</v>
      </c>
      <c r="AV393" t="str">
        <v>255,188,121</v>
      </c>
      <c r="AW393" s="31">
        <v>24.299999999999997</v>
      </c>
      <c r="AX393" s="31">
        <v>23.940454553934082</v>
      </c>
      <c r="AY393" s="31">
        <v>0</v>
      </c>
    </row>
    <row r="394" spans="31:51" x14ac:dyDescent="0.25">
      <c r="AE394">
        <v>1.2110000000000001</v>
      </c>
      <c r="AF394">
        <v>1</v>
      </c>
      <c r="AG394">
        <v>2</v>
      </c>
      <c r="AH394">
        <v>1</v>
      </c>
      <c r="AI394">
        <v>1.9999999999890861</v>
      </c>
      <c r="AJ394">
        <v>1.21112</v>
      </c>
      <c r="AK394" t="str">
        <v>Base</v>
      </c>
      <c r="AL394">
        <v>-9.75</v>
      </c>
      <c r="AM394">
        <v>-2.4622718814698974</v>
      </c>
      <c r="AN394">
        <v>-0.62304140917292772</v>
      </c>
      <c r="AO394">
        <v>8.4563376107190713</v>
      </c>
      <c r="AP394">
        <v>-15.928246062290501</v>
      </c>
      <c r="AQ394">
        <v>0</v>
      </c>
      <c r="AR394" t="str">
        <v>1310.par</v>
      </c>
      <c r="AV394" t="str">
        <v>255,188,121</v>
      </c>
      <c r="AW394" s="31">
        <v>5.2999999999999972</v>
      </c>
      <c r="AX394" s="31">
        <v>8.4563376107190713</v>
      </c>
      <c r="AY394" s="31">
        <v>0</v>
      </c>
    </row>
    <row r="395" spans="31:51" x14ac:dyDescent="0.25">
      <c r="AE395">
        <v>1.141</v>
      </c>
      <c r="AF395">
        <v>1</v>
      </c>
      <c r="AG395">
        <v>1</v>
      </c>
      <c r="AH395">
        <v>1</v>
      </c>
      <c r="AI395">
        <v>1.9999999999890861</v>
      </c>
      <c r="AJ395">
        <v>1.1411199999999999</v>
      </c>
      <c r="AK395" t="str">
        <v>Base</v>
      </c>
      <c r="AL395">
        <v>-9</v>
      </c>
      <c r="AM395">
        <v>-4.6815983957116201</v>
      </c>
      <c r="AN395">
        <v>-3.3419750013651393</v>
      </c>
      <c r="AO395">
        <v>84.967735525253502</v>
      </c>
      <c r="AP395">
        <v>-29.788825501047704</v>
      </c>
      <c r="AQ395">
        <v>0</v>
      </c>
      <c r="AR395" t="str">
        <v>1613.par</v>
      </c>
      <c r="AV395" t="str">
        <v>255,127,0</v>
      </c>
      <c r="AW395" s="31">
        <v>85</v>
      </c>
      <c r="AX395" s="31">
        <v>84.967735525253502</v>
      </c>
      <c r="AY395" s="31">
        <v>0</v>
      </c>
    </row>
    <row r="396" spans="31:51" x14ac:dyDescent="0.25">
      <c r="AE396">
        <v>1.135</v>
      </c>
      <c r="AF396">
        <v>1</v>
      </c>
      <c r="AG396">
        <v>1</v>
      </c>
      <c r="AH396">
        <v>1</v>
      </c>
      <c r="AI396">
        <v>1.9999999999890861</v>
      </c>
      <c r="AJ396">
        <v>1.1351199999999999</v>
      </c>
      <c r="AK396" t="str">
        <v>Base</v>
      </c>
      <c r="AL396">
        <v>-9</v>
      </c>
      <c r="AM396">
        <v>-4.5440357805760314</v>
      </c>
      <c r="AN396">
        <v>-2.546066536747472</v>
      </c>
      <c r="AO396">
        <v>69.845008350277126</v>
      </c>
      <c r="AP396">
        <v>-26.428280775048751</v>
      </c>
      <c r="AQ396">
        <v>0</v>
      </c>
      <c r="AR396" t="str">
        <v>1613 Ripper.par</v>
      </c>
      <c r="AV396" t="str">
        <v>255,127,0</v>
      </c>
      <c r="AW396" s="31">
        <v>81</v>
      </c>
      <c r="AX396" s="31">
        <v>69.845008350277126</v>
      </c>
      <c r="AY396" s="31">
        <v>0</v>
      </c>
    </row>
    <row r="397" spans="31:51" x14ac:dyDescent="0.25">
      <c r="AE397">
        <v>1.129</v>
      </c>
      <c r="AF397">
        <v>1</v>
      </c>
      <c r="AG397">
        <v>1</v>
      </c>
      <c r="AH397">
        <v>1</v>
      </c>
      <c r="AI397">
        <v>1.9999999999890861</v>
      </c>
      <c r="AJ397">
        <v>1.1291199999999999</v>
      </c>
      <c r="AK397" t="str">
        <v>Base</v>
      </c>
      <c r="AL397">
        <v>-9</v>
      </c>
      <c r="AM397">
        <v>-4.2595903691737202</v>
      </c>
      <c r="AN397">
        <v>-1.857323928632262</v>
      </c>
      <c r="AO397">
        <v>54.667570340259566</v>
      </c>
      <c r="AP397">
        <v>-23.077976777541668</v>
      </c>
      <c r="AQ397">
        <v>0</v>
      </c>
      <c r="AR397" t="str">
        <v>1613 Ripper.par</v>
      </c>
      <c r="AV397" t="str">
        <v>255,127,0</v>
      </c>
      <c r="AW397" s="31">
        <v>62.400000000000006</v>
      </c>
      <c r="AX397" s="31">
        <v>54.667570340259566</v>
      </c>
      <c r="AY397" s="31">
        <v>0</v>
      </c>
    </row>
    <row r="398" spans="31:51" x14ac:dyDescent="0.25">
      <c r="AE398">
        <v>1.123</v>
      </c>
      <c r="AF398">
        <v>1</v>
      </c>
      <c r="AG398">
        <v>1</v>
      </c>
      <c r="AH398">
        <v>1</v>
      </c>
      <c r="AI398">
        <v>1.9999999999890861</v>
      </c>
      <c r="AJ398">
        <v>1.1231199999999999</v>
      </c>
      <c r="AK398" t="str">
        <v>Base</v>
      </c>
      <c r="AL398">
        <v>-9</v>
      </c>
      <c r="AM398">
        <v>-3.7946894509153921</v>
      </c>
      <c r="AN398">
        <v>-1.2753276386521608</v>
      </c>
      <c r="AO398">
        <v>39.394185673437661</v>
      </c>
      <c r="AP398">
        <v>-19.738648552093483</v>
      </c>
      <c r="AQ398">
        <v>0</v>
      </c>
      <c r="AR398" t="str">
        <v>1613 Ripper.par</v>
      </c>
      <c r="AV398" t="str">
        <v>255,127,0</v>
      </c>
      <c r="AW398" s="31">
        <v>43.400000000000006</v>
      </c>
      <c r="AX398" s="31">
        <v>39.394185673437661</v>
      </c>
      <c r="AY398" s="31">
        <v>0</v>
      </c>
    </row>
    <row r="399" spans="31:51" x14ac:dyDescent="0.25">
      <c r="AE399">
        <v>1.117</v>
      </c>
      <c r="AF399">
        <v>1</v>
      </c>
      <c r="AG399">
        <v>1</v>
      </c>
      <c r="AH399">
        <v>1</v>
      </c>
      <c r="AI399">
        <v>1.9999999999890861</v>
      </c>
      <c r="AJ399">
        <v>1.1171199999999999</v>
      </c>
      <c r="AK399" t="str">
        <v>Base</v>
      </c>
      <c r="AL399">
        <v>-9</v>
      </c>
      <c r="AM399">
        <v>-3.1767679340595749</v>
      </c>
      <c r="AN399">
        <v>-0.85958280809013443</v>
      </c>
      <c r="AO399">
        <v>23.936756233692545</v>
      </c>
      <c r="AP399">
        <v>-16.41677902573819</v>
      </c>
      <c r="AQ399">
        <v>0</v>
      </c>
      <c r="AR399" t="str">
        <v>1613 Ripper.par</v>
      </c>
      <c r="AV399" t="str">
        <v>255,127,0</v>
      </c>
      <c r="AW399" s="31">
        <v>24.299999999999997</v>
      </c>
      <c r="AX399" s="31">
        <v>23.936756233692545</v>
      </c>
      <c r="AY399" s="31">
        <v>0</v>
      </c>
    </row>
    <row r="400" spans="31:51" x14ac:dyDescent="0.25">
      <c r="AE400">
        <v>1.111</v>
      </c>
      <c r="AF400">
        <v>1</v>
      </c>
      <c r="AG400">
        <v>1</v>
      </c>
      <c r="AH400">
        <v>1</v>
      </c>
      <c r="AI400">
        <v>1.9999999999890861</v>
      </c>
      <c r="AJ400">
        <v>1.1111199999999999</v>
      </c>
      <c r="AK400" t="str">
        <v>Base</v>
      </c>
      <c r="AL400">
        <v>-9</v>
      </c>
      <c r="AM400">
        <v>-2.4577327467561765</v>
      </c>
      <c r="AN400">
        <v>-0.6652770521284348</v>
      </c>
      <c r="AO400">
        <v>8.4534739187834553</v>
      </c>
      <c r="AP400">
        <v>-15.928124578379785</v>
      </c>
      <c r="AQ400">
        <v>0</v>
      </c>
      <c r="AR400" t="str">
        <v>1613 Ripper.par</v>
      </c>
      <c r="AV400" t="str">
        <v>255,127,0</v>
      </c>
      <c r="AW400" s="31">
        <v>5.2999999999999972</v>
      </c>
      <c r="AX400" s="31">
        <v>8.4534739187834553</v>
      </c>
      <c r="AY400" s="31">
        <v>0</v>
      </c>
    </row>
    <row r="401" spans="31:51" x14ac:dyDescent="0.25">
      <c r="AE401">
        <v>1.107</v>
      </c>
      <c r="AF401">
        <v>1</v>
      </c>
      <c r="AG401">
        <v>1</v>
      </c>
      <c r="AH401">
        <v>1</v>
      </c>
      <c r="AI401">
        <v>1.9999999999890861</v>
      </c>
      <c r="AJ401">
        <v>1.1071199999999999</v>
      </c>
      <c r="AK401" t="str">
        <v>Base</v>
      </c>
      <c r="AL401">
        <v>-9</v>
      </c>
      <c r="AM401">
        <v>-1.7334170716054855</v>
      </c>
      <c r="AN401">
        <v>-0.71532598655540891</v>
      </c>
      <c r="AO401">
        <v>-2.2150241492923901</v>
      </c>
      <c r="AP401">
        <v>-16.012280643730861</v>
      </c>
      <c r="AQ401">
        <v>0</v>
      </c>
      <c r="AR401" t="str">
        <v>1613.par</v>
      </c>
      <c r="AV401" t="str">
        <v>255,127,0</v>
      </c>
      <c r="AW401" s="31">
        <v>-13.200000000000003</v>
      </c>
      <c r="AX401" s="31">
        <v>-2.2150241492923901</v>
      </c>
      <c r="AY401" s="31">
        <v>0</v>
      </c>
    </row>
    <row r="402" spans="31:51" x14ac:dyDescent="0.25">
      <c r="AE402">
        <v>1.1040000000000001</v>
      </c>
      <c r="AF402">
        <v>1</v>
      </c>
      <c r="AG402">
        <v>1</v>
      </c>
      <c r="AH402">
        <v>1</v>
      </c>
      <c r="AI402">
        <v>2.000000000007276</v>
      </c>
      <c r="AJ402">
        <v>1.10412</v>
      </c>
      <c r="AK402" t="str">
        <v>Base</v>
      </c>
      <c r="AL402">
        <v>-9</v>
      </c>
      <c r="AM402">
        <v>-1.0379728322122419</v>
      </c>
      <c r="AN402">
        <v>-0.95152830173424996</v>
      </c>
      <c r="AO402">
        <v>-6.6778445705640328</v>
      </c>
      <c r="AP402">
        <v>-16.089568715731136</v>
      </c>
      <c r="AQ402">
        <v>0</v>
      </c>
      <c r="AR402" t="str">
        <v>1613.par</v>
      </c>
      <c r="AV402" t="str">
        <v>255,127,0</v>
      </c>
      <c r="AW402" s="31">
        <v>-20</v>
      </c>
      <c r="AX402" s="31">
        <v>-6.6778445705640328</v>
      </c>
      <c r="AY402" s="31">
        <v>0</v>
      </c>
    </row>
    <row r="403" spans="31:51" x14ac:dyDescent="0.25">
      <c r="AE403">
        <v>1.101</v>
      </c>
      <c r="AF403">
        <v>1</v>
      </c>
      <c r="AG403">
        <v>1</v>
      </c>
      <c r="AH403">
        <v>1</v>
      </c>
      <c r="AI403">
        <v>1.9999999999890861</v>
      </c>
      <c r="AJ403">
        <v>1.1011199999999999</v>
      </c>
      <c r="AK403" t="str">
        <v>Base</v>
      </c>
      <c r="AL403">
        <v>-9</v>
      </c>
      <c r="AM403">
        <v>-0.34377459072332789</v>
      </c>
      <c r="AN403">
        <v>-1.2038037335199354</v>
      </c>
      <c r="AO403">
        <v>-16.347873003628511</v>
      </c>
      <c r="AP403">
        <v>-22.679965146972126</v>
      </c>
      <c r="AQ403">
        <v>0</v>
      </c>
      <c r="AR403" t="str">
        <v>1613.par</v>
      </c>
      <c r="AV403" t="str">
        <v>255,127,0</v>
      </c>
      <c r="AW403" s="31">
        <v>-20</v>
      </c>
      <c r="AX403" s="31">
        <v>-16.347873003628511</v>
      </c>
      <c r="AY403" s="31">
        <v>0</v>
      </c>
    </row>
    <row r="404" spans="31:51" x14ac:dyDescent="0.25">
      <c r="AE404">
        <v>6.2439999999999998</v>
      </c>
      <c r="AF404">
        <v>6</v>
      </c>
      <c r="AG404">
        <v>2</v>
      </c>
      <c r="AH404">
        <v>2</v>
      </c>
      <c r="AI404">
        <v>1.9999999999708962</v>
      </c>
      <c r="AJ404">
        <v>6.2442199999999994</v>
      </c>
      <c r="AK404">
        <v>6.2441199999999997</v>
      </c>
      <c r="AL404">
        <v>0</v>
      </c>
      <c r="AM404">
        <v>0</v>
      </c>
      <c r="AN404">
        <v>0</v>
      </c>
      <c r="AO404">
        <v>1.2272479793296043E-5</v>
      </c>
      <c r="AP404">
        <v>0</v>
      </c>
      <c r="AQ404">
        <v>0</v>
      </c>
      <c r="AR404" t="str">
        <v>32193r1.par</v>
      </c>
      <c r="AV404" t="str">
        <v>188,121,255</v>
      </c>
      <c r="AW404" s="31">
        <v>85</v>
      </c>
      <c r="AX404" s="31">
        <v>84.999987727520207</v>
      </c>
      <c r="AY404" s="31">
        <v>1.2272479793296043E-5</v>
      </c>
    </row>
    <row r="405" spans="31:51" x14ac:dyDescent="0.25">
      <c r="AE405">
        <v>6.2380000000000004</v>
      </c>
      <c r="AF405">
        <v>6</v>
      </c>
      <c r="AG405">
        <v>2</v>
      </c>
      <c r="AH405">
        <v>2</v>
      </c>
      <c r="AI405">
        <v>2.0000000000436557</v>
      </c>
      <c r="AJ405">
        <v>6.2382200000000001</v>
      </c>
      <c r="AK405">
        <v>6.2381200000000003</v>
      </c>
      <c r="AL405">
        <v>0</v>
      </c>
      <c r="AM405">
        <v>0</v>
      </c>
      <c r="AN405">
        <v>0</v>
      </c>
      <c r="AO405">
        <v>1.2272479821717752E-5</v>
      </c>
      <c r="AP405">
        <v>0</v>
      </c>
      <c r="AQ405">
        <v>0</v>
      </c>
      <c r="AR405" t="str">
        <v>32193r1.par</v>
      </c>
      <c r="AV405" t="str">
        <v>188,121,255</v>
      </c>
      <c r="AW405" s="31">
        <v>85</v>
      </c>
      <c r="AX405" s="31">
        <v>84.999987727520178</v>
      </c>
      <c r="AY405" s="31">
        <v>1.2272479821717752E-5</v>
      </c>
    </row>
    <row r="406" spans="31:51" x14ac:dyDescent="0.25">
      <c r="AE406">
        <v>6.2320000000000002</v>
      </c>
      <c r="AF406">
        <v>6</v>
      </c>
      <c r="AG406">
        <v>2</v>
      </c>
      <c r="AH406">
        <v>2</v>
      </c>
      <c r="AI406">
        <v>1.9999999999708962</v>
      </c>
      <c r="AJ406">
        <v>6.2322199999999999</v>
      </c>
      <c r="AK406">
        <v>6.2321200000000001</v>
      </c>
      <c r="AL406">
        <v>0</v>
      </c>
      <c r="AM406">
        <v>0</v>
      </c>
      <c r="AN406">
        <v>0</v>
      </c>
      <c r="AO406">
        <v>1.0366635891045917E-5</v>
      </c>
      <c r="AP406">
        <v>0</v>
      </c>
      <c r="AQ406">
        <v>0</v>
      </c>
      <c r="AR406" t="str">
        <v>32193r1.par</v>
      </c>
      <c r="AV406" t="str">
        <v>188,121,255</v>
      </c>
      <c r="AW406" s="31">
        <v>71.800000000000011</v>
      </c>
      <c r="AX406" s="31">
        <v>71.79998963336412</v>
      </c>
      <c r="AY406" s="31">
        <v>1.0366635891045917E-5</v>
      </c>
    </row>
    <row r="407" spans="31:51" x14ac:dyDescent="0.25">
      <c r="AE407">
        <v>6.226</v>
      </c>
      <c r="AF407">
        <v>6</v>
      </c>
      <c r="AG407">
        <v>2</v>
      </c>
      <c r="AH407">
        <v>2</v>
      </c>
      <c r="AI407">
        <v>1.9999999999708962</v>
      </c>
      <c r="AJ407">
        <v>6.2262199999999996</v>
      </c>
      <c r="AK407">
        <v>6.2261199999999999</v>
      </c>
      <c r="AL407">
        <v>0</v>
      </c>
      <c r="AM407">
        <v>0</v>
      </c>
      <c r="AN407">
        <v>0</v>
      </c>
      <c r="AO407">
        <v>5.7418426775748159</v>
      </c>
      <c r="AP407">
        <v>0</v>
      </c>
      <c r="AQ407">
        <v>0</v>
      </c>
      <c r="AR407" t="str">
        <v>1313.par</v>
      </c>
      <c r="AV407" t="str">
        <v>188,121,255</v>
      </c>
      <c r="AW407" s="31">
        <v>52.900000000000006</v>
      </c>
      <c r="AX407" s="31">
        <v>47.15815732242519</v>
      </c>
      <c r="AY407" s="31">
        <v>5.7418426775748159</v>
      </c>
    </row>
    <row r="408" spans="31:51" x14ac:dyDescent="0.25">
      <c r="AE408">
        <v>6.22</v>
      </c>
      <c r="AF408">
        <v>6</v>
      </c>
      <c r="AG408">
        <v>2</v>
      </c>
      <c r="AH408">
        <v>2</v>
      </c>
      <c r="AI408">
        <v>1.9999999999708962</v>
      </c>
      <c r="AJ408">
        <v>6.2202199999999994</v>
      </c>
      <c r="AK408">
        <v>6.2201199999999996</v>
      </c>
      <c r="AL408">
        <v>0</v>
      </c>
      <c r="AM408">
        <v>0</v>
      </c>
      <c r="AN408">
        <v>0</v>
      </c>
      <c r="AO408">
        <v>1.9916228518461168</v>
      </c>
      <c r="AP408">
        <v>0</v>
      </c>
      <c r="AQ408">
        <v>0</v>
      </c>
      <c r="AR408" t="str">
        <v>1310.par</v>
      </c>
      <c r="AV408" t="str">
        <v>188,121,255</v>
      </c>
      <c r="AW408" s="31">
        <v>33.900000000000006</v>
      </c>
      <c r="AX408" s="31">
        <v>31.908377148153889</v>
      </c>
      <c r="AY408" s="31">
        <v>1.9916228518461168</v>
      </c>
    </row>
    <row r="409" spans="31:51" x14ac:dyDescent="0.25">
      <c r="AE409">
        <v>6.1440000000000001</v>
      </c>
      <c r="AF409">
        <v>6</v>
      </c>
      <c r="AG409">
        <v>1</v>
      </c>
      <c r="AH409">
        <v>2</v>
      </c>
      <c r="AI409">
        <v>1.9999999999708962</v>
      </c>
      <c r="AJ409">
        <v>6.1442199999999998</v>
      </c>
      <c r="AK409">
        <v>6.14412</v>
      </c>
      <c r="AL409">
        <v>0</v>
      </c>
      <c r="AM409">
        <v>0</v>
      </c>
      <c r="AN409">
        <v>0</v>
      </c>
      <c r="AO409">
        <v>3.226417056379205E-2</v>
      </c>
      <c r="AP409">
        <v>0</v>
      </c>
      <c r="AQ409">
        <v>0</v>
      </c>
      <c r="AR409" t="str">
        <v>1613.par</v>
      </c>
      <c r="AV409" t="str">
        <v>127,0,255</v>
      </c>
      <c r="AW409" s="31">
        <v>85</v>
      </c>
      <c r="AX409" s="31">
        <v>84.967735829436208</v>
      </c>
      <c r="AY409" s="31">
        <v>3.226417056379205E-2</v>
      </c>
    </row>
    <row r="410" spans="31:51" x14ac:dyDescent="0.25">
      <c r="AE410">
        <v>6.1379999999999999</v>
      </c>
      <c r="AF410">
        <v>6</v>
      </c>
      <c r="AG410">
        <v>1</v>
      </c>
      <c r="AH410">
        <v>2</v>
      </c>
      <c r="AI410">
        <v>1.9999999999708962</v>
      </c>
      <c r="AJ410">
        <v>6.1382199999999996</v>
      </c>
      <c r="AK410">
        <v>6.1381199999999998</v>
      </c>
      <c r="AL410">
        <v>0</v>
      </c>
      <c r="AM410">
        <v>0</v>
      </c>
      <c r="AN410">
        <v>0</v>
      </c>
      <c r="AO410">
        <v>7.5885209372200535</v>
      </c>
      <c r="AP410">
        <v>0</v>
      </c>
      <c r="AQ410">
        <v>0</v>
      </c>
      <c r="AR410" t="str">
        <v>1613.par</v>
      </c>
      <c r="AV410" t="str">
        <v>127,0,255</v>
      </c>
      <c r="AW410" s="31">
        <v>85</v>
      </c>
      <c r="AX410" s="31">
        <v>77.411479062779947</v>
      </c>
      <c r="AY410" s="31">
        <v>7.5885209372200535</v>
      </c>
    </row>
    <row r="411" spans="31:51" x14ac:dyDescent="0.25">
      <c r="AE411">
        <v>6.1319999999999997</v>
      </c>
      <c r="AF411">
        <v>6</v>
      </c>
      <c r="AG411">
        <v>1</v>
      </c>
      <c r="AH411">
        <v>2</v>
      </c>
      <c r="AI411">
        <v>1.9999999998981366</v>
      </c>
      <c r="AJ411">
        <v>6.1322199999999993</v>
      </c>
      <c r="AK411">
        <v>6.1321199999999996</v>
      </c>
      <c r="AL411">
        <v>0</v>
      </c>
      <c r="AM411">
        <v>0</v>
      </c>
      <c r="AN411">
        <v>0</v>
      </c>
      <c r="AO411">
        <v>9.534940658343146</v>
      </c>
      <c r="AP411">
        <v>0</v>
      </c>
      <c r="AQ411">
        <v>0</v>
      </c>
      <c r="AR411" t="str">
        <v>1613.par</v>
      </c>
      <c r="AV411" t="str">
        <v>127,0,255</v>
      </c>
      <c r="AW411" s="31">
        <v>71.800000000000011</v>
      </c>
      <c r="AX411" s="31">
        <v>62.265059341656865</v>
      </c>
      <c r="AY411" s="31">
        <v>9.534940658343146</v>
      </c>
    </row>
    <row r="412" spans="31:51" x14ac:dyDescent="0.25">
      <c r="AE412">
        <v>6.1260000000000003</v>
      </c>
      <c r="AF412">
        <v>6</v>
      </c>
      <c r="AG412">
        <v>1</v>
      </c>
      <c r="AH412">
        <v>2</v>
      </c>
      <c r="AI412">
        <v>1.9999999999708962</v>
      </c>
      <c r="AJ412">
        <v>6.12622</v>
      </c>
      <c r="AK412">
        <v>6.1261200000000002</v>
      </c>
      <c r="AL412">
        <v>0</v>
      </c>
      <c r="AM412">
        <v>0</v>
      </c>
      <c r="AN412">
        <v>0</v>
      </c>
      <c r="AO412">
        <v>5.8532509180538881</v>
      </c>
      <c r="AP412">
        <v>0</v>
      </c>
      <c r="AQ412">
        <v>0</v>
      </c>
      <c r="AR412" t="str">
        <v>1613.par</v>
      </c>
      <c r="AV412" t="str">
        <v>127,0,255</v>
      </c>
      <c r="AW412" s="31">
        <v>52.900000000000006</v>
      </c>
      <c r="AX412" s="31">
        <v>47.046749081946118</v>
      </c>
      <c r="AY412" s="31">
        <v>5.8532509180538881</v>
      </c>
    </row>
    <row r="413" spans="31:51" x14ac:dyDescent="0.25">
      <c r="AE413">
        <v>6.12</v>
      </c>
      <c r="AF413">
        <v>6</v>
      </c>
      <c r="AG413">
        <v>1</v>
      </c>
      <c r="AH413">
        <v>2</v>
      </c>
      <c r="AI413">
        <v>1.9999999999708962</v>
      </c>
      <c r="AJ413">
        <v>6.1202199999999998</v>
      </c>
      <c r="AK413">
        <v>6.12012</v>
      </c>
      <c r="AL413">
        <v>0</v>
      </c>
      <c r="AM413">
        <v>0</v>
      </c>
      <c r="AN413">
        <v>0</v>
      </c>
      <c r="AO413">
        <v>2.2026982600441798</v>
      </c>
      <c r="AP413">
        <v>0</v>
      </c>
      <c r="AQ413">
        <v>0</v>
      </c>
      <c r="AR413" t="str">
        <v>1613.par</v>
      </c>
      <c r="AV413" t="str">
        <v>127,0,255</v>
      </c>
      <c r="AW413" s="31">
        <v>33.900000000000006</v>
      </c>
      <c r="AX413" s="31">
        <v>31.697301739955826</v>
      </c>
      <c r="AY413" s="31">
        <v>2.2026982600441798</v>
      </c>
    </row>
    <row r="414" spans="31:51" x14ac:dyDescent="0.25">
      <c r="AE414">
        <v>6.1139999999999999</v>
      </c>
      <c r="AF414">
        <v>6</v>
      </c>
      <c r="AG414">
        <v>1</v>
      </c>
      <c r="AH414">
        <v>2</v>
      </c>
      <c r="AI414">
        <v>1.9999999999708962</v>
      </c>
      <c r="AJ414">
        <v>6.1142199999999995</v>
      </c>
      <c r="AK414">
        <v>6.1141199999999998</v>
      </c>
      <c r="AL414">
        <v>0</v>
      </c>
      <c r="AM414">
        <v>0</v>
      </c>
      <c r="AN414">
        <v>0</v>
      </c>
      <c r="AO414">
        <v>-1.3938793362079664</v>
      </c>
      <c r="AP414">
        <v>0</v>
      </c>
      <c r="AQ414">
        <v>0</v>
      </c>
      <c r="AR414" t="str">
        <v>1613.par</v>
      </c>
      <c r="AV414" t="str">
        <v>127,0,255</v>
      </c>
      <c r="AW414" s="31">
        <v>14.799999999999997</v>
      </c>
      <c r="AX414" s="31">
        <v>16.193879336207964</v>
      </c>
      <c r="AY414" s="31">
        <v>-1.3938793362079664</v>
      </c>
    </row>
    <row r="415" spans="31:51" x14ac:dyDescent="0.25">
      <c r="AE415">
        <v>5.2450000000000001</v>
      </c>
      <c r="AF415">
        <v>5</v>
      </c>
      <c r="AG415">
        <v>2</v>
      </c>
      <c r="AH415">
        <v>2</v>
      </c>
      <c r="AI415">
        <v>1.9999999999708962</v>
      </c>
      <c r="AJ415">
        <v>5.2452199999999998</v>
      </c>
      <c r="AK415">
        <v>5.24512</v>
      </c>
      <c r="AL415">
        <v>0</v>
      </c>
      <c r="AM415">
        <v>0</v>
      </c>
      <c r="AN415">
        <v>0</v>
      </c>
      <c r="AO415">
        <v>1.2272479821717752E-5</v>
      </c>
      <c r="AP415">
        <v>0</v>
      </c>
      <c r="AQ415">
        <v>0</v>
      </c>
      <c r="AR415" t="str">
        <v>32193r1.par</v>
      </c>
      <c r="AV415" t="str">
        <v>121,188,255</v>
      </c>
      <c r="AW415" s="31">
        <v>85</v>
      </c>
      <c r="AX415" s="31">
        <v>84.999987727520178</v>
      </c>
      <c r="AY415" s="31">
        <v>1.2272479821717752E-5</v>
      </c>
    </row>
    <row r="416" spans="31:51" x14ac:dyDescent="0.25">
      <c r="AE416">
        <v>5.2389999999999999</v>
      </c>
      <c r="AF416">
        <v>5</v>
      </c>
      <c r="AG416">
        <v>2</v>
      </c>
      <c r="AH416">
        <v>2</v>
      </c>
      <c r="AI416">
        <v>1.9999999999708962</v>
      </c>
      <c r="AJ416">
        <v>5.2392199999999995</v>
      </c>
      <c r="AK416">
        <v>5.2391199999999998</v>
      </c>
      <c r="AL416">
        <v>0</v>
      </c>
      <c r="AM416">
        <v>0</v>
      </c>
      <c r="AN416">
        <v>0</v>
      </c>
      <c r="AO416">
        <v>1.2272479821717752E-5</v>
      </c>
      <c r="AP416">
        <v>0</v>
      </c>
      <c r="AQ416">
        <v>0</v>
      </c>
      <c r="AR416" t="str">
        <v>32193r1.par</v>
      </c>
      <c r="AV416" t="str">
        <v>121,188,255</v>
      </c>
      <c r="AW416" s="31">
        <v>85</v>
      </c>
      <c r="AX416" s="31">
        <v>84.999987727520178</v>
      </c>
      <c r="AY416" s="31">
        <v>1.2272479821717752E-5</v>
      </c>
    </row>
    <row r="417" spans="31:51" x14ac:dyDescent="0.25">
      <c r="AE417">
        <v>5.2329999999999997</v>
      </c>
      <c r="AF417">
        <v>5</v>
      </c>
      <c r="AG417">
        <v>2</v>
      </c>
      <c r="AH417">
        <v>2</v>
      </c>
      <c r="AI417">
        <v>1.9999999998981366</v>
      </c>
      <c r="AJ417">
        <v>5.2332199999999993</v>
      </c>
      <c r="AK417">
        <v>5.2331199999999995</v>
      </c>
      <c r="AL417">
        <v>0</v>
      </c>
      <c r="AM417">
        <v>0</v>
      </c>
      <c r="AN417">
        <v>0</v>
      </c>
      <c r="AO417">
        <v>10.105591141629816</v>
      </c>
      <c r="AP417">
        <v>0</v>
      </c>
      <c r="AQ417">
        <v>0</v>
      </c>
      <c r="AR417" t="str">
        <v>1313.par</v>
      </c>
      <c r="AV417" t="str">
        <v>121,188,255</v>
      </c>
      <c r="AW417" s="31">
        <v>74.900000000000006</v>
      </c>
      <c r="AX417" s="31">
        <v>64.79440885837019</v>
      </c>
      <c r="AY417" s="31">
        <v>10.105591141629816</v>
      </c>
    </row>
    <row r="418" spans="31:51" x14ac:dyDescent="0.25">
      <c r="AE418">
        <v>5.2270000000000003</v>
      </c>
      <c r="AF418">
        <v>5</v>
      </c>
      <c r="AG418">
        <v>2</v>
      </c>
      <c r="AH418">
        <v>2</v>
      </c>
      <c r="AI418">
        <v>1.9999999999708962</v>
      </c>
      <c r="AJ418">
        <v>5.22722</v>
      </c>
      <c r="AK418">
        <v>5.2271200000000002</v>
      </c>
      <c r="AL418">
        <v>0</v>
      </c>
      <c r="AM418">
        <v>0</v>
      </c>
      <c r="AN418">
        <v>0</v>
      </c>
      <c r="AO418">
        <v>6.508065891895626</v>
      </c>
      <c r="AP418">
        <v>0</v>
      </c>
      <c r="AQ418">
        <v>0</v>
      </c>
      <c r="AR418" t="str">
        <v>1313.par</v>
      </c>
      <c r="AV418" t="str">
        <v>121,188,255</v>
      </c>
      <c r="AW418" s="31">
        <v>56.099999999999994</v>
      </c>
      <c r="AX418" s="31">
        <v>49.591934108104368</v>
      </c>
      <c r="AY418" s="31">
        <v>6.508065891895626</v>
      </c>
    </row>
    <row r="419" spans="31:51" x14ac:dyDescent="0.25">
      <c r="AE419">
        <v>5.2210000000000001</v>
      </c>
      <c r="AF419">
        <v>5</v>
      </c>
      <c r="AG419">
        <v>2</v>
      </c>
      <c r="AH419">
        <v>2</v>
      </c>
      <c r="AI419">
        <v>1.9999999999708962</v>
      </c>
      <c r="AJ419">
        <v>5.2212199999999998</v>
      </c>
      <c r="AK419">
        <v>5.22112</v>
      </c>
      <c r="AL419">
        <v>0</v>
      </c>
      <c r="AM419">
        <v>0</v>
      </c>
      <c r="AN419">
        <v>0</v>
      </c>
      <c r="AO419">
        <v>2.8281505137893674</v>
      </c>
      <c r="AP419">
        <v>0</v>
      </c>
      <c r="AQ419">
        <v>0</v>
      </c>
      <c r="AR419" t="str">
        <v>1313.par</v>
      </c>
      <c r="AV419" t="str">
        <v>121,188,255</v>
      </c>
      <c r="AW419" s="31">
        <v>37.099999999999994</v>
      </c>
      <c r="AX419" s="31">
        <v>34.271849486210627</v>
      </c>
      <c r="AY419" s="31">
        <v>2.8281505137893674</v>
      </c>
    </row>
    <row r="420" spans="31:51" x14ac:dyDescent="0.25">
      <c r="AE420">
        <v>5.2149999999999999</v>
      </c>
      <c r="AF420">
        <v>5</v>
      </c>
      <c r="AG420">
        <v>2</v>
      </c>
      <c r="AH420">
        <v>2</v>
      </c>
      <c r="AI420">
        <v>1.9999999999708962</v>
      </c>
      <c r="AJ420">
        <v>5.2152199999999995</v>
      </c>
      <c r="AK420">
        <v>5.2151199999999998</v>
      </c>
      <c r="AL420">
        <v>0</v>
      </c>
      <c r="AM420">
        <v>0</v>
      </c>
      <c r="AN420">
        <v>0</v>
      </c>
      <c r="AO420">
        <v>-0.76815248906773448</v>
      </c>
      <c r="AP420">
        <v>0</v>
      </c>
      <c r="AQ420">
        <v>0</v>
      </c>
      <c r="AR420" t="str">
        <v>1310.par</v>
      </c>
      <c r="AV420" t="str">
        <v>121,188,255</v>
      </c>
      <c r="AW420" s="31">
        <v>18</v>
      </c>
      <c r="AX420" s="31">
        <v>18.768152489067734</v>
      </c>
      <c r="AY420" s="31">
        <v>-0.76815248906773448</v>
      </c>
    </row>
    <row r="421" spans="31:51" x14ac:dyDescent="0.25">
      <c r="AE421">
        <v>5.1449999999999996</v>
      </c>
      <c r="AF421">
        <v>5</v>
      </c>
      <c r="AG421">
        <v>1</v>
      </c>
      <c r="AH421">
        <v>2</v>
      </c>
      <c r="AI421">
        <v>1.9999999998981366</v>
      </c>
      <c r="AJ421">
        <v>5.1452199999999992</v>
      </c>
      <c r="AK421">
        <v>5.1451199999999995</v>
      </c>
      <c r="AL421">
        <v>0</v>
      </c>
      <c r="AM421">
        <v>0</v>
      </c>
      <c r="AN421">
        <v>0</v>
      </c>
      <c r="AO421">
        <v>3.2264474746483529E-2</v>
      </c>
      <c r="AP421">
        <v>0</v>
      </c>
      <c r="AQ421">
        <v>0</v>
      </c>
      <c r="AR421" t="str">
        <v>1613.par</v>
      </c>
      <c r="AV421" t="str">
        <v>0,102,204</v>
      </c>
      <c r="AW421" s="31">
        <v>85</v>
      </c>
      <c r="AX421" s="31">
        <v>84.967735525253516</v>
      </c>
      <c r="AY421" s="31">
        <v>3.2264474746483529E-2</v>
      </c>
    </row>
    <row r="422" spans="31:51" x14ac:dyDescent="0.25">
      <c r="AE422">
        <v>5.1390000000000002</v>
      </c>
      <c r="AF422">
        <v>5</v>
      </c>
      <c r="AG422">
        <v>1</v>
      </c>
      <c r="AH422">
        <v>2</v>
      </c>
      <c r="AI422">
        <v>1.9999999999708962</v>
      </c>
      <c r="AJ422">
        <v>5.1392199999999999</v>
      </c>
      <c r="AK422">
        <v>5.1391200000000001</v>
      </c>
      <c r="AL422">
        <v>0</v>
      </c>
      <c r="AM422">
        <v>0</v>
      </c>
      <c r="AN422">
        <v>0</v>
      </c>
      <c r="AO422">
        <v>5.0688255041637973</v>
      </c>
      <c r="AP422">
        <v>0</v>
      </c>
      <c r="AQ422">
        <v>0</v>
      </c>
      <c r="AR422" t="str">
        <v>1613.par</v>
      </c>
      <c r="AV422" t="str">
        <v>0,102,204</v>
      </c>
      <c r="AW422" s="31">
        <v>85</v>
      </c>
      <c r="AX422" s="31">
        <v>79.931174495836203</v>
      </c>
      <c r="AY422" s="31">
        <v>5.0688255041637973</v>
      </c>
    </row>
    <row r="423" spans="31:51" x14ac:dyDescent="0.25">
      <c r="AE423">
        <v>5.133</v>
      </c>
      <c r="AF423">
        <v>5</v>
      </c>
      <c r="AG423">
        <v>1</v>
      </c>
      <c r="AH423">
        <v>2</v>
      </c>
      <c r="AI423">
        <v>1.9999999999708962</v>
      </c>
      <c r="AJ423">
        <v>5.1332199999999997</v>
      </c>
      <c r="AK423">
        <v>5.1331199999999999</v>
      </c>
      <c r="AL423">
        <v>0</v>
      </c>
      <c r="AM423">
        <v>0</v>
      </c>
      <c r="AN423">
        <v>0</v>
      </c>
      <c r="AO423">
        <v>10.106571321602118</v>
      </c>
      <c r="AP423">
        <v>0</v>
      </c>
      <c r="AQ423">
        <v>0</v>
      </c>
      <c r="AR423" t="str">
        <v>1613 Ripper.par</v>
      </c>
      <c r="AV423" t="str">
        <v>0,102,204</v>
      </c>
      <c r="AW423" s="31">
        <v>74.900000000000006</v>
      </c>
      <c r="AX423" s="31">
        <v>64.793428678397888</v>
      </c>
      <c r="AY423" s="31">
        <v>10.106571321602118</v>
      </c>
    </row>
    <row r="424" spans="31:51" x14ac:dyDescent="0.25">
      <c r="AE424">
        <v>5.1269999999999998</v>
      </c>
      <c r="AF424">
        <v>5</v>
      </c>
      <c r="AG424">
        <v>1</v>
      </c>
      <c r="AH424">
        <v>2</v>
      </c>
      <c r="AI424">
        <v>1.9999999999708962</v>
      </c>
      <c r="AJ424">
        <v>5.1272199999999994</v>
      </c>
      <c r="AK424">
        <v>5.1271199999999997</v>
      </c>
      <c r="AL424">
        <v>0</v>
      </c>
      <c r="AM424">
        <v>0</v>
      </c>
      <c r="AN424">
        <v>0</v>
      </c>
      <c r="AO424">
        <v>6.5099366354501598</v>
      </c>
      <c r="AP424">
        <v>0</v>
      </c>
      <c r="AQ424">
        <v>0</v>
      </c>
      <c r="AR424" t="str">
        <v>1613 Ripper.par</v>
      </c>
      <c r="AV424" t="str">
        <v>0,102,204</v>
      </c>
      <c r="AW424" s="31">
        <v>56.099999999999994</v>
      </c>
      <c r="AX424" s="31">
        <v>49.590063364549835</v>
      </c>
      <c r="AY424" s="31">
        <v>6.5099366354501598</v>
      </c>
    </row>
    <row r="425" spans="31:51" x14ac:dyDescent="0.25">
      <c r="AE425">
        <v>5.1210000000000004</v>
      </c>
      <c r="AF425">
        <v>5</v>
      </c>
      <c r="AG425">
        <v>1</v>
      </c>
      <c r="AH425">
        <v>2</v>
      </c>
      <c r="AI425">
        <v>2.0000000000436557</v>
      </c>
      <c r="AJ425">
        <v>5.1212200000000001</v>
      </c>
      <c r="AK425">
        <v>5.1211200000000003</v>
      </c>
      <c r="AL425">
        <v>0</v>
      </c>
      <c r="AM425">
        <v>0</v>
      </c>
      <c r="AN425">
        <v>0</v>
      </c>
      <c r="AO425">
        <v>2.8311260594446068</v>
      </c>
      <c r="AP425">
        <v>0</v>
      </c>
      <c r="AQ425">
        <v>0</v>
      </c>
      <c r="AR425" t="str">
        <v>1613 Ripper.par</v>
      </c>
      <c r="AV425" t="str">
        <v>0,102,204</v>
      </c>
      <c r="AW425" s="31">
        <v>37.099999999999994</v>
      </c>
      <c r="AX425" s="31">
        <v>34.268873940555387</v>
      </c>
      <c r="AY425" s="31">
        <v>2.8311260594446068</v>
      </c>
    </row>
    <row r="426" spans="31:51" x14ac:dyDescent="0.25">
      <c r="AE426">
        <v>5.1150000000000002</v>
      </c>
      <c r="AF426">
        <v>5</v>
      </c>
      <c r="AG426">
        <v>1</v>
      </c>
      <c r="AH426">
        <v>2</v>
      </c>
      <c r="AI426">
        <v>1.9999999999708962</v>
      </c>
      <c r="AJ426">
        <v>5.1152199999999999</v>
      </c>
      <c r="AK426">
        <v>5.1151200000000001</v>
      </c>
      <c r="AL426">
        <v>0</v>
      </c>
      <c r="AM426">
        <v>0</v>
      </c>
      <c r="AN426">
        <v>0</v>
      </c>
      <c r="AO426">
        <v>-0.76438226477494453</v>
      </c>
      <c r="AP426">
        <v>0</v>
      </c>
      <c r="AQ426">
        <v>0</v>
      </c>
      <c r="AR426" t="str">
        <v>1613 Ripper.par</v>
      </c>
      <c r="AV426" t="str">
        <v>0,102,204</v>
      </c>
      <c r="AW426" s="31">
        <v>18</v>
      </c>
      <c r="AX426" s="31">
        <v>18.764382264774945</v>
      </c>
      <c r="AY426" s="31">
        <v>-0.76438226477494453</v>
      </c>
    </row>
    <row r="427" spans="31:51" x14ac:dyDescent="0.25">
      <c r="AE427">
        <v>5.109</v>
      </c>
      <c r="AF427">
        <v>5</v>
      </c>
      <c r="AG427">
        <v>1</v>
      </c>
      <c r="AH427">
        <v>2</v>
      </c>
      <c r="AI427">
        <v>1.9999999999708962</v>
      </c>
      <c r="AJ427">
        <v>5.1092199999999997</v>
      </c>
      <c r="AK427">
        <v>5.1091199999999999</v>
      </c>
      <c r="AL427">
        <v>0</v>
      </c>
      <c r="AM427">
        <v>0</v>
      </c>
      <c r="AN427">
        <v>0</v>
      </c>
      <c r="AO427">
        <v>-4.2628915737279787</v>
      </c>
      <c r="AP427">
        <v>0</v>
      </c>
      <c r="AQ427">
        <v>0</v>
      </c>
      <c r="AR427" t="str">
        <v>1613 Ripper.par</v>
      </c>
      <c r="AV427" t="str">
        <v>0,102,204</v>
      </c>
      <c r="AW427" s="31">
        <v>-1</v>
      </c>
      <c r="AX427" s="31">
        <v>3.2628915737279782</v>
      </c>
      <c r="AY427" s="31">
        <v>-4.2628915737279787</v>
      </c>
    </row>
    <row r="428" spans="31:51" x14ac:dyDescent="0.25">
      <c r="AE428">
        <v>5.1059999999999999</v>
      </c>
      <c r="AF428">
        <v>5</v>
      </c>
      <c r="AG428">
        <v>1</v>
      </c>
      <c r="AH428">
        <v>2</v>
      </c>
      <c r="AI428">
        <v>1.9999999999708962</v>
      </c>
      <c r="AJ428">
        <v>5.1062199999999995</v>
      </c>
      <c r="AK428">
        <v>5.1061199999999998</v>
      </c>
      <c r="AL428">
        <v>0</v>
      </c>
      <c r="AM428">
        <v>0</v>
      </c>
      <c r="AN428">
        <v>0</v>
      </c>
      <c r="AO428">
        <v>-15.845609253101763</v>
      </c>
      <c r="AP428">
        <v>0</v>
      </c>
      <c r="AQ428">
        <v>0</v>
      </c>
      <c r="AR428" t="str">
        <v>1613.par</v>
      </c>
      <c r="AV428" t="str">
        <v>0,102,204</v>
      </c>
      <c r="AW428" s="31">
        <v>-19.400000000000006</v>
      </c>
      <c r="AX428" s="31">
        <v>-3.5543907468982434</v>
      </c>
      <c r="AY428" s="31">
        <v>-15.845609253101763</v>
      </c>
    </row>
    <row r="429" spans="31:51" x14ac:dyDescent="0.25">
      <c r="AE429">
        <v>5.1029999999999998</v>
      </c>
      <c r="AF429">
        <v>5</v>
      </c>
      <c r="AG429">
        <v>1</v>
      </c>
      <c r="AH429">
        <v>2</v>
      </c>
      <c r="AI429">
        <v>1.9999999999708962</v>
      </c>
      <c r="AJ429">
        <v>5.1032199999999994</v>
      </c>
      <c r="AK429">
        <v>5.1031199999999997</v>
      </c>
      <c r="AL429">
        <v>0</v>
      </c>
      <c r="AM429">
        <v>0</v>
      </c>
      <c r="AN429">
        <v>0</v>
      </c>
      <c r="AO429">
        <v>-11.59927366807249</v>
      </c>
      <c r="AP429">
        <v>0</v>
      </c>
      <c r="AQ429">
        <v>0</v>
      </c>
      <c r="AR429" t="str">
        <v>1613.par</v>
      </c>
      <c r="AV429" t="str">
        <v>0,102,204</v>
      </c>
      <c r="AW429" s="31">
        <v>-20</v>
      </c>
      <c r="AX429" s="31">
        <v>-8.4007263319275101</v>
      </c>
      <c r="AY429" s="31">
        <v>-11.59927366807249</v>
      </c>
    </row>
    <row r="430" spans="31:51" x14ac:dyDescent="0.25">
      <c r="AE430">
        <v>4.242</v>
      </c>
      <c r="AF430">
        <v>4</v>
      </c>
      <c r="AG430">
        <v>2</v>
      </c>
      <c r="AH430">
        <v>2</v>
      </c>
      <c r="AI430">
        <v>1.9999999999708962</v>
      </c>
      <c r="AJ430">
        <v>4.2422199999999997</v>
      </c>
      <c r="AK430">
        <v>4.2421199999999999</v>
      </c>
      <c r="AL430">
        <v>0</v>
      </c>
      <c r="AM430">
        <v>0</v>
      </c>
      <c r="AN430">
        <v>0</v>
      </c>
      <c r="AO430">
        <v>1.2272479821717752E-5</v>
      </c>
      <c r="AP430">
        <v>0</v>
      </c>
      <c r="AQ430">
        <v>0</v>
      </c>
      <c r="AR430" t="str">
        <v>32193r1.par</v>
      </c>
      <c r="AV430" t="str">
        <v>91,255,255</v>
      </c>
      <c r="AW430" s="31">
        <v>85</v>
      </c>
      <c r="AX430" s="31">
        <v>84.999987727520178</v>
      </c>
      <c r="AY430" s="31">
        <v>1.2272479821717752E-5</v>
      </c>
    </row>
    <row r="431" spans="31:51" x14ac:dyDescent="0.25">
      <c r="AE431">
        <v>4.2359999999999998</v>
      </c>
      <c r="AF431">
        <v>4</v>
      </c>
      <c r="AG431">
        <v>2</v>
      </c>
      <c r="AH431">
        <v>2</v>
      </c>
      <c r="AI431">
        <v>1.9999999999708962</v>
      </c>
      <c r="AJ431">
        <v>4.2362199999999994</v>
      </c>
      <c r="AK431">
        <v>4.2361199999999997</v>
      </c>
      <c r="AL431">
        <v>0</v>
      </c>
      <c r="AM431">
        <v>0</v>
      </c>
      <c r="AN431">
        <v>0</v>
      </c>
      <c r="AO431">
        <v>1.2142535908310492E-5</v>
      </c>
      <c r="AP431">
        <v>0</v>
      </c>
      <c r="AQ431">
        <v>0</v>
      </c>
      <c r="AR431" t="str">
        <v>32193r1.par</v>
      </c>
      <c r="AV431" t="str">
        <v>91,255,255</v>
      </c>
      <c r="AW431" s="31">
        <v>84.1</v>
      </c>
      <c r="AX431" s="31">
        <v>84.099987857464086</v>
      </c>
      <c r="AY431" s="31">
        <v>1.2142535908310492E-5</v>
      </c>
    </row>
    <row r="432" spans="31:51" x14ac:dyDescent="0.25">
      <c r="AE432">
        <v>4.2300000000000004</v>
      </c>
      <c r="AF432">
        <v>4</v>
      </c>
      <c r="AG432">
        <v>2</v>
      </c>
      <c r="AH432">
        <v>2</v>
      </c>
      <c r="AI432">
        <v>2.0000000000436557</v>
      </c>
      <c r="AJ432">
        <v>4.2302200000000001</v>
      </c>
      <c r="AK432">
        <v>4.2301200000000003</v>
      </c>
      <c r="AL432">
        <v>0</v>
      </c>
      <c r="AM432">
        <v>0</v>
      </c>
      <c r="AN432">
        <v>0</v>
      </c>
      <c r="AO432">
        <v>9.4570285540385157E-6</v>
      </c>
      <c r="AP432">
        <v>0</v>
      </c>
      <c r="AQ432">
        <v>0</v>
      </c>
      <c r="AR432" t="str">
        <v>32193r1.par</v>
      </c>
      <c r="AV432" t="str">
        <v>91,255,255</v>
      </c>
      <c r="AW432" s="31">
        <v>65.5</v>
      </c>
      <c r="AX432" s="31">
        <v>65.499990542971446</v>
      </c>
      <c r="AY432" s="31">
        <v>9.4570285540385157E-6</v>
      </c>
    </row>
    <row r="433" spans="31:51" x14ac:dyDescent="0.25">
      <c r="AE433">
        <v>4.2240000000000002</v>
      </c>
      <c r="AF433">
        <v>4</v>
      </c>
      <c r="AG433">
        <v>2</v>
      </c>
      <c r="AH433">
        <v>2</v>
      </c>
      <c r="AI433">
        <v>1.9999999999708962</v>
      </c>
      <c r="AJ433">
        <v>4.2242199999999999</v>
      </c>
      <c r="AK433">
        <v>4.2241200000000001</v>
      </c>
      <c r="AL433">
        <v>0</v>
      </c>
      <c r="AM433">
        <v>0</v>
      </c>
      <c r="AN433">
        <v>0</v>
      </c>
      <c r="AO433">
        <v>4.51266919084145</v>
      </c>
      <c r="AP433">
        <v>0</v>
      </c>
      <c r="AQ433">
        <v>0</v>
      </c>
      <c r="AR433" t="str">
        <v>1313.par</v>
      </c>
      <c r="AV433" t="str">
        <v>91,255,255</v>
      </c>
      <c r="AW433" s="31">
        <v>46.599999999999994</v>
      </c>
      <c r="AX433" s="31">
        <v>42.087330809158544</v>
      </c>
      <c r="AY433" s="31">
        <v>4.51266919084145</v>
      </c>
    </row>
    <row r="434" spans="31:51" x14ac:dyDescent="0.25">
      <c r="AE434">
        <v>4.218</v>
      </c>
      <c r="AF434">
        <v>4</v>
      </c>
      <c r="AG434">
        <v>2</v>
      </c>
      <c r="AH434">
        <v>2</v>
      </c>
      <c r="AI434">
        <v>1.9999999999708962</v>
      </c>
      <c r="AJ434">
        <v>4.2182199999999996</v>
      </c>
      <c r="AK434">
        <v>4.2181199999999999</v>
      </c>
      <c r="AL434">
        <v>0</v>
      </c>
      <c r="AM434">
        <v>0</v>
      </c>
      <c r="AN434">
        <v>0</v>
      </c>
      <c r="AO434">
        <v>0.70598437136145265</v>
      </c>
      <c r="AP434">
        <v>0</v>
      </c>
      <c r="AQ434">
        <v>0</v>
      </c>
      <c r="AR434" t="str">
        <v>1310.par</v>
      </c>
      <c r="AV434" t="str">
        <v>91,255,255</v>
      </c>
      <c r="AW434" s="31">
        <v>27.5</v>
      </c>
      <c r="AX434" s="31">
        <v>26.794015628638547</v>
      </c>
      <c r="AY434" s="31">
        <v>0.70598437136145265</v>
      </c>
    </row>
    <row r="435" spans="31:51" x14ac:dyDescent="0.25">
      <c r="AE435">
        <v>4.1420000000000003</v>
      </c>
      <c r="AF435">
        <v>4</v>
      </c>
      <c r="AG435">
        <v>1</v>
      </c>
      <c r="AH435">
        <v>2</v>
      </c>
      <c r="AI435">
        <v>1.9999999999708962</v>
      </c>
      <c r="AJ435">
        <v>4.14222</v>
      </c>
      <c r="AK435">
        <v>4.1421200000000002</v>
      </c>
      <c r="AL435">
        <v>0</v>
      </c>
      <c r="AM435">
        <v>0</v>
      </c>
      <c r="AN435">
        <v>0</v>
      </c>
      <c r="AO435">
        <v>3.2264474746511951E-2</v>
      </c>
      <c r="AP435">
        <v>0</v>
      </c>
      <c r="AQ435">
        <v>0</v>
      </c>
      <c r="AR435" t="str">
        <v>1613.par</v>
      </c>
      <c r="AV435" t="str">
        <v>0,204,204</v>
      </c>
      <c r="AW435" s="31">
        <v>85</v>
      </c>
      <c r="AX435" s="31">
        <v>84.967735525253488</v>
      </c>
      <c r="AY435" s="31">
        <v>3.2264474746511951E-2</v>
      </c>
    </row>
    <row r="436" spans="31:51" x14ac:dyDescent="0.25">
      <c r="AE436">
        <v>4.1360000000000001</v>
      </c>
      <c r="AF436">
        <v>4</v>
      </c>
      <c r="AG436">
        <v>1</v>
      </c>
      <c r="AH436">
        <v>2</v>
      </c>
      <c r="AI436">
        <v>1.9999999999708962</v>
      </c>
      <c r="AJ436">
        <v>4.1362199999999998</v>
      </c>
      <c r="AK436">
        <v>4.13612</v>
      </c>
      <c r="AL436">
        <v>0</v>
      </c>
      <c r="AM436">
        <v>0</v>
      </c>
      <c r="AN436">
        <v>0</v>
      </c>
      <c r="AO436">
        <v>11.731501852540433</v>
      </c>
      <c r="AP436">
        <v>0</v>
      </c>
      <c r="AQ436">
        <v>0</v>
      </c>
      <c r="AR436" t="str">
        <v>1613.par</v>
      </c>
      <c r="AV436" t="str">
        <v>0,204,204</v>
      </c>
      <c r="AW436" s="31">
        <v>84.1</v>
      </c>
      <c r="AX436" s="31">
        <v>72.368498147459562</v>
      </c>
      <c r="AY436" s="31">
        <v>11.731501852540433</v>
      </c>
    </row>
    <row r="437" spans="31:51" x14ac:dyDescent="0.25">
      <c r="AE437">
        <v>4.13</v>
      </c>
      <c r="AF437">
        <v>4</v>
      </c>
      <c r="AG437">
        <v>1</v>
      </c>
      <c r="AH437">
        <v>2</v>
      </c>
      <c r="AI437">
        <v>1.9999999999708962</v>
      </c>
      <c r="AJ437">
        <v>4.1302199999999996</v>
      </c>
      <c r="AK437">
        <v>4.1301199999999998</v>
      </c>
      <c r="AL437">
        <v>0</v>
      </c>
      <c r="AM437">
        <v>0</v>
      </c>
      <c r="AN437">
        <v>0</v>
      </c>
      <c r="AO437">
        <v>8.2976721929876902</v>
      </c>
      <c r="AP437">
        <v>0</v>
      </c>
      <c r="AQ437">
        <v>0</v>
      </c>
      <c r="AR437" t="str">
        <v>1613.par</v>
      </c>
      <c r="AV437" t="str">
        <v>0,204,204</v>
      </c>
      <c r="AW437" s="31">
        <v>65.5</v>
      </c>
      <c r="AX437" s="31">
        <v>57.20232780701231</v>
      </c>
      <c r="AY437" s="31">
        <v>8.2976721929876902</v>
      </c>
    </row>
    <row r="438" spans="31:51" x14ac:dyDescent="0.25">
      <c r="AE438">
        <v>4.1239999999999997</v>
      </c>
      <c r="AF438">
        <v>4</v>
      </c>
      <c r="AG438">
        <v>1</v>
      </c>
      <c r="AH438">
        <v>2</v>
      </c>
      <c r="AI438">
        <v>1.9999999998981366</v>
      </c>
      <c r="AJ438">
        <v>4.1242199999999993</v>
      </c>
      <c r="AK438">
        <v>4.1241199999999996</v>
      </c>
      <c r="AL438">
        <v>0</v>
      </c>
      <c r="AM438">
        <v>0</v>
      </c>
      <c r="AN438">
        <v>0</v>
      </c>
      <c r="AO438">
        <v>4.650756368691404</v>
      </c>
      <c r="AP438">
        <v>0</v>
      </c>
      <c r="AQ438">
        <v>0</v>
      </c>
      <c r="AR438" t="str">
        <v>1613.par</v>
      </c>
      <c r="AV438" t="str">
        <v>0,204,204</v>
      </c>
      <c r="AW438" s="31">
        <v>46.599999999999994</v>
      </c>
      <c r="AX438" s="31">
        <v>41.94924363130859</v>
      </c>
      <c r="AY438" s="31">
        <v>4.650756368691404</v>
      </c>
    </row>
    <row r="439" spans="31:51" x14ac:dyDescent="0.25">
      <c r="AE439">
        <v>4.1180000000000003</v>
      </c>
      <c r="AF439">
        <v>4</v>
      </c>
      <c r="AG439">
        <v>1</v>
      </c>
      <c r="AH439">
        <v>2</v>
      </c>
      <c r="AI439">
        <v>1.9999999999708962</v>
      </c>
      <c r="AJ439">
        <v>4.11822</v>
      </c>
      <c r="AK439">
        <v>4.1181200000000002</v>
      </c>
      <c r="AL439">
        <v>0</v>
      </c>
      <c r="AM439">
        <v>0</v>
      </c>
      <c r="AN439">
        <v>0</v>
      </c>
      <c r="AO439">
        <v>0.96773340679953535</v>
      </c>
      <c r="AP439">
        <v>0</v>
      </c>
      <c r="AQ439">
        <v>0</v>
      </c>
      <c r="AR439" t="str">
        <v>1613.par</v>
      </c>
      <c r="AV439" t="str">
        <v>0,204,204</v>
      </c>
      <c r="AW439" s="31">
        <v>27.5</v>
      </c>
      <c r="AX439" s="31">
        <v>26.532266593200465</v>
      </c>
      <c r="AY439" s="31">
        <v>0.96773340679953535</v>
      </c>
    </row>
    <row r="440" spans="31:51" x14ac:dyDescent="0.25">
      <c r="AE440">
        <v>4.1120000000000001</v>
      </c>
      <c r="AF440">
        <v>4</v>
      </c>
      <c r="AG440">
        <v>1</v>
      </c>
      <c r="AH440">
        <v>2</v>
      </c>
      <c r="AI440">
        <v>1.9999999999708962</v>
      </c>
      <c r="AJ440">
        <v>4.1122199999999998</v>
      </c>
      <c r="AK440">
        <v>4.11212</v>
      </c>
      <c r="AL440">
        <v>0</v>
      </c>
      <c r="AM440">
        <v>0</v>
      </c>
      <c r="AN440">
        <v>0</v>
      </c>
      <c r="AO440">
        <v>-2.5389495858038913</v>
      </c>
      <c r="AP440">
        <v>0</v>
      </c>
      <c r="AQ440">
        <v>0</v>
      </c>
      <c r="AR440" t="str">
        <v>1613.par</v>
      </c>
      <c r="AV440" t="str">
        <v>0,204,204</v>
      </c>
      <c r="AW440" s="31">
        <v>8.5</v>
      </c>
      <c r="AX440" s="31">
        <v>11.038949585803891</v>
      </c>
      <c r="AY440" s="31">
        <v>-2.5389495858038913</v>
      </c>
    </row>
    <row r="441" spans="31:51" x14ac:dyDescent="0.25">
      <c r="AE441">
        <v>3.2429999999999999</v>
      </c>
      <c r="AF441">
        <v>3</v>
      </c>
      <c r="AG441">
        <v>2</v>
      </c>
      <c r="AH441">
        <v>2</v>
      </c>
      <c r="AI441">
        <v>2.000000000007276</v>
      </c>
      <c r="AJ441">
        <v>3.24322</v>
      </c>
      <c r="AK441">
        <v>3.2431199999999998</v>
      </c>
      <c r="AL441">
        <v>0</v>
      </c>
      <c r="AM441">
        <v>0</v>
      </c>
      <c r="AN441">
        <v>0</v>
      </c>
      <c r="AO441">
        <v>1.2272479807506897E-5</v>
      </c>
      <c r="AP441">
        <v>0</v>
      </c>
      <c r="AQ441">
        <v>0</v>
      </c>
      <c r="AR441" t="str">
        <v>32193r1.par</v>
      </c>
      <c r="AV441" t="str">
        <v>97,255,97</v>
      </c>
      <c r="AW441" s="31">
        <v>85</v>
      </c>
      <c r="AX441" s="31">
        <v>84.999987727520192</v>
      </c>
      <c r="AY441" s="31">
        <v>1.2272479807506897E-5</v>
      </c>
    </row>
    <row r="442" spans="31:51" x14ac:dyDescent="0.25">
      <c r="AE442">
        <v>3.2370000000000001</v>
      </c>
      <c r="AF442">
        <v>3</v>
      </c>
      <c r="AG442">
        <v>2</v>
      </c>
      <c r="AH442">
        <v>2</v>
      </c>
      <c r="AI442">
        <v>2.000000000007276</v>
      </c>
      <c r="AJ442">
        <v>3.2372200000000002</v>
      </c>
      <c r="AK442">
        <v>3.23712</v>
      </c>
      <c r="AL442">
        <v>0</v>
      </c>
      <c r="AM442">
        <v>0</v>
      </c>
      <c r="AN442">
        <v>0</v>
      </c>
      <c r="AO442">
        <v>10.108863011129046</v>
      </c>
      <c r="AP442">
        <v>0</v>
      </c>
      <c r="AQ442">
        <v>0</v>
      </c>
      <c r="AR442" t="str">
        <v>1313.par</v>
      </c>
      <c r="AV442" t="str">
        <v>97,255,97</v>
      </c>
      <c r="AW442" s="31">
        <v>85</v>
      </c>
      <c r="AX442" s="31">
        <v>74.891136988870954</v>
      </c>
      <c r="AY442" s="31">
        <v>10.108863011129046</v>
      </c>
    </row>
    <row r="443" spans="31:51" x14ac:dyDescent="0.25">
      <c r="AE443">
        <v>3.2309999999999999</v>
      </c>
      <c r="AF443">
        <v>3</v>
      </c>
      <c r="AG443">
        <v>2</v>
      </c>
      <c r="AH443">
        <v>2</v>
      </c>
      <c r="AI443">
        <v>2.000000000007276</v>
      </c>
      <c r="AJ443">
        <v>3.23122</v>
      </c>
      <c r="AK443">
        <v>3.2311199999999998</v>
      </c>
      <c r="AL443">
        <v>0</v>
      </c>
      <c r="AM443">
        <v>0</v>
      </c>
      <c r="AN443">
        <v>0</v>
      </c>
      <c r="AO443">
        <v>8.9639954783027633</v>
      </c>
      <c r="AP443">
        <v>0</v>
      </c>
      <c r="AQ443">
        <v>0</v>
      </c>
      <c r="AR443" t="str">
        <v>1313.par</v>
      </c>
      <c r="AV443" t="str">
        <v>97,255,97</v>
      </c>
      <c r="AW443" s="31">
        <v>68.699999999999989</v>
      </c>
      <c r="AX443" s="31">
        <v>59.736004521697225</v>
      </c>
      <c r="AY443" s="31">
        <v>8.9639954783027633</v>
      </c>
    </row>
    <row r="444" spans="31:51" x14ac:dyDescent="0.25">
      <c r="AE444">
        <v>3.2250000000000001</v>
      </c>
      <c r="AF444">
        <v>3</v>
      </c>
      <c r="AG444">
        <v>2</v>
      </c>
      <c r="AH444">
        <v>2</v>
      </c>
      <c r="AI444">
        <v>2.000000000007276</v>
      </c>
      <c r="AJ444">
        <v>3.2252200000000002</v>
      </c>
      <c r="AK444">
        <v>3.22512</v>
      </c>
      <c r="AL444">
        <v>0</v>
      </c>
      <c r="AM444">
        <v>0</v>
      </c>
      <c r="AN444">
        <v>0</v>
      </c>
      <c r="AO444">
        <v>5.2978334732824166</v>
      </c>
      <c r="AP444">
        <v>0</v>
      </c>
      <c r="AQ444">
        <v>0</v>
      </c>
      <c r="AR444" t="str">
        <v>1313.par</v>
      </c>
      <c r="AV444" t="str">
        <v>97,255,97</v>
      </c>
      <c r="AW444" s="31">
        <v>49.800000000000011</v>
      </c>
      <c r="AX444" s="31">
        <v>44.502166526717595</v>
      </c>
      <c r="AY444" s="31">
        <v>5.2978334732824166</v>
      </c>
    </row>
    <row r="445" spans="31:51" x14ac:dyDescent="0.25">
      <c r="AE445">
        <v>3.2189999999999999</v>
      </c>
      <c r="AF445">
        <v>3</v>
      </c>
      <c r="AG445">
        <v>2</v>
      </c>
      <c r="AH445">
        <v>2</v>
      </c>
      <c r="AI445">
        <v>2.000000000007276</v>
      </c>
      <c r="AJ445">
        <v>3.21922</v>
      </c>
      <c r="AK445">
        <v>3.2191199999999998</v>
      </c>
      <c r="AL445">
        <v>0</v>
      </c>
      <c r="AM445">
        <v>0</v>
      </c>
      <c r="AN445">
        <v>0</v>
      </c>
      <c r="AO445">
        <v>1.5779018991397251</v>
      </c>
      <c r="AP445">
        <v>0</v>
      </c>
      <c r="AQ445">
        <v>0</v>
      </c>
      <c r="AR445" t="str">
        <v>1313.par</v>
      </c>
      <c r="AV445" t="str">
        <v>97,255,97</v>
      </c>
      <c r="AW445" s="31">
        <v>30.700000000000003</v>
      </c>
      <c r="AX445" s="31">
        <v>29.122098100860278</v>
      </c>
      <c r="AY445" s="31">
        <v>1.5779018991397251</v>
      </c>
    </row>
    <row r="446" spans="31:51" x14ac:dyDescent="0.25">
      <c r="AE446">
        <v>3.2130000000000001</v>
      </c>
      <c r="AF446">
        <v>3</v>
      </c>
      <c r="AG446">
        <v>2</v>
      </c>
      <c r="AH446">
        <v>2</v>
      </c>
      <c r="AI446">
        <v>2.000000000007276</v>
      </c>
      <c r="AJ446">
        <v>3.2132200000000002</v>
      </c>
      <c r="AK446">
        <v>3.21312</v>
      </c>
      <c r="AL446">
        <v>0</v>
      </c>
      <c r="AM446">
        <v>0</v>
      </c>
      <c r="AN446">
        <v>0</v>
      </c>
      <c r="AO446">
        <v>-2.0223783610182764</v>
      </c>
      <c r="AP446">
        <v>0</v>
      </c>
      <c r="AQ446">
        <v>0</v>
      </c>
      <c r="AR446" t="str">
        <v>1310.par</v>
      </c>
      <c r="AV446" t="str">
        <v>97,255,97</v>
      </c>
      <c r="AW446" s="31">
        <v>11.599999999999994</v>
      </c>
      <c r="AX446" s="31">
        <v>13.622378361018271</v>
      </c>
      <c r="AY446" s="31">
        <v>-2.0223783610182764</v>
      </c>
    </row>
    <row r="447" spans="31:51" x14ac:dyDescent="0.25">
      <c r="AE447">
        <v>3.1429999999999998</v>
      </c>
      <c r="AF447">
        <v>3</v>
      </c>
      <c r="AG447">
        <v>1</v>
      </c>
      <c r="AH447">
        <v>2</v>
      </c>
      <c r="AI447">
        <v>2.000000000007276</v>
      </c>
      <c r="AJ447">
        <v>3.1432199999999999</v>
      </c>
      <c r="AK447">
        <v>3.1431199999999997</v>
      </c>
      <c r="AL447">
        <v>0</v>
      </c>
      <c r="AM447">
        <v>0</v>
      </c>
      <c r="AN447">
        <v>0</v>
      </c>
      <c r="AO447">
        <v>3.2264474746526162E-2</v>
      </c>
      <c r="AP447">
        <v>0</v>
      </c>
      <c r="AQ447">
        <v>0</v>
      </c>
      <c r="AR447" t="str">
        <v>1613.par</v>
      </c>
      <c r="AV447" t="str">
        <v>0,204,0</v>
      </c>
      <c r="AW447" s="31">
        <v>85</v>
      </c>
      <c r="AX447" s="31">
        <v>84.967735525253474</v>
      </c>
      <c r="AY447" s="31">
        <v>3.2264474746526162E-2</v>
      </c>
    </row>
    <row r="448" spans="31:51" x14ac:dyDescent="0.25">
      <c r="AE448">
        <v>3.137</v>
      </c>
      <c r="AF448">
        <v>3</v>
      </c>
      <c r="AG448">
        <v>1</v>
      </c>
      <c r="AH448">
        <v>2</v>
      </c>
      <c r="AI448">
        <v>2.000000000007276</v>
      </c>
      <c r="AJ448">
        <v>3.1372200000000001</v>
      </c>
      <c r="AK448">
        <v>3.1371199999999999</v>
      </c>
      <c r="AL448">
        <v>0</v>
      </c>
      <c r="AM448">
        <v>0</v>
      </c>
      <c r="AN448">
        <v>0</v>
      </c>
      <c r="AO448">
        <v>10.109381247007931</v>
      </c>
      <c r="AP448">
        <v>0</v>
      </c>
      <c r="AQ448">
        <v>0</v>
      </c>
      <c r="AR448" t="str">
        <v>1613 Ripper.par</v>
      </c>
      <c r="AV448" t="str">
        <v>0,204,0</v>
      </c>
      <c r="AW448" s="31">
        <v>85</v>
      </c>
      <c r="AX448" s="31">
        <v>74.890618752992069</v>
      </c>
      <c r="AY448" s="31">
        <v>10.109381247007931</v>
      </c>
    </row>
    <row r="449" spans="31:51" x14ac:dyDescent="0.25">
      <c r="AE449">
        <v>3.1309999999999998</v>
      </c>
      <c r="AF449">
        <v>3</v>
      </c>
      <c r="AG449">
        <v>1</v>
      </c>
      <c r="AH449">
        <v>2</v>
      </c>
      <c r="AI449">
        <v>2.000000000007276</v>
      </c>
      <c r="AJ449">
        <v>3.1312199999999999</v>
      </c>
      <c r="AK449">
        <v>3.1311199999999997</v>
      </c>
      <c r="AL449">
        <v>0</v>
      </c>
      <c r="AM449">
        <v>0</v>
      </c>
      <c r="AN449">
        <v>0</v>
      </c>
      <c r="AO449">
        <v>8.965245441357915</v>
      </c>
      <c r="AP449">
        <v>0</v>
      </c>
      <c r="AQ449">
        <v>0</v>
      </c>
      <c r="AR449" t="str">
        <v>1613 Ripper.par</v>
      </c>
      <c r="AV449" t="str">
        <v>0,204,0</v>
      </c>
      <c r="AW449" s="31">
        <v>68.699999999999989</v>
      </c>
      <c r="AX449" s="31">
        <v>59.734754558642074</v>
      </c>
      <c r="AY449" s="31">
        <v>8.965245441357915</v>
      </c>
    </row>
    <row r="450" spans="31:51" x14ac:dyDescent="0.25">
      <c r="AE450">
        <v>3.125</v>
      </c>
      <c r="AF450">
        <v>3</v>
      </c>
      <c r="AG450">
        <v>1</v>
      </c>
      <c r="AH450">
        <v>2</v>
      </c>
      <c r="AI450">
        <v>2.000000000007276</v>
      </c>
      <c r="AJ450">
        <v>3.1252200000000001</v>
      </c>
      <c r="AK450">
        <v>3.1251199999999999</v>
      </c>
      <c r="AL450">
        <v>0</v>
      </c>
      <c r="AM450">
        <v>0</v>
      </c>
      <c r="AN450">
        <v>0</v>
      </c>
      <c r="AO450">
        <v>5.300053750423217</v>
      </c>
      <c r="AP450">
        <v>0</v>
      </c>
      <c r="AQ450">
        <v>0</v>
      </c>
      <c r="AR450" t="str">
        <v>1613 Ripper.par</v>
      </c>
      <c r="AV450" t="str">
        <v>0,204,0</v>
      </c>
      <c r="AW450" s="31">
        <v>49.800000000000011</v>
      </c>
      <c r="AX450" s="31">
        <v>44.499946249576794</v>
      </c>
      <c r="AY450" s="31">
        <v>5.300053750423217</v>
      </c>
    </row>
    <row r="451" spans="31:51" x14ac:dyDescent="0.25">
      <c r="AE451">
        <v>3.1190000000000002</v>
      </c>
      <c r="AF451">
        <v>3</v>
      </c>
      <c r="AG451">
        <v>1</v>
      </c>
      <c r="AH451">
        <v>2</v>
      </c>
      <c r="AI451">
        <v>2.0000000000436557</v>
      </c>
      <c r="AJ451">
        <v>3.1192200000000003</v>
      </c>
      <c r="AK451">
        <v>3.1191200000000001</v>
      </c>
      <c r="AL451">
        <v>0</v>
      </c>
      <c r="AM451">
        <v>0</v>
      </c>
      <c r="AN451">
        <v>0</v>
      </c>
      <c r="AO451">
        <v>1.5812579109359071</v>
      </c>
      <c r="AP451">
        <v>0</v>
      </c>
      <c r="AQ451">
        <v>0</v>
      </c>
      <c r="AR451" t="str">
        <v>1613 Ripper.par</v>
      </c>
      <c r="AV451" t="str">
        <v>0,204,0</v>
      </c>
      <c r="AW451" s="31">
        <v>30.700000000000003</v>
      </c>
      <c r="AX451" s="31">
        <v>29.118742089064096</v>
      </c>
      <c r="AY451" s="31">
        <v>1.5812579109359071</v>
      </c>
    </row>
    <row r="452" spans="31:51" x14ac:dyDescent="0.25">
      <c r="AE452">
        <v>3.113</v>
      </c>
      <c r="AF452">
        <v>3</v>
      </c>
      <c r="AG452">
        <v>1</v>
      </c>
      <c r="AH452">
        <v>2</v>
      </c>
      <c r="AI452">
        <v>2.000000000007276</v>
      </c>
      <c r="AJ452">
        <v>3.1132200000000001</v>
      </c>
      <c r="AK452">
        <v>3.1131199999999999</v>
      </c>
      <c r="AL452">
        <v>0</v>
      </c>
      <c r="AM452">
        <v>0</v>
      </c>
      <c r="AN452">
        <v>0</v>
      </c>
      <c r="AO452">
        <v>-2.0189071763940181</v>
      </c>
      <c r="AP452">
        <v>0</v>
      </c>
      <c r="AQ452">
        <v>0</v>
      </c>
      <c r="AR452" t="str">
        <v>1613 Ripper.par</v>
      </c>
      <c r="AV452" t="str">
        <v>0,204,0</v>
      </c>
      <c r="AW452" s="31">
        <v>11.599999999999994</v>
      </c>
      <c r="AX452" s="31">
        <v>13.618907176394012</v>
      </c>
      <c r="AY452" s="31">
        <v>-2.0189071763940181</v>
      </c>
    </row>
    <row r="453" spans="31:51" x14ac:dyDescent="0.25">
      <c r="AE453">
        <v>3.1080000000000001</v>
      </c>
      <c r="AF453">
        <v>3</v>
      </c>
      <c r="AG453">
        <v>1</v>
      </c>
      <c r="AH453">
        <v>2</v>
      </c>
      <c r="AI453">
        <v>2.000000000007276</v>
      </c>
      <c r="AJ453">
        <v>3.1082200000000002</v>
      </c>
      <c r="AK453">
        <v>3.10812</v>
      </c>
      <c r="AL453">
        <v>0</v>
      </c>
      <c r="AM453">
        <v>0</v>
      </c>
      <c r="AN453">
        <v>0</v>
      </c>
      <c r="AO453">
        <v>-7.6489734788199426</v>
      </c>
      <c r="AP453">
        <v>0</v>
      </c>
      <c r="AQ453">
        <v>0</v>
      </c>
      <c r="AR453" t="str">
        <v>1613.par</v>
      </c>
      <c r="AV453" t="str">
        <v>0,204,0</v>
      </c>
      <c r="AW453" s="31">
        <v>-7.0999999999999943</v>
      </c>
      <c r="AX453" s="31">
        <v>0.54897347881994862</v>
      </c>
      <c r="AY453" s="31">
        <v>-7.6489734788199426</v>
      </c>
    </row>
    <row r="454" spans="31:51" x14ac:dyDescent="0.25">
      <c r="AE454">
        <v>3.105</v>
      </c>
      <c r="AF454">
        <v>3</v>
      </c>
      <c r="AG454">
        <v>1</v>
      </c>
      <c r="AH454">
        <v>2</v>
      </c>
      <c r="AI454">
        <v>2.000000000007276</v>
      </c>
      <c r="AJ454">
        <v>3.1052200000000001</v>
      </c>
      <c r="AK454">
        <v>3.1051199999999999</v>
      </c>
      <c r="AL454">
        <v>0</v>
      </c>
      <c r="AM454">
        <v>0</v>
      </c>
      <c r="AN454">
        <v>0</v>
      </c>
      <c r="AO454">
        <v>-14.985026506604578</v>
      </c>
      <c r="AP454">
        <v>0</v>
      </c>
      <c r="AQ454">
        <v>0</v>
      </c>
      <c r="AR454" t="str">
        <v>1613.par</v>
      </c>
      <c r="AV454" t="str">
        <v>0,204,0</v>
      </c>
      <c r="AW454" s="31">
        <v>-20</v>
      </c>
      <c r="AX454" s="31">
        <v>-5.0149734933954218</v>
      </c>
      <c r="AY454" s="31">
        <v>-14.985026506604578</v>
      </c>
    </row>
    <row r="455" spans="31:51" x14ac:dyDescent="0.25">
      <c r="AE455">
        <v>3.1019999999999999</v>
      </c>
      <c r="AF455">
        <v>3</v>
      </c>
      <c r="AG455">
        <v>1</v>
      </c>
      <c r="AH455">
        <v>2</v>
      </c>
      <c r="AI455">
        <v>2.000000000007276</v>
      </c>
      <c r="AJ455">
        <v>3.10222</v>
      </c>
      <c r="AK455">
        <v>3.1021199999999998</v>
      </c>
      <c r="AL455">
        <v>0</v>
      </c>
      <c r="AM455">
        <v>0</v>
      </c>
      <c r="AN455">
        <v>0</v>
      </c>
      <c r="AO455">
        <v>-8.6292821270437301</v>
      </c>
      <c r="AP455">
        <v>0</v>
      </c>
      <c r="AQ455">
        <v>0</v>
      </c>
      <c r="AR455" t="str">
        <v>1613.par</v>
      </c>
      <c r="AV455" t="str">
        <v>0,204,0</v>
      </c>
      <c r="AW455" s="31">
        <v>-20</v>
      </c>
      <c r="AX455" s="31">
        <v>-11.37071787295627</v>
      </c>
      <c r="AY455" s="31">
        <v>-8.6292821270437301</v>
      </c>
    </row>
    <row r="456" spans="31:51" x14ac:dyDescent="0.25">
      <c r="AE456">
        <v>2.246</v>
      </c>
      <c r="AF456">
        <v>2</v>
      </c>
      <c r="AG456">
        <v>2</v>
      </c>
      <c r="AH456">
        <v>2</v>
      </c>
      <c r="AI456">
        <v>2.000000000007276</v>
      </c>
      <c r="AJ456">
        <v>2.2462200000000001</v>
      </c>
      <c r="AK456">
        <v>2.2461199999999999</v>
      </c>
      <c r="AL456">
        <v>0</v>
      </c>
      <c r="AM456">
        <v>0</v>
      </c>
      <c r="AN456">
        <v>0</v>
      </c>
      <c r="AO456">
        <v>1.2272479807506897E-5</v>
      </c>
      <c r="AP456">
        <v>0</v>
      </c>
      <c r="AQ456">
        <v>0</v>
      </c>
      <c r="AR456" t="str">
        <v>32193r1.par</v>
      </c>
      <c r="AV456" t="str">
        <v>255,255,91</v>
      </c>
      <c r="AW456" s="31">
        <v>85</v>
      </c>
      <c r="AX456" s="31">
        <v>84.999987727520192</v>
      </c>
      <c r="AY456" s="31">
        <v>1.2272479807506897E-5</v>
      </c>
    </row>
    <row r="457" spans="31:51" x14ac:dyDescent="0.25">
      <c r="AE457">
        <v>2.2400000000000002</v>
      </c>
      <c r="AF457">
        <v>2</v>
      </c>
      <c r="AG457">
        <v>2</v>
      </c>
      <c r="AH457">
        <v>2</v>
      </c>
      <c r="AI457">
        <v>2.0000000000436557</v>
      </c>
      <c r="AJ457">
        <v>2.2402200000000003</v>
      </c>
      <c r="AK457">
        <v>2.2401200000000001</v>
      </c>
      <c r="AL457">
        <v>0</v>
      </c>
      <c r="AM457">
        <v>0</v>
      </c>
      <c r="AN457">
        <v>0</v>
      </c>
      <c r="AO457">
        <v>1.2272479807506897E-5</v>
      </c>
      <c r="AP457">
        <v>0</v>
      </c>
      <c r="AQ457">
        <v>0</v>
      </c>
      <c r="AR457" t="str">
        <v>32193r1.par</v>
      </c>
      <c r="AV457" t="str">
        <v>255,255,91</v>
      </c>
      <c r="AW457" s="31">
        <v>85</v>
      </c>
      <c r="AX457" s="31">
        <v>84.999987727520192</v>
      </c>
      <c r="AY457" s="31">
        <v>1.2272479807506897E-5</v>
      </c>
    </row>
    <row r="458" spans="31:51" x14ac:dyDescent="0.25">
      <c r="AE458">
        <v>2.234</v>
      </c>
      <c r="AF458">
        <v>2</v>
      </c>
      <c r="AG458">
        <v>2</v>
      </c>
      <c r="AH458">
        <v>2</v>
      </c>
      <c r="AI458">
        <v>2.000000000007276</v>
      </c>
      <c r="AJ458">
        <v>2.2342200000000001</v>
      </c>
      <c r="AK458">
        <v>2.2341199999999999</v>
      </c>
      <c r="AL458">
        <v>0</v>
      </c>
      <c r="AM458">
        <v>0</v>
      </c>
      <c r="AN458">
        <v>0</v>
      </c>
      <c r="AO458">
        <v>1.1261804985451818E-5</v>
      </c>
      <c r="AP458">
        <v>0</v>
      </c>
      <c r="AQ458">
        <v>0</v>
      </c>
      <c r="AR458" t="str">
        <v>32193r1.par</v>
      </c>
      <c r="AV458" t="str">
        <v>255,255,91</v>
      </c>
      <c r="AW458" s="31">
        <v>78</v>
      </c>
      <c r="AX458" s="31">
        <v>77.999988738195015</v>
      </c>
      <c r="AY458" s="31">
        <v>1.1261804985451818E-5</v>
      </c>
    </row>
    <row r="459" spans="31:51" x14ac:dyDescent="0.25">
      <c r="AE459">
        <v>2.2280000000000002</v>
      </c>
      <c r="AF459">
        <v>2</v>
      </c>
      <c r="AG459">
        <v>2</v>
      </c>
      <c r="AH459">
        <v>2</v>
      </c>
      <c r="AI459">
        <v>2.0000000000436557</v>
      </c>
      <c r="AJ459">
        <v>2.2282200000000003</v>
      </c>
      <c r="AK459">
        <v>2.2281200000000001</v>
      </c>
      <c r="AL459">
        <v>0</v>
      </c>
      <c r="AM459">
        <v>0</v>
      </c>
      <c r="AN459">
        <v>0</v>
      </c>
      <c r="AO459">
        <v>6.9804433889870694</v>
      </c>
      <c r="AP459">
        <v>0</v>
      </c>
      <c r="AQ459">
        <v>0</v>
      </c>
      <c r="AR459" t="str">
        <v>1313.par</v>
      </c>
      <c r="AV459" t="str">
        <v>255,255,91</v>
      </c>
      <c r="AW459" s="31">
        <v>59.199999999999989</v>
      </c>
      <c r="AX459" s="31">
        <v>52.219556611012919</v>
      </c>
      <c r="AY459" s="31">
        <v>6.9804433889870694</v>
      </c>
    </row>
    <row r="460" spans="31:51" x14ac:dyDescent="0.25">
      <c r="AE460">
        <v>2.222</v>
      </c>
      <c r="AF460">
        <v>2</v>
      </c>
      <c r="AG460">
        <v>2</v>
      </c>
      <c r="AH460">
        <v>2</v>
      </c>
      <c r="AI460">
        <v>2.000000000007276</v>
      </c>
      <c r="AJ460">
        <v>2.2222200000000001</v>
      </c>
      <c r="AK460">
        <v>2.2221199999999999</v>
      </c>
      <c r="AL460">
        <v>0</v>
      </c>
      <c r="AM460">
        <v>0</v>
      </c>
      <c r="AN460">
        <v>0</v>
      </c>
      <c r="AO460">
        <v>3.295026927613371</v>
      </c>
      <c r="AP460">
        <v>0</v>
      </c>
      <c r="AQ460">
        <v>0</v>
      </c>
      <c r="AR460" t="str">
        <v>1313.par</v>
      </c>
      <c r="AV460" t="str">
        <v>255,255,91</v>
      </c>
      <c r="AW460" s="31">
        <v>40.300000000000011</v>
      </c>
      <c r="AX460" s="31">
        <v>37.00497307238664</v>
      </c>
      <c r="AY460" s="31">
        <v>3.295026927613371</v>
      </c>
    </row>
    <row r="461" spans="31:51" x14ac:dyDescent="0.25">
      <c r="AE461">
        <v>2.2160000000000002</v>
      </c>
      <c r="AF461">
        <v>2</v>
      </c>
      <c r="AG461">
        <v>2</v>
      </c>
      <c r="AH461">
        <v>2</v>
      </c>
      <c r="AI461">
        <v>2.0000000000436557</v>
      </c>
      <c r="AJ461">
        <v>2.2162200000000003</v>
      </c>
      <c r="AK461">
        <v>2.2161200000000001</v>
      </c>
      <c r="AL461">
        <v>0</v>
      </c>
      <c r="AM461">
        <v>0</v>
      </c>
      <c r="AN461">
        <v>0</v>
      </c>
      <c r="AO461">
        <v>-0.45723742182249083</v>
      </c>
      <c r="AP461">
        <v>0</v>
      </c>
      <c r="AQ461">
        <v>0</v>
      </c>
      <c r="AR461" t="str">
        <v>1310.par</v>
      </c>
      <c r="AV461" t="str">
        <v>255,255,91</v>
      </c>
      <c r="AW461" s="31">
        <v>21.200000000000003</v>
      </c>
      <c r="AX461" s="31">
        <v>21.657237421822494</v>
      </c>
      <c r="AY461" s="31">
        <v>-0.45723742182249083</v>
      </c>
    </row>
    <row r="462" spans="31:51" x14ac:dyDescent="0.25">
      <c r="AE462">
        <v>2.1459999999999999</v>
      </c>
      <c r="AF462">
        <v>2</v>
      </c>
      <c r="AG462">
        <v>1</v>
      </c>
      <c r="AH462">
        <v>2</v>
      </c>
      <c r="AI462">
        <v>2.000000000007276</v>
      </c>
      <c r="AJ462">
        <v>2.14622</v>
      </c>
      <c r="AK462">
        <v>2.1461199999999998</v>
      </c>
      <c r="AL462">
        <v>0</v>
      </c>
      <c r="AM462">
        <v>0</v>
      </c>
      <c r="AN462">
        <v>0</v>
      </c>
      <c r="AO462">
        <v>3.2264474746469318E-2</v>
      </c>
      <c r="AP462">
        <v>0</v>
      </c>
      <c r="AQ462">
        <v>0</v>
      </c>
      <c r="AR462" t="str">
        <v>1613.par</v>
      </c>
      <c r="AV462" t="str">
        <v>204,204,0</v>
      </c>
      <c r="AW462" s="31">
        <v>85</v>
      </c>
      <c r="AX462" s="31">
        <v>84.967735525253531</v>
      </c>
      <c r="AY462" s="31">
        <v>3.2264474746469318E-2</v>
      </c>
    </row>
    <row r="463" spans="31:51" x14ac:dyDescent="0.25">
      <c r="AE463">
        <v>2.14</v>
      </c>
      <c r="AF463">
        <v>2</v>
      </c>
      <c r="AG463">
        <v>1</v>
      </c>
      <c r="AH463">
        <v>2</v>
      </c>
      <c r="AI463">
        <v>2.000000000007276</v>
      </c>
      <c r="AJ463">
        <v>2.1402200000000002</v>
      </c>
      <c r="AK463">
        <v>2.14012</v>
      </c>
      <c r="AL463">
        <v>0</v>
      </c>
      <c r="AM463">
        <v>0</v>
      </c>
      <c r="AN463">
        <v>0</v>
      </c>
      <c r="AO463">
        <v>2.5502047015971669</v>
      </c>
      <c r="AP463">
        <v>0</v>
      </c>
      <c r="AQ463">
        <v>0</v>
      </c>
      <c r="AR463" t="str">
        <v>1613.par</v>
      </c>
      <c r="AV463" t="str">
        <v>204,204,0</v>
      </c>
      <c r="AW463" s="31">
        <v>85</v>
      </c>
      <c r="AX463" s="31">
        <v>82.449795298402833</v>
      </c>
      <c r="AY463" s="31">
        <v>2.5502047015971669</v>
      </c>
    </row>
    <row r="464" spans="31:51" x14ac:dyDescent="0.25">
      <c r="AE464">
        <v>2.1339999999999999</v>
      </c>
      <c r="AF464">
        <v>2</v>
      </c>
      <c r="AG464">
        <v>1</v>
      </c>
      <c r="AH464">
        <v>2</v>
      </c>
      <c r="AI464">
        <v>2.000000000007276</v>
      </c>
      <c r="AJ464">
        <v>2.13422</v>
      </c>
      <c r="AK464">
        <v>2.1341199999999998</v>
      </c>
      <c r="AL464">
        <v>0</v>
      </c>
      <c r="AM464">
        <v>0</v>
      </c>
      <c r="AN464">
        <v>0</v>
      </c>
      <c r="AO464">
        <v>10.679971308715224</v>
      </c>
      <c r="AP464">
        <v>0</v>
      </c>
      <c r="AQ464">
        <v>0</v>
      </c>
      <c r="AR464" t="str">
        <v>1613.par</v>
      </c>
      <c r="AV464" t="str">
        <v>204,204,0</v>
      </c>
      <c r="AW464" s="31">
        <v>78</v>
      </c>
      <c r="AX464" s="31">
        <v>67.320028691284776</v>
      </c>
      <c r="AY464" s="31">
        <v>10.679971308715224</v>
      </c>
    </row>
    <row r="465" spans="31:51" x14ac:dyDescent="0.25">
      <c r="AE465">
        <v>2.1280000000000001</v>
      </c>
      <c r="AF465">
        <v>2</v>
      </c>
      <c r="AG465">
        <v>1</v>
      </c>
      <c r="AH465">
        <v>2</v>
      </c>
      <c r="AI465">
        <v>2.000000000007276</v>
      </c>
      <c r="AJ465">
        <v>2.1282200000000002</v>
      </c>
      <c r="AK465">
        <v>2.12812</v>
      </c>
      <c r="AL465">
        <v>0</v>
      </c>
      <c r="AM465">
        <v>0</v>
      </c>
      <c r="AN465">
        <v>0</v>
      </c>
      <c r="AO465">
        <v>7.0697613264663985</v>
      </c>
      <c r="AP465">
        <v>0</v>
      </c>
      <c r="AQ465">
        <v>0</v>
      </c>
      <c r="AR465" t="str">
        <v>1613.par</v>
      </c>
      <c r="AV465" t="str">
        <v>204,204,0</v>
      </c>
      <c r="AW465" s="31">
        <v>59.199999999999989</v>
      </c>
      <c r="AX465" s="31">
        <v>52.13023867353359</v>
      </c>
      <c r="AY465" s="31">
        <v>7.0697613264663985</v>
      </c>
    </row>
    <row r="466" spans="31:51" x14ac:dyDescent="0.25">
      <c r="AE466">
        <v>2.1219999999999999</v>
      </c>
      <c r="AF466">
        <v>2</v>
      </c>
      <c r="AG466">
        <v>1</v>
      </c>
      <c r="AH466">
        <v>2</v>
      </c>
      <c r="AI466">
        <v>2.000000000007276</v>
      </c>
      <c r="AJ466">
        <v>2.12222</v>
      </c>
      <c r="AK466">
        <v>2.1221199999999998</v>
      </c>
      <c r="AL466">
        <v>0</v>
      </c>
      <c r="AM466">
        <v>0</v>
      </c>
      <c r="AN466">
        <v>0</v>
      </c>
      <c r="AO466">
        <v>3.4657256136569927</v>
      </c>
      <c r="AP466">
        <v>0</v>
      </c>
      <c r="AQ466">
        <v>0</v>
      </c>
      <c r="AR466" t="str">
        <v>1613.par</v>
      </c>
      <c r="AV466" t="str">
        <v>204,204,0</v>
      </c>
      <c r="AW466" s="31">
        <v>40.300000000000011</v>
      </c>
      <c r="AX466" s="31">
        <v>36.834274386343019</v>
      </c>
      <c r="AY466" s="31">
        <v>3.4657256136569927</v>
      </c>
    </row>
    <row r="467" spans="31:51" x14ac:dyDescent="0.25">
      <c r="AE467">
        <v>2.1160000000000001</v>
      </c>
      <c r="AF467">
        <v>2</v>
      </c>
      <c r="AG467">
        <v>1</v>
      </c>
      <c r="AH467">
        <v>2</v>
      </c>
      <c r="AI467">
        <v>2.000000000007276</v>
      </c>
      <c r="AJ467">
        <v>2.1162200000000002</v>
      </c>
      <c r="AK467">
        <v>2.11612</v>
      </c>
      <c r="AL467">
        <v>0</v>
      </c>
      <c r="AM467">
        <v>0</v>
      </c>
      <c r="AN467">
        <v>0</v>
      </c>
      <c r="AO467">
        <v>-0.13095463878370595</v>
      </c>
      <c r="AP467">
        <v>0</v>
      </c>
      <c r="AQ467">
        <v>0</v>
      </c>
      <c r="AR467" t="str">
        <v>1613.par</v>
      </c>
      <c r="AV467" t="str">
        <v>204,204,0</v>
      </c>
      <c r="AW467" s="31">
        <v>21.200000000000003</v>
      </c>
      <c r="AX467" s="31">
        <v>21.330954638783709</v>
      </c>
      <c r="AY467" s="31">
        <v>-0.13095463878370595</v>
      </c>
    </row>
    <row r="468" spans="31:51" x14ac:dyDescent="0.25">
      <c r="AE468">
        <v>2.11</v>
      </c>
      <c r="AF468">
        <v>2</v>
      </c>
      <c r="AG468">
        <v>1</v>
      </c>
      <c r="AH468">
        <v>2</v>
      </c>
      <c r="AI468">
        <v>2.000000000007276</v>
      </c>
      <c r="AJ468">
        <v>2.11022</v>
      </c>
      <c r="AK468">
        <v>2.1101199999999998</v>
      </c>
      <c r="AL468">
        <v>0</v>
      </c>
      <c r="AM468">
        <v>0</v>
      </c>
      <c r="AN468">
        <v>0</v>
      </c>
      <c r="AO468">
        <v>-3.7616718774737503</v>
      </c>
      <c r="AP468">
        <v>0</v>
      </c>
      <c r="AQ468">
        <v>0</v>
      </c>
      <c r="AR468" t="str">
        <v>1613.par</v>
      </c>
      <c r="AV468" t="str">
        <v>204,204,0</v>
      </c>
      <c r="AW468" s="31">
        <v>2.0999999999999943</v>
      </c>
      <c r="AX468" s="31">
        <v>5.8616718774737446</v>
      </c>
      <c r="AY468" s="31">
        <v>-3.7616718774737503</v>
      </c>
    </row>
    <row r="469" spans="31:51" x14ac:dyDescent="0.25">
      <c r="AE469">
        <v>1.2410000000000001</v>
      </c>
      <c r="AF469">
        <v>1</v>
      </c>
      <c r="AG469">
        <v>2</v>
      </c>
      <c r="AH469">
        <v>2</v>
      </c>
      <c r="AI469">
        <v>2.0000000000254659</v>
      </c>
      <c r="AJ469">
        <v>1.2412200000000002</v>
      </c>
      <c r="AK469">
        <v>1.2411200000000002</v>
      </c>
      <c r="AL469">
        <v>0</v>
      </c>
      <c r="AM469">
        <v>0</v>
      </c>
      <c r="AN469">
        <v>0</v>
      </c>
      <c r="AO469">
        <v>1.2272479821717752E-5</v>
      </c>
      <c r="AP469">
        <v>0</v>
      </c>
      <c r="AQ469">
        <v>0</v>
      </c>
      <c r="AR469" t="str">
        <v>32193r1.par</v>
      </c>
      <c r="AV469" t="str">
        <v>255,188,121</v>
      </c>
      <c r="AW469" s="31">
        <v>85</v>
      </c>
      <c r="AX469" s="31">
        <v>84.999987727520178</v>
      </c>
      <c r="AY469" s="31">
        <v>1.2272479821717752E-5</v>
      </c>
    </row>
    <row r="470" spans="31:51" x14ac:dyDescent="0.25">
      <c r="AE470">
        <v>1.2350000000000001</v>
      </c>
      <c r="AF470">
        <v>1</v>
      </c>
      <c r="AG470">
        <v>2</v>
      </c>
      <c r="AH470">
        <v>2</v>
      </c>
      <c r="AI470">
        <v>2.0000000000254659</v>
      </c>
      <c r="AJ470">
        <v>1.2352200000000002</v>
      </c>
      <c r="AK470">
        <v>1.2351200000000002</v>
      </c>
      <c r="AL470">
        <v>0</v>
      </c>
      <c r="AM470">
        <v>0</v>
      </c>
      <c r="AN470">
        <v>0</v>
      </c>
      <c r="AO470">
        <v>11.154255004256711</v>
      </c>
      <c r="AP470">
        <v>0</v>
      </c>
      <c r="AQ470">
        <v>0</v>
      </c>
      <c r="AR470" t="str">
        <v>1313.par</v>
      </c>
      <c r="AV470" t="str">
        <v>255,188,121</v>
      </c>
      <c r="AW470" s="31">
        <v>81</v>
      </c>
      <c r="AX470" s="31">
        <v>69.845744995743289</v>
      </c>
      <c r="AY470" s="31">
        <v>11.154255004256711</v>
      </c>
    </row>
    <row r="471" spans="31:51" x14ac:dyDescent="0.25">
      <c r="AE471">
        <v>1.2290000000000001</v>
      </c>
      <c r="AF471">
        <v>1</v>
      </c>
      <c r="AG471">
        <v>2</v>
      </c>
      <c r="AH471">
        <v>2</v>
      </c>
      <c r="AI471">
        <v>2.0000000000254659</v>
      </c>
      <c r="AJ471">
        <v>1.2292200000000002</v>
      </c>
      <c r="AK471">
        <v>1.2291200000000002</v>
      </c>
      <c r="AL471">
        <v>0</v>
      </c>
      <c r="AM471">
        <v>0</v>
      </c>
      <c r="AN471">
        <v>0</v>
      </c>
      <c r="AO471">
        <v>7.7308828931205866</v>
      </c>
      <c r="AP471">
        <v>0</v>
      </c>
      <c r="AQ471">
        <v>0</v>
      </c>
      <c r="AR471" t="str">
        <v>1313.par</v>
      </c>
      <c r="AV471" t="str">
        <v>255,188,121</v>
      </c>
      <c r="AW471" s="31">
        <v>62.400000000000006</v>
      </c>
      <c r="AX471" s="31">
        <v>54.669117106879419</v>
      </c>
      <c r="AY471" s="31">
        <v>7.7308828931205866</v>
      </c>
    </row>
    <row r="472" spans="31:51" x14ac:dyDescent="0.25">
      <c r="AE472">
        <v>1.2230000000000001</v>
      </c>
      <c r="AF472">
        <v>1</v>
      </c>
      <c r="AG472">
        <v>2</v>
      </c>
      <c r="AH472">
        <v>2</v>
      </c>
      <c r="AI472">
        <v>2.0000000000254659</v>
      </c>
      <c r="AJ472">
        <v>1.2232200000000002</v>
      </c>
      <c r="AK472">
        <v>1.2231200000000002</v>
      </c>
      <c r="AL472">
        <v>0</v>
      </c>
      <c r="AM472">
        <v>0</v>
      </c>
      <c r="AN472">
        <v>0</v>
      </c>
      <c r="AO472">
        <v>4.003222708769222</v>
      </c>
      <c r="AP472">
        <v>0</v>
      </c>
      <c r="AQ472">
        <v>0</v>
      </c>
      <c r="AR472" t="str">
        <v>1313.par</v>
      </c>
      <c r="AV472" t="str">
        <v>255,188,121</v>
      </c>
      <c r="AW472" s="31">
        <v>43.400000000000006</v>
      </c>
      <c r="AX472" s="31">
        <v>39.396777291230784</v>
      </c>
      <c r="AY472" s="31">
        <v>4.003222708769222</v>
      </c>
    </row>
    <row r="473" spans="31:51" x14ac:dyDescent="0.25">
      <c r="AE473">
        <v>1.2170000000000001</v>
      </c>
      <c r="AF473">
        <v>1</v>
      </c>
      <c r="AG473">
        <v>2</v>
      </c>
      <c r="AH473">
        <v>2</v>
      </c>
      <c r="AI473">
        <v>2.0000000000254659</v>
      </c>
      <c r="AJ473">
        <v>1.2172200000000002</v>
      </c>
      <c r="AK473">
        <v>1.2171200000000002</v>
      </c>
      <c r="AL473">
        <v>0</v>
      </c>
      <c r="AM473">
        <v>0</v>
      </c>
      <c r="AN473">
        <v>0</v>
      </c>
      <c r="AO473">
        <v>0.35954544606591554</v>
      </c>
      <c r="AP473">
        <v>0</v>
      </c>
      <c r="AQ473">
        <v>0</v>
      </c>
      <c r="AR473" t="str">
        <v>1313.par</v>
      </c>
      <c r="AV473" t="str">
        <v>255,188,121</v>
      </c>
      <c r="AW473" s="31">
        <v>24.299999999999997</v>
      </c>
      <c r="AX473" s="31">
        <v>23.940454553934082</v>
      </c>
      <c r="AY473" s="31">
        <v>0.35954544606591554</v>
      </c>
    </row>
    <row r="474" spans="31:51" x14ac:dyDescent="0.25">
      <c r="AE474">
        <v>1.2110000000000001</v>
      </c>
      <c r="AF474">
        <v>1</v>
      </c>
      <c r="AG474">
        <v>2</v>
      </c>
      <c r="AH474">
        <v>2</v>
      </c>
      <c r="AI474">
        <v>2.0000000000254659</v>
      </c>
      <c r="AJ474">
        <v>1.2112200000000002</v>
      </c>
      <c r="AK474">
        <v>1.2111200000000002</v>
      </c>
      <c r="AL474">
        <v>0</v>
      </c>
      <c r="AM474">
        <v>0</v>
      </c>
      <c r="AN474">
        <v>0</v>
      </c>
      <c r="AO474">
        <v>-3.1563376107190741</v>
      </c>
      <c r="AP474">
        <v>0</v>
      </c>
      <c r="AQ474">
        <v>0</v>
      </c>
      <c r="AR474" t="str">
        <v>1310.par</v>
      </c>
      <c r="AV474" t="str">
        <v>255,188,121</v>
      </c>
      <c r="AW474" s="31">
        <v>5.2999999999999972</v>
      </c>
      <c r="AX474" s="31">
        <v>8.4563376107190713</v>
      </c>
      <c r="AY474" s="31">
        <v>-3.1563376107190741</v>
      </c>
    </row>
    <row r="475" spans="31:51" x14ac:dyDescent="0.25">
      <c r="AE475">
        <v>1.141</v>
      </c>
      <c r="AF475">
        <v>1</v>
      </c>
      <c r="AG475">
        <v>1</v>
      </c>
      <c r="AH475">
        <v>2</v>
      </c>
      <c r="AI475">
        <v>2.000000000007276</v>
      </c>
      <c r="AJ475">
        <v>1.1412200000000001</v>
      </c>
      <c r="AK475">
        <v>1.1411200000000001</v>
      </c>
      <c r="AL475">
        <v>0</v>
      </c>
      <c r="AM475">
        <v>0</v>
      </c>
      <c r="AN475">
        <v>0</v>
      </c>
      <c r="AO475">
        <v>3.226447474649774E-2</v>
      </c>
      <c r="AP475">
        <v>0</v>
      </c>
      <c r="AQ475">
        <v>0</v>
      </c>
      <c r="AR475" t="str">
        <v>1613.par</v>
      </c>
      <c r="AV475" t="str">
        <v>255,127,0</v>
      </c>
      <c r="AW475" s="31">
        <v>85</v>
      </c>
      <c r="AX475" s="31">
        <v>84.967735525253502</v>
      </c>
      <c r="AY475" s="31">
        <v>3.226447474649774E-2</v>
      </c>
    </row>
    <row r="476" spans="31:51" x14ac:dyDescent="0.25">
      <c r="AE476">
        <v>1.135</v>
      </c>
      <c r="AF476">
        <v>1</v>
      </c>
      <c r="AG476">
        <v>1</v>
      </c>
      <c r="AH476">
        <v>2</v>
      </c>
      <c r="AI476">
        <v>2.000000000007276</v>
      </c>
      <c r="AJ476">
        <v>1.1352200000000001</v>
      </c>
      <c r="AK476">
        <v>1.1351200000000001</v>
      </c>
      <c r="AL476">
        <v>0</v>
      </c>
      <c r="AM476">
        <v>0</v>
      </c>
      <c r="AN476">
        <v>0</v>
      </c>
      <c r="AO476">
        <v>11.154991649722874</v>
      </c>
      <c r="AP476">
        <v>0</v>
      </c>
      <c r="AQ476">
        <v>0</v>
      </c>
      <c r="AR476" t="str">
        <v>1613 Ripper.par</v>
      </c>
      <c r="AV476" t="str">
        <v>255,127,0</v>
      </c>
      <c r="AW476" s="31">
        <v>81</v>
      </c>
      <c r="AX476" s="31">
        <v>69.845008350277126</v>
      </c>
      <c r="AY476" s="31">
        <v>11.154991649722874</v>
      </c>
    </row>
    <row r="477" spans="31:51" x14ac:dyDescent="0.25">
      <c r="AE477">
        <v>1.129</v>
      </c>
      <c r="AF477">
        <v>1</v>
      </c>
      <c r="AG477">
        <v>1</v>
      </c>
      <c r="AH477">
        <v>2</v>
      </c>
      <c r="AI477">
        <v>2.000000000007276</v>
      </c>
      <c r="AJ477">
        <v>1.1292200000000001</v>
      </c>
      <c r="AK477">
        <v>1.1291200000000001</v>
      </c>
      <c r="AL477">
        <v>0</v>
      </c>
      <c r="AM477">
        <v>0</v>
      </c>
      <c r="AN477">
        <v>0</v>
      </c>
      <c r="AO477">
        <v>7.7324296597404398</v>
      </c>
      <c r="AP477">
        <v>0</v>
      </c>
      <c r="AQ477">
        <v>0</v>
      </c>
      <c r="AR477" t="str">
        <v>1613 Ripper.par</v>
      </c>
      <c r="AV477" t="str">
        <v>255,127,0</v>
      </c>
      <c r="AW477" s="31">
        <v>62.400000000000006</v>
      </c>
      <c r="AX477" s="31">
        <v>54.667570340259566</v>
      </c>
      <c r="AY477" s="31">
        <v>7.7324296597404398</v>
      </c>
    </row>
    <row r="478" spans="31:51" x14ac:dyDescent="0.25">
      <c r="AE478">
        <v>1.123</v>
      </c>
      <c r="AF478">
        <v>1</v>
      </c>
      <c r="AG478">
        <v>1</v>
      </c>
      <c r="AH478">
        <v>2</v>
      </c>
      <c r="AI478">
        <v>2.000000000007276</v>
      </c>
      <c r="AJ478">
        <v>1.1232200000000001</v>
      </c>
      <c r="AK478">
        <v>1.1231200000000001</v>
      </c>
      <c r="AL478">
        <v>0</v>
      </c>
      <c r="AM478">
        <v>0</v>
      </c>
      <c r="AN478">
        <v>0</v>
      </c>
      <c r="AO478">
        <v>4.0058143265623443</v>
      </c>
      <c r="AP478">
        <v>0</v>
      </c>
      <c r="AQ478">
        <v>0</v>
      </c>
      <c r="AR478" t="str">
        <v>1613 Ripper.par</v>
      </c>
      <c r="AV478" t="str">
        <v>255,127,0</v>
      </c>
      <c r="AW478" s="31">
        <v>43.400000000000006</v>
      </c>
      <c r="AX478" s="31">
        <v>39.394185673437661</v>
      </c>
      <c r="AY478" s="31">
        <v>4.0058143265623443</v>
      </c>
    </row>
    <row r="479" spans="31:51" x14ac:dyDescent="0.25">
      <c r="AE479">
        <v>1.117</v>
      </c>
      <c r="AF479">
        <v>1</v>
      </c>
      <c r="AG479">
        <v>1</v>
      </c>
      <c r="AH479">
        <v>2</v>
      </c>
      <c r="AI479">
        <v>2.000000000007276</v>
      </c>
      <c r="AJ479">
        <v>1.1172200000000001</v>
      </c>
      <c r="AK479">
        <v>1.1171200000000001</v>
      </c>
      <c r="AL479">
        <v>0</v>
      </c>
      <c r="AM479">
        <v>0</v>
      </c>
      <c r="AN479">
        <v>0</v>
      </c>
      <c r="AO479">
        <v>0.36324376630745192</v>
      </c>
      <c r="AP479">
        <v>0</v>
      </c>
      <c r="AQ479">
        <v>0</v>
      </c>
      <c r="AR479" t="str">
        <v>1613 Ripper.par</v>
      </c>
      <c r="AV479" t="str">
        <v>255,127,0</v>
      </c>
      <c r="AW479" s="31">
        <v>24.299999999999997</v>
      </c>
      <c r="AX479" s="31">
        <v>23.936756233692545</v>
      </c>
      <c r="AY479" s="31">
        <v>0.36324376630745192</v>
      </c>
    </row>
    <row r="480" spans="31:51" x14ac:dyDescent="0.25">
      <c r="AE480">
        <v>1.111</v>
      </c>
      <c r="AF480">
        <v>1</v>
      </c>
      <c r="AG480">
        <v>1</v>
      </c>
      <c r="AH480">
        <v>2</v>
      </c>
      <c r="AI480">
        <v>2.000000000007276</v>
      </c>
      <c r="AJ480">
        <v>1.1112200000000001</v>
      </c>
      <c r="AK480">
        <v>1.1111200000000001</v>
      </c>
      <c r="AL480">
        <v>0</v>
      </c>
      <c r="AM480">
        <v>0</v>
      </c>
      <c r="AN480">
        <v>0</v>
      </c>
      <c r="AO480">
        <v>-3.1534739187834582</v>
      </c>
      <c r="AP480">
        <v>0</v>
      </c>
      <c r="AQ480">
        <v>0</v>
      </c>
      <c r="AR480" t="str">
        <v>1613 Ripper.par</v>
      </c>
      <c r="AV480" t="str">
        <v>255,127,0</v>
      </c>
      <c r="AW480" s="31">
        <v>5.2999999999999972</v>
      </c>
      <c r="AX480" s="31">
        <v>8.4534739187834553</v>
      </c>
      <c r="AY480" s="31">
        <v>-3.1534739187834582</v>
      </c>
    </row>
    <row r="481" spans="31:51" x14ac:dyDescent="0.25">
      <c r="AE481">
        <v>1.107</v>
      </c>
      <c r="AF481">
        <v>1</v>
      </c>
      <c r="AG481">
        <v>1</v>
      </c>
      <c r="AH481">
        <v>2</v>
      </c>
      <c r="AI481">
        <v>2.000000000007276</v>
      </c>
      <c r="AJ481">
        <v>1.1072200000000001</v>
      </c>
      <c r="AK481">
        <v>1.1071200000000001</v>
      </c>
      <c r="AL481">
        <v>0</v>
      </c>
      <c r="AM481">
        <v>0</v>
      </c>
      <c r="AN481">
        <v>0</v>
      </c>
      <c r="AO481">
        <v>-10.984975850707613</v>
      </c>
      <c r="AP481">
        <v>0</v>
      </c>
      <c r="AQ481">
        <v>0</v>
      </c>
      <c r="AR481" t="str">
        <v>1613.par</v>
      </c>
      <c r="AV481" t="str">
        <v>255,127,0</v>
      </c>
      <c r="AW481" s="31">
        <v>-13.200000000000003</v>
      </c>
      <c r="AX481" s="31">
        <v>-2.2150241492923901</v>
      </c>
      <c r="AY481" s="31">
        <v>-10.984975850707613</v>
      </c>
    </row>
    <row r="482" spans="31:51" x14ac:dyDescent="0.25">
      <c r="AE482">
        <v>1.1040000000000001</v>
      </c>
      <c r="AF482">
        <v>1</v>
      </c>
      <c r="AG482">
        <v>1</v>
      </c>
      <c r="AH482">
        <v>2</v>
      </c>
      <c r="AI482">
        <v>2.0000000000254659</v>
      </c>
      <c r="AJ482">
        <v>1.1042200000000002</v>
      </c>
      <c r="AK482">
        <v>1.1041200000000002</v>
      </c>
      <c r="AL482">
        <v>0</v>
      </c>
      <c r="AM482">
        <v>0</v>
      </c>
      <c r="AN482">
        <v>0</v>
      </c>
      <c r="AO482">
        <v>-13.322155429435966</v>
      </c>
      <c r="AP482">
        <v>0</v>
      </c>
      <c r="AQ482">
        <v>0</v>
      </c>
      <c r="AR482" t="str">
        <v>1613.par</v>
      </c>
      <c r="AV482" t="str">
        <v>255,127,0</v>
      </c>
      <c r="AW482" s="31">
        <v>-20</v>
      </c>
      <c r="AX482" s="31">
        <v>-6.6778445705640328</v>
      </c>
      <c r="AY482" s="31">
        <v>-13.322155429435966</v>
      </c>
    </row>
    <row r="483" spans="31:51" x14ac:dyDescent="0.25">
      <c r="AE483">
        <v>1.101</v>
      </c>
      <c r="AF483">
        <v>1</v>
      </c>
      <c r="AG483">
        <v>1</v>
      </c>
      <c r="AH483">
        <v>2</v>
      </c>
      <c r="AI483">
        <v>2.000000000007276</v>
      </c>
      <c r="AJ483">
        <v>1.1012200000000001</v>
      </c>
      <c r="AK483">
        <v>1.1011200000000001</v>
      </c>
      <c r="AL483">
        <v>0</v>
      </c>
      <c r="AM483">
        <v>0</v>
      </c>
      <c r="AN483">
        <v>0</v>
      </c>
      <c r="AO483">
        <v>-3.6521269963714893</v>
      </c>
      <c r="AP483">
        <v>0</v>
      </c>
      <c r="AQ483">
        <v>0</v>
      </c>
      <c r="AR483" t="str">
        <v>1613.par</v>
      </c>
      <c r="AV483" t="str">
        <v>255,127,0</v>
      </c>
      <c r="AW483" s="31">
        <v>-20</v>
      </c>
      <c r="AX483" s="31">
        <v>-16.347873003628511</v>
      </c>
      <c r="AY483" s="31">
        <v>-3.6521269963714893</v>
      </c>
    </row>
    <row r="484" spans="31:51" x14ac:dyDescent="0.25">
      <c r="AE484">
        <v>6.2439999999999998</v>
      </c>
      <c r="AF484">
        <v>6</v>
      </c>
      <c r="AG484">
        <v>2</v>
      </c>
      <c r="AH484">
        <v>1</v>
      </c>
      <c r="AI484">
        <v>3.0000000000291038</v>
      </c>
      <c r="AJ484">
        <v>6.2441300000000002</v>
      </c>
      <c r="AK484" t="str">
        <v>Base</v>
      </c>
      <c r="AL484">
        <v>-8.25</v>
      </c>
      <c r="AM484">
        <v>-4.667253902360132</v>
      </c>
      <c r="AN484">
        <v>-3.7856000854596554</v>
      </c>
      <c r="AO484">
        <v>84.999987727520207</v>
      </c>
      <c r="AP484">
        <v>0</v>
      </c>
      <c r="AQ484">
        <v>0</v>
      </c>
      <c r="AR484" t="str">
        <v>32193r1.par</v>
      </c>
      <c r="AV484" t="str">
        <v>188,121,255</v>
      </c>
      <c r="AW484" s="31">
        <v>85</v>
      </c>
      <c r="AX484" s="31">
        <v>84.999987727520207</v>
      </c>
      <c r="AY484" s="31">
        <v>0</v>
      </c>
    </row>
    <row r="485" spans="31:51" x14ac:dyDescent="0.25">
      <c r="AE485">
        <v>6.2380000000000004</v>
      </c>
      <c r="AF485">
        <v>6</v>
      </c>
      <c r="AG485">
        <v>2</v>
      </c>
      <c r="AH485">
        <v>1</v>
      </c>
      <c r="AI485">
        <v>3.0000000001018634</v>
      </c>
      <c r="AJ485">
        <v>6.2381300000000008</v>
      </c>
      <c r="AK485" t="str">
        <v>Base</v>
      </c>
      <c r="AL485">
        <v>-8.25</v>
      </c>
      <c r="AM485">
        <v>-4.6048970092467663</v>
      </c>
      <c r="AN485">
        <v>-2.9829633784733813</v>
      </c>
      <c r="AO485">
        <v>84.999987727520178</v>
      </c>
      <c r="AP485">
        <v>0</v>
      </c>
      <c r="AQ485">
        <v>0</v>
      </c>
      <c r="AR485" t="str">
        <v>32193r1.par</v>
      </c>
      <c r="AV485" t="str">
        <v>188,121,255</v>
      </c>
      <c r="AW485" s="31">
        <v>85</v>
      </c>
      <c r="AX485" s="31">
        <v>84.999987727520178</v>
      </c>
      <c r="AY485" s="31">
        <v>0</v>
      </c>
    </row>
    <row r="486" spans="31:51" x14ac:dyDescent="0.25">
      <c r="AE486">
        <v>6.2320000000000002</v>
      </c>
      <c r="AF486">
        <v>6</v>
      </c>
      <c r="AG486">
        <v>2</v>
      </c>
      <c r="AH486">
        <v>1</v>
      </c>
      <c r="AI486">
        <v>3.0000000000291038</v>
      </c>
      <c r="AJ486">
        <v>6.2321300000000006</v>
      </c>
      <c r="AK486" t="str">
        <v>Base</v>
      </c>
      <c r="AL486">
        <v>-8.25</v>
      </c>
      <c r="AM486">
        <v>-4.4237445003532745</v>
      </c>
      <c r="AN486">
        <v>-2.2613343549146334</v>
      </c>
      <c r="AO486">
        <v>71.79998963336412</v>
      </c>
      <c r="AP486">
        <v>0</v>
      </c>
      <c r="AQ486">
        <v>0</v>
      </c>
      <c r="AR486" t="str">
        <v>32193r1.par</v>
      </c>
      <c r="AV486" t="str">
        <v>188,121,255</v>
      </c>
      <c r="AW486" s="31">
        <v>71.800000000000011</v>
      </c>
      <c r="AX486" s="31">
        <v>71.79998963336412</v>
      </c>
      <c r="AY486" s="31">
        <v>0</v>
      </c>
    </row>
    <row r="487" spans="31:51" x14ac:dyDescent="0.25">
      <c r="AE487">
        <v>6.226</v>
      </c>
      <c r="AF487">
        <v>6</v>
      </c>
      <c r="AG487">
        <v>2</v>
      </c>
      <c r="AH487">
        <v>1</v>
      </c>
      <c r="AI487">
        <v>3.0000000000291038</v>
      </c>
      <c r="AJ487">
        <v>6.2261300000000004</v>
      </c>
      <c r="AK487" t="str">
        <v>Base</v>
      </c>
      <c r="AL487">
        <v>-8.25</v>
      </c>
      <c r="AM487">
        <v>-4.073540666126596</v>
      </c>
      <c r="AN487">
        <v>-1.59431170244798</v>
      </c>
      <c r="AO487">
        <v>47.15815732242519</v>
      </c>
      <c r="AP487">
        <v>-26.415050906318793</v>
      </c>
      <c r="AQ487">
        <v>0</v>
      </c>
      <c r="AR487" t="str">
        <v>1313.par</v>
      </c>
      <c r="AV487" t="str">
        <v>188,121,255</v>
      </c>
      <c r="AW487" s="31">
        <v>52.900000000000006</v>
      </c>
      <c r="AX487" s="31">
        <v>47.15815732242519</v>
      </c>
      <c r="AY487" s="31">
        <v>0</v>
      </c>
    </row>
    <row r="488" spans="31:51" x14ac:dyDescent="0.25">
      <c r="AE488">
        <v>6.22</v>
      </c>
      <c r="AF488">
        <v>6</v>
      </c>
      <c r="AG488">
        <v>2</v>
      </c>
      <c r="AH488">
        <v>1</v>
      </c>
      <c r="AI488">
        <v>3.0000000000291038</v>
      </c>
      <c r="AJ488">
        <v>6.2201300000000002</v>
      </c>
      <c r="AK488" t="str">
        <v>Base</v>
      </c>
      <c r="AL488">
        <v>-8.25</v>
      </c>
      <c r="AM488">
        <v>-3.5204445435345106</v>
      </c>
      <c r="AN488">
        <v>-1.0808773935983806</v>
      </c>
      <c r="AO488">
        <v>31.908377148153889</v>
      </c>
      <c r="AP488">
        <v>-23.08059346832755</v>
      </c>
      <c r="AQ488">
        <v>0</v>
      </c>
      <c r="AR488" t="str">
        <v>1310.par</v>
      </c>
      <c r="AV488" t="str">
        <v>188,121,255</v>
      </c>
      <c r="AW488" s="31">
        <v>33.900000000000006</v>
      </c>
      <c r="AX488" s="31">
        <v>31.908377148153889</v>
      </c>
      <c r="AY488" s="31">
        <v>0</v>
      </c>
    </row>
    <row r="489" spans="31:51" x14ac:dyDescent="0.25">
      <c r="AE489">
        <v>6.1440000000000001</v>
      </c>
      <c r="AF489">
        <v>6</v>
      </c>
      <c r="AG489">
        <v>1</v>
      </c>
      <c r="AH489">
        <v>1</v>
      </c>
      <c r="AI489">
        <v>3.0000000000291038</v>
      </c>
      <c r="AJ489">
        <v>6.1441300000000005</v>
      </c>
      <c r="AK489" t="str">
        <v>Base</v>
      </c>
      <c r="AL489">
        <v>-7.5</v>
      </c>
      <c r="AM489">
        <v>-4.6815981091732617</v>
      </c>
      <c r="AN489">
        <v>-3.7947550089470061</v>
      </c>
      <c r="AO489">
        <v>84.967735829436208</v>
      </c>
      <c r="AP489">
        <v>-29.788827478517224</v>
      </c>
      <c r="AQ489">
        <v>0</v>
      </c>
      <c r="AR489" t="str">
        <v>1613.par</v>
      </c>
      <c r="AV489" t="str">
        <v>127,0,255</v>
      </c>
      <c r="AW489" s="31">
        <v>85</v>
      </c>
      <c r="AX489" s="31">
        <v>84.967735829436208</v>
      </c>
      <c r="AY489" s="31">
        <v>0</v>
      </c>
    </row>
    <row r="490" spans="31:51" x14ac:dyDescent="0.25">
      <c r="AE490">
        <v>6.1379999999999999</v>
      </c>
      <c r="AF490">
        <v>6</v>
      </c>
      <c r="AG490">
        <v>1</v>
      </c>
      <c r="AH490">
        <v>1</v>
      </c>
      <c r="AI490">
        <v>3.0000000000291038</v>
      </c>
      <c r="AJ490">
        <v>6.1381300000000003</v>
      </c>
      <c r="AK490" t="str">
        <v>Base</v>
      </c>
      <c r="AL490">
        <v>-7.5</v>
      </c>
      <c r="AM490">
        <v>-4.6145982010924467</v>
      </c>
      <c r="AN490">
        <v>-2.9904895854147648</v>
      </c>
      <c r="AO490">
        <v>77.411479062779947</v>
      </c>
      <c r="AP490">
        <v>-28.106608666641964</v>
      </c>
      <c r="AQ490">
        <v>0</v>
      </c>
      <c r="AR490" t="str">
        <v>1613.par</v>
      </c>
      <c r="AV490" t="str">
        <v>127,0,255</v>
      </c>
      <c r="AW490" s="31">
        <v>85</v>
      </c>
      <c r="AX490" s="31">
        <v>77.411479062779947</v>
      </c>
      <c r="AY490" s="31">
        <v>0</v>
      </c>
    </row>
    <row r="491" spans="31:51" x14ac:dyDescent="0.25">
      <c r="AE491">
        <v>6.1319999999999997</v>
      </c>
      <c r="AF491">
        <v>6</v>
      </c>
      <c r="AG491">
        <v>1</v>
      </c>
      <c r="AH491">
        <v>1</v>
      </c>
      <c r="AI491">
        <v>3.0000000000291038</v>
      </c>
      <c r="AJ491">
        <v>6.1321300000000001</v>
      </c>
      <c r="AK491" t="str">
        <v>Base</v>
      </c>
      <c r="AL491">
        <v>-7.5</v>
      </c>
      <c r="AM491">
        <v>-4.4252775449577486</v>
      </c>
      <c r="AN491">
        <v>-2.2697228721716307</v>
      </c>
      <c r="AO491">
        <v>62.265059341656865</v>
      </c>
      <c r="AP491">
        <v>-24.751978224299812</v>
      </c>
      <c r="AQ491">
        <v>0</v>
      </c>
      <c r="AR491" t="str">
        <v>1613.par</v>
      </c>
      <c r="AV491" t="str">
        <v>127,0,255</v>
      </c>
      <c r="AW491" s="31">
        <v>71.800000000000011</v>
      </c>
      <c r="AX491" s="31">
        <v>62.265059341656865</v>
      </c>
      <c r="AY491" s="31">
        <v>0</v>
      </c>
    </row>
    <row r="492" spans="31:51" x14ac:dyDescent="0.25">
      <c r="AE492">
        <v>6.1260000000000003</v>
      </c>
      <c r="AF492">
        <v>6</v>
      </c>
      <c r="AG492">
        <v>1</v>
      </c>
      <c r="AH492">
        <v>1</v>
      </c>
      <c r="AI492">
        <v>3.0000000001018634</v>
      </c>
      <c r="AJ492">
        <v>6.1261300000000007</v>
      </c>
      <c r="AK492" t="str">
        <v>Base</v>
      </c>
      <c r="AL492">
        <v>-7.5</v>
      </c>
      <c r="AM492">
        <v>-4.0484387926423295</v>
      </c>
      <c r="AN492">
        <v>-1.6271759661575125</v>
      </c>
      <c r="AO492">
        <v>47.046749081946118</v>
      </c>
      <c r="AP492">
        <v>-21.406663959613159</v>
      </c>
      <c r="AQ492">
        <v>0</v>
      </c>
      <c r="AR492" t="str">
        <v>1613.par</v>
      </c>
      <c r="AV492" t="str">
        <v>127,0,255</v>
      </c>
      <c r="AW492" s="31">
        <v>52.900000000000006</v>
      </c>
      <c r="AX492" s="31">
        <v>47.046749081946118</v>
      </c>
      <c r="AY492" s="31">
        <v>0</v>
      </c>
    </row>
    <row r="493" spans="31:51" x14ac:dyDescent="0.25">
      <c r="AE493">
        <v>6.12</v>
      </c>
      <c r="AF493">
        <v>6</v>
      </c>
      <c r="AG493">
        <v>1</v>
      </c>
      <c r="AH493">
        <v>1</v>
      </c>
      <c r="AI493">
        <v>3.0000000000291038</v>
      </c>
      <c r="AJ493">
        <v>6.1201300000000005</v>
      </c>
      <c r="AK493" t="str">
        <v>Base</v>
      </c>
      <c r="AL493">
        <v>-7.5</v>
      </c>
      <c r="AM493">
        <v>-3.5023090784645645</v>
      </c>
      <c r="AN493">
        <v>-1.1207818595574393</v>
      </c>
      <c r="AO493">
        <v>31.697301739955826</v>
      </c>
      <c r="AP493">
        <v>-18.074864417424092</v>
      </c>
      <c r="AQ493">
        <v>0</v>
      </c>
      <c r="AR493" t="str">
        <v>1613.par</v>
      </c>
      <c r="AV493" t="str">
        <v>127,0,255</v>
      </c>
      <c r="AW493" s="31">
        <v>33.900000000000006</v>
      </c>
      <c r="AX493" s="31">
        <v>31.697301739955826</v>
      </c>
      <c r="AY493" s="31">
        <v>0</v>
      </c>
    </row>
    <row r="494" spans="31:51" x14ac:dyDescent="0.25">
      <c r="AE494">
        <v>6.1139999999999999</v>
      </c>
      <c r="AF494">
        <v>6</v>
      </c>
      <c r="AG494">
        <v>1</v>
      </c>
      <c r="AH494">
        <v>1</v>
      </c>
      <c r="AI494">
        <v>3.0000000000291038</v>
      </c>
      <c r="AJ494">
        <v>6.1141300000000003</v>
      </c>
      <c r="AK494" t="str">
        <v>Base</v>
      </c>
      <c r="AL494">
        <v>-7.5</v>
      </c>
      <c r="AM494">
        <v>-2.8255246930323525</v>
      </c>
      <c r="AN494">
        <v>-0.80978980668236367</v>
      </c>
      <c r="AO494">
        <v>16.193879336207964</v>
      </c>
      <c r="AP494">
        <v>-15.887002584969139</v>
      </c>
      <c r="AQ494">
        <v>0</v>
      </c>
      <c r="AR494" t="str">
        <v>1613.par</v>
      </c>
      <c r="AV494" t="str">
        <v>127,0,255</v>
      </c>
      <c r="AW494" s="31">
        <v>14.799999999999997</v>
      </c>
      <c r="AX494" s="31">
        <v>16.193879336207964</v>
      </c>
      <c r="AY494" s="31">
        <v>0</v>
      </c>
    </row>
    <row r="495" spans="31:51" x14ac:dyDescent="0.25">
      <c r="AE495">
        <v>5.2450000000000001</v>
      </c>
      <c r="AF495">
        <v>5</v>
      </c>
      <c r="AG495">
        <v>2</v>
      </c>
      <c r="AH495">
        <v>1</v>
      </c>
      <c r="AI495">
        <v>3.0000000000291038</v>
      </c>
      <c r="AJ495">
        <v>5.2451300000000005</v>
      </c>
      <c r="AK495" t="str">
        <v>Base</v>
      </c>
      <c r="AL495">
        <v>-6.75</v>
      </c>
      <c r="AM495">
        <v>-4.6672539023601329</v>
      </c>
      <c r="AN495">
        <v>-3.9923982927510004</v>
      </c>
      <c r="AO495">
        <v>84.999987727520178</v>
      </c>
      <c r="AP495">
        <v>0</v>
      </c>
      <c r="AQ495">
        <v>0</v>
      </c>
      <c r="AR495" t="str">
        <v>32193r1.par</v>
      </c>
      <c r="AV495" t="str">
        <v>121,188,255</v>
      </c>
      <c r="AW495" s="31">
        <v>85</v>
      </c>
      <c r="AX495" s="31">
        <v>84.999987727520178</v>
      </c>
      <c r="AY495" s="31">
        <v>0</v>
      </c>
    </row>
    <row r="496" spans="31:51" x14ac:dyDescent="0.25">
      <c r="AE496">
        <v>5.2389999999999999</v>
      </c>
      <c r="AF496">
        <v>5</v>
      </c>
      <c r="AG496">
        <v>2</v>
      </c>
      <c r="AH496">
        <v>1</v>
      </c>
      <c r="AI496">
        <v>3.0000000000291038</v>
      </c>
      <c r="AJ496">
        <v>5.2391300000000003</v>
      </c>
      <c r="AK496" t="str">
        <v>Base</v>
      </c>
      <c r="AL496">
        <v>-6.75</v>
      </c>
      <c r="AM496">
        <v>-4.6161231555423221</v>
      </c>
      <c r="AN496">
        <v>-3.1886022271224803</v>
      </c>
      <c r="AO496">
        <v>84.999987727520178</v>
      </c>
      <c r="AP496">
        <v>0</v>
      </c>
      <c r="AQ496">
        <v>0</v>
      </c>
      <c r="AR496" t="str">
        <v>32193r1.par</v>
      </c>
      <c r="AV496" t="str">
        <v>121,188,255</v>
      </c>
      <c r="AW496" s="31">
        <v>85</v>
      </c>
      <c r="AX496" s="31">
        <v>84.999987727520178</v>
      </c>
      <c r="AY496" s="31">
        <v>0</v>
      </c>
    </row>
    <row r="497" spans="31:51" x14ac:dyDescent="0.25">
      <c r="AE497">
        <v>5.2329999999999997</v>
      </c>
      <c r="AF497">
        <v>5</v>
      </c>
      <c r="AG497">
        <v>2</v>
      </c>
      <c r="AH497">
        <v>1</v>
      </c>
      <c r="AI497">
        <v>3.0000000000291038</v>
      </c>
      <c r="AJ497">
        <v>5.2331300000000001</v>
      </c>
      <c r="AK497" t="str">
        <v>Base</v>
      </c>
      <c r="AL497">
        <v>-6.75</v>
      </c>
      <c r="AM497">
        <v>-4.491286387539672</v>
      </c>
      <c r="AN497">
        <v>-2.4486314873726616</v>
      </c>
      <c r="AO497">
        <v>64.79440885837019</v>
      </c>
      <c r="AP497">
        <v>-25.311490125624598</v>
      </c>
      <c r="AQ497">
        <v>0</v>
      </c>
      <c r="AR497" t="str">
        <v>1313.par</v>
      </c>
      <c r="AV497" t="str">
        <v>121,188,255</v>
      </c>
      <c r="AW497" s="31">
        <v>74.900000000000006</v>
      </c>
      <c r="AX497" s="31">
        <v>64.79440885837019</v>
      </c>
      <c r="AY497" s="31">
        <v>0</v>
      </c>
    </row>
    <row r="498" spans="31:51" x14ac:dyDescent="0.25">
      <c r="AE498">
        <v>5.2270000000000003</v>
      </c>
      <c r="AF498">
        <v>5</v>
      </c>
      <c r="AG498">
        <v>2</v>
      </c>
      <c r="AH498">
        <v>1</v>
      </c>
      <c r="AI498">
        <v>3.0000000001018634</v>
      </c>
      <c r="AJ498">
        <v>5.2271300000000007</v>
      </c>
      <c r="AK498" t="str">
        <v>Base</v>
      </c>
      <c r="AL498">
        <v>-6.75</v>
      </c>
      <c r="AM498">
        <v>-4.14242061150886</v>
      </c>
      <c r="AN498">
        <v>-1.7829279259009607</v>
      </c>
      <c r="AO498">
        <v>49.591934108104368</v>
      </c>
      <c r="AP498">
        <v>-21.964321744475381</v>
      </c>
      <c r="AQ498">
        <v>0</v>
      </c>
      <c r="AR498" t="str">
        <v>1313.par</v>
      </c>
      <c r="AV498" t="str">
        <v>121,188,255</v>
      </c>
      <c r="AW498" s="31">
        <v>56.099999999999994</v>
      </c>
      <c r="AX498" s="31">
        <v>49.591934108104368</v>
      </c>
      <c r="AY498" s="31">
        <v>0</v>
      </c>
    </row>
    <row r="499" spans="31:51" x14ac:dyDescent="0.25">
      <c r="AE499">
        <v>5.2210000000000001</v>
      </c>
      <c r="AF499">
        <v>5</v>
      </c>
      <c r="AG499">
        <v>2</v>
      </c>
      <c r="AH499">
        <v>1</v>
      </c>
      <c r="AI499">
        <v>3.0000000000291038</v>
      </c>
      <c r="AJ499">
        <v>5.2211300000000005</v>
      </c>
      <c r="AK499" t="str">
        <v>Base</v>
      </c>
      <c r="AL499">
        <v>-6.75</v>
      </c>
      <c r="AM499">
        <v>-3.6183657612437519</v>
      </c>
      <c r="AN499">
        <v>-1.2430901607886939</v>
      </c>
      <c r="AO499">
        <v>34.271849486210627</v>
      </c>
      <c r="AP499">
        <v>-18.629596783767084</v>
      </c>
      <c r="AQ499">
        <v>0</v>
      </c>
      <c r="AR499" t="str">
        <v>1313.par</v>
      </c>
      <c r="AV499" t="str">
        <v>121,188,255</v>
      </c>
      <c r="AW499" s="31">
        <v>37.099999999999994</v>
      </c>
      <c r="AX499" s="31">
        <v>34.271849486210627</v>
      </c>
      <c r="AY499" s="31">
        <v>0</v>
      </c>
    </row>
    <row r="500" spans="31:51" x14ac:dyDescent="0.25">
      <c r="AE500">
        <v>5.2149999999999999</v>
      </c>
      <c r="AF500">
        <v>5</v>
      </c>
      <c r="AG500">
        <v>2</v>
      </c>
      <c r="AH500">
        <v>1</v>
      </c>
      <c r="AI500">
        <v>3.0000000000291038</v>
      </c>
      <c r="AJ500">
        <v>5.2151300000000003</v>
      </c>
      <c r="AK500" t="str">
        <v>Base</v>
      </c>
      <c r="AL500">
        <v>-6.75</v>
      </c>
      <c r="AM500">
        <v>-2.9538354933176207</v>
      </c>
      <c r="AN500">
        <v>-0.88948831942708739</v>
      </c>
      <c r="AO500">
        <v>18.768152489067734</v>
      </c>
      <c r="AP500">
        <v>-15.876217412548954</v>
      </c>
      <c r="AQ500">
        <v>0</v>
      </c>
      <c r="AR500" t="str">
        <v>1310.par</v>
      </c>
      <c r="AV500" t="str">
        <v>121,188,255</v>
      </c>
      <c r="AW500" s="31">
        <v>18</v>
      </c>
      <c r="AX500" s="31">
        <v>18.768152489067734</v>
      </c>
      <c r="AY500" s="31">
        <v>0</v>
      </c>
    </row>
    <row r="501" spans="31:51" x14ac:dyDescent="0.25">
      <c r="AE501">
        <v>5.1449999999999996</v>
      </c>
      <c r="AF501">
        <v>5</v>
      </c>
      <c r="AG501">
        <v>1</v>
      </c>
      <c r="AH501">
        <v>1</v>
      </c>
      <c r="AI501">
        <v>3.0000000000291038</v>
      </c>
      <c r="AJ501">
        <v>5.14513</v>
      </c>
      <c r="AK501" t="str">
        <v>Base</v>
      </c>
      <c r="AL501">
        <v>-6</v>
      </c>
      <c r="AM501">
        <v>-4.6815983957116218</v>
      </c>
      <c r="AN501">
        <v>-4.0017002165599811</v>
      </c>
      <c r="AO501">
        <v>84.967735525253516</v>
      </c>
      <c r="AP501">
        <v>-29.788825501047679</v>
      </c>
      <c r="AQ501">
        <v>0</v>
      </c>
      <c r="AR501" t="str">
        <v>1613.par</v>
      </c>
      <c r="AV501" t="str">
        <v>0,102,204</v>
      </c>
      <c r="AW501" s="31">
        <v>85</v>
      </c>
      <c r="AX501" s="31">
        <v>84.967735525253516</v>
      </c>
      <c r="AY501" s="31">
        <v>0</v>
      </c>
    </row>
    <row r="502" spans="31:51" x14ac:dyDescent="0.25">
      <c r="AE502">
        <v>5.1390000000000002</v>
      </c>
      <c r="AF502">
        <v>5</v>
      </c>
      <c r="AG502">
        <v>1</v>
      </c>
      <c r="AH502">
        <v>1</v>
      </c>
      <c r="AI502">
        <v>3.0000000000291038</v>
      </c>
      <c r="AJ502">
        <v>5.1391300000000006</v>
      </c>
      <c r="AK502" t="str">
        <v>Base</v>
      </c>
      <c r="AL502">
        <v>-6</v>
      </c>
      <c r="AM502">
        <v>-4.6273483266927622</v>
      </c>
      <c r="AN502">
        <v>-3.1964193998957788</v>
      </c>
      <c r="AO502">
        <v>79.931174495836203</v>
      </c>
      <c r="AP502">
        <v>-28.666466441807767</v>
      </c>
      <c r="AQ502">
        <v>0</v>
      </c>
      <c r="AR502" t="str">
        <v>1613.par</v>
      </c>
      <c r="AV502" t="str">
        <v>0,102,204</v>
      </c>
      <c r="AW502" s="31">
        <v>85</v>
      </c>
      <c r="AX502" s="31">
        <v>79.931174495836203</v>
      </c>
      <c r="AY502" s="31">
        <v>0</v>
      </c>
    </row>
    <row r="503" spans="31:51" x14ac:dyDescent="0.25">
      <c r="AE503">
        <v>5.133</v>
      </c>
      <c r="AF503">
        <v>5</v>
      </c>
      <c r="AG503">
        <v>1</v>
      </c>
      <c r="AH503">
        <v>1</v>
      </c>
      <c r="AI503">
        <v>3.0000000000291038</v>
      </c>
      <c r="AJ503">
        <v>5.1331300000000004</v>
      </c>
      <c r="AK503" t="str">
        <v>Base</v>
      </c>
      <c r="AL503">
        <v>-6</v>
      </c>
      <c r="AM503">
        <v>-4.4701542294164271</v>
      </c>
      <c r="AN503">
        <v>-2.4679201067119512</v>
      </c>
      <c r="AO503">
        <v>64.793428678397888</v>
      </c>
      <c r="AP503">
        <v>-25.310505283617825</v>
      </c>
      <c r="AQ503">
        <v>0</v>
      </c>
      <c r="AR503" t="str">
        <v>1613 Ripper.par</v>
      </c>
      <c r="AV503" t="str">
        <v>0,102,204</v>
      </c>
      <c r="AW503" s="31">
        <v>74.900000000000006</v>
      </c>
      <c r="AX503" s="31">
        <v>64.793428678397888</v>
      </c>
      <c r="AY503" s="31">
        <v>0</v>
      </c>
    </row>
    <row r="504" spans="31:51" x14ac:dyDescent="0.25">
      <c r="AE504">
        <v>5.1269999999999998</v>
      </c>
      <c r="AF504">
        <v>5</v>
      </c>
      <c r="AG504">
        <v>1</v>
      </c>
      <c r="AH504">
        <v>1</v>
      </c>
      <c r="AI504">
        <v>3.0000000000291038</v>
      </c>
      <c r="AJ504">
        <v>5.1271300000000002</v>
      </c>
      <c r="AK504" t="str">
        <v>Base</v>
      </c>
      <c r="AL504">
        <v>-6</v>
      </c>
      <c r="AM504">
        <v>-4.1236875593669096</v>
      </c>
      <c r="AN504">
        <v>-1.8083375892158173</v>
      </c>
      <c r="AO504">
        <v>49.590063364549835</v>
      </c>
      <c r="AP504">
        <v>-21.963435541553316</v>
      </c>
      <c r="AQ504">
        <v>0</v>
      </c>
      <c r="AR504" t="str">
        <v>1613 Ripper.par</v>
      </c>
      <c r="AV504" t="str">
        <v>0,102,204</v>
      </c>
      <c r="AW504" s="31">
        <v>56.099999999999994</v>
      </c>
      <c r="AX504" s="31">
        <v>49.590063364549835</v>
      </c>
      <c r="AY504" s="31">
        <v>0</v>
      </c>
    </row>
    <row r="505" spans="31:51" x14ac:dyDescent="0.25">
      <c r="AE505">
        <v>5.1210000000000004</v>
      </c>
      <c r="AF505">
        <v>5</v>
      </c>
      <c r="AG505">
        <v>1</v>
      </c>
      <c r="AH505">
        <v>1</v>
      </c>
      <c r="AI505">
        <v>3.0000000001018634</v>
      </c>
      <c r="AJ505">
        <v>5.1211300000000008</v>
      </c>
      <c r="AK505" t="str">
        <v>Base</v>
      </c>
      <c r="AL505">
        <v>-6</v>
      </c>
      <c r="AM505">
        <v>-3.6037743770584467</v>
      </c>
      <c r="AN505">
        <v>-1.2750458253070247</v>
      </c>
      <c r="AO505">
        <v>34.268873940555387</v>
      </c>
      <c r="AP505">
        <v>-18.628913293533735</v>
      </c>
      <c r="AQ505">
        <v>0</v>
      </c>
      <c r="AR505" t="str">
        <v>1613 Ripper.par</v>
      </c>
      <c r="AV505" t="str">
        <v>0,102,204</v>
      </c>
      <c r="AW505" s="31">
        <v>37.099999999999994</v>
      </c>
      <c r="AX505" s="31">
        <v>34.268873940555387</v>
      </c>
      <c r="AY505" s="31">
        <v>0</v>
      </c>
    </row>
    <row r="506" spans="31:51" x14ac:dyDescent="0.25">
      <c r="AE506">
        <v>5.1150000000000002</v>
      </c>
      <c r="AF506">
        <v>5</v>
      </c>
      <c r="AG506">
        <v>1</v>
      </c>
      <c r="AH506">
        <v>1</v>
      </c>
      <c r="AI506">
        <v>3.0000000000291038</v>
      </c>
      <c r="AJ506">
        <v>5.1151300000000006</v>
      </c>
      <c r="AK506" t="str">
        <v>Base</v>
      </c>
      <c r="AL506">
        <v>-6</v>
      </c>
      <c r="AM506">
        <v>-2.9448949404755744</v>
      </c>
      <c r="AN506">
        <v>-0.92772626451371409</v>
      </c>
      <c r="AO506">
        <v>18.764382264774945</v>
      </c>
      <c r="AP506">
        <v>-15.875853085721719</v>
      </c>
      <c r="AQ506">
        <v>0</v>
      </c>
      <c r="AR506" t="str">
        <v>1613 Ripper.par</v>
      </c>
      <c r="AV506" t="str">
        <v>0,102,204</v>
      </c>
      <c r="AW506" s="31">
        <v>18</v>
      </c>
      <c r="AX506" s="31">
        <v>18.764382264774945</v>
      </c>
      <c r="AY506" s="31">
        <v>0</v>
      </c>
    </row>
    <row r="507" spans="31:51" x14ac:dyDescent="0.25">
      <c r="AE507">
        <v>5.109</v>
      </c>
      <c r="AF507">
        <v>5</v>
      </c>
      <c r="AG507">
        <v>1</v>
      </c>
      <c r="AH507">
        <v>1</v>
      </c>
      <c r="AI507">
        <v>3.0000000000291038</v>
      </c>
      <c r="AJ507">
        <v>5.1091300000000004</v>
      </c>
      <c r="AK507" t="str">
        <v>Base</v>
      </c>
      <c r="AL507">
        <v>-6</v>
      </c>
      <c r="AM507">
        <v>-2.2084164912059197</v>
      </c>
      <c r="AN507">
        <v>-0.81550273226558612</v>
      </c>
      <c r="AO507">
        <v>3.2628915737279782</v>
      </c>
      <c r="AP507">
        <v>-15.964055654186145</v>
      </c>
      <c r="AQ507">
        <v>0</v>
      </c>
      <c r="AR507" t="str">
        <v>1613 Ripper.par</v>
      </c>
      <c r="AV507" t="str">
        <v>0,102,204</v>
      </c>
      <c r="AW507" s="31">
        <v>-1</v>
      </c>
      <c r="AX507" s="31">
        <v>3.2628915737279782</v>
      </c>
      <c r="AY507" s="31">
        <v>0</v>
      </c>
    </row>
    <row r="508" spans="31:51" x14ac:dyDescent="0.25">
      <c r="AE508">
        <v>5.1059999999999999</v>
      </c>
      <c r="AF508">
        <v>5</v>
      </c>
      <c r="AG508">
        <v>1</v>
      </c>
      <c r="AH508">
        <v>1</v>
      </c>
      <c r="AI508">
        <v>3.0000000000291038</v>
      </c>
      <c r="AJ508">
        <v>5.1061300000000003</v>
      </c>
      <c r="AK508" t="str">
        <v>Base</v>
      </c>
      <c r="AL508">
        <v>-6</v>
      </c>
      <c r="AM508">
        <v>-1.5014283394123136</v>
      </c>
      <c r="AN508">
        <v>-0.94311131317806085</v>
      </c>
      <c r="AO508">
        <v>-3.5543907468982434</v>
      </c>
      <c r="AP508">
        <v>-16.029154803271066</v>
      </c>
      <c r="AQ508">
        <v>0</v>
      </c>
      <c r="AR508" t="str">
        <v>1613.par</v>
      </c>
      <c r="AV508" t="str">
        <v>0,102,204</v>
      </c>
      <c r="AW508" s="31">
        <v>-19.400000000000006</v>
      </c>
      <c r="AX508" s="31">
        <v>-3.5543907468982434</v>
      </c>
      <c r="AY508" s="31">
        <v>0</v>
      </c>
    </row>
    <row r="509" spans="31:51" x14ac:dyDescent="0.25">
      <c r="AE509">
        <v>5.1029999999999998</v>
      </c>
      <c r="AF509">
        <v>5</v>
      </c>
      <c r="AG509">
        <v>1</v>
      </c>
      <c r="AH509">
        <v>1</v>
      </c>
      <c r="AI509">
        <v>3.0000000000291038</v>
      </c>
      <c r="AJ509">
        <v>5.1031300000000002</v>
      </c>
      <c r="AK509" t="str">
        <v>Base</v>
      </c>
      <c r="AL509">
        <v>-6</v>
      </c>
      <c r="AM509">
        <v>-0.80633962298272444</v>
      </c>
      <c r="AN509">
        <v>-1.1955652023635008</v>
      </c>
      <c r="AO509">
        <v>-8.4007263319275101</v>
      </c>
      <c r="AP509">
        <v>-17.146907594407718</v>
      </c>
      <c r="AQ509">
        <v>0</v>
      </c>
      <c r="AR509" t="str">
        <v>1613.par</v>
      </c>
      <c r="AV509" t="str">
        <v>0,102,204</v>
      </c>
      <c r="AW509" s="31">
        <v>-20</v>
      </c>
      <c r="AX509" s="31">
        <v>-8.4007263319275101</v>
      </c>
      <c r="AY509" s="31">
        <v>0</v>
      </c>
    </row>
    <row r="510" spans="31:51" x14ac:dyDescent="0.25">
      <c r="AE510">
        <v>4.242</v>
      </c>
      <c r="AF510">
        <v>4</v>
      </c>
      <c r="AG510">
        <v>2</v>
      </c>
      <c r="AH510">
        <v>1</v>
      </c>
      <c r="AI510">
        <v>3.0000000000291038</v>
      </c>
      <c r="AJ510">
        <v>4.2421300000000004</v>
      </c>
      <c r="AK510" t="str">
        <v>Base</v>
      </c>
      <c r="AL510">
        <v>-5.25</v>
      </c>
      <c r="AM510">
        <v>-4.6672539023601338</v>
      </c>
      <c r="AN510">
        <v>-3.6997806951843617</v>
      </c>
      <c r="AO510">
        <v>84.999987727520178</v>
      </c>
      <c r="AP510">
        <v>0</v>
      </c>
      <c r="AQ510">
        <v>0</v>
      </c>
      <c r="AR510" t="str">
        <v>32193r1.par</v>
      </c>
      <c r="AV510" t="str">
        <v>91,255,255</v>
      </c>
      <c r="AW510" s="31">
        <v>85</v>
      </c>
      <c r="AX510" s="31">
        <v>84.999987727520178</v>
      </c>
      <c r="AY510" s="31">
        <v>0</v>
      </c>
    </row>
    <row r="511" spans="31:51" x14ac:dyDescent="0.25">
      <c r="AE511">
        <v>4.2359999999999998</v>
      </c>
      <c r="AF511">
        <v>4</v>
      </c>
      <c r="AG511">
        <v>2</v>
      </c>
      <c r="AH511">
        <v>1</v>
      </c>
      <c r="AI511">
        <v>3.0000000000291038</v>
      </c>
      <c r="AJ511">
        <v>4.2361300000000002</v>
      </c>
      <c r="AK511" t="str">
        <v>Base</v>
      </c>
      <c r="AL511">
        <v>-5.25</v>
      </c>
      <c r="AM511">
        <v>-4.5661780150713582</v>
      </c>
      <c r="AN511">
        <v>-2.9015117205142005</v>
      </c>
      <c r="AO511">
        <v>84.099987857464086</v>
      </c>
      <c r="AP511">
        <v>0</v>
      </c>
      <c r="AQ511">
        <v>0</v>
      </c>
      <c r="AR511" t="str">
        <v>32193r1.par</v>
      </c>
      <c r="AV511" t="str">
        <v>91,255,255</v>
      </c>
      <c r="AW511" s="31">
        <v>84.1</v>
      </c>
      <c r="AX511" s="31">
        <v>84.099987857464086</v>
      </c>
      <c r="AY511" s="31">
        <v>0</v>
      </c>
    </row>
    <row r="512" spans="31:51" x14ac:dyDescent="0.25">
      <c r="AE512">
        <v>4.2300000000000004</v>
      </c>
      <c r="AF512">
        <v>4</v>
      </c>
      <c r="AG512">
        <v>2</v>
      </c>
      <c r="AH512">
        <v>1</v>
      </c>
      <c r="AI512">
        <v>3.0000000001018634</v>
      </c>
      <c r="AJ512">
        <v>4.2301300000000008</v>
      </c>
      <c r="AK512" t="str">
        <v>Base</v>
      </c>
      <c r="AL512">
        <v>-5.25</v>
      </c>
      <c r="AM512">
        <v>-4.3206141215657672</v>
      </c>
      <c r="AN512">
        <v>-2.1984506484400961</v>
      </c>
      <c r="AO512">
        <v>65.499990542971446</v>
      </c>
      <c r="AP512">
        <v>0</v>
      </c>
      <c r="AQ512">
        <v>0</v>
      </c>
      <c r="AR512" t="str">
        <v>32193r1.par</v>
      </c>
      <c r="AV512" t="str">
        <v>91,255,255</v>
      </c>
      <c r="AW512" s="31">
        <v>65.5</v>
      </c>
      <c r="AX512" s="31">
        <v>65.499990542971446</v>
      </c>
      <c r="AY512" s="31">
        <v>0</v>
      </c>
    </row>
    <row r="513" spans="31:51" x14ac:dyDescent="0.25">
      <c r="AE513">
        <v>4.2240000000000002</v>
      </c>
      <c r="AF513">
        <v>4</v>
      </c>
      <c r="AG513">
        <v>2</v>
      </c>
      <c r="AH513">
        <v>1</v>
      </c>
      <c r="AI513">
        <v>3.0000000000291038</v>
      </c>
      <c r="AJ513">
        <v>4.2241300000000006</v>
      </c>
      <c r="AK513" t="str">
        <v>Base</v>
      </c>
      <c r="AL513">
        <v>-5.25</v>
      </c>
      <c r="AM513">
        <v>-3.9067904300618412</v>
      </c>
      <c r="AN513">
        <v>-1.5687292258908769</v>
      </c>
      <c r="AO513">
        <v>42.087330809158544</v>
      </c>
      <c r="AP513">
        <v>-25.301810178738418</v>
      </c>
      <c r="AQ513">
        <v>0</v>
      </c>
      <c r="AR513" t="str">
        <v>1313.par</v>
      </c>
      <c r="AV513" t="str">
        <v>91,255,255</v>
      </c>
      <c r="AW513" s="31">
        <v>46.599999999999994</v>
      </c>
      <c r="AX513" s="31">
        <v>42.087330809158544</v>
      </c>
      <c r="AY513" s="31">
        <v>0</v>
      </c>
    </row>
    <row r="514" spans="31:51" x14ac:dyDescent="0.25">
      <c r="AE514">
        <v>4.218</v>
      </c>
      <c r="AF514">
        <v>4</v>
      </c>
      <c r="AG514">
        <v>2</v>
      </c>
      <c r="AH514">
        <v>1</v>
      </c>
      <c r="AI514">
        <v>3.0000000000291038</v>
      </c>
      <c r="AJ514">
        <v>4.2181300000000004</v>
      </c>
      <c r="AK514" t="str">
        <v>Base</v>
      </c>
      <c r="AL514">
        <v>-5.25</v>
      </c>
      <c r="AM514">
        <v>-3.3040777583800769</v>
      </c>
      <c r="AN514">
        <v>-1.1145266748038161</v>
      </c>
      <c r="AO514">
        <v>26.794015628638547</v>
      </c>
      <c r="AP514">
        <v>-21.97339278431285</v>
      </c>
      <c r="AQ514">
        <v>0</v>
      </c>
      <c r="AR514" t="str">
        <v>1310.par</v>
      </c>
      <c r="AV514" t="str">
        <v>91,255,255</v>
      </c>
      <c r="AW514" s="31">
        <v>27.5</v>
      </c>
      <c r="AX514" s="31">
        <v>26.794015628638547</v>
      </c>
      <c r="AY514" s="31">
        <v>0</v>
      </c>
    </row>
    <row r="515" spans="31:51" x14ac:dyDescent="0.25">
      <c r="AE515">
        <v>4.1420000000000003</v>
      </c>
      <c r="AF515">
        <v>4</v>
      </c>
      <c r="AG515">
        <v>1</v>
      </c>
      <c r="AH515">
        <v>1</v>
      </c>
      <c r="AI515">
        <v>3.0000000001018634</v>
      </c>
      <c r="AJ515">
        <v>4.1421300000000008</v>
      </c>
      <c r="AK515" t="str">
        <v>Base</v>
      </c>
      <c r="AL515">
        <v>-4.5</v>
      </c>
      <c r="AM515">
        <v>-4.681598395711621</v>
      </c>
      <c r="AN515">
        <v>-3.7086423871992609</v>
      </c>
      <c r="AO515">
        <v>84.967735525253488</v>
      </c>
      <c r="AP515">
        <v>-29.788825501047654</v>
      </c>
      <c r="AQ515">
        <v>0</v>
      </c>
      <c r="AR515" t="str">
        <v>1613.par</v>
      </c>
      <c r="AV515" t="str">
        <v>0,204,204</v>
      </c>
      <c r="AW515" s="31">
        <v>85</v>
      </c>
      <c r="AX515" s="31">
        <v>84.967735525253488</v>
      </c>
      <c r="AY515" s="31">
        <v>0</v>
      </c>
    </row>
    <row r="516" spans="31:51" x14ac:dyDescent="0.25">
      <c r="AE516">
        <v>4.1360000000000001</v>
      </c>
      <c r="AF516">
        <v>4</v>
      </c>
      <c r="AG516">
        <v>1</v>
      </c>
      <c r="AH516">
        <v>1</v>
      </c>
      <c r="AI516">
        <v>3.0000000000291038</v>
      </c>
      <c r="AJ516">
        <v>4.1361300000000005</v>
      </c>
      <c r="AK516" t="str">
        <v>Base</v>
      </c>
      <c r="AL516">
        <v>-4.5</v>
      </c>
      <c r="AM516">
        <v>-4.5729433964538257</v>
      </c>
      <c r="AN516">
        <v>-2.9088498945718375</v>
      </c>
      <c r="AO516">
        <v>72.368498147459562</v>
      </c>
      <c r="AP516">
        <v>-26.987508550221261</v>
      </c>
      <c r="AQ516">
        <v>0</v>
      </c>
      <c r="AR516" t="str">
        <v>1613.par</v>
      </c>
      <c r="AV516" t="str">
        <v>0,204,204</v>
      </c>
      <c r="AW516" s="31">
        <v>84.1</v>
      </c>
      <c r="AX516" s="31">
        <v>72.368498147459562</v>
      </c>
      <c r="AY516" s="31">
        <v>0</v>
      </c>
    </row>
    <row r="517" spans="31:51" x14ac:dyDescent="0.25">
      <c r="AE517">
        <v>4.13</v>
      </c>
      <c r="AF517">
        <v>4</v>
      </c>
      <c r="AG517">
        <v>1</v>
      </c>
      <c r="AH517">
        <v>1</v>
      </c>
      <c r="AI517">
        <v>3.0000000000291038</v>
      </c>
      <c r="AJ517">
        <v>4.1301300000000003</v>
      </c>
      <c r="AK517" t="str">
        <v>Base</v>
      </c>
      <c r="AL517">
        <v>-4.5</v>
      </c>
      <c r="AM517">
        <v>-4.3199471297604974</v>
      </c>
      <c r="AN517">
        <v>-2.2079819787883386</v>
      </c>
      <c r="AO517">
        <v>57.20232780701231</v>
      </c>
      <c r="AP517">
        <v>-23.635700041569176</v>
      </c>
      <c r="AQ517">
        <v>0</v>
      </c>
      <c r="AR517" t="str">
        <v>1613.par</v>
      </c>
      <c r="AV517" t="str">
        <v>0,204,204</v>
      </c>
      <c r="AW517" s="31">
        <v>65.5</v>
      </c>
      <c r="AX517" s="31">
        <v>57.20232780701231</v>
      </c>
      <c r="AY517" s="31">
        <v>0</v>
      </c>
    </row>
    <row r="518" spans="31:51" x14ac:dyDescent="0.25">
      <c r="AE518">
        <v>4.1239999999999997</v>
      </c>
      <c r="AF518">
        <v>4</v>
      </c>
      <c r="AG518">
        <v>1</v>
      </c>
      <c r="AH518">
        <v>1</v>
      </c>
      <c r="AI518">
        <v>3.0000000000291038</v>
      </c>
      <c r="AJ518">
        <v>4.1241300000000001</v>
      </c>
      <c r="AK518" t="str">
        <v>Base</v>
      </c>
      <c r="AL518">
        <v>-4.5</v>
      </c>
      <c r="AM518">
        <v>-3.8838408758893723</v>
      </c>
      <c r="AN518">
        <v>-1.6040638175260429</v>
      </c>
      <c r="AO518">
        <v>41.94924363130859</v>
      </c>
      <c r="AP518">
        <v>-20.294240984608646</v>
      </c>
      <c r="AQ518">
        <v>0</v>
      </c>
      <c r="AR518" t="str">
        <v>1613.par</v>
      </c>
      <c r="AV518" t="str">
        <v>0,204,204</v>
      </c>
      <c r="AW518" s="31">
        <v>46.599999999999994</v>
      </c>
      <c r="AX518" s="31">
        <v>41.94924363130859</v>
      </c>
      <c r="AY518" s="31">
        <v>0</v>
      </c>
    </row>
    <row r="519" spans="31:51" x14ac:dyDescent="0.25">
      <c r="AE519">
        <v>4.1180000000000003</v>
      </c>
      <c r="AF519">
        <v>4</v>
      </c>
      <c r="AG519">
        <v>1</v>
      </c>
      <c r="AH519">
        <v>1</v>
      </c>
      <c r="AI519">
        <v>3.0000000001018634</v>
      </c>
      <c r="AJ519">
        <v>4.1181300000000007</v>
      </c>
      <c r="AK519" t="str">
        <v>Base</v>
      </c>
      <c r="AL519">
        <v>-4.5</v>
      </c>
      <c r="AM519">
        <v>-3.2885567842225605</v>
      </c>
      <c r="AN519">
        <v>-1.156542750625881</v>
      </c>
      <c r="AO519">
        <v>26.532266593200465</v>
      </c>
      <c r="AP519">
        <v>-16.96871890548951</v>
      </c>
      <c r="AQ519">
        <v>0</v>
      </c>
      <c r="AR519" t="str">
        <v>1613.par</v>
      </c>
      <c r="AV519" t="str">
        <v>0,204,204</v>
      </c>
      <c r="AW519" s="31">
        <v>27.5</v>
      </c>
      <c r="AX519" s="31">
        <v>26.532266593200465</v>
      </c>
      <c r="AY519" s="31">
        <v>0</v>
      </c>
    </row>
    <row r="520" spans="31:51" x14ac:dyDescent="0.25">
      <c r="AE520">
        <v>4.1120000000000001</v>
      </c>
      <c r="AF520">
        <v>4</v>
      </c>
      <c r="AG520">
        <v>1</v>
      </c>
      <c r="AH520">
        <v>1</v>
      </c>
      <c r="AI520">
        <v>3.0000000000291038</v>
      </c>
      <c r="AJ520">
        <v>4.1121300000000005</v>
      </c>
      <c r="AK520" t="str">
        <v>Base</v>
      </c>
      <c r="AL520">
        <v>-4.5</v>
      </c>
      <c r="AM520">
        <v>-2.5814940171882013</v>
      </c>
      <c r="AN520">
        <v>-0.92221546873992655</v>
      </c>
      <c r="AO520">
        <v>11.038949585803891</v>
      </c>
      <c r="AP520">
        <v>-15.912950944662017</v>
      </c>
      <c r="AQ520">
        <v>0</v>
      </c>
      <c r="AR520" t="str">
        <v>1613.par</v>
      </c>
      <c r="AV520" t="str">
        <v>0,204,204</v>
      </c>
      <c r="AW520" s="31">
        <v>8.5</v>
      </c>
      <c r="AX520" s="31">
        <v>11.038949585803891</v>
      </c>
      <c r="AY520" s="31">
        <v>0</v>
      </c>
    </row>
    <row r="521" spans="31:51" x14ac:dyDescent="0.25">
      <c r="AE521">
        <v>3.2429999999999999</v>
      </c>
      <c r="AF521">
        <v>3</v>
      </c>
      <c r="AG521">
        <v>2</v>
      </c>
      <c r="AH521">
        <v>1</v>
      </c>
      <c r="AI521">
        <v>2.999999999992724</v>
      </c>
      <c r="AJ521">
        <v>3.2431299999999998</v>
      </c>
      <c r="AK521" t="str">
        <v>Base</v>
      </c>
      <c r="AL521">
        <v>-3.75</v>
      </c>
      <c r="AM521">
        <v>-4.6672539023601338</v>
      </c>
      <c r="AN521">
        <v>-3.9093571491827759</v>
      </c>
      <c r="AO521">
        <v>84.999987727520192</v>
      </c>
      <c r="AP521">
        <v>0</v>
      </c>
      <c r="AQ521">
        <v>0</v>
      </c>
      <c r="AR521" t="str">
        <v>32193r1.par</v>
      </c>
      <c r="AV521" t="str">
        <v>97,255,97</v>
      </c>
      <c r="AW521" s="31">
        <v>85</v>
      </c>
      <c r="AX521" s="31">
        <v>84.999987727520192</v>
      </c>
      <c r="AY521" s="31">
        <v>0</v>
      </c>
    </row>
    <row r="522" spans="31:51" x14ac:dyDescent="0.25">
      <c r="AE522">
        <v>3.2370000000000001</v>
      </c>
      <c r="AF522">
        <v>3</v>
      </c>
      <c r="AG522">
        <v>2</v>
      </c>
      <c r="AH522">
        <v>1</v>
      </c>
      <c r="AI522">
        <v>2.999999999992724</v>
      </c>
      <c r="AJ522">
        <v>3.2371300000000001</v>
      </c>
      <c r="AK522" t="str">
        <v>Base</v>
      </c>
      <c r="AL522">
        <v>-3.75</v>
      </c>
      <c r="AM522">
        <v>-4.6181734655583746</v>
      </c>
      <c r="AN522">
        <v>-3.0999205502159541</v>
      </c>
      <c r="AO522">
        <v>74.891136988870954</v>
      </c>
      <c r="AP522">
        <v>-27.547953825498922</v>
      </c>
      <c r="AQ522">
        <v>0</v>
      </c>
      <c r="AR522" t="str">
        <v>1313.par</v>
      </c>
      <c r="AV522" t="str">
        <v>97,255,97</v>
      </c>
      <c r="AW522" s="31">
        <v>85</v>
      </c>
      <c r="AX522" s="31">
        <v>74.891136988870954</v>
      </c>
      <c r="AY522" s="31">
        <v>0</v>
      </c>
    </row>
    <row r="523" spans="31:51" x14ac:dyDescent="0.25">
      <c r="AE523">
        <v>3.2309999999999999</v>
      </c>
      <c r="AF523">
        <v>3</v>
      </c>
      <c r="AG523">
        <v>2</v>
      </c>
      <c r="AH523">
        <v>1</v>
      </c>
      <c r="AI523">
        <v>2.999999999992724</v>
      </c>
      <c r="AJ523">
        <v>3.2311299999999998</v>
      </c>
      <c r="AK523" t="str">
        <v>Base</v>
      </c>
      <c r="AL523">
        <v>-3.75</v>
      </c>
      <c r="AM523">
        <v>-4.3957449530886858</v>
      </c>
      <c r="AN523">
        <v>-2.383292605756532</v>
      </c>
      <c r="AO523">
        <v>59.736004521697225</v>
      </c>
      <c r="AP523">
        <v>-24.194668033190343</v>
      </c>
      <c r="AQ523">
        <v>0</v>
      </c>
      <c r="AR523" t="str">
        <v>1313.par</v>
      </c>
      <c r="AV523" t="str">
        <v>97,255,97</v>
      </c>
      <c r="AW523" s="31">
        <v>68.699999999999989</v>
      </c>
      <c r="AX523" s="31">
        <v>59.736004521697225</v>
      </c>
      <c r="AY523" s="31">
        <v>0</v>
      </c>
    </row>
    <row r="524" spans="31:51" x14ac:dyDescent="0.25">
      <c r="AE524">
        <v>3.2250000000000001</v>
      </c>
      <c r="AF524">
        <v>3</v>
      </c>
      <c r="AG524">
        <v>2</v>
      </c>
      <c r="AH524">
        <v>1</v>
      </c>
      <c r="AI524">
        <v>2.999999999992724</v>
      </c>
      <c r="AJ524">
        <v>3.2251300000000001</v>
      </c>
      <c r="AK524" t="str">
        <v>Base</v>
      </c>
      <c r="AL524">
        <v>-3.75</v>
      </c>
      <c r="AM524">
        <v>-3.9860265597372924</v>
      </c>
      <c r="AN524">
        <v>-1.752635037031598</v>
      </c>
      <c r="AO524">
        <v>44.502166526717595</v>
      </c>
      <c r="AP524">
        <v>-20.851088795337319</v>
      </c>
      <c r="AQ524">
        <v>0</v>
      </c>
      <c r="AR524" t="str">
        <v>1313.par</v>
      </c>
      <c r="AV524" t="str">
        <v>97,255,97</v>
      </c>
      <c r="AW524" s="31">
        <v>49.800000000000011</v>
      </c>
      <c r="AX524" s="31">
        <v>44.502166526717595</v>
      </c>
      <c r="AY524" s="31">
        <v>0</v>
      </c>
    </row>
    <row r="525" spans="31:51" x14ac:dyDescent="0.25">
      <c r="AE525">
        <v>3.2189999999999999</v>
      </c>
      <c r="AF525">
        <v>3</v>
      </c>
      <c r="AG525">
        <v>2</v>
      </c>
      <c r="AH525">
        <v>1</v>
      </c>
      <c r="AI525">
        <v>2.999999999992724</v>
      </c>
      <c r="AJ525">
        <v>3.2191299999999998</v>
      </c>
      <c r="AK525" t="str">
        <v>Base</v>
      </c>
      <c r="AL525">
        <v>-3.75</v>
      </c>
      <c r="AM525">
        <v>-3.4100032048876927</v>
      </c>
      <c r="AN525">
        <v>-1.2683448181027457</v>
      </c>
      <c r="AO525">
        <v>29.122098100860278</v>
      </c>
      <c r="AP525">
        <v>-17.522031550884623</v>
      </c>
      <c r="AQ525">
        <v>0</v>
      </c>
      <c r="AR525" t="str">
        <v>1313.par</v>
      </c>
      <c r="AV525" t="str">
        <v>97,255,97</v>
      </c>
      <c r="AW525" s="31">
        <v>30.700000000000003</v>
      </c>
      <c r="AX525" s="31">
        <v>29.122098100860278</v>
      </c>
      <c r="AY525" s="31">
        <v>0</v>
      </c>
    </row>
    <row r="526" spans="31:51" x14ac:dyDescent="0.25">
      <c r="AE526">
        <v>3.2130000000000001</v>
      </c>
      <c r="AF526">
        <v>3</v>
      </c>
      <c r="AG526">
        <v>2</v>
      </c>
      <c r="AH526">
        <v>1</v>
      </c>
      <c r="AI526">
        <v>2.999999999992724</v>
      </c>
      <c r="AJ526">
        <v>3.21313</v>
      </c>
      <c r="AK526" t="str">
        <v>Base</v>
      </c>
      <c r="AL526">
        <v>-3.75</v>
      </c>
      <c r="AM526">
        <v>-2.7110233796627212</v>
      </c>
      <c r="AN526">
        <v>-0.98910058637149567</v>
      </c>
      <c r="AO526">
        <v>13.622378361018271</v>
      </c>
      <c r="AP526">
        <v>-15.899551033654374</v>
      </c>
      <c r="AQ526">
        <v>0</v>
      </c>
      <c r="AR526" t="str">
        <v>1310.par</v>
      </c>
      <c r="AV526" t="str">
        <v>97,255,97</v>
      </c>
      <c r="AW526" s="31">
        <v>11.599999999999994</v>
      </c>
      <c r="AX526" s="31">
        <v>13.622378361018271</v>
      </c>
      <c r="AY526" s="31">
        <v>0</v>
      </c>
    </row>
    <row r="527" spans="31:51" x14ac:dyDescent="0.25">
      <c r="AE527">
        <v>3.1429999999999998</v>
      </c>
      <c r="AF527">
        <v>3</v>
      </c>
      <c r="AG527">
        <v>1</v>
      </c>
      <c r="AH527">
        <v>1</v>
      </c>
      <c r="AI527">
        <v>2.999999999992724</v>
      </c>
      <c r="AJ527">
        <v>3.1431299999999998</v>
      </c>
      <c r="AK527" t="str">
        <v>Base</v>
      </c>
      <c r="AL527">
        <v>-3</v>
      </c>
      <c r="AM527">
        <v>-4.681598395711621</v>
      </c>
      <c r="AN527">
        <v>-3.9183653511379517</v>
      </c>
      <c r="AO527">
        <v>84.967735525253474</v>
      </c>
      <c r="AP527">
        <v>-29.788825501047665</v>
      </c>
      <c r="AQ527">
        <v>0</v>
      </c>
      <c r="AR527" t="str">
        <v>1613.par</v>
      </c>
      <c r="AV527" t="str">
        <v>0,204,0</v>
      </c>
      <c r="AW527" s="31">
        <v>85</v>
      </c>
      <c r="AX527" s="31">
        <v>84.967735525253474</v>
      </c>
      <c r="AY527" s="31">
        <v>0</v>
      </c>
    </row>
    <row r="528" spans="31:51" x14ac:dyDescent="0.25">
      <c r="AE528">
        <v>3.137</v>
      </c>
      <c r="AF528">
        <v>3</v>
      </c>
      <c r="AG528">
        <v>1</v>
      </c>
      <c r="AH528">
        <v>1</v>
      </c>
      <c r="AI528">
        <v>2.999999999992724</v>
      </c>
      <c r="AJ528">
        <v>3.13713</v>
      </c>
      <c r="AK528" t="str">
        <v>Base</v>
      </c>
      <c r="AL528">
        <v>-3</v>
      </c>
      <c r="AM528">
        <v>-4.5964638899832382</v>
      </c>
      <c r="AN528">
        <v>-3.1158962816164135</v>
      </c>
      <c r="AO528">
        <v>74.890618752992069</v>
      </c>
      <c r="AP528">
        <v>-27.546952600410776</v>
      </c>
      <c r="AQ528">
        <v>0</v>
      </c>
      <c r="AR528" t="str">
        <v>1613 Ripper.par</v>
      </c>
      <c r="AV528" t="str">
        <v>0,204,0</v>
      </c>
      <c r="AW528" s="31">
        <v>85</v>
      </c>
      <c r="AX528" s="31">
        <v>74.890618752992069</v>
      </c>
      <c r="AY528" s="31">
        <v>0</v>
      </c>
    </row>
    <row r="529" spans="31:51" x14ac:dyDescent="0.25">
      <c r="AE529">
        <v>3.1309999999999998</v>
      </c>
      <c r="AF529">
        <v>3</v>
      </c>
      <c r="AG529">
        <v>1</v>
      </c>
      <c r="AH529">
        <v>1</v>
      </c>
      <c r="AI529">
        <v>2.999999999992724</v>
      </c>
      <c r="AJ529">
        <v>3.1311299999999997</v>
      </c>
      <c r="AK529" t="str">
        <v>Base</v>
      </c>
      <c r="AL529">
        <v>-3</v>
      </c>
      <c r="AM529">
        <v>-4.3752091699871158</v>
      </c>
      <c r="AN529">
        <v>-2.4042732599602257</v>
      </c>
      <c r="AO529">
        <v>59.734754558642074</v>
      </c>
      <c r="AP529">
        <v>-24.193705600630707</v>
      </c>
      <c r="AQ529">
        <v>0</v>
      </c>
      <c r="AR529" t="str">
        <v>1613 Ripper.par</v>
      </c>
      <c r="AV529" t="str">
        <v>0,204,0</v>
      </c>
      <c r="AW529" s="31">
        <v>68.699999999999989</v>
      </c>
      <c r="AX529" s="31">
        <v>59.734754558642074</v>
      </c>
      <c r="AY529" s="31">
        <v>0</v>
      </c>
    </row>
    <row r="530" spans="31:51" x14ac:dyDescent="0.25">
      <c r="AE530">
        <v>3.125</v>
      </c>
      <c r="AF530">
        <v>3</v>
      </c>
      <c r="AG530">
        <v>1</v>
      </c>
      <c r="AH530">
        <v>1</v>
      </c>
      <c r="AI530">
        <v>2.999999999992724</v>
      </c>
      <c r="AJ530">
        <v>3.12513</v>
      </c>
      <c r="AK530" t="str">
        <v>Base</v>
      </c>
      <c r="AL530">
        <v>-3</v>
      </c>
      <c r="AM530">
        <v>-3.968490567910163</v>
      </c>
      <c r="AN530">
        <v>-1.7802477094433091</v>
      </c>
      <c r="AO530">
        <v>44.499946249576794</v>
      </c>
      <c r="AP530">
        <v>-20.850257744862255</v>
      </c>
      <c r="AQ530">
        <v>0</v>
      </c>
      <c r="AR530" t="str">
        <v>1613 Ripper.par</v>
      </c>
      <c r="AV530" t="str">
        <v>0,204,0</v>
      </c>
      <c r="AW530" s="31">
        <v>49.800000000000011</v>
      </c>
      <c r="AX530" s="31">
        <v>44.499946249576794</v>
      </c>
      <c r="AY530" s="31">
        <v>0</v>
      </c>
    </row>
    <row r="531" spans="31:51" x14ac:dyDescent="0.25">
      <c r="AE531">
        <v>3.1190000000000002</v>
      </c>
      <c r="AF531">
        <v>3</v>
      </c>
      <c r="AG531">
        <v>1</v>
      </c>
      <c r="AH531">
        <v>1</v>
      </c>
      <c r="AI531">
        <v>3.0000000000291038</v>
      </c>
      <c r="AJ531">
        <v>3.1191300000000002</v>
      </c>
      <c r="AK531" t="str">
        <v>Base</v>
      </c>
      <c r="AL531">
        <v>-3</v>
      </c>
      <c r="AM531">
        <v>-3.3971368047881008</v>
      </c>
      <c r="AN531">
        <v>-1.3024389066682494</v>
      </c>
      <c r="AO531">
        <v>29.118742089064096</v>
      </c>
      <c r="AP531">
        <v>-17.521441320236239</v>
      </c>
      <c r="AQ531">
        <v>0</v>
      </c>
      <c r="AR531" t="str">
        <v>1613 Ripper.par</v>
      </c>
      <c r="AV531" t="str">
        <v>0,204,0</v>
      </c>
      <c r="AW531" s="31">
        <v>30.700000000000003</v>
      </c>
      <c r="AX531" s="31">
        <v>29.118742089064096</v>
      </c>
      <c r="AY531" s="31">
        <v>0</v>
      </c>
    </row>
    <row r="532" spans="31:51" x14ac:dyDescent="0.25">
      <c r="AE532">
        <v>3.113</v>
      </c>
      <c r="AF532">
        <v>3</v>
      </c>
      <c r="AG532">
        <v>1</v>
      </c>
      <c r="AH532">
        <v>1</v>
      </c>
      <c r="AI532">
        <v>2.999999999992724</v>
      </c>
      <c r="AJ532">
        <v>3.11313</v>
      </c>
      <c r="AK532" t="str">
        <v>Base</v>
      </c>
      <c r="AL532">
        <v>-3</v>
      </c>
      <c r="AM532">
        <v>-2.7042578699411042</v>
      </c>
      <c r="AN532">
        <v>-1.0292825297732788</v>
      </c>
      <c r="AO532">
        <v>13.618907176394012</v>
      </c>
      <c r="AP532">
        <v>-15.899311451360761</v>
      </c>
      <c r="AQ532">
        <v>0</v>
      </c>
      <c r="AR532" t="str">
        <v>1613 Ripper.par</v>
      </c>
      <c r="AV532" t="str">
        <v>0,204,0</v>
      </c>
      <c r="AW532" s="31">
        <v>11.599999999999994</v>
      </c>
      <c r="AX532" s="31">
        <v>13.618907176394012</v>
      </c>
      <c r="AY532" s="31">
        <v>0</v>
      </c>
    </row>
    <row r="533" spans="31:51" x14ac:dyDescent="0.25">
      <c r="AE533">
        <v>3.1080000000000001</v>
      </c>
      <c r="AF533">
        <v>3</v>
      </c>
      <c r="AG533">
        <v>1</v>
      </c>
      <c r="AH533">
        <v>1</v>
      </c>
      <c r="AI533">
        <v>2.999999999992724</v>
      </c>
      <c r="AJ533">
        <v>3.1081300000000001</v>
      </c>
      <c r="AK533" t="str">
        <v>Base</v>
      </c>
      <c r="AL533">
        <v>-3</v>
      </c>
      <c r="AM533">
        <v>-1.9693653471330419</v>
      </c>
      <c r="AN533">
        <v>-0.99931494830223944</v>
      </c>
      <c r="AO533">
        <v>0.54897347881994862</v>
      </c>
      <c r="AP533">
        <v>-15.985112335508287</v>
      </c>
      <c r="AQ533">
        <v>0</v>
      </c>
      <c r="AR533" t="str">
        <v>1613.par</v>
      </c>
      <c r="AV533" t="str">
        <v>0,204,0</v>
      </c>
      <c r="AW533" s="31">
        <v>-7.0999999999999943</v>
      </c>
      <c r="AX533" s="31">
        <v>0.54897347881994862</v>
      </c>
      <c r="AY533" s="31">
        <v>0</v>
      </c>
    </row>
    <row r="534" spans="31:51" x14ac:dyDescent="0.25">
      <c r="AE534">
        <v>3.105</v>
      </c>
      <c r="AF534">
        <v>3</v>
      </c>
      <c r="AG534">
        <v>1</v>
      </c>
      <c r="AH534">
        <v>1</v>
      </c>
      <c r="AI534">
        <v>2.999999999992724</v>
      </c>
      <c r="AJ534">
        <v>3.1051299999999999</v>
      </c>
      <c r="AK534" t="str">
        <v>Base</v>
      </c>
      <c r="AL534">
        <v>-3</v>
      </c>
      <c r="AM534">
        <v>-1.2697456862039611</v>
      </c>
      <c r="AN534">
        <v>-1.1937898922239614</v>
      </c>
      <c r="AO534">
        <v>-5.0149734933954218</v>
      </c>
      <c r="AP534">
        <v>-16.053090590113129</v>
      </c>
      <c r="AQ534">
        <v>0</v>
      </c>
      <c r="AR534" t="str">
        <v>1613.par</v>
      </c>
      <c r="AV534" t="str">
        <v>0,204,0</v>
      </c>
      <c r="AW534" s="31">
        <v>-20</v>
      </c>
      <c r="AX534" s="31">
        <v>-5.0149734933954218</v>
      </c>
      <c r="AY534" s="31">
        <v>0</v>
      </c>
    </row>
    <row r="535" spans="31:51" x14ac:dyDescent="0.25">
      <c r="AE535">
        <v>3.1019999999999999</v>
      </c>
      <c r="AF535">
        <v>3</v>
      </c>
      <c r="AG535">
        <v>1</v>
      </c>
      <c r="AH535">
        <v>1</v>
      </c>
      <c r="AI535">
        <v>2.999999999992724</v>
      </c>
      <c r="AJ535">
        <v>3.1021299999999998</v>
      </c>
      <c r="AK535" t="str">
        <v>Base</v>
      </c>
      <c r="AL535">
        <v>-3</v>
      </c>
      <c r="AM535">
        <v>-0.57489526715768602</v>
      </c>
      <c r="AN535">
        <v>-1.4464444225620845</v>
      </c>
      <c r="AO535">
        <v>-11.37071787295627</v>
      </c>
      <c r="AP535">
        <v>-19.284983884531435</v>
      </c>
      <c r="AQ535">
        <v>0</v>
      </c>
      <c r="AR535" t="str">
        <v>1613.par</v>
      </c>
      <c r="AV535" t="str">
        <v>0,204,0</v>
      </c>
      <c r="AW535" s="31">
        <v>-20</v>
      </c>
      <c r="AX535" s="31">
        <v>-11.37071787295627</v>
      </c>
      <c r="AY535" s="31">
        <v>0</v>
      </c>
    </row>
    <row r="536" spans="31:51" x14ac:dyDescent="0.25">
      <c r="AE536">
        <v>2.246</v>
      </c>
      <c r="AF536">
        <v>2</v>
      </c>
      <c r="AG536">
        <v>2</v>
      </c>
      <c r="AH536">
        <v>1</v>
      </c>
      <c r="AI536">
        <v>2.999999999992724</v>
      </c>
      <c r="AJ536">
        <v>2.24613</v>
      </c>
      <c r="AK536" t="str">
        <v>Base</v>
      </c>
      <c r="AL536">
        <v>-2.25</v>
      </c>
      <c r="AM536">
        <v>-4.6672539022786079</v>
      </c>
      <c r="AN536">
        <v>-4.3741962327296076</v>
      </c>
      <c r="AO536">
        <v>84.999987727520192</v>
      </c>
      <c r="AP536">
        <v>0</v>
      </c>
      <c r="AQ536">
        <v>0</v>
      </c>
      <c r="AR536" t="str">
        <v>32193r1.par</v>
      </c>
      <c r="AV536" t="str">
        <v>255,255,91</v>
      </c>
      <c r="AW536" s="31">
        <v>85</v>
      </c>
      <c r="AX536" s="31">
        <v>84.999987727520192</v>
      </c>
      <c r="AY536" s="31">
        <v>0</v>
      </c>
    </row>
    <row r="537" spans="31:51" x14ac:dyDescent="0.25">
      <c r="AE537">
        <v>2.2400000000000002</v>
      </c>
      <c r="AF537">
        <v>2</v>
      </c>
      <c r="AG537">
        <v>2</v>
      </c>
      <c r="AH537">
        <v>1</v>
      </c>
      <c r="AI537">
        <v>3.0000000000291038</v>
      </c>
      <c r="AJ537">
        <v>2.2401300000000002</v>
      </c>
      <c r="AK537" t="str">
        <v>Base</v>
      </c>
      <c r="AL537">
        <v>-2.25</v>
      </c>
      <c r="AM537">
        <v>-4.6219389320094395</v>
      </c>
      <c r="AN537">
        <v>-3.569413037885389</v>
      </c>
      <c r="AO537">
        <v>84.999987727520192</v>
      </c>
      <c r="AP537">
        <v>0</v>
      </c>
      <c r="AQ537">
        <v>0</v>
      </c>
      <c r="AR537" t="str">
        <v>32193r1.par</v>
      </c>
      <c r="AV537" t="str">
        <v>255,255,91</v>
      </c>
      <c r="AW537" s="31">
        <v>85</v>
      </c>
      <c r="AX537" s="31">
        <v>84.999987727520192</v>
      </c>
      <c r="AY537" s="31">
        <v>0</v>
      </c>
    </row>
    <row r="538" spans="31:51" x14ac:dyDescent="0.25">
      <c r="AE538">
        <v>2.234</v>
      </c>
      <c r="AF538">
        <v>2</v>
      </c>
      <c r="AG538">
        <v>2</v>
      </c>
      <c r="AH538">
        <v>1</v>
      </c>
      <c r="AI538">
        <v>2.999999999992724</v>
      </c>
      <c r="AJ538">
        <v>2.2341299999999999</v>
      </c>
      <c r="AK538" t="str">
        <v>Base</v>
      </c>
      <c r="AL538">
        <v>-2.25</v>
      </c>
      <c r="AM538">
        <v>-4.5057143125024979</v>
      </c>
      <c r="AN538">
        <v>-2.8352685656492809</v>
      </c>
      <c r="AO538">
        <v>77.999988738195015</v>
      </c>
      <c r="AP538">
        <v>0</v>
      </c>
      <c r="AQ538">
        <v>0</v>
      </c>
      <c r="AR538" t="str">
        <v>32193r1.par</v>
      </c>
      <c r="AV538" t="str">
        <v>255,255,91</v>
      </c>
      <c r="AW538" s="31">
        <v>78</v>
      </c>
      <c r="AX538" s="31">
        <v>77.999988738195015</v>
      </c>
      <c r="AY538" s="31">
        <v>0</v>
      </c>
    </row>
    <row r="539" spans="31:51" x14ac:dyDescent="0.25">
      <c r="AE539">
        <v>2.2280000000000002</v>
      </c>
      <c r="AF539">
        <v>2</v>
      </c>
      <c r="AG539">
        <v>2</v>
      </c>
      <c r="AH539">
        <v>1</v>
      </c>
      <c r="AI539">
        <v>3.0000000000291038</v>
      </c>
      <c r="AJ539">
        <v>2.2281300000000002</v>
      </c>
      <c r="AK539" t="str">
        <v>Base</v>
      </c>
      <c r="AL539">
        <v>-2.25</v>
      </c>
      <c r="AM539">
        <v>-4.2211934273694895</v>
      </c>
      <c r="AN539">
        <v>-2.1377307709063436</v>
      </c>
      <c r="AO539">
        <v>52.219556611012919</v>
      </c>
      <c r="AP539">
        <v>-27.529698338169545</v>
      </c>
      <c r="AQ539">
        <v>0</v>
      </c>
      <c r="AR539" t="str">
        <v>1313.par</v>
      </c>
      <c r="AV539" t="str">
        <v>255,255,91</v>
      </c>
      <c r="AW539" s="31">
        <v>59.199999999999989</v>
      </c>
      <c r="AX539" s="31">
        <v>52.219556611012919</v>
      </c>
      <c r="AY539" s="31">
        <v>0</v>
      </c>
    </row>
    <row r="540" spans="31:51" x14ac:dyDescent="0.25">
      <c r="AE540">
        <v>2.222</v>
      </c>
      <c r="AF540">
        <v>2</v>
      </c>
      <c r="AG540">
        <v>2</v>
      </c>
      <c r="AH540">
        <v>1</v>
      </c>
      <c r="AI540">
        <v>2.999999999992724</v>
      </c>
      <c r="AJ540">
        <v>2.2221299999999999</v>
      </c>
      <c r="AK540" t="str">
        <v>Base</v>
      </c>
      <c r="AL540">
        <v>-2.25</v>
      </c>
      <c r="AM540">
        <v>-3.7219541555274631</v>
      </c>
      <c r="AN540">
        <v>-1.5719223493293049</v>
      </c>
      <c r="AO540">
        <v>37.00497307238664</v>
      </c>
      <c r="AP540">
        <v>-24.190214672522526</v>
      </c>
      <c r="AQ540">
        <v>0</v>
      </c>
      <c r="AR540" t="str">
        <v>1313.par</v>
      </c>
      <c r="AV540" t="str">
        <v>255,255,91</v>
      </c>
      <c r="AW540" s="31">
        <v>40.300000000000011</v>
      </c>
      <c r="AX540" s="31">
        <v>37.00497307238664</v>
      </c>
      <c r="AY540" s="31">
        <v>0</v>
      </c>
    </row>
    <row r="541" spans="31:51" x14ac:dyDescent="0.25">
      <c r="AE541">
        <v>2.2160000000000002</v>
      </c>
      <c r="AF541">
        <v>2</v>
      </c>
      <c r="AG541">
        <v>2</v>
      </c>
      <c r="AH541">
        <v>1</v>
      </c>
      <c r="AI541">
        <v>3.0000000000291038</v>
      </c>
      <c r="AJ541">
        <v>2.2161300000000002</v>
      </c>
      <c r="AK541" t="str">
        <v>Base</v>
      </c>
      <c r="AL541">
        <v>-2.25</v>
      </c>
      <c r="AM541">
        <v>-3.0749710247456186</v>
      </c>
      <c r="AN541">
        <v>-1.1831011937717046</v>
      </c>
      <c r="AO541">
        <v>21.657237421822494</v>
      </c>
      <c r="AP541">
        <v>-20.869219180098696</v>
      </c>
      <c r="AQ541">
        <v>0</v>
      </c>
      <c r="AR541" t="str">
        <v>1310.par</v>
      </c>
      <c r="AV541" t="str">
        <v>255,255,91</v>
      </c>
      <c r="AW541" s="31">
        <v>21.200000000000003</v>
      </c>
      <c r="AX541" s="31">
        <v>21.657237421822494</v>
      </c>
      <c r="AY541" s="31">
        <v>0</v>
      </c>
    </row>
    <row r="542" spans="31:51" x14ac:dyDescent="0.25">
      <c r="AE542">
        <v>2.1459999999999999</v>
      </c>
      <c r="AF542">
        <v>2</v>
      </c>
      <c r="AG542">
        <v>1</v>
      </c>
      <c r="AH542">
        <v>1</v>
      </c>
      <c r="AI542">
        <v>2.999999999992724</v>
      </c>
      <c r="AJ542">
        <v>2.1461299999999999</v>
      </c>
      <c r="AK542" t="str">
        <v>Base</v>
      </c>
      <c r="AL542">
        <v>-1.5</v>
      </c>
      <c r="AM542">
        <v>-4.6815983957116192</v>
      </c>
      <c r="AN542">
        <v>-4.3836453778914661</v>
      </c>
      <c r="AO542">
        <v>84.967735525253531</v>
      </c>
      <c r="AP542">
        <v>-29.788825501047729</v>
      </c>
      <c r="AQ542">
        <v>0</v>
      </c>
      <c r="AR542" t="str">
        <v>1613.par</v>
      </c>
      <c r="AV542" t="str">
        <v>204,204,0</v>
      </c>
      <c r="AW542" s="31">
        <v>85</v>
      </c>
      <c r="AX542" s="31">
        <v>84.967735525253531</v>
      </c>
      <c r="AY542" s="31">
        <v>0</v>
      </c>
    </row>
    <row r="543" spans="31:51" x14ac:dyDescent="0.25">
      <c r="AE543">
        <v>2.14</v>
      </c>
      <c r="AF543">
        <v>2</v>
      </c>
      <c r="AG543">
        <v>1</v>
      </c>
      <c r="AH543">
        <v>1</v>
      </c>
      <c r="AI543">
        <v>2.999999999992724</v>
      </c>
      <c r="AJ543">
        <v>2.1401300000000001</v>
      </c>
      <c r="AK543" t="str">
        <v>Base</v>
      </c>
      <c r="AL543">
        <v>-1.5</v>
      </c>
      <c r="AM543">
        <v>-4.6347146079159982</v>
      </c>
      <c r="AN543">
        <v>-3.5776585276343873</v>
      </c>
      <c r="AO543">
        <v>82.449795298402833</v>
      </c>
      <c r="AP543">
        <v>-29.226525862122337</v>
      </c>
      <c r="AQ543">
        <v>0</v>
      </c>
      <c r="AR543" t="str">
        <v>1613.par</v>
      </c>
      <c r="AV543" t="str">
        <v>204,204,0</v>
      </c>
      <c r="AW543" s="31">
        <v>85</v>
      </c>
      <c r="AX543" s="31">
        <v>82.449795298402833</v>
      </c>
      <c r="AY543" s="31">
        <v>0</v>
      </c>
    </row>
    <row r="544" spans="31:51" x14ac:dyDescent="0.25">
      <c r="AE544">
        <v>2.1339999999999999</v>
      </c>
      <c r="AF544">
        <v>2</v>
      </c>
      <c r="AG544">
        <v>1</v>
      </c>
      <c r="AH544">
        <v>1</v>
      </c>
      <c r="AI544">
        <v>2.999999999992724</v>
      </c>
      <c r="AJ544">
        <v>2.1341299999999999</v>
      </c>
      <c r="AK544" t="str">
        <v>Base</v>
      </c>
      <c r="AL544">
        <v>-1.5</v>
      </c>
      <c r="AM544">
        <v>-4.5097398089512915</v>
      </c>
      <c r="AN544">
        <v>-2.8429094662131389</v>
      </c>
      <c r="AO544">
        <v>67.320028691284776</v>
      </c>
      <c r="AP544">
        <v>-25.869275744657813</v>
      </c>
      <c r="AQ544">
        <v>0</v>
      </c>
      <c r="AR544" t="str">
        <v>1613.par</v>
      </c>
      <c r="AV544" t="str">
        <v>204,204,0</v>
      </c>
      <c r="AW544" s="31">
        <v>78</v>
      </c>
      <c r="AX544" s="31">
        <v>67.320028691284776</v>
      </c>
      <c r="AY544" s="31">
        <v>0</v>
      </c>
    </row>
    <row r="545" spans="31:51" x14ac:dyDescent="0.25">
      <c r="AE545">
        <v>2.1280000000000001</v>
      </c>
      <c r="AF545">
        <v>2</v>
      </c>
      <c r="AG545">
        <v>1</v>
      </c>
      <c r="AH545">
        <v>1</v>
      </c>
      <c r="AI545">
        <v>2.999999999992724</v>
      </c>
      <c r="AJ545">
        <v>2.1281300000000001</v>
      </c>
      <c r="AK545" t="str">
        <v>Base</v>
      </c>
      <c r="AL545">
        <v>-1.5</v>
      </c>
      <c r="AM545">
        <v>-4.1941376048886463</v>
      </c>
      <c r="AN545">
        <v>-2.1680044471850719</v>
      </c>
      <c r="AO545">
        <v>52.13023867353359</v>
      </c>
      <c r="AP545">
        <v>-22.520548757886122</v>
      </c>
      <c r="AQ545">
        <v>0</v>
      </c>
      <c r="AR545" t="str">
        <v>1613.par</v>
      </c>
      <c r="AV545" t="str">
        <v>204,204,0</v>
      </c>
      <c r="AW545" s="31">
        <v>59.199999999999989</v>
      </c>
      <c r="AX545" s="31">
        <v>52.13023867353359</v>
      </c>
      <c r="AY545" s="31">
        <v>0</v>
      </c>
    </row>
    <row r="546" spans="31:51" x14ac:dyDescent="0.25">
      <c r="AE546">
        <v>2.1219999999999999</v>
      </c>
      <c r="AF546">
        <v>2</v>
      </c>
      <c r="AG546">
        <v>1</v>
      </c>
      <c r="AH546">
        <v>1</v>
      </c>
      <c r="AI546">
        <v>2.999999999992724</v>
      </c>
      <c r="AJ546">
        <v>2.1221299999999998</v>
      </c>
      <c r="AK546" t="str">
        <v>Base</v>
      </c>
      <c r="AL546">
        <v>-1.5</v>
      </c>
      <c r="AM546">
        <v>-3.7013343299864774</v>
      </c>
      <c r="AN546">
        <v>-1.6096029716347728</v>
      </c>
      <c r="AO546">
        <v>36.834274386343019</v>
      </c>
      <c r="AP546">
        <v>-19.183527167538802</v>
      </c>
      <c r="AQ546">
        <v>0</v>
      </c>
      <c r="AR546" t="str">
        <v>1613.par</v>
      </c>
      <c r="AV546" t="str">
        <v>204,204,0</v>
      </c>
      <c r="AW546" s="31">
        <v>40.300000000000011</v>
      </c>
      <c r="AX546" s="31">
        <v>36.834274386343019</v>
      </c>
      <c r="AY546" s="31">
        <v>0</v>
      </c>
    </row>
    <row r="547" spans="31:51" x14ac:dyDescent="0.25">
      <c r="AE547">
        <v>2.1160000000000001</v>
      </c>
      <c r="AF547">
        <v>2</v>
      </c>
      <c r="AG547">
        <v>1</v>
      </c>
      <c r="AH547">
        <v>1</v>
      </c>
      <c r="AI547">
        <v>2.999999999992724</v>
      </c>
      <c r="AJ547">
        <v>2.1161300000000001</v>
      </c>
      <c r="AK547" t="str">
        <v>Base</v>
      </c>
      <c r="AL547">
        <v>-1.5</v>
      </c>
      <c r="AM547">
        <v>-3.0621691990646474</v>
      </c>
      <c r="AN547">
        <v>-1.22713708792457</v>
      </c>
      <c r="AO547">
        <v>21.330954638783709</v>
      </c>
      <c r="AP547">
        <v>-15.865725674112454</v>
      </c>
      <c r="AQ547">
        <v>0</v>
      </c>
      <c r="AR547" t="str">
        <v>1613.par</v>
      </c>
      <c r="AV547" t="str">
        <v>204,204,0</v>
      </c>
      <c r="AW547" s="31">
        <v>21.200000000000003</v>
      </c>
      <c r="AX547" s="31">
        <v>21.330954638783709</v>
      </c>
      <c r="AY547" s="31">
        <v>0</v>
      </c>
    </row>
    <row r="548" spans="31:51" x14ac:dyDescent="0.25">
      <c r="AE548">
        <v>2.11</v>
      </c>
      <c r="AF548">
        <v>2</v>
      </c>
      <c r="AG548">
        <v>1</v>
      </c>
      <c r="AH548">
        <v>1</v>
      </c>
      <c r="AI548">
        <v>2.999999999992724</v>
      </c>
      <c r="AJ548">
        <v>2.1101299999999998</v>
      </c>
      <c r="AK548" t="str">
        <v>Base</v>
      </c>
      <c r="AL548">
        <v>-1.5</v>
      </c>
      <c r="AM548">
        <v>-2.3331737288918646</v>
      </c>
      <c r="AN548">
        <v>-1.073616408086042</v>
      </c>
      <c r="AO548">
        <v>5.8616718774737446</v>
      </c>
      <c r="AP548">
        <v>-15.945063753204032</v>
      </c>
      <c r="AQ548">
        <v>0</v>
      </c>
      <c r="AR548" t="str">
        <v>1613.par</v>
      </c>
      <c r="AV548" t="str">
        <v>204,204,0</v>
      </c>
      <c r="AW548" s="31">
        <v>2.0999999999999943</v>
      </c>
      <c r="AX548" s="31">
        <v>5.8616718774737446</v>
      </c>
      <c r="AY548" s="31">
        <v>0</v>
      </c>
    </row>
    <row r="549" spans="31:51" x14ac:dyDescent="0.25">
      <c r="AE549">
        <v>1.2410000000000001</v>
      </c>
      <c r="AF549">
        <v>1</v>
      </c>
      <c r="AG549">
        <v>2</v>
      </c>
      <c r="AH549">
        <v>1</v>
      </c>
      <c r="AI549">
        <v>3.0000000000109139</v>
      </c>
      <c r="AJ549">
        <v>1.2411300000000001</v>
      </c>
      <c r="AK549" t="str">
        <v>Base</v>
      </c>
      <c r="AL549">
        <v>-0.75</v>
      </c>
      <c r="AM549">
        <v>-4.667253902360132</v>
      </c>
      <c r="AN549">
        <v>-3.8332595910136833</v>
      </c>
      <c r="AO549">
        <v>84.999987727520178</v>
      </c>
      <c r="AP549">
        <v>0</v>
      </c>
      <c r="AQ549">
        <v>0</v>
      </c>
      <c r="AR549" t="str">
        <v>32193r1.par</v>
      </c>
      <c r="AV549" t="str">
        <v>255,188,121</v>
      </c>
      <c r="AW549" s="31">
        <v>85</v>
      </c>
      <c r="AX549" s="31">
        <v>84.999987727520178</v>
      </c>
      <c r="AY549" s="31">
        <v>0</v>
      </c>
    </row>
    <row r="550" spans="31:51" x14ac:dyDescent="0.25">
      <c r="AE550">
        <v>1.2350000000000001</v>
      </c>
      <c r="AF550">
        <v>1</v>
      </c>
      <c r="AG550">
        <v>2</v>
      </c>
      <c r="AH550">
        <v>1</v>
      </c>
      <c r="AI550">
        <v>3.0000000000109139</v>
      </c>
      <c r="AJ550">
        <v>1.2351300000000001</v>
      </c>
      <c r="AK550" t="str">
        <v>Base</v>
      </c>
      <c r="AL550">
        <v>-0.75</v>
      </c>
      <c r="AM550">
        <v>-4.5655587630322234</v>
      </c>
      <c r="AN550">
        <v>-3.0284548941043363</v>
      </c>
      <c r="AO550">
        <v>69.845744995743289</v>
      </c>
      <c r="AP550">
        <v>-26.429278338880472</v>
      </c>
      <c r="AQ550">
        <v>0</v>
      </c>
      <c r="AR550" t="str">
        <v>1313.par</v>
      </c>
      <c r="AV550" t="str">
        <v>255,188,121</v>
      </c>
      <c r="AW550" s="31">
        <v>81</v>
      </c>
      <c r="AX550" s="31">
        <v>69.845744995743289</v>
      </c>
      <c r="AY550" s="31">
        <v>0</v>
      </c>
    </row>
    <row r="551" spans="31:51" x14ac:dyDescent="0.25">
      <c r="AE551">
        <v>1.2290000000000001</v>
      </c>
      <c r="AF551">
        <v>1</v>
      </c>
      <c r="AG551">
        <v>2</v>
      </c>
      <c r="AH551">
        <v>1</v>
      </c>
      <c r="AI551">
        <v>3.0000000000109139</v>
      </c>
      <c r="AJ551">
        <v>1.2291300000000001</v>
      </c>
      <c r="AK551" t="str">
        <v>Base</v>
      </c>
      <c r="AL551">
        <v>-0.75</v>
      </c>
      <c r="AM551">
        <v>-4.2793252959304864</v>
      </c>
      <c r="AN551">
        <v>-2.3341290883947625</v>
      </c>
      <c r="AO551">
        <v>54.669117106879419</v>
      </c>
      <c r="AP551">
        <v>-23.078906517516071</v>
      </c>
      <c r="AQ551">
        <v>0</v>
      </c>
      <c r="AR551" t="str">
        <v>1313.par</v>
      </c>
      <c r="AV551" t="str">
        <v>255,188,121</v>
      </c>
      <c r="AW551" s="31">
        <v>62.400000000000006</v>
      </c>
      <c r="AX551" s="31">
        <v>54.669117106879419</v>
      </c>
      <c r="AY551" s="31">
        <v>0</v>
      </c>
    </row>
    <row r="552" spans="31:51" x14ac:dyDescent="0.25">
      <c r="AE552">
        <v>1.2230000000000001</v>
      </c>
      <c r="AF552">
        <v>1</v>
      </c>
      <c r="AG552">
        <v>2</v>
      </c>
      <c r="AH552">
        <v>1</v>
      </c>
      <c r="AI552">
        <v>3.0000000000109139</v>
      </c>
      <c r="AJ552">
        <v>1.2231300000000001</v>
      </c>
      <c r="AK552" t="str">
        <v>Base</v>
      </c>
      <c r="AL552">
        <v>-0.75</v>
      </c>
      <c r="AM552">
        <v>-3.8108413457299499</v>
      </c>
      <c r="AN552">
        <v>-1.745531438103336</v>
      </c>
      <c r="AO552">
        <v>39.396777291230784</v>
      </c>
      <c r="AP552">
        <v>-19.739412278917303</v>
      </c>
      <c r="AQ552">
        <v>0</v>
      </c>
      <c r="AR552" t="str">
        <v>1313.par</v>
      </c>
      <c r="AV552" t="str">
        <v>255,188,121</v>
      </c>
      <c r="AW552" s="31">
        <v>43.400000000000006</v>
      </c>
      <c r="AX552" s="31">
        <v>39.396777291230784</v>
      </c>
      <c r="AY552" s="31">
        <v>0</v>
      </c>
    </row>
    <row r="553" spans="31:51" x14ac:dyDescent="0.25">
      <c r="AE553">
        <v>1.2170000000000001</v>
      </c>
      <c r="AF553">
        <v>1</v>
      </c>
      <c r="AG553">
        <v>2</v>
      </c>
      <c r="AH553">
        <v>1</v>
      </c>
      <c r="AI553">
        <v>3.0000000000109139</v>
      </c>
      <c r="AJ553">
        <v>1.21713</v>
      </c>
      <c r="AK553" t="str">
        <v>Base</v>
      </c>
      <c r="AL553">
        <v>-0.75</v>
      </c>
      <c r="AM553">
        <v>-3.1877596627857026</v>
      </c>
      <c r="AN553">
        <v>-1.3233615523505144</v>
      </c>
      <c r="AO553">
        <v>23.940454553934082</v>
      </c>
      <c r="AP553">
        <v>-16.417262779123849</v>
      </c>
      <c r="AQ553">
        <v>0</v>
      </c>
      <c r="AR553" t="str">
        <v>1313.par</v>
      </c>
      <c r="AV553" t="str">
        <v>255,188,121</v>
      </c>
      <c r="AW553" s="31">
        <v>24.299999999999997</v>
      </c>
      <c r="AX553" s="31">
        <v>23.940454553934082</v>
      </c>
      <c r="AY553" s="31">
        <v>0</v>
      </c>
    </row>
    <row r="554" spans="31:51" x14ac:dyDescent="0.25">
      <c r="AE554">
        <v>1.2110000000000001</v>
      </c>
      <c r="AF554">
        <v>1</v>
      </c>
      <c r="AG554">
        <v>2</v>
      </c>
      <c r="AH554">
        <v>1</v>
      </c>
      <c r="AI554">
        <v>3.0000000000109139</v>
      </c>
      <c r="AJ554">
        <v>1.21113</v>
      </c>
      <c r="AK554" t="str">
        <v>Base</v>
      </c>
      <c r="AL554">
        <v>-0.75</v>
      </c>
      <c r="AM554">
        <v>-2.4622718814698974</v>
      </c>
      <c r="AN554">
        <v>-1.1230414091838417</v>
      </c>
      <c r="AO554">
        <v>8.4563376107190713</v>
      </c>
      <c r="AP554">
        <v>-15.928246062290501</v>
      </c>
      <c r="AQ554">
        <v>0</v>
      </c>
      <c r="AR554" t="str">
        <v>1310.par</v>
      </c>
      <c r="AV554" t="str">
        <v>255,188,121</v>
      </c>
      <c r="AW554" s="31">
        <v>5.2999999999999972</v>
      </c>
      <c r="AX554" s="31">
        <v>8.4563376107190713</v>
      </c>
      <c r="AY554" s="31">
        <v>0</v>
      </c>
    </row>
    <row r="555" spans="31:51" x14ac:dyDescent="0.25">
      <c r="AE555">
        <v>1.141</v>
      </c>
      <c r="AF555">
        <v>1</v>
      </c>
      <c r="AG555">
        <v>1</v>
      </c>
      <c r="AH555">
        <v>1</v>
      </c>
      <c r="AI555">
        <v>2.999999999992724</v>
      </c>
      <c r="AJ555">
        <v>1.14113</v>
      </c>
      <c r="AK555" t="str">
        <v>Base</v>
      </c>
      <c r="AL555">
        <v>0</v>
      </c>
      <c r="AM555">
        <v>-4.6815983957116201</v>
      </c>
      <c r="AN555">
        <v>-3.8419750013669582</v>
      </c>
      <c r="AO555">
        <v>84.967735525253502</v>
      </c>
      <c r="AP555">
        <v>-29.788825501047704</v>
      </c>
      <c r="AQ555">
        <v>0</v>
      </c>
      <c r="AR555" t="str">
        <v>1613.par</v>
      </c>
      <c r="AV555" t="str">
        <v>255,127,0</v>
      </c>
      <c r="AW555" s="31">
        <v>85</v>
      </c>
      <c r="AX555" s="31">
        <v>84.967735525253502</v>
      </c>
      <c r="AY555" s="31">
        <v>0</v>
      </c>
    </row>
    <row r="556" spans="31:51" x14ac:dyDescent="0.25">
      <c r="AE556">
        <v>1.135</v>
      </c>
      <c r="AF556">
        <v>1</v>
      </c>
      <c r="AG556">
        <v>1</v>
      </c>
      <c r="AH556">
        <v>1</v>
      </c>
      <c r="AI556">
        <v>2.999999999992724</v>
      </c>
      <c r="AJ556">
        <v>1.13513</v>
      </c>
      <c r="AK556" t="str">
        <v>Base</v>
      </c>
      <c r="AL556">
        <v>0</v>
      </c>
      <c r="AM556">
        <v>-4.5440357805760314</v>
      </c>
      <c r="AN556">
        <v>-3.046066536749291</v>
      </c>
      <c r="AO556">
        <v>69.845008350277126</v>
      </c>
      <c r="AP556">
        <v>-26.428280775048751</v>
      </c>
      <c r="AQ556">
        <v>0</v>
      </c>
      <c r="AR556" t="str">
        <v>1613 Ripper.par</v>
      </c>
      <c r="AV556" t="str">
        <v>255,127,0</v>
      </c>
      <c r="AW556" s="31">
        <v>81</v>
      </c>
      <c r="AX556" s="31">
        <v>69.845008350277126</v>
      </c>
      <c r="AY556" s="31">
        <v>0</v>
      </c>
    </row>
    <row r="557" spans="31:51" x14ac:dyDescent="0.25">
      <c r="AE557">
        <v>1.129</v>
      </c>
      <c r="AF557">
        <v>1</v>
      </c>
      <c r="AG557">
        <v>1</v>
      </c>
      <c r="AH557">
        <v>1</v>
      </c>
      <c r="AI557">
        <v>2.999999999992724</v>
      </c>
      <c r="AJ557">
        <v>1.12913</v>
      </c>
      <c r="AK557" t="str">
        <v>Base</v>
      </c>
      <c r="AL557">
        <v>0</v>
      </c>
      <c r="AM557">
        <v>-4.2595903691737202</v>
      </c>
      <c r="AN557">
        <v>-2.3573239286340808</v>
      </c>
      <c r="AO557">
        <v>54.667570340259566</v>
      </c>
      <c r="AP557">
        <v>-23.077976777541668</v>
      </c>
      <c r="AQ557">
        <v>0</v>
      </c>
      <c r="AR557" t="str">
        <v>1613 Ripper.par</v>
      </c>
      <c r="AV557" t="str">
        <v>255,127,0</v>
      </c>
      <c r="AW557" s="31">
        <v>62.400000000000006</v>
      </c>
      <c r="AX557" s="31">
        <v>54.667570340259566</v>
      </c>
      <c r="AY557" s="31">
        <v>0</v>
      </c>
    </row>
    <row r="558" spans="31:51" x14ac:dyDescent="0.25">
      <c r="AE558">
        <v>1.123</v>
      </c>
      <c r="AF558">
        <v>1</v>
      </c>
      <c r="AG558">
        <v>1</v>
      </c>
      <c r="AH558">
        <v>1</v>
      </c>
      <c r="AI558">
        <v>2.999999999992724</v>
      </c>
      <c r="AJ558">
        <v>1.12313</v>
      </c>
      <c r="AK558" t="str">
        <v>Base</v>
      </c>
      <c r="AL558">
        <v>0</v>
      </c>
      <c r="AM558">
        <v>-3.7946894509153921</v>
      </c>
      <c r="AN558">
        <v>-1.7753276386539798</v>
      </c>
      <c r="AO558">
        <v>39.394185673437661</v>
      </c>
      <c r="AP558">
        <v>-19.738648552093483</v>
      </c>
      <c r="AQ558">
        <v>0</v>
      </c>
      <c r="AR558" t="str">
        <v>1613 Ripper.par</v>
      </c>
      <c r="AV558" t="str">
        <v>255,127,0</v>
      </c>
      <c r="AW558" s="31">
        <v>43.400000000000006</v>
      </c>
      <c r="AX558" s="31">
        <v>39.394185673437661</v>
      </c>
      <c r="AY558" s="31">
        <v>0</v>
      </c>
    </row>
    <row r="559" spans="31:51" x14ac:dyDescent="0.25">
      <c r="AE559">
        <v>1.117</v>
      </c>
      <c r="AF559">
        <v>1</v>
      </c>
      <c r="AG559">
        <v>1</v>
      </c>
      <c r="AH559">
        <v>1</v>
      </c>
      <c r="AI559">
        <v>2.999999999992724</v>
      </c>
      <c r="AJ559">
        <v>1.11713</v>
      </c>
      <c r="AK559" t="str">
        <v>Base</v>
      </c>
      <c r="AL559">
        <v>0</v>
      </c>
      <c r="AM559">
        <v>-3.1767679340595749</v>
      </c>
      <c r="AN559">
        <v>-1.3595828080919534</v>
      </c>
      <c r="AO559">
        <v>23.936756233692545</v>
      </c>
      <c r="AP559">
        <v>-16.41677902573819</v>
      </c>
      <c r="AQ559">
        <v>0</v>
      </c>
      <c r="AR559" t="str">
        <v>1613 Ripper.par</v>
      </c>
      <c r="AV559" t="str">
        <v>255,127,0</v>
      </c>
      <c r="AW559" s="31">
        <v>24.299999999999997</v>
      </c>
      <c r="AX559" s="31">
        <v>23.936756233692545</v>
      </c>
      <c r="AY559" s="31">
        <v>0</v>
      </c>
    </row>
    <row r="560" spans="31:51" x14ac:dyDescent="0.25">
      <c r="AE560">
        <v>1.111</v>
      </c>
      <c r="AF560">
        <v>1</v>
      </c>
      <c r="AG560">
        <v>1</v>
      </c>
      <c r="AH560">
        <v>1</v>
      </c>
      <c r="AI560">
        <v>2.999999999992724</v>
      </c>
      <c r="AJ560">
        <v>1.11113</v>
      </c>
      <c r="AK560" t="str">
        <v>Base</v>
      </c>
      <c r="AL560">
        <v>0</v>
      </c>
      <c r="AM560">
        <v>-2.4577327467561765</v>
      </c>
      <c r="AN560">
        <v>-1.1652770521302538</v>
      </c>
      <c r="AO560">
        <v>8.4534739187834553</v>
      </c>
      <c r="AP560">
        <v>-15.928124578379785</v>
      </c>
      <c r="AQ560">
        <v>0</v>
      </c>
      <c r="AR560" t="str">
        <v>1613 Ripper.par</v>
      </c>
      <c r="AV560" t="str">
        <v>255,127,0</v>
      </c>
      <c r="AW560" s="31">
        <v>5.2999999999999972</v>
      </c>
      <c r="AX560" s="31">
        <v>8.4534739187834553</v>
      </c>
      <c r="AY560" s="31">
        <v>0</v>
      </c>
    </row>
    <row r="561" spans="31:51" x14ac:dyDescent="0.25">
      <c r="AE561">
        <v>1.107</v>
      </c>
      <c r="AF561">
        <v>1</v>
      </c>
      <c r="AG561">
        <v>1</v>
      </c>
      <c r="AH561">
        <v>1</v>
      </c>
      <c r="AI561">
        <v>2.999999999992724</v>
      </c>
      <c r="AJ561">
        <v>1.1071299999999999</v>
      </c>
      <c r="AK561" t="str">
        <v>Base</v>
      </c>
      <c r="AL561">
        <v>0</v>
      </c>
      <c r="AM561">
        <v>-1.7334170716054855</v>
      </c>
      <c r="AN561">
        <v>-1.2153259865572279</v>
      </c>
      <c r="AO561">
        <v>-2.2150241492923901</v>
      </c>
      <c r="AP561">
        <v>-16.012280643730861</v>
      </c>
      <c r="AQ561">
        <v>0</v>
      </c>
      <c r="AR561" t="str">
        <v>1613.par</v>
      </c>
      <c r="AV561" t="str">
        <v>255,127,0</v>
      </c>
      <c r="AW561" s="31">
        <v>-13.200000000000003</v>
      </c>
      <c r="AX561" s="31">
        <v>-2.2150241492923901</v>
      </c>
      <c r="AY561" s="31">
        <v>0</v>
      </c>
    </row>
    <row r="562" spans="31:51" x14ac:dyDescent="0.25">
      <c r="AE562">
        <v>1.1040000000000001</v>
      </c>
      <c r="AF562">
        <v>1</v>
      </c>
      <c r="AG562">
        <v>1</v>
      </c>
      <c r="AH562">
        <v>1</v>
      </c>
      <c r="AI562">
        <v>3.0000000000109139</v>
      </c>
      <c r="AJ562">
        <v>1.1041300000000001</v>
      </c>
      <c r="AK562" t="str">
        <v>Base</v>
      </c>
      <c r="AL562">
        <v>0</v>
      </c>
      <c r="AM562">
        <v>-1.0379728322122419</v>
      </c>
      <c r="AN562">
        <v>-1.4515283017360689</v>
      </c>
      <c r="AO562">
        <v>-6.6778445705640328</v>
      </c>
      <c r="AP562">
        <v>-16.089568715731136</v>
      </c>
      <c r="AQ562">
        <v>0</v>
      </c>
      <c r="AR562" t="str">
        <v>1613.par</v>
      </c>
      <c r="AV562" t="str">
        <v>255,127,0</v>
      </c>
      <c r="AW562" s="31">
        <v>-20</v>
      </c>
      <c r="AX562" s="31">
        <v>-6.6778445705640328</v>
      </c>
      <c r="AY562" s="31">
        <v>0</v>
      </c>
    </row>
    <row r="563" spans="31:51" x14ac:dyDescent="0.25">
      <c r="AE563">
        <v>1.101</v>
      </c>
      <c r="AF563">
        <v>1</v>
      </c>
      <c r="AG563">
        <v>1</v>
      </c>
      <c r="AH563">
        <v>1</v>
      </c>
      <c r="AI563">
        <v>2.999999999992724</v>
      </c>
      <c r="AJ563">
        <v>1.1011299999999999</v>
      </c>
      <c r="AK563" t="str">
        <v>Base</v>
      </c>
      <c r="AL563">
        <v>0</v>
      </c>
      <c r="AM563">
        <v>-0.34377459072332789</v>
      </c>
      <c r="AN563">
        <v>-1.7038037335217544</v>
      </c>
      <c r="AO563">
        <v>-16.347873003628511</v>
      </c>
      <c r="AP563">
        <v>-22.679965146972126</v>
      </c>
      <c r="AQ563">
        <v>0</v>
      </c>
      <c r="AR563" t="str">
        <v>1613.par</v>
      </c>
      <c r="AV563" t="str">
        <v>255,127,0</v>
      </c>
      <c r="AW563" s="31">
        <v>-20</v>
      </c>
      <c r="AX563" s="31">
        <v>-16.347873003628511</v>
      </c>
      <c r="AY563" s="31">
        <v>0</v>
      </c>
    </row>
    <row r="564" spans="31:51" x14ac:dyDescent="0.25">
      <c r="AE564">
        <v>6.2439999999999998</v>
      </c>
      <c r="AF564">
        <v>6</v>
      </c>
      <c r="AG564">
        <v>2</v>
      </c>
      <c r="AH564">
        <v>2</v>
      </c>
      <c r="AI564">
        <v>3.0000000000291038</v>
      </c>
      <c r="AJ564">
        <v>6.2442299999999999</v>
      </c>
      <c r="AK564">
        <v>6.2441300000000002</v>
      </c>
      <c r="AL564">
        <v>0</v>
      </c>
      <c r="AM564">
        <v>0</v>
      </c>
      <c r="AN564">
        <v>0</v>
      </c>
      <c r="AO564">
        <v>1.2272479793296043E-5</v>
      </c>
      <c r="AP564">
        <v>0</v>
      </c>
      <c r="AQ564">
        <v>0</v>
      </c>
      <c r="AR564" t="str">
        <v>32193r1.par</v>
      </c>
      <c r="AV564" t="str">
        <v>188,121,255</v>
      </c>
      <c r="AW564" s="31">
        <v>85</v>
      </c>
      <c r="AX564" s="31">
        <v>84.999987727520207</v>
      </c>
      <c r="AY564" s="31">
        <v>1.2272479793296043E-5</v>
      </c>
    </row>
    <row r="565" spans="31:51" x14ac:dyDescent="0.25">
      <c r="AE565">
        <v>6.2380000000000004</v>
      </c>
      <c r="AF565">
        <v>6</v>
      </c>
      <c r="AG565">
        <v>2</v>
      </c>
      <c r="AH565">
        <v>2</v>
      </c>
      <c r="AI565">
        <v>3.0000000000291038</v>
      </c>
      <c r="AJ565">
        <v>6.2382300000000006</v>
      </c>
      <c r="AK565">
        <v>6.2381300000000008</v>
      </c>
      <c r="AL565">
        <v>0</v>
      </c>
      <c r="AM565">
        <v>0</v>
      </c>
      <c r="AN565">
        <v>0</v>
      </c>
      <c r="AO565">
        <v>1.2272479821717752E-5</v>
      </c>
      <c r="AP565">
        <v>0</v>
      </c>
      <c r="AQ565">
        <v>0</v>
      </c>
      <c r="AR565" t="str">
        <v>32193r1.par</v>
      </c>
      <c r="AV565" t="str">
        <v>188,121,255</v>
      </c>
      <c r="AW565" s="31">
        <v>85</v>
      </c>
      <c r="AX565" s="31">
        <v>84.999987727520178</v>
      </c>
      <c r="AY565" s="31">
        <v>1.2272479821717752E-5</v>
      </c>
    </row>
    <row r="566" spans="31:51" x14ac:dyDescent="0.25">
      <c r="AE566">
        <v>6.2320000000000002</v>
      </c>
      <c r="AF566">
        <v>6</v>
      </c>
      <c r="AG566">
        <v>2</v>
      </c>
      <c r="AH566">
        <v>2</v>
      </c>
      <c r="AI566">
        <v>3.0000000000291038</v>
      </c>
      <c r="AJ566">
        <v>6.2322300000000004</v>
      </c>
      <c r="AK566">
        <v>6.2321300000000006</v>
      </c>
      <c r="AL566">
        <v>0</v>
      </c>
      <c r="AM566">
        <v>0</v>
      </c>
      <c r="AN566">
        <v>0</v>
      </c>
      <c r="AO566">
        <v>1.0366635891045917E-5</v>
      </c>
      <c r="AP566">
        <v>0</v>
      </c>
      <c r="AQ566">
        <v>0</v>
      </c>
      <c r="AR566" t="str">
        <v>32193r1.par</v>
      </c>
      <c r="AV566" t="str">
        <v>188,121,255</v>
      </c>
      <c r="AW566" s="31">
        <v>71.800000000000011</v>
      </c>
      <c r="AX566" s="31">
        <v>71.79998963336412</v>
      </c>
      <c r="AY566" s="31">
        <v>1.0366635891045917E-5</v>
      </c>
    </row>
    <row r="567" spans="31:51" x14ac:dyDescent="0.25">
      <c r="AE567">
        <v>6.226</v>
      </c>
      <c r="AF567">
        <v>6</v>
      </c>
      <c r="AG567">
        <v>2</v>
      </c>
      <c r="AH567">
        <v>2</v>
      </c>
      <c r="AI567">
        <v>3.0000000000291038</v>
      </c>
      <c r="AJ567">
        <v>6.2262300000000002</v>
      </c>
      <c r="AK567">
        <v>6.2261300000000004</v>
      </c>
      <c r="AL567">
        <v>0</v>
      </c>
      <c r="AM567">
        <v>0</v>
      </c>
      <c r="AN567">
        <v>0</v>
      </c>
      <c r="AO567">
        <v>5.7418426775748159</v>
      </c>
      <c r="AP567">
        <v>0</v>
      </c>
      <c r="AQ567">
        <v>0</v>
      </c>
      <c r="AR567" t="str">
        <v>1313.par</v>
      </c>
      <c r="AV567" t="str">
        <v>188,121,255</v>
      </c>
      <c r="AW567" s="31">
        <v>52.900000000000006</v>
      </c>
      <c r="AX567" s="31">
        <v>47.15815732242519</v>
      </c>
      <c r="AY567" s="31">
        <v>5.7418426775748159</v>
      </c>
    </row>
    <row r="568" spans="31:51" x14ac:dyDescent="0.25">
      <c r="AE568">
        <v>6.22</v>
      </c>
      <c r="AF568">
        <v>6</v>
      </c>
      <c r="AG568">
        <v>2</v>
      </c>
      <c r="AH568">
        <v>2</v>
      </c>
      <c r="AI568">
        <v>2.9999999999563443</v>
      </c>
      <c r="AJ568">
        <v>6.2202299999999999</v>
      </c>
      <c r="AK568">
        <v>6.2201300000000002</v>
      </c>
      <c r="AL568">
        <v>0</v>
      </c>
      <c r="AM568">
        <v>0</v>
      </c>
      <c r="AN568">
        <v>0</v>
      </c>
      <c r="AO568">
        <v>1.9916228518461168</v>
      </c>
      <c r="AP568">
        <v>0</v>
      </c>
      <c r="AQ568">
        <v>0</v>
      </c>
      <c r="AR568" t="str">
        <v>1310.par</v>
      </c>
      <c r="AV568" t="str">
        <v>188,121,255</v>
      </c>
      <c r="AW568" s="31">
        <v>33.900000000000006</v>
      </c>
      <c r="AX568" s="31">
        <v>31.908377148153889</v>
      </c>
      <c r="AY568" s="31">
        <v>1.9916228518461168</v>
      </c>
    </row>
    <row r="569" spans="31:51" x14ac:dyDescent="0.25">
      <c r="AE569">
        <v>6.1440000000000001</v>
      </c>
      <c r="AF569">
        <v>6</v>
      </c>
      <c r="AG569">
        <v>1</v>
      </c>
      <c r="AH569">
        <v>2</v>
      </c>
      <c r="AI569">
        <v>3.0000000000291038</v>
      </c>
      <c r="AJ569">
        <v>6.1442300000000003</v>
      </c>
      <c r="AK569">
        <v>6.1441300000000005</v>
      </c>
      <c r="AL569">
        <v>0</v>
      </c>
      <c r="AM569">
        <v>0</v>
      </c>
      <c r="AN569">
        <v>0</v>
      </c>
      <c r="AO569">
        <v>3.226417056379205E-2</v>
      </c>
      <c r="AP569">
        <v>0</v>
      </c>
      <c r="AQ569">
        <v>0</v>
      </c>
      <c r="AR569" t="str">
        <v>1613.par</v>
      </c>
      <c r="AV569" t="str">
        <v>127,0,255</v>
      </c>
      <c r="AW569" s="31">
        <v>85</v>
      </c>
      <c r="AX569" s="31">
        <v>84.967735829436208</v>
      </c>
      <c r="AY569" s="31">
        <v>3.226417056379205E-2</v>
      </c>
    </row>
    <row r="570" spans="31:51" x14ac:dyDescent="0.25">
      <c r="AE570">
        <v>6.1379999999999999</v>
      </c>
      <c r="AF570">
        <v>6</v>
      </c>
      <c r="AG570">
        <v>1</v>
      </c>
      <c r="AH570">
        <v>2</v>
      </c>
      <c r="AI570">
        <v>3.0000000000291038</v>
      </c>
      <c r="AJ570">
        <v>6.1382300000000001</v>
      </c>
      <c r="AK570">
        <v>6.1381300000000003</v>
      </c>
      <c r="AL570">
        <v>0</v>
      </c>
      <c r="AM570">
        <v>0</v>
      </c>
      <c r="AN570">
        <v>0</v>
      </c>
      <c r="AO570">
        <v>7.5885209372200535</v>
      </c>
      <c r="AP570">
        <v>0</v>
      </c>
      <c r="AQ570">
        <v>0</v>
      </c>
      <c r="AR570" t="str">
        <v>1613.par</v>
      </c>
      <c r="AV570" t="str">
        <v>127,0,255</v>
      </c>
      <c r="AW570" s="31">
        <v>85</v>
      </c>
      <c r="AX570" s="31">
        <v>77.411479062779947</v>
      </c>
      <c r="AY570" s="31">
        <v>7.5885209372200535</v>
      </c>
    </row>
    <row r="571" spans="31:51" x14ac:dyDescent="0.25">
      <c r="AE571">
        <v>6.1319999999999997</v>
      </c>
      <c r="AF571">
        <v>6</v>
      </c>
      <c r="AG571">
        <v>1</v>
      </c>
      <c r="AH571">
        <v>2</v>
      </c>
      <c r="AI571">
        <v>2.9999999999563443</v>
      </c>
      <c r="AJ571">
        <v>6.1322299999999998</v>
      </c>
      <c r="AK571">
        <v>6.1321300000000001</v>
      </c>
      <c r="AL571">
        <v>0</v>
      </c>
      <c r="AM571">
        <v>0</v>
      </c>
      <c r="AN571">
        <v>0</v>
      </c>
      <c r="AO571">
        <v>9.534940658343146</v>
      </c>
      <c r="AP571">
        <v>0</v>
      </c>
      <c r="AQ571">
        <v>0</v>
      </c>
      <c r="AR571" t="str">
        <v>1613.par</v>
      </c>
      <c r="AV571" t="str">
        <v>127,0,255</v>
      </c>
      <c r="AW571" s="31">
        <v>71.800000000000011</v>
      </c>
      <c r="AX571" s="31">
        <v>62.265059341656865</v>
      </c>
      <c r="AY571" s="31">
        <v>9.534940658343146</v>
      </c>
    </row>
    <row r="572" spans="31:51" x14ac:dyDescent="0.25">
      <c r="AE572">
        <v>6.1260000000000003</v>
      </c>
      <c r="AF572">
        <v>6</v>
      </c>
      <c r="AG572">
        <v>1</v>
      </c>
      <c r="AH572">
        <v>2</v>
      </c>
      <c r="AI572">
        <v>3.0000000000291038</v>
      </c>
      <c r="AJ572">
        <v>6.1262300000000005</v>
      </c>
      <c r="AK572">
        <v>6.1261300000000007</v>
      </c>
      <c r="AL572">
        <v>0</v>
      </c>
      <c r="AM572">
        <v>0</v>
      </c>
      <c r="AN572">
        <v>0</v>
      </c>
      <c r="AO572">
        <v>5.8532509180538881</v>
      </c>
      <c r="AP572">
        <v>0</v>
      </c>
      <c r="AQ572">
        <v>0</v>
      </c>
      <c r="AR572" t="str">
        <v>1613.par</v>
      </c>
      <c r="AV572" t="str">
        <v>127,0,255</v>
      </c>
      <c r="AW572" s="31">
        <v>52.900000000000006</v>
      </c>
      <c r="AX572" s="31">
        <v>47.046749081946118</v>
      </c>
      <c r="AY572" s="31">
        <v>5.8532509180538881</v>
      </c>
    </row>
    <row r="573" spans="31:51" x14ac:dyDescent="0.25">
      <c r="AE573">
        <v>6.12</v>
      </c>
      <c r="AF573">
        <v>6</v>
      </c>
      <c r="AG573">
        <v>1</v>
      </c>
      <c r="AH573">
        <v>2</v>
      </c>
      <c r="AI573">
        <v>3.0000000000291038</v>
      </c>
      <c r="AJ573">
        <v>6.1202300000000003</v>
      </c>
      <c r="AK573">
        <v>6.1201300000000005</v>
      </c>
      <c r="AL573">
        <v>0</v>
      </c>
      <c r="AM573">
        <v>0</v>
      </c>
      <c r="AN573">
        <v>0</v>
      </c>
      <c r="AO573">
        <v>2.2026982600441798</v>
      </c>
      <c r="AP573">
        <v>0</v>
      </c>
      <c r="AQ573">
        <v>0</v>
      </c>
      <c r="AR573" t="str">
        <v>1613.par</v>
      </c>
      <c r="AV573" t="str">
        <v>127,0,255</v>
      </c>
      <c r="AW573" s="31">
        <v>33.900000000000006</v>
      </c>
      <c r="AX573" s="31">
        <v>31.697301739955826</v>
      </c>
      <c r="AY573" s="31">
        <v>2.2026982600441798</v>
      </c>
    </row>
    <row r="574" spans="31:51" x14ac:dyDescent="0.25">
      <c r="AE574">
        <v>6.1139999999999999</v>
      </c>
      <c r="AF574">
        <v>6</v>
      </c>
      <c r="AG574">
        <v>1</v>
      </c>
      <c r="AH574">
        <v>2</v>
      </c>
      <c r="AI574">
        <v>3.0000000000291038</v>
      </c>
      <c r="AJ574">
        <v>6.1142300000000001</v>
      </c>
      <c r="AK574">
        <v>6.1141300000000003</v>
      </c>
      <c r="AL574">
        <v>0</v>
      </c>
      <c r="AM574">
        <v>0</v>
      </c>
      <c r="AN574">
        <v>0</v>
      </c>
      <c r="AO574">
        <v>-1.3938793362079664</v>
      </c>
      <c r="AP574">
        <v>0</v>
      </c>
      <c r="AQ574">
        <v>0</v>
      </c>
      <c r="AR574" t="str">
        <v>1613.par</v>
      </c>
      <c r="AV574" t="str">
        <v>127,0,255</v>
      </c>
      <c r="AW574" s="31">
        <v>14.799999999999997</v>
      </c>
      <c r="AX574" s="31">
        <v>16.193879336207964</v>
      </c>
      <c r="AY574" s="31">
        <v>-1.3938793362079664</v>
      </c>
    </row>
    <row r="575" spans="31:51" x14ac:dyDescent="0.25">
      <c r="AE575">
        <v>5.2450000000000001</v>
      </c>
      <c r="AF575">
        <v>5</v>
      </c>
      <c r="AG575">
        <v>2</v>
      </c>
      <c r="AH575">
        <v>2</v>
      </c>
      <c r="AI575">
        <v>3.0000000000291038</v>
      </c>
      <c r="AJ575">
        <v>5.2452300000000003</v>
      </c>
      <c r="AK575">
        <v>5.2451300000000005</v>
      </c>
      <c r="AL575">
        <v>0</v>
      </c>
      <c r="AM575">
        <v>0</v>
      </c>
      <c r="AN575">
        <v>0</v>
      </c>
      <c r="AO575">
        <v>1.2272479821717752E-5</v>
      </c>
      <c r="AP575">
        <v>0</v>
      </c>
      <c r="AQ575">
        <v>0</v>
      </c>
      <c r="AR575" t="str">
        <v>32193r1.par</v>
      </c>
      <c r="AV575" t="str">
        <v>121,188,255</v>
      </c>
      <c r="AW575" s="31">
        <v>85</v>
      </c>
      <c r="AX575" s="31">
        <v>84.999987727520178</v>
      </c>
      <c r="AY575" s="31">
        <v>1.2272479821717752E-5</v>
      </c>
    </row>
    <row r="576" spans="31:51" x14ac:dyDescent="0.25">
      <c r="AE576">
        <v>5.2389999999999999</v>
      </c>
      <c r="AF576">
        <v>5</v>
      </c>
      <c r="AG576">
        <v>2</v>
      </c>
      <c r="AH576">
        <v>2</v>
      </c>
      <c r="AI576">
        <v>3.0000000000291038</v>
      </c>
      <c r="AJ576">
        <v>5.2392300000000001</v>
      </c>
      <c r="AK576">
        <v>5.2391300000000003</v>
      </c>
      <c r="AL576">
        <v>0</v>
      </c>
      <c r="AM576">
        <v>0</v>
      </c>
      <c r="AN576">
        <v>0</v>
      </c>
      <c r="AO576">
        <v>1.2272479821717752E-5</v>
      </c>
      <c r="AP576">
        <v>0</v>
      </c>
      <c r="AQ576">
        <v>0</v>
      </c>
      <c r="AR576" t="str">
        <v>32193r1.par</v>
      </c>
      <c r="AV576" t="str">
        <v>121,188,255</v>
      </c>
      <c r="AW576" s="31">
        <v>85</v>
      </c>
      <c r="AX576" s="31">
        <v>84.999987727520178</v>
      </c>
      <c r="AY576" s="31">
        <v>1.2272479821717752E-5</v>
      </c>
    </row>
    <row r="577" spans="31:51" x14ac:dyDescent="0.25">
      <c r="AE577">
        <v>5.2329999999999997</v>
      </c>
      <c r="AF577">
        <v>5</v>
      </c>
      <c r="AG577">
        <v>2</v>
      </c>
      <c r="AH577">
        <v>2</v>
      </c>
      <c r="AI577">
        <v>2.9999999999563443</v>
      </c>
      <c r="AJ577">
        <v>5.2332299999999998</v>
      </c>
      <c r="AK577">
        <v>5.2331300000000001</v>
      </c>
      <c r="AL577">
        <v>0</v>
      </c>
      <c r="AM577">
        <v>0</v>
      </c>
      <c r="AN577">
        <v>0</v>
      </c>
      <c r="AO577">
        <v>10.105591141629816</v>
      </c>
      <c r="AP577">
        <v>0</v>
      </c>
      <c r="AQ577">
        <v>0</v>
      </c>
      <c r="AR577" t="str">
        <v>1313.par</v>
      </c>
      <c r="AV577" t="str">
        <v>121,188,255</v>
      </c>
      <c r="AW577" s="31">
        <v>74.900000000000006</v>
      </c>
      <c r="AX577" s="31">
        <v>64.79440885837019</v>
      </c>
      <c r="AY577" s="31">
        <v>10.105591141629816</v>
      </c>
    </row>
    <row r="578" spans="31:51" x14ac:dyDescent="0.25">
      <c r="AE578">
        <v>5.2270000000000003</v>
      </c>
      <c r="AF578">
        <v>5</v>
      </c>
      <c r="AG578">
        <v>2</v>
      </c>
      <c r="AH578">
        <v>2</v>
      </c>
      <c r="AI578">
        <v>3.0000000000291038</v>
      </c>
      <c r="AJ578">
        <v>5.2272300000000005</v>
      </c>
      <c r="AK578">
        <v>5.2271300000000007</v>
      </c>
      <c r="AL578">
        <v>0</v>
      </c>
      <c r="AM578">
        <v>0</v>
      </c>
      <c r="AN578">
        <v>0</v>
      </c>
      <c r="AO578">
        <v>6.508065891895626</v>
      </c>
      <c r="AP578">
        <v>0</v>
      </c>
      <c r="AQ578">
        <v>0</v>
      </c>
      <c r="AR578" t="str">
        <v>1313.par</v>
      </c>
      <c r="AV578" t="str">
        <v>121,188,255</v>
      </c>
      <c r="AW578" s="31">
        <v>56.099999999999994</v>
      </c>
      <c r="AX578" s="31">
        <v>49.591934108104368</v>
      </c>
      <c r="AY578" s="31">
        <v>6.508065891895626</v>
      </c>
    </row>
    <row r="579" spans="31:51" x14ac:dyDescent="0.25">
      <c r="AE579">
        <v>5.2210000000000001</v>
      </c>
      <c r="AF579">
        <v>5</v>
      </c>
      <c r="AG579">
        <v>2</v>
      </c>
      <c r="AH579">
        <v>2</v>
      </c>
      <c r="AI579">
        <v>3.0000000000291038</v>
      </c>
      <c r="AJ579">
        <v>5.2212300000000003</v>
      </c>
      <c r="AK579">
        <v>5.2211300000000005</v>
      </c>
      <c r="AL579">
        <v>0</v>
      </c>
      <c r="AM579">
        <v>0</v>
      </c>
      <c r="AN579">
        <v>0</v>
      </c>
      <c r="AO579">
        <v>2.8281505137893674</v>
      </c>
      <c r="AP579">
        <v>0</v>
      </c>
      <c r="AQ579">
        <v>0</v>
      </c>
      <c r="AR579" t="str">
        <v>1313.par</v>
      </c>
      <c r="AV579" t="str">
        <v>121,188,255</v>
      </c>
      <c r="AW579" s="31">
        <v>37.099999999999994</v>
      </c>
      <c r="AX579" s="31">
        <v>34.271849486210627</v>
      </c>
      <c r="AY579" s="31">
        <v>2.8281505137893674</v>
      </c>
    </row>
    <row r="580" spans="31:51" x14ac:dyDescent="0.25">
      <c r="AE580">
        <v>5.2149999999999999</v>
      </c>
      <c r="AF580">
        <v>5</v>
      </c>
      <c r="AG580">
        <v>2</v>
      </c>
      <c r="AH580">
        <v>2</v>
      </c>
      <c r="AI580">
        <v>3.0000000000291038</v>
      </c>
      <c r="AJ580">
        <v>5.21523</v>
      </c>
      <c r="AK580">
        <v>5.2151300000000003</v>
      </c>
      <c r="AL580">
        <v>0</v>
      </c>
      <c r="AM580">
        <v>0</v>
      </c>
      <c r="AN580">
        <v>0</v>
      </c>
      <c r="AO580">
        <v>-0.76815248906773448</v>
      </c>
      <c r="AP580">
        <v>0</v>
      </c>
      <c r="AQ580">
        <v>0</v>
      </c>
      <c r="AR580" t="str">
        <v>1310.par</v>
      </c>
      <c r="AV580" t="str">
        <v>121,188,255</v>
      </c>
      <c r="AW580" s="31">
        <v>18</v>
      </c>
      <c r="AX580" s="31">
        <v>18.768152489067734</v>
      </c>
      <c r="AY580" s="31">
        <v>-0.76815248906773448</v>
      </c>
    </row>
    <row r="581" spans="31:51" x14ac:dyDescent="0.25">
      <c r="AE581">
        <v>5.1449999999999996</v>
      </c>
      <c r="AF581">
        <v>5</v>
      </c>
      <c r="AG581">
        <v>1</v>
      </c>
      <c r="AH581">
        <v>2</v>
      </c>
      <c r="AI581">
        <v>2.9999999999563443</v>
      </c>
      <c r="AJ581">
        <v>5.1452299999999997</v>
      </c>
      <c r="AK581">
        <v>5.14513</v>
      </c>
      <c r="AL581">
        <v>0</v>
      </c>
      <c r="AM581">
        <v>0</v>
      </c>
      <c r="AN581">
        <v>0</v>
      </c>
      <c r="AO581">
        <v>3.2264474746483529E-2</v>
      </c>
      <c r="AP581">
        <v>0</v>
      </c>
      <c r="AQ581">
        <v>0</v>
      </c>
      <c r="AR581" t="str">
        <v>1613.par</v>
      </c>
      <c r="AV581" t="str">
        <v>0,102,204</v>
      </c>
      <c r="AW581" s="31">
        <v>85</v>
      </c>
      <c r="AX581" s="31">
        <v>84.967735525253516</v>
      </c>
      <c r="AY581" s="31">
        <v>3.2264474746483529E-2</v>
      </c>
    </row>
    <row r="582" spans="31:51" x14ac:dyDescent="0.25">
      <c r="AE582">
        <v>5.1390000000000002</v>
      </c>
      <c r="AF582">
        <v>5</v>
      </c>
      <c r="AG582">
        <v>1</v>
      </c>
      <c r="AH582">
        <v>2</v>
      </c>
      <c r="AI582">
        <v>3.0000000000291038</v>
      </c>
      <c r="AJ582">
        <v>5.1392300000000004</v>
      </c>
      <c r="AK582">
        <v>5.1391300000000006</v>
      </c>
      <c r="AL582">
        <v>0</v>
      </c>
      <c r="AM582">
        <v>0</v>
      </c>
      <c r="AN582">
        <v>0</v>
      </c>
      <c r="AO582">
        <v>5.0688255041637973</v>
      </c>
      <c r="AP582">
        <v>0</v>
      </c>
      <c r="AQ582">
        <v>0</v>
      </c>
      <c r="AR582" t="str">
        <v>1613.par</v>
      </c>
      <c r="AV582" t="str">
        <v>0,102,204</v>
      </c>
      <c r="AW582" s="31">
        <v>85</v>
      </c>
      <c r="AX582" s="31">
        <v>79.931174495836203</v>
      </c>
      <c r="AY582" s="31">
        <v>5.0688255041637973</v>
      </c>
    </row>
    <row r="583" spans="31:51" x14ac:dyDescent="0.25">
      <c r="AE583">
        <v>5.133</v>
      </c>
      <c r="AF583">
        <v>5</v>
      </c>
      <c r="AG583">
        <v>1</v>
      </c>
      <c r="AH583">
        <v>2</v>
      </c>
      <c r="AI583">
        <v>3.0000000000291038</v>
      </c>
      <c r="AJ583">
        <v>5.1332300000000002</v>
      </c>
      <c r="AK583">
        <v>5.1331300000000004</v>
      </c>
      <c r="AL583">
        <v>0</v>
      </c>
      <c r="AM583">
        <v>0</v>
      </c>
      <c r="AN583">
        <v>0</v>
      </c>
      <c r="AO583">
        <v>10.106571321602118</v>
      </c>
      <c r="AP583">
        <v>0</v>
      </c>
      <c r="AQ583">
        <v>0</v>
      </c>
      <c r="AR583" t="str">
        <v>1613 Ripper.par</v>
      </c>
      <c r="AV583" t="str">
        <v>0,102,204</v>
      </c>
      <c r="AW583" s="31">
        <v>74.900000000000006</v>
      </c>
      <c r="AX583" s="31">
        <v>64.793428678397888</v>
      </c>
      <c r="AY583" s="31">
        <v>10.106571321602118</v>
      </c>
    </row>
    <row r="584" spans="31:51" x14ac:dyDescent="0.25">
      <c r="AE584">
        <v>5.1269999999999998</v>
      </c>
      <c r="AF584">
        <v>5</v>
      </c>
      <c r="AG584">
        <v>1</v>
      </c>
      <c r="AH584">
        <v>2</v>
      </c>
      <c r="AI584">
        <v>3.0000000000291038</v>
      </c>
      <c r="AJ584">
        <v>5.12723</v>
      </c>
      <c r="AK584">
        <v>5.1271300000000002</v>
      </c>
      <c r="AL584">
        <v>0</v>
      </c>
      <c r="AM584">
        <v>0</v>
      </c>
      <c r="AN584">
        <v>0</v>
      </c>
      <c r="AO584">
        <v>6.5099366354501598</v>
      </c>
      <c r="AP584">
        <v>0</v>
      </c>
      <c r="AQ584">
        <v>0</v>
      </c>
      <c r="AR584" t="str">
        <v>1613 Ripper.par</v>
      </c>
      <c r="AV584" t="str">
        <v>0,102,204</v>
      </c>
      <c r="AW584" s="31">
        <v>56.099999999999994</v>
      </c>
      <c r="AX584" s="31">
        <v>49.590063364549835</v>
      </c>
      <c r="AY584" s="31">
        <v>6.5099366354501598</v>
      </c>
    </row>
    <row r="585" spans="31:51" x14ac:dyDescent="0.25">
      <c r="AE585">
        <v>5.1210000000000004</v>
      </c>
      <c r="AF585">
        <v>5</v>
      </c>
      <c r="AG585">
        <v>1</v>
      </c>
      <c r="AH585">
        <v>2</v>
      </c>
      <c r="AI585">
        <v>3.0000000000291038</v>
      </c>
      <c r="AJ585">
        <v>5.1212300000000006</v>
      </c>
      <c r="AK585">
        <v>5.1211300000000008</v>
      </c>
      <c r="AL585">
        <v>0</v>
      </c>
      <c r="AM585">
        <v>0</v>
      </c>
      <c r="AN585">
        <v>0</v>
      </c>
      <c r="AO585">
        <v>2.8311260594446068</v>
      </c>
      <c r="AP585">
        <v>0</v>
      </c>
      <c r="AQ585">
        <v>0</v>
      </c>
      <c r="AR585" t="str">
        <v>1613 Ripper.par</v>
      </c>
      <c r="AV585" t="str">
        <v>0,102,204</v>
      </c>
      <c r="AW585" s="31">
        <v>37.099999999999994</v>
      </c>
      <c r="AX585" s="31">
        <v>34.268873940555387</v>
      </c>
      <c r="AY585" s="31">
        <v>2.8311260594446068</v>
      </c>
    </row>
    <row r="586" spans="31:51" x14ac:dyDescent="0.25">
      <c r="AE586">
        <v>5.1150000000000002</v>
      </c>
      <c r="AF586">
        <v>5</v>
      </c>
      <c r="AG586">
        <v>1</v>
      </c>
      <c r="AH586">
        <v>2</v>
      </c>
      <c r="AI586">
        <v>3.0000000000291038</v>
      </c>
      <c r="AJ586">
        <v>5.1152300000000004</v>
      </c>
      <c r="AK586">
        <v>5.1151300000000006</v>
      </c>
      <c r="AL586">
        <v>0</v>
      </c>
      <c r="AM586">
        <v>0</v>
      </c>
      <c r="AN586">
        <v>0</v>
      </c>
      <c r="AO586">
        <v>-0.76438226477494453</v>
      </c>
      <c r="AP586">
        <v>0</v>
      </c>
      <c r="AQ586">
        <v>0</v>
      </c>
      <c r="AR586" t="str">
        <v>1613 Ripper.par</v>
      </c>
      <c r="AV586" t="str">
        <v>0,102,204</v>
      </c>
      <c r="AW586" s="31">
        <v>18</v>
      </c>
      <c r="AX586" s="31">
        <v>18.764382264774945</v>
      </c>
      <c r="AY586" s="31">
        <v>-0.76438226477494453</v>
      </c>
    </row>
    <row r="587" spans="31:51" x14ac:dyDescent="0.25">
      <c r="AE587">
        <v>5.109</v>
      </c>
      <c r="AF587">
        <v>5</v>
      </c>
      <c r="AG587">
        <v>1</v>
      </c>
      <c r="AH587">
        <v>2</v>
      </c>
      <c r="AI587">
        <v>3.0000000000291038</v>
      </c>
      <c r="AJ587">
        <v>5.1092300000000002</v>
      </c>
      <c r="AK587">
        <v>5.1091300000000004</v>
      </c>
      <c r="AL587">
        <v>0</v>
      </c>
      <c r="AM587">
        <v>0</v>
      </c>
      <c r="AN587">
        <v>0</v>
      </c>
      <c r="AO587">
        <v>-4.2628915737279787</v>
      </c>
      <c r="AP587">
        <v>0</v>
      </c>
      <c r="AQ587">
        <v>0</v>
      </c>
      <c r="AR587" t="str">
        <v>1613 Ripper.par</v>
      </c>
      <c r="AV587" t="str">
        <v>0,102,204</v>
      </c>
      <c r="AW587" s="31">
        <v>-1</v>
      </c>
      <c r="AX587" s="31">
        <v>3.2628915737279782</v>
      </c>
      <c r="AY587" s="31">
        <v>-4.2628915737279787</v>
      </c>
    </row>
    <row r="588" spans="31:51" x14ac:dyDescent="0.25">
      <c r="AE588">
        <v>5.1059999999999999</v>
      </c>
      <c r="AF588">
        <v>5</v>
      </c>
      <c r="AG588">
        <v>1</v>
      </c>
      <c r="AH588">
        <v>2</v>
      </c>
      <c r="AI588">
        <v>3.0000000000291038</v>
      </c>
      <c r="AJ588">
        <v>5.10623</v>
      </c>
      <c r="AK588">
        <v>5.1061300000000003</v>
      </c>
      <c r="AL588">
        <v>0</v>
      </c>
      <c r="AM588">
        <v>0</v>
      </c>
      <c r="AN588">
        <v>0</v>
      </c>
      <c r="AO588">
        <v>-15.845609253101763</v>
      </c>
      <c r="AP588">
        <v>0</v>
      </c>
      <c r="AQ588">
        <v>0</v>
      </c>
      <c r="AR588" t="str">
        <v>1613.par</v>
      </c>
      <c r="AV588" t="str">
        <v>0,102,204</v>
      </c>
      <c r="AW588" s="31">
        <v>-19.400000000000006</v>
      </c>
      <c r="AX588" s="31">
        <v>-3.5543907468982434</v>
      </c>
      <c r="AY588" s="31">
        <v>-15.845609253101763</v>
      </c>
    </row>
    <row r="589" spans="31:51" x14ac:dyDescent="0.25">
      <c r="AE589">
        <v>5.1029999999999998</v>
      </c>
      <c r="AF589">
        <v>5</v>
      </c>
      <c r="AG589">
        <v>1</v>
      </c>
      <c r="AH589">
        <v>2</v>
      </c>
      <c r="AI589">
        <v>3.0000000000291038</v>
      </c>
      <c r="AJ589">
        <v>5.1032299999999999</v>
      </c>
      <c r="AK589">
        <v>5.1031300000000002</v>
      </c>
      <c r="AL589">
        <v>0</v>
      </c>
      <c r="AM589">
        <v>0</v>
      </c>
      <c r="AN589">
        <v>0</v>
      </c>
      <c r="AO589">
        <v>-11.59927366807249</v>
      </c>
      <c r="AP589">
        <v>0</v>
      </c>
      <c r="AQ589">
        <v>0</v>
      </c>
      <c r="AR589" t="str">
        <v>1613.par</v>
      </c>
      <c r="AV589" t="str">
        <v>0,102,204</v>
      </c>
      <c r="AW589" s="31">
        <v>-20</v>
      </c>
      <c r="AX589" s="31">
        <v>-8.4007263319275101</v>
      </c>
      <c r="AY589" s="31">
        <v>-11.59927366807249</v>
      </c>
    </row>
    <row r="590" spans="31:51" x14ac:dyDescent="0.25">
      <c r="AE590">
        <v>4.242</v>
      </c>
      <c r="AF590">
        <v>4</v>
      </c>
      <c r="AG590">
        <v>2</v>
      </c>
      <c r="AH590">
        <v>2</v>
      </c>
      <c r="AI590">
        <v>3.0000000000291038</v>
      </c>
      <c r="AJ590">
        <v>4.2422300000000002</v>
      </c>
      <c r="AK590">
        <v>4.2421300000000004</v>
      </c>
      <c r="AL590">
        <v>0</v>
      </c>
      <c r="AM590">
        <v>0</v>
      </c>
      <c r="AN590">
        <v>0</v>
      </c>
      <c r="AO590">
        <v>1.2272479821717752E-5</v>
      </c>
      <c r="AP590">
        <v>0</v>
      </c>
      <c r="AQ590">
        <v>0</v>
      </c>
      <c r="AR590" t="str">
        <v>32193r1.par</v>
      </c>
      <c r="AV590" t="str">
        <v>91,255,255</v>
      </c>
      <c r="AW590" s="31">
        <v>85</v>
      </c>
      <c r="AX590" s="31">
        <v>84.999987727520178</v>
      </c>
      <c r="AY590" s="31">
        <v>1.2272479821717752E-5</v>
      </c>
    </row>
    <row r="591" spans="31:51" x14ac:dyDescent="0.25">
      <c r="AE591">
        <v>4.2359999999999998</v>
      </c>
      <c r="AF591">
        <v>4</v>
      </c>
      <c r="AG591">
        <v>2</v>
      </c>
      <c r="AH591">
        <v>2</v>
      </c>
      <c r="AI591">
        <v>3.0000000000291038</v>
      </c>
      <c r="AJ591">
        <v>4.2362299999999999</v>
      </c>
      <c r="AK591">
        <v>4.2361300000000002</v>
      </c>
      <c r="AL591">
        <v>0</v>
      </c>
      <c r="AM591">
        <v>0</v>
      </c>
      <c r="AN591">
        <v>0</v>
      </c>
      <c r="AO591">
        <v>1.2142535908310492E-5</v>
      </c>
      <c r="AP591">
        <v>0</v>
      </c>
      <c r="AQ591">
        <v>0</v>
      </c>
      <c r="AR591" t="str">
        <v>32193r1.par</v>
      </c>
      <c r="AV591" t="str">
        <v>91,255,255</v>
      </c>
      <c r="AW591" s="31">
        <v>84.1</v>
      </c>
      <c r="AX591" s="31">
        <v>84.099987857464086</v>
      </c>
      <c r="AY591" s="31">
        <v>1.2142535908310492E-5</v>
      </c>
    </row>
    <row r="592" spans="31:51" x14ac:dyDescent="0.25">
      <c r="AE592">
        <v>4.2300000000000004</v>
      </c>
      <c r="AF592">
        <v>4</v>
      </c>
      <c r="AG592">
        <v>2</v>
      </c>
      <c r="AH592">
        <v>2</v>
      </c>
      <c r="AI592">
        <v>3.0000000000291038</v>
      </c>
      <c r="AJ592">
        <v>4.2302300000000006</v>
      </c>
      <c r="AK592">
        <v>4.2301300000000008</v>
      </c>
      <c r="AL592">
        <v>0</v>
      </c>
      <c r="AM592">
        <v>0</v>
      </c>
      <c r="AN592">
        <v>0</v>
      </c>
      <c r="AO592">
        <v>9.4570285540385157E-6</v>
      </c>
      <c r="AP592">
        <v>0</v>
      </c>
      <c r="AQ592">
        <v>0</v>
      </c>
      <c r="AR592" t="str">
        <v>32193r1.par</v>
      </c>
      <c r="AV592" t="str">
        <v>91,255,255</v>
      </c>
      <c r="AW592" s="31">
        <v>65.5</v>
      </c>
      <c r="AX592" s="31">
        <v>65.499990542971446</v>
      </c>
      <c r="AY592" s="31">
        <v>9.4570285540385157E-6</v>
      </c>
    </row>
    <row r="593" spans="31:51" x14ac:dyDescent="0.25">
      <c r="AE593">
        <v>4.2240000000000002</v>
      </c>
      <c r="AF593">
        <v>4</v>
      </c>
      <c r="AG593">
        <v>2</v>
      </c>
      <c r="AH593">
        <v>2</v>
      </c>
      <c r="AI593">
        <v>3.0000000000291038</v>
      </c>
      <c r="AJ593">
        <v>4.2242300000000004</v>
      </c>
      <c r="AK593">
        <v>4.2241300000000006</v>
      </c>
      <c r="AL593">
        <v>0</v>
      </c>
      <c r="AM593">
        <v>0</v>
      </c>
      <c r="AN593">
        <v>0</v>
      </c>
      <c r="AO593">
        <v>4.51266919084145</v>
      </c>
      <c r="AP593">
        <v>0</v>
      </c>
      <c r="AQ593">
        <v>0</v>
      </c>
      <c r="AR593" t="str">
        <v>1313.par</v>
      </c>
      <c r="AV593" t="str">
        <v>91,255,255</v>
      </c>
      <c r="AW593" s="31">
        <v>46.599999999999994</v>
      </c>
      <c r="AX593" s="31">
        <v>42.087330809158544</v>
      </c>
      <c r="AY593" s="31">
        <v>4.51266919084145</v>
      </c>
    </row>
    <row r="594" spans="31:51" x14ac:dyDescent="0.25">
      <c r="AE594">
        <v>4.218</v>
      </c>
      <c r="AF594">
        <v>4</v>
      </c>
      <c r="AG594">
        <v>2</v>
      </c>
      <c r="AH594">
        <v>2</v>
      </c>
      <c r="AI594">
        <v>3.0000000000291038</v>
      </c>
      <c r="AJ594">
        <v>4.2182300000000001</v>
      </c>
      <c r="AK594">
        <v>4.2181300000000004</v>
      </c>
      <c r="AL594">
        <v>0</v>
      </c>
      <c r="AM594">
        <v>0</v>
      </c>
      <c r="AN594">
        <v>0</v>
      </c>
      <c r="AO594">
        <v>0.70598437136145265</v>
      </c>
      <c r="AP594">
        <v>0</v>
      </c>
      <c r="AQ594">
        <v>0</v>
      </c>
      <c r="AR594" t="str">
        <v>1310.par</v>
      </c>
      <c r="AV594" t="str">
        <v>91,255,255</v>
      </c>
      <c r="AW594" s="31">
        <v>27.5</v>
      </c>
      <c r="AX594" s="31">
        <v>26.794015628638547</v>
      </c>
      <c r="AY594" s="31">
        <v>0.70598437136145265</v>
      </c>
    </row>
    <row r="595" spans="31:51" x14ac:dyDescent="0.25">
      <c r="AE595">
        <v>4.1420000000000003</v>
      </c>
      <c r="AF595">
        <v>4</v>
      </c>
      <c r="AG595">
        <v>1</v>
      </c>
      <c r="AH595">
        <v>2</v>
      </c>
      <c r="AI595">
        <v>3.0000000000291038</v>
      </c>
      <c r="AJ595">
        <v>4.1422300000000005</v>
      </c>
      <c r="AK595">
        <v>4.1421300000000008</v>
      </c>
      <c r="AL595">
        <v>0</v>
      </c>
      <c r="AM595">
        <v>0</v>
      </c>
      <c r="AN595">
        <v>0</v>
      </c>
      <c r="AO595">
        <v>3.2264474746511951E-2</v>
      </c>
      <c r="AP595">
        <v>0</v>
      </c>
      <c r="AQ595">
        <v>0</v>
      </c>
      <c r="AR595" t="str">
        <v>1613.par</v>
      </c>
      <c r="AV595" t="str">
        <v>0,204,204</v>
      </c>
      <c r="AW595" s="31">
        <v>85</v>
      </c>
      <c r="AX595" s="31">
        <v>84.967735525253488</v>
      </c>
      <c r="AY595" s="31">
        <v>3.2264474746511951E-2</v>
      </c>
    </row>
    <row r="596" spans="31:51" x14ac:dyDescent="0.25">
      <c r="AE596">
        <v>4.1360000000000001</v>
      </c>
      <c r="AF596">
        <v>4</v>
      </c>
      <c r="AG596">
        <v>1</v>
      </c>
      <c r="AH596">
        <v>2</v>
      </c>
      <c r="AI596">
        <v>3.0000000000291038</v>
      </c>
      <c r="AJ596">
        <v>4.1362300000000003</v>
      </c>
      <c r="AK596">
        <v>4.1361300000000005</v>
      </c>
      <c r="AL596">
        <v>0</v>
      </c>
      <c r="AM596">
        <v>0</v>
      </c>
      <c r="AN596">
        <v>0</v>
      </c>
      <c r="AO596">
        <v>11.731501852540433</v>
      </c>
      <c r="AP596">
        <v>0</v>
      </c>
      <c r="AQ596">
        <v>0</v>
      </c>
      <c r="AR596" t="str">
        <v>1613.par</v>
      </c>
      <c r="AV596" t="str">
        <v>0,204,204</v>
      </c>
      <c r="AW596" s="31">
        <v>84.1</v>
      </c>
      <c r="AX596" s="31">
        <v>72.368498147459562</v>
      </c>
      <c r="AY596" s="31">
        <v>11.731501852540433</v>
      </c>
    </row>
    <row r="597" spans="31:51" x14ac:dyDescent="0.25">
      <c r="AE597">
        <v>4.13</v>
      </c>
      <c r="AF597">
        <v>4</v>
      </c>
      <c r="AG597">
        <v>1</v>
      </c>
      <c r="AH597">
        <v>2</v>
      </c>
      <c r="AI597">
        <v>3.0000000000291038</v>
      </c>
      <c r="AJ597">
        <v>4.1302300000000001</v>
      </c>
      <c r="AK597">
        <v>4.1301300000000003</v>
      </c>
      <c r="AL597">
        <v>0</v>
      </c>
      <c r="AM597">
        <v>0</v>
      </c>
      <c r="AN597">
        <v>0</v>
      </c>
      <c r="AO597">
        <v>8.2976721929876902</v>
      </c>
      <c r="AP597">
        <v>0</v>
      </c>
      <c r="AQ597">
        <v>0</v>
      </c>
      <c r="AR597" t="str">
        <v>1613.par</v>
      </c>
      <c r="AV597" t="str">
        <v>0,204,204</v>
      </c>
      <c r="AW597" s="31">
        <v>65.5</v>
      </c>
      <c r="AX597" s="31">
        <v>57.20232780701231</v>
      </c>
      <c r="AY597" s="31">
        <v>8.2976721929876902</v>
      </c>
    </row>
    <row r="598" spans="31:51" x14ac:dyDescent="0.25">
      <c r="AE598">
        <v>4.1239999999999997</v>
      </c>
      <c r="AF598">
        <v>4</v>
      </c>
      <c r="AG598">
        <v>1</v>
      </c>
      <c r="AH598">
        <v>2</v>
      </c>
      <c r="AI598">
        <v>2.9999999999563443</v>
      </c>
      <c r="AJ598">
        <v>4.1242299999999998</v>
      </c>
      <c r="AK598">
        <v>4.1241300000000001</v>
      </c>
      <c r="AL598">
        <v>0</v>
      </c>
      <c r="AM598">
        <v>0</v>
      </c>
      <c r="AN598">
        <v>0</v>
      </c>
      <c r="AO598">
        <v>4.650756368691404</v>
      </c>
      <c r="AP598">
        <v>0</v>
      </c>
      <c r="AQ598">
        <v>0</v>
      </c>
      <c r="AR598" t="str">
        <v>1613.par</v>
      </c>
      <c r="AV598" t="str">
        <v>0,204,204</v>
      </c>
      <c r="AW598" s="31">
        <v>46.599999999999994</v>
      </c>
      <c r="AX598" s="31">
        <v>41.94924363130859</v>
      </c>
      <c r="AY598" s="31">
        <v>4.650756368691404</v>
      </c>
    </row>
    <row r="599" spans="31:51" x14ac:dyDescent="0.25">
      <c r="AE599">
        <v>4.1180000000000003</v>
      </c>
      <c r="AF599">
        <v>4</v>
      </c>
      <c r="AG599">
        <v>1</v>
      </c>
      <c r="AH599">
        <v>2</v>
      </c>
      <c r="AI599">
        <v>3.0000000000291038</v>
      </c>
      <c r="AJ599">
        <v>4.1182300000000005</v>
      </c>
      <c r="AK599">
        <v>4.1181300000000007</v>
      </c>
      <c r="AL599">
        <v>0</v>
      </c>
      <c r="AM599">
        <v>0</v>
      </c>
      <c r="AN599">
        <v>0</v>
      </c>
      <c r="AO599">
        <v>0.96773340679953535</v>
      </c>
      <c r="AP599">
        <v>0</v>
      </c>
      <c r="AQ599">
        <v>0</v>
      </c>
      <c r="AR599" t="str">
        <v>1613.par</v>
      </c>
      <c r="AV599" t="str">
        <v>0,204,204</v>
      </c>
      <c r="AW599" s="31">
        <v>27.5</v>
      </c>
      <c r="AX599" s="31">
        <v>26.532266593200465</v>
      </c>
      <c r="AY599" s="31">
        <v>0.96773340679953535</v>
      </c>
    </row>
    <row r="600" spans="31:51" x14ac:dyDescent="0.25">
      <c r="AE600">
        <v>4.1120000000000001</v>
      </c>
      <c r="AF600">
        <v>4</v>
      </c>
      <c r="AG600">
        <v>1</v>
      </c>
      <c r="AH600">
        <v>2</v>
      </c>
      <c r="AI600">
        <v>3.0000000000291038</v>
      </c>
      <c r="AJ600">
        <v>4.1122300000000003</v>
      </c>
      <c r="AK600">
        <v>4.1121300000000005</v>
      </c>
      <c r="AL600">
        <v>0</v>
      </c>
      <c r="AM600">
        <v>0</v>
      </c>
      <c r="AN600">
        <v>0</v>
      </c>
      <c r="AO600">
        <v>-2.5389495858038913</v>
      </c>
      <c r="AP600">
        <v>0</v>
      </c>
      <c r="AQ600">
        <v>0</v>
      </c>
      <c r="AR600" t="str">
        <v>1613.par</v>
      </c>
      <c r="AV600" t="str">
        <v>0,204,204</v>
      </c>
      <c r="AW600" s="31">
        <v>8.5</v>
      </c>
      <c r="AX600" s="31">
        <v>11.038949585803891</v>
      </c>
      <c r="AY600" s="31">
        <v>-2.5389495858038913</v>
      </c>
    </row>
    <row r="601" spans="31:51" x14ac:dyDescent="0.25">
      <c r="AE601">
        <v>3.2429999999999999</v>
      </c>
      <c r="AF601">
        <v>3</v>
      </c>
      <c r="AG601">
        <v>2</v>
      </c>
      <c r="AH601">
        <v>2</v>
      </c>
      <c r="AI601">
        <v>2.999999999992724</v>
      </c>
      <c r="AJ601">
        <v>3.2432300000000001</v>
      </c>
      <c r="AK601">
        <v>3.2431299999999998</v>
      </c>
      <c r="AL601">
        <v>0</v>
      </c>
      <c r="AM601">
        <v>0</v>
      </c>
      <c r="AN601">
        <v>0</v>
      </c>
      <c r="AO601">
        <v>1.2272479807506897E-5</v>
      </c>
      <c r="AP601">
        <v>0</v>
      </c>
      <c r="AQ601">
        <v>0</v>
      </c>
      <c r="AR601" t="str">
        <v>32193r1.par</v>
      </c>
      <c r="AV601" t="str">
        <v>97,255,97</v>
      </c>
      <c r="AW601" s="31">
        <v>85</v>
      </c>
      <c r="AX601" s="31">
        <v>84.999987727520192</v>
      </c>
      <c r="AY601" s="31">
        <v>1.2272479807506897E-5</v>
      </c>
    </row>
    <row r="602" spans="31:51" x14ac:dyDescent="0.25">
      <c r="AE602">
        <v>3.2370000000000001</v>
      </c>
      <c r="AF602">
        <v>3</v>
      </c>
      <c r="AG602">
        <v>2</v>
      </c>
      <c r="AH602">
        <v>2</v>
      </c>
      <c r="AI602">
        <v>3.0000000000291038</v>
      </c>
      <c r="AJ602">
        <v>3.2372300000000003</v>
      </c>
      <c r="AK602">
        <v>3.2371300000000001</v>
      </c>
      <c r="AL602">
        <v>0</v>
      </c>
      <c r="AM602">
        <v>0</v>
      </c>
      <c r="AN602">
        <v>0</v>
      </c>
      <c r="AO602">
        <v>10.108863011129046</v>
      </c>
      <c r="AP602">
        <v>0</v>
      </c>
      <c r="AQ602">
        <v>0</v>
      </c>
      <c r="AR602" t="str">
        <v>1313.par</v>
      </c>
      <c r="AV602" t="str">
        <v>97,255,97</v>
      </c>
      <c r="AW602" s="31">
        <v>85</v>
      </c>
      <c r="AX602" s="31">
        <v>74.891136988870954</v>
      </c>
      <c r="AY602" s="31">
        <v>10.108863011129046</v>
      </c>
    </row>
    <row r="603" spans="31:51" x14ac:dyDescent="0.25">
      <c r="AE603">
        <v>3.2309999999999999</v>
      </c>
      <c r="AF603">
        <v>3</v>
      </c>
      <c r="AG603">
        <v>2</v>
      </c>
      <c r="AH603">
        <v>2</v>
      </c>
      <c r="AI603">
        <v>2.999999999992724</v>
      </c>
      <c r="AJ603">
        <v>3.23123</v>
      </c>
      <c r="AK603">
        <v>3.2311299999999998</v>
      </c>
      <c r="AL603">
        <v>0</v>
      </c>
      <c r="AM603">
        <v>0</v>
      </c>
      <c r="AN603">
        <v>0</v>
      </c>
      <c r="AO603">
        <v>8.9639954783027633</v>
      </c>
      <c r="AP603">
        <v>0</v>
      </c>
      <c r="AQ603">
        <v>0</v>
      </c>
      <c r="AR603" t="str">
        <v>1313.par</v>
      </c>
      <c r="AV603" t="str">
        <v>97,255,97</v>
      </c>
      <c r="AW603" s="31">
        <v>68.699999999999989</v>
      </c>
      <c r="AX603" s="31">
        <v>59.736004521697225</v>
      </c>
      <c r="AY603" s="31">
        <v>8.9639954783027633</v>
      </c>
    </row>
    <row r="604" spans="31:51" x14ac:dyDescent="0.25">
      <c r="AE604">
        <v>3.2250000000000001</v>
      </c>
      <c r="AF604">
        <v>3</v>
      </c>
      <c r="AG604">
        <v>2</v>
      </c>
      <c r="AH604">
        <v>2</v>
      </c>
      <c r="AI604">
        <v>3.0000000000291038</v>
      </c>
      <c r="AJ604">
        <v>3.2252300000000003</v>
      </c>
      <c r="AK604">
        <v>3.2251300000000001</v>
      </c>
      <c r="AL604">
        <v>0</v>
      </c>
      <c r="AM604">
        <v>0</v>
      </c>
      <c r="AN604">
        <v>0</v>
      </c>
      <c r="AO604">
        <v>5.2978334732824166</v>
      </c>
      <c r="AP604">
        <v>0</v>
      </c>
      <c r="AQ604">
        <v>0</v>
      </c>
      <c r="AR604" t="str">
        <v>1313.par</v>
      </c>
      <c r="AV604" t="str">
        <v>97,255,97</v>
      </c>
      <c r="AW604" s="31">
        <v>49.800000000000011</v>
      </c>
      <c r="AX604" s="31">
        <v>44.502166526717595</v>
      </c>
      <c r="AY604" s="31">
        <v>5.2978334732824166</v>
      </c>
    </row>
    <row r="605" spans="31:51" x14ac:dyDescent="0.25">
      <c r="AE605">
        <v>3.2189999999999999</v>
      </c>
      <c r="AF605">
        <v>3</v>
      </c>
      <c r="AG605">
        <v>2</v>
      </c>
      <c r="AH605">
        <v>2</v>
      </c>
      <c r="AI605">
        <v>2.999999999992724</v>
      </c>
      <c r="AJ605">
        <v>3.21923</v>
      </c>
      <c r="AK605">
        <v>3.2191299999999998</v>
      </c>
      <c r="AL605">
        <v>0</v>
      </c>
      <c r="AM605">
        <v>0</v>
      </c>
      <c r="AN605">
        <v>0</v>
      </c>
      <c r="AO605">
        <v>1.5779018991397251</v>
      </c>
      <c r="AP605">
        <v>0</v>
      </c>
      <c r="AQ605">
        <v>0</v>
      </c>
      <c r="AR605" t="str">
        <v>1313.par</v>
      </c>
      <c r="AV605" t="str">
        <v>97,255,97</v>
      </c>
      <c r="AW605" s="31">
        <v>30.700000000000003</v>
      </c>
      <c r="AX605" s="31">
        <v>29.122098100860278</v>
      </c>
      <c r="AY605" s="31">
        <v>1.5779018991397251</v>
      </c>
    </row>
    <row r="606" spans="31:51" x14ac:dyDescent="0.25">
      <c r="AE606">
        <v>3.2130000000000001</v>
      </c>
      <c r="AF606">
        <v>3</v>
      </c>
      <c r="AG606">
        <v>2</v>
      </c>
      <c r="AH606">
        <v>2</v>
      </c>
      <c r="AI606">
        <v>3.0000000000291038</v>
      </c>
      <c r="AJ606">
        <v>3.2132300000000003</v>
      </c>
      <c r="AK606">
        <v>3.21313</v>
      </c>
      <c r="AL606">
        <v>0</v>
      </c>
      <c r="AM606">
        <v>0</v>
      </c>
      <c r="AN606">
        <v>0</v>
      </c>
      <c r="AO606">
        <v>-2.0223783610182764</v>
      </c>
      <c r="AP606">
        <v>0</v>
      </c>
      <c r="AQ606">
        <v>0</v>
      </c>
      <c r="AR606" t="str">
        <v>1310.par</v>
      </c>
      <c r="AV606" t="str">
        <v>97,255,97</v>
      </c>
      <c r="AW606" s="31">
        <v>11.599999999999994</v>
      </c>
      <c r="AX606" s="31">
        <v>13.622378361018271</v>
      </c>
      <c r="AY606" s="31">
        <v>-2.0223783610182764</v>
      </c>
    </row>
    <row r="607" spans="31:51" x14ac:dyDescent="0.25">
      <c r="AE607">
        <v>3.1429999999999998</v>
      </c>
      <c r="AF607">
        <v>3</v>
      </c>
      <c r="AG607">
        <v>1</v>
      </c>
      <c r="AH607">
        <v>2</v>
      </c>
      <c r="AI607">
        <v>2.999999999992724</v>
      </c>
      <c r="AJ607">
        <v>3.14323</v>
      </c>
      <c r="AK607">
        <v>3.1431299999999998</v>
      </c>
      <c r="AL607">
        <v>0</v>
      </c>
      <c r="AM607">
        <v>0</v>
      </c>
      <c r="AN607">
        <v>0</v>
      </c>
      <c r="AO607">
        <v>3.2264474746526162E-2</v>
      </c>
      <c r="AP607">
        <v>0</v>
      </c>
      <c r="AQ607">
        <v>0</v>
      </c>
      <c r="AR607" t="str">
        <v>1613.par</v>
      </c>
      <c r="AV607" t="str">
        <v>0,204,0</v>
      </c>
      <c r="AW607" s="31">
        <v>85</v>
      </c>
      <c r="AX607" s="31">
        <v>84.967735525253474</v>
      </c>
      <c r="AY607" s="31">
        <v>3.2264474746526162E-2</v>
      </c>
    </row>
    <row r="608" spans="31:51" x14ac:dyDescent="0.25">
      <c r="AE608">
        <v>3.137</v>
      </c>
      <c r="AF608">
        <v>3</v>
      </c>
      <c r="AG608">
        <v>1</v>
      </c>
      <c r="AH608">
        <v>2</v>
      </c>
      <c r="AI608">
        <v>3.0000000000291038</v>
      </c>
      <c r="AJ608">
        <v>3.1372300000000002</v>
      </c>
      <c r="AK608">
        <v>3.13713</v>
      </c>
      <c r="AL608">
        <v>0</v>
      </c>
      <c r="AM608">
        <v>0</v>
      </c>
      <c r="AN608">
        <v>0</v>
      </c>
      <c r="AO608">
        <v>10.109381247007931</v>
      </c>
      <c r="AP608">
        <v>0</v>
      </c>
      <c r="AQ608">
        <v>0</v>
      </c>
      <c r="AR608" t="str">
        <v>1613 Ripper.par</v>
      </c>
      <c r="AV608" t="str">
        <v>0,204,0</v>
      </c>
      <c r="AW608" s="31">
        <v>85</v>
      </c>
      <c r="AX608" s="31">
        <v>74.890618752992069</v>
      </c>
      <c r="AY608" s="31">
        <v>10.109381247007931</v>
      </c>
    </row>
    <row r="609" spans="31:51" x14ac:dyDescent="0.25">
      <c r="AE609">
        <v>3.1309999999999998</v>
      </c>
      <c r="AF609">
        <v>3</v>
      </c>
      <c r="AG609">
        <v>1</v>
      </c>
      <c r="AH609">
        <v>2</v>
      </c>
      <c r="AI609">
        <v>2.999999999992724</v>
      </c>
      <c r="AJ609">
        <v>3.13123</v>
      </c>
      <c r="AK609">
        <v>3.1311299999999997</v>
      </c>
      <c r="AL609">
        <v>0</v>
      </c>
      <c r="AM609">
        <v>0</v>
      </c>
      <c r="AN609">
        <v>0</v>
      </c>
      <c r="AO609">
        <v>8.965245441357915</v>
      </c>
      <c r="AP609">
        <v>0</v>
      </c>
      <c r="AQ609">
        <v>0</v>
      </c>
      <c r="AR609" t="str">
        <v>1613 Ripper.par</v>
      </c>
      <c r="AV609" t="str">
        <v>0,204,0</v>
      </c>
      <c r="AW609" s="31">
        <v>68.699999999999989</v>
      </c>
      <c r="AX609" s="31">
        <v>59.734754558642074</v>
      </c>
      <c r="AY609" s="31">
        <v>8.965245441357915</v>
      </c>
    </row>
    <row r="610" spans="31:51" x14ac:dyDescent="0.25">
      <c r="AE610">
        <v>3.125</v>
      </c>
      <c r="AF610">
        <v>3</v>
      </c>
      <c r="AG610">
        <v>1</v>
      </c>
      <c r="AH610">
        <v>2</v>
      </c>
      <c r="AI610">
        <v>3.0000000000291038</v>
      </c>
      <c r="AJ610">
        <v>3.1252300000000002</v>
      </c>
      <c r="AK610">
        <v>3.12513</v>
      </c>
      <c r="AL610">
        <v>0</v>
      </c>
      <c r="AM610">
        <v>0</v>
      </c>
      <c r="AN610">
        <v>0</v>
      </c>
      <c r="AO610">
        <v>5.300053750423217</v>
      </c>
      <c r="AP610">
        <v>0</v>
      </c>
      <c r="AQ610">
        <v>0</v>
      </c>
      <c r="AR610" t="str">
        <v>1613 Ripper.par</v>
      </c>
      <c r="AV610" t="str">
        <v>0,204,0</v>
      </c>
      <c r="AW610" s="31">
        <v>49.800000000000011</v>
      </c>
      <c r="AX610" s="31">
        <v>44.499946249576794</v>
      </c>
      <c r="AY610" s="31">
        <v>5.300053750423217</v>
      </c>
    </row>
    <row r="611" spans="31:51" x14ac:dyDescent="0.25">
      <c r="AE611">
        <v>3.1190000000000002</v>
      </c>
      <c r="AF611">
        <v>3</v>
      </c>
      <c r="AG611">
        <v>1</v>
      </c>
      <c r="AH611">
        <v>2</v>
      </c>
      <c r="AI611">
        <v>3.0000000000291038</v>
      </c>
      <c r="AJ611">
        <v>3.1192300000000004</v>
      </c>
      <c r="AK611">
        <v>3.1191300000000002</v>
      </c>
      <c r="AL611">
        <v>0</v>
      </c>
      <c r="AM611">
        <v>0</v>
      </c>
      <c r="AN611">
        <v>0</v>
      </c>
      <c r="AO611">
        <v>1.5812579109359071</v>
      </c>
      <c r="AP611">
        <v>0</v>
      </c>
      <c r="AQ611">
        <v>0</v>
      </c>
      <c r="AR611" t="str">
        <v>1613 Ripper.par</v>
      </c>
      <c r="AV611" t="str">
        <v>0,204,0</v>
      </c>
      <c r="AW611" s="31">
        <v>30.700000000000003</v>
      </c>
      <c r="AX611" s="31">
        <v>29.118742089064096</v>
      </c>
      <c r="AY611" s="31">
        <v>1.5812579109359071</v>
      </c>
    </row>
    <row r="612" spans="31:51" x14ac:dyDescent="0.25">
      <c r="AE612">
        <v>3.113</v>
      </c>
      <c r="AF612">
        <v>3</v>
      </c>
      <c r="AG612">
        <v>1</v>
      </c>
      <c r="AH612">
        <v>2</v>
      </c>
      <c r="AI612">
        <v>3.0000000000291038</v>
      </c>
      <c r="AJ612">
        <v>3.1132300000000002</v>
      </c>
      <c r="AK612">
        <v>3.11313</v>
      </c>
      <c r="AL612">
        <v>0</v>
      </c>
      <c r="AM612">
        <v>0</v>
      </c>
      <c r="AN612">
        <v>0</v>
      </c>
      <c r="AO612">
        <v>-2.0189071763940181</v>
      </c>
      <c r="AP612">
        <v>0</v>
      </c>
      <c r="AQ612">
        <v>0</v>
      </c>
      <c r="AR612" t="str">
        <v>1613 Ripper.par</v>
      </c>
      <c r="AV612" t="str">
        <v>0,204,0</v>
      </c>
      <c r="AW612" s="31">
        <v>11.599999999999994</v>
      </c>
      <c r="AX612" s="31">
        <v>13.618907176394012</v>
      </c>
      <c r="AY612" s="31">
        <v>-2.0189071763940181</v>
      </c>
    </row>
    <row r="613" spans="31:51" x14ac:dyDescent="0.25">
      <c r="AE613">
        <v>3.1080000000000001</v>
      </c>
      <c r="AF613">
        <v>3</v>
      </c>
      <c r="AG613">
        <v>1</v>
      </c>
      <c r="AH613">
        <v>2</v>
      </c>
      <c r="AI613">
        <v>3.0000000000291038</v>
      </c>
      <c r="AJ613">
        <v>3.1082300000000003</v>
      </c>
      <c r="AK613">
        <v>3.1081300000000001</v>
      </c>
      <c r="AL613">
        <v>0</v>
      </c>
      <c r="AM613">
        <v>0</v>
      </c>
      <c r="AN613">
        <v>0</v>
      </c>
      <c r="AO613">
        <v>-7.6489734788199426</v>
      </c>
      <c r="AP613">
        <v>0</v>
      </c>
      <c r="AQ613">
        <v>0</v>
      </c>
      <c r="AR613" t="str">
        <v>1613.par</v>
      </c>
      <c r="AV613" t="str">
        <v>0,204,0</v>
      </c>
      <c r="AW613" s="31">
        <v>-7.0999999999999943</v>
      </c>
      <c r="AX613" s="31">
        <v>0.54897347881994862</v>
      </c>
      <c r="AY613" s="31">
        <v>-7.6489734788199426</v>
      </c>
    </row>
    <row r="614" spans="31:51" x14ac:dyDescent="0.25">
      <c r="AE614">
        <v>3.105</v>
      </c>
      <c r="AF614">
        <v>3</v>
      </c>
      <c r="AG614">
        <v>1</v>
      </c>
      <c r="AH614">
        <v>2</v>
      </c>
      <c r="AI614">
        <v>3.0000000000291038</v>
      </c>
      <c r="AJ614">
        <v>3.1052300000000002</v>
      </c>
      <c r="AK614">
        <v>3.1051299999999999</v>
      </c>
      <c r="AL614">
        <v>0</v>
      </c>
      <c r="AM614">
        <v>0</v>
      </c>
      <c r="AN614">
        <v>0</v>
      </c>
      <c r="AO614">
        <v>-14.985026506604578</v>
      </c>
      <c r="AP614">
        <v>0</v>
      </c>
      <c r="AQ614">
        <v>0</v>
      </c>
      <c r="AR614" t="str">
        <v>1613.par</v>
      </c>
      <c r="AV614" t="str">
        <v>0,204,0</v>
      </c>
      <c r="AW614" s="31">
        <v>-20</v>
      </c>
      <c r="AX614" s="31">
        <v>-5.0149734933954218</v>
      </c>
      <c r="AY614" s="31">
        <v>-14.985026506604578</v>
      </c>
    </row>
    <row r="615" spans="31:51" x14ac:dyDescent="0.25">
      <c r="AE615">
        <v>3.1019999999999999</v>
      </c>
      <c r="AF615">
        <v>3</v>
      </c>
      <c r="AG615">
        <v>1</v>
      </c>
      <c r="AH615">
        <v>2</v>
      </c>
      <c r="AI615">
        <v>2.999999999992724</v>
      </c>
      <c r="AJ615">
        <v>3.10223</v>
      </c>
      <c r="AK615">
        <v>3.1021299999999998</v>
      </c>
      <c r="AL615">
        <v>0</v>
      </c>
      <c r="AM615">
        <v>0</v>
      </c>
      <c r="AN615">
        <v>0</v>
      </c>
      <c r="AO615">
        <v>-8.6292821270437301</v>
      </c>
      <c r="AP615">
        <v>0</v>
      </c>
      <c r="AQ615">
        <v>0</v>
      </c>
      <c r="AR615" t="str">
        <v>1613.par</v>
      </c>
      <c r="AV615" t="str">
        <v>0,204,0</v>
      </c>
      <c r="AW615" s="31">
        <v>-20</v>
      </c>
      <c r="AX615" s="31">
        <v>-11.37071787295627</v>
      </c>
      <c r="AY615" s="31">
        <v>-8.6292821270437301</v>
      </c>
    </row>
    <row r="616" spans="31:51" x14ac:dyDescent="0.25">
      <c r="AE616">
        <v>2.246</v>
      </c>
      <c r="AF616">
        <v>2</v>
      </c>
      <c r="AG616">
        <v>2</v>
      </c>
      <c r="AH616">
        <v>2</v>
      </c>
      <c r="AI616">
        <v>3.0000000000291038</v>
      </c>
      <c r="AJ616">
        <v>2.2462300000000002</v>
      </c>
      <c r="AK616">
        <v>2.24613</v>
      </c>
      <c r="AL616">
        <v>0</v>
      </c>
      <c r="AM616">
        <v>0</v>
      </c>
      <c r="AN616">
        <v>0</v>
      </c>
      <c r="AO616">
        <v>1.2272479807506897E-5</v>
      </c>
      <c r="AP616">
        <v>0</v>
      </c>
      <c r="AQ616">
        <v>0</v>
      </c>
      <c r="AR616" t="str">
        <v>32193r1.par</v>
      </c>
      <c r="AV616" t="str">
        <v>255,255,91</v>
      </c>
      <c r="AW616" s="31">
        <v>85</v>
      </c>
      <c r="AX616" s="31">
        <v>84.999987727520192</v>
      </c>
      <c r="AY616" s="31">
        <v>1.2272479807506897E-5</v>
      </c>
    </row>
    <row r="617" spans="31:51" x14ac:dyDescent="0.25">
      <c r="AE617">
        <v>2.2400000000000002</v>
      </c>
      <c r="AF617">
        <v>2</v>
      </c>
      <c r="AG617">
        <v>2</v>
      </c>
      <c r="AH617">
        <v>2</v>
      </c>
      <c r="AI617">
        <v>3.0000000000291038</v>
      </c>
      <c r="AJ617">
        <v>2.2402300000000004</v>
      </c>
      <c r="AK617">
        <v>2.2401300000000002</v>
      </c>
      <c r="AL617">
        <v>0</v>
      </c>
      <c r="AM617">
        <v>0</v>
      </c>
      <c r="AN617">
        <v>0</v>
      </c>
      <c r="AO617">
        <v>1.2272479807506897E-5</v>
      </c>
      <c r="AP617">
        <v>0</v>
      </c>
      <c r="AQ617">
        <v>0</v>
      </c>
      <c r="AR617" t="str">
        <v>32193r1.par</v>
      </c>
      <c r="AV617" t="str">
        <v>255,255,91</v>
      </c>
      <c r="AW617" s="31">
        <v>85</v>
      </c>
      <c r="AX617" s="31">
        <v>84.999987727520192</v>
      </c>
      <c r="AY617" s="31">
        <v>1.2272479807506897E-5</v>
      </c>
    </row>
    <row r="618" spans="31:51" x14ac:dyDescent="0.25">
      <c r="AE618">
        <v>2.234</v>
      </c>
      <c r="AF618">
        <v>2</v>
      </c>
      <c r="AG618">
        <v>2</v>
      </c>
      <c r="AH618">
        <v>2</v>
      </c>
      <c r="AI618">
        <v>3.0000000000291038</v>
      </c>
      <c r="AJ618">
        <v>2.2342300000000002</v>
      </c>
      <c r="AK618">
        <v>2.2341299999999999</v>
      </c>
      <c r="AL618">
        <v>0</v>
      </c>
      <c r="AM618">
        <v>0</v>
      </c>
      <c r="AN618">
        <v>0</v>
      </c>
      <c r="AO618">
        <v>1.1261804985451818E-5</v>
      </c>
      <c r="AP618">
        <v>0</v>
      </c>
      <c r="AQ618">
        <v>0</v>
      </c>
      <c r="AR618" t="str">
        <v>32193r1.par</v>
      </c>
      <c r="AV618" t="str">
        <v>255,255,91</v>
      </c>
      <c r="AW618" s="31">
        <v>78</v>
      </c>
      <c r="AX618" s="31">
        <v>77.999988738195015</v>
      </c>
      <c r="AY618" s="31">
        <v>1.1261804985451818E-5</v>
      </c>
    </row>
    <row r="619" spans="31:51" x14ac:dyDescent="0.25">
      <c r="AE619">
        <v>2.2280000000000002</v>
      </c>
      <c r="AF619">
        <v>2</v>
      </c>
      <c r="AG619">
        <v>2</v>
      </c>
      <c r="AH619">
        <v>2</v>
      </c>
      <c r="AI619">
        <v>3.0000000000291038</v>
      </c>
      <c r="AJ619">
        <v>2.2282300000000004</v>
      </c>
      <c r="AK619">
        <v>2.2281300000000002</v>
      </c>
      <c r="AL619">
        <v>0</v>
      </c>
      <c r="AM619">
        <v>0</v>
      </c>
      <c r="AN619">
        <v>0</v>
      </c>
      <c r="AO619">
        <v>6.9804433889870694</v>
      </c>
      <c r="AP619">
        <v>0</v>
      </c>
      <c r="AQ619">
        <v>0</v>
      </c>
      <c r="AR619" t="str">
        <v>1313.par</v>
      </c>
      <c r="AV619" t="str">
        <v>255,255,91</v>
      </c>
      <c r="AW619" s="31">
        <v>59.199999999999989</v>
      </c>
      <c r="AX619" s="31">
        <v>52.219556611012919</v>
      </c>
      <c r="AY619" s="31">
        <v>6.9804433889870694</v>
      </c>
    </row>
    <row r="620" spans="31:51" x14ac:dyDescent="0.25">
      <c r="AE620">
        <v>2.222</v>
      </c>
      <c r="AF620">
        <v>2</v>
      </c>
      <c r="AG620">
        <v>2</v>
      </c>
      <c r="AH620">
        <v>2</v>
      </c>
      <c r="AI620">
        <v>3.0000000000291038</v>
      </c>
      <c r="AJ620">
        <v>2.2222300000000001</v>
      </c>
      <c r="AK620">
        <v>2.2221299999999999</v>
      </c>
      <c r="AL620">
        <v>0</v>
      </c>
      <c r="AM620">
        <v>0</v>
      </c>
      <c r="AN620">
        <v>0</v>
      </c>
      <c r="AO620">
        <v>3.295026927613371</v>
      </c>
      <c r="AP620">
        <v>0</v>
      </c>
      <c r="AQ620">
        <v>0</v>
      </c>
      <c r="AR620" t="str">
        <v>1313.par</v>
      </c>
      <c r="AV620" t="str">
        <v>255,255,91</v>
      </c>
      <c r="AW620" s="31">
        <v>40.300000000000011</v>
      </c>
      <c r="AX620" s="31">
        <v>37.00497307238664</v>
      </c>
      <c r="AY620" s="31">
        <v>3.295026927613371</v>
      </c>
    </row>
    <row r="621" spans="31:51" x14ac:dyDescent="0.25">
      <c r="AE621">
        <v>2.2160000000000002</v>
      </c>
      <c r="AF621">
        <v>2</v>
      </c>
      <c r="AG621">
        <v>2</v>
      </c>
      <c r="AH621">
        <v>2</v>
      </c>
      <c r="AI621">
        <v>3.0000000000291038</v>
      </c>
      <c r="AJ621">
        <v>2.2162300000000004</v>
      </c>
      <c r="AK621">
        <v>2.2161300000000002</v>
      </c>
      <c r="AL621">
        <v>0</v>
      </c>
      <c r="AM621">
        <v>0</v>
      </c>
      <c r="AN621">
        <v>0</v>
      </c>
      <c r="AO621">
        <v>-0.45723742182249083</v>
      </c>
      <c r="AP621">
        <v>0</v>
      </c>
      <c r="AQ621">
        <v>0</v>
      </c>
      <c r="AR621" t="str">
        <v>1310.par</v>
      </c>
      <c r="AV621" t="str">
        <v>255,255,91</v>
      </c>
      <c r="AW621" s="31">
        <v>21.200000000000003</v>
      </c>
      <c r="AX621" s="31">
        <v>21.657237421822494</v>
      </c>
      <c r="AY621" s="31">
        <v>-0.45723742182249083</v>
      </c>
    </row>
    <row r="622" spans="31:51" x14ac:dyDescent="0.25">
      <c r="AE622">
        <v>2.1459999999999999</v>
      </c>
      <c r="AF622">
        <v>2</v>
      </c>
      <c r="AG622">
        <v>1</v>
      </c>
      <c r="AH622">
        <v>2</v>
      </c>
      <c r="AI622">
        <v>2.999999999992724</v>
      </c>
      <c r="AJ622">
        <v>2.1462300000000001</v>
      </c>
      <c r="AK622">
        <v>2.1461299999999999</v>
      </c>
      <c r="AL622">
        <v>0</v>
      </c>
      <c r="AM622">
        <v>0</v>
      </c>
      <c r="AN622">
        <v>0</v>
      </c>
      <c r="AO622">
        <v>3.2264474746469318E-2</v>
      </c>
      <c r="AP622">
        <v>0</v>
      </c>
      <c r="AQ622">
        <v>0</v>
      </c>
      <c r="AR622" t="str">
        <v>1613.par</v>
      </c>
      <c r="AV622" t="str">
        <v>204,204,0</v>
      </c>
      <c r="AW622" s="31">
        <v>85</v>
      </c>
      <c r="AX622" s="31">
        <v>84.967735525253531</v>
      </c>
      <c r="AY622" s="31">
        <v>3.2264474746469318E-2</v>
      </c>
    </row>
    <row r="623" spans="31:51" x14ac:dyDescent="0.25">
      <c r="AE623">
        <v>2.14</v>
      </c>
      <c r="AF623">
        <v>2</v>
      </c>
      <c r="AG623">
        <v>1</v>
      </c>
      <c r="AH623">
        <v>2</v>
      </c>
      <c r="AI623">
        <v>3.0000000000291038</v>
      </c>
      <c r="AJ623">
        <v>2.1402300000000003</v>
      </c>
      <c r="AK623">
        <v>2.1401300000000001</v>
      </c>
      <c r="AL623">
        <v>0</v>
      </c>
      <c r="AM623">
        <v>0</v>
      </c>
      <c r="AN623">
        <v>0</v>
      </c>
      <c r="AO623">
        <v>2.5502047015971669</v>
      </c>
      <c r="AP623">
        <v>0</v>
      </c>
      <c r="AQ623">
        <v>0</v>
      </c>
      <c r="AR623" t="str">
        <v>1613.par</v>
      </c>
      <c r="AV623" t="str">
        <v>204,204,0</v>
      </c>
      <c r="AW623" s="31">
        <v>85</v>
      </c>
      <c r="AX623" s="31">
        <v>82.449795298402833</v>
      </c>
      <c r="AY623" s="31">
        <v>2.5502047015971669</v>
      </c>
    </row>
    <row r="624" spans="31:51" x14ac:dyDescent="0.25">
      <c r="AE624">
        <v>2.1339999999999999</v>
      </c>
      <c r="AF624">
        <v>2</v>
      </c>
      <c r="AG624">
        <v>1</v>
      </c>
      <c r="AH624">
        <v>2</v>
      </c>
      <c r="AI624">
        <v>2.999999999992724</v>
      </c>
      <c r="AJ624">
        <v>2.1342300000000001</v>
      </c>
      <c r="AK624">
        <v>2.1341299999999999</v>
      </c>
      <c r="AL624">
        <v>0</v>
      </c>
      <c r="AM624">
        <v>0</v>
      </c>
      <c r="AN624">
        <v>0</v>
      </c>
      <c r="AO624">
        <v>10.679971308715224</v>
      </c>
      <c r="AP624">
        <v>0</v>
      </c>
      <c r="AQ624">
        <v>0</v>
      </c>
      <c r="AR624" t="str">
        <v>1613.par</v>
      </c>
      <c r="AV624" t="str">
        <v>204,204,0</v>
      </c>
      <c r="AW624" s="31">
        <v>78</v>
      </c>
      <c r="AX624" s="31">
        <v>67.320028691284776</v>
      </c>
      <c r="AY624" s="31">
        <v>10.679971308715224</v>
      </c>
    </row>
    <row r="625" spans="31:51" x14ac:dyDescent="0.25">
      <c r="AE625">
        <v>2.1280000000000001</v>
      </c>
      <c r="AF625">
        <v>2</v>
      </c>
      <c r="AG625">
        <v>1</v>
      </c>
      <c r="AH625">
        <v>2</v>
      </c>
      <c r="AI625">
        <v>3.0000000000291038</v>
      </c>
      <c r="AJ625">
        <v>2.1282300000000003</v>
      </c>
      <c r="AK625">
        <v>2.1281300000000001</v>
      </c>
      <c r="AL625">
        <v>0</v>
      </c>
      <c r="AM625">
        <v>0</v>
      </c>
      <c r="AN625">
        <v>0</v>
      </c>
      <c r="AO625">
        <v>7.0697613264663985</v>
      </c>
      <c r="AP625">
        <v>0</v>
      </c>
      <c r="AQ625">
        <v>0</v>
      </c>
      <c r="AR625" t="str">
        <v>1613.par</v>
      </c>
      <c r="AV625" t="str">
        <v>204,204,0</v>
      </c>
      <c r="AW625" s="31">
        <v>59.199999999999989</v>
      </c>
      <c r="AX625" s="31">
        <v>52.13023867353359</v>
      </c>
      <c r="AY625" s="31">
        <v>7.0697613264663985</v>
      </c>
    </row>
    <row r="626" spans="31:51" x14ac:dyDescent="0.25">
      <c r="AE626">
        <v>2.1219999999999999</v>
      </c>
      <c r="AF626">
        <v>2</v>
      </c>
      <c r="AG626">
        <v>1</v>
      </c>
      <c r="AH626">
        <v>2</v>
      </c>
      <c r="AI626">
        <v>2.999999999992724</v>
      </c>
      <c r="AJ626">
        <v>2.1222300000000001</v>
      </c>
      <c r="AK626">
        <v>2.1221299999999998</v>
      </c>
      <c r="AL626">
        <v>0</v>
      </c>
      <c r="AM626">
        <v>0</v>
      </c>
      <c r="AN626">
        <v>0</v>
      </c>
      <c r="AO626">
        <v>3.4657256136569927</v>
      </c>
      <c r="AP626">
        <v>0</v>
      </c>
      <c r="AQ626">
        <v>0</v>
      </c>
      <c r="AR626" t="str">
        <v>1613.par</v>
      </c>
      <c r="AV626" t="str">
        <v>204,204,0</v>
      </c>
      <c r="AW626" s="31">
        <v>40.300000000000011</v>
      </c>
      <c r="AX626" s="31">
        <v>36.834274386343019</v>
      </c>
      <c r="AY626" s="31">
        <v>3.4657256136569927</v>
      </c>
    </row>
    <row r="627" spans="31:51" x14ac:dyDescent="0.25">
      <c r="AE627">
        <v>2.1160000000000001</v>
      </c>
      <c r="AF627">
        <v>2</v>
      </c>
      <c r="AG627">
        <v>1</v>
      </c>
      <c r="AH627">
        <v>2</v>
      </c>
      <c r="AI627">
        <v>3.0000000000291038</v>
      </c>
      <c r="AJ627">
        <v>2.1162300000000003</v>
      </c>
      <c r="AK627">
        <v>2.1161300000000001</v>
      </c>
      <c r="AL627">
        <v>0</v>
      </c>
      <c r="AM627">
        <v>0</v>
      </c>
      <c r="AN627">
        <v>0</v>
      </c>
      <c r="AO627">
        <v>-0.13095463878370595</v>
      </c>
      <c r="AP627">
        <v>0</v>
      </c>
      <c r="AQ627">
        <v>0</v>
      </c>
      <c r="AR627" t="str">
        <v>1613.par</v>
      </c>
      <c r="AV627" t="str">
        <v>204,204,0</v>
      </c>
      <c r="AW627" s="31">
        <v>21.200000000000003</v>
      </c>
      <c r="AX627" s="31">
        <v>21.330954638783709</v>
      </c>
      <c r="AY627" s="31">
        <v>-0.13095463878370595</v>
      </c>
    </row>
    <row r="628" spans="31:51" x14ac:dyDescent="0.25">
      <c r="AE628">
        <v>2.11</v>
      </c>
      <c r="AF628">
        <v>2</v>
      </c>
      <c r="AG628">
        <v>1</v>
      </c>
      <c r="AH628">
        <v>2</v>
      </c>
      <c r="AI628">
        <v>2.999999999992724</v>
      </c>
      <c r="AJ628">
        <v>2.1102300000000001</v>
      </c>
      <c r="AK628">
        <v>2.1101299999999998</v>
      </c>
      <c r="AL628">
        <v>0</v>
      </c>
      <c r="AM628">
        <v>0</v>
      </c>
      <c r="AN628">
        <v>0</v>
      </c>
      <c r="AO628">
        <v>-3.7616718774737503</v>
      </c>
      <c r="AP628">
        <v>0</v>
      </c>
      <c r="AQ628">
        <v>0</v>
      </c>
      <c r="AR628" t="str">
        <v>1613.par</v>
      </c>
      <c r="AV628" t="str">
        <v>204,204,0</v>
      </c>
      <c r="AW628" s="31">
        <v>2.0999999999999943</v>
      </c>
      <c r="AX628" s="31">
        <v>5.8616718774737446</v>
      </c>
      <c r="AY628" s="31">
        <v>-3.7616718774737503</v>
      </c>
    </row>
    <row r="629" spans="31:51" x14ac:dyDescent="0.25">
      <c r="AE629">
        <v>1.2410000000000001</v>
      </c>
      <c r="AF629">
        <v>1</v>
      </c>
      <c r="AG629">
        <v>2</v>
      </c>
      <c r="AH629">
        <v>2</v>
      </c>
      <c r="AI629">
        <v>3.0000000000109139</v>
      </c>
      <c r="AJ629">
        <v>1.2412300000000001</v>
      </c>
      <c r="AK629">
        <v>1.2411300000000001</v>
      </c>
      <c r="AL629">
        <v>0</v>
      </c>
      <c r="AM629">
        <v>0</v>
      </c>
      <c r="AN629">
        <v>0</v>
      </c>
      <c r="AO629">
        <v>1.2272479821717752E-5</v>
      </c>
      <c r="AP629">
        <v>0</v>
      </c>
      <c r="AQ629">
        <v>0</v>
      </c>
      <c r="AR629" t="str">
        <v>32193r1.par</v>
      </c>
      <c r="AV629" t="str">
        <v>255,188,121</v>
      </c>
      <c r="AW629" s="31">
        <v>85</v>
      </c>
      <c r="AX629" s="31">
        <v>84.999987727520178</v>
      </c>
      <c r="AY629" s="31">
        <v>1.2272479821717752E-5</v>
      </c>
    </row>
    <row r="630" spans="31:51" x14ac:dyDescent="0.25">
      <c r="AE630">
        <v>1.2350000000000001</v>
      </c>
      <c r="AF630">
        <v>1</v>
      </c>
      <c r="AG630">
        <v>2</v>
      </c>
      <c r="AH630">
        <v>2</v>
      </c>
      <c r="AI630">
        <v>3.0000000000109139</v>
      </c>
      <c r="AJ630">
        <v>1.2352300000000001</v>
      </c>
      <c r="AK630">
        <v>1.2351300000000001</v>
      </c>
      <c r="AL630">
        <v>0</v>
      </c>
      <c r="AM630">
        <v>0</v>
      </c>
      <c r="AN630">
        <v>0</v>
      </c>
      <c r="AO630">
        <v>11.154255004256711</v>
      </c>
      <c r="AP630">
        <v>0</v>
      </c>
      <c r="AQ630">
        <v>0</v>
      </c>
      <c r="AR630" t="str">
        <v>1313.par</v>
      </c>
      <c r="AV630" t="str">
        <v>255,188,121</v>
      </c>
      <c r="AW630" s="31">
        <v>81</v>
      </c>
      <c r="AX630" s="31">
        <v>69.845744995743289</v>
      </c>
      <c r="AY630" s="31">
        <v>11.154255004256711</v>
      </c>
    </row>
    <row r="631" spans="31:51" x14ac:dyDescent="0.25">
      <c r="AE631">
        <v>1.2290000000000001</v>
      </c>
      <c r="AF631">
        <v>1</v>
      </c>
      <c r="AG631">
        <v>2</v>
      </c>
      <c r="AH631">
        <v>2</v>
      </c>
      <c r="AI631">
        <v>3.0000000000109139</v>
      </c>
      <c r="AJ631">
        <v>1.22923</v>
      </c>
      <c r="AK631">
        <v>1.2291300000000001</v>
      </c>
      <c r="AL631">
        <v>0</v>
      </c>
      <c r="AM631">
        <v>0</v>
      </c>
      <c r="AN631">
        <v>0</v>
      </c>
      <c r="AO631">
        <v>7.7308828931205866</v>
      </c>
      <c r="AP631">
        <v>0</v>
      </c>
      <c r="AQ631">
        <v>0</v>
      </c>
      <c r="AR631" t="str">
        <v>1313.par</v>
      </c>
      <c r="AV631" t="str">
        <v>255,188,121</v>
      </c>
      <c r="AW631" s="31">
        <v>62.400000000000006</v>
      </c>
      <c r="AX631" s="31">
        <v>54.669117106879419</v>
      </c>
      <c r="AY631" s="31">
        <v>7.7308828931205866</v>
      </c>
    </row>
    <row r="632" spans="31:51" x14ac:dyDescent="0.25">
      <c r="AE632">
        <v>1.2230000000000001</v>
      </c>
      <c r="AF632">
        <v>1</v>
      </c>
      <c r="AG632">
        <v>2</v>
      </c>
      <c r="AH632">
        <v>2</v>
      </c>
      <c r="AI632">
        <v>3.0000000000109139</v>
      </c>
      <c r="AJ632">
        <v>1.22323</v>
      </c>
      <c r="AK632">
        <v>1.2231300000000001</v>
      </c>
      <c r="AL632">
        <v>0</v>
      </c>
      <c r="AM632">
        <v>0</v>
      </c>
      <c r="AN632">
        <v>0</v>
      </c>
      <c r="AO632">
        <v>4.003222708769222</v>
      </c>
      <c r="AP632">
        <v>0</v>
      </c>
      <c r="AQ632">
        <v>0</v>
      </c>
      <c r="AR632" t="str">
        <v>1313.par</v>
      </c>
      <c r="AV632" t="str">
        <v>255,188,121</v>
      </c>
      <c r="AW632" s="31">
        <v>43.400000000000006</v>
      </c>
      <c r="AX632" s="31">
        <v>39.396777291230784</v>
      </c>
      <c r="AY632" s="31">
        <v>4.003222708769222</v>
      </c>
    </row>
    <row r="633" spans="31:51" x14ac:dyDescent="0.25">
      <c r="AE633">
        <v>1.2170000000000001</v>
      </c>
      <c r="AF633">
        <v>1</v>
      </c>
      <c r="AG633">
        <v>2</v>
      </c>
      <c r="AH633">
        <v>2</v>
      </c>
      <c r="AI633">
        <v>3.0000000000109139</v>
      </c>
      <c r="AJ633">
        <v>1.21723</v>
      </c>
      <c r="AK633">
        <v>1.21713</v>
      </c>
      <c r="AL633">
        <v>0</v>
      </c>
      <c r="AM633">
        <v>0</v>
      </c>
      <c r="AN633">
        <v>0</v>
      </c>
      <c r="AO633">
        <v>0.35954544606591554</v>
      </c>
      <c r="AP633">
        <v>0</v>
      </c>
      <c r="AQ633">
        <v>0</v>
      </c>
      <c r="AR633" t="str">
        <v>1313.par</v>
      </c>
      <c r="AV633" t="str">
        <v>255,188,121</v>
      </c>
      <c r="AW633" s="31">
        <v>24.299999999999997</v>
      </c>
      <c r="AX633" s="31">
        <v>23.940454553934082</v>
      </c>
      <c r="AY633" s="31">
        <v>0.35954544606591554</v>
      </c>
    </row>
    <row r="634" spans="31:51" x14ac:dyDescent="0.25">
      <c r="AE634">
        <v>1.2110000000000001</v>
      </c>
      <c r="AF634">
        <v>1</v>
      </c>
      <c r="AG634">
        <v>2</v>
      </c>
      <c r="AH634">
        <v>2</v>
      </c>
      <c r="AI634">
        <v>3.0000000000109139</v>
      </c>
      <c r="AJ634">
        <v>1.21123</v>
      </c>
      <c r="AK634">
        <v>1.21113</v>
      </c>
      <c r="AL634">
        <v>0</v>
      </c>
      <c r="AM634">
        <v>0</v>
      </c>
      <c r="AN634">
        <v>0</v>
      </c>
      <c r="AO634">
        <v>-3.1563376107190741</v>
      </c>
      <c r="AP634">
        <v>0</v>
      </c>
      <c r="AQ634">
        <v>0</v>
      </c>
      <c r="AR634" t="str">
        <v>1310.par</v>
      </c>
      <c r="AV634" t="str">
        <v>255,188,121</v>
      </c>
      <c r="AW634" s="31">
        <v>5.2999999999999972</v>
      </c>
      <c r="AX634" s="31">
        <v>8.4563376107190713</v>
      </c>
      <c r="AY634" s="31">
        <v>-3.1563376107190741</v>
      </c>
    </row>
    <row r="635" spans="31:51" x14ac:dyDescent="0.25">
      <c r="AE635">
        <v>1.141</v>
      </c>
      <c r="AF635">
        <v>1</v>
      </c>
      <c r="AG635">
        <v>1</v>
      </c>
      <c r="AH635">
        <v>2</v>
      </c>
      <c r="AI635">
        <v>2.999999999992724</v>
      </c>
      <c r="AJ635">
        <v>1.14123</v>
      </c>
      <c r="AK635">
        <v>1.14113</v>
      </c>
      <c r="AL635">
        <v>0</v>
      </c>
      <c r="AM635">
        <v>0</v>
      </c>
      <c r="AN635">
        <v>0</v>
      </c>
      <c r="AO635">
        <v>3.226447474649774E-2</v>
      </c>
      <c r="AP635">
        <v>0</v>
      </c>
      <c r="AQ635">
        <v>0</v>
      </c>
      <c r="AR635" t="str">
        <v>1613.par</v>
      </c>
      <c r="AV635" t="str">
        <v>255,127,0</v>
      </c>
      <c r="AW635" s="31">
        <v>85</v>
      </c>
      <c r="AX635" s="31">
        <v>84.967735525253502</v>
      </c>
      <c r="AY635" s="31">
        <v>3.226447474649774E-2</v>
      </c>
    </row>
    <row r="636" spans="31:51" x14ac:dyDescent="0.25">
      <c r="AE636">
        <v>1.135</v>
      </c>
      <c r="AF636">
        <v>1</v>
      </c>
      <c r="AG636">
        <v>1</v>
      </c>
      <c r="AH636">
        <v>2</v>
      </c>
      <c r="AI636">
        <v>2.999999999992724</v>
      </c>
      <c r="AJ636">
        <v>1.13523</v>
      </c>
      <c r="AK636">
        <v>1.13513</v>
      </c>
      <c r="AL636">
        <v>0</v>
      </c>
      <c r="AM636">
        <v>0</v>
      </c>
      <c r="AN636">
        <v>0</v>
      </c>
      <c r="AO636">
        <v>11.154991649722874</v>
      </c>
      <c r="AP636">
        <v>0</v>
      </c>
      <c r="AQ636">
        <v>0</v>
      </c>
      <c r="AR636" t="str">
        <v>1613 Ripper.par</v>
      </c>
      <c r="AV636" t="str">
        <v>255,127,0</v>
      </c>
      <c r="AW636" s="31">
        <v>81</v>
      </c>
      <c r="AX636" s="31">
        <v>69.845008350277126</v>
      </c>
      <c r="AY636" s="31">
        <v>11.154991649722874</v>
      </c>
    </row>
    <row r="637" spans="31:51" x14ac:dyDescent="0.25">
      <c r="AE637">
        <v>1.129</v>
      </c>
      <c r="AF637">
        <v>1</v>
      </c>
      <c r="AG637">
        <v>1</v>
      </c>
      <c r="AH637">
        <v>2</v>
      </c>
      <c r="AI637">
        <v>2.999999999992724</v>
      </c>
      <c r="AJ637">
        <v>1.12923</v>
      </c>
      <c r="AK637">
        <v>1.12913</v>
      </c>
      <c r="AL637">
        <v>0</v>
      </c>
      <c r="AM637">
        <v>0</v>
      </c>
      <c r="AN637">
        <v>0</v>
      </c>
      <c r="AO637">
        <v>7.7324296597404398</v>
      </c>
      <c r="AP637">
        <v>0</v>
      </c>
      <c r="AQ637">
        <v>0</v>
      </c>
      <c r="AR637" t="str">
        <v>1613 Ripper.par</v>
      </c>
      <c r="AV637" t="str">
        <v>255,127,0</v>
      </c>
      <c r="AW637" s="31">
        <v>62.400000000000006</v>
      </c>
      <c r="AX637" s="31">
        <v>54.667570340259566</v>
      </c>
      <c r="AY637" s="31">
        <v>7.7324296597404398</v>
      </c>
    </row>
    <row r="638" spans="31:51" x14ac:dyDescent="0.25">
      <c r="AE638">
        <v>1.123</v>
      </c>
      <c r="AF638">
        <v>1</v>
      </c>
      <c r="AG638">
        <v>1</v>
      </c>
      <c r="AH638">
        <v>2</v>
      </c>
      <c r="AI638">
        <v>2.999999999992724</v>
      </c>
      <c r="AJ638">
        <v>1.12323</v>
      </c>
      <c r="AK638">
        <v>1.12313</v>
      </c>
      <c r="AL638">
        <v>0</v>
      </c>
      <c r="AM638">
        <v>0</v>
      </c>
      <c r="AN638">
        <v>0</v>
      </c>
      <c r="AO638">
        <v>4.0058143265623443</v>
      </c>
      <c r="AP638">
        <v>0</v>
      </c>
      <c r="AQ638">
        <v>0</v>
      </c>
      <c r="AR638" t="str">
        <v>1613 Ripper.par</v>
      </c>
      <c r="AV638" t="str">
        <v>255,127,0</v>
      </c>
      <c r="AW638" s="31">
        <v>43.400000000000006</v>
      </c>
      <c r="AX638" s="31">
        <v>39.394185673437661</v>
      </c>
      <c r="AY638" s="31">
        <v>4.0058143265623443</v>
      </c>
    </row>
    <row r="639" spans="31:51" x14ac:dyDescent="0.25">
      <c r="AE639">
        <v>1.117</v>
      </c>
      <c r="AF639">
        <v>1</v>
      </c>
      <c r="AG639">
        <v>1</v>
      </c>
      <c r="AH639">
        <v>2</v>
      </c>
      <c r="AI639">
        <v>2.999999999992724</v>
      </c>
      <c r="AJ639">
        <v>1.1172299999999999</v>
      </c>
      <c r="AK639">
        <v>1.11713</v>
      </c>
      <c r="AL639">
        <v>0</v>
      </c>
      <c r="AM639">
        <v>0</v>
      </c>
      <c r="AN639">
        <v>0</v>
      </c>
      <c r="AO639">
        <v>0.36324376630745192</v>
      </c>
      <c r="AP639">
        <v>0</v>
      </c>
      <c r="AQ639">
        <v>0</v>
      </c>
      <c r="AR639" t="str">
        <v>1613 Ripper.par</v>
      </c>
      <c r="AV639" t="str">
        <v>255,127,0</v>
      </c>
      <c r="AW639" s="31">
        <v>24.299999999999997</v>
      </c>
      <c r="AX639" s="31">
        <v>23.936756233692545</v>
      </c>
      <c r="AY639" s="31">
        <v>0.36324376630745192</v>
      </c>
    </row>
    <row r="640" spans="31:51" x14ac:dyDescent="0.25">
      <c r="AE640">
        <v>1.111</v>
      </c>
      <c r="AF640">
        <v>1</v>
      </c>
      <c r="AG640">
        <v>1</v>
      </c>
      <c r="AH640">
        <v>2</v>
      </c>
      <c r="AI640">
        <v>2.999999999992724</v>
      </c>
      <c r="AJ640">
        <v>1.1112299999999999</v>
      </c>
      <c r="AK640">
        <v>1.11113</v>
      </c>
      <c r="AL640">
        <v>0</v>
      </c>
      <c r="AM640">
        <v>0</v>
      </c>
      <c r="AN640">
        <v>0</v>
      </c>
      <c r="AO640">
        <v>-3.1534739187834582</v>
      </c>
      <c r="AP640">
        <v>0</v>
      </c>
      <c r="AQ640">
        <v>0</v>
      </c>
      <c r="AR640" t="str">
        <v>1613 Ripper.par</v>
      </c>
      <c r="AV640" t="str">
        <v>255,127,0</v>
      </c>
      <c r="AW640" s="31">
        <v>5.2999999999999972</v>
      </c>
      <c r="AX640" s="31">
        <v>8.4534739187834553</v>
      </c>
      <c r="AY640" s="31">
        <v>-3.1534739187834582</v>
      </c>
    </row>
    <row r="641" spans="31:51" x14ac:dyDescent="0.25">
      <c r="AE641">
        <v>1.107</v>
      </c>
      <c r="AF641">
        <v>1</v>
      </c>
      <c r="AG641">
        <v>1</v>
      </c>
      <c r="AH641">
        <v>2</v>
      </c>
      <c r="AI641">
        <v>2.999999999992724</v>
      </c>
      <c r="AJ641">
        <v>1.1072299999999999</v>
      </c>
      <c r="AK641">
        <v>1.1071299999999999</v>
      </c>
      <c r="AL641">
        <v>0</v>
      </c>
      <c r="AM641">
        <v>0</v>
      </c>
      <c r="AN641">
        <v>0</v>
      </c>
      <c r="AO641">
        <v>-10.984975850707613</v>
      </c>
      <c r="AP641">
        <v>0</v>
      </c>
      <c r="AQ641">
        <v>0</v>
      </c>
      <c r="AR641" t="str">
        <v>1613.par</v>
      </c>
      <c r="AV641" t="str">
        <v>255,127,0</v>
      </c>
      <c r="AW641" s="31">
        <v>-13.200000000000003</v>
      </c>
      <c r="AX641" s="31">
        <v>-2.2150241492923901</v>
      </c>
      <c r="AY641" s="31">
        <v>-10.984975850707613</v>
      </c>
    </row>
    <row r="642" spans="31:51" x14ac:dyDescent="0.25">
      <c r="AE642">
        <v>1.1040000000000001</v>
      </c>
      <c r="AF642">
        <v>1</v>
      </c>
      <c r="AG642">
        <v>1</v>
      </c>
      <c r="AH642">
        <v>2</v>
      </c>
      <c r="AI642">
        <v>3.0000000000109139</v>
      </c>
      <c r="AJ642">
        <v>1.10423</v>
      </c>
      <c r="AK642">
        <v>1.1041300000000001</v>
      </c>
      <c r="AL642">
        <v>0</v>
      </c>
      <c r="AM642">
        <v>0</v>
      </c>
      <c r="AN642">
        <v>0</v>
      </c>
      <c r="AO642">
        <v>-13.322155429435966</v>
      </c>
      <c r="AP642">
        <v>0</v>
      </c>
      <c r="AQ642">
        <v>0</v>
      </c>
      <c r="AR642" t="str">
        <v>1613.par</v>
      </c>
      <c r="AV642" t="str">
        <v>255,127,0</v>
      </c>
      <c r="AW642" s="31">
        <v>-20</v>
      </c>
      <c r="AX642" s="31">
        <v>-6.6778445705640328</v>
      </c>
      <c r="AY642" s="31">
        <v>-13.322155429435966</v>
      </c>
    </row>
    <row r="643" spans="31:51" x14ac:dyDescent="0.25">
      <c r="AE643">
        <v>1.101</v>
      </c>
      <c r="AF643">
        <v>1</v>
      </c>
      <c r="AG643">
        <v>1</v>
      </c>
      <c r="AH643">
        <v>2</v>
      </c>
      <c r="AI643">
        <v>2.999999999992724</v>
      </c>
      <c r="AJ643">
        <v>1.1012299999999999</v>
      </c>
      <c r="AK643">
        <v>1.1011299999999999</v>
      </c>
      <c r="AL643">
        <v>0</v>
      </c>
      <c r="AM643">
        <v>0</v>
      </c>
      <c r="AN643">
        <v>0</v>
      </c>
      <c r="AO643">
        <v>-3.6521269963714893</v>
      </c>
      <c r="AP643">
        <v>0</v>
      </c>
      <c r="AQ643">
        <v>0</v>
      </c>
      <c r="AR643" t="str">
        <v>1613.par</v>
      </c>
      <c r="AV643" t="str">
        <v>255,127,0</v>
      </c>
      <c r="AW643" s="31">
        <v>-20</v>
      </c>
      <c r="AX643" s="31">
        <v>-16.347873003628511</v>
      </c>
      <c r="AY643" s="31">
        <v>-3.6521269963714893</v>
      </c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9" priority="175" stopIfTrue="1" operator="between">
      <formula>9</formula>
      <formula>9.99</formula>
    </cfRule>
    <cfRule type="cellIs" dxfId="58" priority="176" stopIfTrue="1" operator="between">
      <formula>8</formula>
      <formula>8.99</formula>
    </cfRule>
    <cfRule type="cellIs" dxfId="57" priority="177" stopIfTrue="1" operator="between">
      <formula>7</formula>
      <formula>7.99</formula>
    </cfRule>
    <cfRule type="cellIs" dxfId="56" priority="178" stopIfTrue="1" operator="between">
      <formula>6</formula>
      <formula>6.99</formula>
    </cfRule>
    <cfRule type="cellIs" dxfId="55" priority="179" stopIfTrue="1" operator="between">
      <formula>5</formula>
      <formula>5.99</formula>
    </cfRule>
    <cfRule type="cellIs" dxfId="54" priority="180" stopIfTrue="1" operator="between">
      <formula>4</formula>
      <formula>4.99</formula>
    </cfRule>
    <cfRule type="cellIs" dxfId="53" priority="181" stopIfTrue="1" operator="between">
      <formula>3</formula>
      <formula>3.99</formula>
    </cfRule>
    <cfRule type="cellIs" dxfId="52" priority="182" stopIfTrue="1" operator="between">
      <formula>2</formula>
      <formula>2.99</formula>
    </cfRule>
    <cfRule type="cellIs" dxfId="51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0" priority="61" stopIfTrue="1" operator="between">
      <formula>9</formula>
      <formula>9.99</formula>
    </cfRule>
    <cfRule type="cellIs" dxfId="49" priority="62" stopIfTrue="1" operator="between">
      <formula>8</formula>
      <formula>8.99</formula>
    </cfRule>
    <cfRule type="cellIs" dxfId="48" priority="63" stopIfTrue="1" operator="between">
      <formula>7</formula>
      <formula>7.99</formula>
    </cfRule>
    <cfRule type="cellIs" dxfId="47" priority="64" stopIfTrue="1" operator="between">
      <formula>6</formula>
      <formula>6.99</formula>
    </cfRule>
    <cfRule type="cellIs" dxfId="46" priority="65" stopIfTrue="1" operator="between">
      <formula>5</formula>
      <formula>5.99</formula>
    </cfRule>
    <cfRule type="cellIs" dxfId="45" priority="66" stopIfTrue="1" operator="between">
      <formula>4</formula>
      <formula>4.99</formula>
    </cfRule>
    <cfRule type="cellIs" dxfId="44" priority="67" stopIfTrue="1" operator="between">
      <formula>3</formula>
      <formula>3.99</formula>
    </cfRule>
    <cfRule type="cellIs" dxfId="43" priority="68" stopIfTrue="1" operator="between">
      <formula>2</formula>
      <formula>2.99</formula>
    </cfRule>
    <cfRule type="cellIs" dxfId="42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41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0" priority="1" stopIfTrue="1" operator="between">
      <formula>9</formula>
      <formula>9.99</formula>
    </cfRule>
    <cfRule type="cellIs" dxfId="39" priority="2" stopIfTrue="1" operator="between">
      <formula>8</formula>
      <formula>8.99</formula>
    </cfRule>
    <cfRule type="cellIs" dxfId="38" priority="3" stopIfTrue="1" operator="between">
      <formula>7</formula>
      <formula>7.99</formula>
    </cfRule>
    <cfRule type="cellIs" dxfId="37" priority="4" stopIfTrue="1" operator="between">
      <formula>6</formula>
      <formula>6.99</formula>
    </cfRule>
    <cfRule type="cellIs" dxfId="36" priority="5" stopIfTrue="1" operator="between">
      <formula>5</formula>
      <formula>5.99</formula>
    </cfRule>
    <cfRule type="cellIs" dxfId="35" priority="6" stopIfTrue="1" operator="between">
      <formula>4</formula>
      <formula>4.99</formula>
    </cfRule>
    <cfRule type="cellIs" dxfId="34" priority="7" stopIfTrue="1" operator="between">
      <formula>3</formula>
      <formula>3.99</formula>
    </cfRule>
    <cfRule type="cellIs" dxfId="33" priority="8" stopIfTrue="1" operator="between">
      <formula>2</formula>
      <formula>2.99</formula>
    </cfRule>
    <cfRule type="cellIs" dxfId="32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72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72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72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72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72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72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72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72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72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72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72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72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72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72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72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72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72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72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72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72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72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72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72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72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72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72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72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72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72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72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72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72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72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72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72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72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72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72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72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72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72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72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72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72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72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72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72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72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72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72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72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72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72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72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72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72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72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72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72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72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72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72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72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72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72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72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72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72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72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72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72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72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72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72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72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72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72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72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72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72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92" t="str">
        <f>CONCATENATE(Settings!$C$19," ",Settings!$B$28)</f>
        <v>9.875 8896r00</v>
      </c>
      <c r="D1" s="1192"/>
      <c r="E1" s="1192"/>
      <c r="F1" s="1192"/>
      <c r="G1" s="1192"/>
      <c r="H1" s="1192"/>
      <c r="I1" s="1192"/>
      <c r="J1" s="1192"/>
      <c r="K1" s="1192"/>
      <c r="M1" s="103" t="s">
        <v>310</v>
      </c>
      <c r="N1" s="1389" t="s">
        <v>312</v>
      </c>
      <c r="O1" s="1389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8" t="str">
        <f>Settings!B28</f>
        <v>8896r00</v>
      </c>
      <c r="C2" s="1399"/>
      <c r="D2" s="1399"/>
      <c r="E2" s="1399"/>
      <c r="F2" s="1399"/>
      <c r="G2" s="1399"/>
      <c r="H2" s="1399"/>
      <c r="I2" s="1399"/>
      <c r="J2" s="1399"/>
      <c r="K2" s="1400"/>
      <c r="L2" s="1058" t="str" cm="1">
        <f t="array" ref="L2">IF(OR($K$9:$K$150="Undefined"),"Undefined Element","")</f>
        <v/>
      </c>
      <c r="M2" s="1395" t="s">
        <v>0</v>
      </c>
      <c r="N2" s="1170" t="s">
        <v>1</v>
      </c>
      <c r="O2" s="1171"/>
      <c r="P2" s="1171"/>
      <c r="Q2" s="1171"/>
      <c r="R2" s="1171"/>
      <c r="S2" s="1171"/>
      <c r="T2" s="1171"/>
      <c r="U2" s="1171"/>
      <c r="V2" s="1171"/>
      <c r="W2" s="1171"/>
      <c r="X2" s="1171"/>
      <c r="Y2" s="1245"/>
      <c r="Z2" s="1170" t="s">
        <v>2</v>
      </c>
      <c r="AA2" s="1171"/>
      <c r="AB2" s="1171"/>
      <c r="AC2" s="1171"/>
      <c r="AD2" s="1171"/>
      <c r="AE2" s="1171"/>
      <c r="AF2" s="1171"/>
      <c r="AG2" s="1171"/>
      <c r="AH2" s="1171"/>
      <c r="AI2" s="1171"/>
      <c r="AJ2" s="1171"/>
      <c r="AK2" s="1171"/>
      <c r="AL2" s="1171"/>
      <c r="AM2" s="1171"/>
      <c r="AN2" s="1171"/>
      <c r="AO2" s="1171"/>
      <c r="AP2" s="1171"/>
      <c r="AQ2" s="1172"/>
      <c r="AS2" s="1251" t="s">
        <v>44</v>
      </c>
      <c r="AT2" s="1252"/>
      <c r="AV2" s="1411" t="str">
        <f>M2</f>
        <v>CS-Name</v>
      </c>
      <c r="AW2" s="1425"/>
      <c r="AX2" s="1425"/>
      <c r="AY2" s="1425"/>
      <c r="AZ2" s="1425"/>
      <c r="BA2" s="1425"/>
      <c r="BB2" s="1425"/>
      <c r="BC2" s="1426"/>
      <c r="BF2" s="1418" t="s">
        <v>313</v>
      </c>
      <c r="BG2" s="1419"/>
      <c r="BH2" s="1419"/>
      <c r="BI2" s="1419"/>
      <c r="BJ2" s="1419"/>
      <c r="BK2" s="1420"/>
      <c r="BM2" s="1435" t="s">
        <v>270</v>
      </c>
      <c r="BN2" s="1290"/>
      <c r="BO2" s="1290"/>
      <c r="BP2" s="1291"/>
      <c r="BR2" s="1435" t="s">
        <v>270</v>
      </c>
      <c r="BS2" s="1290"/>
      <c r="BT2" s="1290"/>
      <c r="BU2" s="129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94"/>
      <c r="C3" s="1195"/>
      <c r="D3" s="1195"/>
      <c r="E3" s="1195"/>
      <c r="F3" s="1195"/>
      <c r="G3" s="1195"/>
      <c r="H3" s="1195"/>
      <c r="I3" s="1195"/>
      <c r="J3" s="1195"/>
      <c r="K3" s="1196"/>
      <c r="L3" s="1058"/>
      <c r="M3" s="1396"/>
      <c r="N3" s="1246"/>
      <c r="O3" s="1247"/>
      <c r="P3" s="1247"/>
      <c r="Q3" s="1247"/>
      <c r="R3" s="1247"/>
      <c r="S3" s="1247"/>
      <c r="T3" s="1247"/>
      <c r="U3" s="1247"/>
      <c r="V3" s="1247"/>
      <c r="W3" s="1247"/>
      <c r="X3" s="1247"/>
      <c r="Y3" s="1248"/>
      <c r="Z3" s="1034"/>
      <c r="AA3" s="1035"/>
      <c r="AB3" s="1035"/>
      <c r="AC3" s="1035"/>
      <c r="AD3" s="1035"/>
      <c r="AE3" s="1035"/>
      <c r="AF3" s="1035"/>
      <c r="AG3" s="1035"/>
      <c r="AH3" s="1035"/>
      <c r="AI3" s="1035"/>
      <c r="AJ3" s="1035"/>
      <c r="AK3" s="1035"/>
      <c r="AL3" s="1035"/>
      <c r="AM3" s="1035"/>
      <c r="AN3" s="1035"/>
      <c r="AO3" s="1035"/>
      <c r="AP3" s="1035"/>
      <c r="AQ3" s="1173"/>
      <c r="AS3" s="415">
        <v>100</v>
      </c>
      <c r="AT3" s="412" t="s">
        <v>45</v>
      </c>
      <c r="AV3" s="1412"/>
      <c r="AW3" s="1427"/>
      <c r="AX3" s="1427"/>
      <c r="AY3" s="1427"/>
      <c r="AZ3" s="1427"/>
      <c r="BA3" s="1427"/>
      <c r="BB3" s="1427"/>
      <c r="BC3" s="1428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12" t="s">
        <v>307</v>
      </c>
      <c r="C4" s="1169"/>
      <c r="D4" s="1169"/>
      <c r="E4" s="1169"/>
      <c r="F4" s="1169"/>
      <c r="G4" s="1169"/>
      <c r="H4" s="1169"/>
      <c r="I4" s="1169"/>
      <c r="J4" s="1169"/>
      <c r="K4" s="1401"/>
      <c r="L4" s="1058"/>
      <c r="M4" s="1396"/>
      <c r="N4" s="1213" t="s">
        <v>3</v>
      </c>
      <c r="O4" s="1210"/>
      <c r="P4" s="1210"/>
      <c r="Q4" s="1209" t="s">
        <v>4</v>
      </c>
      <c r="R4" s="1210"/>
      <c r="S4" s="1228"/>
      <c r="T4" s="1222" t="str">
        <f>N4</f>
        <v>Cartesian Coordinates</v>
      </c>
      <c r="U4" s="1177"/>
      <c r="V4" s="1223"/>
      <c r="W4" s="1177" t="str">
        <f>Q4</f>
        <v>Polar XY; Cartesian Z</v>
      </c>
      <c r="X4" s="1177"/>
      <c r="Y4" s="1193"/>
      <c r="Z4" s="1391" t="s">
        <v>3</v>
      </c>
      <c r="AA4" s="1392"/>
      <c r="AB4" s="1392"/>
      <c r="AC4" s="1392"/>
      <c r="AD4" s="1392"/>
      <c r="AE4" s="1392"/>
      <c r="AF4" s="1392"/>
      <c r="AG4" s="1431" t="s">
        <v>31</v>
      </c>
      <c r="AH4" s="1392"/>
      <c r="AI4" s="1392"/>
      <c r="AJ4" s="1432"/>
      <c r="AK4" s="1438" t="s">
        <v>32</v>
      </c>
      <c r="AL4" s="1439"/>
      <c r="AM4" s="1439"/>
      <c r="AN4" s="1439"/>
      <c r="AO4" s="1439"/>
      <c r="AP4" s="1439"/>
      <c r="AQ4" s="1440"/>
      <c r="AS4" s="416">
        <v>0</v>
      </c>
      <c r="AT4" s="413" t="s">
        <v>46</v>
      </c>
      <c r="AV4" s="1412"/>
      <c r="AW4" s="1429"/>
      <c r="AX4" s="1429"/>
      <c r="AY4" s="1429"/>
      <c r="AZ4" s="1430"/>
      <c r="BA4" s="1429" t="str">
        <f>Z2</f>
        <v>PDC Orientation</v>
      </c>
      <c r="BB4" s="1429"/>
      <c r="BC4" s="1430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80" t="s">
        <v>372</v>
      </c>
      <c r="IF4" s="1080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94" t="str">
        <f>CONCATENATE(B7," ; ",E7," ; ",H8)</f>
        <v>Absolute-Point ; Incremental-Vector Point ; Radius</v>
      </c>
      <c r="C5" s="1195"/>
      <c r="D5" s="1195"/>
      <c r="E5" s="1195"/>
      <c r="F5" s="1195"/>
      <c r="G5" s="1195"/>
      <c r="H5" s="1195"/>
      <c r="I5" s="1195"/>
      <c r="J5" s="1195"/>
      <c r="K5" s="1196"/>
      <c r="L5" s="813" t="str" cm="1">
        <f t="array" ref="L5">IF(OR(IF(LEFT($K$9:$K$150,4)="&lt;&gt;CS",TRUE,FALSE)),"Wrong CS","")</f>
        <v/>
      </c>
      <c r="M5" s="1396"/>
      <c r="N5" s="1233" t="s">
        <v>5</v>
      </c>
      <c r="O5" s="1234"/>
      <c r="P5" s="1234"/>
      <c r="Q5" s="1286" t="s">
        <v>6</v>
      </c>
      <c r="R5" s="1234"/>
      <c r="S5" s="1272"/>
      <c r="T5" s="1239" t="str">
        <f>CONCATENATE("Relative to ",M8,"'s θ &amp; Z; Z Axis")</f>
        <v>Relative to 's θ &amp; Z; Z Axis</v>
      </c>
      <c r="U5" s="1184"/>
      <c r="V5" s="1263"/>
      <c r="W5" s="1184" t="str">
        <f>CONCATENATE("Relative to ",M8,"'s θ &amp; Z; Z Axis")</f>
        <v>Relative to 's θ &amp; Z; Z Axis</v>
      </c>
      <c r="X5" s="1184"/>
      <c r="Y5" s="1224"/>
      <c r="Z5" s="1214" t="str">
        <f>N5</f>
        <v>Relative to World_CS</v>
      </c>
      <c r="AA5" s="1184"/>
      <c r="AB5" s="1184"/>
      <c r="AC5" s="1184"/>
      <c r="AD5" s="1184"/>
      <c r="AE5" s="1184"/>
      <c r="AF5" s="1184"/>
      <c r="AG5" s="1239" t="str">
        <f>N5</f>
        <v>Relative to World_CS</v>
      </c>
      <c r="AH5" s="1184"/>
      <c r="AI5" s="1184"/>
      <c r="AJ5" s="1185"/>
      <c r="AK5" s="1271" t="s">
        <v>7</v>
      </c>
      <c r="AL5" s="1234"/>
      <c r="AM5" s="1234"/>
      <c r="AN5" s="1234"/>
      <c r="AO5" s="1234"/>
      <c r="AP5" s="1234"/>
      <c r="AQ5" s="1272"/>
      <c r="AS5" s="167">
        <f>(((AS4*12)/60)/AS3)</f>
        <v>0</v>
      </c>
      <c r="AT5" s="413" t="s">
        <v>47</v>
      </c>
      <c r="AV5" s="1412"/>
      <c r="AW5" s="1222" t="str">
        <f>W4</f>
        <v>Polar XY; Cartesian Z</v>
      </c>
      <c r="AX5" s="1177"/>
      <c r="AY5" s="1177"/>
      <c r="AZ5" s="1061" t="s">
        <v>104</v>
      </c>
      <c r="BA5" s="1177" t="str">
        <f>AK4</f>
        <v>Polar Z Projection → XZ Plane</v>
      </c>
      <c r="BB5" s="1177"/>
      <c r="BC5" s="1178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1058" t="str" cm="1">
        <f t="array" ref="L6">IF(OR($K$9:$K$150="Inactive"),"Inactive Element","")</f>
        <v/>
      </c>
      <c r="M6" s="1396"/>
      <c r="N6" s="1229" t="s">
        <v>8</v>
      </c>
      <c r="O6" s="1231" t="s">
        <v>9</v>
      </c>
      <c r="P6" s="1284" t="s">
        <v>10</v>
      </c>
      <c r="Q6" s="1235" t="s">
        <v>11</v>
      </c>
      <c r="R6" s="1236"/>
      <c r="S6" s="1225" t="s">
        <v>10</v>
      </c>
      <c r="T6" s="1259" t="str">
        <f>N6</f>
        <v>X</v>
      </c>
      <c r="U6" s="1261" t="str">
        <f>O6</f>
        <v>Y</v>
      </c>
      <c r="V6" s="1220" t="str">
        <f>P6</f>
        <v>Z</v>
      </c>
      <c r="W6" s="1179" t="str">
        <f>Q6</f>
        <v>Projected XY</v>
      </c>
      <c r="X6" s="1180"/>
      <c r="Y6" s="1257" t="str">
        <f>S6</f>
        <v>Z</v>
      </c>
      <c r="Z6" s="1241" t="s">
        <v>12</v>
      </c>
      <c r="AA6" s="1204"/>
      <c r="AB6" s="1204"/>
      <c r="AC6" s="1242"/>
      <c r="AD6" s="1209" t="s">
        <v>13</v>
      </c>
      <c r="AE6" s="1210"/>
      <c r="AF6" s="1210"/>
      <c r="AG6" s="1240" t="s">
        <v>7</v>
      </c>
      <c r="AH6" s="1210"/>
      <c r="AI6" s="1209" t="s">
        <v>14</v>
      </c>
      <c r="AJ6" s="1228"/>
      <c r="AK6" s="1222" t="str">
        <f>AD6</f>
        <v>Unit Vector</v>
      </c>
      <c r="AL6" s="1177"/>
      <c r="AM6" s="1178"/>
      <c r="AN6" s="34" t="s">
        <v>15</v>
      </c>
      <c r="AO6" s="35" t="s">
        <v>16</v>
      </c>
      <c r="AP6" s="680" t="s">
        <v>17</v>
      </c>
      <c r="AQ6" s="1393" t="s">
        <v>108</v>
      </c>
      <c r="AS6" s="168">
        <f>(AS5/360)</f>
        <v>0</v>
      </c>
      <c r="AT6" s="414" t="s">
        <v>48</v>
      </c>
      <c r="AV6" s="1412"/>
      <c r="AW6" s="1239" t="str">
        <f>W5</f>
        <v>Relative to 's θ &amp; Z; Z Axis</v>
      </c>
      <c r="AX6" s="1184"/>
      <c r="AY6" s="1184"/>
      <c r="AZ6" s="1408"/>
      <c r="BA6" s="1184" t="str">
        <f>AK5</f>
        <v>Vector Along X Axis</v>
      </c>
      <c r="BB6" s="1184"/>
      <c r="BC6" s="1185"/>
      <c r="BD6" s="417"/>
      <c r="BF6" s="410">
        <f>SUM(AZ9:AZ150)</f>
        <v>0</v>
      </c>
      <c r="BG6" s="1390" t="s">
        <v>309</v>
      </c>
      <c r="BH6" s="1390"/>
      <c r="BI6" s="1390"/>
      <c r="BJ6" s="1390"/>
      <c r="BK6" s="1390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15" t="s">
        <v>40</v>
      </c>
      <c r="C7" s="1216"/>
      <c r="D7" s="1217"/>
      <c r="E7" s="1218" t="s">
        <v>41</v>
      </c>
      <c r="F7" s="1216"/>
      <c r="G7" s="1219"/>
      <c r="H7" s="992" t="s">
        <v>305</v>
      </c>
      <c r="I7" s="993"/>
      <c r="J7" s="994"/>
      <c r="K7" s="488"/>
      <c r="L7" s="1058"/>
      <c r="M7" s="1397"/>
      <c r="N7" s="1230"/>
      <c r="O7" s="1232"/>
      <c r="P7" s="1285"/>
      <c r="Q7" s="36" t="s">
        <v>18</v>
      </c>
      <c r="R7" s="2" t="s">
        <v>19</v>
      </c>
      <c r="S7" s="1226"/>
      <c r="T7" s="1260"/>
      <c r="U7" s="1262"/>
      <c r="V7" s="1221"/>
      <c r="W7" s="37" t="str">
        <f>Q7</f>
        <v>&lt; θ°</v>
      </c>
      <c r="X7" s="27" t="str">
        <f>R7</f>
        <v>r</v>
      </c>
      <c r="Y7" s="125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94"/>
      <c r="AS7" s="1433" t="s">
        <v>54</v>
      </c>
      <c r="AT7" s="1436" t="s">
        <v>53</v>
      </c>
      <c r="AV7" s="1412"/>
      <c r="AW7" s="1407" t="str">
        <f>$W$6</f>
        <v>Projected XY</v>
      </c>
      <c r="AX7" s="1180"/>
      <c r="AY7" s="1409" t="str">
        <f>$Y$6</f>
        <v>Z</v>
      </c>
      <c r="AZ7" s="1408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90"/>
      <c r="BH7" s="1390"/>
      <c r="BI7" s="1390"/>
      <c r="BJ7" s="1390"/>
      <c r="BK7" s="1390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78" t="s">
        <v>33</v>
      </c>
      <c r="IH7" s="1076" t="s">
        <v>376</v>
      </c>
      <c r="II7" s="1059" t="s">
        <v>324</v>
      </c>
      <c r="IJ7" s="1060"/>
      <c r="IK7" s="1060"/>
      <c r="IL7" s="993"/>
      <c r="IM7" s="993"/>
      <c r="IN7" s="993"/>
      <c r="IO7" s="994"/>
      <c r="IP7" s="992" t="s">
        <v>320</v>
      </c>
      <c r="IQ7" s="993"/>
      <c r="IR7" s="993"/>
      <c r="IS7" s="993"/>
      <c r="IT7" s="993"/>
      <c r="IU7" s="992" t="s">
        <v>319</v>
      </c>
      <c r="IV7" s="993"/>
      <c r="IW7" s="993"/>
      <c r="IX7" s="993"/>
      <c r="IY7" s="994"/>
      <c r="JA7" s="725"/>
      <c r="JB7" s="1441" t="s">
        <v>355</v>
      </c>
      <c r="JC7" s="1287"/>
      <c r="JD7" s="1287"/>
      <c r="JE7" s="128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5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34"/>
      <c r="AT8" s="1437"/>
      <c r="AV8" s="1413"/>
      <c r="AW8" s="46" t="str">
        <f>$W$7</f>
        <v>&lt; θ°</v>
      </c>
      <c r="AX8" s="27" t="str">
        <f>$X$7</f>
        <v>r</v>
      </c>
      <c r="AY8" s="1410"/>
      <c r="AZ8" s="1062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079"/>
      <c r="IH8" s="1077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289" t="s">
        <v>356</v>
      </c>
      <c r="JC19" s="1290"/>
      <c r="JD19" s="1290"/>
      <c r="JE19" s="1290"/>
      <c r="JF19" s="1290"/>
      <c r="JG19" s="1290"/>
      <c r="JH19" s="1290"/>
      <c r="JI19" s="129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292" t="s">
        <v>360</v>
      </c>
      <c r="JC20" s="1293"/>
      <c r="JD20" s="1293"/>
      <c r="JE20" s="1293"/>
      <c r="JF20" s="1053" t="s">
        <v>361</v>
      </c>
      <c r="JG20" s="1054"/>
      <c r="JH20" s="1054"/>
      <c r="JI20" s="1055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137"/>
      <c r="JC21" s="1138"/>
      <c r="JD21" s="1138"/>
      <c r="JE21" s="1138"/>
      <c r="JF21" s="1056" t="s">
        <v>349</v>
      </c>
      <c r="JG21" s="1057"/>
      <c r="JH21" s="1294" t="s">
        <v>362</v>
      </c>
      <c r="JI21" s="1295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05" t="str">
        <f>$W$6</f>
        <v>Projected XY</v>
      </c>
      <c r="AX152" s="1406"/>
      <c r="AY152" s="1423" t="str">
        <f>$Y$6</f>
        <v>Z</v>
      </c>
      <c r="AZ152" s="1421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24"/>
      <c r="AZ153" s="1422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200" t="s">
        <v>42</v>
      </c>
      <c r="C157" s="1201"/>
      <c r="D157" s="1201"/>
      <c r="E157" s="1201"/>
      <c r="F157" s="1201"/>
      <c r="G157" s="1201"/>
      <c r="H157" s="1201"/>
      <c r="I157" s="1201"/>
      <c r="J157" s="1201"/>
      <c r="K157" s="1202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03"/>
      <c r="C158" s="1204"/>
      <c r="D158" s="1204"/>
      <c r="E158" s="1204"/>
      <c r="F158" s="1204"/>
      <c r="G158" s="1204"/>
      <c r="H158" s="1204"/>
      <c r="I158" s="1204"/>
      <c r="J158" s="1204"/>
      <c r="K158" s="1205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06"/>
      <c r="C159" s="1207"/>
      <c r="D159" s="1207"/>
      <c r="E159" s="1207"/>
      <c r="F159" s="1207"/>
      <c r="G159" s="1207"/>
      <c r="H159" s="1207"/>
      <c r="I159" s="1207"/>
      <c r="J159" s="1207"/>
      <c r="K159" s="1208"/>
      <c r="AQ159" s="162"/>
      <c r="BD159" s="417"/>
    </row>
    <row r="160" spans="1:259" ht="15" customHeight="1" x14ac:dyDescent="0.25">
      <c r="B160" s="1194" t="str">
        <f>CONCATENATE(B162," ; ",E162," ; ",H163)</f>
        <v>Absolute-Point ; Incremental-Vector Point ; Radius</v>
      </c>
      <c r="C160" s="1195"/>
      <c r="D160" s="1195"/>
      <c r="E160" s="1195"/>
      <c r="F160" s="1195"/>
      <c r="G160" s="1195"/>
      <c r="H160" s="1195"/>
      <c r="I160" s="1195"/>
      <c r="J160" s="1195"/>
      <c r="K160" s="1196"/>
      <c r="AQ160" s="162"/>
      <c r="BD160" s="417"/>
    </row>
    <row r="161" spans="2:56" ht="15" customHeight="1" x14ac:dyDescent="0.25">
      <c r="B161" s="1197"/>
      <c r="C161" s="1198"/>
      <c r="D161" s="1198"/>
      <c r="E161" s="1198"/>
      <c r="F161" s="1198"/>
      <c r="G161" s="1198"/>
      <c r="H161" s="1198"/>
      <c r="I161" s="1198"/>
      <c r="J161" s="1198"/>
      <c r="K161" s="1199"/>
      <c r="AQ161" s="162"/>
      <c r="BD161" s="417"/>
    </row>
    <row r="162" spans="2:56" ht="15" customHeight="1" x14ac:dyDescent="0.25">
      <c r="B162" s="1215" t="s">
        <v>40</v>
      </c>
      <c r="C162" s="1216"/>
      <c r="D162" s="1217"/>
      <c r="E162" s="1218" t="s">
        <v>41</v>
      </c>
      <c r="F162" s="1216"/>
      <c r="G162" s="1219"/>
      <c r="H162" s="992" t="s">
        <v>305</v>
      </c>
      <c r="I162" s="993"/>
      <c r="J162" s="994"/>
      <c r="K162" s="488"/>
      <c r="M162" s="1016" t="s">
        <v>304</v>
      </c>
      <c r="N162" s="1402"/>
      <c r="O162" s="1414" t="s">
        <v>283</v>
      </c>
      <c r="P162" s="1415"/>
      <c r="Q162" s="1416"/>
      <c r="R162" s="1417" t="s">
        <v>41</v>
      </c>
      <c r="S162" s="1415"/>
      <c r="T162" s="1416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03"/>
      <c r="N163" s="140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1.2110000000000001</v>
      </c>
      <c r="N173" s="810">
        <f>Assy.Model!K18</f>
        <v>1310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1.2170000000000001</v>
      </c>
      <c r="N174" s="810">
        <f>Assy.Model!K19</f>
        <v>1313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1.2230000000000001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1.2290000000000001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1.2350000000000001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1.2410000000000001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2.11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2.1160000000000001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2.1219999999999999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2.1280000000000001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2.1339999999999999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2.14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2.1459999999999999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2.2160000000000002</v>
      </c>
      <c r="N186" s="810">
        <f>Assy.Model!K31</f>
        <v>1310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2.222</v>
      </c>
      <c r="N187" s="810">
        <f>Assy.Model!K32</f>
        <v>1313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2.2280000000000002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2.234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2.2400000000000002</v>
      </c>
      <c r="N190" s="810" t="str">
        <f>Assy.Model!K35</f>
        <v>CPS-32193r1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2.246</v>
      </c>
      <c r="N191" s="810" t="str">
        <f>Assy.Model!K36</f>
        <v>CPS-32193r1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3.1019999999999999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3.105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3.1080000000000001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3.113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3.1190000000000002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3.125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3.1309999999999998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3.137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3.1429999999999998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3.2130000000000001</v>
      </c>
      <c r="N201" s="810">
        <f>Assy.Model!K46</f>
        <v>1310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3.2189999999999999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3.2250000000000001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3.2309999999999999</v>
      </c>
      <c r="N204" s="810">
        <f>Assy.Model!K49</f>
        <v>1313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3.2370000000000001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3.2429999999999999</v>
      </c>
      <c r="N206" s="810" t="str">
        <f>Assy.Model!K51</f>
        <v>CPS-32193r1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4.1120000000000001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4.1180000000000003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4.1239999999999997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4.13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4.1360000000000001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4.1420000000000003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4.218</v>
      </c>
      <c r="N213" s="810">
        <f>Assy.Model!K58</f>
        <v>1310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4.2240000000000002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4.2300000000000004</v>
      </c>
      <c r="N215" s="810" t="str">
        <f>Assy.Model!K60</f>
        <v>CPS-32193r1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4.2359999999999998</v>
      </c>
      <c r="N216" s="810" t="str">
        <f>Assy.Model!K61</f>
        <v>CPS-32193r1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4.242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5.1029999999999998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5.1059999999999999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5.109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5.1150000000000002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5.1210000000000004</v>
      </c>
      <c r="N222" s="810">
        <f>Assy.Model!K67</f>
        <v>1613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5.1269999999999998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5.133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5.1390000000000002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5.1449999999999996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5.2149999999999999</v>
      </c>
      <c r="N227" s="810">
        <f>Assy.Model!K72</f>
        <v>1310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5.2210000000000001</v>
      </c>
      <c r="N228" s="810">
        <f>Assy.Model!K73</f>
        <v>1313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5.2270000000000003</v>
      </c>
      <c r="N229" s="810">
        <f>Assy.Model!K74</f>
        <v>1313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5.2329999999999997</v>
      </c>
      <c r="N230" s="810">
        <f>Assy.Model!K75</f>
        <v>1313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5.2389999999999999</v>
      </c>
      <c r="N231" s="810" t="str">
        <f>Assy.Model!K76</f>
        <v>CPS-32193r1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5.2450000000000001</v>
      </c>
      <c r="N232" s="810" t="str">
        <f>Assy.Model!K77</f>
        <v>CPS-32193r1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6.1139999999999999</v>
      </c>
      <c r="N233" s="810">
        <f>Assy.Model!K78</f>
        <v>1613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6.12</v>
      </c>
      <c r="N234" s="810">
        <f>Assy.Model!K79</f>
        <v>1613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6.1260000000000003</v>
      </c>
      <c r="N235" s="810">
        <f>Assy.Model!K80</f>
        <v>1613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6.1319999999999997</v>
      </c>
      <c r="N236" s="810">
        <f>Assy.Model!K81</f>
        <v>1613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6.1379999999999999</v>
      </c>
      <c r="N237" s="810">
        <f>Assy.Model!K82</f>
        <v>1613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6.1440000000000001</v>
      </c>
      <c r="N238" s="810">
        <f>Assy.Model!K83</f>
        <v>1613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6.22</v>
      </c>
      <c r="N239" s="810">
        <f>Assy.Model!K84</f>
        <v>1310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6.226</v>
      </c>
      <c r="N240" s="810">
        <f>Assy.Model!K85</f>
        <v>1313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6.2320000000000002</v>
      </c>
      <c r="N241" s="810" t="str">
        <f>Assy.Model!K86</f>
        <v>CPS-32193r1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6.2380000000000004</v>
      </c>
      <c r="N242" s="810" t="str">
        <f>Assy.Model!K87</f>
        <v>CPS-32193r1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6.2439999999999998</v>
      </c>
      <c r="N243" s="810" t="str">
        <f>Assy.Model!K88</f>
        <v>CPS-32193r1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44" t="s">
        <v>33</v>
      </c>
      <c r="C7" s="1442" t="s">
        <v>105</v>
      </c>
      <c r="D7" s="1443"/>
      <c r="E7" s="1446" t="s">
        <v>110</v>
      </c>
    </row>
    <row r="8" spans="1:5" ht="15.75" thickBot="1" x14ac:dyDescent="0.3">
      <c r="A8" s="31" t="s">
        <v>421</v>
      </c>
      <c r="B8" s="1445"/>
      <c r="C8" s="955" t="s">
        <v>8</v>
      </c>
      <c r="D8" s="956" t="s">
        <v>9</v>
      </c>
      <c r="E8" s="1447"/>
    </row>
    <row r="9" spans="1:5" ht="15.75" thickTop="1" x14ac:dyDescent="0.25">
      <c r="A9" s="31">
        <f t="shared" ref="A9:A53" si="0">MOD(B9*10,1)*100</f>
        <v>0.99999999999997868</v>
      </c>
      <c r="B9" s="952">
        <v>1.101</v>
      </c>
      <c r="C9" s="957">
        <v>0.2011</v>
      </c>
      <c r="D9" s="958">
        <v>-0.20499999999999999</v>
      </c>
      <c r="E9" s="959">
        <v>7.7100000000000002E-2</v>
      </c>
    </row>
    <row r="10" spans="1:5" x14ac:dyDescent="0.25">
      <c r="A10" s="31">
        <f t="shared" si="0"/>
        <v>2.0000000000003126</v>
      </c>
      <c r="B10" s="953">
        <v>5.1020000000000003</v>
      </c>
      <c r="C10" s="960">
        <v>0.46260000000000001</v>
      </c>
      <c r="D10" s="961">
        <v>7.2700000000000001E-2</v>
      </c>
      <c r="E10" s="962">
        <v>5.7200000000000001E-2</v>
      </c>
    </row>
    <row r="11" spans="1:5" x14ac:dyDescent="0.25">
      <c r="A11" s="31">
        <f t="shared" si="0"/>
        <v>3.0000000000001137</v>
      </c>
      <c r="B11" s="953">
        <v>3.1030000000000002</v>
      </c>
      <c r="C11" s="960">
        <v>0.69930000000000003</v>
      </c>
      <c r="D11" s="961">
        <v>5.91E-2</v>
      </c>
      <c r="E11" s="962">
        <v>6.0400000000000002E-2</v>
      </c>
    </row>
    <row r="12" spans="1:5" x14ac:dyDescent="0.25">
      <c r="A12" s="31">
        <f t="shared" si="0"/>
        <v>4.0000000000000924</v>
      </c>
      <c r="B12" s="953">
        <v>1.1040000000000001</v>
      </c>
      <c r="C12" s="960">
        <v>0.93310000000000004</v>
      </c>
      <c r="D12" s="961">
        <v>3.9100000000000003E-2</v>
      </c>
      <c r="E12" s="962">
        <v>5.7200000000000001E-2</v>
      </c>
    </row>
    <row r="13" spans="1:5" x14ac:dyDescent="0.25">
      <c r="A13" s="31">
        <f t="shared" si="0"/>
        <v>5.0000000000004263</v>
      </c>
      <c r="B13" s="952">
        <v>5.1050000000000004</v>
      </c>
      <c r="C13" s="957">
        <v>1.161</v>
      </c>
      <c r="D13" s="958">
        <v>0.2661</v>
      </c>
      <c r="E13" s="959">
        <v>5.6800000000000003E-2</v>
      </c>
    </row>
    <row r="14" spans="1:5" x14ac:dyDescent="0.25">
      <c r="A14" s="31">
        <f t="shared" si="0"/>
        <v>5.9999999999998721</v>
      </c>
      <c r="B14" s="953">
        <v>3.1059999999999999</v>
      </c>
      <c r="C14" s="960">
        <v>1.3966000000000001</v>
      </c>
      <c r="D14" s="961">
        <v>0.24829999999999999</v>
      </c>
      <c r="E14" s="962">
        <v>6.0299999999999999E-2</v>
      </c>
    </row>
    <row r="15" spans="1:5" x14ac:dyDescent="0.25">
      <c r="A15" s="31">
        <f t="shared" si="0"/>
        <v>7.0000000000000284</v>
      </c>
      <c r="B15" s="953">
        <v>1.107</v>
      </c>
      <c r="C15" s="960">
        <v>1.6409</v>
      </c>
      <c r="D15" s="961">
        <v>0.2258</v>
      </c>
      <c r="E15" s="962">
        <v>6.1899999999999997E-2</v>
      </c>
    </row>
    <row r="16" spans="1:5" x14ac:dyDescent="0.25">
      <c r="A16" s="31">
        <f t="shared" si="0"/>
        <v>7.9999999999998295</v>
      </c>
      <c r="B16" s="953">
        <v>5.1079999999999997</v>
      </c>
      <c r="C16" s="960">
        <v>1.8936999999999999</v>
      </c>
      <c r="D16" s="961">
        <v>0.43959999999999999</v>
      </c>
      <c r="E16" s="962">
        <v>6.4399999999999999E-2</v>
      </c>
    </row>
    <row r="17" spans="1:5" x14ac:dyDescent="0.25">
      <c r="A17" s="31">
        <f t="shared" si="0"/>
        <v>8.9999999999999858</v>
      </c>
      <c r="B17" s="953">
        <v>3.109</v>
      </c>
      <c r="C17" s="960">
        <v>2.1025999999999998</v>
      </c>
      <c r="D17" s="961">
        <v>0.4032</v>
      </c>
      <c r="E17" s="962">
        <v>3.61E-2</v>
      </c>
    </row>
    <row r="18" spans="1:5" x14ac:dyDescent="0.25">
      <c r="A18" s="31">
        <f t="shared" si="0"/>
        <v>9.9999999999997868</v>
      </c>
      <c r="B18" s="953">
        <v>2.11</v>
      </c>
      <c r="C18" s="960">
        <v>2.2400000000000002</v>
      </c>
      <c r="D18" s="961">
        <v>0.36080000000000001</v>
      </c>
      <c r="E18" s="962">
        <v>3.6799999999999999E-2</v>
      </c>
    </row>
    <row r="19" spans="1:5" x14ac:dyDescent="0.25">
      <c r="A19" s="31">
        <f t="shared" si="0"/>
        <v>10.999999999999943</v>
      </c>
      <c r="B19" s="953">
        <v>1.111</v>
      </c>
      <c r="C19" s="960">
        <v>2.3776000000000002</v>
      </c>
      <c r="D19" s="961">
        <v>0.31919999999999998</v>
      </c>
      <c r="E19" s="962">
        <v>3.3799999999999997E-2</v>
      </c>
    </row>
    <row r="20" spans="1:5" x14ac:dyDescent="0.25">
      <c r="A20" s="31">
        <f t="shared" si="0"/>
        <v>12.000000000000455</v>
      </c>
      <c r="B20" s="953">
        <v>6.1120000000000001</v>
      </c>
      <c r="C20" s="960">
        <v>2.5207000000000002</v>
      </c>
      <c r="D20" s="961">
        <v>0.26779999999999998</v>
      </c>
      <c r="E20" s="962">
        <v>3.5200000000000002E-2</v>
      </c>
    </row>
    <row r="21" spans="1:5" x14ac:dyDescent="0.25">
      <c r="A21" s="31">
        <f t="shared" si="0"/>
        <v>13.000000000000256</v>
      </c>
      <c r="B21" s="953">
        <v>5.1130000000000004</v>
      </c>
      <c r="C21" s="960">
        <v>2.6514000000000002</v>
      </c>
      <c r="D21" s="961">
        <v>0.45669999999999999</v>
      </c>
      <c r="E21" s="962">
        <v>3.27E-2</v>
      </c>
    </row>
    <row r="22" spans="1:5" x14ac:dyDescent="0.25">
      <c r="A22" s="31">
        <f t="shared" si="0"/>
        <v>14.000000000000057</v>
      </c>
      <c r="B22" s="953">
        <v>4.1139999999999999</v>
      </c>
      <c r="C22" s="960">
        <v>2.7862</v>
      </c>
      <c r="D22" s="961">
        <v>0.38790000000000002</v>
      </c>
      <c r="E22" s="962">
        <v>3.61E-2</v>
      </c>
    </row>
    <row r="23" spans="1:5" x14ac:dyDescent="0.25">
      <c r="A23" s="31">
        <f t="shared" si="0"/>
        <v>15.000000000000213</v>
      </c>
      <c r="B23" s="953">
        <v>3.1150000000000002</v>
      </c>
      <c r="C23" s="960">
        <v>2.9211999999999998</v>
      </c>
      <c r="D23" s="961">
        <v>0.31390000000000001</v>
      </c>
      <c r="E23" s="962">
        <v>3.6299999999999999E-2</v>
      </c>
    </row>
    <row r="24" spans="1:5" x14ac:dyDescent="0.25">
      <c r="A24" s="31">
        <f t="shared" si="0"/>
        <v>16.000000000000014</v>
      </c>
      <c r="B24" s="953">
        <v>2.1160000000000001</v>
      </c>
      <c r="C24" s="960">
        <v>3.0628000000000002</v>
      </c>
      <c r="D24" s="961">
        <v>0.23039999999999999</v>
      </c>
      <c r="E24" s="962">
        <v>3.3700000000000001E-2</v>
      </c>
    </row>
    <row r="25" spans="1:5" x14ac:dyDescent="0.25">
      <c r="A25" s="31">
        <f t="shared" si="0"/>
        <v>16.999999999999993</v>
      </c>
      <c r="B25" s="953">
        <v>1.117</v>
      </c>
      <c r="C25" s="960">
        <v>3.1920000000000002</v>
      </c>
      <c r="D25" s="961">
        <v>0.13950000000000001</v>
      </c>
      <c r="E25" s="962">
        <v>3.1199999999999999E-2</v>
      </c>
    </row>
    <row r="26" spans="1:5" x14ac:dyDescent="0.25">
      <c r="A26" s="31">
        <f t="shared" si="0"/>
        <v>18.000000000000682</v>
      </c>
      <c r="B26" s="953">
        <v>6.1180000000000003</v>
      </c>
      <c r="C26" s="960">
        <v>3.3212999999999999</v>
      </c>
      <c r="D26" s="961">
        <v>0.29099999999999998</v>
      </c>
      <c r="E26" s="962">
        <v>3.2000000000000001E-2</v>
      </c>
    </row>
    <row r="27" spans="1:5" x14ac:dyDescent="0.25">
      <c r="A27" s="31">
        <f t="shared" si="0"/>
        <v>18.000000000000682</v>
      </c>
      <c r="B27" s="953">
        <v>6.1180000000000003</v>
      </c>
      <c r="C27" s="960">
        <v>3.3212999999999999</v>
      </c>
      <c r="D27" s="961">
        <v>0.29099999999999998</v>
      </c>
      <c r="E27" s="962">
        <v>3.2000000000000001E-2</v>
      </c>
    </row>
    <row r="28" spans="1:5" x14ac:dyDescent="0.25">
      <c r="A28" s="31">
        <f t="shared" si="0"/>
        <v>18.999999999999773</v>
      </c>
      <c r="B28" s="953">
        <v>5.1189999999999998</v>
      </c>
      <c r="C28" s="960">
        <v>3.44</v>
      </c>
      <c r="D28" s="961">
        <v>0.1875</v>
      </c>
      <c r="E28" s="962">
        <v>2.9100000000000001E-2</v>
      </c>
    </row>
    <row r="29" spans="1:5" x14ac:dyDescent="0.25">
      <c r="A29" s="31">
        <f t="shared" si="0"/>
        <v>20.000000000000284</v>
      </c>
      <c r="B29" s="953">
        <v>4.12</v>
      </c>
      <c r="C29" s="960">
        <v>3.5615000000000001</v>
      </c>
      <c r="D29" s="961">
        <v>7.8200000000000006E-2</v>
      </c>
      <c r="E29" s="962">
        <v>3.0099999999999998E-2</v>
      </c>
    </row>
    <row r="30" spans="1:5" x14ac:dyDescent="0.25">
      <c r="A30" s="31">
        <f t="shared" si="0"/>
        <v>21.000000000000085</v>
      </c>
      <c r="B30" s="953">
        <v>3.121</v>
      </c>
      <c r="C30" s="960">
        <v>3.6800999999999999</v>
      </c>
      <c r="D30" s="961">
        <v>-4.1399999999999999E-2</v>
      </c>
      <c r="E30" s="962">
        <v>2.9899999999999999E-2</v>
      </c>
    </row>
    <row r="31" spans="1:5" x14ac:dyDescent="0.25">
      <c r="A31" s="31">
        <f t="shared" si="0"/>
        <v>21.999999999999886</v>
      </c>
      <c r="B31" s="953">
        <v>2.1219999999999999</v>
      </c>
      <c r="C31" s="960">
        <v>3.7938000000000001</v>
      </c>
      <c r="D31" s="961">
        <v>-0.16739999999999999</v>
      </c>
      <c r="E31" s="962">
        <v>2.8000000000000001E-2</v>
      </c>
    </row>
    <row r="32" spans="1:5" x14ac:dyDescent="0.25">
      <c r="A32" s="31">
        <f t="shared" si="0"/>
        <v>23.000000000000043</v>
      </c>
      <c r="B32" s="953">
        <v>1.123</v>
      </c>
      <c r="C32" s="960">
        <v>3.9011999999999998</v>
      </c>
      <c r="D32" s="961">
        <v>-0.29699999999999999</v>
      </c>
      <c r="E32" s="962">
        <v>2.5399999999999999E-2</v>
      </c>
    </row>
    <row r="33" spans="1:5" x14ac:dyDescent="0.25">
      <c r="A33" s="31">
        <f t="shared" si="0"/>
        <v>23.999999999999488</v>
      </c>
      <c r="B33" s="953">
        <v>6.1239999999999997</v>
      </c>
      <c r="C33" s="960">
        <v>4.0052000000000003</v>
      </c>
      <c r="D33" s="961">
        <v>-0.1827</v>
      </c>
      <c r="E33" s="962">
        <v>2.5600000000000001E-2</v>
      </c>
    </row>
    <row r="34" spans="1:5" x14ac:dyDescent="0.25">
      <c r="A34" s="31">
        <f t="shared" si="0"/>
        <v>23.999999999999488</v>
      </c>
      <c r="B34" s="953">
        <v>6.1239999999999997</v>
      </c>
      <c r="C34" s="960">
        <v>4.0052000000000003</v>
      </c>
      <c r="D34" s="961">
        <v>-0.1827</v>
      </c>
      <c r="E34" s="962">
        <v>2.5600000000000001E-2</v>
      </c>
    </row>
    <row r="35" spans="1:5" x14ac:dyDescent="0.25">
      <c r="A35" s="31">
        <f t="shared" si="0"/>
        <v>25</v>
      </c>
      <c r="B35" s="953">
        <v>5.125</v>
      </c>
      <c r="C35" s="960">
        <v>4.0998000000000001</v>
      </c>
      <c r="D35" s="961">
        <v>-0.32050000000000001</v>
      </c>
      <c r="E35" s="962">
        <v>2.29E-2</v>
      </c>
    </row>
    <row r="36" spans="1:5" x14ac:dyDescent="0.25">
      <c r="A36" s="31">
        <f t="shared" si="0"/>
        <v>26.000000000000512</v>
      </c>
      <c r="B36" s="953">
        <v>4.1260000000000003</v>
      </c>
      <c r="C36" s="960">
        <v>4.1936</v>
      </c>
      <c r="D36" s="961">
        <v>-0.4632</v>
      </c>
      <c r="E36" s="962">
        <v>2.3E-2</v>
      </c>
    </row>
    <row r="37" spans="1:5" x14ac:dyDescent="0.25">
      <c r="A37" s="31">
        <f t="shared" si="0"/>
        <v>26.999999999999602</v>
      </c>
      <c r="B37" s="953">
        <v>3.1269999999999998</v>
      </c>
      <c r="C37" s="960">
        <v>4.2827999999999999</v>
      </c>
      <c r="D37" s="961">
        <v>-0.61480000000000001</v>
      </c>
      <c r="E37" s="962">
        <v>2.2200000000000001E-2</v>
      </c>
    </row>
    <row r="38" spans="1:5" x14ac:dyDescent="0.25">
      <c r="A38" s="31">
        <f t="shared" si="0"/>
        <v>28.000000000000114</v>
      </c>
      <c r="B38" s="953">
        <v>2.1280000000000001</v>
      </c>
      <c r="C38" s="960">
        <v>4.367</v>
      </c>
      <c r="D38" s="961">
        <v>-0.77129999999999999</v>
      </c>
      <c r="E38" s="962">
        <v>2.0199999999999999E-2</v>
      </c>
    </row>
    <row r="39" spans="1:5" x14ac:dyDescent="0.25">
      <c r="A39" s="31">
        <f t="shared" si="0"/>
        <v>28.999999999999915</v>
      </c>
      <c r="B39" s="953">
        <v>1.129</v>
      </c>
      <c r="C39" s="960">
        <v>4.4440999999999997</v>
      </c>
      <c r="D39" s="961">
        <v>-0.92930000000000001</v>
      </c>
      <c r="E39" s="962">
        <v>1.7899999999999999E-2</v>
      </c>
    </row>
    <row r="40" spans="1:5" x14ac:dyDescent="0.25">
      <c r="A40" s="31">
        <f t="shared" si="0"/>
        <v>29.999999999999716</v>
      </c>
      <c r="B40" s="953">
        <v>6.13</v>
      </c>
      <c r="C40" s="960">
        <v>4.5156999999999998</v>
      </c>
      <c r="D40" s="961">
        <v>-0.84099999999999997</v>
      </c>
      <c r="E40" s="962">
        <v>1.7399999999999999E-2</v>
      </c>
    </row>
    <row r="41" spans="1:5" x14ac:dyDescent="0.25">
      <c r="A41" s="31">
        <f t="shared" si="0"/>
        <v>29.999999999999716</v>
      </c>
      <c r="B41" s="953">
        <v>6.13</v>
      </c>
      <c r="C41" s="960">
        <v>4.5156999999999998</v>
      </c>
      <c r="D41" s="961">
        <v>-0.84099999999999997</v>
      </c>
      <c r="E41" s="962">
        <v>1.7399999999999999E-2</v>
      </c>
    </row>
    <row r="42" spans="1:5" x14ac:dyDescent="0.25">
      <c r="A42" s="31">
        <f t="shared" si="0"/>
        <v>31.000000000000227</v>
      </c>
      <c r="B42" s="953">
        <v>5.1310000000000002</v>
      </c>
      <c r="C42" s="960">
        <v>4.5797999999999996</v>
      </c>
      <c r="D42" s="961">
        <v>-1.0032000000000001</v>
      </c>
      <c r="E42" s="962">
        <v>1.5100000000000001E-2</v>
      </c>
    </row>
    <row r="43" spans="1:5" x14ac:dyDescent="0.25">
      <c r="A43" s="31">
        <f t="shared" si="0"/>
        <v>31.999999999999318</v>
      </c>
      <c r="B43" s="953">
        <v>4.1319999999999997</v>
      </c>
      <c r="C43" s="960">
        <v>4.6402000000000001</v>
      </c>
      <c r="D43" s="961">
        <v>-1.1688000000000001</v>
      </c>
      <c r="E43" s="962">
        <v>1.4500000000000001E-2</v>
      </c>
    </row>
    <row r="44" spans="1:5" x14ac:dyDescent="0.25">
      <c r="A44" s="31">
        <f t="shared" si="0"/>
        <v>32.999999999999829</v>
      </c>
      <c r="B44" s="953">
        <v>3.133</v>
      </c>
      <c r="C44" s="960">
        <v>4.6947999999999999</v>
      </c>
      <c r="D44" s="961">
        <v>-1.3412999999999999</v>
      </c>
      <c r="E44" s="962">
        <v>1.34E-2</v>
      </c>
    </row>
    <row r="45" spans="1:5" x14ac:dyDescent="0.25">
      <c r="A45" s="31">
        <f t="shared" si="0"/>
        <v>33.999999999999986</v>
      </c>
      <c r="B45" s="953">
        <v>2.1339999999999999</v>
      </c>
      <c r="C45" s="960">
        <v>4.7446999999999999</v>
      </c>
      <c r="D45" s="961">
        <v>-1.5189999999999999</v>
      </c>
      <c r="E45" s="962">
        <v>1.14E-2</v>
      </c>
    </row>
    <row r="46" spans="1:5" x14ac:dyDescent="0.25">
      <c r="A46" s="31">
        <f t="shared" si="0"/>
        <v>34.999999999999964</v>
      </c>
      <c r="B46" s="953">
        <v>1.135</v>
      </c>
      <c r="C46" s="960">
        <v>4.7872000000000003</v>
      </c>
      <c r="D46" s="961">
        <v>-1.696</v>
      </c>
      <c r="E46" s="962">
        <v>9.4999999999999998E-3</v>
      </c>
    </row>
    <row r="47" spans="1:5" x14ac:dyDescent="0.25">
      <c r="A47" s="31">
        <f t="shared" si="0"/>
        <v>35.999999999999943</v>
      </c>
      <c r="B47" s="953">
        <v>6.1360000000000001</v>
      </c>
      <c r="C47" s="960">
        <v>4.8231999999999999</v>
      </c>
      <c r="D47" s="961">
        <v>-1.6242000000000001</v>
      </c>
      <c r="E47" s="962">
        <v>8.5000000000000006E-3</v>
      </c>
    </row>
    <row r="48" spans="1:5" x14ac:dyDescent="0.25">
      <c r="A48" s="31">
        <f t="shared" si="0"/>
        <v>35.999999999999943</v>
      </c>
      <c r="B48" s="953">
        <v>6.1360000000000001</v>
      </c>
      <c r="C48" s="960">
        <v>4.8231999999999999</v>
      </c>
      <c r="D48" s="961">
        <v>-1.6242000000000001</v>
      </c>
      <c r="E48" s="962">
        <v>8.5000000000000006E-3</v>
      </c>
    </row>
    <row r="49" spans="1:5" x14ac:dyDescent="0.25">
      <c r="A49" s="31">
        <f t="shared" si="0"/>
        <v>36.999999999999744</v>
      </c>
      <c r="B49" s="953">
        <v>5.1369999999999996</v>
      </c>
      <c r="C49" s="960">
        <v>4.8535000000000004</v>
      </c>
      <c r="D49" s="961">
        <v>-1.8050999999999999</v>
      </c>
      <c r="E49" s="962">
        <v>6.6E-3</v>
      </c>
    </row>
    <row r="50" spans="1:5" x14ac:dyDescent="0.25">
      <c r="A50" s="31">
        <f t="shared" si="0"/>
        <v>37.999999999999545</v>
      </c>
      <c r="B50" s="953">
        <v>4.1379999999999999</v>
      </c>
      <c r="C50" s="960">
        <v>4.8780000000000001</v>
      </c>
      <c r="D50" s="961">
        <v>-1.9872000000000001</v>
      </c>
      <c r="E50" s="962">
        <v>5.3E-3</v>
      </c>
    </row>
    <row r="51" spans="1:5" x14ac:dyDescent="0.25">
      <c r="A51" s="31">
        <f t="shared" si="0"/>
        <v>38.999999999999702</v>
      </c>
      <c r="B51" s="953">
        <v>3.1389999999999998</v>
      </c>
      <c r="C51" s="960">
        <v>4.8963000000000001</v>
      </c>
      <c r="D51" s="961">
        <v>-2.1715</v>
      </c>
      <c r="E51" s="962">
        <v>3.5999999999999999E-3</v>
      </c>
    </row>
    <row r="52" spans="1:5" x14ac:dyDescent="0.25">
      <c r="A52" s="31">
        <f t="shared" si="0"/>
        <v>40.000000000000213</v>
      </c>
      <c r="B52" s="953">
        <v>2.14</v>
      </c>
      <c r="C52" s="960">
        <v>4.9076000000000004</v>
      </c>
      <c r="D52" s="961">
        <v>-2.3487</v>
      </c>
      <c r="E52" s="962">
        <v>1.8E-3</v>
      </c>
    </row>
    <row r="53" spans="1:5" x14ac:dyDescent="0.25">
      <c r="A53" s="31">
        <f t="shared" si="0"/>
        <v>41.000000000000014</v>
      </c>
      <c r="B53" s="953">
        <v>1.141</v>
      </c>
      <c r="C53" s="960">
        <v>4.9236000000000004</v>
      </c>
      <c r="D53" s="961">
        <v>-2.5186000000000002</v>
      </c>
      <c r="E53" s="962">
        <v>4.5999999999999999E-3</v>
      </c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2026-03-19T19:48:41Z</dcterms:modified>
</cp:coreProperties>
</file>