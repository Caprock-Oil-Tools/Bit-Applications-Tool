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evi.lunt\Documents\2 - bit design\2231\"/>
    </mc:Choice>
  </mc:AlternateContent>
  <xr:revisionPtr revIDLastSave="0" documentId="13_ncr:1_{9478CF50-31AD-41C1-8CF9-3DF69B32BE1D}" xr6:coauthVersionLast="36" xr6:coauthVersionMax="36" xr10:uidLastSave="{00000000-0000-0000-0000-000000000000}"/>
  <bookViews>
    <workbookView xWindow="840" yWindow="1560" windowWidth="21075" windowHeight="8250" xr2:uid="{00000000-000D-0000-FFFF-FFFF00000000}"/>
  </bookViews>
  <sheets>
    <sheet name="Graph" sheetId="7" r:id="rId1"/>
    <sheet name="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H4" i="1" l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" i="1"/>
  <c r="AF37" i="1"/>
  <c r="AF36" i="1"/>
  <c r="AF35" i="1"/>
  <c r="AF34" i="1"/>
  <c r="AF33" i="1"/>
  <c r="AF32" i="1"/>
  <c r="AA37" i="1" l="1"/>
  <c r="AC37" i="1" s="1"/>
  <c r="AA36" i="1"/>
  <c r="AC36" i="1" s="1"/>
  <c r="AA35" i="1"/>
  <c r="AC35" i="1" s="1"/>
  <c r="AA34" i="1"/>
  <c r="AC34" i="1" s="1"/>
  <c r="AA33" i="1"/>
  <c r="AC33" i="1" s="1"/>
  <c r="AA32" i="1"/>
  <c r="AC32" i="1" s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9" i="1"/>
  <c r="AC8" i="1"/>
  <c r="AC7" i="1"/>
  <c r="AC6" i="1"/>
  <c r="AC5" i="1"/>
  <c r="AC4" i="1"/>
  <c r="AC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3" i="1"/>
  <c r="V44" i="1"/>
  <c r="V43" i="1"/>
  <c r="V42" i="1"/>
  <c r="V41" i="1"/>
  <c r="V40" i="1"/>
  <c r="V39" i="1"/>
  <c r="V38" i="1"/>
  <c r="V37" i="1"/>
  <c r="V36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3" i="1"/>
  <c r="G48" i="1"/>
  <c r="G47" i="1"/>
  <c r="G46" i="1"/>
  <c r="G45" i="1"/>
  <c r="G44" i="1"/>
  <c r="G43" i="1"/>
  <c r="G42" i="1"/>
  <c r="G41" i="1"/>
  <c r="G40" i="1"/>
  <c r="Q33" i="1" l="1"/>
  <c r="S33" i="1" s="1"/>
  <c r="Q34" i="1"/>
  <c r="S34" i="1" s="1"/>
  <c r="Q35" i="1"/>
  <c r="Q36" i="1"/>
  <c r="Q37" i="1"/>
  <c r="Q32" i="1"/>
  <c r="S32" i="1" s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5" i="1"/>
  <c r="S36" i="1"/>
  <c r="S37" i="1"/>
  <c r="S3" i="1"/>
  <c r="N36" i="1"/>
  <c r="N37" i="1"/>
  <c r="N35" i="1" l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" i="1"/>
</calcChain>
</file>

<file path=xl/sharedStrings.xml><?xml version="1.0" encoding="utf-8"?>
<sst xmlns="http://schemas.openxmlformats.org/spreadsheetml/2006/main" count="21" uniqueCount="3">
  <si>
    <t>Radius</t>
  </si>
  <si>
    <t>Backrake</t>
  </si>
  <si>
    <t>%Rad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</si>
</sst>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9352490852794045E-2"/>
          <c:y val="0.11314794485002024"/>
          <c:w val="0.86192924378449476"/>
          <c:h val="0.77385703825088914"/>
        </c:manualLayout>
      </c:layout>
      <c:scatterChart>
        <c:scatterStyle val="lineMarker"/>
        <c:varyColors val="0"/>
        <c:ser>
          <c:idx val="0"/>
          <c:order val="0"/>
          <c:tx>
            <c:strRef>
              <c:f>Data!$G$1</c:f>
              <c:strCache>
                <c:ptCount val="1"/>
                <c:pt idx="0">
                  <c:v>2195</c:v>
                </c:pt>
              </c:strCache>
            </c:strRef>
          </c:tx>
          <c:xVal>
            <c:numRef>
              <c:f>Data!$I$3:$I$48</c:f>
              <c:numCache>
                <c:formatCode>0.00%</c:formatCode>
                <c:ptCount val="46"/>
                <c:pt idx="0">
                  <c:v>6.2354285714285709E-2</c:v>
                </c:pt>
                <c:pt idx="1">
                  <c:v>0.10982857142857143</c:v>
                </c:pt>
                <c:pt idx="2">
                  <c:v>0.15732571428571429</c:v>
                </c:pt>
                <c:pt idx="3">
                  <c:v>0.20482285714285714</c:v>
                </c:pt>
                <c:pt idx="4">
                  <c:v>0.25232000000000004</c:v>
                </c:pt>
                <c:pt idx="5">
                  <c:v>0.29981714285714289</c:v>
                </c:pt>
                <c:pt idx="6">
                  <c:v>0.34731428571428574</c:v>
                </c:pt>
                <c:pt idx="7">
                  <c:v>0.39481142857142859</c:v>
                </c:pt>
                <c:pt idx="8">
                  <c:v>0.44230857142857144</c:v>
                </c:pt>
                <c:pt idx="9">
                  <c:v>0.48980571428571429</c:v>
                </c:pt>
                <c:pt idx="10">
                  <c:v>0.51531428571428572</c:v>
                </c:pt>
                <c:pt idx="11">
                  <c:v>0.54331428571428564</c:v>
                </c:pt>
                <c:pt idx="12">
                  <c:v>0.57163428571428576</c:v>
                </c:pt>
                <c:pt idx="13">
                  <c:v>0.60066285714285717</c:v>
                </c:pt>
                <c:pt idx="14">
                  <c:v>0.62957714285714284</c:v>
                </c:pt>
                <c:pt idx="15">
                  <c:v>0.65826285714285715</c:v>
                </c:pt>
                <c:pt idx="16">
                  <c:v>0.68772571428571427</c:v>
                </c:pt>
                <c:pt idx="17">
                  <c:v>0.71654857142857142</c:v>
                </c:pt>
                <c:pt idx="18">
                  <c:v>0.7447314285714286</c:v>
                </c:pt>
                <c:pt idx="19">
                  <c:v>0.77206857142857144</c:v>
                </c:pt>
                <c:pt idx="20">
                  <c:v>0.79842285714285721</c:v>
                </c:pt>
                <c:pt idx="21">
                  <c:v>0.82349714285714282</c:v>
                </c:pt>
                <c:pt idx="22">
                  <c:v>0.84745142857142852</c:v>
                </c:pt>
                <c:pt idx="23">
                  <c:v>0.87005714285714286</c:v>
                </c:pt>
                <c:pt idx="24">
                  <c:v>0.89094857142857142</c:v>
                </c:pt>
                <c:pt idx="25">
                  <c:v>0.9104685714285714</c:v>
                </c:pt>
                <c:pt idx="26">
                  <c:v>0.92829714285714293</c:v>
                </c:pt>
                <c:pt idx="27">
                  <c:v>0.94406857142857148</c:v>
                </c:pt>
                <c:pt idx="28">
                  <c:v>0.95826285714285719</c:v>
                </c:pt>
                <c:pt idx="29">
                  <c:v>0.97021714285714289</c:v>
                </c:pt>
                <c:pt idx="30">
                  <c:v>0.98048000000000002</c:v>
                </c:pt>
                <c:pt idx="31">
                  <c:v>0.98836571428571418</c:v>
                </c:pt>
                <c:pt idx="32">
                  <c:v>0.99414857142857149</c:v>
                </c:pt>
                <c:pt idx="33">
                  <c:v>0.99778285714285719</c:v>
                </c:pt>
                <c:pt idx="34">
                  <c:v>0.99926857142857151</c:v>
                </c:pt>
                <c:pt idx="35">
                  <c:v>0.99949714285714286</c:v>
                </c:pt>
                <c:pt idx="36">
                  <c:v>0.99988571428571438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</c:numCache>
            </c:numRef>
          </c:xVal>
          <c:yVal>
            <c:numRef>
              <c:f>Data!$H$3:$H$48</c:f>
              <c:numCache>
                <c:formatCode>General</c:formatCode>
                <c:ptCount val="46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17</c:v>
                </c:pt>
                <c:pt idx="18">
                  <c:v>17</c:v>
                </c:pt>
                <c:pt idx="19">
                  <c:v>17</c:v>
                </c:pt>
                <c:pt idx="20">
                  <c:v>17</c:v>
                </c:pt>
                <c:pt idx="21">
                  <c:v>18</c:v>
                </c:pt>
                <c:pt idx="22">
                  <c:v>18</c:v>
                </c:pt>
                <c:pt idx="23">
                  <c:v>18</c:v>
                </c:pt>
                <c:pt idx="24">
                  <c:v>19</c:v>
                </c:pt>
                <c:pt idx="25">
                  <c:v>19</c:v>
                </c:pt>
                <c:pt idx="26">
                  <c:v>19</c:v>
                </c:pt>
                <c:pt idx="27">
                  <c:v>20</c:v>
                </c:pt>
                <c:pt idx="28">
                  <c:v>20</c:v>
                </c:pt>
                <c:pt idx="29">
                  <c:v>21</c:v>
                </c:pt>
                <c:pt idx="30">
                  <c:v>21</c:v>
                </c:pt>
                <c:pt idx="31">
                  <c:v>22</c:v>
                </c:pt>
                <c:pt idx="32">
                  <c:v>23</c:v>
                </c:pt>
                <c:pt idx="33">
                  <c:v>24</c:v>
                </c:pt>
                <c:pt idx="34">
                  <c:v>25</c:v>
                </c:pt>
                <c:pt idx="35">
                  <c:v>26</c:v>
                </c:pt>
                <c:pt idx="36">
                  <c:v>27</c:v>
                </c:pt>
                <c:pt idx="37">
                  <c:v>28</c:v>
                </c:pt>
                <c:pt idx="38">
                  <c:v>29</c:v>
                </c:pt>
                <c:pt idx="39">
                  <c:v>30</c:v>
                </c:pt>
                <c:pt idx="40">
                  <c:v>35</c:v>
                </c:pt>
                <c:pt idx="41">
                  <c:v>35</c:v>
                </c:pt>
                <c:pt idx="42">
                  <c:v>35</c:v>
                </c:pt>
                <c:pt idx="43">
                  <c:v>35</c:v>
                </c:pt>
                <c:pt idx="44">
                  <c:v>35</c:v>
                </c:pt>
                <c:pt idx="45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0E-41BC-AAEC-2222C73F1B18}"/>
            </c:ext>
          </c:extLst>
        </c:ser>
        <c:ser>
          <c:idx val="1"/>
          <c:order val="1"/>
          <c:tx>
            <c:strRef>
              <c:f>Data!$L$1</c:f>
              <c:strCache>
                <c:ptCount val="1"/>
                <c:pt idx="0">
                  <c:v>2166</c:v>
                </c:pt>
              </c:strCache>
            </c:strRef>
          </c:tx>
          <c:xVal>
            <c:numRef>
              <c:f>Data!$N$3:$N$37</c:f>
              <c:numCache>
                <c:formatCode>0.00%</c:formatCode>
                <c:ptCount val="35"/>
                <c:pt idx="0">
                  <c:v>7.2023529411764708E-2</c:v>
                </c:pt>
                <c:pt idx="1">
                  <c:v>0.13174117647058822</c:v>
                </c:pt>
                <c:pt idx="2">
                  <c:v>0.19143529411764706</c:v>
                </c:pt>
                <c:pt idx="3">
                  <c:v>0.25115294117647058</c:v>
                </c:pt>
                <c:pt idx="4">
                  <c:v>0.31087058823529412</c:v>
                </c:pt>
                <c:pt idx="5">
                  <c:v>0.37056470588235291</c:v>
                </c:pt>
                <c:pt idx="6">
                  <c:v>0.43028235294117645</c:v>
                </c:pt>
                <c:pt idx="7">
                  <c:v>0.49684705882352942</c:v>
                </c:pt>
                <c:pt idx="8">
                  <c:v>0.56376470588235295</c:v>
                </c:pt>
                <c:pt idx="9">
                  <c:v>0.59959999999999991</c:v>
                </c:pt>
                <c:pt idx="10">
                  <c:v>0.6353411764705883</c:v>
                </c:pt>
                <c:pt idx="11">
                  <c:v>0.66917647058823526</c:v>
                </c:pt>
                <c:pt idx="12">
                  <c:v>0.70232941176470587</c:v>
                </c:pt>
                <c:pt idx="13">
                  <c:v>0.73447058823529421</c:v>
                </c:pt>
                <c:pt idx="14">
                  <c:v>0.7655764705882353</c:v>
                </c:pt>
                <c:pt idx="15">
                  <c:v>0.79545882352941177</c:v>
                </c:pt>
                <c:pt idx="16">
                  <c:v>0.82371764705882355</c:v>
                </c:pt>
                <c:pt idx="17">
                  <c:v>0.85028235294117649</c:v>
                </c:pt>
                <c:pt idx="18">
                  <c:v>0.87487058823529407</c:v>
                </c:pt>
                <c:pt idx="19">
                  <c:v>0.89767058823529411</c:v>
                </c:pt>
                <c:pt idx="20">
                  <c:v>0.91861176470588235</c:v>
                </c:pt>
                <c:pt idx="21">
                  <c:v>0.9363529411764705</c:v>
                </c:pt>
                <c:pt idx="22">
                  <c:v>0.9516</c:v>
                </c:pt>
                <c:pt idx="23">
                  <c:v>0.96263529411764703</c:v>
                </c:pt>
                <c:pt idx="24">
                  <c:v>0.97522352941176482</c:v>
                </c:pt>
                <c:pt idx="25">
                  <c:v>0.98303529411764712</c:v>
                </c:pt>
                <c:pt idx="26">
                  <c:v>0.9884235294117647</c:v>
                </c:pt>
                <c:pt idx="27">
                  <c:v>0.99230588235294115</c:v>
                </c:pt>
                <c:pt idx="28">
                  <c:v>0.99230588235294115</c:v>
                </c:pt>
                <c:pt idx="29">
                  <c:v>0.9961882352941176</c:v>
                </c:pt>
                <c:pt idx="30">
                  <c:v>0.9961882352941176</c:v>
                </c:pt>
                <c:pt idx="31">
                  <c:v>0.9961882352941176</c:v>
                </c:pt>
                <c:pt idx="32">
                  <c:v>0.9961882352941176</c:v>
                </c:pt>
                <c:pt idx="33">
                  <c:v>0.9961882352941176</c:v>
                </c:pt>
                <c:pt idx="34">
                  <c:v>0.9961882352941176</c:v>
                </c:pt>
              </c:numCache>
            </c:numRef>
          </c:xVal>
          <c:yVal>
            <c:numRef>
              <c:f>Data!$M$4:$M$37</c:f>
              <c:numCache>
                <c:formatCode>General</c:formatCode>
                <c:ptCount val="34"/>
                <c:pt idx="0">
                  <c:v>20</c:v>
                </c:pt>
                <c:pt idx="1">
                  <c:v>14</c:v>
                </c:pt>
                <c:pt idx="2">
                  <c:v>12.5</c:v>
                </c:pt>
                <c:pt idx="3">
                  <c:v>12.5</c:v>
                </c:pt>
                <c:pt idx="4">
                  <c:v>12.5</c:v>
                </c:pt>
                <c:pt idx="5">
                  <c:v>12.5</c:v>
                </c:pt>
                <c:pt idx="6">
                  <c:v>12.5</c:v>
                </c:pt>
                <c:pt idx="7">
                  <c:v>12.5</c:v>
                </c:pt>
                <c:pt idx="8">
                  <c:v>12.5</c:v>
                </c:pt>
                <c:pt idx="9">
                  <c:v>12.5</c:v>
                </c:pt>
                <c:pt idx="10">
                  <c:v>13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28</c:v>
                </c:pt>
                <c:pt idx="28">
                  <c:v>35</c:v>
                </c:pt>
                <c:pt idx="29">
                  <c:v>35</c:v>
                </c:pt>
                <c:pt idx="30">
                  <c:v>35</c:v>
                </c:pt>
                <c:pt idx="31">
                  <c:v>35</c:v>
                </c:pt>
                <c:pt idx="32">
                  <c:v>35</c:v>
                </c:pt>
                <c:pt idx="33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0E-41BC-AAEC-2222C73F1B18}"/>
            </c:ext>
          </c:extLst>
        </c:ser>
        <c:ser>
          <c:idx val="2"/>
          <c:order val="2"/>
          <c:tx>
            <c:strRef>
              <c:f>Data!$Q$1</c:f>
              <c:strCache>
                <c:ptCount val="1"/>
                <c:pt idx="0">
                  <c:v>2183</c:v>
                </c:pt>
              </c:strCache>
            </c:strRef>
          </c:tx>
          <c:xVal>
            <c:numRef>
              <c:f>Data!$S$3:$S$37</c:f>
              <c:numCache>
                <c:formatCode>0.00%</c:formatCode>
                <c:ptCount val="35"/>
                <c:pt idx="0">
                  <c:v>6.8164705882352947E-2</c:v>
                </c:pt>
                <c:pt idx="1">
                  <c:v>0.13597647058823528</c:v>
                </c:pt>
                <c:pt idx="2">
                  <c:v>0.20258823529411765</c:v>
                </c:pt>
                <c:pt idx="3">
                  <c:v>0.26800000000000002</c:v>
                </c:pt>
                <c:pt idx="4">
                  <c:v>0.33218823529411762</c:v>
                </c:pt>
                <c:pt idx="5">
                  <c:v>0.3951764705882353</c:v>
                </c:pt>
                <c:pt idx="6">
                  <c:v>0.46188235294117647</c:v>
                </c:pt>
                <c:pt idx="7">
                  <c:v>0.52701176470588229</c:v>
                </c:pt>
                <c:pt idx="8">
                  <c:v>0.55990588235294114</c:v>
                </c:pt>
                <c:pt idx="9">
                  <c:v>0.59430588235294113</c:v>
                </c:pt>
                <c:pt idx="10">
                  <c:v>0.62844705882352947</c:v>
                </c:pt>
                <c:pt idx="11">
                  <c:v>0.66214117647058823</c:v>
                </c:pt>
                <c:pt idx="12">
                  <c:v>0.69517647058823528</c:v>
                </c:pt>
                <c:pt idx="13">
                  <c:v>0.72734117647058827</c:v>
                </c:pt>
                <c:pt idx="14">
                  <c:v>0.75847058823529412</c:v>
                </c:pt>
                <c:pt idx="15">
                  <c:v>0.78837647058823535</c:v>
                </c:pt>
                <c:pt idx="16">
                  <c:v>0.81670588235294117</c:v>
                </c:pt>
                <c:pt idx="17">
                  <c:v>0.84360000000000002</c:v>
                </c:pt>
                <c:pt idx="18">
                  <c:v>0.86875294117647062</c:v>
                </c:pt>
                <c:pt idx="19">
                  <c:v>0.89183529411764706</c:v>
                </c:pt>
                <c:pt idx="20">
                  <c:v>0.91305882352941181</c:v>
                </c:pt>
                <c:pt idx="21">
                  <c:v>0.93190588235294114</c:v>
                </c:pt>
                <c:pt idx="22">
                  <c:v>0.94842352941176478</c:v>
                </c:pt>
                <c:pt idx="23">
                  <c:v>0.96256470588235299</c:v>
                </c:pt>
                <c:pt idx="24">
                  <c:v>0.97418823529411758</c:v>
                </c:pt>
                <c:pt idx="25">
                  <c:v>0.98329411764705887</c:v>
                </c:pt>
                <c:pt idx="26">
                  <c:v>0.98978823529411764</c:v>
                </c:pt>
                <c:pt idx="27">
                  <c:v>0.99364705882352933</c:v>
                </c:pt>
                <c:pt idx="28">
                  <c:v>0.99515294117647057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</c:numCache>
            </c:numRef>
          </c:xVal>
          <c:yVal>
            <c:numRef>
              <c:f>Data!$R$3:$R$37</c:f>
              <c:numCache>
                <c:formatCode>General</c:formatCode>
                <c:ptCount val="35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17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B0E-41BC-AAEC-2222C73F1B18}"/>
            </c:ext>
          </c:extLst>
        </c:ser>
        <c:ser>
          <c:idx val="3"/>
          <c:order val="3"/>
          <c:tx>
            <c:strRef>
              <c:f>Data!$V$1</c:f>
              <c:strCache>
                <c:ptCount val="1"/>
                <c:pt idx="0">
                  <c:v>2198</c:v>
                </c:pt>
              </c:strCache>
            </c:strRef>
          </c:tx>
          <c:xVal>
            <c:numRef>
              <c:f>Data!$X$3:$X$44</c:f>
              <c:numCache>
                <c:formatCode>0.00%</c:formatCode>
                <c:ptCount val="42"/>
                <c:pt idx="0">
                  <c:v>6.2354285714285709E-2</c:v>
                </c:pt>
                <c:pt idx="1">
                  <c:v>0.10982857142857143</c:v>
                </c:pt>
                <c:pt idx="2">
                  <c:v>0.15732571428571429</c:v>
                </c:pt>
                <c:pt idx="3">
                  <c:v>0.20482285714285714</c:v>
                </c:pt>
                <c:pt idx="4">
                  <c:v>0.25232000000000004</c:v>
                </c:pt>
                <c:pt idx="5">
                  <c:v>0.29981714285714289</c:v>
                </c:pt>
                <c:pt idx="6">
                  <c:v>0.34731428571428574</c:v>
                </c:pt>
                <c:pt idx="7">
                  <c:v>0.39481142857142859</c:v>
                </c:pt>
                <c:pt idx="8">
                  <c:v>0.44230857142857144</c:v>
                </c:pt>
                <c:pt idx="9">
                  <c:v>0.48980571428571429</c:v>
                </c:pt>
                <c:pt idx="10">
                  <c:v>0.50850285714285715</c:v>
                </c:pt>
                <c:pt idx="11">
                  <c:v>0.53952</c:v>
                </c:pt>
                <c:pt idx="12">
                  <c:v>0.57012571428571424</c:v>
                </c:pt>
                <c:pt idx="13">
                  <c:v>0.60109714285714289</c:v>
                </c:pt>
                <c:pt idx="14">
                  <c:v>0.63033142857142854</c:v>
                </c:pt>
                <c:pt idx="15">
                  <c:v>0.65933714285714284</c:v>
                </c:pt>
                <c:pt idx="16">
                  <c:v>0.69264000000000003</c:v>
                </c:pt>
                <c:pt idx="17">
                  <c:v>0.72521142857142862</c:v>
                </c:pt>
                <c:pt idx="18">
                  <c:v>0.75686857142857145</c:v>
                </c:pt>
                <c:pt idx="19">
                  <c:v>0.78733714285714285</c:v>
                </c:pt>
                <c:pt idx="20">
                  <c:v>0.81641142857142857</c:v>
                </c:pt>
                <c:pt idx="21">
                  <c:v>0.84367999999999999</c:v>
                </c:pt>
                <c:pt idx="22">
                  <c:v>0.86937142857142857</c:v>
                </c:pt>
                <c:pt idx="23">
                  <c:v>0.89309714285714292</c:v>
                </c:pt>
                <c:pt idx="24">
                  <c:v>0.91446857142857141</c:v>
                </c:pt>
                <c:pt idx="25">
                  <c:v>0.93382857142857134</c:v>
                </c:pt>
                <c:pt idx="26">
                  <c:v>0.95081142857142853</c:v>
                </c:pt>
                <c:pt idx="27">
                  <c:v>0.96500571428571424</c:v>
                </c:pt>
                <c:pt idx="28">
                  <c:v>0.97691428571428574</c:v>
                </c:pt>
                <c:pt idx="29">
                  <c:v>0.98617142857142848</c:v>
                </c:pt>
                <c:pt idx="30">
                  <c:v>0.99234285714285708</c:v>
                </c:pt>
                <c:pt idx="31">
                  <c:v>0.99611428571428562</c:v>
                </c:pt>
                <c:pt idx="32">
                  <c:v>0.99773714285714288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</c:numCache>
            </c:numRef>
          </c:xVal>
          <c:yVal>
            <c:numRef>
              <c:f>Data!$W$3:$W$44</c:f>
              <c:numCache>
                <c:formatCode>General</c:formatCode>
                <c:ptCount val="42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16</c:v>
                </c:pt>
                <c:pt idx="21">
                  <c:v>17</c:v>
                </c:pt>
                <c:pt idx="22">
                  <c:v>17</c:v>
                </c:pt>
                <c:pt idx="23">
                  <c:v>17</c:v>
                </c:pt>
                <c:pt idx="24">
                  <c:v>18</c:v>
                </c:pt>
                <c:pt idx="25">
                  <c:v>18</c:v>
                </c:pt>
                <c:pt idx="26">
                  <c:v>18</c:v>
                </c:pt>
                <c:pt idx="27">
                  <c:v>19</c:v>
                </c:pt>
                <c:pt idx="28">
                  <c:v>19</c:v>
                </c:pt>
                <c:pt idx="29">
                  <c:v>19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F9-450C-AF17-50F6B74B6B81}"/>
            </c:ext>
          </c:extLst>
        </c:ser>
        <c:ser>
          <c:idx val="4"/>
          <c:order val="4"/>
          <c:tx>
            <c:strRef>
              <c:f>Data!$AA$1</c:f>
              <c:strCache>
                <c:ptCount val="1"/>
                <c:pt idx="0">
                  <c:v>2221</c:v>
                </c:pt>
              </c:strCache>
            </c:strRef>
          </c:tx>
          <c:spPr>
            <a:ln w="9525"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Data!$AC$3:$AC$37</c:f>
              <c:numCache>
                <c:formatCode>0.00%</c:formatCode>
                <c:ptCount val="35"/>
                <c:pt idx="0">
                  <c:v>6.8164705882352947E-2</c:v>
                </c:pt>
                <c:pt idx="1">
                  <c:v>0.13597647058823528</c:v>
                </c:pt>
                <c:pt idx="2">
                  <c:v>0.20258823529411765</c:v>
                </c:pt>
                <c:pt idx="3">
                  <c:v>0.26800000000000002</c:v>
                </c:pt>
                <c:pt idx="4">
                  <c:v>0.33218823529411762</c:v>
                </c:pt>
                <c:pt idx="5">
                  <c:v>0.3951764705882353</c:v>
                </c:pt>
                <c:pt idx="6">
                  <c:v>0.46188235294117647</c:v>
                </c:pt>
                <c:pt idx="7">
                  <c:v>0.52701176470588229</c:v>
                </c:pt>
                <c:pt idx="8">
                  <c:v>0.55990588235294114</c:v>
                </c:pt>
                <c:pt idx="9">
                  <c:v>0.59430588235294113</c:v>
                </c:pt>
                <c:pt idx="10">
                  <c:v>0.62844705882352947</c:v>
                </c:pt>
                <c:pt idx="11">
                  <c:v>0.66214117647058823</c:v>
                </c:pt>
                <c:pt idx="12">
                  <c:v>0.69517647058823528</c:v>
                </c:pt>
                <c:pt idx="13">
                  <c:v>0.72734117647058827</c:v>
                </c:pt>
                <c:pt idx="14">
                  <c:v>0.75847058823529412</c:v>
                </c:pt>
                <c:pt idx="15">
                  <c:v>0.78837647058823535</c:v>
                </c:pt>
                <c:pt idx="16">
                  <c:v>0.81670588235294117</c:v>
                </c:pt>
                <c:pt idx="17">
                  <c:v>0.84360000000000002</c:v>
                </c:pt>
                <c:pt idx="18">
                  <c:v>0.86875294117647062</c:v>
                </c:pt>
                <c:pt idx="19">
                  <c:v>0.89183529411764706</c:v>
                </c:pt>
                <c:pt idx="20">
                  <c:v>0.91305882352941181</c:v>
                </c:pt>
                <c:pt idx="21">
                  <c:v>0.93190588235294114</c:v>
                </c:pt>
                <c:pt idx="22">
                  <c:v>0.94842352941176478</c:v>
                </c:pt>
                <c:pt idx="23">
                  <c:v>0.96256470588235299</c:v>
                </c:pt>
                <c:pt idx="24">
                  <c:v>0.97418823529411758</c:v>
                </c:pt>
                <c:pt idx="25">
                  <c:v>0.98329411764705887</c:v>
                </c:pt>
                <c:pt idx="26">
                  <c:v>0.98978823529411764</c:v>
                </c:pt>
                <c:pt idx="27">
                  <c:v>0.99364705882352933</c:v>
                </c:pt>
                <c:pt idx="28">
                  <c:v>0.99515294117647057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</c:numCache>
            </c:numRef>
          </c:xVal>
          <c:yVal>
            <c:numRef>
              <c:f>Data!$AB$3:$AB$37</c:f>
              <c:numCache>
                <c:formatCode>General</c:formatCode>
                <c:ptCount val="35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17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F9-450C-AF17-50F6B74B6B81}"/>
            </c:ext>
          </c:extLst>
        </c:ser>
        <c:ser>
          <c:idx val="5"/>
          <c:order val="5"/>
          <c:tx>
            <c:strRef>
              <c:f>Data!$AF$1</c:f>
              <c:strCache>
                <c:ptCount val="1"/>
                <c:pt idx="0">
                  <c:v>2231</c:v>
                </c:pt>
              </c:strCache>
            </c:strRef>
          </c:tx>
          <c:xVal>
            <c:numRef>
              <c:f>Data!$AH$3:$AH$37</c:f>
              <c:numCache>
                <c:formatCode>0.00%</c:formatCode>
                <c:ptCount val="35"/>
                <c:pt idx="0">
                  <c:v>6.8164705882352947E-2</c:v>
                </c:pt>
                <c:pt idx="1">
                  <c:v>0.13597647058823528</c:v>
                </c:pt>
                <c:pt idx="2">
                  <c:v>0.20258823529411765</c:v>
                </c:pt>
                <c:pt idx="3">
                  <c:v>0.26800000000000002</c:v>
                </c:pt>
                <c:pt idx="4">
                  <c:v>0.33218823529411762</c:v>
                </c:pt>
                <c:pt idx="5">
                  <c:v>0.3951764705882353</c:v>
                </c:pt>
                <c:pt idx="6">
                  <c:v>0.46188235294117647</c:v>
                </c:pt>
                <c:pt idx="7">
                  <c:v>0.52701176470588229</c:v>
                </c:pt>
                <c:pt idx="8">
                  <c:v>0.55990588235294114</c:v>
                </c:pt>
                <c:pt idx="9">
                  <c:v>0.59430588235294113</c:v>
                </c:pt>
                <c:pt idx="10">
                  <c:v>0.62844705882352947</c:v>
                </c:pt>
                <c:pt idx="11">
                  <c:v>0.66214117647058823</c:v>
                </c:pt>
                <c:pt idx="12">
                  <c:v>0.69517647058823528</c:v>
                </c:pt>
                <c:pt idx="13">
                  <c:v>0.72734117647058827</c:v>
                </c:pt>
                <c:pt idx="14">
                  <c:v>0.75847058823529412</c:v>
                </c:pt>
                <c:pt idx="15">
                  <c:v>0.78837647058823535</c:v>
                </c:pt>
                <c:pt idx="16">
                  <c:v>0.81670588235294117</c:v>
                </c:pt>
                <c:pt idx="17">
                  <c:v>0.84360000000000002</c:v>
                </c:pt>
                <c:pt idx="18">
                  <c:v>0.86875294117647062</c:v>
                </c:pt>
                <c:pt idx="19">
                  <c:v>0.89183529411764706</c:v>
                </c:pt>
                <c:pt idx="20">
                  <c:v>0.91305882352941181</c:v>
                </c:pt>
                <c:pt idx="21">
                  <c:v>0.93190588235294114</c:v>
                </c:pt>
                <c:pt idx="22">
                  <c:v>0.94842352941176478</c:v>
                </c:pt>
                <c:pt idx="23">
                  <c:v>0.96256470588235299</c:v>
                </c:pt>
                <c:pt idx="24">
                  <c:v>0.97418823529411758</c:v>
                </c:pt>
                <c:pt idx="25">
                  <c:v>0.98329411764705887</c:v>
                </c:pt>
                <c:pt idx="26">
                  <c:v>0.98978823529411764</c:v>
                </c:pt>
                <c:pt idx="27">
                  <c:v>0.99364705882352933</c:v>
                </c:pt>
                <c:pt idx="28">
                  <c:v>0.99515294117647057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</c:numCache>
            </c:numRef>
          </c:xVal>
          <c:yVal>
            <c:numRef>
              <c:f>Data!$AG$3:$AG$37</c:f>
              <c:numCache>
                <c:formatCode>General</c:formatCode>
                <c:ptCount val="35"/>
                <c:pt idx="0">
                  <c:v>15</c:v>
                </c:pt>
                <c:pt idx="1">
                  <c:v>13</c:v>
                </c:pt>
                <c:pt idx="2">
                  <c:v>12.5</c:v>
                </c:pt>
                <c:pt idx="3">
                  <c:v>12.5</c:v>
                </c:pt>
                <c:pt idx="4">
                  <c:v>12.5</c:v>
                </c:pt>
                <c:pt idx="5">
                  <c:v>12.5</c:v>
                </c:pt>
                <c:pt idx="6">
                  <c:v>12.5</c:v>
                </c:pt>
                <c:pt idx="7">
                  <c:v>12.5</c:v>
                </c:pt>
                <c:pt idx="8">
                  <c:v>12.5</c:v>
                </c:pt>
                <c:pt idx="9">
                  <c:v>12.5</c:v>
                </c:pt>
                <c:pt idx="10">
                  <c:v>12.5</c:v>
                </c:pt>
                <c:pt idx="11">
                  <c:v>12.5</c:v>
                </c:pt>
                <c:pt idx="12">
                  <c:v>12.5</c:v>
                </c:pt>
                <c:pt idx="13">
                  <c:v>13</c:v>
                </c:pt>
                <c:pt idx="14">
                  <c:v>13</c:v>
                </c:pt>
                <c:pt idx="15">
                  <c:v>14</c:v>
                </c:pt>
                <c:pt idx="16">
                  <c:v>14</c:v>
                </c:pt>
                <c:pt idx="17">
                  <c:v>15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04-423E-A377-27F384DEFF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274176"/>
        <c:axId val="156631808"/>
      </c:scatterChart>
      <c:valAx>
        <c:axId val="124274176"/>
        <c:scaling>
          <c:orientation val="minMax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56631808"/>
        <c:crosses val="autoZero"/>
        <c:crossBetween val="midCat"/>
        <c:majorUnit val="0.1"/>
      </c:valAx>
      <c:valAx>
        <c:axId val="15663180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1.6528059017786104E-2"/>
              <c:y val="0.37917397626806087"/>
            </c:manualLayout>
          </c:layout>
          <c:overlay val="0"/>
        </c:title>
        <c:numFmt formatCode="0\°" sourceLinked="0"/>
        <c:majorTickMark val="out"/>
        <c:minorTickMark val="none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124274176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8641948862759762"/>
          <c:y val="0.1408410846736497"/>
          <c:w val="8.460834703354389E-2"/>
          <c:h val="0.21891040947579435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 codeName="Chart1"/>
  <sheetViews>
    <sheetView tabSelected="1" zoomScale="120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443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52"/>
  <sheetViews>
    <sheetView topLeftCell="J1" workbookViewId="0">
      <selection activeCell="AF2" sqref="AF2"/>
    </sheetView>
  </sheetViews>
  <sheetFormatPr defaultRowHeight="15" x14ac:dyDescent="0.25"/>
  <cols>
    <col min="4" max="4" width="10.140625" bestFit="1" customWidth="1"/>
    <col min="9" max="9" width="10.140625" bestFit="1" customWidth="1"/>
    <col min="14" max="14" width="10.140625" bestFit="1" customWidth="1"/>
    <col min="19" max="19" width="10.140625" bestFit="1" customWidth="1"/>
    <col min="29" max="29" width="10.140625" bestFit="1" customWidth="1"/>
    <col min="34" max="34" width="10.140625" bestFit="1" customWidth="1"/>
  </cols>
  <sheetData>
    <row r="1" spans="1:34" x14ac:dyDescent="0.25">
      <c r="A1">
        <v>8.5</v>
      </c>
      <c r="B1">
        <v>2143</v>
      </c>
      <c r="F1">
        <v>8.75</v>
      </c>
      <c r="G1">
        <v>2195</v>
      </c>
      <c r="K1">
        <v>8.5</v>
      </c>
      <c r="L1">
        <v>2166</v>
      </c>
      <c r="P1">
        <v>8.5</v>
      </c>
      <c r="Q1">
        <v>2183</v>
      </c>
      <c r="U1">
        <v>8.75</v>
      </c>
      <c r="V1">
        <v>2198</v>
      </c>
      <c r="Z1">
        <v>8.5</v>
      </c>
      <c r="AA1">
        <v>2221</v>
      </c>
      <c r="AE1">
        <v>8.5</v>
      </c>
      <c r="AF1">
        <v>2231</v>
      </c>
    </row>
    <row r="2" spans="1:34" x14ac:dyDescent="0.25">
      <c r="B2" t="s">
        <v>0</v>
      </c>
      <c r="C2" t="s">
        <v>1</v>
      </c>
      <c r="D2" s="1" t="s">
        <v>2</v>
      </c>
      <c r="G2" t="s">
        <v>0</v>
      </c>
      <c r="H2" t="s">
        <v>1</v>
      </c>
      <c r="I2" s="1" t="s">
        <v>2</v>
      </c>
      <c r="L2" t="s">
        <v>0</v>
      </c>
      <c r="M2" t="s">
        <v>1</v>
      </c>
      <c r="N2" s="1" t="s">
        <v>2</v>
      </c>
      <c r="Q2" t="s">
        <v>0</v>
      </c>
      <c r="R2" t="s">
        <v>1</v>
      </c>
      <c r="S2" s="1" t="s">
        <v>2</v>
      </c>
      <c r="V2" t="s">
        <v>0</v>
      </c>
      <c r="W2" t="s">
        <v>1</v>
      </c>
      <c r="X2" s="1" t="s">
        <v>2</v>
      </c>
      <c r="AA2" t="s">
        <v>0</v>
      </c>
      <c r="AB2" t="s">
        <v>1</v>
      </c>
      <c r="AC2" s="1" t="s">
        <v>2</v>
      </c>
      <c r="AF2" t="s">
        <v>0</v>
      </c>
      <c r="AG2" t="s">
        <v>1</v>
      </c>
      <c r="AH2" s="1" t="s">
        <v>2</v>
      </c>
    </row>
    <row r="3" spans="1:34" x14ac:dyDescent="0.25">
      <c r="A3">
        <v>1</v>
      </c>
      <c r="B3">
        <v>0.22309999999999999</v>
      </c>
      <c r="C3">
        <v>25</v>
      </c>
      <c r="D3" s="2">
        <f>B3/$A$1*2</f>
        <v>5.2494117647058823E-2</v>
      </c>
      <c r="F3">
        <v>1</v>
      </c>
      <c r="G3">
        <v>0.27279999999999999</v>
      </c>
      <c r="H3">
        <v>15</v>
      </c>
      <c r="I3" s="2">
        <f>G3/$F$1*2</f>
        <v>6.2354285714285709E-2</v>
      </c>
      <c r="K3">
        <v>1</v>
      </c>
      <c r="L3">
        <v>0.30609999999999998</v>
      </c>
      <c r="M3">
        <v>25</v>
      </c>
      <c r="N3" s="2">
        <f>L3/$A$1*2</f>
        <v>7.2023529411764708E-2</v>
      </c>
      <c r="P3">
        <v>1</v>
      </c>
      <c r="Q3">
        <v>0.28970000000000001</v>
      </c>
      <c r="R3">
        <v>15</v>
      </c>
      <c r="S3" s="2">
        <f>Q3/$P$1*2</f>
        <v>6.8164705882352947E-2</v>
      </c>
      <c r="U3">
        <v>1</v>
      </c>
      <c r="V3">
        <v>0.27279999999999999</v>
      </c>
      <c r="W3">
        <v>15</v>
      </c>
      <c r="X3" s="2">
        <f>V3/$U$1*2</f>
        <v>6.2354285714285709E-2</v>
      </c>
      <c r="Z3">
        <v>1</v>
      </c>
      <c r="AA3">
        <v>0.28970000000000001</v>
      </c>
      <c r="AB3">
        <v>15</v>
      </c>
      <c r="AC3" s="2">
        <f>AA3/$P$1*2</f>
        <v>6.8164705882352947E-2</v>
      </c>
      <c r="AE3">
        <v>1</v>
      </c>
      <c r="AF3">
        <v>0.28970000000000001</v>
      </c>
      <c r="AG3">
        <v>15</v>
      </c>
      <c r="AH3" s="2">
        <f>AF3/$AE$1*2</f>
        <v>6.8164705882352947E-2</v>
      </c>
    </row>
    <row r="4" spans="1:34" x14ac:dyDescent="0.25">
      <c r="A4">
        <v>2</v>
      </c>
      <c r="B4">
        <v>0.42059999999999997</v>
      </c>
      <c r="C4">
        <v>22</v>
      </c>
      <c r="D4" s="2">
        <f t="shared" ref="D4:D35" si="0">B4/$A$1*2</f>
        <v>9.8964705882352941E-2</v>
      </c>
      <c r="F4">
        <v>2</v>
      </c>
      <c r="G4">
        <v>0.48049999999999998</v>
      </c>
      <c r="H4">
        <v>15</v>
      </c>
      <c r="I4" s="2">
        <f t="shared" ref="I4:I48" si="1">G4/$F$1*2</f>
        <v>0.10982857142857143</v>
      </c>
      <c r="K4">
        <v>2</v>
      </c>
      <c r="L4">
        <v>0.55989999999999995</v>
      </c>
      <c r="M4">
        <v>20</v>
      </c>
      <c r="N4" s="2">
        <f t="shared" ref="N4:N37" si="2">L4/$A$1*2</f>
        <v>0.13174117647058822</v>
      </c>
      <c r="P4">
        <v>2</v>
      </c>
      <c r="Q4">
        <v>0.57789999999999997</v>
      </c>
      <c r="R4">
        <v>15</v>
      </c>
      <c r="S4" s="2">
        <f t="shared" ref="S4:S37" si="3">Q4/$P$1*2</f>
        <v>0.13597647058823528</v>
      </c>
      <c r="U4">
        <v>2</v>
      </c>
      <c r="V4">
        <v>0.48049999999999998</v>
      </c>
      <c r="W4">
        <v>15</v>
      </c>
      <c r="X4" s="2">
        <f t="shared" ref="X4:X44" si="4">V4/$U$1*2</f>
        <v>0.10982857142857143</v>
      </c>
      <c r="Z4">
        <v>2</v>
      </c>
      <c r="AA4">
        <v>0.57789999999999997</v>
      </c>
      <c r="AB4">
        <v>15</v>
      </c>
      <c r="AC4" s="2">
        <f t="shared" ref="AC4:AC37" si="5">AA4/$P$1*2</f>
        <v>0.13597647058823528</v>
      </c>
      <c r="AE4">
        <v>2</v>
      </c>
      <c r="AF4">
        <v>0.57789999999999997</v>
      </c>
      <c r="AG4">
        <v>13</v>
      </c>
      <c r="AH4" s="2">
        <f t="shared" ref="AH4:AH37" si="6">AF4/$AE$1*2</f>
        <v>0.13597647058823528</v>
      </c>
    </row>
    <row r="5" spans="1:34" x14ac:dyDescent="0.25">
      <c r="A5">
        <v>3</v>
      </c>
      <c r="B5">
        <v>0.61809999999999998</v>
      </c>
      <c r="C5">
        <v>17.5</v>
      </c>
      <c r="D5" s="2">
        <f t="shared" si="0"/>
        <v>0.14543529411764705</v>
      </c>
      <c r="F5">
        <v>3</v>
      </c>
      <c r="G5">
        <v>0.68830000000000002</v>
      </c>
      <c r="H5">
        <v>15</v>
      </c>
      <c r="I5" s="2">
        <f t="shared" si="1"/>
        <v>0.15732571428571429</v>
      </c>
      <c r="K5">
        <v>3</v>
      </c>
      <c r="L5">
        <v>0.81359999999999999</v>
      </c>
      <c r="M5">
        <v>14</v>
      </c>
      <c r="N5" s="2">
        <f t="shared" si="2"/>
        <v>0.19143529411764706</v>
      </c>
      <c r="P5">
        <v>3</v>
      </c>
      <c r="Q5">
        <v>0.86099999999999999</v>
      </c>
      <c r="R5">
        <v>15</v>
      </c>
      <c r="S5" s="2">
        <f t="shared" si="3"/>
        <v>0.20258823529411765</v>
      </c>
      <c r="U5">
        <v>3</v>
      </c>
      <c r="V5">
        <v>0.68830000000000002</v>
      </c>
      <c r="W5">
        <v>15</v>
      </c>
      <c r="X5" s="2">
        <f t="shared" si="4"/>
        <v>0.15732571428571429</v>
      </c>
      <c r="Z5">
        <v>3</v>
      </c>
      <c r="AA5">
        <v>0.86099999999999999</v>
      </c>
      <c r="AB5">
        <v>15</v>
      </c>
      <c r="AC5" s="2">
        <f t="shared" si="5"/>
        <v>0.20258823529411765</v>
      </c>
      <c r="AE5">
        <v>3</v>
      </c>
      <c r="AF5">
        <v>0.86099999999999999</v>
      </c>
      <c r="AG5">
        <v>12.5</v>
      </c>
      <c r="AH5" s="2">
        <f t="shared" si="6"/>
        <v>0.20258823529411765</v>
      </c>
    </row>
    <row r="6" spans="1:34" x14ac:dyDescent="0.25">
      <c r="A6">
        <v>4</v>
      </c>
      <c r="B6">
        <v>0.81559999999999999</v>
      </c>
      <c r="C6">
        <v>14</v>
      </c>
      <c r="D6" s="2">
        <f t="shared" si="0"/>
        <v>0.19190588235294118</v>
      </c>
      <c r="F6">
        <v>4</v>
      </c>
      <c r="G6">
        <v>0.89610000000000001</v>
      </c>
      <c r="H6">
        <v>15</v>
      </c>
      <c r="I6" s="2">
        <f t="shared" si="1"/>
        <v>0.20482285714285714</v>
      </c>
      <c r="K6">
        <v>4</v>
      </c>
      <c r="L6">
        <v>1.0673999999999999</v>
      </c>
      <c r="M6">
        <v>12.5</v>
      </c>
      <c r="N6" s="2">
        <f t="shared" si="2"/>
        <v>0.25115294117647058</v>
      </c>
      <c r="P6">
        <v>4</v>
      </c>
      <c r="Q6">
        <v>1.139</v>
      </c>
      <c r="R6">
        <v>15</v>
      </c>
      <c r="S6" s="2">
        <f t="shared" si="3"/>
        <v>0.26800000000000002</v>
      </c>
      <c r="U6">
        <v>4</v>
      </c>
      <c r="V6">
        <v>0.89610000000000001</v>
      </c>
      <c r="W6">
        <v>15</v>
      </c>
      <c r="X6" s="2">
        <f t="shared" si="4"/>
        <v>0.20482285714285714</v>
      </c>
      <c r="Z6">
        <v>4</v>
      </c>
      <c r="AA6">
        <v>1.139</v>
      </c>
      <c r="AB6">
        <v>15</v>
      </c>
      <c r="AC6" s="2">
        <f t="shared" si="5"/>
        <v>0.26800000000000002</v>
      </c>
      <c r="AE6">
        <v>4</v>
      </c>
      <c r="AF6">
        <v>1.139</v>
      </c>
      <c r="AG6">
        <v>12.5</v>
      </c>
      <c r="AH6" s="2">
        <f t="shared" si="6"/>
        <v>0.26800000000000002</v>
      </c>
    </row>
    <row r="7" spans="1:34" x14ac:dyDescent="0.25">
      <c r="A7">
        <v>5</v>
      </c>
      <c r="B7">
        <v>1.0018</v>
      </c>
      <c r="C7">
        <v>12.5</v>
      </c>
      <c r="D7" s="2">
        <f t="shared" si="0"/>
        <v>0.23571764705882353</v>
      </c>
      <c r="F7">
        <v>5</v>
      </c>
      <c r="G7">
        <v>1.1039000000000001</v>
      </c>
      <c r="H7">
        <v>15</v>
      </c>
      <c r="I7" s="2">
        <f t="shared" si="1"/>
        <v>0.25232000000000004</v>
      </c>
      <c r="K7">
        <v>5</v>
      </c>
      <c r="L7">
        <v>1.3211999999999999</v>
      </c>
      <c r="M7">
        <v>12.5</v>
      </c>
      <c r="N7" s="2">
        <f t="shared" si="2"/>
        <v>0.31087058823529412</v>
      </c>
      <c r="P7">
        <v>5</v>
      </c>
      <c r="Q7">
        <v>1.4117999999999999</v>
      </c>
      <c r="R7">
        <v>15</v>
      </c>
      <c r="S7" s="2">
        <f t="shared" si="3"/>
        <v>0.33218823529411762</v>
      </c>
      <c r="U7">
        <v>5</v>
      </c>
      <c r="V7">
        <v>1.1039000000000001</v>
      </c>
      <c r="W7">
        <v>15</v>
      </c>
      <c r="X7" s="2">
        <f t="shared" si="4"/>
        <v>0.25232000000000004</v>
      </c>
      <c r="Z7">
        <v>5</v>
      </c>
      <c r="AA7">
        <v>1.4117999999999999</v>
      </c>
      <c r="AB7">
        <v>15</v>
      </c>
      <c r="AC7" s="2">
        <f t="shared" si="5"/>
        <v>0.33218823529411762</v>
      </c>
      <c r="AE7">
        <v>5</v>
      </c>
      <c r="AF7">
        <v>1.4117999999999999</v>
      </c>
      <c r="AG7">
        <v>12.5</v>
      </c>
      <c r="AH7" s="2">
        <f t="shared" si="6"/>
        <v>0.33218823529411762</v>
      </c>
    </row>
    <row r="8" spans="1:34" x14ac:dyDescent="0.25">
      <c r="A8">
        <v>6</v>
      </c>
      <c r="B8">
        <v>1.1879999999999999</v>
      </c>
      <c r="C8">
        <v>12.5</v>
      </c>
      <c r="D8" s="2">
        <f t="shared" si="0"/>
        <v>0.27952941176470586</v>
      </c>
      <c r="F8">
        <v>6</v>
      </c>
      <c r="G8">
        <v>1.3117000000000001</v>
      </c>
      <c r="H8">
        <v>15</v>
      </c>
      <c r="I8" s="2">
        <f t="shared" si="1"/>
        <v>0.29981714285714289</v>
      </c>
      <c r="K8">
        <v>6</v>
      </c>
      <c r="L8">
        <v>1.5749</v>
      </c>
      <c r="M8">
        <v>12.5</v>
      </c>
      <c r="N8" s="2">
        <f t="shared" si="2"/>
        <v>0.37056470588235291</v>
      </c>
      <c r="P8">
        <v>6</v>
      </c>
      <c r="Q8">
        <v>1.6795</v>
      </c>
      <c r="R8">
        <v>15</v>
      </c>
      <c r="S8" s="2">
        <f t="shared" si="3"/>
        <v>0.3951764705882353</v>
      </c>
      <c r="U8">
        <v>6</v>
      </c>
      <c r="V8">
        <v>1.3117000000000001</v>
      </c>
      <c r="W8">
        <v>15</v>
      </c>
      <c r="X8" s="2">
        <f t="shared" si="4"/>
        <v>0.29981714285714289</v>
      </c>
      <c r="Z8">
        <v>6</v>
      </c>
      <c r="AA8">
        <v>1.6795</v>
      </c>
      <c r="AB8">
        <v>15</v>
      </c>
      <c r="AC8" s="2">
        <f t="shared" si="5"/>
        <v>0.3951764705882353</v>
      </c>
      <c r="AE8">
        <v>6</v>
      </c>
      <c r="AF8">
        <v>1.6795</v>
      </c>
      <c r="AG8">
        <v>12.5</v>
      </c>
      <c r="AH8" s="2">
        <f t="shared" si="6"/>
        <v>0.3951764705882353</v>
      </c>
    </row>
    <row r="9" spans="1:34" x14ac:dyDescent="0.25">
      <c r="A9">
        <v>7</v>
      </c>
      <c r="B9">
        <v>1.3742000000000001</v>
      </c>
      <c r="C9">
        <v>12.5</v>
      </c>
      <c r="D9" s="2">
        <f t="shared" si="0"/>
        <v>0.32334117647058824</v>
      </c>
      <c r="F9">
        <v>7</v>
      </c>
      <c r="G9">
        <v>1.5195000000000001</v>
      </c>
      <c r="H9">
        <v>15</v>
      </c>
      <c r="I9" s="2">
        <f t="shared" si="1"/>
        <v>0.34731428571428574</v>
      </c>
      <c r="K9">
        <v>7</v>
      </c>
      <c r="L9">
        <v>1.8287</v>
      </c>
      <c r="M9">
        <v>12.5</v>
      </c>
      <c r="N9" s="2">
        <f t="shared" si="2"/>
        <v>0.43028235294117645</v>
      </c>
      <c r="P9">
        <v>7</v>
      </c>
      <c r="Q9">
        <v>1.9630000000000001</v>
      </c>
      <c r="R9">
        <v>15</v>
      </c>
      <c r="S9" s="2">
        <f t="shared" si="3"/>
        <v>0.46188235294117647</v>
      </c>
      <c r="U9">
        <v>7</v>
      </c>
      <c r="V9">
        <v>1.5195000000000001</v>
      </c>
      <c r="W9">
        <v>15</v>
      </c>
      <c r="X9" s="2">
        <f t="shared" si="4"/>
        <v>0.34731428571428574</v>
      </c>
      <c r="Z9">
        <v>7</v>
      </c>
      <c r="AA9">
        <v>1.9630000000000001</v>
      </c>
      <c r="AB9">
        <v>15</v>
      </c>
      <c r="AC9" s="2">
        <f t="shared" si="5"/>
        <v>0.46188235294117647</v>
      </c>
      <c r="AE9">
        <v>7</v>
      </c>
      <c r="AF9">
        <v>1.9630000000000001</v>
      </c>
      <c r="AG9">
        <v>12.5</v>
      </c>
      <c r="AH9" s="2">
        <f t="shared" si="6"/>
        <v>0.46188235294117647</v>
      </c>
    </row>
    <row r="10" spans="1:34" x14ac:dyDescent="0.25">
      <c r="A10">
        <v>8</v>
      </c>
      <c r="B10">
        <v>1.5604</v>
      </c>
      <c r="C10">
        <v>12.5</v>
      </c>
      <c r="D10" s="2">
        <f t="shared" si="0"/>
        <v>0.36715294117647057</v>
      </c>
      <c r="F10">
        <v>8</v>
      </c>
      <c r="G10">
        <v>1.7273000000000001</v>
      </c>
      <c r="H10">
        <v>15</v>
      </c>
      <c r="I10" s="2">
        <f t="shared" si="1"/>
        <v>0.39481142857142859</v>
      </c>
      <c r="K10">
        <v>8</v>
      </c>
      <c r="L10">
        <v>2.1116000000000001</v>
      </c>
      <c r="M10">
        <v>12.5</v>
      </c>
      <c r="N10" s="2">
        <f t="shared" si="2"/>
        <v>0.49684705882352942</v>
      </c>
      <c r="P10">
        <v>8</v>
      </c>
      <c r="Q10">
        <v>2.2397999999999998</v>
      </c>
      <c r="R10">
        <v>15</v>
      </c>
      <c r="S10" s="2">
        <f t="shared" si="3"/>
        <v>0.52701176470588229</v>
      </c>
      <c r="U10">
        <v>8</v>
      </c>
      <c r="V10">
        <v>1.7273000000000001</v>
      </c>
      <c r="W10">
        <v>15</v>
      </c>
      <c r="X10" s="2">
        <f t="shared" si="4"/>
        <v>0.39481142857142859</v>
      </c>
      <c r="Z10">
        <v>8</v>
      </c>
      <c r="AA10">
        <v>2.2397999999999998</v>
      </c>
      <c r="AB10">
        <v>15</v>
      </c>
      <c r="AC10" s="2">
        <f t="shared" si="5"/>
        <v>0.52701176470588229</v>
      </c>
      <c r="AE10">
        <v>8</v>
      </c>
      <c r="AF10">
        <v>2.2397999999999998</v>
      </c>
      <c r="AG10">
        <v>12.5</v>
      </c>
      <c r="AH10" s="2">
        <f t="shared" si="6"/>
        <v>0.52701176470588229</v>
      </c>
    </row>
    <row r="11" spans="1:34" x14ac:dyDescent="0.25">
      <c r="A11">
        <v>9</v>
      </c>
      <c r="B11">
        <v>1.7466999999999999</v>
      </c>
      <c r="C11">
        <v>12.5</v>
      </c>
      <c r="D11" s="2">
        <f t="shared" si="0"/>
        <v>0.41098823529411765</v>
      </c>
      <c r="F11">
        <v>9</v>
      </c>
      <c r="G11">
        <v>1.9351</v>
      </c>
      <c r="H11">
        <v>15</v>
      </c>
      <c r="I11" s="2">
        <f t="shared" si="1"/>
        <v>0.44230857142857144</v>
      </c>
      <c r="K11">
        <v>9</v>
      </c>
      <c r="L11">
        <v>2.3959999999999999</v>
      </c>
      <c r="M11">
        <v>12.5</v>
      </c>
      <c r="N11" s="2">
        <f t="shared" si="2"/>
        <v>0.56376470588235295</v>
      </c>
      <c r="P11">
        <v>9</v>
      </c>
      <c r="Q11">
        <v>2.3795999999999999</v>
      </c>
      <c r="R11">
        <v>15</v>
      </c>
      <c r="S11" s="2">
        <f t="shared" si="3"/>
        <v>0.55990588235294114</v>
      </c>
      <c r="U11">
        <v>9</v>
      </c>
      <c r="V11">
        <v>1.9351</v>
      </c>
      <c r="W11">
        <v>15</v>
      </c>
      <c r="X11" s="2">
        <f t="shared" si="4"/>
        <v>0.44230857142857144</v>
      </c>
      <c r="Z11">
        <v>9</v>
      </c>
      <c r="AA11">
        <v>2.3795999999999999</v>
      </c>
      <c r="AB11">
        <v>15</v>
      </c>
      <c r="AC11" s="2">
        <f t="shared" si="5"/>
        <v>0.55990588235294114</v>
      </c>
      <c r="AE11">
        <v>9</v>
      </c>
      <c r="AF11">
        <v>2.3795999999999999</v>
      </c>
      <c r="AG11">
        <v>12.5</v>
      </c>
      <c r="AH11" s="2">
        <f t="shared" si="6"/>
        <v>0.55990588235294114</v>
      </c>
    </row>
    <row r="12" spans="1:34" x14ac:dyDescent="0.25">
      <c r="A12">
        <v>10</v>
      </c>
      <c r="B12">
        <v>1.9329000000000001</v>
      </c>
      <c r="C12">
        <v>12.5</v>
      </c>
      <c r="D12" s="2">
        <f t="shared" si="0"/>
        <v>0.45480000000000004</v>
      </c>
      <c r="F12">
        <v>10</v>
      </c>
      <c r="G12">
        <v>2.1429</v>
      </c>
      <c r="H12">
        <v>15</v>
      </c>
      <c r="I12" s="2">
        <f t="shared" si="1"/>
        <v>0.48980571428571429</v>
      </c>
      <c r="K12">
        <v>10</v>
      </c>
      <c r="L12">
        <v>2.5482999999999998</v>
      </c>
      <c r="M12">
        <v>12.5</v>
      </c>
      <c r="N12" s="2">
        <f t="shared" si="2"/>
        <v>0.59959999999999991</v>
      </c>
      <c r="P12">
        <v>10</v>
      </c>
      <c r="Q12">
        <v>2.5257999999999998</v>
      </c>
      <c r="R12">
        <v>15</v>
      </c>
      <c r="S12" s="2">
        <f t="shared" si="3"/>
        <v>0.59430588235294113</v>
      </c>
      <c r="U12">
        <v>10</v>
      </c>
      <c r="V12">
        <v>2.1429</v>
      </c>
      <c r="W12">
        <v>15</v>
      </c>
      <c r="X12" s="2">
        <f t="shared" si="4"/>
        <v>0.48980571428571429</v>
      </c>
      <c r="Z12">
        <v>10</v>
      </c>
      <c r="AA12">
        <v>2.5257999999999998</v>
      </c>
      <c r="AB12">
        <v>15</v>
      </c>
      <c r="AC12" s="2">
        <f t="shared" si="5"/>
        <v>0.59430588235294113</v>
      </c>
      <c r="AE12">
        <v>10</v>
      </c>
      <c r="AF12">
        <v>2.5257999999999998</v>
      </c>
      <c r="AG12">
        <v>12.5</v>
      </c>
      <c r="AH12" s="2">
        <f t="shared" si="6"/>
        <v>0.59430588235294113</v>
      </c>
    </row>
    <row r="13" spans="1:34" x14ac:dyDescent="0.25">
      <c r="A13">
        <v>11</v>
      </c>
      <c r="B13">
        <v>2.1282999999999999</v>
      </c>
      <c r="C13">
        <v>12.5</v>
      </c>
      <c r="D13" s="2">
        <f t="shared" si="0"/>
        <v>0.50077647058823527</v>
      </c>
      <c r="F13">
        <v>11</v>
      </c>
      <c r="G13">
        <v>2.2545000000000002</v>
      </c>
      <c r="H13">
        <v>15</v>
      </c>
      <c r="I13" s="2">
        <f t="shared" si="1"/>
        <v>0.51531428571428572</v>
      </c>
      <c r="K13">
        <v>11</v>
      </c>
      <c r="L13">
        <v>2.7002000000000002</v>
      </c>
      <c r="M13">
        <v>12.5</v>
      </c>
      <c r="N13" s="2">
        <f t="shared" si="2"/>
        <v>0.6353411764705883</v>
      </c>
      <c r="P13">
        <v>11</v>
      </c>
      <c r="Q13">
        <v>2.6709000000000001</v>
      </c>
      <c r="R13">
        <v>15</v>
      </c>
      <c r="S13" s="2">
        <f t="shared" si="3"/>
        <v>0.62844705882352947</v>
      </c>
      <c r="U13">
        <v>11</v>
      </c>
      <c r="V13">
        <v>2.2246999999999999</v>
      </c>
      <c r="W13">
        <v>15</v>
      </c>
      <c r="X13" s="2">
        <f t="shared" si="4"/>
        <v>0.50850285714285715</v>
      </c>
      <c r="Z13">
        <v>11</v>
      </c>
      <c r="AA13">
        <v>2.6709000000000001</v>
      </c>
      <c r="AB13">
        <v>15</v>
      </c>
      <c r="AC13" s="2">
        <f t="shared" si="5"/>
        <v>0.62844705882352947</v>
      </c>
      <c r="AE13">
        <v>11</v>
      </c>
      <c r="AF13">
        <v>2.6709000000000001</v>
      </c>
      <c r="AG13">
        <v>12.5</v>
      </c>
      <c r="AH13" s="2">
        <f t="shared" si="6"/>
        <v>0.62844705882352947</v>
      </c>
    </row>
    <row r="14" spans="1:34" x14ac:dyDescent="0.25">
      <c r="A14">
        <v>12</v>
      </c>
      <c r="B14">
        <v>2.3237999999999999</v>
      </c>
      <c r="C14">
        <v>12.5</v>
      </c>
      <c r="D14" s="2">
        <f t="shared" si="0"/>
        <v>0.54677647058823531</v>
      </c>
      <c r="F14">
        <v>12</v>
      </c>
      <c r="G14">
        <v>2.3769999999999998</v>
      </c>
      <c r="H14">
        <v>15</v>
      </c>
      <c r="I14" s="2">
        <f t="shared" si="1"/>
        <v>0.54331428571428564</v>
      </c>
      <c r="K14">
        <v>12</v>
      </c>
      <c r="L14">
        <v>2.8439999999999999</v>
      </c>
      <c r="M14">
        <v>13</v>
      </c>
      <c r="N14" s="2">
        <f t="shared" si="2"/>
        <v>0.66917647058823526</v>
      </c>
      <c r="P14">
        <v>12</v>
      </c>
      <c r="Q14">
        <v>2.8140999999999998</v>
      </c>
      <c r="R14">
        <v>15</v>
      </c>
      <c r="S14" s="2">
        <f t="shared" si="3"/>
        <v>0.66214117647058823</v>
      </c>
      <c r="U14">
        <v>12</v>
      </c>
      <c r="V14">
        <v>2.3603999999999998</v>
      </c>
      <c r="W14">
        <v>15</v>
      </c>
      <c r="X14" s="2">
        <f t="shared" si="4"/>
        <v>0.53952</v>
      </c>
      <c r="Z14">
        <v>12</v>
      </c>
      <c r="AA14">
        <v>2.8140999999999998</v>
      </c>
      <c r="AB14">
        <v>15</v>
      </c>
      <c r="AC14" s="2">
        <f t="shared" si="5"/>
        <v>0.66214117647058823</v>
      </c>
      <c r="AE14">
        <v>12</v>
      </c>
      <c r="AF14">
        <v>2.8140999999999998</v>
      </c>
      <c r="AG14">
        <v>12.5</v>
      </c>
      <c r="AH14" s="2">
        <f t="shared" si="6"/>
        <v>0.66214117647058823</v>
      </c>
    </row>
    <row r="15" spans="1:34" x14ac:dyDescent="0.25">
      <c r="A15">
        <v>13</v>
      </c>
      <c r="B15">
        <v>2.4672999999999998</v>
      </c>
      <c r="C15">
        <v>12.5</v>
      </c>
      <c r="D15" s="2">
        <f t="shared" si="0"/>
        <v>0.58054117647058823</v>
      </c>
      <c r="F15">
        <v>13</v>
      </c>
      <c r="G15">
        <v>2.5009000000000001</v>
      </c>
      <c r="H15">
        <v>15</v>
      </c>
      <c r="I15" s="2">
        <f t="shared" si="1"/>
        <v>0.57163428571428576</v>
      </c>
      <c r="K15">
        <v>13</v>
      </c>
      <c r="L15">
        <v>2.9849000000000001</v>
      </c>
      <c r="M15">
        <v>13</v>
      </c>
      <c r="N15" s="2">
        <f t="shared" si="2"/>
        <v>0.70232941176470587</v>
      </c>
      <c r="P15">
        <v>13</v>
      </c>
      <c r="Q15">
        <v>2.9544999999999999</v>
      </c>
      <c r="R15">
        <v>15</v>
      </c>
      <c r="S15" s="2">
        <f t="shared" si="3"/>
        <v>0.69517647058823528</v>
      </c>
      <c r="U15">
        <v>13</v>
      </c>
      <c r="V15">
        <v>2.4943</v>
      </c>
      <c r="W15">
        <v>15</v>
      </c>
      <c r="X15" s="2">
        <f t="shared" si="4"/>
        <v>0.57012571428571424</v>
      </c>
      <c r="Z15">
        <v>13</v>
      </c>
      <c r="AA15">
        <v>2.9544999999999999</v>
      </c>
      <c r="AB15">
        <v>15</v>
      </c>
      <c r="AC15" s="2">
        <f t="shared" si="5"/>
        <v>0.69517647058823528</v>
      </c>
      <c r="AE15">
        <v>13</v>
      </c>
      <c r="AF15">
        <v>2.9544999999999999</v>
      </c>
      <c r="AG15">
        <v>12.5</v>
      </c>
      <c r="AH15" s="2">
        <f t="shared" si="6"/>
        <v>0.69517647058823528</v>
      </c>
    </row>
    <row r="16" spans="1:34" x14ac:dyDescent="0.25">
      <c r="A16">
        <v>14</v>
      </c>
      <c r="B16">
        <v>2.6080999999999999</v>
      </c>
      <c r="C16">
        <v>12.5</v>
      </c>
      <c r="D16" s="2">
        <f t="shared" si="0"/>
        <v>0.61367058823529408</v>
      </c>
      <c r="F16">
        <v>14</v>
      </c>
      <c r="G16">
        <v>2.6278999999999999</v>
      </c>
      <c r="H16">
        <v>16</v>
      </c>
      <c r="I16" s="2">
        <f t="shared" si="1"/>
        <v>0.60066285714285717</v>
      </c>
      <c r="K16">
        <v>14</v>
      </c>
      <c r="L16">
        <v>3.1215000000000002</v>
      </c>
      <c r="M16">
        <v>14</v>
      </c>
      <c r="N16" s="2">
        <f t="shared" si="2"/>
        <v>0.73447058823529421</v>
      </c>
      <c r="P16">
        <v>14</v>
      </c>
      <c r="Q16">
        <v>3.0912000000000002</v>
      </c>
      <c r="R16">
        <v>15</v>
      </c>
      <c r="S16" s="2">
        <f t="shared" si="3"/>
        <v>0.72734117647058827</v>
      </c>
      <c r="U16">
        <v>14</v>
      </c>
      <c r="V16">
        <v>2.6297999999999999</v>
      </c>
      <c r="W16">
        <v>15</v>
      </c>
      <c r="X16" s="2">
        <f t="shared" si="4"/>
        <v>0.60109714285714289</v>
      </c>
      <c r="Z16">
        <v>14</v>
      </c>
      <c r="AA16">
        <v>3.0912000000000002</v>
      </c>
      <c r="AB16">
        <v>15</v>
      </c>
      <c r="AC16" s="2">
        <f t="shared" si="5"/>
        <v>0.72734117647058827</v>
      </c>
      <c r="AE16">
        <v>14</v>
      </c>
      <c r="AF16">
        <v>3.0912000000000002</v>
      </c>
      <c r="AG16">
        <v>13</v>
      </c>
      <c r="AH16" s="2">
        <f t="shared" si="6"/>
        <v>0.72734117647058827</v>
      </c>
    </row>
    <row r="17" spans="1:34" x14ac:dyDescent="0.25">
      <c r="A17">
        <v>15</v>
      </c>
      <c r="B17">
        <v>2.7423999999999999</v>
      </c>
      <c r="C17">
        <v>12.5</v>
      </c>
      <c r="D17" s="2">
        <f t="shared" si="0"/>
        <v>0.64527058823529415</v>
      </c>
      <c r="F17">
        <v>15</v>
      </c>
      <c r="G17">
        <v>2.7544</v>
      </c>
      <c r="H17">
        <v>16</v>
      </c>
      <c r="I17" s="2">
        <f t="shared" si="1"/>
        <v>0.62957714285714284</v>
      </c>
      <c r="K17">
        <v>15</v>
      </c>
      <c r="L17">
        <v>3.2536999999999998</v>
      </c>
      <c r="M17">
        <v>15</v>
      </c>
      <c r="N17" s="2">
        <f t="shared" si="2"/>
        <v>0.7655764705882353</v>
      </c>
      <c r="P17">
        <v>15</v>
      </c>
      <c r="Q17">
        <v>3.2235</v>
      </c>
      <c r="R17">
        <v>15</v>
      </c>
      <c r="S17" s="2">
        <f t="shared" si="3"/>
        <v>0.75847058823529412</v>
      </c>
      <c r="U17">
        <v>15</v>
      </c>
      <c r="V17">
        <v>2.7576999999999998</v>
      </c>
      <c r="W17">
        <v>15</v>
      </c>
      <c r="X17" s="2">
        <f t="shared" si="4"/>
        <v>0.63033142857142854</v>
      </c>
      <c r="Z17">
        <v>15</v>
      </c>
      <c r="AA17">
        <v>3.2235</v>
      </c>
      <c r="AB17">
        <v>15</v>
      </c>
      <c r="AC17" s="2">
        <f t="shared" si="5"/>
        <v>0.75847058823529412</v>
      </c>
      <c r="AE17">
        <v>15</v>
      </c>
      <c r="AF17">
        <v>3.2235</v>
      </c>
      <c r="AG17">
        <v>13</v>
      </c>
      <c r="AH17" s="2">
        <f t="shared" si="6"/>
        <v>0.75847058823529412</v>
      </c>
    </row>
    <row r="18" spans="1:34" x14ac:dyDescent="0.25">
      <c r="A18">
        <v>16</v>
      </c>
      <c r="B18">
        <v>2.8746999999999998</v>
      </c>
      <c r="C18">
        <v>12.5</v>
      </c>
      <c r="D18" s="2">
        <f t="shared" si="0"/>
        <v>0.6764</v>
      </c>
      <c r="F18">
        <v>16</v>
      </c>
      <c r="G18">
        <v>2.8799000000000001</v>
      </c>
      <c r="H18">
        <v>16</v>
      </c>
      <c r="I18" s="2">
        <f t="shared" si="1"/>
        <v>0.65826285714285715</v>
      </c>
      <c r="K18">
        <v>16</v>
      </c>
      <c r="L18">
        <v>3.3807</v>
      </c>
      <c r="M18">
        <v>16</v>
      </c>
      <c r="N18" s="2">
        <f t="shared" si="2"/>
        <v>0.79545882352941177</v>
      </c>
      <c r="P18">
        <v>16</v>
      </c>
      <c r="Q18">
        <v>3.3506</v>
      </c>
      <c r="R18">
        <v>15</v>
      </c>
      <c r="S18" s="2">
        <f t="shared" si="3"/>
        <v>0.78837647058823535</v>
      </c>
      <c r="U18">
        <v>16</v>
      </c>
      <c r="V18">
        <v>2.8845999999999998</v>
      </c>
      <c r="W18">
        <v>15</v>
      </c>
      <c r="X18" s="2">
        <f t="shared" si="4"/>
        <v>0.65933714285714284</v>
      </c>
      <c r="Z18">
        <v>16</v>
      </c>
      <c r="AA18">
        <v>3.3506</v>
      </c>
      <c r="AB18">
        <v>15</v>
      </c>
      <c r="AC18" s="2">
        <f t="shared" si="5"/>
        <v>0.78837647058823535</v>
      </c>
      <c r="AE18">
        <v>16</v>
      </c>
      <c r="AF18">
        <v>3.3506</v>
      </c>
      <c r="AG18">
        <v>14</v>
      </c>
      <c r="AH18" s="2">
        <f t="shared" si="6"/>
        <v>0.78837647058823535</v>
      </c>
    </row>
    <row r="19" spans="1:34" x14ac:dyDescent="0.25">
      <c r="A19">
        <v>17</v>
      </c>
      <c r="B19">
        <v>3.004</v>
      </c>
      <c r="C19">
        <v>13</v>
      </c>
      <c r="D19" s="2">
        <f t="shared" si="0"/>
        <v>0.70682352941176474</v>
      </c>
      <c r="F19">
        <v>17</v>
      </c>
      <c r="G19">
        <v>3.0087999999999999</v>
      </c>
      <c r="H19">
        <v>16</v>
      </c>
      <c r="I19" s="2">
        <f t="shared" si="1"/>
        <v>0.68772571428571427</v>
      </c>
      <c r="K19">
        <v>17</v>
      </c>
      <c r="L19">
        <v>3.5007999999999999</v>
      </c>
      <c r="M19">
        <v>17</v>
      </c>
      <c r="N19" s="2">
        <f t="shared" si="2"/>
        <v>0.82371764705882355</v>
      </c>
      <c r="P19">
        <v>17</v>
      </c>
      <c r="Q19">
        <v>3.4710000000000001</v>
      </c>
      <c r="R19">
        <v>16</v>
      </c>
      <c r="S19" s="2">
        <f t="shared" si="3"/>
        <v>0.81670588235294117</v>
      </c>
      <c r="U19">
        <v>17</v>
      </c>
      <c r="V19">
        <v>3.0303</v>
      </c>
      <c r="W19">
        <v>15</v>
      </c>
      <c r="X19" s="2">
        <f t="shared" si="4"/>
        <v>0.69264000000000003</v>
      </c>
      <c r="Z19">
        <v>17</v>
      </c>
      <c r="AA19">
        <v>3.4710000000000001</v>
      </c>
      <c r="AB19">
        <v>16</v>
      </c>
      <c r="AC19" s="2">
        <f t="shared" si="5"/>
        <v>0.81670588235294117</v>
      </c>
      <c r="AE19">
        <v>17</v>
      </c>
      <c r="AF19">
        <v>3.4710000000000001</v>
      </c>
      <c r="AG19">
        <v>14</v>
      </c>
      <c r="AH19" s="2">
        <f t="shared" si="6"/>
        <v>0.81670588235294117</v>
      </c>
    </row>
    <row r="20" spans="1:34" x14ac:dyDescent="0.25">
      <c r="A20">
        <v>18</v>
      </c>
      <c r="B20">
        <v>3.1309999999999998</v>
      </c>
      <c r="C20">
        <v>13</v>
      </c>
      <c r="D20" s="2">
        <f t="shared" si="0"/>
        <v>0.7367058823529411</v>
      </c>
      <c r="F20">
        <v>18</v>
      </c>
      <c r="G20">
        <v>3.1349</v>
      </c>
      <c r="H20">
        <v>17</v>
      </c>
      <c r="I20" s="2">
        <f t="shared" si="1"/>
        <v>0.71654857142857142</v>
      </c>
      <c r="K20">
        <v>18</v>
      </c>
      <c r="L20">
        <v>3.6137000000000001</v>
      </c>
      <c r="M20">
        <v>18</v>
      </c>
      <c r="N20" s="2">
        <f t="shared" si="2"/>
        <v>0.85028235294117649</v>
      </c>
      <c r="P20">
        <v>18</v>
      </c>
      <c r="Q20">
        <v>3.5853000000000002</v>
      </c>
      <c r="R20">
        <v>16</v>
      </c>
      <c r="S20" s="2">
        <f t="shared" si="3"/>
        <v>0.84360000000000002</v>
      </c>
      <c r="U20">
        <v>18</v>
      </c>
      <c r="V20">
        <v>3.1728000000000001</v>
      </c>
      <c r="W20">
        <v>16</v>
      </c>
      <c r="X20" s="2">
        <f t="shared" si="4"/>
        <v>0.72521142857142862</v>
      </c>
      <c r="Z20">
        <v>18</v>
      </c>
      <c r="AA20">
        <v>3.5853000000000002</v>
      </c>
      <c r="AB20">
        <v>16</v>
      </c>
      <c r="AC20" s="2">
        <f t="shared" si="5"/>
        <v>0.84360000000000002</v>
      </c>
      <c r="AE20">
        <v>18</v>
      </c>
      <c r="AF20">
        <v>3.5853000000000002</v>
      </c>
      <c r="AG20">
        <v>15</v>
      </c>
      <c r="AH20" s="2">
        <f t="shared" si="6"/>
        <v>0.84360000000000002</v>
      </c>
    </row>
    <row r="21" spans="1:34" x14ac:dyDescent="0.25">
      <c r="A21">
        <v>19</v>
      </c>
      <c r="B21">
        <v>3.2530000000000001</v>
      </c>
      <c r="C21">
        <v>14</v>
      </c>
      <c r="D21" s="2">
        <f t="shared" si="0"/>
        <v>0.76541176470588235</v>
      </c>
      <c r="F21">
        <v>19</v>
      </c>
      <c r="G21">
        <v>3.2582</v>
      </c>
      <c r="H21">
        <v>17</v>
      </c>
      <c r="I21" s="2">
        <f t="shared" si="1"/>
        <v>0.7447314285714286</v>
      </c>
      <c r="K21">
        <v>19</v>
      </c>
      <c r="L21">
        <v>3.7181999999999999</v>
      </c>
      <c r="M21">
        <v>18</v>
      </c>
      <c r="N21" s="2">
        <f t="shared" si="2"/>
        <v>0.87487058823529407</v>
      </c>
      <c r="P21">
        <v>19</v>
      </c>
      <c r="Q21">
        <v>3.6922000000000001</v>
      </c>
      <c r="R21">
        <v>16</v>
      </c>
      <c r="S21" s="2">
        <f t="shared" si="3"/>
        <v>0.86875294117647062</v>
      </c>
      <c r="U21">
        <v>19</v>
      </c>
      <c r="V21">
        <v>3.3113000000000001</v>
      </c>
      <c r="W21">
        <v>16</v>
      </c>
      <c r="X21" s="2">
        <f t="shared" si="4"/>
        <v>0.75686857142857145</v>
      </c>
      <c r="Z21">
        <v>19</v>
      </c>
      <c r="AA21">
        <v>3.6922000000000001</v>
      </c>
      <c r="AB21">
        <v>16</v>
      </c>
      <c r="AC21" s="2">
        <f t="shared" si="5"/>
        <v>0.86875294117647062</v>
      </c>
      <c r="AE21">
        <v>19</v>
      </c>
      <c r="AF21">
        <v>3.6922000000000001</v>
      </c>
      <c r="AG21">
        <v>15</v>
      </c>
      <c r="AH21" s="2">
        <f t="shared" si="6"/>
        <v>0.86875294117647062</v>
      </c>
    </row>
    <row r="22" spans="1:34" x14ac:dyDescent="0.25">
      <c r="A22">
        <v>20</v>
      </c>
      <c r="B22">
        <v>3.3704999999999998</v>
      </c>
      <c r="C22">
        <v>15</v>
      </c>
      <c r="D22" s="2">
        <f t="shared" si="0"/>
        <v>0.7930588235294117</v>
      </c>
      <c r="F22">
        <v>20</v>
      </c>
      <c r="G22">
        <v>3.3778000000000001</v>
      </c>
      <c r="H22">
        <v>17</v>
      </c>
      <c r="I22" s="2">
        <f t="shared" si="1"/>
        <v>0.77206857142857144</v>
      </c>
      <c r="K22">
        <v>20</v>
      </c>
      <c r="L22">
        <v>3.8151000000000002</v>
      </c>
      <c r="M22">
        <v>19</v>
      </c>
      <c r="N22" s="2">
        <f t="shared" si="2"/>
        <v>0.89767058823529411</v>
      </c>
      <c r="P22">
        <v>20</v>
      </c>
      <c r="Q22">
        <v>3.7902999999999998</v>
      </c>
      <c r="R22">
        <v>17</v>
      </c>
      <c r="S22" s="2">
        <f t="shared" si="3"/>
        <v>0.89183529411764706</v>
      </c>
      <c r="U22">
        <v>20</v>
      </c>
      <c r="V22">
        <v>3.4445999999999999</v>
      </c>
      <c r="W22">
        <v>16</v>
      </c>
      <c r="X22" s="2">
        <f t="shared" si="4"/>
        <v>0.78733714285714285</v>
      </c>
      <c r="Z22">
        <v>20</v>
      </c>
      <c r="AA22">
        <v>3.7902999999999998</v>
      </c>
      <c r="AB22">
        <v>17</v>
      </c>
      <c r="AC22" s="2">
        <f t="shared" si="5"/>
        <v>0.89183529411764706</v>
      </c>
      <c r="AE22">
        <v>20</v>
      </c>
      <c r="AF22">
        <v>3.7902999999999998</v>
      </c>
      <c r="AG22">
        <v>16</v>
      </c>
      <c r="AH22" s="2">
        <f t="shared" si="6"/>
        <v>0.89183529411764706</v>
      </c>
    </row>
    <row r="23" spans="1:34" x14ac:dyDescent="0.25">
      <c r="A23">
        <v>21</v>
      </c>
      <c r="B23">
        <v>3.4771000000000001</v>
      </c>
      <c r="C23">
        <v>15</v>
      </c>
      <c r="D23" s="2">
        <f t="shared" si="0"/>
        <v>0.81814117647058826</v>
      </c>
      <c r="F23">
        <v>21</v>
      </c>
      <c r="G23">
        <v>3.4931000000000001</v>
      </c>
      <c r="H23">
        <v>17</v>
      </c>
      <c r="I23" s="2">
        <f t="shared" si="1"/>
        <v>0.79842285714285721</v>
      </c>
      <c r="K23">
        <v>21</v>
      </c>
      <c r="L23">
        <v>3.9041000000000001</v>
      </c>
      <c r="M23">
        <v>20</v>
      </c>
      <c r="N23" s="2">
        <f t="shared" si="2"/>
        <v>0.91861176470588235</v>
      </c>
      <c r="P23">
        <v>21</v>
      </c>
      <c r="Q23">
        <v>3.8805000000000001</v>
      </c>
      <c r="R23">
        <v>17</v>
      </c>
      <c r="S23" s="2">
        <f t="shared" si="3"/>
        <v>0.91305882352941181</v>
      </c>
      <c r="U23">
        <v>21</v>
      </c>
      <c r="V23">
        <v>3.5718000000000001</v>
      </c>
      <c r="W23">
        <v>16</v>
      </c>
      <c r="X23" s="2">
        <f t="shared" si="4"/>
        <v>0.81641142857142857</v>
      </c>
      <c r="Z23">
        <v>21</v>
      </c>
      <c r="AA23">
        <v>3.8805000000000001</v>
      </c>
      <c r="AB23">
        <v>17</v>
      </c>
      <c r="AC23" s="2">
        <f t="shared" si="5"/>
        <v>0.91305882352941181</v>
      </c>
      <c r="AE23">
        <v>21</v>
      </c>
      <c r="AF23">
        <v>3.8805000000000001</v>
      </c>
      <c r="AG23">
        <v>17</v>
      </c>
      <c r="AH23" s="2">
        <f t="shared" si="6"/>
        <v>0.91305882352941181</v>
      </c>
    </row>
    <row r="24" spans="1:34" x14ac:dyDescent="0.25">
      <c r="A24">
        <v>22</v>
      </c>
      <c r="B24">
        <v>3.5777999999999999</v>
      </c>
      <c r="C24">
        <v>16</v>
      </c>
      <c r="D24" s="2">
        <f t="shared" si="0"/>
        <v>0.84183529411764701</v>
      </c>
      <c r="F24">
        <v>22</v>
      </c>
      <c r="G24">
        <v>3.6027999999999998</v>
      </c>
      <c r="H24">
        <v>18</v>
      </c>
      <c r="I24" s="2">
        <f t="shared" si="1"/>
        <v>0.82349714285714282</v>
      </c>
      <c r="K24">
        <v>22</v>
      </c>
      <c r="L24">
        <v>3.9794999999999998</v>
      </c>
      <c r="M24">
        <v>22</v>
      </c>
      <c r="N24" s="2">
        <f t="shared" si="2"/>
        <v>0.9363529411764705</v>
      </c>
      <c r="P24">
        <v>22</v>
      </c>
      <c r="Q24">
        <v>3.9605999999999999</v>
      </c>
      <c r="R24">
        <v>18</v>
      </c>
      <c r="S24" s="2">
        <f t="shared" si="3"/>
        <v>0.93190588235294114</v>
      </c>
      <c r="U24">
        <v>22</v>
      </c>
      <c r="V24">
        <v>3.6911</v>
      </c>
      <c r="W24">
        <v>17</v>
      </c>
      <c r="X24" s="2">
        <f t="shared" si="4"/>
        <v>0.84367999999999999</v>
      </c>
      <c r="Z24">
        <v>22</v>
      </c>
      <c r="AA24">
        <v>3.9605999999999999</v>
      </c>
      <c r="AB24">
        <v>18</v>
      </c>
      <c r="AC24" s="2">
        <f t="shared" si="5"/>
        <v>0.93190588235294114</v>
      </c>
      <c r="AE24">
        <v>22</v>
      </c>
      <c r="AF24">
        <v>3.9605999999999999</v>
      </c>
      <c r="AG24">
        <v>18</v>
      </c>
      <c r="AH24" s="2">
        <f t="shared" si="6"/>
        <v>0.93190588235294114</v>
      </c>
    </row>
    <row r="25" spans="1:34" x14ac:dyDescent="0.25">
      <c r="A25">
        <v>23</v>
      </c>
      <c r="B25">
        <v>3.6724000000000001</v>
      </c>
      <c r="C25">
        <v>17</v>
      </c>
      <c r="D25" s="2">
        <f t="shared" si="0"/>
        <v>0.8640941176470589</v>
      </c>
      <c r="F25">
        <v>23</v>
      </c>
      <c r="G25">
        <v>3.7075999999999998</v>
      </c>
      <c r="H25">
        <v>18</v>
      </c>
      <c r="I25" s="2">
        <f t="shared" si="1"/>
        <v>0.84745142857142852</v>
      </c>
      <c r="K25">
        <v>23</v>
      </c>
      <c r="L25">
        <v>4.0442999999999998</v>
      </c>
      <c r="M25">
        <v>23</v>
      </c>
      <c r="N25" s="2">
        <f t="shared" si="2"/>
        <v>0.9516</v>
      </c>
      <c r="P25">
        <v>23</v>
      </c>
      <c r="Q25">
        <v>4.0308000000000002</v>
      </c>
      <c r="R25">
        <v>19</v>
      </c>
      <c r="S25" s="2">
        <f t="shared" si="3"/>
        <v>0.94842352941176478</v>
      </c>
      <c r="U25">
        <v>23</v>
      </c>
      <c r="V25">
        <v>3.8035000000000001</v>
      </c>
      <c r="W25">
        <v>17</v>
      </c>
      <c r="X25" s="2">
        <f t="shared" si="4"/>
        <v>0.86937142857142857</v>
      </c>
      <c r="Z25">
        <v>23</v>
      </c>
      <c r="AA25">
        <v>4.0308000000000002</v>
      </c>
      <c r="AB25">
        <v>19</v>
      </c>
      <c r="AC25" s="2">
        <f t="shared" si="5"/>
        <v>0.94842352941176478</v>
      </c>
      <c r="AE25">
        <v>23</v>
      </c>
      <c r="AF25">
        <v>4.0308000000000002</v>
      </c>
      <c r="AG25">
        <v>19</v>
      </c>
      <c r="AH25" s="2">
        <f t="shared" si="6"/>
        <v>0.94842352941176478</v>
      </c>
    </row>
    <row r="26" spans="1:34" x14ac:dyDescent="0.25">
      <c r="A26">
        <v>24</v>
      </c>
      <c r="B26">
        <v>3.7608000000000001</v>
      </c>
      <c r="C26">
        <v>18</v>
      </c>
      <c r="D26" s="2">
        <f t="shared" si="0"/>
        <v>0.88489411764705883</v>
      </c>
      <c r="F26">
        <v>24</v>
      </c>
      <c r="G26">
        <v>3.8065000000000002</v>
      </c>
      <c r="H26">
        <v>18</v>
      </c>
      <c r="I26" s="2">
        <f t="shared" si="1"/>
        <v>0.87005714285714286</v>
      </c>
      <c r="K26">
        <v>24</v>
      </c>
      <c r="L26">
        <v>4.0911999999999997</v>
      </c>
      <c r="M26">
        <v>24</v>
      </c>
      <c r="N26" s="2">
        <f t="shared" si="2"/>
        <v>0.96263529411764703</v>
      </c>
      <c r="P26">
        <v>24</v>
      </c>
      <c r="Q26">
        <v>4.0909000000000004</v>
      </c>
      <c r="R26">
        <v>20</v>
      </c>
      <c r="S26" s="2">
        <f t="shared" si="3"/>
        <v>0.96256470588235299</v>
      </c>
      <c r="U26">
        <v>24</v>
      </c>
      <c r="V26">
        <v>3.9073000000000002</v>
      </c>
      <c r="W26">
        <v>17</v>
      </c>
      <c r="X26" s="2">
        <f t="shared" si="4"/>
        <v>0.89309714285714292</v>
      </c>
      <c r="Z26">
        <v>24</v>
      </c>
      <c r="AA26">
        <v>4.0909000000000004</v>
      </c>
      <c r="AB26">
        <v>20</v>
      </c>
      <c r="AC26" s="2">
        <f t="shared" si="5"/>
        <v>0.96256470588235299</v>
      </c>
      <c r="AE26">
        <v>24</v>
      </c>
      <c r="AF26">
        <v>4.0909000000000004</v>
      </c>
      <c r="AG26">
        <v>20</v>
      </c>
      <c r="AH26" s="2">
        <f t="shared" si="6"/>
        <v>0.96256470588235299</v>
      </c>
    </row>
    <row r="27" spans="1:34" x14ac:dyDescent="0.25">
      <c r="A27">
        <v>25</v>
      </c>
      <c r="B27">
        <v>3.8420000000000001</v>
      </c>
      <c r="C27">
        <v>19</v>
      </c>
      <c r="D27" s="2">
        <f t="shared" si="0"/>
        <v>0.90400000000000003</v>
      </c>
      <c r="F27">
        <v>25</v>
      </c>
      <c r="G27">
        <v>3.8978999999999999</v>
      </c>
      <c r="H27">
        <v>19</v>
      </c>
      <c r="I27" s="2">
        <f t="shared" si="1"/>
        <v>0.89094857142857142</v>
      </c>
      <c r="K27">
        <v>25</v>
      </c>
      <c r="L27">
        <v>4.1447000000000003</v>
      </c>
      <c r="M27">
        <v>25</v>
      </c>
      <c r="N27" s="2">
        <f t="shared" si="2"/>
        <v>0.97522352941176482</v>
      </c>
      <c r="P27">
        <v>25</v>
      </c>
      <c r="Q27">
        <v>4.1402999999999999</v>
      </c>
      <c r="R27">
        <v>21</v>
      </c>
      <c r="S27" s="2">
        <f t="shared" si="3"/>
        <v>0.97418823529411758</v>
      </c>
      <c r="U27">
        <v>25</v>
      </c>
      <c r="V27">
        <v>4.0007999999999999</v>
      </c>
      <c r="W27">
        <v>18</v>
      </c>
      <c r="X27" s="2">
        <f t="shared" si="4"/>
        <v>0.91446857142857141</v>
      </c>
      <c r="Z27">
        <v>25</v>
      </c>
      <c r="AA27">
        <v>4.1402999999999999</v>
      </c>
      <c r="AB27">
        <v>21</v>
      </c>
      <c r="AC27" s="2">
        <f t="shared" si="5"/>
        <v>0.97418823529411758</v>
      </c>
      <c r="AE27">
        <v>25</v>
      </c>
      <c r="AF27">
        <v>4.1402999999999999</v>
      </c>
      <c r="AG27">
        <v>21</v>
      </c>
      <c r="AH27" s="2">
        <f t="shared" si="6"/>
        <v>0.97418823529411758</v>
      </c>
    </row>
    <row r="28" spans="1:34" x14ac:dyDescent="0.25">
      <c r="A28">
        <v>26</v>
      </c>
      <c r="B28">
        <v>3.9209000000000001</v>
      </c>
      <c r="C28">
        <v>21</v>
      </c>
      <c r="D28" s="2">
        <f t="shared" si="0"/>
        <v>0.92256470588235295</v>
      </c>
      <c r="F28">
        <v>26</v>
      </c>
      <c r="G28">
        <v>3.9832999999999998</v>
      </c>
      <c r="H28">
        <v>19</v>
      </c>
      <c r="I28" s="2">
        <f t="shared" si="1"/>
        <v>0.9104685714285714</v>
      </c>
      <c r="K28">
        <v>26</v>
      </c>
      <c r="L28">
        <v>4.1779000000000002</v>
      </c>
      <c r="M28">
        <v>26</v>
      </c>
      <c r="N28" s="2">
        <f t="shared" si="2"/>
        <v>0.98303529411764712</v>
      </c>
      <c r="P28">
        <v>26</v>
      </c>
      <c r="Q28">
        <v>4.1790000000000003</v>
      </c>
      <c r="R28">
        <v>22</v>
      </c>
      <c r="S28" s="2">
        <f t="shared" si="3"/>
        <v>0.98329411764705887</v>
      </c>
      <c r="U28">
        <v>26</v>
      </c>
      <c r="V28">
        <v>4.0854999999999997</v>
      </c>
      <c r="W28">
        <v>18</v>
      </c>
      <c r="X28" s="2">
        <f t="shared" si="4"/>
        <v>0.93382857142857134</v>
      </c>
      <c r="Z28">
        <v>26</v>
      </c>
      <c r="AA28">
        <v>4.1790000000000003</v>
      </c>
      <c r="AB28">
        <v>22</v>
      </c>
      <c r="AC28" s="2">
        <f t="shared" si="5"/>
        <v>0.98329411764705887</v>
      </c>
      <c r="AE28">
        <v>26</v>
      </c>
      <c r="AF28">
        <v>4.1790000000000003</v>
      </c>
      <c r="AG28">
        <v>22</v>
      </c>
      <c r="AH28" s="2">
        <f t="shared" si="6"/>
        <v>0.98329411764705887</v>
      </c>
    </row>
    <row r="29" spans="1:34" x14ac:dyDescent="0.25">
      <c r="A29">
        <v>27</v>
      </c>
      <c r="B29">
        <v>3.9815</v>
      </c>
      <c r="C29">
        <v>22</v>
      </c>
      <c r="D29" s="2">
        <f t="shared" si="0"/>
        <v>0.93682352941176472</v>
      </c>
      <c r="F29">
        <v>27</v>
      </c>
      <c r="G29">
        <v>4.0613000000000001</v>
      </c>
      <c r="H29">
        <v>19</v>
      </c>
      <c r="I29" s="2">
        <f t="shared" si="1"/>
        <v>0.92829714285714293</v>
      </c>
      <c r="K29">
        <v>27</v>
      </c>
      <c r="L29">
        <v>4.2008000000000001</v>
      </c>
      <c r="M29">
        <v>27</v>
      </c>
      <c r="N29" s="2">
        <f t="shared" si="2"/>
        <v>0.9884235294117647</v>
      </c>
      <c r="P29">
        <v>27</v>
      </c>
      <c r="Q29">
        <v>4.2065999999999999</v>
      </c>
      <c r="R29">
        <v>23</v>
      </c>
      <c r="S29" s="2">
        <f t="shared" si="3"/>
        <v>0.98978823529411764</v>
      </c>
      <c r="U29">
        <v>27</v>
      </c>
      <c r="V29">
        <v>4.1597999999999997</v>
      </c>
      <c r="W29">
        <v>18</v>
      </c>
      <c r="X29" s="2">
        <f t="shared" si="4"/>
        <v>0.95081142857142853</v>
      </c>
      <c r="Z29">
        <v>27</v>
      </c>
      <c r="AA29">
        <v>4.2065999999999999</v>
      </c>
      <c r="AB29">
        <v>23</v>
      </c>
      <c r="AC29" s="2">
        <f t="shared" si="5"/>
        <v>0.98978823529411764</v>
      </c>
      <c r="AE29">
        <v>27</v>
      </c>
      <c r="AF29">
        <v>4.2065999999999999</v>
      </c>
      <c r="AG29">
        <v>23</v>
      </c>
      <c r="AH29" s="2">
        <f t="shared" si="6"/>
        <v>0.98978823529411764</v>
      </c>
    </row>
    <row r="30" spans="1:34" x14ac:dyDescent="0.25">
      <c r="A30">
        <v>28</v>
      </c>
      <c r="B30">
        <v>4.0387000000000004</v>
      </c>
      <c r="C30">
        <v>23</v>
      </c>
      <c r="D30" s="2">
        <f t="shared" si="0"/>
        <v>0.95028235294117658</v>
      </c>
      <c r="F30">
        <v>28</v>
      </c>
      <c r="G30">
        <v>4.1303000000000001</v>
      </c>
      <c r="H30">
        <v>20</v>
      </c>
      <c r="I30" s="2">
        <f t="shared" si="1"/>
        <v>0.94406857142857148</v>
      </c>
      <c r="K30">
        <v>28</v>
      </c>
      <c r="L30">
        <v>4.2172999999999998</v>
      </c>
      <c r="M30">
        <v>28</v>
      </c>
      <c r="N30" s="2">
        <f t="shared" si="2"/>
        <v>0.99230588235294115</v>
      </c>
      <c r="P30">
        <v>28</v>
      </c>
      <c r="Q30">
        <v>4.2229999999999999</v>
      </c>
      <c r="R30">
        <v>24</v>
      </c>
      <c r="S30" s="2">
        <f t="shared" si="3"/>
        <v>0.99364705882352933</v>
      </c>
      <c r="U30">
        <v>28</v>
      </c>
      <c r="V30">
        <v>4.2218999999999998</v>
      </c>
      <c r="W30">
        <v>19</v>
      </c>
      <c r="X30" s="2">
        <f t="shared" si="4"/>
        <v>0.96500571428571424</v>
      </c>
      <c r="Z30">
        <v>28</v>
      </c>
      <c r="AA30">
        <v>4.2229999999999999</v>
      </c>
      <c r="AB30">
        <v>24</v>
      </c>
      <c r="AC30" s="2">
        <f t="shared" si="5"/>
        <v>0.99364705882352933</v>
      </c>
      <c r="AE30">
        <v>28</v>
      </c>
      <c r="AF30">
        <v>4.2229999999999999</v>
      </c>
      <c r="AG30">
        <v>24</v>
      </c>
      <c r="AH30" s="2">
        <f t="shared" si="6"/>
        <v>0.99364705882352933</v>
      </c>
    </row>
    <row r="31" spans="1:34" x14ac:dyDescent="0.25">
      <c r="A31">
        <v>29</v>
      </c>
      <c r="B31">
        <v>4.0884999999999998</v>
      </c>
      <c r="C31">
        <v>25</v>
      </c>
      <c r="D31" s="2">
        <f t="shared" si="0"/>
        <v>0.96199999999999997</v>
      </c>
      <c r="F31">
        <v>29</v>
      </c>
      <c r="G31">
        <v>4.1924000000000001</v>
      </c>
      <c r="H31">
        <v>20</v>
      </c>
      <c r="I31" s="2">
        <f t="shared" si="1"/>
        <v>0.95826285714285719</v>
      </c>
      <c r="K31">
        <v>29</v>
      </c>
      <c r="L31">
        <v>4.2172999999999998</v>
      </c>
      <c r="M31">
        <v>28</v>
      </c>
      <c r="N31" s="2">
        <f t="shared" si="2"/>
        <v>0.99230588235294115</v>
      </c>
      <c r="P31">
        <v>29</v>
      </c>
      <c r="Q31">
        <v>4.2294</v>
      </c>
      <c r="R31">
        <v>25</v>
      </c>
      <c r="S31" s="2">
        <f t="shared" si="3"/>
        <v>0.99515294117647057</v>
      </c>
      <c r="U31">
        <v>29</v>
      </c>
      <c r="V31">
        <v>4.274</v>
      </c>
      <c r="W31">
        <v>19</v>
      </c>
      <c r="X31" s="2">
        <f t="shared" si="4"/>
        <v>0.97691428571428574</v>
      </c>
      <c r="Z31">
        <v>29</v>
      </c>
      <c r="AA31">
        <v>4.2294</v>
      </c>
      <c r="AB31">
        <v>25</v>
      </c>
      <c r="AC31" s="2">
        <f t="shared" si="5"/>
        <v>0.99515294117647057</v>
      </c>
      <c r="AE31">
        <v>29</v>
      </c>
      <c r="AF31">
        <v>4.2294</v>
      </c>
      <c r="AG31">
        <v>25</v>
      </c>
      <c r="AH31" s="2">
        <f t="shared" si="6"/>
        <v>0.99515294117647057</v>
      </c>
    </row>
    <row r="32" spans="1:34" x14ac:dyDescent="0.25">
      <c r="A32">
        <v>30</v>
      </c>
      <c r="B32">
        <v>4.1292999999999997</v>
      </c>
      <c r="C32">
        <v>26</v>
      </c>
      <c r="D32" s="2">
        <f t="shared" si="0"/>
        <v>0.97159999999999991</v>
      </c>
      <c r="F32">
        <v>30</v>
      </c>
      <c r="G32">
        <v>4.2446999999999999</v>
      </c>
      <c r="H32">
        <v>21</v>
      </c>
      <c r="I32" s="2">
        <f t="shared" si="1"/>
        <v>0.97021714285714289</v>
      </c>
      <c r="K32">
        <v>30</v>
      </c>
      <c r="L32">
        <v>4.2337999999999996</v>
      </c>
      <c r="M32">
        <v>35</v>
      </c>
      <c r="N32" s="2">
        <f t="shared" si="2"/>
        <v>0.9961882352941176</v>
      </c>
      <c r="P32">
        <v>30</v>
      </c>
      <c r="Q32">
        <f>8.5/2</f>
        <v>4.25</v>
      </c>
      <c r="R32">
        <v>30</v>
      </c>
      <c r="S32" s="2">
        <f t="shared" si="3"/>
        <v>1</v>
      </c>
      <c r="U32">
        <v>30</v>
      </c>
      <c r="V32">
        <v>4.3144999999999998</v>
      </c>
      <c r="W32">
        <v>19</v>
      </c>
      <c r="X32" s="2">
        <f t="shared" si="4"/>
        <v>0.98617142857142848</v>
      </c>
      <c r="Z32">
        <v>30</v>
      </c>
      <c r="AA32">
        <f>8.5/2</f>
        <v>4.25</v>
      </c>
      <c r="AB32">
        <v>30</v>
      </c>
      <c r="AC32" s="2">
        <f t="shared" si="5"/>
        <v>1</v>
      </c>
      <c r="AE32">
        <v>30</v>
      </c>
      <c r="AF32">
        <f>8.5/2</f>
        <v>4.25</v>
      </c>
      <c r="AG32">
        <v>30</v>
      </c>
      <c r="AH32" s="2">
        <f t="shared" si="6"/>
        <v>1</v>
      </c>
    </row>
    <row r="33" spans="1:34" x14ac:dyDescent="0.25">
      <c r="A33">
        <v>31</v>
      </c>
      <c r="B33">
        <v>4.1608000000000001</v>
      </c>
      <c r="C33">
        <v>27</v>
      </c>
      <c r="D33" s="2">
        <f t="shared" si="0"/>
        <v>0.97901176470588236</v>
      </c>
      <c r="F33">
        <v>31</v>
      </c>
      <c r="G33">
        <v>4.2896000000000001</v>
      </c>
      <c r="H33">
        <v>21</v>
      </c>
      <c r="I33" s="2">
        <f t="shared" si="1"/>
        <v>0.98048000000000002</v>
      </c>
      <c r="K33">
        <v>31</v>
      </c>
      <c r="L33">
        <v>4.2337999999999996</v>
      </c>
      <c r="M33">
        <v>35</v>
      </c>
      <c r="N33" s="2">
        <f t="shared" si="2"/>
        <v>0.9961882352941176</v>
      </c>
      <c r="P33">
        <v>31</v>
      </c>
      <c r="Q33">
        <f t="shared" ref="Q33:Q37" si="7">8.5/2</f>
        <v>4.25</v>
      </c>
      <c r="R33">
        <v>30</v>
      </c>
      <c r="S33" s="2">
        <f t="shared" si="3"/>
        <v>1</v>
      </c>
      <c r="U33">
        <v>31</v>
      </c>
      <c r="V33">
        <v>4.3414999999999999</v>
      </c>
      <c r="W33">
        <v>20</v>
      </c>
      <c r="X33" s="2">
        <f t="shared" si="4"/>
        <v>0.99234285714285708</v>
      </c>
      <c r="Z33">
        <v>31</v>
      </c>
      <c r="AA33">
        <f t="shared" ref="AA33:AA37" si="8">8.5/2</f>
        <v>4.25</v>
      </c>
      <c r="AB33">
        <v>30</v>
      </c>
      <c r="AC33" s="2">
        <f t="shared" si="5"/>
        <v>1</v>
      </c>
      <c r="AE33">
        <v>31</v>
      </c>
      <c r="AF33">
        <f t="shared" ref="AF33:AF37" si="9">8.5/2</f>
        <v>4.25</v>
      </c>
      <c r="AG33">
        <v>30</v>
      </c>
      <c r="AH33" s="2">
        <f t="shared" si="6"/>
        <v>1</v>
      </c>
    </row>
    <row r="34" spans="1:34" x14ac:dyDescent="0.25">
      <c r="A34">
        <v>32</v>
      </c>
      <c r="B34">
        <v>4.2030000000000003</v>
      </c>
      <c r="C34">
        <v>28</v>
      </c>
      <c r="D34" s="2">
        <f t="shared" si="0"/>
        <v>0.98894117647058832</v>
      </c>
      <c r="F34">
        <v>32</v>
      </c>
      <c r="G34">
        <v>4.3240999999999996</v>
      </c>
      <c r="H34">
        <v>22</v>
      </c>
      <c r="I34" s="2">
        <f t="shared" si="1"/>
        <v>0.98836571428571418</v>
      </c>
      <c r="K34">
        <v>32</v>
      </c>
      <c r="L34">
        <v>4.2337999999999996</v>
      </c>
      <c r="M34">
        <v>35</v>
      </c>
      <c r="N34" s="2">
        <f t="shared" si="2"/>
        <v>0.9961882352941176</v>
      </c>
      <c r="P34">
        <v>32</v>
      </c>
      <c r="Q34">
        <f t="shared" si="7"/>
        <v>4.25</v>
      </c>
      <c r="R34">
        <v>30</v>
      </c>
      <c r="S34" s="2">
        <f t="shared" si="3"/>
        <v>1</v>
      </c>
      <c r="U34">
        <v>32</v>
      </c>
      <c r="V34">
        <v>4.3579999999999997</v>
      </c>
      <c r="W34">
        <v>20</v>
      </c>
      <c r="X34" s="2">
        <f t="shared" si="4"/>
        <v>0.99611428571428562</v>
      </c>
      <c r="Z34">
        <v>32</v>
      </c>
      <c r="AA34">
        <f t="shared" si="8"/>
        <v>4.25</v>
      </c>
      <c r="AB34">
        <v>30</v>
      </c>
      <c r="AC34" s="2">
        <f t="shared" si="5"/>
        <v>1</v>
      </c>
      <c r="AE34">
        <v>32</v>
      </c>
      <c r="AF34">
        <f t="shared" si="9"/>
        <v>4.25</v>
      </c>
      <c r="AG34">
        <v>30</v>
      </c>
      <c r="AH34" s="2">
        <f t="shared" si="6"/>
        <v>1</v>
      </c>
    </row>
    <row r="35" spans="1:34" x14ac:dyDescent="0.25">
      <c r="A35">
        <v>33</v>
      </c>
      <c r="B35">
        <v>4.25</v>
      </c>
      <c r="C35">
        <v>30</v>
      </c>
      <c r="D35" s="2">
        <f t="shared" si="0"/>
        <v>1</v>
      </c>
      <c r="F35">
        <v>33</v>
      </c>
      <c r="G35">
        <v>4.3494000000000002</v>
      </c>
      <c r="H35">
        <v>23</v>
      </c>
      <c r="I35" s="2">
        <f t="shared" si="1"/>
        <v>0.99414857142857149</v>
      </c>
      <c r="K35">
        <v>33</v>
      </c>
      <c r="L35">
        <v>4.2337999999999996</v>
      </c>
      <c r="M35">
        <v>35</v>
      </c>
      <c r="N35" s="2">
        <f t="shared" si="2"/>
        <v>0.9961882352941176</v>
      </c>
      <c r="P35">
        <v>33</v>
      </c>
      <c r="Q35">
        <f t="shared" si="7"/>
        <v>4.25</v>
      </c>
      <c r="R35">
        <v>30</v>
      </c>
      <c r="S35" s="2">
        <f t="shared" si="3"/>
        <v>1</v>
      </c>
      <c r="U35">
        <v>33</v>
      </c>
      <c r="V35">
        <v>4.3651</v>
      </c>
      <c r="W35">
        <v>20</v>
      </c>
      <c r="X35" s="2">
        <f t="shared" si="4"/>
        <v>0.99773714285714288</v>
      </c>
      <c r="Z35">
        <v>33</v>
      </c>
      <c r="AA35">
        <f t="shared" si="8"/>
        <v>4.25</v>
      </c>
      <c r="AB35">
        <v>30</v>
      </c>
      <c r="AC35" s="2">
        <f t="shared" si="5"/>
        <v>1</v>
      </c>
      <c r="AE35">
        <v>33</v>
      </c>
      <c r="AF35">
        <f t="shared" si="9"/>
        <v>4.25</v>
      </c>
      <c r="AG35">
        <v>30</v>
      </c>
      <c r="AH35" s="2">
        <f t="shared" si="6"/>
        <v>1</v>
      </c>
    </row>
    <row r="36" spans="1:34" x14ac:dyDescent="0.25">
      <c r="F36">
        <v>34</v>
      </c>
      <c r="G36">
        <v>4.3653000000000004</v>
      </c>
      <c r="H36">
        <v>24</v>
      </c>
      <c r="I36" s="2">
        <f t="shared" si="1"/>
        <v>0.99778285714285719</v>
      </c>
      <c r="K36">
        <v>34</v>
      </c>
      <c r="L36">
        <v>4.2337999999999996</v>
      </c>
      <c r="M36">
        <v>35</v>
      </c>
      <c r="N36" s="2">
        <f t="shared" si="2"/>
        <v>0.9961882352941176</v>
      </c>
      <c r="P36">
        <v>34</v>
      </c>
      <c r="Q36">
        <f t="shared" si="7"/>
        <v>4.25</v>
      </c>
      <c r="R36">
        <v>30</v>
      </c>
      <c r="S36" s="2">
        <f t="shared" si="3"/>
        <v>1</v>
      </c>
      <c r="U36">
        <v>34</v>
      </c>
      <c r="V36">
        <f t="shared" ref="V36:V44" si="10">8.75/2</f>
        <v>4.375</v>
      </c>
      <c r="W36">
        <v>30</v>
      </c>
      <c r="X36" s="2">
        <f t="shared" si="4"/>
        <v>1</v>
      </c>
      <c r="Z36">
        <v>34</v>
      </c>
      <c r="AA36">
        <f t="shared" si="8"/>
        <v>4.25</v>
      </c>
      <c r="AB36">
        <v>30</v>
      </c>
      <c r="AC36" s="2">
        <f t="shared" si="5"/>
        <v>1</v>
      </c>
      <c r="AE36">
        <v>34</v>
      </c>
      <c r="AF36">
        <f t="shared" si="9"/>
        <v>4.25</v>
      </c>
      <c r="AG36">
        <v>30</v>
      </c>
      <c r="AH36" s="2">
        <f t="shared" si="6"/>
        <v>1</v>
      </c>
    </row>
    <row r="37" spans="1:34" x14ac:dyDescent="0.25">
      <c r="F37">
        <v>35</v>
      </c>
      <c r="G37">
        <v>4.3718000000000004</v>
      </c>
      <c r="H37">
        <v>25</v>
      </c>
      <c r="I37" s="2">
        <f t="shared" si="1"/>
        <v>0.99926857142857151</v>
      </c>
      <c r="K37">
        <v>35</v>
      </c>
      <c r="L37">
        <v>4.2337999999999996</v>
      </c>
      <c r="M37">
        <v>35</v>
      </c>
      <c r="N37" s="2">
        <f t="shared" si="2"/>
        <v>0.9961882352941176</v>
      </c>
      <c r="P37">
        <v>35</v>
      </c>
      <c r="Q37">
        <f t="shared" si="7"/>
        <v>4.25</v>
      </c>
      <c r="R37">
        <v>30</v>
      </c>
      <c r="S37" s="2">
        <f t="shared" si="3"/>
        <v>1</v>
      </c>
      <c r="U37">
        <v>35</v>
      </c>
      <c r="V37">
        <f t="shared" si="10"/>
        <v>4.375</v>
      </c>
      <c r="W37">
        <v>30</v>
      </c>
      <c r="X37" s="2">
        <f t="shared" si="4"/>
        <v>1</v>
      </c>
      <c r="Z37">
        <v>35</v>
      </c>
      <c r="AA37">
        <f t="shared" si="8"/>
        <v>4.25</v>
      </c>
      <c r="AB37">
        <v>30</v>
      </c>
      <c r="AC37" s="2">
        <f t="shared" si="5"/>
        <v>1</v>
      </c>
      <c r="AE37">
        <v>35</v>
      </c>
      <c r="AF37">
        <f t="shared" si="9"/>
        <v>4.25</v>
      </c>
      <c r="AG37">
        <v>30</v>
      </c>
      <c r="AH37" s="2">
        <f t="shared" si="6"/>
        <v>1</v>
      </c>
    </row>
    <row r="38" spans="1:34" x14ac:dyDescent="0.25">
      <c r="F38">
        <v>36</v>
      </c>
      <c r="G38">
        <v>4.3727999999999998</v>
      </c>
      <c r="H38">
        <v>26</v>
      </c>
      <c r="I38" s="2">
        <f t="shared" si="1"/>
        <v>0.99949714285714286</v>
      </c>
      <c r="U38">
        <v>36</v>
      </c>
      <c r="V38">
        <f t="shared" si="10"/>
        <v>4.375</v>
      </c>
      <c r="W38">
        <v>30</v>
      </c>
      <c r="X38" s="2">
        <f t="shared" si="4"/>
        <v>1</v>
      </c>
    </row>
    <row r="39" spans="1:34" x14ac:dyDescent="0.25">
      <c r="F39">
        <v>37</v>
      </c>
      <c r="G39">
        <v>4.3745000000000003</v>
      </c>
      <c r="H39">
        <v>27</v>
      </c>
      <c r="I39" s="2">
        <f t="shared" si="1"/>
        <v>0.99988571428571438</v>
      </c>
      <c r="U39">
        <v>37</v>
      </c>
      <c r="V39">
        <f t="shared" si="10"/>
        <v>4.375</v>
      </c>
      <c r="W39">
        <v>30</v>
      </c>
      <c r="X39" s="2">
        <f t="shared" si="4"/>
        <v>1</v>
      </c>
    </row>
    <row r="40" spans="1:34" x14ac:dyDescent="0.25">
      <c r="F40">
        <v>38</v>
      </c>
      <c r="G40">
        <f>8.75/2</f>
        <v>4.375</v>
      </c>
      <c r="H40">
        <v>28</v>
      </c>
      <c r="I40" s="2">
        <f t="shared" si="1"/>
        <v>1</v>
      </c>
      <c r="U40">
        <v>38</v>
      </c>
      <c r="V40">
        <f t="shared" si="10"/>
        <v>4.375</v>
      </c>
      <c r="W40">
        <v>30</v>
      </c>
      <c r="X40" s="2">
        <f t="shared" si="4"/>
        <v>1</v>
      </c>
    </row>
    <row r="41" spans="1:34" x14ac:dyDescent="0.25">
      <c r="F41">
        <v>39</v>
      </c>
      <c r="G41">
        <f t="shared" ref="G41:G48" si="11">8.75/2</f>
        <v>4.375</v>
      </c>
      <c r="H41">
        <v>29</v>
      </c>
      <c r="I41" s="2">
        <f t="shared" si="1"/>
        <v>1</v>
      </c>
      <c r="U41">
        <v>39</v>
      </c>
      <c r="V41">
        <f t="shared" si="10"/>
        <v>4.375</v>
      </c>
      <c r="W41">
        <v>30</v>
      </c>
      <c r="X41" s="2">
        <f t="shared" si="4"/>
        <v>1</v>
      </c>
    </row>
    <row r="42" spans="1:34" x14ac:dyDescent="0.25">
      <c r="F42">
        <v>40</v>
      </c>
      <c r="G42">
        <f t="shared" si="11"/>
        <v>4.375</v>
      </c>
      <c r="H42">
        <v>30</v>
      </c>
      <c r="I42" s="2">
        <f t="shared" si="1"/>
        <v>1</v>
      </c>
      <c r="U42">
        <v>40</v>
      </c>
      <c r="V42">
        <f t="shared" si="10"/>
        <v>4.375</v>
      </c>
      <c r="W42">
        <v>30</v>
      </c>
      <c r="X42" s="2">
        <f t="shared" si="4"/>
        <v>1</v>
      </c>
    </row>
    <row r="43" spans="1:34" x14ac:dyDescent="0.25">
      <c r="F43">
        <v>41</v>
      </c>
      <c r="G43">
        <f t="shared" si="11"/>
        <v>4.375</v>
      </c>
      <c r="H43">
        <v>35</v>
      </c>
      <c r="I43" s="2">
        <f t="shared" si="1"/>
        <v>1</v>
      </c>
      <c r="U43">
        <v>41</v>
      </c>
      <c r="V43">
        <f t="shared" si="10"/>
        <v>4.375</v>
      </c>
      <c r="W43">
        <v>30</v>
      </c>
      <c r="X43" s="2">
        <f t="shared" si="4"/>
        <v>1</v>
      </c>
    </row>
    <row r="44" spans="1:34" x14ac:dyDescent="0.25">
      <c r="F44">
        <v>42</v>
      </c>
      <c r="G44">
        <f t="shared" si="11"/>
        <v>4.375</v>
      </c>
      <c r="H44">
        <v>35</v>
      </c>
      <c r="I44" s="2">
        <f t="shared" si="1"/>
        <v>1</v>
      </c>
      <c r="U44">
        <v>42</v>
      </c>
      <c r="V44">
        <f t="shared" si="10"/>
        <v>4.375</v>
      </c>
      <c r="W44">
        <v>30</v>
      </c>
      <c r="X44" s="2">
        <f t="shared" si="4"/>
        <v>1</v>
      </c>
    </row>
    <row r="45" spans="1:34" x14ac:dyDescent="0.25">
      <c r="F45">
        <v>43</v>
      </c>
      <c r="G45">
        <f t="shared" si="11"/>
        <v>4.375</v>
      </c>
      <c r="H45">
        <v>35</v>
      </c>
      <c r="I45" s="2">
        <f t="shared" si="1"/>
        <v>1</v>
      </c>
      <c r="X45" s="2"/>
    </row>
    <row r="46" spans="1:34" x14ac:dyDescent="0.25">
      <c r="F46">
        <v>44</v>
      </c>
      <c r="G46">
        <f t="shared" si="11"/>
        <v>4.375</v>
      </c>
      <c r="H46">
        <v>35</v>
      </c>
      <c r="I46" s="2">
        <f t="shared" si="1"/>
        <v>1</v>
      </c>
      <c r="X46" s="2"/>
    </row>
    <row r="47" spans="1:34" x14ac:dyDescent="0.25">
      <c r="F47">
        <v>45</v>
      </c>
      <c r="G47">
        <f t="shared" si="11"/>
        <v>4.375</v>
      </c>
      <c r="H47">
        <v>35</v>
      </c>
      <c r="I47" s="2">
        <f t="shared" si="1"/>
        <v>1</v>
      </c>
      <c r="X47" s="2"/>
    </row>
    <row r="48" spans="1:34" x14ac:dyDescent="0.25">
      <c r="F48">
        <v>46</v>
      </c>
      <c r="G48">
        <f t="shared" si="11"/>
        <v>4.375</v>
      </c>
      <c r="H48">
        <v>35</v>
      </c>
      <c r="I48" s="2">
        <f t="shared" si="1"/>
        <v>1</v>
      </c>
      <c r="X48" s="2"/>
    </row>
    <row r="49" spans="24:24" x14ac:dyDescent="0.25">
      <c r="X49" s="2"/>
    </row>
    <row r="50" spans="24:24" x14ac:dyDescent="0.25">
      <c r="X50" s="2"/>
    </row>
    <row r="51" spans="24:24" x14ac:dyDescent="0.25">
      <c r="X51" s="2"/>
    </row>
    <row r="52" spans="24:24" x14ac:dyDescent="0.25">
      <c r="X5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Graph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victor.rodriguez</dc:creator>
  <cp:lastModifiedBy>Levi D. Lunt</cp:lastModifiedBy>
  <cp:lastPrinted>2019-05-07T18:17:29Z</cp:lastPrinted>
  <dcterms:created xsi:type="dcterms:W3CDTF">2015-03-17T18:24:41Z</dcterms:created>
  <dcterms:modified xsi:type="dcterms:W3CDTF">2019-07-02T19:52:30Z</dcterms:modified>
</cp:coreProperties>
</file>