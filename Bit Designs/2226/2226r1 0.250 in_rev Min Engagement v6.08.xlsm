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226\"/>
    </mc:Choice>
  </mc:AlternateContent>
  <xr:revisionPtr revIDLastSave="0" documentId="8_{789628A0-2EEA-4A4E-B057-6E620E0FE8E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<sst xmlns="http://schemas.openxmlformats.org/spreadsheetml/2006/main" count="742" uniqueCount="394">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</sst>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53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7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97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111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34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0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197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193" xfId="0" applyBorder="1" applyAlignment="1">
      <alignment horizontal="center"/>
    </xf>
    <xf numFmtId="0" fontId="0" fillId="0" borderId="24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256" xfId="0" applyBorder="1" applyAlignment="1">
      <alignment horizontal="center"/>
    </xf>
    <xf numFmtId="0" fontId="0" fillId="0" borderId="175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1091" t="s">
        <v>77</v>
      </c>
      <c r="D1" s="1091"/>
      <c r="E1" s="1091"/>
      <c r="F1" s="1091"/>
      <c r="G1" s="1091"/>
      <c r="H1" s="1091"/>
      <c r="I1" s="1091"/>
      <c r="J1" s="1091"/>
      <c r="K1" s="1091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79" t="s">
        <v>80</v>
      </c>
      <c r="B6" s="87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204" t="s">
        <v>379</v>
      </c>
      <c r="AQ7" s="1204"/>
      <c r="AR7" s="1204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1207">
        <v>9</v>
      </c>
      <c r="D9" s="902"/>
      <c r="E9" s="902"/>
      <c r="F9" s="902"/>
      <c r="G9" s="902"/>
      <c r="H9" s="902"/>
      <c r="I9" s="902"/>
      <c r="J9" s="902"/>
      <c r="K9" s="92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1199"/>
      <c r="C10" s="1200"/>
      <c r="D10" s="1200"/>
      <c r="E10" s="1200"/>
      <c r="F10" s="1200"/>
      <c r="G10" s="1200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1212"/>
      <c r="B11" s="1205" t="s">
        <v>33</v>
      </c>
      <c r="C11" s="1211" t="s">
        <v>34</v>
      </c>
      <c r="D11" s="1211"/>
      <c r="E11" s="1208" t="s">
        <v>39</v>
      </c>
      <c r="F11" s="1205" t="s">
        <v>35</v>
      </c>
      <c r="G11" s="1205" t="s">
        <v>36</v>
      </c>
      <c r="H11" s="1205" t="s">
        <v>43</v>
      </c>
      <c r="I11" s="1209" t="s">
        <v>67</v>
      </c>
      <c r="J11" s="1211" t="s">
        <v>56</v>
      </c>
      <c r="K11" s="12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190" t="s">
        <v>347</v>
      </c>
      <c r="AN11" s="902"/>
      <c r="AO11" s="902"/>
      <c r="AP11" s="902"/>
      <c r="AQ11" s="902"/>
      <c r="AR11" s="987"/>
      <c r="AS11" s="1193" t="s">
        <v>354</v>
      </c>
      <c r="AT11" s="877"/>
      <c r="AU11" s="877"/>
      <c r="AV11" s="1194"/>
      <c r="BC11" s="470"/>
    </row>
    <row r="12" spans="1:55" ht="15.75" thickBot="1" x14ac:dyDescent="0.3">
      <c r="A12" s="1213"/>
      <c r="B12" s="1206"/>
      <c r="C12" s="48" t="s">
        <v>8</v>
      </c>
      <c r="D12" s="49" t="s">
        <v>10</v>
      </c>
      <c r="E12" s="1206"/>
      <c r="F12" s="1206"/>
      <c r="G12" s="1206"/>
      <c r="H12" s="1206"/>
      <c r="I12" s="1210"/>
      <c r="J12" s="53" t="s">
        <v>8</v>
      </c>
      <c r="K12" s="54" t="s">
        <v>10</v>
      </c>
      <c r="M12" s="31"/>
      <c r="N12" s="31"/>
      <c r="O12" s="1011" t="s">
        <v>46</v>
      </c>
      <c r="P12" s="1086"/>
      <c r="Q12" s="896" t="s">
        <v>45</v>
      </c>
      <c r="R12" s="897"/>
      <c r="S12" s="897"/>
      <c r="T12" s="897"/>
      <c r="U12" s="897"/>
      <c r="V12" s="897"/>
      <c r="W12" s="897"/>
      <c r="X12" s="897"/>
      <c r="Y12" s="897"/>
      <c r="Z12" s="897"/>
      <c r="AA12" s="897"/>
      <c r="AB12" s="897"/>
      <c r="AC12" s="897"/>
      <c r="AD12" s="897"/>
      <c r="AE12" s="1207"/>
      <c r="AF12" s="1215" t="s">
        <v>56</v>
      </c>
      <c r="AG12" s="1216"/>
      <c r="AH12" s="31"/>
      <c r="AK12" s="892" t="s">
        <v>355</v>
      </c>
      <c r="AL12" s="1201"/>
      <c r="AM12" s="1191" t="s">
        <v>352</v>
      </c>
      <c r="AN12" s="888"/>
      <c r="AO12" s="889"/>
      <c r="AP12" s="892" t="s">
        <v>380</v>
      </c>
      <c r="AQ12" s="889"/>
      <c r="AR12" s="802" t="s">
        <v>378</v>
      </c>
      <c r="AS12" s="886" t="s">
        <v>352</v>
      </c>
      <c r="AT12" s="889"/>
      <c r="AU12" s="887" t="s">
        <v>353</v>
      </c>
      <c r="AV12" s="1013"/>
      <c r="AW12" s="1088" t="s">
        <v>351</v>
      </c>
      <c r="AX12" s="1052"/>
      <c r="AZ12" s="892" t="s">
        <v>60</v>
      </c>
      <c r="BA12" s="889"/>
      <c r="BC12" s="1192" t="s">
        <v>383</v>
      </c>
    </row>
    <row r="13" spans="1:55" ht="15.75" thickBot="1" x14ac:dyDescent="0.3">
      <c r="A13" s="64" t="s">
        <v>57</v>
      </c>
      <c r="B13" s="1195" t="s">
        <v>97</v>
      </c>
      <c r="C13" s="1197" t="str">
        <f>SUBSTITUTE(ADDRESS(1,COLUMN(Assy.Model!X9),4),"1","")</f>
        <v>X</v>
      </c>
      <c r="D13" s="101" t="str">
        <f>SUBSTITUTE(ADDRESS(1,COLUMN(Assy.Model!Y9),4),"1","")</f>
        <v>Y</v>
      </c>
      <c r="E13" s="1202" t="str">
        <f>SUBSTITUTE(ADDRESS(1,COLUMN(Assy.Model!H9),4),"1","")</f>
        <v>H</v>
      </c>
      <c r="F13" s="1202" t="str">
        <f>SUBSTITUTE(ADDRESS(1,COLUMN(Assy.Model!AN9),4),"1","")</f>
        <v>AN</v>
      </c>
      <c r="G13" s="1202" t="str">
        <f>SUBSTITUTE(ADDRESS(1,COLUMN(Assy.Model!AO9),4),"1","")</f>
        <v>AO</v>
      </c>
      <c r="H13" s="1202" t="str">
        <f>SUBSTITUTE(ADDRESS(1,COLUMN(Assy.Model!AO9),4),"1","")</f>
        <v>AO</v>
      </c>
      <c r="I13" s="1202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1221"/>
      <c r="P13" s="1222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1192"/>
    </row>
    <row r="14" spans="1:55" x14ac:dyDescent="0.25">
      <c r="A14" s="62" t="s">
        <v>58</v>
      </c>
      <c r="B14" s="1196"/>
      <c r="C14" s="1198"/>
      <c r="D14" s="102" t="str">
        <f>SUBSTITUTE(ADDRESS(1,COLUMN(Assy.Model!AT9),4),"1","")</f>
        <v>AT</v>
      </c>
      <c r="E14" s="1203"/>
      <c r="F14" s="1203"/>
      <c r="G14" s="1203"/>
      <c r="H14" s="1203"/>
      <c r="I14" s="1203"/>
      <c r="J14" s="91">
        <v>0</v>
      </c>
      <c r="K14" s="92">
        <v>0</v>
      </c>
      <c r="L14" s="31"/>
      <c r="M14" s="190">
        <v>6.25E-2</v>
      </c>
      <c r="N14" s="31">
        <v>32</v>
      </c>
      <c r="O14" s="12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12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12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12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12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12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12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1207" t="s">
        <v>64</v>
      </c>
      <c r="C21" s="902"/>
      <c r="D21" s="902"/>
      <c r="E21" s="902"/>
      <c r="F21" s="92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1212"/>
      <c r="C22" s="1207" t="s">
        <v>63</v>
      </c>
      <c r="D22" s="921"/>
      <c r="E22" s="1209" t="s">
        <v>60</v>
      </c>
      <c r="F22" s="12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1223"/>
      <c r="C23" s="57" t="s">
        <v>8</v>
      </c>
      <c r="D23" s="57" t="s">
        <v>9</v>
      </c>
      <c r="E23" s="1210"/>
      <c r="F23" s="12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1217">
        <v>0</v>
      </c>
      <c r="E24" s="1217">
        <v>2</v>
      </c>
      <c r="F24" s="12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1218"/>
      <c r="E25" s="1218"/>
      <c r="F25" s="12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1214" t="s">
        <v>311</v>
      </c>
      <c r="C27" s="1214"/>
      <c r="D27" s="1214"/>
      <c r="E27" s="1214"/>
      <c r="F27" s="12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00" t="s">
        <v>390</v>
      </c>
      <c r="C28" s="900"/>
      <c r="D28" s="900"/>
      <c r="E28" s="900"/>
      <c r="F28" s="900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902" t="s">
        <v>95</v>
      </c>
      <c r="D3" s="902"/>
      <c r="E3" s="902"/>
      <c r="F3" s="902"/>
      <c r="G3" s="902"/>
      <c r="H3" s="902"/>
      <c r="I3" s="902"/>
      <c r="J3" s="902"/>
      <c r="K3" s="987"/>
      <c r="L3" s="901"/>
      <c r="M3" s="902"/>
      <c r="N3" s="902"/>
      <c r="O3" s="902"/>
      <c r="P3" s="902"/>
      <c r="Q3" s="902"/>
      <c r="R3" s="92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1007" t="s">
        <v>86</v>
      </c>
      <c r="C4" s="975" t="s">
        <v>82</v>
      </c>
      <c r="D4" s="902" t="s">
        <v>83</v>
      </c>
      <c r="E4" s="902"/>
      <c r="F4" s="902"/>
      <c r="G4" s="902"/>
      <c r="H4" s="902"/>
      <c r="I4" s="902"/>
      <c r="J4" s="902"/>
      <c r="K4" s="902"/>
      <c r="L4" s="150" t="s">
        <v>91</v>
      </c>
      <c r="M4" s="1207" t="s">
        <v>94</v>
      </c>
      <c r="N4" s="902"/>
      <c r="O4" s="902"/>
      <c r="P4" s="987"/>
      <c r="Q4" s="902" t="s">
        <v>52</v>
      </c>
      <c r="R4" s="921"/>
      <c r="S4" s="107"/>
      <c r="T4" s="1207">
        <v>350</v>
      </c>
      <c r="U4" s="902"/>
      <c r="V4" s="902" t="s">
        <v>76</v>
      </c>
      <c r="W4" s="90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1246"/>
      <c r="C5" s="976"/>
      <c r="D5" s="1251" t="s">
        <v>85</v>
      </c>
      <c r="E5" s="1016" t="s">
        <v>89</v>
      </c>
      <c r="F5" s="1211" t="s">
        <v>34</v>
      </c>
      <c r="G5" s="1211"/>
      <c r="H5" s="1208" t="s">
        <v>39</v>
      </c>
      <c r="I5" s="1205" t="s">
        <v>35</v>
      </c>
      <c r="J5" s="1205" t="s">
        <v>36</v>
      </c>
      <c r="K5" s="1236" t="s">
        <v>67</v>
      </c>
      <c r="L5" s="151" t="s">
        <v>92</v>
      </c>
      <c r="M5" s="1209" t="s">
        <v>90</v>
      </c>
      <c r="N5" s="1209" t="s">
        <v>47</v>
      </c>
      <c r="O5" s="1033" t="s">
        <v>84</v>
      </c>
      <c r="P5" s="1035"/>
      <c r="Q5" s="1224" t="s">
        <v>84</v>
      </c>
      <c r="R5" s="1225"/>
      <c r="S5" s="107"/>
      <c r="T5" s="1011" t="s">
        <v>46</v>
      </c>
      <c r="U5" s="965"/>
      <c r="V5" s="1052" t="s">
        <v>45</v>
      </c>
      <c r="W5" s="1216"/>
      <c r="X5" s="1216"/>
      <c r="Y5" s="1216"/>
      <c r="Z5" s="1216"/>
      <c r="AA5" s="1216"/>
      <c r="AB5" s="1216"/>
      <c r="AC5" s="1216"/>
      <c r="AD5" s="1216"/>
      <c r="AE5" s="1216"/>
      <c r="AF5" s="1216"/>
      <c r="AG5" s="1216"/>
      <c r="AH5" s="1216"/>
      <c r="AI5" s="1216"/>
      <c r="AJ5" s="1216"/>
      <c r="AK5" s="31"/>
      <c r="AL5" s="31"/>
    </row>
    <row r="6" spans="2:38" ht="15" customHeight="1" thickBot="1" x14ac:dyDescent="0.3">
      <c r="B6" s="1247"/>
      <c r="C6" s="977"/>
      <c r="D6" s="1252"/>
      <c r="E6" s="1018"/>
      <c r="F6" s="108" t="s">
        <v>8</v>
      </c>
      <c r="G6" s="109" t="s">
        <v>10</v>
      </c>
      <c r="H6" s="1237"/>
      <c r="I6" s="1237"/>
      <c r="J6" s="1237"/>
      <c r="K6" s="1012"/>
      <c r="L6" s="152" t="s">
        <v>93</v>
      </c>
      <c r="M6" s="1226"/>
      <c r="N6" s="122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1012"/>
      <c r="U6" s="1227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1253">
        <f>ROW(Assy.Model!B9)</f>
        <v>9</v>
      </c>
      <c r="D7" s="1243" t="str">
        <f>SUBSTITUTE(ADDRESS(1,COLUMN(Assy.Model!B9),4),"1","")</f>
        <v>B</v>
      </c>
      <c r="E7" s="1256" t="str">
        <f>SUBSTITUTE(ADDRESS(1,COLUMN(Assy.Model!M9),4),"1","")</f>
        <v>M</v>
      </c>
      <c r="F7" s="1259" t="str">
        <f>SUBSTITUTE(ADDRESS(1,COLUMN(Assy.Model!X9),4),"1","")</f>
        <v>X</v>
      </c>
      <c r="G7" s="1248" t="str">
        <f>SUBSTITUTE(ADDRESS(1,COLUMN(Assy.Model!AT9),4),"1","")</f>
        <v>AT</v>
      </c>
      <c r="H7" s="1228" t="str">
        <f>SUBSTITUTE(ADDRESS(1,COLUMN(Assy.Model!H9),4),"1","")</f>
        <v>H</v>
      </c>
      <c r="I7" s="1228" t="str">
        <f>SUBSTITUTE(ADDRESS(1,COLUMN(Assy.Model!AN9),4),"1","")</f>
        <v>AN</v>
      </c>
      <c r="J7" s="1228" t="str">
        <f>SUBSTITUTE(ADDRESS(1,COLUMN(Assy.Model!AO9),4),"1","")</f>
        <v>AO</v>
      </c>
      <c r="K7" s="123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124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1238" t="s">
        <v>81</v>
      </c>
      <c r="C8" s="1254"/>
      <c r="D8" s="1244"/>
      <c r="E8" s="1257"/>
      <c r="F8" s="1260"/>
      <c r="G8" s="1249"/>
      <c r="H8" s="1229"/>
      <c r="I8" s="1229"/>
      <c r="J8" s="1229"/>
      <c r="K8" s="1232"/>
      <c r="L8" s="153" t="s">
        <v>93</v>
      </c>
      <c r="M8" s="123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124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1238"/>
      <c r="C9" s="1254"/>
      <c r="D9" s="1244"/>
      <c r="E9" s="1257"/>
      <c r="F9" s="1260"/>
      <c r="G9" s="1249"/>
      <c r="H9" s="1229"/>
      <c r="I9" s="1229"/>
      <c r="J9" s="1229"/>
      <c r="K9" s="1232"/>
      <c r="L9" s="153" t="s">
        <v>92</v>
      </c>
      <c r="M9" s="123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124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1238"/>
      <c r="C10" s="1254"/>
      <c r="D10" s="1244"/>
      <c r="E10" s="1257"/>
      <c r="F10" s="1260"/>
      <c r="G10" s="1249"/>
      <c r="H10" s="1229"/>
      <c r="I10" s="1229"/>
      <c r="J10" s="1229"/>
      <c r="K10" s="1232"/>
      <c r="L10" s="153" t="s">
        <v>92</v>
      </c>
      <c r="M10" s="123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124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1238"/>
      <c r="C11" s="1254"/>
      <c r="D11" s="1244"/>
      <c r="E11" s="1257"/>
      <c r="F11" s="1260"/>
      <c r="G11" s="1249"/>
      <c r="H11" s="1229"/>
      <c r="I11" s="1229"/>
      <c r="J11" s="1229"/>
      <c r="K11" s="1232"/>
      <c r="L11" s="153" t="s">
        <v>92</v>
      </c>
      <c r="M11" s="123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124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1238"/>
      <c r="C12" s="1254"/>
      <c r="D12" s="1244"/>
      <c r="E12" s="1257"/>
      <c r="F12" s="1260"/>
      <c r="G12" s="1249"/>
      <c r="H12" s="1229"/>
      <c r="I12" s="1229"/>
      <c r="J12" s="1229"/>
      <c r="K12" s="1232"/>
      <c r="L12" s="153" t="s">
        <v>92</v>
      </c>
      <c r="M12" s="123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124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1238"/>
      <c r="C13" s="1254"/>
      <c r="D13" s="1244"/>
      <c r="E13" s="1257"/>
      <c r="F13" s="1260"/>
      <c r="G13" s="1249"/>
      <c r="H13" s="1229"/>
      <c r="I13" s="1229"/>
      <c r="J13" s="1229"/>
      <c r="K13" s="1232"/>
      <c r="L13" s="153" t="s">
        <v>92</v>
      </c>
      <c r="M13" s="123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124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1239"/>
      <c r="C14" s="1255"/>
      <c r="D14" s="1245"/>
      <c r="E14" s="1258"/>
      <c r="F14" s="1261"/>
      <c r="G14" s="1250"/>
      <c r="H14" s="1230"/>
      <c r="I14" s="1230"/>
      <c r="J14" s="1230"/>
      <c r="K14" s="1233"/>
      <c r="L14" s="154" t="s">
        <v>93</v>
      </c>
      <c r="M14" s="123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124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169" t="s">
        <v>315</v>
      </c>
      <c r="C2" s="1170"/>
      <c r="D2" s="1170"/>
      <c r="E2" s="1170"/>
      <c r="F2" s="1170"/>
      <c r="G2" s="1170"/>
      <c r="H2" s="1170"/>
      <c r="I2" s="1170"/>
      <c r="J2" s="1170"/>
      <c r="K2" s="1171"/>
      <c r="L2" s="885" t="str" cm="1">
        <f t="array" ref="L2">IF(OR($K$9:$K$150="Undefined"),"Undefined Element","")</f>
        <v/>
      </c>
      <c r="M2" s="1177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129" t="s">
        <v>0</v>
      </c>
      <c r="AW2" s="1068" t="s">
        <v>109</v>
      </c>
      <c r="AX2" s="1069"/>
      <c r="AY2" s="1069"/>
      <c r="AZ2" s="1069"/>
      <c r="BA2" s="1069"/>
      <c r="BB2" s="1069"/>
      <c r="BC2" s="1069"/>
      <c r="BD2" s="1069"/>
      <c r="BE2" s="1070"/>
      <c r="BF2" s="1080" t="s">
        <v>115</v>
      </c>
      <c r="BG2" s="1069"/>
      <c r="BH2" s="1069"/>
      <c r="BI2" s="1069"/>
      <c r="BJ2" s="1069"/>
      <c r="BK2" s="1069"/>
      <c r="BL2" s="1069"/>
      <c r="BM2" s="1069"/>
      <c r="BN2" s="1069"/>
      <c r="BO2" s="1069"/>
      <c r="BP2" s="1069"/>
      <c r="BQ2" s="1069"/>
      <c r="BR2" s="1069"/>
      <c r="BS2" s="1069"/>
      <c r="BT2" s="1069"/>
      <c r="BU2" s="1069"/>
      <c r="BV2" s="1069"/>
      <c r="BW2" s="1069"/>
      <c r="BX2" s="1069"/>
      <c r="BY2" s="1069"/>
      <c r="BZ2" s="1069"/>
      <c r="CA2" s="1069"/>
      <c r="CB2" s="1069"/>
      <c r="CC2" s="1069"/>
      <c r="CD2" s="1069"/>
      <c r="CE2" s="1069"/>
      <c r="CF2" s="1069"/>
      <c r="CG2" s="1069"/>
      <c r="CH2" s="1069"/>
      <c r="CI2" s="1069"/>
      <c r="CJ2" s="1069"/>
      <c r="CK2" s="1069"/>
      <c r="CL2" s="1069"/>
      <c r="CM2" s="1069"/>
      <c r="CN2" s="1069"/>
      <c r="CO2" s="1069"/>
      <c r="CP2" s="1069"/>
      <c r="CQ2" s="1069"/>
      <c r="CR2" s="1069"/>
      <c r="CS2" s="1069"/>
      <c r="CT2" s="1069"/>
      <c r="CU2" s="1069"/>
      <c r="CV2" s="1069"/>
      <c r="CW2" s="1069"/>
      <c r="CX2" s="1069"/>
      <c r="CY2" s="1069"/>
      <c r="CZ2" s="1069"/>
      <c r="DA2" s="1069"/>
      <c r="DB2" s="1069"/>
      <c r="DC2" s="1069"/>
      <c r="DD2" s="1069"/>
      <c r="DE2" s="1069"/>
      <c r="DF2" s="1069"/>
      <c r="DG2" s="1069"/>
      <c r="DH2" s="1069"/>
      <c r="DI2" s="1069"/>
      <c r="DJ2" s="1069"/>
      <c r="DK2" s="1069"/>
      <c r="DL2" s="1069"/>
      <c r="DM2" s="1069"/>
      <c r="DN2" s="1069"/>
      <c r="DO2" s="1069"/>
      <c r="DP2" s="1069"/>
      <c r="DQ2" s="1069"/>
      <c r="DR2" s="1069"/>
      <c r="DS2" s="1069"/>
      <c r="DT2" s="1069"/>
      <c r="DU2" s="1069"/>
      <c r="DV2" s="1069"/>
      <c r="DW2" s="1069"/>
      <c r="DX2" s="1069"/>
      <c r="DY2" s="1069"/>
      <c r="DZ2" s="1069"/>
      <c r="EA2" s="1069"/>
      <c r="EB2" s="1069"/>
      <c r="EC2" s="1069"/>
      <c r="ED2" s="1069"/>
      <c r="EE2" s="1069"/>
      <c r="EF2" s="1069"/>
      <c r="EG2" s="1069"/>
      <c r="EH2" s="1069"/>
      <c r="EI2" s="1069"/>
      <c r="EJ2" s="1069"/>
      <c r="EK2" s="1069"/>
      <c r="EL2" s="1069"/>
      <c r="EM2" s="1069"/>
      <c r="EN2" s="1069"/>
      <c r="EO2" s="1069"/>
      <c r="EP2" s="1069"/>
      <c r="EQ2" s="1069"/>
      <c r="ER2" s="1081"/>
      <c r="ES2" s="957" t="s">
        <v>197</v>
      </c>
      <c r="ET2" s="958"/>
      <c r="EU2" s="958"/>
      <c r="EV2" s="958"/>
      <c r="EW2" s="958"/>
      <c r="EX2" s="958"/>
      <c r="EY2" s="958"/>
      <c r="EZ2" s="958"/>
      <c r="FA2" s="958"/>
      <c r="FB2" s="958"/>
      <c r="FC2" s="958"/>
      <c r="FD2" s="958"/>
      <c r="FE2" s="958"/>
      <c r="FF2" s="959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944" t="s">
        <v>266</v>
      </c>
      <c r="HQ2" s="990" t="str">
        <f>IFERROR(CONCATENATE("Sum of Lateral Forces = ",ROUND(HE3,0)," lbs @ ",ROUND(HF3,1),"° Relative to Blade 1"),"")</f>
        <v/>
      </c>
      <c r="HR2" s="991"/>
      <c r="HS2" s="991"/>
      <c r="HT2" s="991"/>
      <c r="HU2" s="991"/>
      <c r="HV2" s="992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172"/>
      <c r="C3" s="1127"/>
      <c r="D3" s="1127"/>
      <c r="E3" s="1127"/>
      <c r="F3" s="1127"/>
      <c r="G3" s="1127"/>
      <c r="H3" s="1127"/>
      <c r="I3" s="1127"/>
      <c r="J3" s="1127"/>
      <c r="K3" s="1173"/>
      <c r="L3" s="885"/>
      <c r="M3" s="1172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1071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2"/>
      <c r="AP3" s="1072"/>
      <c r="AQ3" s="1073"/>
      <c r="AS3" s="466">
        <v>100</v>
      </c>
      <c r="AT3" s="463" t="s">
        <v>45</v>
      </c>
      <c r="AV3" s="1130"/>
      <c r="AW3" s="960"/>
      <c r="AX3" s="961"/>
      <c r="AY3" s="961"/>
      <c r="AZ3" s="961"/>
      <c r="BA3" s="961"/>
      <c r="BB3" s="961"/>
      <c r="BC3" s="961"/>
      <c r="BD3" s="961"/>
      <c r="BE3" s="1092"/>
      <c r="BF3" s="1082"/>
      <c r="BG3" s="961"/>
      <c r="BH3" s="961"/>
      <c r="BI3" s="961"/>
      <c r="BJ3" s="961"/>
      <c r="BK3" s="961"/>
      <c r="BL3" s="961"/>
      <c r="BM3" s="961"/>
      <c r="BN3" s="961"/>
      <c r="BO3" s="961"/>
      <c r="BP3" s="961"/>
      <c r="BQ3" s="961"/>
      <c r="BR3" s="961"/>
      <c r="BS3" s="961"/>
      <c r="BT3" s="961"/>
      <c r="BU3" s="961"/>
      <c r="BV3" s="961"/>
      <c r="BW3" s="961"/>
      <c r="BX3" s="961"/>
      <c r="BY3" s="961"/>
      <c r="BZ3" s="961"/>
      <c r="CA3" s="961"/>
      <c r="CB3" s="961"/>
      <c r="CC3" s="961"/>
      <c r="CD3" s="961"/>
      <c r="CE3" s="961"/>
      <c r="CF3" s="961"/>
      <c r="CG3" s="961"/>
      <c r="CH3" s="961"/>
      <c r="CI3" s="961"/>
      <c r="CJ3" s="961"/>
      <c r="CK3" s="961"/>
      <c r="CL3" s="961"/>
      <c r="CM3" s="961"/>
      <c r="CN3" s="961"/>
      <c r="CO3" s="961"/>
      <c r="CP3" s="961"/>
      <c r="CQ3" s="961"/>
      <c r="CR3" s="961"/>
      <c r="CS3" s="961"/>
      <c r="CT3" s="961"/>
      <c r="CU3" s="961"/>
      <c r="CV3" s="961"/>
      <c r="CW3" s="961"/>
      <c r="CX3" s="961"/>
      <c r="CY3" s="961"/>
      <c r="CZ3" s="961"/>
      <c r="DA3" s="961"/>
      <c r="DB3" s="961"/>
      <c r="DC3" s="961"/>
      <c r="DD3" s="961"/>
      <c r="DE3" s="961"/>
      <c r="DF3" s="961"/>
      <c r="DG3" s="961"/>
      <c r="DH3" s="961"/>
      <c r="DI3" s="961"/>
      <c r="DJ3" s="961"/>
      <c r="DK3" s="961"/>
      <c r="DL3" s="961"/>
      <c r="DM3" s="961"/>
      <c r="DN3" s="961"/>
      <c r="DO3" s="961"/>
      <c r="DP3" s="961"/>
      <c r="DQ3" s="961"/>
      <c r="DR3" s="961"/>
      <c r="DS3" s="961"/>
      <c r="DT3" s="961"/>
      <c r="DU3" s="961"/>
      <c r="DV3" s="961"/>
      <c r="DW3" s="961"/>
      <c r="DX3" s="961"/>
      <c r="DY3" s="961"/>
      <c r="DZ3" s="961"/>
      <c r="EA3" s="961"/>
      <c r="EB3" s="961"/>
      <c r="EC3" s="961"/>
      <c r="ED3" s="961"/>
      <c r="EE3" s="961"/>
      <c r="EF3" s="961"/>
      <c r="EG3" s="961"/>
      <c r="EH3" s="961"/>
      <c r="EI3" s="961"/>
      <c r="EJ3" s="961"/>
      <c r="EK3" s="961"/>
      <c r="EL3" s="961"/>
      <c r="EM3" s="961"/>
      <c r="EN3" s="961"/>
      <c r="EO3" s="961"/>
      <c r="EP3" s="961"/>
      <c r="EQ3" s="961"/>
      <c r="ER3" s="962"/>
      <c r="ES3" s="960"/>
      <c r="ET3" s="961"/>
      <c r="EU3" s="961"/>
      <c r="EV3" s="961"/>
      <c r="EW3" s="961"/>
      <c r="EX3" s="961"/>
      <c r="EY3" s="961"/>
      <c r="EZ3" s="961"/>
      <c r="FA3" s="961"/>
      <c r="FB3" s="961"/>
      <c r="FC3" s="961"/>
      <c r="FD3" s="961"/>
      <c r="FE3" s="961"/>
      <c r="FF3" s="962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945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174"/>
      <c r="C4" s="1175"/>
      <c r="D4" s="1175"/>
      <c r="E4" s="1175"/>
      <c r="F4" s="1175"/>
      <c r="G4" s="1175"/>
      <c r="H4" s="1175"/>
      <c r="I4" s="1175"/>
      <c r="J4" s="1175"/>
      <c r="K4" s="1176"/>
      <c r="L4" s="885"/>
      <c r="M4" s="1172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$Q$4</f>
        <v>Polar XY; Cartesian Z</v>
      </c>
      <c r="X4" s="1096"/>
      <c r="Y4" s="1162"/>
      <c r="Z4" s="1115" t="s">
        <v>3</v>
      </c>
      <c r="AA4" s="1113"/>
      <c r="AB4" s="1113"/>
      <c r="AC4" s="1113"/>
      <c r="AD4" s="1113"/>
      <c r="AE4" s="1113"/>
      <c r="AF4" s="1113"/>
      <c r="AG4" s="1125" t="s">
        <v>31</v>
      </c>
      <c r="AH4" s="1113"/>
      <c r="AI4" s="1113"/>
      <c r="AJ4" s="1114"/>
      <c r="AK4" s="1074" t="s">
        <v>32</v>
      </c>
      <c r="AL4" s="1075"/>
      <c r="AM4" s="1075"/>
      <c r="AN4" s="1075"/>
      <c r="AO4" s="1075"/>
      <c r="AP4" s="1075"/>
      <c r="AQ4" s="1076"/>
      <c r="AS4" s="467">
        <v>125</v>
      </c>
      <c r="AT4" s="464" t="s">
        <v>46</v>
      </c>
      <c r="AV4" s="1130"/>
      <c r="AW4" s="1019" t="s">
        <v>112</v>
      </c>
      <c r="AX4" s="911"/>
      <c r="AY4" s="1086"/>
      <c r="AZ4" s="1089"/>
      <c r="BA4" s="1090"/>
      <c r="BB4" s="1093" t="s">
        <v>113</v>
      </c>
      <c r="BC4" s="1096" t="str">
        <f>$Q$4</f>
        <v>Polar XY; Cartesian Z</v>
      </c>
      <c r="BD4" s="1096"/>
      <c r="BE4" s="1097"/>
      <c r="BF4" s="1044" t="s">
        <v>129</v>
      </c>
      <c r="BG4" s="1045"/>
      <c r="BH4" s="1045"/>
      <c r="BI4" s="1045"/>
      <c r="BJ4" s="1045"/>
      <c r="BK4" s="1045"/>
      <c r="BL4" s="1045"/>
      <c r="BM4" s="1045"/>
      <c r="BN4" s="1045"/>
      <c r="BO4" s="1045"/>
      <c r="BP4" s="1045"/>
      <c r="BQ4" s="1045"/>
      <c r="BR4" s="1045"/>
      <c r="BS4" s="1045"/>
      <c r="BT4" s="1045"/>
      <c r="BU4" s="1045"/>
      <c r="BV4" s="1045"/>
      <c r="BW4" s="1045"/>
      <c r="BX4" s="1045"/>
      <c r="BY4" s="1045"/>
      <c r="BZ4" s="1045"/>
      <c r="CA4" s="1045"/>
      <c r="CB4" s="1045"/>
      <c r="CC4" s="1045"/>
      <c r="CD4" s="1045"/>
      <c r="CE4" s="1045"/>
      <c r="CF4" s="1045"/>
      <c r="CG4" s="1045"/>
      <c r="CH4" s="1045"/>
      <c r="CI4" s="1045"/>
      <c r="CJ4" s="1045"/>
      <c r="CK4" s="1045"/>
      <c r="CL4" s="1045"/>
      <c r="CM4" s="1045"/>
      <c r="CN4" s="1046"/>
      <c r="CO4" s="1083" t="s">
        <v>193</v>
      </c>
      <c r="CP4" s="1084"/>
      <c r="CQ4" s="1084"/>
      <c r="CR4" s="1084"/>
      <c r="CS4" s="1084"/>
      <c r="CT4" s="1084"/>
      <c r="CU4" s="1084"/>
      <c r="CV4" s="1084"/>
      <c r="CW4" s="1084"/>
      <c r="CX4" s="1084"/>
      <c r="CY4" s="1084"/>
      <c r="CZ4" s="1084"/>
      <c r="DA4" s="1085"/>
      <c r="DB4" s="954" t="s">
        <v>162</v>
      </c>
      <c r="DC4" s="955"/>
      <c r="DD4" s="955"/>
      <c r="DE4" s="955"/>
      <c r="DF4" s="955"/>
      <c r="DG4" s="955"/>
      <c r="DH4" s="955"/>
      <c r="DI4" s="955"/>
      <c r="DJ4" s="955"/>
      <c r="DK4" s="955"/>
      <c r="DL4" s="955"/>
      <c r="DM4" s="955"/>
      <c r="DN4" s="955"/>
      <c r="DO4" s="955"/>
      <c r="DP4" s="955"/>
      <c r="DQ4" s="955"/>
      <c r="DR4" s="955"/>
      <c r="DS4" s="955"/>
      <c r="DT4" s="955"/>
      <c r="DU4" s="955"/>
      <c r="DV4" s="955"/>
      <c r="DW4" s="955"/>
      <c r="DX4" s="955"/>
      <c r="DY4" s="955"/>
      <c r="DZ4" s="955"/>
      <c r="EA4" s="955"/>
      <c r="EB4" s="955"/>
      <c r="EC4" s="955"/>
      <c r="ED4" s="955"/>
      <c r="EE4" s="955"/>
      <c r="EF4" s="955"/>
      <c r="EG4" s="955"/>
      <c r="EH4" s="955"/>
      <c r="EI4" s="955"/>
      <c r="EJ4" s="955"/>
      <c r="EK4" s="955"/>
      <c r="EL4" s="955"/>
      <c r="EM4" s="955"/>
      <c r="EN4" s="955"/>
      <c r="EO4" s="955"/>
      <c r="EP4" s="955"/>
      <c r="EQ4" s="955"/>
      <c r="ER4" s="956"/>
      <c r="ES4" s="981" t="s">
        <v>196</v>
      </c>
      <c r="ET4" s="982"/>
      <c r="EU4" s="982"/>
      <c r="EV4" s="982"/>
      <c r="EW4" s="982"/>
      <c r="EX4" s="982"/>
      <c r="EY4" s="983"/>
      <c r="EZ4" s="1023" t="s">
        <v>201</v>
      </c>
      <c r="FA4" s="1024"/>
      <c r="FB4" s="1024"/>
      <c r="FC4" s="1024"/>
      <c r="FD4" s="1024"/>
      <c r="FE4" s="1024"/>
      <c r="FF4" s="1025"/>
      <c r="FG4" s="343"/>
      <c r="FP4" s="944" t="s">
        <v>229</v>
      </c>
      <c r="FZ4" s="944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896" t="s">
        <v>236</v>
      </c>
      <c r="GK4" s="897"/>
      <c r="GL4" s="897"/>
      <c r="GM4" s="897"/>
      <c r="GN4" s="898"/>
      <c r="GO4" s="903" t="s">
        <v>229</v>
      </c>
      <c r="GP4" s="907" t="s">
        <v>228</v>
      </c>
      <c r="GR4" s="913" t="s">
        <v>261</v>
      </c>
      <c r="GS4" s="901" t="s">
        <v>259</v>
      </c>
      <c r="GT4" s="902"/>
      <c r="GU4" s="902"/>
      <c r="GV4" s="902"/>
      <c r="GW4" s="902"/>
      <c r="GX4" s="902"/>
      <c r="GY4" s="902"/>
      <c r="GZ4" s="902"/>
      <c r="HA4" s="996" t="str">
        <f>IFERROR(CONCATENATE("Lateral Forces = ",ROUND(HE3,0)," lbs @ ",ROUND(HF3,1),"° Relative to Blade 1"),"")</f>
        <v/>
      </c>
      <c r="HB4" s="997"/>
      <c r="HC4" s="997"/>
      <c r="HD4" s="997"/>
      <c r="HE4" s="997"/>
      <c r="HF4" s="997"/>
      <c r="HG4" s="997"/>
      <c r="HH4" s="998"/>
      <c r="HI4" s="1004" t="s">
        <v>0</v>
      </c>
      <c r="HO4" s="946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79" t="s">
        <v>381</v>
      </c>
      <c r="IF4" s="879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163" t="str">
        <f>CONCATENATE(B7," ; ",E7," ; ",H7)</f>
        <v>Absolute-Point ; Incremental-Vector Point ; Pocket Info.</v>
      </c>
      <c r="C5" s="1164"/>
      <c r="D5" s="1164"/>
      <c r="E5" s="1164"/>
      <c r="F5" s="1164"/>
      <c r="G5" s="1164"/>
      <c r="H5" s="1164"/>
      <c r="I5" s="1164"/>
      <c r="J5" s="1164"/>
      <c r="K5" s="1165"/>
      <c r="L5" s="872" t="str" cm="1">
        <f t="array" ref="L5">IF(OR(IF(LEFT($K$9:$K$150,4)="&lt;&gt;CS",TRUE,FALSE)),"Wrong CS","")</f>
        <v/>
      </c>
      <c r="M5" s="1172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about Z Axis")</f>
        <v>Relative to 1.112's θ about Z Axis</v>
      </c>
      <c r="U5" s="1063"/>
      <c r="V5" s="1064"/>
      <c r="W5" s="1063" t="str">
        <f>CONCATENATE("Relative to ",M8,"'s θ about Z Axis")</f>
        <v>Relative to 1.112's θ about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0.25</v>
      </c>
      <c r="AT5" s="464" t="s">
        <v>47</v>
      </c>
      <c r="AV5" s="1130"/>
      <c r="AW5" s="1106"/>
      <c r="AX5" s="1107"/>
      <c r="AY5" s="1108"/>
      <c r="AZ5" s="919"/>
      <c r="BA5" s="1091"/>
      <c r="BB5" s="1094"/>
      <c r="BC5" s="1102" t="str">
        <f>$W$5</f>
        <v>Relative to 1.112's θ about Z Axis</v>
      </c>
      <c r="BD5" s="1063"/>
      <c r="BE5" s="1103"/>
      <c r="BF5" s="901" t="s">
        <v>128</v>
      </c>
      <c r="BG5" s="902"/>
      <c r="BH5" s="902"/>
      <c r="BI5" s="902"/>
      <c r="BJ5" s="902"/>
      <c r="BK5" s="902"/>
      <c r="BL5" s="902"/>
      <c r="BM5" s="902"/>
      <c r="BN5" s="902"/>
      <c r="BO5" s="902"/>
      <c r="BP5" s="902"/>
      <c r="BQ5" s="902"/>
      <c r="BR5" s="987"/>
      <c r="BS5" s="901" t="s">
        <v>130</v>
      </c>
      <c r="BT5" s="902"/>
      <c r="BU5" s="902"/>
      <c r="BV5" s="902"/>
      <c r="BW5" s="902"/>
      <c r="BX5" s="902"/>
      <c r="BY5" s="902"/>
      <c r="BZ5" s="902"/>
      <c r="CA5" s="902"/>
      <c r="CB5" s="902"/>
      <c r="CC5" s="902"/>
      <c r="CD5" s="902"/>
      <c r="CE5" s="987"/>
      <c r="CF5" s="901" t="s">
        <v>138</v>
      </c>
      <c r="CG5" s="902"/>
      <c r="CH5" s="987"/>
      <c r="CI5" s="901" t="s">
        <v>139</v>
      </c>
      <c r="CJ5" s="902"/>
      <c r="CK5" s="902"/>
      <c r="CL5" s="902"/>
      <c r="CM5" s="902"/>
      <c r="CN5" s="987"/>
      <c r="CO5" s="926" t="s">
        <v>275</v>
      </c>
      <c r="CP5" s="926" t="s">
        <v>149</v>
      </c>
      <c r="CQ5" s="911"/>
      <c r="CR5" s="911"/>
      <c r="CS5" s="965"/>
      <c r="CT5" s="911" t="s">
        <v>150</v>
      </c>
      <c r="CU5" s="1086"/>
      <c r="CV5" s="901" t="s">
        <v>161</v>
      </c>
      <c r="CW5" s="902"/>
      <c r="CX5" s="902"/>
      <c r="CY5" s="902"/>
      <c r="CZ5" s="902"/>
      <c r="DA5" s="987"/>
      <c r="DB5" s="901" t="s">
        <v>163</v>
      </c>
      <c r="DC5" s="902"/>
      <c r="DD5" s="902"/>
      <c r="DE5" s="902"/>
      <c r="DF5" s="902"/>
      <c r="DG5" s="902"/>
      <c r="DH5" s="987"/>
      <c r="DI5" s="933" t="s">
        <v>173</v>
      </c>
      <c r="DJ5" s="933"/>
      <c r="DK5" s="1055"/>
      <c r="DL5" s="932" t="s">
        <v>174</v>
      </c>
      <c r="DM5" s="933"/>
      <c r="DN5" s="934"/>
      <c r="DO5" s="1057" t="s">
        <v>175</v>
      </c>
      <c r="DP5" s="1058"/>
      <c r="DQ5" s="1058"/>
      <c r="DR5" s="925" t="s">
        <v>187</v>
      </c>
      <c r="DS5" s="925"/>
      <c r="DT5" s="925"/>
      <c r="DU5" s="925"/>
      <c r="DV5" s="925"/>
      <c r="DW5" s="925"/>
      <c r="DX5" s="926" t="s">
        <v>190</v>
      </c>
      <c r="DY5" s="1007" t="s">
        <v>149</v>
      </c>
      <c r="DZ5" s="925"/>
      <c r="EA5" s="925"/>
      <c r="EB5" s="925"/>
      <c r="EC5" s="925" t="s">
        <v>150</v>
      </c>
      <c r="ED5" s="925"/>
      <c r="EE5" s="913" t="s">
        <v>194</v>
      </c>
      <c r="EF5" s="913"/>
      <c r="EG5" s="922"/>
      <c r="EH5" s="938" t="s">
        <v>195</v>
      </c>
      <c r="EI5" s="939"/>
      <c r="EJ5" s="940"/>
      <c r="EK5" s="925" t="s">
        <v>188</v>
      </c>
      <c r="EL5" s="926"/>
      <c r="EM5" s="901" t="s">
        <v>189</v>
      </c>
      <c r="EN5" s="902"/>
      <c r="EO5" s="902"/>
      <c r="EP5" s="902"/>
      <c r="EQ5" s="902"/>
      <c r="ER5" s="1047"/>
      <c r="ES5" s="1019" t="s">
        <v>202</v>
      </c>
      <c r="ET5" s="911"/>
      <c r="EU5" s="965"/>
      <c r="EV5" s="984" t="s">
        <v>222</v>
      </c>
      <c r="EW5" s="985"/>
      <c r="EX5" s="985"/>
      <c r="EY5" s="986"/>
      <c r="EZ5" s="970" t="s">
        <v>200</v>
      </c>
      <c r="FA5" s="1033" t="s">
        <v>202</v>
      </c>
      <c r="FB5" s="1034"/>
      <c r="FC5" s="1035"/>
      <c r="FD5" s="1039" t="s">
        <v>222</v>
      </c>
      <c r="FE5" s="1040"/>
      <c r="FF5" s="1041"/>
      <c r="FP5" s="946"/>
      <c r="FQ5" s="31"/>
      <c r="FR5" s="31"/>
      <c r="FS5" s="31"/>
      <c r="FT5" s="31"/>
      <c r="FZ5" s="946"/>
      <c r="GJ5" s="894" t="s">
        <v>269</v>
      </c>
      <c r="GK5" s="948" t="s">
        <v>267</v>
      </c>
      <c r="GL5" s="950" t="s">
        <v>110</v>
      </c>
      <c r="GM5" s="950" t="s">
        <v>111</v>
      </c>
      <c r="GN5" s="951"/>
      <c r="GO5" s="904"/>
      <c r="GP5" s="908"/>
      <c r="GQ5" s="31"/>
      <c r="GR5" s="885"/>
      <c r="GS5" s="919" t="s">
        <v>248</v>
      </c>
      <c r="GT5" s="920"/>
      <c r="GU5" s="915" t="s">
        <v>249</v>
      </c>
      <c r="GV5" s="916"/>
      <c r="GW5" s="917"/>
      <c r="GX5" s="918"/>
      <c r="GY5" s="899" t="s">
        <v>107</v>
      </c>
      <c r="GZ5" s="900"/>
      <c r="HA5" s="993" t="s">
        <v>248</v>
      </c>
      <c r="HB5" s="994"/>
      <c r="HC5" s="994"/>
      <c r="HD5" s="995"/>
      <c r="HE5" s="1014" t="s">
        <v>249</v>
      </c>
      <c r="HF5" s="994"/>
      <c r="HG5" s="994"/>
      <c r="HH5" s="1015"/>
      <c r="HI5" s="1005"/>
      <c r="HN5" s="386" t="s">
        <v>263</v>
      </c>
      <c r="HO5" s="58" t="s">
        <v>264</v>
      </c>
      <c r="HS5" s="999" t="s">
        <v>274</v>
      </c>
      <c r="HZ5" s="383"/>
    </row>
    <row r="6" spans="1:283" ht="15" customHeight="1" thickBot="1" x14ac:dyDescent="0.4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172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$Q$6</f>
        <v>Projected XY</v>
      </c>
      <c r="X6" s="1099"/>
      <c r="Y6" s="1140" t="str">
        <f>$S$6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065" t="str">
        <f>AD6</f>
        <v>Unit Vector</v>
      </c>
      <c r="AL6" s="1066"/>
      <c r="AM6" s="1067"/>
      <c r="AN6" s="34" t="s">
        <v>15</v>
      </c>
      <c r="AO6" s="35" t="s">
        <v>16</v>
      </c>
      <c r="AP6" s="737" t="s">
        <v>17</v>
      </c>
      <c r="AQ6" s="1132" t="s">
        <v>108</v>
      </c>
      <c r="AS6" s="172">
        <f>(AS5/360)</f>
        <v>6.9444444444444447E-4</v>
      </c>
      <c r="AT6" s="465" t="s">
        <v>48</v>
      </c>
      <c r="AV6" s="1130"/>
      <c r="AW6" s="1123" t="s">
        <v>105</v>
      </c>
      <c r="AX6" s="1124"/>
      <c r="AY6" s="195" t="s">
        <v>110</v>
      </c>
      <c r="AZ6" s="1104" t="s">
        <v>111</v>
      </c>
      <c r="BA6" s="1105"/>
      <c r="BB6" s="1095"/>
      <c r="BC6" s="1098" t="str">
        <f>$Q$6</f>
        <v>Projected XY</v>
      </c>
      <c r="BD6" s="1099"/>
      <c r="BE6" s="1100" t="str">
        <f>$S$6</f>
        <v>Z</v>
      </c>
      <c r="BF6" s="886" t="s">
        <v>125</v>
      </c>
      <c r="BG6" s="888"/>
      <c r="BH6" s="893"/>
      <c r="BI6" s="892" t="s">
        <v>126</v>
      </c>
      <c r="BJ6" s="888"/>
      <c r="BK6" s="889"/>
      <c r="BL6" s="887" t="s">
        <v>127</v>
      </c>
      <c r="BM6" s="888"/>
      <c r="BN6" s="1013"/>
      <c r="BO6" s="886" t="s">
        <v>135</v>
      </c>
      <c r="BP6" s="888"/>
      <c r="BQ6" s="888"/>
      <c r="BR6" s="1013"/>
      <c r="BS6" s="886" t="s">
        <v>125</v>
      </c>
      <c r="BT6" s="888"/>
      <c r="BU6" s="893"/>
      <c r="BV6" s="892" t="s">
        <v>126</v>
      </c>
      <c r="BW6" s="888"/>
      <c r="BX6" s="889"/>
      <c r="BY6" s="887" t="s">
        <v>127</v>
      </c>
      <c r="BZ6" s="888"/>
      <c r="CA6" s="1013"/>
      <c r="CB6" s="886" t="s">
        <v>135</v>
      </c>
      <c r="CC6" s="888"/>
      <c r="CD6" s="888"/>
      <c r="CE6" s="1013"/>
      <c r="CF6" s="1088" t="s">
        <v>136</v>
      </c>
      <c r="CG6" s="1049"/>
      <c r="CH6" s="1049"/>
      <c r="CI6" s="1051" t="s">
        <v>137</v>
      </c>
      <c r="CJ6" s="1049"/>
      <c r="CK6" s="1052"/>
      <c r="CL6" s="1048" t="s">
        <v>140</v>
      </c>
      <c r="CM6" s="1049"/>
      <c r="CN6" s="1050"/>
      <c r="CO6" s="928"/>
      <c r="CP6" s="928"/>
      <c r="CQ6" s="1021"/>
      <c r="CR6" s="1021"/>
      <c r="CS6" s="1022"/>
      <c r="CT6" s="1021"/>
      <c r="CU6" s="1087"/>
      <c r="CV6" s="1111" t="s">
        <v>147</v>
      </c>
      <c r="CW6" s="888"/>
      <c r="CX6" s="889"/>
      <c r="CY6" s="1042" t="s">
        <v>148</v>
      </c>
      <c r="CZ6" s="989"/>
      <c r="DA6" s="1043"/>
      <c r="DB6" s="1053" t="s">
        <v>176</v>
      </c>
      <c r="DC6" s="979"/>
      <c r="DD6" s="980"/>
      <c r="DE6" s="1054" t="s">
        <v>177</v>
      </c>
      <c r="DF6" s="979"/>
      <c r="DG6" s="980"/>
      <c r="DH6" s="253" t="s">
        <v>29</v>
      </c>
      <c r="DI6" s="936"/>
      <c r="DJ6" s="936"/>
      <c r="DK6" s="1056"/>
      <c r="DL6" s="935"/>
      <c r="DM6" s="936"/>
      <c r="DN6" s="937"/>
      <c r="DO6" s="1059"/>
      <c r="DP6" s="1060"/>
      <c r="DQ6" s="1060"/>
      <c r="DR6" s="927"/>
      <c r="DS6" s="927"/>
      <c r="DT6" s="927"/>
      <c r="DU6" s="927"/>
      <c r="DV6" s="927"/>
      <c r="DW6" s="927"/>
      <c r="DX6" s="928"/>
      <c r="DY6" s="1061"/>
      <c r="DZ6" s="927"/>
      <c r="EA6" s="927"/>
      <c r="EB6" s="927"/>
      <c r="EC6" s="927"/>
      <c r="ED6" s="927"/>
      <c r="EE6" s="923"/>
      <c r="EF6" s="923"/>
      <c r="EG6" s="924"/>
      <c r="EH6" s="941"/>
      <c r="EI6" s="942"/>
      <c r="EJ6" s="943"/>
      <c r="EK6" s="927"/>
      <c r="EL6" s="928"/>
      <c r="EM6" s="929" t="s">
        <v>199</v>
      </c>
      <c r="EN6" s="930"/>
      <c r="EO6" s="931"/>
      <c r="EP6" s="1026" t="s">
        <v>198</v>
      </c>
      <c r="EQ6" s="930"/>
      <c r="ER6" s="1028"/>
      <c r="ES6" s="1020"/>
      <c r="ET6" s="1021"/>
      <c r="EU6" s="1022"/>
      <c r="EV6" s="274" t="s">
        <v>221</v>
      </c>
      <c r="EW6" s="1026" t="s">
        <v>202</v>
      </c>
      <c r="EX6" s="930"/>
      <c r="EY6" s="1027"/>
      <c r="EZ6" s="971"/>
      <c r="FA6" s="1036"/>
      <c r="FB6" s="1037"/>
      <c r="FC6" s="1038"/>
      <c r="FD6" s="929" t="s">
        <v>202</v>
      </c>
      <c r="FE6" s="930"/>
      <c r="FF6" s="1028"/>
      <c r="FG6" s="1030" t="s">
        <v>224</v>
      </c>
      <c r="FH6" s="1031"/>
      <c r="FI6" s="1032"/>
      <c r="FJ6" s="925" t="s">
        <v>203</v>
      </c>
      <c r="FK6" s="926" t="s">
        <v>214</v>
      </c>
      <c r="FL6" s="911"/>
      <c r="FM6" s="965"/>
      <c r="FN6" s="966" t="s">
        <v>204</v>
      </c>
      <c r="FO6" s="973" t="s">
        <v>227</v>
      </c>
      <c r="FP6" s="96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926" t="s">
        <v>218</v>
      </c>
      <c r="FV6" s="911"/>
      <c r="FW6" s="965"/>
      <c r="FX6" s="966" t="s">
        <v>219</v>
      </c>
      <c r="FY6" s="973" t="s">
        <v>227</v>
      </c>
      <c r="FZ6" s="963" t="s">
        <v>225</v>
      </c>
      <c r="GA6" s="968" t="s">
        <v>239</v>
      </c>
      <c r="GB6" s="336" t="s">
        <v>207</v>
      </c>
      <c r="GC6" s="337" t="s">
        <v>240</v>
      </c>
      <c r="GD6" s="338" t="s">
        <v>226</v>
      </c>
      <c r="GE6" s="890"/>
      <c r="GF6" s="922" t="s">
        <v>260</v>
      </c>
      <c r="GG6" s="336" t="s">
        <v>207</v>
      </c>
      <c r="GH6" s="337" t="s">
        <v>240</v>
      </c>
      <c r="GI6" s="338" t="s">
        <v>226</v>
      </c>
      <c r="GJ6" s="895"/>
      <c r="GK6" s="949"/>
      <c r="GL6" s="952"/>
      <c r="GM6" s="952"/>
      <c r="GN6" s="953"/>
      <c r="GO6" s="905" t="s">
        <v>238</v>
      </c>
      <c r="GP6" s="909" t="s">
        <v>225</v>
      </c>
      <c r="GQ6" s="911" t="s">
        <v>203</v>
      </c>
      <c r="GR6" s="885"/>
      <c r="GS6" s="1002" t="s">
        <v>252</v>
      </c>
      <c r="GT6" s="1003"/>
      <c r="GU6" s="988" t="s">
        <v>251</v>
      </c>
      <c r="GV6" s="989"/>
      <c r="GW6" s="989"/>
      <c r="GX6" s="361" t="s">
        <v>106</v>
      </c>
      <c r="GY6" s="892" t="s">
        <v>250</v>
      </c>
      <c r="GZ6" s="893"/>
      <c r="HA6" s="978" t="s">
        <v>252</v>
      </c>
      <c r="HB6" s="979"/>
      <c r="HC6" s="979"/>
      <c r="HD6" s="980"/>
      <c r="HE6" s="892" t="s">
        <v>251</v>
      </c>
      <c r="HF6" s="888"/>
      <c r="HG6" s="888"/>
      <c r="HH6" s="1013"/>
      <c r="HI6" s="1005"/>
      <c r="HN6" s="975" t="s">
        <v>238</v>
      </c>
      <c r="HO6" s="1016" t="s">
        <v>265</v>
      </c>
      <c r="HP6" s="1007" t="s">
        <v>203</v>
      </c>
      <c r="HQ6" s="391"/>
      <c r="HS6" s="1000"/>
      <c r="HT6" s="921" t="s">
        <v>270</v>
      </c>
      <c r="HU6" s="897"/>
      <c r="HV6" s="898"/>
      <c r="HW6" s="901" t="s">
        <v>258</v>
      </c>
      <c r="HX6" s="902"/>
      <c r="HY6" s="987"/>
      <c r="HZ6" s="901" t="s">
        <v>249</v>
      </c>
      <c r="IA6" s="921"/>
      <c r="IE6" s="853"/>
      <c r="IF6" s="853"/>
    </row>
    <row r="7" spans="1:283" ht="15" customHeight="1" thickBot="1" x14ac:dyDescent="0.4">
      <c r="A7" s="143"/>
      <c r="B7" s="1180" t="s">
        <v>40</v>
      </c>
      <c r="C7" s="1181"/>
      <c r="D7" s="1182"/>
      <c r="E7" s="1183" t="s">
        <v>41</v>
      </c>
      <c r="F7" s="1181"/>
      <c r="G7" s="1184"/>
      <c r="H7" s="1159" t="s">
        <v>98</v>
      </c>
      <c r="I7" s="1160"/>
      <c r="J7" s="1161"/>
      <c r="K7" s="173"/>
      <c r="L7" s="885"/>
      <c r="M7" s="1178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$Q$7</f>
        <v>&lt; θ°</v>
      </c>
      <c r="X7" s="27" t="str">
        <f>$R$7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133"/>
      <c r="AS7" s="1138" t="s">
        <v>54</v>
      </c>
      <c r="AT7" s="1136" t="s">
        <v>53</v>
      </c>
      <c r="AV7" s="113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095"/>
      <c r="BC7" s="37" t="str">
        <f>$Q$7</f>
        <v>&lt; θ°</v>
      </c>
      <c r="BD7" s="27" t="str">
        <f>$R$7</f>
        <v>r</v>
      </c>
      <c r="BE7" s="110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972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029"/>
      <c r="FK7" s="350" t="s">
        <v>211</v>
      </c>
      <c r="FL7" s="351" t="s">
        <v>212</v>
      </c>
      <c r="FM7" s="352" t="s">
        <v>213</v>
      </c>
      <c r="FN7" s="967"/>
      <c r="FO7" s="974"/>
      <c r="FP7" s="96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967"/>
      <c r="FY7" s="974"/>
      <c r="FZ7" s="964"/>
      <c r="GA7" s="969"/>
      <c r="GB7" s="223" t="s">
        <v>232</v>
      </c>
      <c r="GC7" s="131" t="s">
        <v>233</v>
      </c>
      <c r="GD7" s="224" t="s">
        <v>234</v>
      </c>
      <c r="GE7" s="891"/>
      <c r="GF7" s="947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06"/>
      <c r="GP7" s="910"/>
      <c r="GQ7" s="912"/>
      <c r="GR7" s="91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06"/>
      <c r="HJ7" s="31"/>
      <c r="HK7" s="944" t="s">
        <v>246</v>
      </c>
      <c r="HL7" s="944" t="s">
        <v>237</v>
      </c>
      <c r="HM7" s="1011" t="s">
        <v>245</v>
      </c>
      <c r="HN7" s="976"/>
      <c r="HO7" s="1017"/>
      <c r="HP7" s="1008"/>
      <c r="HQ7" s="392"/>
      <c r="HR7" s="412"/>
      <c r="HS7" s="1000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149" t="s">
        <v>364</v>
      </c>
      <c r="JC7" s="1149"/>
      <c r="JD7" s="1149"/>
      <c r="JE7" s="115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885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89.01000014293831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-5.0000150800454737E-2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139"/>
      <c r="AT8" s="113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10"/>
      <c r="HL8" s="1010"/>
      <c r="HM8" s="1012"/>
      <c r="HN8" s="977"/>
      <c r="HO8" s="1018"/>
      <c r="HP8" s="1009"/>
      <c r="HQ8" s="393" t="s">
        <v>49</v>
      </c>
      <c r="HR8" s="413" t="s">
        <v>51</v>
      </c>
      <c r="HS8" s="1001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0.34230103237991366</v>
      </c>
      <c r="D9" s="704">
        <v>-0.63960192903941804</v>
      </c>
      <c r="E9" s="705">
        <v>-0.93969263802333458</v>
      </c>
      <c r="F9" s="703">
        <v>-8.8521302156295584E-2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0.34230103237991366</v>
      </c>
      <c r="P9" s="625">
        <f t="shared" ref="P9:P40" si="4">IF(M9="","",D9)</f>
        <v>-0.63960192903941804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0.34230103237991366</v>
      </c>
      <c r="S9" s="626">
        <f>IF(M9="","",P9)</f>
        <v>-0.63960192903941804</v>
      </c>
      <c r="T9" s="627">
        <f>IF(M9="","",X9*COS(RADIANS(W9)))</f>
        <v>0.34224993573234602</v>
      </c>
      <c r="U9" s="624">
        <f>IF(M9="","",X9*SIN(RADIANS(W9)))</f>
        <v>5.9142420951222071E-3</v>
      </c>
      <c r="V9" s="628">
        <f>IF(M9="","",Y9)</f>
        <v>-0.63960192903941804</v>
      </c>
      <c r="W9" s="583">
        <f t="shared" ref="W9:W14" si="5">IF(M9="","",IF(Q9-$Q$8&lt;0,360+Q9-$Q$8,Q9-$Q$8))</f>
        <v>0.98999985706169014</v>
      </c>
      <c r="X9" s="629">
        <f>IF(M9="","",R9)</f>
        <v>0.34230103237991366</v>
      </c>
      <c r="Y9" s="630">
        <f>IF(M9="","",S9)</f>
        <v>-0.63960192903941804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6.6302504060520748</v>
      </c>
      <c r="AS9" s="51">
        <f>IF(M9="","",W9)</f>
        <v>0.98999985706169014</v>
      </c>
      <c r="AT9" s="71">
        <f t="shared" ref="AT9:AT40" si="10">IF(M9="","",Y9+(((AS9-$AS$9)*$AS$6)*-1))</f>
        <v>-0.63960192903941804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3.019972586746041E-16</v>
      </c>
      <c r="C10" s="708">
        <v>1.0858032747826769</v>
      </c>
      <c r="D10" s="709">
        <v>-0.44710134845766702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3.019972586746041E-16</v>
      </c>
      <c r="O10" s="629">
        <f t="shared" si="3"/>
        <v>1.0858032747826769</v>
      </c>
      <c r="P10" s="633">
        <f t="shared" si="4"/>
        <v>-0.44710134845766702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1.0858032747826769</v>
      </c>
      <c r="S10" s="634">
        <f t="shared" ref="S10:S105" si="80">IF(M10="","",P10)</f>
        <v>-0.44710134845766702</v>
      </c>
      <c r="T10" s="635">
        <f t="shared" ref="T10:T105" si="81">IF(M10="","",X10*COS(RADIANS(W10)))</f>
        <v>1.0856411925742955</v>
      </c>
      <c r="U10" s="629">
        <f t="shared" ref="U10:U105" si="82">IF(M10="","",X10*SIN(RADIANS(W10)))</f>
        <v>1.8760397507693836E-2</v>
      </c>
      <c r="V10" s="636">
        <f>IF(M10="","",Y10)</f>
        <v>-0.44710134845766702</v>
      </c>
      <c r="W10" s="585">
        <f t="shared" si="5"/>
        <v>0.98999985706167593</v>
      </c>
      <c r="X10" s="629">
        <f t="shared" ref="X10:X105" si="83">IF(M10="","",R10)</f>
        <v>1.0858032747826769</v>
      </c>
      <c r="Y10" s="630">
        <f>IF(M10="","",S10)</f>
        <v>-0.44710134845766702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2.0986370965702981</v>
      </c>
      <c r="AS10" s="52">
        <f>IF($M10="","",IF(AND($W10&lt;($AS$9+180),$W10&gt;($AS$9-180)),$W10,IF($W10&gt;($AS$9+180),$W10-360,IF($W10&lt;($AS$9-180),$W10+360,"Error"))))</f>
        <v>0.98999985706167593</v>
      </c>
      <c r="AT10" s="72">
        <f t="shared" si="10"/>
        <v>-0.44710134845766702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2.5611074940602468E-17</v>
      </c>
      <c r="C11" s="708">
        <v>1.8277055123598256</v>
      </c>
      <c r="D11" s="709">
        <v>-0.24830074887505857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2.5611074940602468E-17</v>
      </c>
      <c r="O11" s="629">
        <f t="shared" si="3"/>
        <v>1.8277055123598256</v>
      </c>
      <c r="P11" s="633">
        <f t="shared" si="4"/>
        <v>-0.24830074887505857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1.8277055123598256</v>
      </c>
      <c r="S11" s="634">
        <f t="shared" si="80"/>
        <v>-0.24830074887505857</v>
      </c>
      <c r="T11" s="635">
        <f t="shared" si="81"/>
        <v>1.8274326834297661</v>
      </c>
      <c r="U11" s="629">
        <f t="shared" si="82"/>
        <v>3.1578908201153548E-2</v>
      </c>
      <c r="V11" s="636">
        <f t="shared" ref="V11:V105" si="114">IF(M11="","",Y11)</f>
        <v>-0.24830074887505857</v>
      </c>
      <c r="W11" s="585">
        <f t="shared" si="5"/>
        <v>0.98999985706169014</v>
      </c>
      <c r="X11" s="629">
        <f>IF(M11="","",R11)</f>
        <v>1.8277055123598256</v>
      </c>
      <c r="Y11" s="630">
        <f>IF(M11="","",S11)</f>
        <v>-0.24830074887505857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1.2471191778834672</v>
      </c>
      <c r="AS11" s="52">
        <f t="shared" ref="AS11:AS42" si="116">IF(G11="","",IF(AND(W11&lt;(AS10+180),W11&gt;(AS10-180)),W11,IF(W11&gt;(AS10+180),W11-360,IF(W11&lt;(AS10-180),W11+360,"Error"))))</f>
        <v>0.98999985706169014</v>
      </c>
      <c r="AT11" s="72">
        <f t="shared" si="10"/>
        <v>-0.24830074887505857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4.6265165229649047E-2</v>
      </c>
      <c r="C12" s="708">
        <v>2.6773083637467221</v>
      </c>
      <c r="D12" s="709">
        <v>-5.0000150800454737E-2</v>
      </c>
      <c r="E12" s="710">
        <v>-0.96116869368711177</v>
      </c>
      <c r="F12" s="708">
        <v>9.8038256152129424E-2</v>
      </c>
      <c r="G12" s="711">
        <v>0.25795976935650394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4.6265165229649047E-2</v>
      </c>
      <c r="O12" s="629">
        <f t="shared" si="3"/>
        <v>2.6773083637467221</v>
      </c>
      <c r="P12" s="633">
        <f t="shared" si="4"/>
        <v>-5.0000150800454737E-2</v>
      </c>
      <c r="Q12" s="585">
        <f>IF(M12="","",IF(DEGREES(ATAN2(N12,O12))&lt;0,DEGREES(ATAN2(N12,O12))+360,IF(DEGREES(ATAN2(N12,O12))&gt;360,DEGREES(ATAN2(N12,O12))-360,DEGREES(ATAN2(N12,O12)))))</f>
        <v>89.01000014293831</v>
      </c>
      <c r="R12" s="629">
        <f t="shared" si="79"/>
        <v>2.6777080759675571</v>
      </c>
      <c r="S12" s="634">
        <f t="shared" si="80"/>
        <v>-5.0000150800454737E-2</v>
      </c>
      <c r="T12" s="635">
        <f>IF(M12="","",X12*COS(RADIANS(W12)))</f>
        <v>2.6777080759675571</v>
      </c>
      <c r="U12" s="629">
        <f t="shared" si="82"/>
        <v>0</v>
      </c>
      <c r="V12" s="636">
        <f t="shared" si="114"/>
        <v>-5.0000150800454737E-2</v>
      </c>
      <c r="W12" s="585">
        <f>IF(M12="","",IF(Q12-$Q$8&lt;0,360+Q12-$Q$8,Q12-$Q$8))</f>
        <v>0</v>
      </c>
      <c r="X12" s="629">
        <f t="shared" si="83"/>
        <v>2.6777080759675571</v>
      </c>
      <c r="Y12" s="630">
        <f>IF(M12="","",S12)</f>
        <v>-5.0000150800454737E-2</v>
      </c>
      <c r="Z12" s="632">
        <f t="shared" si="6"/>
        <v>0.96116869368711177</v>
      </c>
      <c r="AA12" s="629">
        <f t="shared" si="7"/>
        <v>-9.8038256152129424E-2</v>
      </c>
      <c r="AB12" s="629">
        <f t="shared" si="8"/>
        <v>-0.25795976935650394</v>
      </c>
      <c r="AC12" s="636">
        <f t="shared" si="84"/>
        <v>1</v>
      </c>
      <c r="AD12" s="637">
        <f t="shared" si="115"/>
        <v>0.96116869368711177</v>
      </c>
      <c r="AE12" s="629">
        <f t="shared" si="85"/>
        <v>-9.8038256152129424E-2</v>
      </c>
      <c r="AF12" s="633">
        <f t="shared" si="86"/>
        <v>-0.25795976935650394</v>
      </c>
      <c r="AG12" s="602">
        <f t="shared" si="87"/>
        <v>-20.809419619689084</v>
      </c>
      <c r="AH12" s="603">
        <f t="shared" si="88"/>
        <v>16.019320694736145</v>
      </c>
      <c r="AI12" s="585">
        <f t="shared" si="89"/>
        <v>-75.050963554916194</v>
      </c>
      <c r="AJ12" s="586">
        <f t="shared" si="90"/>
        <v>84.176028566387771</v>
      </c>
      <c r="AK12" s="635">
        <f t="shared" ref="AK12:AK105" si="211">IF(M12="","",(COS(RADIANS((90-$Q$8)-W12))*AD12)+(-SIN(RADIANS((90-$Q$8)-W12))*AE12))</f>
        <v>0.96271911110707409</v>
      </c>
      <c r="AL12" s="629">
        <f>IF(M12="","",(SIN(RADIANS((90-$Q$8)-W12))*AD12)+(COS(RADIANS((90-$Q$8)-W12))*AE12))</f>
        <v>-8.1416647577411738E-2</v>
      </c>
      <c r="AM12" s="634">
        <f t="shared" si="92"/>
        <v>-0.25795976935650394</v>
      </c>
      <c r="AN12" s="581">
        <f>IF(M12="","",DEGREES(ATAN2(-AM12,AL12)))</f>
        <v>-17.516614143622242</v>
      </c>
      <c r="AO12" s="582">
        <f t="shared" si="94"/>
        <v>15.694204877084452</v>
      </c>
      <c r="AP12" s="585">
        <f t="shared" si="95"/>
        <v>-4.8339715765505451</v>
      </c>
      <c r="AQ12" s="586">
        <f t="shared" si="9"/>
        <v>0.85130970354181446</v>
      </c>
      <c r="AS12" s="52">
        <f t="shared" si="116"/>
        <v>0</v>
      </c>
      <c r="AT12" s="72">
        <f>IF(M12="","",Y12+(((AS12-$AS$9)*$AS$6)*-1))</f>
        <v>-4.9312650899717453E-2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0.13378041275847924</v>
      </c>
      <c r="C13" s="708">
        <v>3.4666300694930801</v>
      </c>
      <c r="D13" s="709">
        <v>-0.26140078838477798</v>
      </c>
      <c r="E13" s="710">
        <v>-0.94734994114136106</v>
      </c>
      <c r="F13" s="708">
        <v>0.25985189085859589</v>
      </c>
      <c r="G13" s="711">
        <v>0.18709645597036884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0.13378041275847924</v>
      </c>
      <c r="O13" s="629">
        <f t="shared" si="3"/>
        <v>3.4666300694930801</v>
      </c>
      <c r="P13" s="633">
        <f t="shared" si="4"/>
        <v>-0.26140078838477798</v>
      </c>
      <c r="Q13" s="585">
        <f t="shared" si="113"/>
        <v>87.79000031908447</v>
      </c>
      <c r="R13" s="629">
        <f t="shared" si="79"/>
        <v>3.4692104631387566</v>
      </c>
      <c r="S13" s="634">
        <f t="shared" si="80"/>
        <v>-0.26140078838477798</v>
      </c>
      <c r="T13" s="635">
        <f>IF(M13="","",X13*COS(RADIANS(W13)))</f>
        <v>3.4684240359601435</v>
      </c>
      <c r="U13" s="629">
        <f t="shared" si="82"/>
        <v>-7.386436438077422E-2</v>
      </c>
      <c r="V13" s="636">
        <f t="shared" si="114"/>
        <v>-0.26140078838477798</v>
      </c>
      <c r="W13" s="585">
        <f t="shared" si="5"/>
        <v>358.78000017614613</v>
      </c>
      <c r="X13" s="629">
        <f t="shared" si="83"/>
        <v>3.4692104631387566</v>
      </c>
      <c r="Y13" s="630">
        <f>IF(M13="","",S13)</f>
        <v>-0.26140078838477798</v>
      </c>
      <c r="Z13" s="632">
        <f t="shared" si="6"/>
        <v>0.94734994114136106</v>
      </c>
      <c r="AA13" s="629">
        <f t="shared" si="7"/>
        <v>-0.25985189085859589</v>
      </c>
      <c r="AB13" s="629">
        <f t="shared" si="8"/>
        <v>-0.18709645597036884</v>
      </c>
      <c r="AC13" s="636">
        <f t="shared" si="84"/>
        <v>1</v>
      </c>
      <c r="AD13" s="637">
        <f>IF(M13="","",Z13*(1/SQRT(Z13^2+AA13^2+AB13^2)))</f>
        <v>0.94734994114136106</v>
      </c>
      <c r="AE13" s="629">
        <f t="shared" si="85"/>
        <v>-0.25985189085859589</v>
      </c>
      <c r="AF13" s="633">
        <f t="shared" si="86"/>
        <v>-0.18709645597036884</v>
      </c>
      <c r="AG13" s="602">
        <f>IF(M13="","",DEGREES(ATAN2(-AF13,AE13)))</f>
        <v>-54.245663373661387</v>
      </c>
      <c r="AH13" s="603">
        <f t="shared" si="88"/>
        <v>18.675025094247424</v>
      </c>
      <c r="AI13" s="585">
        <f t="shared" si="89"/>
        <v>-79.216615043327522</v>
      </c>
      <c r="AJ13" s="586">
        <f t="shared" si="90"/>
        <v>74.661391246400257</v>
      </c>
      <c r="AK13" s="635">
        <f t="shared" si="211"/>
        <v>0.95666576610792742</v>
      </c>
      <c r="AL13" s="629">
        <f t="shared" si="91"/>
        <v>-0.22312670866675796</v>
      </c>
      <c r="AM13" s="634">
        <f t="shared" si="92"/>
        <v>-0.18709645597036884</v>
      </c>
      <c r="AN13" s="581">
        <f t="shared" si="93"/>
        <v>-50.019456812676793</v>
      </c>
      <c r="AO13" s="582">
        <f t="shared" si="94"/>
        <v>16.929109754898285</v>
      </c>
      <c r="AP13" s="585">
        <f t="shared" si="95"/>
        <v>-13.128609072684212</v>
      </c>
      <c r="AQ13" s="586">
        <f t="shared" si="9"/>
        <v>0.65710244604202661</v>
      </c>
      <c r="AS13" s="52">
        <f t="shared" si="116"/>
        <v>-1.2199998238538683</v>
      </c>
      <c r="AT13" s="72">
        <f t="shared" si="10"/>
        <v>-0.25986606638414217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0.21275706939655314</v>
      </c>
      <c r="C14" s="708">
        <v>3.966910685176392</v>
      </c>
      <c r="D14" s="709">
        <v>-0.84590255124209379</v>
      </c>
      <c r="E14" s="710">
        <v>-0.89137259439762939</v>
      </c>
      <c r="F14" s="708">
        <v>0.42849149955449239</v>
      </c>
      <c r="G14" s="711">
        <v>0.14781722756966428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0.21275706939655314</v>
      </c>
      <c r="O14" s="629">
        <f t="shared" si="3"/>
        <v>3.966910685176392</v>
      </c>
      <c r="P14" s="633">
        <f t="shared" si="4"/>
        <v>-0.84590255124209379</v>
      </c>
      <c r="Q14" s="585">
        <f t="shared" si="113"/>
        <v>86.930000443253107</v>
      </c>
      <c r="R14" s="629">
        <f t="shared" si="79"/>
        <v>3.9726119813977352</v>
      </c>
      <c r="S14" s="634">
        <f t="shared" si="80"/>
        <v>-0.84590255124209379</v>
      </c>
      <c r="T14" s="635">
        <f t="shared" si="81"/>
        <v>3.9699945233153184</v>
      </c>
      <c r="U14" s="629">
        <f t="shared" si="82"/>
        <v>-0.14418543474018855</v>
      </c>
      <c r="V14" s="636">
        <f t="shared" si="114"/>
        <v>-0.84590255124209379</v>
      </c>
      <c r="W14" s="585">
        <f t="shared" si="5"/>
        <v>357.92000030031477</v>
      </c>
      <c r="X14" s="629">
        <f t="shared" si="83"/>
        <v>3.9726119813977352</v>
      </c>
      <c r="Y14" s="630">
        <f t="shared" ref="Y14:Y75" si="223">IF(M14="","",S14)</f>
        <v>-0.84590255124209379</v>
      </c>
      <c r="Z14" s="632">
        <f t="shared" si="6"/>
        <v>0.89137259439762939</v>
      </c>
      <c r="AA14" s="629">
        <f t="shared" si="7"/>
        <v>-0.42849149955449239</v>
      </c>
      <c r="AB14" s="629">
        <f t="shared" si="8"/>
        <v>-0.14781722756966428</v>
      </c>
      <c r="AC14" s="636">
        <f t="shared" si="84"/>
        <v>1</v>
      </c>
      <c r="AD14" s="637">
        <f>IF(M14="","",Z14*(1/SQRT(Z14^2+AA14^2+AB14^2)))</f>
        <v>0.89137259439762939</v>
      </c>
      <c r="AE14" s="629">
        <f t="shared" si="85"/>
        <v>-0.42849149955449239</v>
      </c>
      <c r="AF14" s="633">
        <f t="shared" si="86"/>
        <v>-0.14781722756966428</v>
      </c>
      <c r="AG14" s="602">
        <f t="shared" si="87"/>
        <v>-70.967040168964957</v>
      </c>
      <c r="AH14" s="603">
        <f t="shared" si="88"/>
        <v>26.953763563754574</v>
      </c>
      <c r="AI14" s="585">
        <f t="shared" si="89"/>
        <v>-81.499547176838135</v>
      </c>
      <c r="AJ14" s="586">
        <f t="shared" si="90"/>
        <v>64.325952415404231</v>
      </c>
      <c r="AK14" s="635">
        <f>IF(M14="","",(COS(RADIANS((90-$Q$8)-W14))*AD14)+(-SIN(RADIANS((90-$Q$8)-W14))*AE14))</f>
        <v>0.91304161641774928</v>
      </c>
      <c r="AL14" s="629">
        <f t="shared" si="91"/>
        <v>-0.38013823002018871</v>
      </c>
      <c r="AM14" s="634">
        <f t="shared" si="92"/>
        <v>-0.14781722756966428</v>
      </c>
      <c r="AN14" s="581">
        <f t="shared" si="93"/>
        <v>-68.7513675496063</v>
      </c>
      <c r="AO14" s="582">
        <f t="shared" si="94"/>
        <v>24.070876169719927</v>
      </c>
      <c r="AP14" s="585">
        <f>IF(M14="","",DEGREES(ATAN2(AK14,AL14)))</f>
        <v>-22.604048027848886</v>
      </c>
      <c r="AQ14" s="586">
        <f t="shared" si="9"/>
        <v>0.57384169825455922</v>
      </c>
      <c r="AS14" s="52">
        <f t="shared" si="116"/>
        <v>-2.0799996996852315</v>
      </c>
      <c r="AT14" s="72">
        <f t="shared" si="10"/>
        <v>-0.84377060710546403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0.24048456643357347</v>
      </c>
      <c r="C15" s="708">
        <v>4.1207010612793757</v>
      </c>
      <c r="D15" s="709">
        <v>-1.6024048328529759</v>
      </c>
      <c r="E15" s="710">
        <v>-0.81913389839691197</v>
      </c>
      <c r="F15" s="708">
        <v>0.57220503756608443</v>
      </c>
      <c r="G15" s="711">
        <v>4.001314135472845E-2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0.24048456643357347</v>
      </c>
      <c r="O15" s="629">
        <f t="shared" si="3"/>
        <v>4.1207010612793757</v>
      </c>
      <c r="P15" s="633">
        <f t="shared" si="4"/>
        <v>-1.6024048328529759</v>
      </c>
      <c r="Q15" s="585">
        <f t="shared" si="113"/>
        <v>86.660000482236271</v>
      </c>
      <c r="R15" s="629">
        <f t="shared" si="79"/>
        <v>4.1277124491807458</v>
      </c>
      <c r="S15" s="634">
        <f t="shared" si="80"/>
        <v>-1.6024048328529759</v>
      </c>
      <c r="T15" s="635">
        <f t="shared" si="81"/>
        <v>4.124241015359396</v>
      </c>
      <c r="U15" s="629">
        <f t="shared" si="82"/>
        <v>-0.1692516184531298</v>
      </c>
      <c r="V15" s="636">
        <f t="shared" si="114"/>
        <v>-1.6024048328529759</v>
      </c>
      <c r="W15" s="585">
        <f t="shared" ref="W15:W78" si="224">IF(M15="","",IF(Q15-$Q$8&lt;0,360+Q15-$Q$8,Q15-$Q$8))</f>
        <v>357.650000339298</v>
      </c>
      <c r="X15" s="629">
        <f>IF(M15="","",R15)</f>
        <v>4.1277124491807458</v>
      </c>
      <c r="Y15" s="630">
        <f>IF(M15="","",S15)</f>
        <v>-1.6024048328529759</v>
      </c>
      <c r="Z15" s="632">
        <f t="shared" si="6"/>
        <v>0.81913389839691197</v>
      </c>
      <c r="AA15" s="629">
        <f t="shared" si="7"/>
        <v>-0.57220503756608443</v>
      </c>
      <c r="AB15" s="629">
        <f t="shared" si="8"/>
        <v>-4.001314135472845E-2</v>
      </c>
      <c r="AC15" s="636">
        <f t="shared" si="84"/>
        <v>1</v>
      </c>
      <c r="AD15" s="637">
        <f t="shared" si="115"/>
        <v>0.81913389839691197</v>
      </c>
      <c r="AE15" s="629">
        <f t="shared" si="85"/>
        <v>-0.57220503756608443</v>
      </c>
      <c r="AF15" s="633">
        <f t="shared" si="86"/>
        <v>-4.001314135472845E-2</v>
      </c>
      <c r="AG15" s="602">
        <f t="shared" si="87"/>
        <v>-85.999933507380931</v>
      </c>
      <c r="AH15" s="603">
        <f t="shared" si="88"/>
        <v>35.001812591103509</v>
      </c>
      <c r="AI15" s="585">
        <f t="shared" si="89"/>
        <v>-87.70680367660357</v>
      </c>
      <c r="AJ15" s="586">
        <f t="shared" si="90"/>
        <v>55.063819954226858</v>
      </c>
      <c r="AK15" s="635">
        <f t="shared" si="211"/>
        <v>0.85107973195213749</v>
      </c>
      <c r="AL15" s="629">
        <f t="shared" si="91"/>
        <v>-0.52350953991231564</v>
      </c>
      <c r="AM15" s="634">
        <f t="shared" si="92"/>
        <v>-4.001314135472845E-2</v>
      </c>
      <c r="AN15" s="581">
        <f>IF(M15="","",DEGREES(ATAN2(-AM15,AL15)))</f>
        <v>-85.629238506363876</v>
      </c>
      <c r="AO15" s="582">
        <f t="shared" si="94"/>
        <v>31.67069810967353</v>
      </c>
      <c r="AP15" s="585">
        <f t="shared" si="95"/>
        <v>-31.596180528009501</v>
      </c>
      <c r="AQ15" s="586">
        <f t="shared" si="9"/>
        <v>0.55228072558086194</v>
      </c>
      <c r="AS15" s="52">
        <f t="shared" si="116"/>
        <v>-2.3499996607019966</v>
      </c>
      <c r="AT15" s="72">
        <f t="shared" si="10"/>
        <v>-1.6000853887434177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2.0943397438373896</v>
      </c>
      <c r="C16" s="708">
        <v>1.423311826327714</v>
      </c>
      <c r="D16" s="709">
        <v>-0.16610019935820131</v>
      </c>
      <c r="E16" s="710">
        <v>-0.49222912130308732</v>
      </c>
      <c r="F16" s="708">
        <v>0.8304100779257424</v>
      </c>
      <c r="G16" s="711">
        <v>0.26101646427103653</v>
      </c>
      <c r="H16" s="710">
        <v>0.314</v>
      </c>
      <c r="I16" s="708">
        <v>0.52</v>
      </c>
      <c r="J16" s="570">
        <v>2.1110000000000002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2.1110000000000002</v>
      </c>
      <c r="N16" s="632">
        <f t="shared" si="2"/>
        <v>2.0943397438373896</v>
      </c>
      <c r="O16" s="629">
        <f t="shared" si="3"/>
        <v>1.423311826327714</v>
      </c>
      <c r="P16" s="633">
        <f t="shared" si="4"/>
        <v>-0.16610019935820131</v>
      </c>
      <c r="Q16" s="585">
        <f>IF(M16="","",IF(DEGREES(ATAN2(N16,O16))&lt;0,DEGREES(ATAN2(N16,O16))+360,IF(DEGREES(ATAN2(N16,O16))&gt;360,DEGREES(ATAN2(N16,O16))-360,DEGREES(ATAN2(N16,O16)))))</f>
        <v>34.200000115505681</v>
      </c>
      <c r="R16" s="629">
        <f t="shared" si="79"/>
        <v>2.5322076371382334</v>
      </c>
      <c r="S16" s="634">
        <f t="shared" si="80"/>
        <v>-0.16610019935820131</v>
      </c>
      <c r="T16" s="635">
        <f t="shared" si="81"/>
        <v>1.4592851499432145</v>
      </c>
      <c r="U16" s="629">
        <f t="shared" si="82"/>
        <v>-2.0694352777355483</v>
      </c>
      <c r="V16" s="636">
        <f t="shared" si="114"/>
        <v>-0.16610019935820131</v>
      </c>
      <c r="W16" s="585">
        <f>IF(M16="","",IF(Q16-$Q$8&lt;0,360+Q16-$Q$8,Q16-$Q$8))</f>
        <v>305.18999997256742</v>
      </c>
      <c r="X16" s="629">
        <f t="shared" si="83"/>
        <v>2.5322076371382334</v>
      </c>
      <c r="Y16" s="630">
        <f t="shared" si="223"/>
        <v>-0.16610019935820131</v>
      </c>
      <c r="Z16" s="632">
        <f t="shared" si="6"/>
        <v>0.49222912130308732</v>
      </c>
      <c r="AA16" s="629">
        <f t="shared" si="7"/>
        <v>-0.8304100779257424</v>
      </c>
      <c r="AB16" s="629">
        <f t="shared" si="8"/>
        <v>-0.26101646427103653</v>
      </c>
      <c r="AC16" s="636">
        <f t="shared" si="84"/>
        <v>1</v>
      </c>
      <c r="AD16" s="637">
        <f t="shared" si="115"/>
        <v>0.49222912130308732</v>
      </c>
      <c r="AE16" s="629">
        <f t="shared" si="85"/>
        <v>-0.8304100779257424</v>
      </c>
      <c r="AF16" s="633">
        <f t="shared" si="86"/>
        <v>-0.26101646427103653</v>
      </c>
      <c r="AG16" s="602">
        <f t="shared" si="87"/>
        <v>-72.550900148438942</v>
      </c>
      <c r="AH16" s="603">
        <f t="shared" si="88"/>
        <v>60.512799156504045</v>
      </c>
      <c r="AI16" s="585">
        <f t="shared" si="89"/>
        <v>-74.869615920780575</v>
      </c>
      <c r="AJ16" s="586">
        <f t="shared" si="90"/>
        <v>30.65752344179193</v>
      </c>
      <c r="AK16" s="635">
        <f t="shared" si="211"/>
        <v>0.96348985119318731</v>
      </c>
      <c r="AL16" s="629">
        <f t="shared" si="91"/>
        <v>-5.964655922328449E-2</v>
      </c>
      <c r="AM16" s="634">
        <f t="shared" si="92"/>
        <v>-0.26101646427103653</v>
      </c>
      <c r="AN16" s="581">
        <f t="shared" si="93"/>
        <v>-12.87200859879896</v>
      </c>
      <c r="AO16" s="582">
        <f t="shared" si="94"/>
        <v>15.530116465124879</v>
      </c>
      <c r="AP16" s="585">
        <f t="shared" si="95"/>
        <v>-3.542476673713812</v>
      </c>
      <c r="AQ16" s="586">
        <f t="shared" si="9"/>
        <v>0.90021805659411847</v>
      </c>
      <c r="AS16" s="52">
        <f t="shared" si="116"/>
        <v>-54.810000027432579</v>
      </c>
      <c r="AT16" s="72">
        <f t="shared" si="10"/>
        <v>-0.12735019943841361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2.1110000000000002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2.809957144413739</v>
      </c>
      <c r="C17" s="708">
        <v>1.8241103461758976</v>
      </c>
      <c r="D17" s="709">
        <v>-0.2917005781689439</v>
      </c>
      <c r="E17" s="710">
        <v>-0.3519971764396837</v>
      </c>
      <c r="F17" s="708">
        <v>0.91340635192157171</v>
      </c>
      <c r="G17" s="711">
        <v>0.20441825761858051</v>
      </c>
      <c r="H17" s="710">
        <v>0.314</v>
      </c>
      <c r="I17" s="708">
        <v>0.52</v>
      </c>
      <c r="J17" s="570">
        <v>2.117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</v>
      </c>
      <c r="N17" s="632">
        <f t="shared" si="2"/>
        <v>2.809957144413739</v>
      </c>
      <c r="O17" s="629">
        <f t="shared" si="3"/>
        <v>1.8241103461758976</v>
      </c>
      <c r="P17" s="633">
        <f t="shared" si="4"/>
        <v>-0.2917005781689439</v>
      </c>
      <c r="Q17" s="585">
        <f>IF(M17="","",IF(DEGREES(ATAN2(N17,O17))&lt;0,DEGREES(ATAN2(N17,O17))+360,IF(DEGREES(ATAN2(N17,O17))&gt;360,DEGREES(ATAN2(N17,O17))-360,DEGREES(ATAN2(N17,O17)))))</f>
        <v>32.990000290208044</v>
      </c>
      <c r="R17" s="629">
        <f>IF(M17="","",SQRT(N17^2+O17^2))</f>
        <v>3.3501101039320735</v>
      </c>
      <c r="S17" s="634">
        <f>IF(M17="","",P17)</f>
        <v>-0.2917005781689439</v>
      </c>
      <c r="T17" s="635">
        <f>IF(M17="","",X17*COS(RADIANS(W17)))</f>
        <v>1.8723882049676188</v>
      </c>
      <c r="U17" s="629">
        <f>IF(M17="","",X17*SIN(RADIANS(W17)))</f>
        <v>-2.7780208995552762</v>
      </c>
      <c r="V17" s="636">
        <f>IF(M17="","",Y17)</f>
        <v>-0.2917005781689439</v>
      </c>
      <c r="W17" s="585">
        <f t="shared" si="224"/>
        <v>303.98000014726972</v>
      </c>
      <c r="X17" s="629">
        <f>IF(M17="","",R17)</f>
        <v>3.3501101039320735</v>
      </c>
      <c r="Y17" s="630">
        <f t="shared" si="223"/>
        <v>-0.2917005781689439</v>
      </c>
      <c r="Z17" s="632">
        <f t="shared" si="6"/>
        <v>0.3519971764396837</v>
      </c>
      <c r="AA17" s="629">
        <f t="shared" si="7"/>
        <v>-0.91340635192157171</v>
      </c>
      <c r="AB17" s="629">
        <f t="shared" si="8"/>
        <v>-0.20441825761858051</v>
      </c>
      <c r="AC17" s="636">
        <f>IF(M17="","",SQRT(Z17^2+AA17^2+AB17^2))</f>
        <v>1</v>
      </c>
      <c r="AD17" s="637">
        <f>IF(M17="","",Z17*(1/SQRT(Z17^2+AA17^2+AB17^2)))</f>
        <v>0.3519971764396837</v>
      </c>
      <c r="AE17" s="629">
        <f>IF(M17="","",AA17*(1/SQRT(Z17^2+AA17^2+AB17^2)))</f>
        <v>-0.91340635192157171</v>
      </c>
      <c r="AF17" s="633">
        <f>IF(M17="","",AB17*(1/SQRT(Z17^2+AA17^2+AB17^2)))</f>
        <v>-0.20441825761858051</v>
      </c>
      <c r="AG17" s="602">
        <f>IF(M17="","",DEGREES(ATAN2(-AF17,AE17)))</f>
        <v>-77.38519972492503</v>
      </c>
      <c r="AH17" s="603">
        <f>IF(M17="","",DEGREES(ACOS(AD17)))</f>
        <v>69.390479902208924</v>
      </c>
      <c r="AI17" s="585">
        <f>IF(M17="","",DEGREES(-ACOS(-AF17)))</f>
        <v>-78.204553470383189</v>
      </c>
      <c r="AJ17" s="586">
        <f>IF(M17="","",DEGREES(ATAN2(-AE17,AD17)))</f>
        <v>21.075044328904411</v>
      </c>
      <c r="AK17" s="635">
        <f>IF(M17="","",(COS(RADIANS((90-$Q$8)-W17))*AD17)+(-SIN(RADIANS((90-$Q$8)-W17))*AE17))</f>
        <v>0.95779371308934746</v>
      </c>
      <c r="AL17" s="629">
        <f>IF(M17="","",(SIN(RADIANS((90-$Q$8)-W17))*AD17)+(COS(RADIANS((90-$Q$8)-W17))*AE17))</f>
        <v>-0.20209992359895779</v>
      </c>
      <c r="AM17" s="634">
        <f>IF(M17="","",AF17)</f>
        <v>-0.20441825761858051</v>
      </c>
      <c r="AN17" s="581">
        <f>IF(M17="","",DEGREES(ATAN2(-AM17,AL17)))</f>
        <v>-44.673251232126532</v>
      </c>
      <c r="AO17" s="582">
        <f t="shared" si="94"/>
        <v>16.705737733109334</v>
      </c>
      <c r="AP17" s="585">
        <f>IF(M17="","",DEGREES(ATAN2(AK17,AL17)))</f>
        <v>-11.914955961303622</v>
      </c>
      <c r="AQ17" s="586">
        <f t="shared" si="9"/>
        <v>0.68046105291780967</v>
      </c>
      <c r="AS17" s="52">
        <f t="shared" si="116"/>
        <v>-56.01999985273028</v>
      </c>
      <c r="AT17" s="72">
        <f t="shared" si="10"/>
        <v>-0.25211030059269945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3.319116337574644</v>
      </c>
      <c r="C18" s="708">
        <v>2.0764313633269174</v>
      </c>
      <c r="D18" s="709">
        <v>-0.83190220741705789</v>
      </c>
      <c r="E18" s="710">
        <v>-0.1973702394704937</v>
      </c>
      <c r="F18" s="708">
        <v>0.9688452206942777</v>
      </c>
      <c r="G18" s="711">
        <v>0.14961258940749775</v>
      </c>
      <c r="H18" s="710">
        <v>0.314</v>
      </c>
      <c r="I18" s="708">
        <v>0.52</v>
      </c>
      <c r="J18" s="570">
        <v>2.1230000000000002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2.1230000000000002</v>
      </c>
      <c r="N18" s="632">
        <f t="shared" si="2"/>
        <v>3.319116337574644</v>
      </c>
      <c r="O18" s="629">
        <f t="shared" si="3"/>
        <v>2.0764313633269174</v>
      </c>
      <c r="P18" s="633">
        <f t="shared" si="4"/>
        <v>-0.83190220741705789</v>
      </c>
      <c r="Q18" s="585">
        <f t="shared" si="113"/>
        <v>32.03000042881488</v>
      </c>
      <c r="R18" s="629">
        <f>IF(M18="","",SQRT(N18^2+O18^2))</f>
        <v>3.9151118079772127</v>
      </c>
      <c r="S18" s="634">
        <f>IF(M18="","",P18)</f>
        <v>-0.83190220741705789</v>
      </c>
      <c r="T18" s="635">
        <f>IF(M18="","",X18*COS(RADIANS(W18)))</f>
        <v>2.1334687574153239</v>
      </c>
      <c r="U18" s="629">
        <f>IF(M18="","",X18*SIN(RADIANS(W18)))</f>
        <v>-3.2827445118521354</v>
      </c>
      <c r="V18" s="636">
        <f>IF(M18="","",Y18)</f>
        <v>-0.83190220741705789</v>
      </c>
      <c r="W18" s="585">
        <f t="shared" si="224"/>
        <v>303.02000028587656</v>
      </c>
      <c r="X18" s="629">
        <f>IF(M18="","",R18)</f>
        <v>3.9151118079772127</v>
      </c>
      <c r="Y18" s="630">
        <f t="shared" si="223"/>
        <v>-0.83190220741705789</v>
      </c>
      <c r="Z18" s="632">
        <f t="shared" si="6"/>
        <v>0.1973702394704937</v>
      </c>
      <c r="AA18" s="629">
        <f t="shared" si="7"/>
        <v>-0.9688452206942777</v>
      </c>
      <c r="AB18" s="629">
        <f t="shared" si="8"/>
        <v>-0.14961258940749775</v>
      </c>
      <c r="AC18" s="636">
        <f>IF(M18="","",SQRT(Z18^2+AA18^2+AB18^2))</f>
        <v>1</v>
      </c>
      <c r="AD18" s="637">
        <f>IF(M18="","",Z18*(1/SQRT(Z18^2+AA18^2+AB18^2)))</f>
        <v>0.1973702394704937</v>
      </c>
      <c r="AE18" s="629">
        <f>IF(M18="","",AA18*(1/SQRT(Z18^2+AA18^2+AB18^2)))</f>
        <v>-0.9688452206942777</v>
      </c>
      <c r="AF18" s="633">
        <f>IF(M18="","",AB18*(1/SQRT(Z18^2+AA18^2+AB18^2)))</f>
        <v>-0.14961258940749775</v>
      </c>
      <c r="AG18" s="602">
        <f>IF(M18="","",DEGREES(ATAN2(-AF18,AE18)))</f>
        <v>-81.221518989817142</v>
      </c>
      <c r="AH18" s="603">
        <f>IF(M18="","",DEGREES(ACOS(AD18)))</f>
        <v>78.616780239318331</v>
      </c>
      <c r="AI18" s="585">
        <f>IF(M18="","",DEGREES(-ACOS(-AF18)))</f>
        <v>-81.395523777195891</v>
      </c>
      <c r="AJ18" s="586">
        <f>IF(M18="","",DEGREES(ATAN2(-AE18,AD18)))</f>
        <v>11.514562518139485</v>
      </c>
      <c r="AK18" s="635">
        <f>IF(M18="","",(COS(RADIANS((90-$Q$8)-W18))*AD18)+(-SIN(RADIANS((90-$Q$8)-W18))*AE18))</f>
        <v>0.9260363263762168</v>
      </c>
      <c r="AL18" s="629">
        <f>IF(M18="","",(SIN(RADIANS((90-$Q$8)-W18))*AD18)+(COS(RADIANS((90-$Q$8)-W18))*AE18))</f>
        <v>-0.34651521658135698</v>
      </c>
      <c r="AM18" s="634">
        <f>IF(M18="","",AF18)</f>
        <v>-0.14961258940749775</v>
      </c>
      <c r="AN18" s="581">
        <f>IF(M18="","",DEGREES(ATAN2(-AM18,AL18)))</f>
        <v>-66.647080479668276</v>
      </c>
      <c r="AO18" s="582">
        <f t="shared" si="94"/>
        <v>22.174853424776739</v>
      </c>
      <c r="AP18" s="585">
        <f>IF(M18="","",DEGREES(ATAN2(AK18,AL18)))</f>
        <v>-20.515437910675399</v>
      </c>
      <c r="AQ18" s="586">
        <f t="shared" si="9"/>
        <v>0.5822689778469915</v>
      </c>
      <c r="AS18" s="52">
        <f t="shared" si="116"/>
        <v>-56.979999714123437</v>
      </c>
      <c r="AT18" s="72">
        <f t="shared" si="10"/>
        <v>-0.79164526327040152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3.513416978863213</v>
      </c>
      <c r="C19" s="708">
        <v>2.166543605782584</v>
      </c>
      <c r="D19" s="709">
        <v>-1.5850044787735076</v>
      </c>
      <c r="E19" s="710">
        <v>-1.1129760621233272E-3</v>
      </c>
      <c r="F19" s="708">
        <v>0.99919853372751288</v>
      </c>
      <c r="G19" s="711">
        <v>4.0013141354728575E-2</v>
      </c>
      <c r="H19" s="710">
        <v>0.314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2.129</v>
      </c>
      <c r="N19" s="632">
        <f t="shared" si="2"/>
        <v>3.513416978863213</v>
      </c>
      <c r="O19" s="629">
        <f t="shared" si="3"/>
        <v>2.166543605782584</v>
      </c>
      <c r="P19" s="633">
        <f t="shared" si="4"/>
        <v>-1.5850044787735076</v>
      </c>
      <c r="Q19" s="585">
        <f t="shared" si="113"/>
        <v>31.660000482236271</v>
      </c>
      <c r="R19" s="629">
        <f>IF(M19="","",SQRT(N19^2+O19^2))</f>
        <v>4.1277124491807449</v>
      </c>
      <c r="S19" s="634">
        <f>IF(M19="","",P19)</f>
        <v>-1.5850044787735076</v>
      </c>
      <c r="T19" s="635">
        <f>IF(M19="","",X19*COS(RADIANS(W19)))</f>
        <v>2.226924654987561</v>
      </c>
      <c r="U19" s="629">
        <f>IF(M19="","",X19*SIN(RADIANS(W19)))</f>
        <v>-3.4754591990311492</v>
      </c>
      <c r="V19" s="636">
        <f>IF(M19="","",Y19)</f>
        <v>-1.5850044787735076</v>
      </c>
      <c r="W19" s="585">
        <f t="shared" si="224"/>
        <v>302.650000339298</v>
      </c>
      <c r="X19" s="629">
        <f>IF(M19="","",R19)</f>
        <v>4.1277124491807449</v>
      </c>
      <c r="Y19" s="630">
        <f t="shared" si="223"/>
        <v>-1.5850044787735076</v>
      </c>
      <c r="Z19" s="632">
        <f t="shared" si="6"/>
        <v>1.1129760621233272E-3</v>
      </c>
      <c r="AA19" s="629">
        <f t="shared" si="7"/>
        <v>-0.99919853372751288</v>
      </c>
      <c r="AB19" s="629">
        <f t="shared" si="8"/>
        <v>-4.0013141354728575E-2</v>
      </c>
      <c r="AC19" s="636">
        <f>IF(M19="","",SQRT(Z19^2+AA19^2+AB19^2))</f>
        <v>1</v>
      </c>
      <c r="AD19" s="637">
        <f>IF(M19="","",Z19*(1/SQRT(Z19^2+AA19^2+AB19^2)))</f>
        <v>1.1129760621233272E-3</v>
      </c>
      <c r="AE19" s="629">
        <f>IF(M19="","",AA19*(1/SQRT(Z19^2+AA19^2+AB19^2)))</f>
        <v>-0.99919853372751288</v>
      </c>
      <c r="AF19" s="633">
        <f>IF(M19="","",AB19*(1/SQRT(Z19^2+AA19^2+AB19^2)))</f>
        <v>-4.0013141354728575E-2</v>
      </c>
      <c r="AG19" s="602">
        <f>IF(M19="","",DEGREES(ATAN2(-AF19,AE19)))</f>
        <v>-87.7068022555342</v>
      </c>
      <c r="AH19" s="603">
        <f>IF(M19="","",DEGREES(ACOS(AD19)))</f>
        <v>89.936231155775999</v>
      </c>
      <c r="AI19" s="585">
        <f>IF(M19="","",DEGREES(-ACOS(-AF19)))</f>
        <v>-87.70680367660357</v>
      </c>
      <c r="AJ19" s="586">
        <f>IF(M19="","",DEGREES(ATAN2(-AE19,AD19)))</f>
        <v>6.3819954226859738E-2</v>
      </c>
      <c r="AK19" s="635">
        <f>IF(M19="","",(COS(RADIANS((90-$Q$8)-W19))*AD19)+(-SIN(RADIANS((90-$Q$8)-W19))*AE19))</f>
        <v>0.85107973195213793</v>
      </c>
      <c r="AL19" s="629">
        <f>IF(M19="","",(SIN(RADIANS((90-$Q$8)-W19))*AD19)+(COS(RADIANS((90-$Q$8)-W19))*AE19))</f>
        <v>-0.52350953991231497</v>
      </c>
      <c r="AM19" s="634">
        <f>IF(M19="","",AF19)</f>
        <v>-4.0013141354728575E-2</v>
      </c>
      <c r="AN19" s="581">
        <f>IF(M19="","",DEGREES(ATAN2(-AM19,AL19)))</f>
        <v>-85.629238506363848</v>
      </c>
      <c r="AO19" s="582">
        <f t="shared" si="94"/>
        <v>31.670698109673467</v>
      </c>
      <c r="AP19" s="585">
        <f>IF(M19="","",DEGREES(ATAN2(AK19,AL19)))</f>
        <v>-31.596180528009452</v>
      </c>
      <c r="AQ19" s="586">
        <f t="shared" si="9"/>
        <v>0.55228072558086194</v>
      </c>
      <c r="AS19" s="52">
        <f t="shared" si="116"/>
        <v>-57.349999660701997</v>
      </c>
      <c r="AT19" s="72">
        <f t="shared" si="10"/>
        <v>-1.544490590219505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707">
        <v>0.72607763485643229</v>
      </c>
      <c r="C20" s="708">
        <v>-0.41920170343296231</v>
      </c>
      <c r="D20" s="709">
        <v>-0.51340154841907004</v>
      </c>
      <c r="E20" s="710">
        <v>0.42495075868149662</v>
      </c>
      <c r="F20" s="708">
        <v>0.87000969481008172</v>
      </c>
      <c r="G20" s="711">
        <v>0.2499999672649757</v>
      </c>
      <c r="H20" s="710">
        <v>0.314</v>
      </c>
      <c r="I20" s="708">
        <v>0.52</v>
      </c>
      <c r="J20" s="570">
        <v>3.1030000000000002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3.1030000000000002</v>
      </c>
      <c r="N20" s="632">
        <f t="shared" si="2"/>
        <v>0.72607763485643229</v>
      </c>
      <c r="O20" s="629">
        <f t="shared" si="3"/>
        <v>-0.41920170343296231</v>
      </c>
      <c r="P20" s="633">
        <f t="shared" si="4"/>
        <v>-0.51340154841907004</v>
      </c>
      <c r="Q20" s="585">
        <f t="shared" si="113"/>
        <v>329.99996534829228</v>
      </c>
      <c r="R20" s="629">
        <f>IF(M20="","",SQRT(N20^2+O20^2))</f>
        <v>0.83840252862202647</v>
      </c>
      <c r="S20" s="634">
        <f>IF(M20="","",P20)</f>
        <v>-0.51340154841907004</v>
      </c>
      <c r="T20" s="635">
        <f>IF(M20="","",X20*COS(RADIANS(W20)))</f>
        <v>-0.40659403268160776</v>
      </c>
      <c r="U20" s="629">
        <f>IF(M20="","",X20*SIN(RADIANS(W20)))</f>
        <v>-0.7332121743312201</v>
      </c>
      <c r="V20" s="636">
        <f>IF(M20="","",Y20)</f>
        <v>-0.51340154841907004</v>
      </c>
      <c r="W20" s="585">
        <f t="shared" si="224"/>
        <v>240.98996520535397</v>
      </c>
      <c r="X20" s="629">
        <f>IF(M20="","",R20)</f>
        <v>0.83840252862202647</v>
      </c>
      <c r="Y20" s="630">
        <f t="shared" si="223"/>
        <v>-0.51340154841907004</v>
      </c>
      <c r="Z20" s="632">
        <f t="shared" si="6"/>
        <v>-0.42495075868149662</v>
      </c>
      <c r="AA20" s="629">
        <f t="shared" si="7"/>
        <v>-0.87000969481008172</v>
      </c>
      <c r="AB20" s="629">
        <f t="shared" si="8"/>
        <v>-0.2499999672649757</v>
      </c>
      <c r="AC20" s="636">
        <f>IF(M20="","",SQRT(Z20^2+AA20^2+AB20^2))</f>
        <v>1</v>
      </c>
      <c r="AD20" s="637">
        <f>IF(M20="","",Z20*(1/SQRT(Z20^2+AA20^2+AB20^2)))</f>
        <v>-0.42495075868149662</v>
      </c>
      <c r="AE20" s="629">
        <f>IF(M20="","",AA20*(1/SQRT(Z20^2+AA20^2+AB20^2)))</f>
        <v>-0.87000969481008172</v>
      </c>
      <c r="AF20" s="633">
        <f>IF(M20="","",AB20*(1/SQRT(Z20^2+AA20^2+AB20^2)))</f>
        <v>-0.2499999672649757</v>
      </c>
      <c r="AG20" s="602">
        <f>IF(M20="","",DEGREES(ATAN2(-AF20,AE20)))</f>
        <v>-73.967832110835701</v>
      </c>
      <c r="AH20" s="603">
        <f>IF(M20="","",DEGREES(ACOS(AD20)))</f>
        <v>115.14754663787646</v>
      </c>
      <c r="AI20" s="585">
        <f>IF(M20="","",DEGREES(-ACOS(-AF20)))</f>
        <v>-75.522489751159455</v>
      </c>
      <c r="AJ20" s="586">
        <f>IF(M20="","",DEGREES(ATAN2(-AE20,AD20)))</f>
        <v>-26.032905006621164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6.6987279208207073E-2</v>
      </c>
      <c r="AM20" s="634">
        <f>IF(M20="","",AF20)</f>
        <v>-0.2499999672649757</v>
      </c>
      <c r="AN20" s="581">
        <f>IF(M20="","",DEGREES(ATAN2(-AM20,AL20)))</f>
        <v>14.999997834268239</v>
      </c>
      <c r="AO20" s="582">
        <f t="shared" si="94"/>
        <v>14.999997834268255</v>
      </c>
      <c r="AP20" s="585">
        <f>IF(M20="","",DEGREES(ATAN2(AK20,AL20)))</f>
        <v>3.9671296450865641</v>
      </c>
      <c r="AQ20" s="586">
        <f t="shared" si="9"/>
        <v>2.7170927619317604</v>
      </c>
      <c r="AS20" s="52">
        <f t="shared" si="116"/>
        <v>-119.01003479464603</v>
      </c>
      <c r="AT20" s="72">
        <f t="shared" si="10"/>
        <v>-0.43006819102205079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707">
        <v>1.3686701981477878</v>
      </c>
      <c r="C21" s="708">
        <v>-0.7902032110036421</v>
      </c>
      <c r="D21" s="709">
        <v>-0.31460094883646172</v>
      </c>
      <c r="E21" s="710">
        <v>0.42495075868149662</v>
      </c>
      <c r="F21" s="708">
        <v>0.87000969481008172</v>
      </c>
      <c r="G21" s="711">
        <v>0.2499999672649757</v>
      </c>
      <c r="H21" s="710">
        <v>0.314</v>
      </c>
      <c r="I21" s="708">
        <v>0.52</v>
      </c>
      <c r="J21" s="570">
        <v>3.1059999999999999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3.1059999999999999</v>
      </c>
      <c r="N21" s="632">
        <f t="shared" si="2"/>
        <v>1.3686701981477878</v>
      </c>
      <c r="O21" s="629">
        <f t="shared" si="3"/>
        <v>-0.7902032110036421</v>
      </c>
      <c r="P21" s="633">
        <f t="shared" si="4"/>
        <v>-0.31460094883646172</v>
      </c>
      <c r="Q21" s="585">
        <f t="shared" si="113"/>
        <v>329.99996534829228</v>
      </c>
      <c r="R21" s="629">
        <f>IF(M21="","",SQRT(N21^2+O21^2))</f>
        <v>1.5804047665007757</v>
      </c>
      <c r="S21" s="634">
        <f>IF(M21="","",P21)</f>
        <v>-0.31460094883646172</v>
      </c>
      <c r="T21" s="635">
        <f>IF(M21="","",X21*COS(RADIANS(W21)))</f>
        <v>-0.76643751103293511</v>
      </c>
      <c r="U21" s="629">
        <f>IF(M21="","",X21*SIN(RADIANS(W21)))</f>
        <v>-1.3821189412130965</v>
      </c>
      <c r="V21" s="636">
        <f>IF(M21="","",Y21)</f>
        <v>-0.31460094883646172</v>
      </c>
      <c r="W21" s="585">
        <f t="shared" si="224"/>
        <v>240.98996520535397</v>
      </c>
      <c r="X21" s="629">
        <f>IF(M21="","",R21)</f>
        <v>1.5804047665007757</v>
      </c>
      <c r="Y21" s="630">
        <f t="shared" si="223"/>
        <v>-0.31460094883646172</v>
      </c>
      <c r="Z21" s="632">
        <f t="shared" si="6"/>
        <v>-0.42495075868149662</v>
      </c>
      <c r="AA21" s="629">
        <f t="shared" si="7"/>
        <v>-0.87000969481008172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-0.42495075868149662</v>
      </c>
      <c r="AE21" s="629">
        <f>IF(M21="","",AA21*(1/SQRT(Z21^2+AA21^2+AB21^2)))</f>
        <v>-0.87000969481008172</v>
      </c>
      <c r="AF21" s="633">
        <f>IF(M21="","",AB21*(1/SQRT(Z21^2+AA21^2+AB21^2)))</f>
        <v>-0.2499999672649757</v>
      </c>
      <c r="AG21" s="602">
        <f>IF(M21="","",DEGREES(ATAN2(-AF21,AE21)))</f>
        <v>-73.967832110835701</v>
      </c>
      <c r="AH21" s="603">
        <f>IF(M21="","",DEGREES(ACOS(AD21)))</f>
        <v>115.14754663787646</v>
      </c>
      <c r="AI21" s="585">
        <f>IF(M21="","",DEGREES(-ACOS(-AF21)))</f>
        <v>-75.522489751159455</v>
      </c>
      <c r="AJ21" s="586">
        <f>IF(M21="","",DEGREES(ATAN2(-AE21,AD21)))</f>
        <v>-26.032905006621164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6.6987279208207073E-2</v>
      </c>
      <c r="AM21" s="634">
        <f>IF(M21="","",AF21)</f>
        <v>-0.2499999672649757</v>
      </c>
      <c r="AN21" s="581">
        <f>IF(M21="","",DEGREES(ATAN2(-AM21,AL21)))</f>
        <v>14.999997834268239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3.9671296450865641</v>
      </c>
      <c r="AQ21" s="586">
        <f t="shared" si="9"/>
        <v>1.4421907591715215</v>
      </c>
      <c r="AS21" s="52">
        <f t="shared" si="116"/>
        <v>-119.01003479464603</v>
      </c>
      <c r="AT21" s="72">
        <f t="shared" si="10"/>
        <v>-0.23126759143944248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707">
        <v>2.0564098847880059</v>
      </c>
      <c r="C22" s="708">
        <v>-1.2171281731013328</v>
      </c>
      <c r="D22" s="709">
        <v>-9.910029888650139E-2</v>
      </c>
      <c r="E22" s="710">
        <v>0.512010377921987</v>
      </c>
      <c r="F22" s="708">
        <v>0.81730808069390704</v>
      </c>
      <c r="G22" s="711">
        <v>0.26429694310117557</v>
      </c>
      <c r="H22" s="710">
        <v>0.314</v>
      </c>
      <c r="I22" s="708">
        <v>0.52</v>
      </c>
      <c r="J22" s="570">
        <v>3.11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3.11</v>
      </c>
      <c r="N22" s="632">
        <f t="shared" si="2"/>
        <v>2.0564098847880059</v>
      </c>
      <c r="O22" s="629">
        <f t="shared" si="3"/>
        <v>-1.2171281731013328</v>
      </c>
      <c r="P22" s="633">
        <f t="shared" si="4"/>
        <v>-9.910029888650139E-2</v>
      </c>
      <c r="Q22" s="585">
        <f t="shared" si="113"/>
        <v>329.37996543780918</v>
      </c>
      <c r="R22" s="629">
        <f t="shared" si="79"/>
        <v>2.3896072070553367</v>
      </c>
      <c r="S22" s="634">
        <f t="shared" si="80"/>
        <v>-9.910029888650139E-2</v>
      </c>
      <c r="T22" s="635">
        <f t="shared" si="81"/>
        <v>-1.1814160486307987</v>
      </c>
      <c r="U22" s="629">
        <f t="shared" si="82"/>
        <v>-2.0771323318576496</v>
      </c>
      <c r="V22" s="636">
        <f t="shared" si="114"/>
        <v>-9.910029888650139E-2</v>
      </c>
      <c r="W22" s="585">
        <f t="shared" si="224"/>
        <v>240.36996529487087</v>
      </c>
      <c r="X22" s="629">
        <f t="shared" si="83"/>
        <v>2.3896072070553367</v>
      </c>
      <c r="Y22" s="630">
        <f t="shared" si="223"/>
        <v>-9.910029888650139E-2</v>
      </c>
      <c r="Z22" s="632">
        <f t="shared" si="6"/>
        <v>-0.512010377921987</v>
      </c>
      <c r="AA22" s="629">
        <f t="shared" si="7"/>
        <v>-0.81730808069390704</v>
      </c>
      <c r="AB22" s="629">
        <f t="shared" si="8"/>
        <v>-0.26429694310117557</v>
      </c>
      <c r="AC22" s="636">
        <f t="shared" si="84"/>
        <v>1</v>
      </c>
      <c r="AD22" s="637">
        <f t="shared" si="115"/>
        <v>-0.512010377921987</v>
      </c>
      <c r="AE22" s="629">
        <f t="shared" si="85"/>
        <v>-0.81730808069390704</v>
      </c>
      <c r="AF22" s="633">
        <f t="shared" si="86"/>
        <v>-0.26429694310117557</v>
      </c>
      <c r="AG22" s="602">
        <f t="shared" si="87"/>
        <v>-72.08009309525896</v>
      </c>
      <c r="AH22" s="603">
        <f t="shared" si="88"/>
        <v>120.797833025654</v>
      </c>
      <c r="AI22" s="585">
        <f t="shared" si="89"/>
        <v>-74.674818763393489</v>
      </c>
      <c r="AJ22" s="586">
        <f t="shared" si="90"/>
        <v>-32.065475602656051</v>
      </c>
      <c r="AK22" s="635">
        <f t="shared" si="211"/>
        <v>0.96413446743166875</v>
      </c>
      <c r="AL22" s="629">
        <f t="shared" si="91"/>
        <v>-2.4328061526279643E-2</v>
      </c>
      <c r="AM22" s="634">
        <f t="shared" si="92"/>
        <v>-0.26429694310117557</v>
      </c>
      <c r="AN22" s="581">
        <f t="shared" si="93"/>
        <v>-5.2591541917526987</v>
      </c>
      <c r="AO22" s="582">
        <f t="shared" si="94"/>
        <v>15.391569562254988</v>
      </c>
      <c r="AP22" s="585">
        <f t="shared" si="95"/>
        <v>-1.4454410404652043</v>
      </c>
      <c r="AQ22" s="586">
        <f t="shared" si="9"/>
        <v>0.95392915522608879</v>
      </c>
      <c r="AS22" s="52">
        <f t="shared" si="116"/>
        <v>-119.63003470512913</v>
      </c>
      <c r="AT22" s="72">
        <f t="shared" si="10"/>
        <v>-1.5336385996091093E-2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2.7390848862662969</v>
      </c>
      <c r="C23" s="708">
        <v>-1.6989687733060546</v>
      </c>
      <c r="D23" s="709">
        <v>-0.13540040836763181</v>
      </c>
      <c r="E23" s="710">
        <v>0.65792858665985976</v>
      </c>
      <c r="F23" s="708">
        <v>0.72027761147948688</v>
      </c>
      <c r="G23" s="711">
        <v>0.21984116370044277</v>
      </c>
      <c r="H23" s="710">
        <v>0.314</v>
      </c>
      <c r="I23" s="708">
        <v>0.52</v>
      </c>
      <c r="J23" s="570">
        <v>3.1160000000000001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3.1160000000000001</v>
      </c>
      <c r="N23" s="632">
        <f t="shared" si="2"/>
        <v>2.7390848862662969</v>
      </c>
      <c r="O23" s="629">
        <f t="shared" si="3"/>
        <v>-1.6989687733060546</v>
      </c>
      <c r="P23" s="633">
        <f t="shared" si="4"/>
        <v>-0.13540040836763181</v>
      </c>
      <c r="Q23" s="585">
        <f t="shared" si="113"/>
        <v>328.18996560962393</v>
      </c>
      <c r="R23" s="629">
        <f t="shared" si="79"/>
        <v>3.2232097212005195</v>
      </c>
      <c r="S23" s="634">
        <f t="shared" si="80"/>
        <v>-0.13540040836763181</v>
      </c>
      <c r="T23" s="635">
        <f t="shared" si="81"/>
        <v>-1.651389533968467</v>
      </c>
      <c r="U23" s="629">
        <f t="shared" si="82"/>
        <v>-2.768030620123437</v>
      </c>
      <c r="V23" s="636">
        <f t="shared" si="114"/>
        <v>-0.13540040836763181</v>
      </c>
      <c r="W23" s="585">
        <f t="shared" si="224"/>
        <v>239.17996546668562</v>
      </c>
      <c r="X23" s="629">
        <f t="shared" si="83"/>
        <v>3.2232097212005195</v>
      </c>
      <c r="Y23" s="630">
        <f t="shared" si="223"/>
        <v>-0.13540040836763181</v>
      </c>
      <c r="Z23" s="632">
        <f t="shared" si="6"/>
        <v>-0.65792858665985976</v>
      </c>
      <c r="AA23" s="629">
        <f t="shared" si="7"/>
        <v>-0.72027761147948688</v>
      </c>
      <c r="AB23" s="629">
        <f t="shared" si="8"/>
        <v>-0.21984116370044277</v>
      </c>
      <c r="AC23" s="636">
        <f t="shared" si="84"/>
        <v>1</v>
      </c>
      <c r="AD23" s="637">
        <f t="shared" si="115"/>
        <v>-0.65792858665985976</v>
      </c>
      <c r="AE23" s="629">
        <f t="shared" si="85"/>
        <v>-0.72027761147948688</v>
      </c>
      <c r="AF23" s="633">
        <f t="shared" si="86"/>
        <v>-0.21984116370044277</v>
      </c>
      <c r="AG23" s="602">
        <f t="shared" si="87"/>
        <v>-73.026905811337159</v>
      </c>
      <c r="AH23" s="603">
        <f t="shared" si="88"/>
        <v>131.1420857226768</v>
      </c>
      <c r="AI23" s="585">
        <f t="shared" si="89"/>
        <v>-77.300296050961862</v>
      </c>
      <c r="AJ23" s="586">
        <f t="shared" si="90"/>
        <v>-42.40974758656111</v>
      </c>
      <c r="AK23" s="635">
        <f t="shared" si="211"/>
        <v>0.95888940238389853</v>
      </c>
      <c r="AL23" s="629">
        <f t="shared" si="91"/>
        <v>-0.17944630600456857</v>
      </c>
      <c r="AM23" s="634">
        <f t="shared" si="92"/>
        <v>-0.21984116370044277</v>
      </c>
      <c r="AN23" s="581">
        <f t="shared" si="93"/>
        <v>-39.223192182083075</v>
      </c>
      <c r="AO23" s="582">
        <f t="shared" si="94"/>
        <v>16.485939813282222</v>
      </c>
      <c r="AP23" s="585">
        <f t="shared" si="95"/>
        <v>-10.599713196185025</v>
      </c>
      <c r="AQ23" s="586">
        <f t="shared" si="9"/>
        <v>0.70724868710281308</v>
      </c>
      <c r="AS23" s="52">
        <f t="shared" si="116"/>
        <v>-120.82003453331438</v>
      </c>
      <c r="AT23" s="72">
        <f t="shared" si="10"/>
        <v>-5.081010670764842E-2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3.2303641457856682</v>
      </c>
      <c r="C24" s="708">
        <v>-2.0850236674886102</v>
      </c>
      <c r="D24" s="709">
        <v>-0.62320187957686868</v>
      </c>
      <c r="E24" s="710">
        <v>0.77172219639781858</v>
      </c>
      <c r="F24" s="708">
        <v>0.61836090630041585</v>
      </c>
      <c r="G24" s="711">
        <v>0.14857537193712528</v>
      </c>
      <c r="H24" s="710">
        <v>0.314</v>
      </c>
      <c r="I24" s="708">
        <v>0.52</v>
      </c>
      <c r="J24" s="570">
        <v>3.1219999999999999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3.1219999999999999</v>
      </c>
      <c r="N24" s="632">
        <f t="shared" si="2"/>
        <v>3.2303641457856682</v>
      </c>
      <c r="O24" s="629">
        <f t="shared" si="3"/>
        <v>-2.0850236674886102</v>
      </c>
      <c r="P24" s="633">
        <f t="shared" si="4"/>
        <v>-0.62320187957686868</v>
      </c>
      <c r="Q24" s="585">
        <f t="shared" si="113"/>
        <v>327.15996575833748</v>
      </c>
      <c r="R24" s="629">
        <f t="shared" si="79"/>
        <v>3.8448115959517737</v>
      </c>
      <c r="S24" s="634">
        <f t="shared" si="80"/>
        <v>-0.62320187957686868</v>
      </c>
      <c r="T24" s="635">
        <f t="shared" si="81"/>
        <v>-2.0288985275802869</v>
      </c>
      <c r="U24" s="629">
        <f t="shared" si="82"/>
        <v>-3.2659067612453008</v>
      </c>
      <c r="V24" s="636">
        <f t="shared" si="114"/>
        <v>-0.62320187957686868</v>
      </c>
      <c r="W24" s="585">
        <f t="shared" si="224"/>
        <v>238.14996561539917</v>
      </c>
      <c r="X24" s="629">
        <f t="shared" si="83"/>
        <v>3.8448115959517737</v>
      </c>
      <c r="Y24" s="630">
        <f t="shared" si="223"/>
        <v>-0.62320187957686868</v>
      </c>
      <c r="Z24" s="632">
        <f t="shared" si="6"/>
        <v>-0.77172219639781858</v>
      </c>
      <c r="AA24" s="629">
        <f t="shared" si="7"/>
        <v>-0.61836090630041585</v>
      </c>
      <c r="AB24" s="629">
        <f t="shared" si="8"/>
        <v>-0.14857537193712528</v>
      </c>
      <c r="AC24" s="636">
        <f t="shared" si="84"/>
        <v>1</v>
      </c>
      <c r="AD24" s="637">
        <f t="shared" si="115"/>
        <v>-0.77172219639781858</v>
      </c>
      <c r="AE24" s="629">
        <f t="shared" si="85"/>
        <v>-0.61836090630041585</v>
      </c>
      <c r="AF24" s="633">
        <f t="shared" si="86"/>
        <v>-0.14857537193712528</v>
      </c>
      <c r="AG24" s="602">
        <f t="shared" si="87"/>
        <v>-76.489482873201098</v>
      </c>
      <c r="AH24" s="603">
        <f t="shared" si="88"/>
        <v>140.50879346915437</v>
      </c>
      <c r="AI24" s="585">
        <f t="shared" si="89"/>
        <v>-81.455623698606203</v>
      </c>
      <c r="AJ24" s="586">
        <f t="shared" si="90"/>
        <v>-51.2957114855935</v>
      </c>
      <c r="AK24" s="635">
        <f>IF(M24="","",(COS(RADIANS((90-$Q$8)-W24))*AD24)+(-SIN(RADIANS((90-$Q$8)-W24))*AE24))</f>
        <v>0.93804074792157355</v>
      </c>
      <c r="AL24" s="629">
        <f t="shared" si="91"/>
        <v>-0.31305736549789076</v>
      </c>
      <c r="AM24" s="634">
        <f t="shared" si="92"/>
        <v>-0.14857537193712528</v>
      </c>
      <c r="AN24" s="581">
        <f t="shared" si="93"/>
        <v>-64.611231100062469</v>
      </c>
      <c r="AO24" s="582">
        <f t="shared" si="94"/>
        <v>20.274913465879823</v>
      </c>
      <c r="AP24" s="585">
        <f t="shared" si="95"/>
        <v>-18.455677243930953</v>
      </c>
      <c r="AQ24" s="586">
        <f t="shared" si="9"/>
        <v>0.59291468454812413</v>
      </c>
      <c r="AS24" s="52">
        <f t="shared" si="116"/>
        <v>-121.85003438460083</v>
      </c>
      <c r="AT24" s="72">
        <f t="shared" si="10"/>
        <v>-0.53789630024238078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3.4194955022525737</v>
      </c>
      <c r="C25" s="708">
        <v>-2.2444833524072436</v>
      </c>
      <c r="D25" s="709">
        <v>-1.3227039892752321</v>
      </c>
      <c r="E25" s="710">
        <v>0.89034742033295611</v>
      </c>
      <c r="F25" s="708">
        <v>0.44424070925955156</v>
      </c>
      <c r="G25" s="711">
        <v>9.9657730974677131E-2</v>
      </c>
      <c r="H25" s="710">
        <v>0.314</v>
      </c>
      <c r="I25" s="708">
        <v>0.52</v>
      </c>
      <c r="J25" s="570">
        <v>3.1280000000000001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3.1280000000000001</v>
      </c>
      <c r="N25" s="632">
        <f t="shared" si="2"/>
        <v>3.4194955022525737</v>
      </c>
      <c r="O25" s="629">
        <f t="shared" si="3"/>
        <v>-2.2444833524072436</v>
      </c>
      <c r="P25" s="633">
        <f t="shared" si="4"/>
        <v>-1.3227039892752321</v>
      </c>
      <c r="Q25" s="585">
        <f t="shared" si="113"/>
        <v>326.71996582186563</v>
      </c>
      <c r="R25" s="629">
        <f>IF(M25="","",SQRT(N25^2+O25^2))</f>
        <v>4.0903123363820084</v>
      </c>
      <c r="S25" s="634">
        <f>IF(M25="","",P25)</f>
        <v>-1.3227039892752321</v>
      </c>
      <c r="T25" s="635">
        <f>IF(M25="","",X25*COS(RADIANS(W25)))</f>
        <v>-2.1850666171525295</v>
      </c>
      <c r="U25" s="629">
        <f>IF(M25="","",X25*SIN(RADIANS(W25)))</f>
        <v>-3.4577650133813957</v>
      </c>
      <c r="V25" s="636">
        <f>IF(M25="","",Y25)</f>
        <v>-1.3227039892752321</v>
      </c>
      <c r="W25" s="585">
        <f t="shared" si="224"/>
        <v>237.70996567892732</v>
      </c>
      <c r="X25" s="629">
        <f>IF(M25="","",R25)</f>
        <v>4.0903123363820084</v>
      </c>
      <c r="Y25" s="630">
        <f t="shared" si="223"/>
        <v>-1.3227039892752321</v>
      </c>
      <c r="Z25" s="632">
        <f t="shared" si="6"/>
        <v>-0.89034742033295611</v>
      </c>
      <c r="AA25" s="629">
        <f t="shared" si="7"/>
        <v>-0.44424070925955156</v>
      </c>
      <c r="AB25" s="629">
        <f t="shared" si="8"/>
        <v>-9.9657730974677131E-2</v>
      </c>
      <c r="AC25" s="636">
        <f>IF(M25="","",SQRT(Z25^2+AA25^2+AB25^2))</f>
        <v>1</v>
      </c>
      <c r="AD25" s="637">
        <f>IF(M25="","",Z25*(1/SQRT(Z25^2+AA25^2+AB25^2)))</f>
        <v>-0.89034742033295611</v>
      </c>
      <c r="AE25" s="629">
        <f>IF(M25="","",AA25*(1/SQRT(Z25^2+AA25^2+AB25^2)))</f>
        <v>-0.44424070925955156</v>
      </c>
      <c r="AF25" s="633">
        <f>IF(M25="","",AB25*(1/SQRT(Z25^2+AA25^2+AB25^2)))</f>
        <v>-9.9657730974677131E-2</v>
      </c>
      <c r="AG25" s="602">
        <f>IF(M25="","",DEGREES(ATAN2(-AF25,AE25)))</f>
        <v>-77.356011252336756</v>
      </c>
      <c r="AH25" s="603">
        <f>IF(M25="","",DEGREES(ACOS(AD25)))</f>
        <v>152.91693607143964</v>
      </c>
      <c r="AI25" s="585">
        <f>IF(M25="","",DEGREES(-ACOS(-AF25)))</f>
        <v>-84.280538547472304</v>
      </c>
      <c r="AJ25" s="586">
        <f>IF(M25="","",DEGREES(ATAN2(-AE25,AD25)))</f>
        <v>-63.483001452326988</v>
      </c>
      <c r="AK25" s="635">
        <f>IF(M25="","",(COS(RADIANS((90-$Q$8)-W25))*AD25)+(-SIN(RADIANS((90-$Q$8)-W25))*AE25))</f>
        <v>0.85994632701762397</v>
      </c>
      <c r="AL25" s="629">
        <f>IF(M25="","",(SIN(RADIANS((90-$Q$8)-W25))*AD25)+(COS(RADIANS((90-$Q$8)-W25))*AE25))</f>
        <v>-0.50056033732795546</v>
      </c>
      <c r="AM25" s="634">
        <f>IF(M25="","",AF25)</f>
        <v>-9.9657730974677131E-2</v>
      </c>
      <c r="AN25" s="581">
        <f>IF(M25="","",DEGREES(ATAN2(-AM25,AL25)))</f>
        <v>-78.740080902980736</v>
      </c>
      <c r="AO25" s="582">
        <f>IF(ROUND(IF(M25="",0,DEGREES(ACOS(AK25))),4)=90,0,IF(M25="","",DEGREES(ACOS(AK25))))</f>
        <v>30.689442973791351</v>
      </c>
      <c r="AP25" s="585">
        <f>IF(M25="","",DEGREES(ATAN2(AK25,AL25)))</f>
        <v>-30.202967274192609</v>
      </c>
      <c r="AQ25" s="586">
        <f t="shared" si="9"/>
        <v>0.55733023347420851</v>
      </c>
      <c r="AS25" s="52">
        <f t="shared" si="116"/>
        <v>-122.29003432107268</v>
      </c>
      <c r="AT25" s="72">
        <f t="shared" si="10"/>
        <v>-1.2370928544293054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3.448388145223769</v>
      </c>
      <c r="C26" s="708">
        <v>-2.2686183599278866</v>
      </c>
      <c r="D26" s="709">
        <v>-2.0590062099627295</v>
      </c>
      <c r="E26" s="710">
        <v>0.90507832131748311</v>
      </c>
      <c r="F26" s="708">
        <v>0.42334284973997643</v>
      </c>
      <c r="G26" s="711">
        <v>4.0175413565546714E-2</v>
      </c>
      <c r="H26" s="710">
        <v>0.314</v>
      </c>
      <c r="I26" s="708">
        <v>0.52</v>
      </c>
      <c r="J26" s="570">
        <v>3.1339999999999999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3.1339999999999999</v>
      </c>
      <c r="N26" s="632">
        <f t="shared" si="2"/>
        <v>3.448388145223769</v>
      </c>
      <c r="O26" s="629">
        <f t="shared" si="3"/>
        <v>-2.2686183599278866</v>
      </c>
      <c r="P26" s="633">
        <f t="shared" si="4"/>
        <v>-2.0590062099627295</v>
      </c>
      <c r="Q26" s="585">
        <f t="shared" si="113"/>
        <v>326.65996583052856</v>
      </c>
      <c r="R26" s="629">
        <f>IF(M26="","",SQRT(N26^2+O26^2))</f>
        <v>4.1277124491807466</v>
      </c>
      <c r="S26" s="634">
        <f>IF(M26="","",P26)</f>
        <v>-2.0590062099627295</v>
      </c>
      <c r="T26" s="635">
        <f>IF(M26="","",X26*COS(RADIANS(W26)))</f>
        <v>-2.2086988178248363</v>
      </c>
      <c r="U26" s="629">
        <f>IF(M26="","",X26*SIN(RADIANS(W26)))</f>
        <v>-3.4870703456140495</v>
      </c>
      <c r="V26" s="636">
        <f>IF(M26="","",Y26)</f>
        <v>-2.0590062099627295</v>
      </c>
      <c r="W26" s="585">
        <f t="shared" si="224"/>
        <v>237.64996568759025</v>
      </c>
      <c r="X26" s="629">
        <f>IF(M26="","",R26)</f>
        <v>4.1277124491807466</v>
      </c>
      <c r="Y26" s="630">
        <f t="shared" si="223"/>
        <v>-2.0590062099627295</v>
      </c>
      <c r="Z26" s="632">
        <f t="shared" si="6"/>
        <v>-0.90507832131748311</v>
      </c>
      <c r="AA26" s="629">
        <f t="shared" si="7"/>
        <v>-0.42334284973997643</v>
      </c>
      <c r="AB26" s="629">
        <f t="shared" si="8"/>
        <v>-4.0175413565546714E-2</v>
      </c>
      <c r="AC26" s="636">
        <f>IF(M26="","",SQRT(Z26^2+AA26^2+AB26^2))</f>
        <v>1</v>
      </c>
      <c r="AD26" s="637">
        <f>IF(M26="","",Z26*(1/SQRT(Z26^2+AA26^2+AB26^2)))</f>
        <v>-0.90507832131748311</v>
      </c>
      <c r="AE26" s="629">
        <f>IF(M26="","",AA26*(1/SQRT(Z26^2+AA26^2+AB26^2)))</f>
        <v>-0.42334284973997643</v>
      </c>
      <c r="AF26" s="633">
        <f>IF(M26="","",AB26*(1/SQRT(Z26^2+AA26^2+AB26^2)))</f>
        <v>-4.0175413565546714E-2</v>
      </c>
      <c r="AG26" s="602">
        <f>IF(M26="","",DEGREES(ATAN2(-AF26,AE26)))</f>
        <v>-84.578842127492678</v>
      </c>
      <c r="AH26" s="603">
        <f>IF(M26="","",DEGREES(ACOS(AD26)))</f>
        <v>154.83383368954964</v>
      </c>
      <c r="AI26" s="585">
        <f>IF(M26="","",DEGREES(-ACOS(-AF26)))</f>
        <v>-87.697498681645612</v>
      </c>
      <c r="AJ26" s="586">
        <f>IF(M26="","",DEGREES(ATAN2(-AE26,AD26)))</f>
        <v>-64.932548821965952</v>
      </c>
      <c r="AK26" s="635">
        <f>IF(M26="","",(COS(RADIANS((90-$Q$8)-W26))*AD26)+(-SIN(RADIANS((90-$Q$8)-W26))*AE26))</f>
        <v>0.85110767878692895</v>
      </c>
      <c r="AL26" s="629">
        <f>IF(M26="","",(SIN(RADIANS((90-$Q$8)-W26))*AD26)+(COS(RADIANS((90-$Q$8)-W26))*AE26))</f>
        <v>-0.5234516742305475</v>
      </c>
      <c r="AM26" s="634">
        <f>IF(M26="","",AF26)</f>
        <v>-4.0175413565546714E-2</v>
      </c>
      <c r="AN26" s="581">
        <f>IF(M26="","",DEGREES(ATAN2(-AM26,AL26)))</f>
        <v>-85.611098876090338</v>
      </c>
      <c r="AO26" s="582">
        <f t="shared" si="94"/>
        <v>31.667648217187093</v>
      </c>
      <c r="AP26" s="585">
        <f>IF(M26="","",DEGREES(ATAN2(AK26,AL26)))</f>
        <v>-31.592514652494494</v>
      </c>
      <c r="AQ26" s="586">
        <f t="shared" si="9"/>
        <v>0.55228072558086172</v>
      </c>
      <c r="AS26" s="52">
        <f t="shared" si="116"/>
        <v>-122.35003431240975</v>
      </c>
      <c r="AT26" s="72">
        <f t="shared" si="10"/>
        <v>-1.9733534084561521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-1.8057810104178094E-2</v>
      </c>
      <c r="C27" s="708">
        <v>-2.2490342901360059</v>
      </c>
      <c r="D27" s="709">
        <v>-0.23610041047883798</v>
      </c>
      <c r="E27" s="710">
        <v>0.96470043797787974</v>
      </c>
      <c r="F27" s="708">
        <v>-1.3629211547270259E-3</v>
      </c>
      <c r="G27" s="711">
        <v>0.26334617409640337</v>
      </c>
      <c r="H27" s="710">
        <v>0.314</v>
      </c>
      <c r="I27" s="708">
        <v>0.52</v>
      </c>
      <c r="J27" s="570">
        <v>4.109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4.109</v>
      </c>
      <c r="N27" s="632">
        <f t="shared" si="2"/>
        <v>-1.8057810104178094E-2</v>
      </c>
      <c r="O27" s="629">
        <f t="shared" si="3"/>
        <v>-2.2490342901360059</v>
      </c>
      <c r="P27" s="633">
        <f t="shared" si="4"/>
        <v>-0.23610041047883798</v>
      </c>
      <c r="Q27" s="585">
        <f t="shared" si="113"/>
        <v>269.53997407763501</v>
      </c>
      <c r="R27" s="629">
        <f t="shared" si="79"/>
        <v>2.2491067833060585</v>
      </c>
      <c r="S27" s="634">
        <f t="shared" si="80"/>
        <v>-0.23610041047883798</v>
      </c>
      <c r="T27" s="635">
        <f t="shared" si="81"/>
        <v>-2.2490105687590343</v>
      </c>
      <c r="U27" s="629">
        <f t="shared" si="82"/>
        <v>-2.0803469025388256E-2</v>
      </c>
      <c r="V27" s="636">
        <f t="shared" si="114"/>
        <v>-0.23610041047883798</v>
      </c>
      <c r="W27" s="585">
        <f t="shared" si="224"/>
        <v>180.5299739346967</v>
      </c>
      <c r="X27" s="629">
        <f t="shared" si="83"/>
        <v>2.2491067833060585</v>
      </c>
      <c r="Y27" s="630">
        <f t="shared" si="223"/>
        <v>-0.23610041047883798</v>
      </c>
      <c r="Z27" s="632">
        <f t="shared" si="6"/>
        <v>-0.96470043797787974</v>
      </c>
      <c r="AA27" s="629">
        <f t="shared" si="7"/>
        <v>1.3629211547270259E-3</v>
      </c>
      <c r="AB27" s="629">
        <f t="shared" si="8"/>
        <v>-0.26334617409640337</v>
      </c>
      <c r="AC27" s="636">
        <f t="shared" si="84"/>
        <v>1</v>
      </c>
      <c r="AD27" s="637">
        <f t="shared" si="115"/>
        <v>-0.96470043797787974</v>
      </c>
      <c r="AE27" s="629">
        <f t="shared" si="85"/>
        <v>1.3629211547270259E-3</v>
      </c>
      <c r="AF27" s="633">
        <f t="shared" si="86"/>
        <v>-0.26334617409640337</v>
      </c>
      <c r="AG27" s="602">
        <f t="shared" si="87"/>
        <v>0.29652579176673172</v>
      </c>
      <c r="AH27" s="603">
        <f t="shared" si="88"/>
        <v>164.73108520895269</v>
      </c>
      <c r="AI27" s="585">
        <f t="shared" si="89"/>
        <v>-74.731294673963248</v>
      </c>
      <c r="AJ27" s="586">
        <f t="shared" si="90"/>
        <v>-90.080946970630123</v>
      </c>
      <c r="AK27" s="635">
        <f t="shared" si="211"/>
        <v>0.96468028650181925</v>
      </c>
      <c r="AL27" s="629">
        <f t="shared" si="91"/>
        <v>6.382587528186383E-3</v>
      </c>
      <c r="AM27" s="634">
        <f t="shared" si="92"/>
        <v>-0.26334617409640337</v>
      </c>
      <c r="AN27" s="581">
        <f t="shared" si="93"/>
        <v>1.3883769154860792</v>
      </c>
      <c r="AO27" s="582">
        <f t="shared" si="94"/>
        <v>15.273298440435838</v>
      </c>
      <c r="AP27" s="585">
        <f t="shared" si="95"/>
        <v>0.37907895173488015</v>
      </c>
      <c r="AQ27" s="586">
        <f t="shared" si="9"/>
        <v>1.0135085031324604</v>
      </c>
      <c r="AS27" s="52">
        <f t="shared" si="116"/>
        <v>-179.4700260653033</v>
      </c>
      <c r="AT27" s="72">
        <f t="shared" si="10"/>
        <v>-0.11078094803275118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-8.6307434639407793E-2</v>
      </c>
      <c r="C28" s="708">
        <v>-3.0898041456392811</v>
      </c>
      <c r="D28" s="709">
        <v>-0.19260027928244242</v>
      </c>
      <c r="E28" s="710">
        <v>0.95523243884125741</v>
      </c>
      <c r="F28" s="708">
        <v>-0.18206516231228861</v>
      </c>
      <c r="G28" s="711">
        <v>0.23320219651106094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-8.6307434639407793E-2</v>
      </c>
      <c r="O28" s="629">
        <f t="shared" si="3"/>
        <v>-3.0898041456392811</v>
      </c>
      <c r="P28" s="633">
        <f t="shared" si="4"/>
        <v>-0.19260027928244242</v>
      </c>
      <c r="Q28" s="585">
        <f t="shared" si="113"/>
        <v>268.3999742422306</v>
      </c>
      <c r="R28" s="629">
        <f t="shared" si="79"/>
        <v>3.0910093224841177</v>
      </c>
      <c r="S28" s="634">
        <f t="shared" si="80"/>
        <v>-0.19260027928244242</v>
      </c>
      <c r="T28" s="635">
        <f t="shared" si="81"/>
        <v>-3.0908341291807635</v>
      </c>
      <c r="U28" s="629">
        <f t="shared" si="82"/>
        <v>3.2909232368996198E-2</v>
      </c>
      <c r="V28" s="636">
        <f t="shared" si="114"/>
        <v>-0.19260027928244242</v>
      </c>
      <c r="W28" s="585">
        <f t="shared" si="224"/>
        <v>179.38997409929229</v>
      </c>
      <c r="X28" s="629">
        <f t="shared" si="83"/>
        <v>3.0910093224841177</v>
      </c>
      <c r="Y28" s="630">
        <f t="shared" si="223"/>
        <v>-0.19260027928244242</v>
      </c>
      <c r="Z28" s="632">
        <f t="shared" si="6"/>
        <v>-0.95523243884125741</v>
      </c>
      <c r="AA28" s="629">
        <f t="shared" si="7"/>
        <v>0.18206516231228861</v>
      </c>
      <c r="AB28" s="629">
        <f t="shared" si="8"/>
        <v>-0.23320219651106094</v>
      </c>
      <c r="AC28" s="636">
        <f t="shared" si="84"/>
        <v>1</v>
      </c>
      <c r="AD28" s="637">
        <f t="shared" si="115"/>
        <v>-0.95523243884125741</v>
      </c>
      <c r="AE28" s="629">
        <f t="shared" si="85"/>
        <v>0.18206516231228861</v>
      </c>
      <c r="AF28" s="633">
        <f t="shared" si="86"/>
        <v>-0.23320219651106094</v>
      </c>
      <c r="AG28" s="602">
        <f t="shared" si="87"/>
        <v>37.979800675977245</v>
      </c>
      <c r="AH28" s="603">
        <f t="shared" si="88"/>
        <v>162.79110423101054</v>
      </c>
      <c r="AI28" s="585">
        <f t="shared" si="89"/>
        <v>-76.514327926248271</v>
      </c>
      <c r="AJ28" s="586">
        <f t="shared" si="90"/>
        <v>-100.79101922514828</v>
      </c>
      <c r="AK28" s="635">
        <f t="shared" si="211"/>
        <v>0.9599436355929869</v>
      </c>
      <c r="AL28" s="629">
        <f t="shared" si="91"/>
        <v>-0.15532209123925456</v>
      </c>
      <c r="AM28" s="634">
        <f t="shared" si="92"/>
        <v>-0.23320219651106094</v>
      </c>
      <c r="AN28" s="581">
        <f t="shared" si="93"/>
        <v>-33.665219848368757</v>
      </c>
      <c r="AO28" s="582">
        <f t="shared" si="94"/>
        <v>16.27173445468452</v>
      </c>
      <c r="AP28" s="585">
        <f t="shared" si="95"/>
        <v>-9.1909934673788776</v>
      </c>
      <c r="AQ28" s="586">
        <f t="shared" si="9"/>
        <v>0.7374939673637505</v>
      </c>
      <c r="AS28" s="52">
        <f t="shared" si="116"/>
        <v>-180.61002590070771</v>
      </c>
      <c r="AT28" s="72">
        <f t="shared" si="10"/>
        <v>-6.6489150283991438E-2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-0.17803330081478028</v>
      </c>
      <c r="C29" s="708">
        <v>-3.7612001844244403</v>
      </c>
      <c r="D29" s="709">
        <v>-0.62020156892793143</v>
      </c>
      <c r="E29" s="710">
        <v>0.92935996610630078</v>
      </c>
      <c r="F29" s="708">
        <v>-0.33393895021208841</v>
      </c>
      <c r="G29" s="711">
        <v>0.15740022531795797</v>
      </c>
      <c r="H29" s="710">
        <v>0.314</v>
      </c>
      <c r="I29" s="708">
        <v>0.52</v>
      </c>
      <c r="J29" s="570">
        <v>4.1210000000000004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4.1210000000000004</v>
      </c>
      <c r="N29" s="632">
        <f t="shared" si="2"/>
        <v>-0.17803330081478028</v>
      </c>
      <c r="O29" s="629">
        <f t="shared" si="3"/>
        <v>-3.7612001844244403</v>
      </c>
      <c r="P29" s="633">
        <f t="shared" si="4"/>
        <v>-0.62020156892793143</v>
      </c>
      <c r="Q29" s="585">
        <f t="shared" si="113"/>
        <v>267.28997440249475</v>
      </c>
      <c r="R29" s="629">
        <f>IF(M29="","",SQRT(N29^2+O29^2))</f>
        <v>3.7654113564806502</v>
      </c>
      <c r="S29" s="634">
        <f>IF(M29="","",P29)</f>
        <v>-0.62020156892793143</v>
      </c>
      <c r="T29" s="635">
        <f>IF(M29="","",X29*COS(RADIANS(W29)))</f>
        <v>-3.7637147760859757</v>
      </c>
      <c r="U29" s="629">
        <f>IF(M29="","",X29*SIN(RADIANS(W29)))</f>
        <v>0.11302109442729699</v>
      </c>
      <c r="V29" s="636">
        <f>IF(M29="","",Y29)</f>
        <v>-0.62020156892793143</v>
      </c>
      <c r="W29" s="585">
        <f t="shared" si="224"/>
        <v>178.27997425955644</v>
      </c>
      <c r="X29" s="629">
        <f>IF(M29="","",R29)</f>
        <v>3.7654113564806502</v>
      </c>
      <c r="Y29" s="630">
        <f t="shared" si="223"/>
        <v>-0.62020156892793143</v>
      </c>
      <c r="Z29" s="632">
        <f t="shared" si="6"/>
        <v>-0.92935996610630078</v>
      </c>
      <c r="AA29" s="629">
        <f t="shared" si="7"/>
        <v>0.33393895021208841</v>
      </c>
      <c r="AB29" s="629">
        <f t="shared" si="8"/>
        <v>-0.15740022531795797</v>
      </c>
      <c r="AC29" s="636">
        <f>IF(M29="","",SQRT(Z29^2+AA29^2+AB29^2))</f>
        <v>1</v>
      </c>
      <c r="AD29" s="637">
        <f>IF(M29="","",Z29*(1/SQRT(Z29^2+AA29^2+AB29^2)))</f>
        <v>-0.92935996610630078</v>
      </c>
      <c r="AE29" s="629">
        <f>IF(M29="","",AA29*(1/SQRT(Z29^2+AA29^2+AB29^2)))</f>
        <v>0.33393895021208841</v>
      </c>
      <c r="AF29" s="633">
        <f>IF(M29="","",AB29*(1/SQRT(Z29^2+AA29^2+AB29^2)))</f>
        <v>-0.15740022531795797</v>
      </c>
      <c r="AG29" s="602">
        <f>IF(M29="","",DEGREES(ATAN2(-AF29,AE29)))</f>
        <v>64.763420653092595</v>
      </c>
      <c r="AH29" s="603">
        <f>IF(M29="","",DEGREES(ACOS(AD29)))</f>
        <v>158.3352642259413</v>
      </c>
      <c r="AI29" s="585">
        <f>IF(M29="","",DEGREES(-ACOS(-AF29)))</f>
        <v>-80.943971919198418</v>
      </c>
      <c r="AJ29" s="586">
        <f>IF(M29="","",DEGREES(ATAN2(-AE29,AD29)))</f>
        <v>-109.76445026313483</v>
      </c>
      <c r="AK29" s="635">
        <f>IF(M29="","",(COS(RADIANS((90-$Q$8)-W29))*AD29)+(-SIN(RADIANS((90-$Q$8)-W29))*AE29))</f>
        <v>0.94410963183986429</v>
      </c>
      <c r="AL29" s="629">
        <f>IF(M29="","",(SIN(RADIANS((90-$Q$8)-W29))*AD29)+(COS(RADIANS((90-$Q$8)-W29))*AE29))</f>
        <v>-0.28962419121518851</v>
      </c>
      <c r="AM29" s="634">
        <f>IF(M29="","",AF29)</f>
        <v>-0.15740022531795797</v>
      </c>
      <c r="AN29" s="581">
        <f>IF(M29="","",DEGREES(ATAN2(-AM29,AL29)))</f>
        <v>-61.477526855728641</v>
      </c>
      <c r="AO29" s="582">
        <f t="shared" si="94"/>
        <v>19.246417688301552</v>
      </c>
      <c r="AP29" s="585">
        <f>IF(M29="","",DEGREES(ATAN2(AK29,AL29)))</f>
        <v>-17.054424665629586</v>
      </c>
      <c r="AQ29" s="586">
        <f t="shared" si="9"/>
        <v>0.60541639964985894</v>
      </c>
      <c r="AS29" s="52">
        <f t="shared" si="116"/>
        <v>-181.72002574044356</v>
      </c>
      <c r="AT29" s="72">
        <f t="shared" si="10"/>
        <v>-0.49331960670744168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4.1210000000000004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-0.23205415333849147</v>
      </c>
      <c r="C30" s="708">
        <v>-4.0740087961358649</v>
      </c>
      <c r="D30" s="709">
        <v>-1.3008036216237229</v>
      </c>
      <c r="E30" s="710">
        <v>0.83949160422247693</v>
      </c>
      <c r="F30" s="708">
        <v>-0.52954051239868127</v>
      </c>
      <c r="G30" s="711">
        <v>0.12182237958813016</v>
      </c>
      <c r="H30" s="710">
        <v>0.314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4.1269999999999998</v>
      </c>
      <c r="N30" s="632">
        <f t="shared" si="2"/>
        <v>-0.23205415333849147</v>
      </c>
      <c r="O30" s="629">
        <f t="shared" si="3"/>
        <v>-4.0740087961358649</v>
      </c>
      <c r="P30" s="633">
        <f t="shared" si="4"/>
        <v>-1.3008036216237229</v>
      </c>
      <c r="Q30" s="585">
        <f t="shared" si="113"/>
        <v>266.73997448190494</v>
      </c>
      <c r="R30" s="629">
        <f>IF(M30="","",SQRT(N30^2+O30^2))</f>
        <v>4.0806123071267191</v>
      </c>
      <c r="S30" s="634">
        <f>IF(M30="","",P30)</f>
        <v>-1.3008036216237229</v>
      </c>
      <c r="T30" s="635">
        <f>IF(M30="","",X30*COS(RADIANS(W30)))</f>
        <v>-4.0774100603455699</v>
      </c>
      <c r="U30" s="629">
        <f>IF(M30="","",X30*SIN(RADIANS(W30)))</f>
        <v>0.16162920796309996</v>
      </c>
      <c r="V30" s="636">
        <f>IF(M30="","",Y30)</f>
        <v>-1.3008036216237229</v>
      </c>
      <c r="W30" s="585">
        <f t="shared" si="224"/>
        <v>177.72997433896663</v>
      </c>
      <c r="X30" s="629">
        <f>IF(M30="","",R30)</f>
        <v>4.0806123071267191</v>
      </c>
      <c r="Y30" s="630">
        <f t="shared" si="223"/>
        <v>-1.3008036216237229</v>
      </c>
      <c r="Z30" s="632">
        <f t="shared" si="6"/>
        <v>-0.83949160422247693</v>
      </c>
      <c r="AA30" s="629">
        <f t="shared" si="7"/>
        <v>0.52954051239868127</v>
      </c>
      <c r="AB30" s="629">
        <f t="shared" si="8"/>
        <v>-0.12182237958813016</v>
      </c>
      <c r="AC30" s="636">
        <f>IF(M30="","",SQRT(Z30^2+AA30^2+AB30^2))</f>
        <v>1</v>
      </c>
      <c r="AD30" s="637">
        <f>IF(M30="","",Z30*(1/SQRT(Z30^2+AA30^2+AB30^2)))</f>
        <v>-0.83949160422247693</v>
      </c>
      <c r="AE30" s="629">
        <f>IF(M30="","",AA30*(1/SQRT(Z30^2+AA30^2+AB30^2)))</f>
        <v>0.52954051239868127</v>
      </c>
      <c r="AF30" s="633">
        <f>IF(M30="","",AB30*(1/SQRT(Z30^2+AA30^2+AB30^2)))</f>
        <v>-0.12182237958813016</v>
      </c>
      <c r="AG30" s="602">
        <f>IF(M30="","",DEGREES(ATAN2(-AF30,AE30)))</f>
        <v>77.044351814834201</v>
      </c>
      <c r="AH30" s="603">
        <f>IF(M30="","",DEGREES(ACOS(AD30)))</f>
        <v>147.08647315986764</v>
      </c>
      <c r="AI30" s="585">
        <f>IF(M30="","",DEGREES(-ACOS(-AF30)))</f>
        <v>-83.002711028283187</v>
      </c>
      <c r="AJ30" s="586">
        <f>IF(M30="","",DEGREES(ATAN2(-AE30,AD30)))</f>
        <v>-122.24320210612963</v>
      </c>
      <c r="AK30" s="635">
        <f>IF(M30="","",(COS(RADIANS((90-$Q$8)-W30))*AD30)+(-SIN(RADIANS((90-$Q$8)-W30))*AE30))</f>
        <v>0.86824672095409172</v>
      </c>
      <c r="AL30" s="629">
        <f>IF(M30="","",(SIN(RADIANS((90-$Q$8)-W30))*AD30)+(COS(RADIANS((90-$Q$8)-W30))*AE30))</f>
        <v>-0.48094380065029768</v>
      </c>
      <c r="AM30" s="634">
        <f>IF(M30="","",AF30)</f>
        <v>-0.12182237958813016</v>
      </c>
      <c r="AN30" s="581">
        <f>IF(M30="","",DEGREES(ATAN2(-AM30,AL30)))</f>
        <v>-75.786017919547703</v>
      </c>
      <c r="AO30" s="582">
        <f>IF(ROUND(IF(M30="",0,DEGREES(ACOS(AK30))),4)=90,0,IF(M30="","",DEGREES(ACOS(AK30))))</f>
        <v>29.74446799915016</v>
      </c>
      <c r="AP30" s="585">
        <f>IF(M30="","",DEGREES(ATAN2(AK30,AL30)))</f>
        <v>-28.983176588034574</v>
      </c>
      <c r="AQ30" s="586">
        <f t="shared" si="9"/>
        <v>0.55865498008983616</v>
      </c>
      <c r="AS30" s="52">
        <f t="shared" si="116"/>
        <v>-182.27002566103337</v>
      </c>
      <c r="AT30" s="72">
        <f t="shared" si="10"/>
        <v>-1.1735397150139346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-0.24048643554149229</v>
      </c>
      <c r="C31" s="708">
        <v>-4.1207009521976063</v>
      </c>
      <c r="D31" s="709">
        <v>-2.0354058371840051</v>
      </c>
      <c r="E31" s="710">
        <v>0.81913363885046298</v>
      </c>
      <c r="F31" s="708">
        <v>-0.57220540911680129</v>
      </c>
      <c r="G31" s="711">
        <v>4.0013141354728395E-2</v>
      </c>
      <c r="H31" s="710">
        <v>0.314</v>
      </c>
      <c r="I31" s="708">
        <v>0.52</v>
      </c>
      <c r="J31" s="570">
        <v>4.133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4.133</v>
      </c>
      <c r="N31" s="632">
        <f t="shared" si="2"/>
        <v>-0.24048643554149229</v>
      </c>
      <c r="O31" s="629">
        <f t="shared" si="3"/>
        <v>-4.1207009521976063</v>
      </c>
      <c r="P31" s="633">
        <f t="shared" si="4"/>
        <v>-2.0354058371840051</v>
      </c>
      <c r="Q31" s="585">
        <f t="shared" si="113"/>
        <v>266.65997449345548</v>
      </c>
      <c r="R31" s="629">
        <f>IF(M31="","",SQRT(N31^2+O31^2))</f>
        <v>4.1277124491807458</v>
      </c>
      <c r="S31" s="634">
        <f>IF(M31="","",P31)</f>
        <v>-2.0354058371840051</v>
      </c>
      <c r="T31" s="635">
        <f>IF(M31="","",X31*COS(RADIANS(W31)))</f>
        <v>-4.1242409385881658</v>
      </c>
      <c r="U31" s="629">
        <f>IF(M31="","",X31*SIN(RADIANS(W31)))</f>
        <v>0.16925348916674515</v>
      </c>
      <c r="V31" s="636">
        <f>IF(M31="","",Y31)</f>
        <v>-2.0354058371840051</v>
      </c>
      <c r="W31" s="585">
        <f t="shared" si="224"/>
        <v>177.64997435051717</v>
      </c>
      <c r="X31" s="629">
        <f>IF(M31="","",R31)</f>
        <v>4.1277124491807458</v>
      </c>
      <c r="Y31" s="630">
        <f t="shared" si="223"/>
        <v>-2.0354058371840051</v>
      </c>
      <c r="Z31" s="632">
        <f t="shared" si="6"/>
        <v>-0.81913363885046298</v>
      </c>
      <c r="AA31" s="629">
        <f t="shared" si="7"/>
        <v>0.57220540911680129</v>
      </c>
      <c r="AB31" s="629">
        <f t="shared" si="8"/>
        <v>-4.0013141354728395E-2</v>
      </c>
      <c r="AC31" s="636">
        <f>IF(M31="","",SQRT(Z31^2+AA31^2+AB31^2))</f>
        <v>1</v>
      </c>
      <c r="AD31" s="637">
        <f>IF(M31="","",Z31*(1/SQRT(Z31^2+AA31^2+AB31^2)))</f>
        <v>-0.81913363885046298</v>
      </c>
      <c r="AE31" s="629">
        <f>IF(M31="","",AA31*(1/SQRT(Z31^2+AA31^2+AB31^2)))</f>
        <v>0.57220540911680129</v>
      </c>
      <c r="AF31" s="633">
        <f>IF(M31="","",AB31*(1/SQRT(Z31^2+AA31^2+AB31^2)))</f>
        <v>-4.0013141354728395E-2</v>
      </c>
      <c r="AG31" s="602">
        <f>IF(M31="","",DEGREES(ATAN2(-AF31,AE31)))</f>
        <v>85.999936096316603</v>
      </c>
      <c r="AH31" s="603">
        <f>IF(M31="","",DEGREES(ACOS(AD31)))</f>
        <v>144.99816148342515</v>
      </c>
      <c r="AI31" s="585">
        <f>IF(M31="","",DEGREES(-ACOS(-AF31)))</f>
        <v>-87.70680367660357</v>
      </c>
      <c r="AJ31" s="586">
        <f>IF(M31="","",DEGREES(ATAN2(-AE31,AD31)))</f>
        <v>-124.93620603455393</v>
      </c>
      <c r="AK31" s="635">
        <f>IF(M31="","",(COS(RADIANS((90-$Q$8)-W31))*AD31)+(-SIN(RADIANS((90-$Q$8)-W31))*AE31))</f>
        <v>0.85107973195213826</v>
      </c>
      <c r="AL31" s="629">
        <f>IF(M31="","",(SIN(RADIANS((90-$Q$8)-W31))*AD31)+(COS(RADIANS((90-$Q$8)-W31))*AE31))</f>
        <v>-0.5235095399123143</v>
      </c>
      <c r="AM31" s="634">
        <f>IF(M31="","",AF31)</f>
        <v>-4.0013141354728395E-2</v>
      </c>
      <c r="AN31" s="581">
        <f>IF(M31="","",DEGREES(ATAN2(-AM31,AL31)))</f>
        <v>-85.629238506363862</v>
      </c>
      <c r="AO31" s="582">
        <f t="shared" si="94"/>
        <v>31.670698109673438</v>
      </c>
      <c r="AP31" s="585">
        <f>IF(M31="","",DEGREES(ATAN2(AK31,AL31)))</f>
        <v>-31.596180528009413</v>
      </c>
      <c r="AQ31" s="586">
        <f t="shared" si="9"/>
        <v>0.55228072558086194</v>
      </c>
      <c r="AS31" s="52">
        <f t="shared" si="116"/>
        <v>-182.35002564948283</v>
      </c>
      <c r="AT31" s="72">
        <f t="shared" si="10"/>
        <v>-1.9080863750266825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-0.51190924946756355</v>
      </c>
      <c r="C32" s="708">
        <v>-0.29555073658362807</v>
      </c>
      <c r="D32" s="709">
        <v>-0.57970174838047317</v>
      </c>
      <c r="E32" s="710">
        <v>0.54097536073219543</v>
      </c>
      <c r="F32" s="708">
        <v>-0.80302283619345605</v>
      </c>
      <c r="G32" s="711">
        <v>0.24999996726497564</v>
      </c>
      <c r="H32" s="710">
        <v>0.314</v>
      </c>
      <c r="I32" s="708">
        <v>0.52</v>
      </c>
      <c r="J32" s="570">
        <v>5.1020000000000003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5.1020000000000003</v>
      </c>
      <c r="N32" s="632">
        <f t="shared" si="2"/>
        <v>-0.51190924946756355</v>
      </c>
      <c r="O32" s="629">
        <f t="shared" si="3"/>
        <v>-0.29555073658362807</v>
      </c>
      <c r="P32" s="633">
        <f t="shared" si="4"/>
        <v>-0.57970174838047317</v>
      </c>
      <c r="Q32" s="585">
        <f t="shared" si="113"/>
        <v>209.99998267414614</v>
      </c>
      <c r="R32" s="629">
        <f t="shared" si="79"/>
        <v>0.59110178276297676</v>
      </c>
      <c r="S32" s="634">
        <f t="shared" si="80"/>
        <v>-0.57970174838047317</v>
      </c>
      <c r="T32" s="635">
        <f t="shared" si="81"/>
        <v>-0.30435133399729419</v>
      </c>
      <c r="U32" s="629">
        <f t="shared" si="82"/>
        <v>0.50672633943740952</v>
      </c>
      <c r="V32" s="636">
        <f t="shared" si="114"/>
        <v>-0.57970174838047317</v>
      </c>
      <c r="W32" s="585">
        <f t="shared" si="224"/>
        <v>120.98998253120783</v>
      </c>
      <c r="X32" s="629">
        <f t="shared" si="83"/>
        <v>0.59110178276297676</v>
      </c>
      <c r="Y32" s="630">
        <f t="shared" si="223"/>
        <v>-0.57970174838047317</v>
      </c>
      <c r="Z32" s="632">
        <f t="shared" si="6"/>
        <v>-0.54097536073219543</v>
      </c>
      <c r="AA32" s="629">
        <f t="shared" si="7"/>
        <v>0.80302283619345605</v>
      </c>
      <c r="AB32" s="629">
        <f t="shared" si="8"/>
        <v>-0.24999996726497564</v>
      </c>
      <c r="AC32" s="636">
        <f t="shared" si="84"/>
        <v>1</v>
      </c>
      <c r="AD32" s="637">
        <f t="shared" si="115"/>
        <v>-0.54097536073219543</v>
      </c>
      <c r="AE32" s="629">
        <f t="shared" si="85"/>
        <v>0.80302283619345605</v>
      </c>
      <c r="AF32" s="633">
        <f t="shared" si="86"/>
        <v>-0.24999996726497564</v>
      </c>
      <c r="AG32" s="602">
        <f t="shared" si="87"/>
        <v>72.707401525173722</v>
      </c>
      <c r="AH32" s="603">
        <f t="shared" si="88"/>
        <v>122.7500605879534</v>
      </c>
      <c r="AI32" s="585">
        <f t="shared" si="89"/>
        <v>-75.522489751159469</v>
      </c>
      <c r="AJ32" s="586">
        <f t="shared" si="90"/>
        <v>-146.03288768076729</v>
      </c>
      <c r="AK32" s="635">
        <f t="shared" si="211"/>
        <v>0.96592583607220739</v>
      </c>
      <c r="AL32" s="629">
        <f t="shared" si="91"/>
        <v>6.698727920820724E-2</v>
      </c>
      <c r="AM32" s="634">
        <f t="shared" si="92"/>
        <v>-0.24999996726497564</v>
      </c>
      <c r="AN32" s="581">
        <f t="shared" si="93"/>
        <v>14.999997834268278</v>
      </c>
      <c r="AO32" s="582">
        <f t="shared" si="94"/>
        <v>14.999997834268255</v>
      </c>
      <c r="AP32" s="585">
        <f t="shared" si="95"/>
        <v>3.9671296450865734</v>
      </c>
      <c r="AQ32" s="586">
        <f t="shared" si="9"/>
        <v>3.8509320531786853</v>
      </c>
      <c r="AS32" s="52">
        <f t="shared" si="116"/>
        <v>-239.01001746879217</v>
      </c>
      <c r="AT32" s="72">
        <f t="shared" si="10"/>
        <v>-0.41303506968196357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-1.1545021493236494</v>
      </c>
      <c r="C33" s="708">
        <v>-0.66655166120729936</v>
      </c>
      <c r="D33" s="709">
        <v>-0.38090114879786469</v>
      </c>
      <c r="E33" s="710">
        <v>0.54097536073219565</v>
      </c>
      <c r="F33" s="708">
        <v>-0.80302283619345605</v>
      </c>
      <c r="G33" s="711">
        <v>0.24999996726497559</v>
      </c>
      <c r="H33" s="710">
        <v>0.314</v>
      </c>
      <c r="I33" s="708">
        <v>0.52</v>
      </c>
      <c r="J33" s="570">
        <v>5.1050000000000004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5.1050000000000004</v>
      </c>
      <c r="N33" s="632">
        <f t="shared" si="2"/>
        <v>-1.1545021493236494</v>
      </c>
      <c r="O33" s="629">
        <f t="shared" si="3"/>
        <v>-0.66655166120729936</v>
      </c>
      <c r="P33" s="633">
        <f t="shared" si="4"/>
        <v>-0.38090114879786469</v>
      </c>
      <c r="Q33" s="585">
        <f t="shared" si="113"/>
        <v>209.99998267414614</v>
      </c>
      <c r="R33" s="629">
        <f t="shared" si="79"/>
        <v>1.3331040206417264</v>
      </c>
      <c r="S33" s="634">
        <f t="shared" si="80"/>
        <v>-0.38090114879786469</v>
      </c>
      <c r="T33" s="635">
        <f t="shared" si="81"/>
        <v>-0.68639953197731851</v>
      </c>
      <c r="U33" s="629">
        <f t="shared" si="82"/>
        <v>1.1428132009880068</v>
      </c>
      <c r="V33" s="636">
        <f t="shared" si="114"/>
        <v>-0.38090114879786469</v>
      </c>
      <c r="W33" s="585">
        <f t="shared" si="224"/>
        <v>120.98998253120783</v>
      </c>
      <c r="X33" s="629">
        <f t="shared" si="83"/>
        <v>1.3331040206417264</v>
      </c>
      <c r="Y33" s="630">
        <f t="shared" si="223"/>
        <v>-0.38090114879786469</v>
      </c>
      <c r="Z33" s="632">
        <f t="shared" si="6"/>
        <v>-0.54097536073219565</v>
      </c>
      <c r="AA33" s="629">
        <f t="shared" si="7"/>
        <v>0.80302283619345605</v>
      </c>
      <c r="AB33" s="629">
        <f t="shared" si="8"/>
        <v>-0.24999996726497559</v>
      </c>
      <c r="AC33" s="636">
        <f t="shared" si="84"/>
        <v>1</v>
      </c>
      <c r="AD33" s="637">
        <f t="shared" si="115"/>
        <v>-0.54097536073219565</v>
      </c>
      <c r="AE33" s="629">
        <f t="shared" si="85"/>
        <v>0.80302283619345605</v>
      </c>
      <c r="AF33" s="633">
        <f t="shared" si="86"/>
        <v>-0.24999996726497559</v>
      </c>
      <c r="AG33" s="602">
        <f t="shared" si="87"/>
        <v>72.707401525173722</v>
      </c>
      <c r="AH33" s="603">
        <f t="shared" si="88"/>
        <v>122.7500605879534</v>
      </c>
      <c r="AI33" s="585">
        <f t="shared" si="89"/>
        <v>-75.522489751159469</v>
      </c>
      <c r="AJ33" s="586">
        <f t="shared" si="90"/>
        <v>-146.03288768076726</v>
      </c>
      <c r="AK33" s="635">
        <f t="shared" si="211"/>
        <v>0.9659258360722075</v>
      </c>
      <c r="AL33" s="629">
        <f t="shared" si="91"/>
        <v>6.6987279208207406E-2</v>
      </c>
      <c r="AM33" s="634">
        <f t="shared" si="92"/>
        <v>-0.24999996726497559</v>
      </c>
      <c r="AN33" s="581">
        <f t="shared" si="93"/>
        <v>14.999997834268315</v>
      </c>
      <c r="AO33" s="582">
        <f t="shared" si="94"/>
        <v>14.99999783426823</v>
      </c>
      <c r="AP33" s="585">
        <f t="shared" si="95"/>
        <v>3.9671296450865832</v>
      </c>
      <c r="AQ33" s="586">
        <f t="shared" si="9"/>
        <v>1.7095815575768458</v>
      </c>
      <c r="AS33" s="52">
        <f t="shared" si="116"/>
        <v>-239.01001746879217</v>
      </c>
      <c r="AT33" s="72">
        <f t="shared" si="10"/>
        <v>-0.21423447009935506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-1.831697689800893</v>
      </c>
      <c r="C34" s="708">
        <v>-1.0443575250830552</v>
      </c>
      <c r="D34" s="709">
        <v>-0.17310052207117457</v>
      </c>
      <c r="E34" s="710">
        <v>0.50206475957904673</v>
      </c>
      <c r="F34" s="708">
        <v>-0.82472224974364428</v>
      </c>
      <c r="G34" s="711">
        <v>0.26031555459982847</v>
      </c>
      <c r="H34" s="710">
        <v>0.314</v>
      </c>
      <c r="I34" s="708">
        <v>0.52</v>
      </c>
      <c r="J34" s="570">
        <v>5.1079999999999997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5.1079999999999997</v>
      </c>
      <c r="N34" s="632">
        <f t="shared" si="2"/>
        <v>-1.831697689800893</v>
      </c>
      <c r="O34" s="629">
        <f t="shared" si="3"/>
        <v>-1.0443575250830552</v>
      </c>
      <c r="P34" s="633">
        <f t="shared" si="4"/>
        <v>-0.17310052207117457</v>
      </c>
      <c r="Q34" s="585">
        <f t="shared" si="113"/>
        <v>209.68998271890462</v>
      </c>
      <c r="R34" s="629">
        <f>IF(M34="","",SQRT(N34^2+O34^2))</f>
        <v>2.1085063592551796</v>
      </c>
      <c r="S34" s="634">
        <f>IF(M34="","",P34)</f>
        <v>-0.17310052207117457</v>
      </c>
      <c r="T34" s="635">
        <f>IF(M34="","",X34*COS(RADIANS(W34)))</f>
        <v>-1.0758495142810334</v>
      </c>
      <c r="U34" s="629">
        <f>IF(M34="","",X34*SIN(RADIANS(W34)))</f>
        <v>1.8133799628430873</v>
      </c>
      <c r="V34" s="636">
        <f>IF(M34="","",Y34)</f>
        <v>-0.17310052207117457</v>
      </c>
      <c r="W34" s="585">
        <f t="shared" si="224"/>
        <v>120.67998257596631</v>
      </c>
      <c r="X34" s="629">
        <f>IF(M34="","",R34)</f>
        <v>2.1085063592551796</v>
      </c>
      <c r="Y34" s="630">
        <f t="shared" si="223"/>
        <v>-0.17310052207117457</v>
      </c>
      <c r="Z34" s="632">
        <f t="shared" si="6"/>
        <v>-0.50206475957904673</v>
      </c>
      <c r="AA34" s="629">
        <f t="shared" si="7"/>
        <v>0.82472224974364428</v>
      </c>
      <c r="AB34" s="629">
        <f t="shared" si="8"/>
        <v>-0.26031555459982847</v>
      </c>
      <c r="AC34" s="636">
        <f>IF(M34="","",SQRT(Z34^2+AA34^2+AB34^2))</f>
        <v>1</v>
      </c>
      <c r="AD34" s="637">
        <f>IF(M34="","",Z34*(1/SQRT(Z34^2+AA34^2+AB34^2)))</f>
        <v>-0.50206475957904673</v>
      </c>
      <c r="AE34" s="629">
        <f>IF(M34="","",AA34*(1/SQRT(Z34^2+AA34^2+AB34^2)))</f>
        <v>0.82472224974364428</v>
      </c>
      <c r="AF34" s="633">
        <f>IF(M34="","",AB34*(1/SQRT(Z34^2+AA34^2+AB34^2)))</f>
        <v>-0.26031555459982847</v>
      </c>
      <c r="AG34" s="602">
        <f>IF(M34="","",DEGREES(ATAN2(-AF34,AE34)))</f>
        <v>72.482205435785787</v>
      </c>
      <c r="AH34" s="603">
        <f>IF(M34="","",DEGREES(ACOS(AD34)))</f>
        <v>120.13669767134286</v>
      </c>
      <c r="AI34" s="585">
        <f>IF(M34="","",DEGREES(-ACOS(-AF34)))</f>
        <v>-74.911213143761984</v>
      </c>
      <c r="AJ34" s="586">
        <f>IF(M34="","",DEGREES(ATAN2(-AE34,AD34)))</f>
        <v>-148.66827022352129</v>
      </c>
      <c r="AK34" s="635">
        <f>IF(M34="","",(COS(RADIANS((90-$Q$8)-W34))*AD34)+(-SIN(RADIANS((90-$Q$8)-W34))*AE34))</f>
        <v>0.96512725247225106</v>
      </c>
      <c r="AL34" s="629">
        <f>IF(M34="","",(SIN(RADIANS((90-$Q$8)-W34))*AD34)+(COS(RADIANS((90-$Q$8)-W34))*AE34))</f>
        <v>2.7662222773082945E-2</v>
      </c>
      <c r="AM34" s="634">
        <f>IF(M34="","",AF34)</f>
        <v>-0.26031555459982847</v>
      </c>
      <c r="AN34" s="581">
        <f>IF(M34="","",DEGREES(ATAN2(-AM34,AL34)))</f>
        <v>6.0657266608408005</v>
      </c>
      <c r="AO34" s="582">
        <f t="shared" si="94"/>
        <v>15.17577738611746</v>
      </c>
      <c r="AP34" s="585">
        <f>IF(M34="","",DEGREES(ATAN2(AK34,AL34)))</f>
        <v>1.6417470575741098</v>
      </c>
      <c r="AQ34" s="586">
        <f t="shared" si="9"/>
        <v>1.0810762211586891</v>
      </c>
      <c r="AS34" s="52">
        <f t="shared" si="116"/>
        <v>-239.32001742403369</v>
      </c>
      <c r="AT34" s="72">
        <f t="shared" si="10"/>
        <v>-6.2185656259694522E-3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-2.5940254366369828</v>
      </c>
      <c r="C35" s="708">
        <v>-1.41489495679495</v>
      </c>
      <c r="D35" s="709">
        <v>-6.3800192421380172E-2</v>
      </c>
      <c r="E35" s="710">
        <v>0.34626459945337507</v>
      </c>
      <c r="F35" s="708">
        <v>-0.90574931043262719</v>
      </c>
      <c r="G35" s="711">
        <v>0.24437474054454578</v>
      </c>
      <c r="H35" s="710">
        <v>0.314</v>
      </c>
      <c r="I35" s="708">
        <v>0.52</v>
      </c>
      <c r="J35" s="570">
        <v>5.1139999999999999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5.1139999999999999</v>
      </c>
      <c r="N35" s="632">
        <f t="shared" si="2"/>
        <v>-2.5940254366369828</v>
      </c>
      <c r="O35" s="629">
        <f t="shared" si="3"/>
        <v>-1.41489495679495</v>
      </c>
      <c r="P35" s="633">
        <f t="shared" si="4"/>
        <v>-6.3800192421380172E-2</v>
      </c>
      <c r="Q35" s="585">
        <f t="shared" si="113"/>
        <v>208.6099828748373</v>
      </c>
      <c r="R35" s="629">
        <f>IF(M35="","",SQRT(N35^2+O35^2))</f>
        <v>2.9548089117036778</v>
      </c>
      <c r="S35" s="634">
        <f>IF(M35="","",P35)</f>
        <v>-6.3800192421380172E-2</v>
      </c>
      <c r="T35" s="635">
        <f>IF(M35="","",X35*COS(RADIANS(W35)))</f>
        <v>-1.4595030549302674</v>
      </c>
      <c r="U35" s="629">
        <f>IF(M35="","",X35*SIN(RADIANS(W35)))</f>
        <v>2.5691918062559456</v>
      </c>
      <c r="V35" s="636">
        <f>IF(M35="","",Y35)</f>
        <v>-6.3800192421380172E-2</v>
      </c>
      <c r="W35" s="585">
        <f t="shared" si="224"/>
        <v>119.59998273189899</v>
      </c>
      <c r="X35" s="629">
        <f>IF(M35="","",R35)</f>
        <v>2.9548089117036778</v>
      </c>
      <c r="Y35" s="630">
        <f t="shared" si="223"/>
        <v>-6.3800192421380172E-2</v>
      </c>
      <c r="Z35" s="632">
        <f t="shared" si="6"/>
        <v>-0.34626459945337507</v>
      </c>
      <c r="AA35" s="629">
        <f t="shared" si="7"/>
        <v>0.90574931043262719</v>
      </c>
      <c r="AB35" s="629">
        <f t="shared" si="8"/>
        <v>-0.24437474054454578</v>
      </c>
      <c r="AC35" s="636">
        <f>IF(M35="","",SQRT(Z35^2+AA35^2+AB35^2))</f>
        <v>1</v>
      </c>
      <c r="AD35" s="637">
        <f>IF(M35="","",Z35*(1/SQRT(Z35^2+AA35^2+AB35^2)))</f>
        <v>-0.34626459945337507</v>
      </c>
      <c r="AE35" s="629">
        <f>IF(M35="","",AA35*(1/SQRT(Z35^2+AA35^2+AB35^2)))</f>
        <v>0.90574931043262719</v>
      </c>
      <c r="AF35" s="633">
        <f>IF(M35="","",AB35*(1/SQRT(Z35^2+AA35^2+AB35^2)))</f>
        <v>-0.24437474054454578</v>
      </c>
      <c r="AG35" s="602">
        <f>IF(M35="","",DEGREES(ATAN2(-AF35,AE35)))</f>
        <v>74.900895063624176</v>
      </c>
      <c r="AH35" s="603">
        <f>IF(M35="","",DEGREES(ACOS(AD35)))</f>
        <v>110.25901074267973</v>
      </c>
      <c r="AI35" s="585">
        <f>IF(M35="","",DEGREES(-ACOS(-AF35)))</f>
        <v>-75.855114140395827</v>
      </c>
      <c r="AJ35" s="586">
        <f>IF(M35="","",DEGREES(ATAN2(-AE35,AD35)))</f>
        <v>-159.07833026799017</v>
      </c>
      <c r="AK35" s="635">
        <f>IF(M35="","",(COS(RADIANS((90-$Q$8)-W35))*AD35)+(-SIN(RADIANS((90-$Q$8)-W35))*AE35))</f>
        <v>0.96096393059971952</v>
      </c>
      <c r="AL35" s="629">
        <f>IF(M35="","",(SIN(RADIANS((90-$Q$8)-W35))*AD35)+(COS(RADIANS((90-$Q$8)-W35))*AE35))</f>
        <v>-0.12972783151707851</v>
      </c>
      <c r="AM35" s="634">
        <f>IF(M35="","",AF35)</f>
        <v>-0.24437474054454578</v>
      </c>
      <c r="AN35" s="581">
        <f>IF(M35="","",DEGREES(ATAN2(-AM35,AL35)))</f>
        <v>-27.961872047508773</v>
      </c>
      <c r="AO35" s="582">
        <f t="shared" si="94"/>
        <v>16.061779303653729</v>
      </c>
      <c r="AP35" s="585">
        <f>IF(M35="","",DEGREES(ATAN2(AK35,AL35)))</f>
        <v>-7.6883131428274689</v>
      </c>
      <c r="AQ35" s="586">
        <f t="shared" si="9"/>
        <v>0.77148435766240819</v>
      </c>
      <c r="AS35" s="52">
        <f t="shared" si="116"/>
        <v>-240.40001726810101</v>
      </c>
      <c r="AT35" s="72">
        <f t="shared" si="10"/>
        <v>0.10383176391553837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-3.2618759466616187</v>
      </c>
      <c r="C36" s="708">
        <v>-1.6944076534077199</v>
      </c>
      <c r="D36" s="709">
        <v>-0.42520128240706806</v>
      </c>
      <c r="E36" s="710">
        <v>0.20236730796140415</v>
      </c>
      <c r="F36" s="708">
        <v>-0.9653736231628165</v>
      </c>
      <c r="G36" s="711">
        <v>0.16462454364386475</v>
      </c>
      <c r="H36" s="710">
        <v>0.314</v>
      </c>
      <c r="I36" s="708">
        <v>0.52</v>
      </c>
      <c r="J36" s="570">
        <v>5.12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</v>
      </c>
      <c r="N36" s="632">
        <f t="shared" si="2"/>
        <v>-3.2618759466616187</v>
      </c>
      <c r="O36" s="629">
        <f t="shared" si="3"/>
        <v>-1.6944076534077199</v>
      </c>
      <c r="P36" s="633">
        <f t="shared" si="4"/>
        <v>-0.42520128240706806</v>
      </c>
      <c r="Q36" s="585">
        <f t="shared" si="113"/>
        <v>207.44998304232055</v>
      </c>
      <c r="R36" s="629">
        <f>IF(M36="","",SQRT(N36^2+O36^2))</f>
        <v>3.6757110859446351</v>
      </c>
      <c r="S36" s="634">
        <f>IF(M36="","",P36)</f>
        <v>-0.42520128240706806</v>
      </c>
      <c r="T36" s="635">
        <f>IF(M36="","",X36*COS(RADIANS(W36)))</f>
        <v>-1.7505130801094304</v>
      </c>
      <c r="U36" s="629">
        <f>IF(M36="","",X36*SIN(RADIANS(W36)))</f>
        <v>3.2321132318812849</v>
      </c>
      <c r="V36" s="636">
        <f>IF(M36="","",Y36)</f>
        <v>-0.42520128240706806</v>
      </c>
      <c r="W36" s="585">
        <f t="shared" si="224"/>
        <v>118.43998289938224</v>
      </c>
      <c r="X36" s="629">
        <f>IF(M36="","",R36)</f>
        <v>3.6757110859446351</v>
      </c>
      <c r="Y36" s="630">
        <f t="shared" si="223"/>
        <v>-0.42520128240706806</v>
      </c>
      <c r="Z36" s="632">
        <f t="shared" si="6"/>
        <v>-0.20236730796140415</v>
      </c>
      <c r="AA36" s="629">
        <f t="shared" si="7"/>
        <v>0.9653736231628165</v>
      </c>
      <c r="AB36" s="629">
        <f t="shared" si="8"/>
        <v>-0.16462454364386475</v>
      </c>
      <c r="AC36" s="636">
        <f>IF(M36="","",SQRT(Z36^2+AA36^2+AB36^2))</f>
        <v>1</v>
      </c>
      <c r="AD36" s="637">
        <f>IF(M36="","",Z36*(1/SQRT(Z36^2+AA36^2+AB36^2)))</f>
        <v>-0.20236730796140415</v>
      </c>
      <c r="AE36" s="629">
        <f>IF(M36="","",AA36*(1/SQRT(Z36^2+AA36^2+AB36^2)))</f>
        <v>0.9653736231628165</v>
      </c>
      <c r="AF36" s="633">
        <f>IF(M36="","",AB36*(1/SQRT(Z36^2+AA36^2+AB36^2)))</f>
        <v>-0.16462454364386475</v>
      </c>
      <c r="AG36" s="602">
        <f>IF(M36="","",DEGREES(ATAN2(-AF36,AE36)))</f>
        <v>80.322479232684728</v>
      </c>
      <c r="AH36" s="603">
        <f>IF(M36="","",DEGREES(ACOS(AD36)))</f>
        <v>101.67542700487385</v>
      </c>
      <c r="AI36" s="585">
        <f>IF(M36="","",DEGREES(-ACOS(-AF36)))</f>
        <v>-80.524575853374841</v>
      </c>
      <c r="AJ36" s="586">
        <f>IF(M36="","",DEGREES(ATAN2(-AE36,AD36)))</f>
        <v>-168.16075182118135</v>
      </c>
      <c r="AK36" s="635">
        <f>IF(M36="","",(COS(RADIANS((90-$Q$8)-W36))*AD36)+(-SIN(RADIANS((90-$Q$8)-W36))*AE36))</f>
        <v>0.94997175640324094</v>
      </c>
      <c r="AL36" s="629">
        <f>IF(M36="","",(SIN(RADIANS((90-$Q$8)-W36))*AD36)+(COS(RADIANS((90-$Q$8)-W36))*AE36))</f>
        <v>-0.26542875063977339</v>
      </c>
      <c r="AM36" s="634">
        <f>IF(M36="","",AF36)</f>
        <v>-0.16462454364386475</v>
      </c>
      <c r="AN36" s="581">
        <f>IF(M36="","",DEGREES(ATAN2(-AM36,AL36)))</f>
        <v>-58.191932496437396</v>
      </c>
      <c r="AO36" s="582">
        <f t="shared" si="94"/>
        <v>18.200054137997473</v>
      </c>
      <c r="AP36" s="585">
        <f>IF(M36="","",DEGREES(ATAN2(AK36,AL36)))</f>
        <v>-15.61073486350192</v>
      </c>
      <c r="AQ36" s="586">
        <f t="shared" si="9"/>
        <v>0.6201895475618705</v>
      </c>
      <c r="AS36" s="52">
        <f t="shared" si="116"/>
        <v>-241.56001710061776</v>
      </c>
      <c r="AT36" s="72">
        <f t="shared" si="10"/>
        <v>-0.25676377063090178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-3.6198552605518541</v>
      </c>
      <c r="C37" s="708">
        <v>-1.8277262082496437</v>
      </c>
      <c r="D37" s="709">
        <v>-1.0806032590994292</v>
      </c>
      <c r="E37" s="710">
        <v>-1.0562964023800303E-3</v>
      </c>
      <c r="F37" s="708">
        <v>-0.99098512019717677</v>
      </c>
      <c r="G37" s="711">
        <v>0.1339678162309795</v>
      </c>
      <c r="H37" s="710">
        <v>0.314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5.1260000000000003</v>
      </c>
      <c r="N37" s="632">
        <f t="shared" si="2"/>
        <v>-3.6198552605518541</v>
      </c>
      <c r="O37" s="629">
        <f t="shared" si="3"/>
        <v>-1.8277262082496437</v>
      </c>
      <c r="P37" s="633">
        <f t="shared" si="4"/>
        <v>-1.0806032590994292</v>
      </c>
      <c r="Q37" s="585">
        <f t="shared" si="113"/>
        <v>206.78998313761272</v>
      </c>
      <c r="R37" s="629">
        <f t="shared" si="79"/>
        <v>4.0551122302184872</v>
      </c>
      <c r="S37" s="634">
        <f t="shared" si="80"/>
        <v>-1.0806032590994292</v>
      </c>
      <c r="T37" s="635">
        <f t="shared" si="81"/>
        <v>-1.8899968637895737</v>
      </c>
      <c r="U37" s="629">
        <f t="shared" si="82"/>
        <v>3.5877356444606017</v>
      </c>
      <c r="V37" s="636">
        <f t="shared" si="114"/>
        <v>-1.0806032590994292</v>
      </c>
      <c r="W37" s="585">
        <f t="shared" si="224"/>
        <v>117.77998299467441</v>
      </c>
      <c r="X37" s="629">
        <f t="shared" si="83"/>
        <v>4.0551122302184872</v>
      </c>
      <c r="Y37" s="630">
        <f t="shared" si="223"/>
        <v>-1.0806032590994292</v>
      </c>
      <c r="Z37" s="632">
        <f t="shared" si="6"/>
        <v>1.0562964023800303E-3</v>
      </c>
      <c r="AA37" s="629">
        <f t="shared" si="7"/>
        <v>0.99098512019717677</v>
      </c>
      <c r="AB37" s="629">
        <f t="shared" si="8"/>
        <v>-0.1339678162309795</v>
      </c>
      <c r="AC37" s="636">
        <f t="shared" si="84"/>
        <v>1</v>
      </c>
      <c r="AD37" s="637">
        <f t="shared" si="115"/>
        <v>1.0562964023800303E-3</v>
      </c>
      <c r="AE37" s="629">
        <f t="shared" si="85"/>
        <v>0.99098512019717677</v>
      </c>
      <c r="AF37" s="633">
        <f t="shared" si="86"/>
        <v>-0.1339678162309795</v>
      </c>
      <c r="AG37" s="602">
        <f t="shared" si="87"/>
        <v>82.301057730763475</v>
      </c>
      <c r="AH37" s="603">
        <f t="shared" si="88"/>
        <v>89.939478662974196</v>
      </c>
      <c r="AI37" s="585">
        <f t="shared" si="89"/>
        <v>-82.301062051897148</v>
      </c>
      <c r="AJ37" s="586">
        <f t="shared" si="90"/>
        <v>179.93892814168726</v>
      </c>
      <c r="AK37" s="635">
        <f t="shared" si="211"/>
        <v>0.88414127065057313</v>
      </c>
      <c r="AL37" s="629">
        <f t="shared" si="91"/>
        <v>-0.44760120391559788</v>
      </c>
      <c r="AM37" s="634">
        <f t="shared" si="92"/>
        <v>-0.1339678162309795</v>
      </c>
      <c r="AN37" s="581">
        <f t="shared" si="93"/>
        <v>-73.337467151794385</v>
      </c>
      <c r="AO37" s="582">
        <f t="shared" si="94"/>
        <v>27.853969673994502</v>
      </c>
      <c r="AP37" s="585">
        <f t="shared" si="95"/>
        <v>-26.85105499592547</v>
      </c>
      <c r="AQ37" s="586">
        <f t="shared" si="9"/>
        <v>0.56216778879645157</v>
      </c>
      <c r="AS37" s="52">
        <f t="shared" si="116"/>
        <v>-242.22001700532559</v>
      </c>
      <c r="AT37" s="72">
        <f t="shared" si="10"/>
        <v>-0.91170741405610478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-3.6888746437438913</v>
      </c>
      <c r="C38" s="708">
        <v>-1.8520836713996194</v>
      </c>
      <c r="D38" s="709">
        <v>-1.8334055295510776</v>
      </c>
      <c r="E38" s="710">
        <v>-8.5977450537593259E-2</v>
      </c>
      <c r="F38" s="708">
        <v>-0.99549325789679877</v>
      </c>
      <c r="G38" s="711">
        <v>4.0013141354729075E-2</v>
      </c>
      <c r="H38" s="710">
        <v>0.314</v>
      </c>
      <c r="I38" s="708">
        <v>0.52</v>
      </c>
      <c r="J38" s="570">
        <v>5.1319999999999997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5.1319999999999997</v>
      </c>
      <c r="N38" s="632">
        <f t="shared" si="2"/>
        <v>-3.6888746437438913</v>
      </c>
      <c r="O38" s="629">
        <f t="shared" si="3"/>
        <v>-1.8520836713996194</v>
      </c>
      <c r="P38" s="633">
        <f t="shared" si="4"/>
        <v>-1.8334055295510776</v>
      </c>
      <c r="Q38" s="585">
        <f t="shared" si="113"/>
        <v>206.6599831563824</v>
      </c>
      <c r="R38" s="629">
        <f t="shared" si="79"/>
        <v>4.1277124491807458</v>
      </c>
      <c r="S38" s="634">
        <f t="shared" si="80"/>
        <v>-1.8334055295510776</v>
      </c>
      <c r="T38" s="635">
        <f t="shared" si="81"/>
        <v>-1.9155432008202802</v>
      </c>
      <c r="U38" s="629">
        <f t="shared" si="82"/>
        <v>3.656323879104928</v>
      </c>
      <c r="V38" s="636">
        <f t="shared" si="114"/>
        <v>-1.8334055295510776</v>
      </c>
      <c r="W38" s="585">
        <f t="shared" si="224"/>
        <v>117.64998301344409</v>
      </c>
      <c r="X38" s="629">
        <f t="shared" si="83"/>
        <v>4.1277124491807458</v>
      </c>
      <c r="Y38" s="630">
        <f t="shared" si="223"/>
        <v>-1.8334055295510776</v>
      </c>
      <c r="Z38" s="632">
        <f t="shared" si="6"/>
        <v>8.5977450537593259E-2</v>
      </c>
      <c r="AA38" s="629">
        <f t="shared" si="7"/>
        <v>0.99549325789679877</v>
      </c>
      <c r="AB38" s="629">
        <f t="shared" si="8"/>
        <v>-4.0013141354729075E-2</v>
      </c>
      <c r="AC38" s="636">
        <f t="shared" si="84"/>
        <v>1</v>
      </c>
      <c r="AD38" s="637">
        <f t="shared" si="115"/>
        <v>8.5977450537593259E-2</v>
      </c>
      <c r="AE38" s="629">
        <f t="shared" si="85"/>
        <v>0.99549325789679877</v>
      </c>
      <c r="AF38" s="633">
        <f t="shared" si="86"/>
        <v>-4.0013141354729075E-2</v>
      </c>
      <c r="AG38" s="602">
        <f t="shared" si="87"/>
        <v>87.69827602176025</v>
      </c>
      <c r="AH38" s="603">
        <f t="shared" si="88"/>
        <v>85.067765562130575</v>
      </c>
      <c r="AI38" s="585">
        <f t="shared" si="89"/>
        <v>-87.706803676603542</v>
      </c>
      <c r="AJ38" s="586">
        <f t="shared" si="90"/>
        <v>175.063802628373</v>
      </c>
      <c r="AK38" s="635">
        <f t="shared" si="211"/>
        <v>0.85107973195213837</v>
      </c>
      <c r="AL38" s="629">
        <f t="shared" si="91"/>
        <v>-0.52350953991231408</v>
      </c>
      <c r="AM38" s="634">
        <f t="shared" si="92"/>
        <v>-4.0013141354729075E-2</v>
      </c>
      <c r="AN38" s="581">
        <f t="shared" si="93"/>
        <v>-85.629238506363791</v>
      </c>
      <c r="AO38" s="582">
        <f t="shared" si="94"/>
        <v>31.670698109673427</v>
      </c>
      <c r="AP38" s="585">
        <f t="shared" si="95"/>
        <v>-31.596180528009402</v>
      </c>
      <c r="AQ38" s="586">
        <f t="shared" si="9"/>
        <v>0.55228072558086194</v>
      </c>
      <c r="AS38" s="52">
        <f t="shared" si="116"/>
        <v>-242.35001698655591</v>
      </c>
      <c r="AT38" s="72">
        <f t="shared" si="10"/>
        <v>-1.6644194067430098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-2.5271731466088503</v>
      </c>
      <c r="C39" s="708">
        <v>1.2429760337026499</v>
      </c>
      <c r="D39" s="709">
        <v>-0.14950014929245026</v>
      </c>
      <c r="E39" s="710">
        <v>-0.51728449476994121</v>
      </c>
      <c r="F39" s="708">
        <v>-0.81751591537908275</v>
      </c>
      <c r="G39" s="711">
        <v>0.25314912516638732</v>
      </c>
      <c r="H39" s="710">
        <v>0.314</v>
      </c>
      <c r="I39" s="708">
        <v>0.52</v>
      </c>
      <c r="J39" s="570">
        <v>6.1130000000000004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6.1130000000000004</v>
      </c>
      <c r="N39" s="632">
        <f t="shared" si="2"/>
        <v>-2.5271731466088503</v>
      </c>
      <c r="O39" s="629">
        <f t="shared" si="3"/>
        <v>1.2429760337026499</v>
      </c>
      <c r="P39" s="633">
        <f t="shared" si="4"/>
        <v>-0.14950014929245026</v>
      </c>
      <c r="Q39" s="585">
        <f t="shared" si="113"/>
        <v>153.80999078697724</v>
      </c>
      <c r="R39" s="629">
        <f t="shared" si="79"/>
        <v>2.8163084939864182</v>
      </c>
      <c r="S39" s="634">
        <f t="shared" si="80"/>
        <v>-0.14950014929245026</v>
      </c>
      <c r="T39" s="635">
        <f t="shared" si="81"/>
        <v>1.1991262515114971</v>
      </c>
      <c r="U39" s="629">
        <f t="shared" si="82"/>
        <v>2.548271917640665</v>
      </c>
      <c r="V39" s="636">
        <f t="shared" si="114"/>
        <v>-0.14950014929245026</v>
      </c>
      <c r="W39" s="585">
        <f t="shared" si="224"/>
        <v>64.799990644038928</v>
      </c>
      <c r="X39" s="629">
        <f t="shared" si="83"/>
        <v>2.8163084939864182</v>
      </c>
      <c r="Y39" s="630">
        <f t="shared" si="223"/>
        <v>-0.14950014929245026</v>
      </c>
      <c r="Z39" s="632">
        <f t="shared" si="6"/>
        <v>0.51728449476994121</v>
      </c>
      <c r="AA39" s="629">
        <f t="shared" si="7"/>
        <v>0.81751591537908275</v>
      </c>
      <c r="AB39" s="629">
        <f t="shared" si="8"/>
        <v>-0.25314912516638732</v>
      </c>
      <c r="AC39" s="636">
        <f t="shared" si="84"/>
        <v>1</v>
      </c>
      <c r="AD39" s="637">
        <f t="shared" si="115"/>
        <v>0.51728449476994121</v>
      </c>
      <c r="AE39" s="629">
        <f t="shared" si="85"/>
        <v>0.81751591537908275</v>
      </c>
      <c r="AF39" s="633">
        <f t="shared" si="86"/>
        <v>-0.25314912516638732</v>
      </c>
      <c r="AG39" s="602">
        <f t="shared" si="87"/>
        <v>72.794520603772767</v>
      </c>
      <c r="AH39" s="603">
        <f t="shared" si="88"/>
        <v>58.849723589497074</v>
      </c>
      <c r="AI39" s="585">
        <f t="shared" si="89"/>
        <v>-75.336060238560009</v>
      </c>
      <c r="AJ39" s="586">
        <f t="shared" si="90"/>
        <v>147.67635207277777</v>
      </c>
      <c r="AK39" s="635">
        <f t="shared" si="211"/>
        <v>0.96188911962620238</v>
      </c>
      <c r="AL39" s="629">
        <f t="shared" si="91"/>
        <v>-0.10336750926776955</v>
      </c>
      <c r="AM39" s="634">
        <f t="shared" si="92"/>
        <v>-0.25314912516638732</v>
      </c>
      <c r="AN39" s="581">
        <f t="shared" si="93"/>
        <v>-22.211497639940909</v>
      </c>
      <c r="AO39" s="582">
        <f t="shared" si="94"/>
        <v>15.869057695896908</v>
      </c>
      <c r="AP39" s="585">
        <f t="shared" si="95"/>
        <v>-6.1336387141994431</v>
      </c>
      <c r="AQ39" s="586">
        <f t="shared" si="9"/>
        <v>0.80941948561997856</v>
      </c>
      <c r="AS39" s="52">
        <f t="shared" si="116"/>
        <v>-295.20000935596107</v>
      </c>
      <c r="AT39" s="72">
        <f t="shared" si="10"/>
        <v>5.6187357105482255E-2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6.1130000000000004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-3.1761897878377634</v>
      </c>
      <c r="C40" s="708">
        <v>1.6456778116104185</v>
      </c>
      <c r="D40" s="709">
        <v>-0.43800101941107505</v>
      </c>
      <c r="E40" s="710">
        <v>-0.65377314968386868</v>
      </c>
      <c r="F40" s="708">
        <v>-0.73752797674902071</v>
      </c>
      <c r="G40" s="711">
        <v>0.16921333359085491</v>
      </c>
      <c r="H40" s="710">
        <v>0.314</v>
      </c>
      <c r="I40" s="708">
        <v>0.52</v>
      </c>
      <c r="J40" s="570">
        <v>6.1189999999999998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6.1189999999999998</v>
      </c>
      <c r="N40" s="632">
        <f t="shared" si="2"/>
        <v>-3.1761897878377634</v>
      </c>
      <c r="O40" s="629">
        <f t="shared" si="3"/>
        <v>1.6456778116104185</v>
      </c>
      <c r="P40" s="633">
        <f t="shared" si="4"/>
        <v>-0.43800101941107505</v>
      </c>
      <c r="Q40" s="585">
        <f t="shared" si="113"/>
        <v>152.60999096023576</v>
      </c>
      <c r="R40" s="629">
        <f t="shared" si="79"/>
        <v>3.5772107888677391</v>
      </c>
      <c r="S40" s="634">
        <f t="shared" si="80"/>
        <v>-0.43800101941107505</v>
      </c>
      <c r="T40" s="635">
        <f t="shared" si="81"/>
        <v>1.5905542736143798</v>
      </c>
      <c r="U40" s="629">
        <f t="shared" si="82"/>
        <v>3.2041495175286041</v>
      </c>
      <c r="V40" s="636">
        <f t="shared" si="114"/>
        <v>-0.43800101941107505</v>
      </c>
      <c r="W40" s="585">
        <f t="shared" si="224"/>
        <v>63.599990817297453</v>
      </c>
      <c r="X40" s="629">
        <f t="shared" si="83"/>
        <v>3.5772107888677391</v>
      </c>
      <c r="Y40" s="630">
        <f t="shared" si="223"/>
        <v>-0.43800101941107505</v>
      </c>
      <c r="Z40" s="632">
        <f t="shared" si="6"/>
        <v>0.65377314968386868</v>
      </c>
      <c r="AA40" s="629">
        <f t="shared" si="7"/>
        <v>0.73752797674902071</v>
      </c>
      <c r="AB40" s="629">
        <f t="shared" si="8"/>
        <v>-0.16921333359085491</v>
      </c>
      <c r="AC40" s="636">
        <f t="shared" si="84"/>
        <v>1</v>
      </c>
      <c r="AD40" s="637">
        <f t="shared" si="115"/>
        <v>0.65377314968386868</v>
      </c>
      <c r="AE40" s="629">
        <f t="shared" si="85"/>
        <v>0.73752797674902071</v>
      </c>
      <c r="AF40" s="633">
        <f t="shared" si="86"/>
        <v>-0.16921333359085491</v>
      </c>
      <c r="AG40" s="602">
        <f t="shared" si="87"/>
        <v>77.07808810447554</v>
      </c>
      <c r="AH40" s="603">
        <f t="shared" si="88"/>
        <v>49.17331099775344</v>
      </c>
      <c r="AI40" s="585">
        <f t="shared" si="89"/>
        <v>-80.257916230060445</v>
      </c>
      <c r="AJ40" s="586">
        <f t="shared" si="90"/>
        <v>138.44498669697745</v>
      </c>
      <c r="AK40" s="635">
        <f t="shared" si="211"/>
        <v>0.95561290514230202</v>
      </c>
      <c r="AL40" s="629">
        <f t="shared" si="91"/>
        <v>-0.24118628331760467</v>
      </c>
      <c r="AM40" s="634">
        <f t="shared" si="92"/>
        <v>-0.16921333359085491</v>
      </c>
      <c r="AN40" s="581">
        <f t="shared" si="93"/>
        <v>-54.946972033036644</v>
      </c>
      <c r="AO40" s="582">
        <f t="shared" si="94"/>
        <v>17.135060737739426</v>
      </c>
      <c r="AP40" s="585">
        <f t="shared" si="95"/>
        <v>-14.16500426325832</v>
      </c>
      <c r="AQ40" s="586">
        <f t="shared" si="9"/>
        <v>0.63726538899546192</v>
      </c>
      <c r="AS40" s="52">
        <f t="shared" si="116"/>
        <v>-296.40000918270255</v>
      </c>
      <c r="AT40" s="72">
        <f t="shared" si="10"/>
        <v>-0.23148017980012767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-3.5444185118190292</v>
      </c>
      <c r="C41" s="708">
        <v>1.896520734977261</v>
      </c>
      <c r="D41" s="709">
        <v>-1.0616029001943474</v>
      </c>
      <c r="E41" s="710">
        <v>-0.78910755733098348</v>
      </c>
      <c r="F41" s="708">
        <v>-0.59746346316021715</v>
      </c>
      <c r="G41" s="711">
        <v>0.14264176510310217</v>
      </c>
      <c r="H41" s="710">
        <v>0.314</v>
      </c>
      <c r="I41" s="708">
        <v>0.52</v>
      </c>
      <c r="J41" s="570">
        <v>6.125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6.125</v>
      </c>
      <c r="N41" s="632">
        <f t="shared" ref="N41:N72" si="240">IF(M41="","",B41)</f>
        <v>-3.5444185118190292</v>
      </c>
      <c r="O41" s="629">
        <f t="shared" ref="O41:O72" si="241">IF(M41="","",C41)</f>
        <v>1.896520734977261</v>
      </c>
      <c r="P41" s="633">
        <f t="shared" ref="P41:P72" si="242">IF(M41="","",D41)</f>
        <v>-1.0616029001943474</v>
      </c>
      <c r="Q41" s="585">
        <f t="shared" si="113"/>
        <v>151.84999106996617</v>
      </c>
      <c r="R41" s="629">
        <f t="shared" si="79"/>
        <v>4.0199121240549669</v>
      </c>
      <c r="S41" s="634">
        <f t="shared" si="80"/>
        <v>-1.0616029001943474</v>
      </c>
      <c r="T41" s="635">
        <f t="shared" si="81"/>
        <v>1.8349975345635476</v>
      </c>
      <c r="U41" s="629">
        <f t="shared" si="82"/>
        <v>3.5766573128089609</v>
      </c>
      <c r="V41" s="636">
        <f t="shared" si="114"/>
        <v>-1.0616029001943474</v>
      </c>
      <c r="W41" s="585">
        <f t="shared" si="224"/>
        <v>62.839990927027856</v>
      </c>
      <c r="X41" s="629">
        <f t="shared" si="83"/>
        <v>4.0199121240549669</v>
      </c>
      <c r="Y41" s="630">
        <f t="shared" si="223"/>
        <v>-1.0616029001943474</v>
      </c>
      <c r="Z41" s="632">
        <f t="shared" ref="Z41:Z72" si="243">IF(M41="","",-E41)</f>
        <v>0.78910755733098348</v>
      </c>
      <c r="AA41" s="629">
        <f t="shared" ref="AA41:AA72" si="244">IF(M41="","",-F41)</f>
        <v>0.59746346316021715</v>
      </c>
      <c r="AB41" s="629">
        <f t="shared" ref="AB41:AB72" si="245">IF(M41="","",-G41)</f>
        <v>-0.14264176510310217</v>
      </c>
      <c r="AC41" s="636">
        <f t="shared" si="84"/>
        <v>1</v>
      </c>
      <c r="AD41" s="637">
        <f t="shared" si="115"/>
        <v>0.78910755733098348</v>
      </c>
      <c r="AE41" s="629">
        <f t="shared" si="85"/>
        <v>0.59746346316021715</v>
      </c>
      <c r="AF41" s="633">
        <f t="shared" si="86"/>
        <v>-0.14264176510310217</v>
      </c>
      <c r="AG41" s="602">
        <f t="shared" si="87"/>
        <v>76.572244228391568</v>
      </c>
      <c r="AH41" s="603">
        <f t="shared" si="88"/>
        <v>37.897810613083209</v>
      </c>
      <c r="AI41" s="585">
        <f t="shared" si="89"/>
        <v>-81.799257220378735</v>
      </c>
      <c r="AJ41" s="586">
        <f t="shared" si="90"/>
        <v>127.1307542697611</v>
      </c>
      <c r="AK41" s="635">
        <f t="shared" si="211"/>
        <v>0.89907920671666619</v>
      </c>
      <c r="AL41" s="629">
        <f t="shared" si="91"/>
        <v>-0.41389600976332419</v>
      </c>
      <c r="AM41" s="634">
        <f t="shared" si="92"/>
        <v>-0.14264176510310217</v>
      </c>
      <c r="AN41" s="581">
        <f t="shared" si="93"/>
        <v>-70.984415451720622</v>
      </c>
      <c r="AO41" s="582">
        <f t="shared" si="94"/>
        <v>25.962704206826235</v>
      </c>
      <c r="AP41" s="585">
        <f t="shared" si="95"/>
        <v>-24.719236800205064</v>
      </c>
      <c r="AQ41" s="586">
        <f t="shared" ref="AQ41:AQ72" si="246">IF(M41="","",DEGREES(ATAN(($AS$5*SIN(RADIANS(90)))/(($X41*2*PI())-($AS$5*COS(RADIANS(90)))))))</f>
        <v>0.5670900553854592</v>
      </c>
      <c r="AS41" s="52">
        <f t="shared" si="116"/>
        <v>-297.16000907297212</v>
      </c>
      <c r="AT41" s="72">
        <f t="shared" ref="AT41:AT72" si="247">IF(M41="","",Y41+(((AS41-$AS$9)*$AS$6)*-1))</f>
        <v>-0.854554282881824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-3.6329899694975287</v>
      </c>
      <c r="C42" s="708">
        <v>1.959437149962219</v>
      </c>
      <c r="D42" s="709">
        <v>-1.8178051809004252</v>
      </c>
      <c r="E42" s="710">
        <v>-0.86477490759151132</v>
      </c>
      <c r="F42" s="708">
        <v>-0.50056299076042343</v>
      </c>
      <c r="G42" s="711">
        <v>4.0013141354728339E-2</v>
      </c>
      <c r="H42" s="710">
        <v>0.314</v>
      </c>
      <c r="I42" s="708">
        <v>0.52</v>
      </c>
      <c r="J42" s="570">
        <v>6.1310000000000002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6.1310000000000002</v>
      </c>
      <c r="N42" s="632">
        <f t="shared" si="240"/>
        <v>-3.6329899694975287</v>
      </c>
      <c r="O42" s="629">
        <f t="shared" si="241"/>
        <v>1.959437149962219</v>
      </c>
      <c r="P42" s="633">
        <f t="shared" si="242"/>
        <v>-1.8178051809004252</v>
      </c>
      <c r="Q42" s="585">
        <f t="shared" si="113"/>
        <v>151.65999109739874</v>
      </c>
      <c r="R42" s="629">
        <f t="shared" ref="R42:R47" si="385">IF(M42="","",SQRT(N42^2+O42^2))</f>
        <v>4.1277124491807466</v>
      </c>
      <c r="S42" s="634">
        <f t="shared" ref="S42:S47" si="386">IF(M42="","",P42)</f>
        <v>-1.8178051809004252</v>
      </c>
      <c r="T42" s="635">
        <f t="shared" ref="T42:T47" si="387">IF(M42="","",X42*COS(RADIANS(W42)))</f>
        <v>1.8963742292103971</v>
      </c>
      <c r="U42" s="629">
        <f t="shared" ref="U42:U47" si="388">IF(M42="","",X42*SIN(RADIANS(W42)))</f>
        <v>3.6663026124296385</v>
      </c>
      <c r="V42" s="636">
        <f t="shared" ref="V42:V47" si="389">IF(M42="","",Y42)</f>
        <v>-1.8178051809004252</v>
      </c>
      <c r="W42" s="585">
        <f t="shared" si="224"/>
        <v>62.649990954460435</v>
      </c>
      <c r="X42" s="629">
        <f t="shared" ref="X42:X47" si="390">IF(M42="","",R42)</f>
        <v>4.1277124491807466</v>
      </c>
      <c r="Y42" s="630">
        <f t="shared" si="223"/>
        <v>-1.8178051809004252</v>
      </c>
      <c r="Z42" s="632">
        <f t="shared" si="243"/>
        <v>0.86477490759151132</v>
      </c>
      <c r="AA42" s="629">
        <f t="shared" si="244"/>
        <v>0.50056299076042343</v>
      </c>
      <c r="AB42" s="629">
        <f t="shared" si="245"/>
        <v>-4.0013141354728339E-2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0.86477490759151132</v>
      </c>
      <c r="AE42" s="629">
        <f t="shared" ref="AE42:AE47" si="393">IF(M42="","",AA42*(1/SQRT(Z42^2+AA42^2+AB42^2)))</f>
        <v>0.50056299076042343</v>
      </c>
      <c r="AF42" s="633">
        <f t="shared" ref="AF42:AF47" si="394">IF(M42="","",AB42*(1/SQRT(Z42^2+AA42^2+AB42^2)))</f>
        <v>-4.0013141354728339E-2</v>
      </c>
      <c r="AG42" s="602">
        <f t="shared" ref="AG42:AG47" si="395">IF(M42="","",DEGREES(ATAN2(-AF42,AE42)))</f>
        <v>85.429706659601308</v>
      </c>
      <c r="AH42" s="603">
        <f t="shared" ref="AH42:AH47" si="396">IF(M42="","",DEGREES(ACOS(AD42)))</f>
        <v>30.142987424718218</v>
      </c>
      <c r="AI42" s="585">
        <f t="shared" ref="AI42:AI47" si="397">IF(M42="","",DEGREES(-ACOS(-AF42)))</f>
        <v>-87.70680367660357</v>
      </c>
      <c r="AJ42" s="586">
        <f t="shared" ref="AJ42:AJ47" si="398">IF(M42="","",DEGREES(ATAN2(-AE42,AD42)))</f>
        <v>120.06381056938935</v>
      </c>
      <c r="AK42" s="635">
        <f t="shared" ref="AK42:AK47" si="399">IF(M42="","",(COS(RADIANS((90-$Q$8)-W42))*AD42)+(-SIN(RADIANS((90-$Q$8)-W42))*AE42))</f>
        <v>0.85107973195213849</v>
      </c>
      <c r="AL42" s="629">
        <f t="shared" ref="AL42:AL47" si="400">IF(M42="","",(SIN(RADIANS((90-$Q$8)-W42))*AD42)+(COS(RADIANS((90-$Q$8)-W42))*AE42))</f>
        <v>-0.52350953991231408</v>
      </c>
      <c r="AM42" s="634">
        <f t="shared" ref="AM42:AM47" si="401">IF(M42="","",AF42)</f>
        <v>-4.0013141354728339E-2</v>
      </c>
      <c r="AN42" s="581">
        <f t="shared" ref="AN42:AN47" si="402">IF(M42="","",DEGREES(ATAN2(-AM42,AL42)))</f>
        <v>-85.629238506363876</v>
      </c>
      <c r="AO42" s="582">
        <f t="shared" si="94"/>
        <v>31.670698109673413</v>
      </c>
      <c r="AP42" s="585">
        <f t="shared" ref="AP42:AP47" si="403">IF(M42="","",DEGREES(ATAN2(AK42,AL42)))</f>
        <v>-31.596180528009395</v>
      </c>
      <c r="AQ42" s="586">
        <f t="shared" si="246"/>
        <v>0.55228072558086172</v>
      </c>
      <c r="AS42" s="52">
        <f t="shared" si="116"/>
        <v>-297.35000904553954</v>
      </c>
      <c r="AT42" s="72">
        <f t="shared" si="247"/>
        <v>-1.6106246191625078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6.1310000000000002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0.96116869368711177</v>
      </c>
      <c r="F157" s="170">
        <f t="shared" si="929"/>
        <v>-9.8038256152129424E-2</v>
      </c>
      <c r="G157" s="170">
        <f t="shared" si="929"/>
        <v>-0.25795976935650394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0.94734994114136106</v>
      </c>
      <c r="F158" s="170">
        <f t="shared" si="929"/>
        <v>-0.25985189085859589</v>
      </c>
      <c r="G158" s="170">
        <f t="shared" si="929"/>
        <v>-0.18709645597036884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0.89137259439762939</v>
      </c>
      <c r="F159" s="170">
        <f t="shared" si="929"/>
        <v>-0.42849149955449239</v>
      </c>
      <c r="G159" s="170">
        <f t="shared" si="929"/>
        <v>-0.14781722756966428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0.81913389839691197</v>
      </c>
      <c r="F160" s="170">
        <f t="shared" si="929"/>
        <v>-0.57220503756608443</v>
      </c>
      <c r="G160" s="170">
        <f t="shared" si="929"/>
        <v>-4.001314135472845E-2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0.49222912130308732</v>
      </c>
      <c r="F161" s="170">
        <f t="shared" si="929"/>
        <v>-0.8304100779257424</v>
      </c>
      <c r="G161" s="170">
        <f t="shared" si="929"/>
        <v>-0.26101646427103653</v>
      </c>
      <c r="H161" s="139"/>
      <c r="I161" s="86"/>
      <c r="J161" s="79">
        <f t="shared" si="930"/>
        <v>2.1110000000000002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0.3519971764396837</v>
      </c>
      <c r="F162" s="170">
        <f t="shared" si="929"/>
        <v>-0.91340635192157171</v>
      </c>
      <c r="G162" s="170">
        <f t="shared" si="929"/>
        <v>-0.20441825761858051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0.1973702394704937</v>
      </c>
      <c r="F163" s="170">
        <f t="shared" si="929"/>
        <v>-0.9688452206942777</v>
      </c>
      <c r="G163" s="170">
        <f t="shared" si="929"/>
        <v>-0.14961258940749775</v>
      </c>
      <c r="H163" s="139"/>
      <c r="I163" s="86"/>
      <c r="J163" s="79">
        <f t="shared" si="930"/>
        <v>2.1230000000000002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1.1129760621233272E-3</v>
      </c>
      <c r="F164" s="170">
        <f t="shared" si="929"/>
        <v>-0.99919853372751288</v>
      </c>
      <c r="G164" s="170">
        <f t="shared" si="929"/>
        <v>-4.0013141354728575E-2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-0.42495075868149662</v>
      </c>
      <c r="F165" s="170">
        <f t="shared" si="929"/>
        <v>-0.87000969481008172</v>
      </c>
      <c r="G165" s="170">
        <f t="shared" si="929"/>
        <v>-0.2499999672649757</v>
      </c>
      <c r="H165" s="139"/>
      <c r="I165" s="86"/>
      <c r="J165" s="79">
        <f t="shared" si="930"/>
        <v>3.1030000000000002</v>
      </c>
    </row>
    <row r="166" spans="5:16" x14ac:dyDescent="0.25">
      <c r="E166" s="170">
        <f t="shared" si="929"/>
        <v>-0.42495075868149662</v>
      </c>
      <c r="F166" s="170">
        <f t="shared" si="929"/>
        <v>-0.87000969481008172</v>
      </c>
      <c r="G166" s="170">
        <f t="shared" si="929"/>
        <v>-0.2499999672649757</v>
      </c>
      <c r="H166" s="139"/>
      <c r="I166" s="86"/>
      <c r="J166" s="79">
        <f t="shared" si="930"/>
        <v>3.1059999999999999</v>
      </c>
    </row>
    <row r="167" spans="5:16" x14ac:dyDescent="0.25">
      <c r="E167" s="170">
        <f t="shared" si="929"/>
        <v>-0.512010377921987</v>
      </c>
      <c r="F167" s="170">
        <f t="shared" si="929"/>
        <v>-0.81730808069390704</v>
      </c>
      <c r="G167" s="170">
        <f t="shared" si="929"/>
        <v>-0.26429694310117557</v>
      </c>
      <c r="H167" s="139"/>
      <c r="I167" s="86"/>
      <c r="J167" s="79">
        <f t="shared" si="930"/>
        <v>3.11</v>
      </c>
    </row>
    <row r="168" spans="5:16" x14ac:dyDescent="0.25">
      <c r="E168" s="170">
        <f t="shared" si="929"/>
        <v>-0.65792858665985976</v>
      </c>
      <c r="F168" s="170">
        <f t="shared" si="929"/>
        <v>-0.72027761147948688</v>
      </c>
      <c r="G168" s="170">
        <f t="shared" si="929"/>
        <v>-0.21984116370044277</v>
      </c>
      <c r="H168" s="139"/>
      <c r="I168" s="86"/>
      <c r="J168" s="79">
        <f t="shared" si="930"/>
        <v>3.1160000000000001</v>
      </c>
    </row>
    <row r="169" spans="5:16" x14ac:dyDescent="0.25">
      <c r="E169" s="170">
        <f t="shared" si="929"/>
        <v>-0.77172219639781858</v>
      </c>
      <c r="F169" s="170">
        <f t="shared" si="929"/>
        <v>-0.61836090630041585</v>
      </c>
      <c r="G169" s="170">
        <f t="shared" si="929"/>
        <v>-0.14857537193712528</v>
      </c>
      <c r="H169" s="139"/>
      <c r="I169" s="86"/>
      <c r="J169" s="79">
        <f t="shared" si="930"/>
        <v>3.1219999999999999</v>
      </c>
    </row>
    <row r="170" spans="5:16" x14ac:dyDescent="0.25">
      <c r="E170" s="170">
        <f t="shared" si="929"/>
        <v>-0.89034742033295611</v>
      </c>
      <c r="F170" s="170">
        <f t="shared" si="929"/>
        <v>-0.44424070925955156</v>
      </c>
      <c r="G170" s="170">
        <f t="shared" si="929"/>
        <v>-9.9657730974677131E-2</v>
      </c>
      <c r="H170" s="139"/>
      <c r="I170" s="86"/>
      <c r="J170" s="79">
        <f t="shared" si="930"/>
        <v>3.1280000000000001</v>
      </c>
    </row>
    <row r="171" spans="5:16" x14ac:dyDescent="0.25">
      <c r="E171" s="170">
        <f t="shared" si="929"/>
        <v>-0.90507832131748311</v>
      </c>
      <c r="F171" s="170">
        <f t="shared" si="929"/>
        <v>-0.42334284973997643</v>
      </c>
      <c r="G171" s="170">
        <f t="shared" si="929"/>
        <v>-4.0175413565546714E-2</v>
      </c>
      <c r="H171" s="139"/>
      <c r="I171" s="86"/>
      <c r="J171" s="79">
        <f t="shared" si="930"/>
        <v>3.1339999999999999</v>
      </c>
    </row>
    <row r="172" spans="5:16" x14ac:dyDescent="0.25">
      <c r="E172" s="170">
        <f t="shared" si="929"/>
        <v>-0.96470043797787974</v>
      </c>
      <c r="F172" s="170">
        <f t="shared" si="929"/>
        <v>1.3629211547270259E-3</v>
      </c>
      <c r="G172" s="170">
        <f t="shared" si="929"/>
        <v>-0.26334617409640337</v>
      </c>
      <c r="H172" s="139"/>
      <c r="I172" s="86"/>
      <c r="J172" s="79">
        <f t="shared" si="930"/>
        <v>4.109</v>
      </c>
    </row>
    <row r="173" spans="5:16" x14ac:dyDescent="0.25">
      <c r="E173" s="170">
        <f t="shared" si="929"/>
        <v>-0.95523243884125741</v>
      </c>
      <c r="F173" s="170">
        <f t="shared" si="929"/>
        <v>0.18206516231228861</v>
      </c>
      <c r="G173" s="170">
        <f t="shared" si="929"/>
        <v>-0.23320219651106094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-0.92935996610630078</v>
      </c>
      <c r="F174" s="170">
        <f t="shared" si="933"/>
        <v>0.33393895021208841</v>
      </c>
      <c r="G174" s="170">
        <f t="shared" si="933"/>
        <v>-0.15740022531795797</v>
      </c>
      <c r="H174" s="139"/>
      <c r="I174" s="86"/>
      <c r="J174" s="79">
        <f t="shared" si="930"/>
        <v>4.1210000000000004</v>
      </c>
    </row>
    <row r="175" spans="5:16" x14ac:dyDescent="0.25">
      <c r="E175" s="170">
        <f t="shared" si="933"/>
        <v>-0.83949160422247693</v>
      </c>
      <c r="F175" s="170">
        <f t="shared" si="933"/>
        <v>0.52954051239868127</v>
      </c>
      <c r="G175" s="170">
        <f t="shared" si="933"/>
        <v>-0.12182237958813016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-0.81913363885046298</v>
      </c>
      <c r="F176" s="170">
        <f t="shared" si="933"/>
        <v>0.57220540911680129</v>
      </c>
      <c r="G176" s="170">
        <f t="shared" si="933"/>
        <v>-4.0013141354728395E-2</v>
      </c>
      <c r="H176" s="139"/>
      <c r="I176" s="86"/>
      <c r="J176" s="79">
        <f t="shared" si="930"/>
        <v>4.133</v>
      </c>
    </row>
    <row r="177" spans="5:10" x14ac:dyDescent="0.25">
      <c r="E177" s="170">
        <f t="shared" si="933"/>
        <v>-0.54097536073219543</v>
      </c>
      <c r="F177" s="170">
        <f t="shared" si="933"/>
        <v>0.80302283619345605</v>
      </c>
      <c r="G177" s="170">
        <f t="shared" si="933"/>
        <v>-0.24999996726497564</v>
      </c>
      <c r="H177" s="139"/>
      <c r="I177" s="86"/>
      <c r="J177" s="79">
        <f t="shared" si="930"/>
        <v>5.1020000000000003</v>
      </c>
    </row>
    <row r="178" spans="5:10" x14ac:dyDescent="0.25">
      <c r="E178" s="170">
        <f t="shared" si="933"/>
        <v>-0.54097536073219565</v>
      </c>
      <c r="F178" s="170">
        <f t="shared" si="933"/>
        <v>0.80302283619345605</v>
      </c>
      <c r="G178" s="170">
        <f t="shared" si="933"/>
        <v>-0.24999996726497559</v>
      </c>
      <c r="H178" s="139"/>
      <c r="I178" s="86"/>
      <c r="J178" s="79">
        <f t="shared" si="930"/>
        <v>5.1050000000000004</v>
      </c>
    </row>
    <row r="179" spans="5:10" x14ac:dyDescent="0.25">
      <c r="E179" s="170">
        <f t="shared" si="933"/>
        <v>-0.50206475957904673</v>
      </c>
      <c r="F179" s="170">
        <f t="shared" si="933"/>
        <v>0.82472224974364428</v>
      </c>
      <c r="G179" s="170">
        <f t="shared" si="933"/>
        <v>-0.26031555459982847</v>
      </c>
      <c r="H179" s="139"/>
      <c r="I179" s="86"/>
      <c r="J179" s="79">
        <f t="shared" si="930"/>
        <v>5.1079999999999997</v>
      </c>
    </row>
    <row r="180" spans="5:10" x14ac:dyDescent="0.25">
      <c r="E180" s="170">
        <f t="shared" si="933"/>
        <v>-0.34626459945337507</v>
      </c>
      <c r="F180" s="170">
        <f t="shared" si="933"/>
        <v>0.90574931043262719</v>
      </c>
      <c r="G180" s="170">
        <f t="shared" si="933"/>
        <v>-0.24437474054454578</v>
      </c>
      <c r="H180" s="139"/>
      <c r="I180" s="86"/>
      <c r="J180" s="79">
        <f t="shared" si="930"/>
        <v>5.1139999999999999</v>
      </c>
    </row>
    <row r="181" spans="5:10" x14ac:dyDescent="0.25">
      <c r="E181" s="170">
        <f t="shared" si="933"/>
        <v>-0.20236730796140415</v>
      </c>
      <c r="F181" s="170">
        <f t="shared" si="933"/>
        <v>0.9653736231628165</v>
      </c>
      <c r="G181" s="170">
        <f t="shared" si="933"/>
        <v>-0.16462454364386475</v>
      </c>
      <c r="H181" s="139"/>
      <c r="I181" s="86"/>
      <c r="J181" s="79">
        <f t="shared" si="930"/>
        <v>5.12</v>
      </c>
    </row>
    <row r="182" spans="5:10" x14ac:dyDescent="0.25">
      <c r="E182" s="170">
        <f t="shared" si="933"/>
        <v>1.0562964023800303E-3</v>
      </c>
      <c r="F182" s="170">
        <f t="shared" si="933"/>
        <v>0.99098512019717677</v>
      </c>
      <c r="G182" s="170">
        <f t="shared" si="933"/>
        <v>-0.1339678162309795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8.5977450537593259E-2</v>
      </c>
      <c r="F183" s="170">
        <f t="shared" si="933"/>
        <v>0.99549325789679877</v>
      </c>
      <c r="G183" s="170">
        <f t="shared" si="933"/>
        <v>-4.0013141354729075E-2</v>
      </c>
      <c r="H183" s="139"/>
      <c r="I183" s="86"/>
      <c r="J183" s="79">
        <f t="shared" si="930"/>
        <v>5.1319999999999997</v>
      </c>
    </row>
    <row r="184" spans="5:10" x14ac:dyDescent="0.25">
      <c r="E184" s="170">
        <f t="shared" si="933"/>
        <v>0.51728449476994121</v>
      </c>
      <c r="F184" s="170">
        <f t="shared" si="933"/>
        <v>0.81751591537908275</v>
      </c>
      <c r="G184" s="170">
        <f t="shared" si="933"/>
        <v>-0.25314912516638732</v>
      </c>
      <c r="H184" s="139"/>
      <c r="I184" s="86"/>
      <c r="J184" s="79">
        <f t="shared" si="930"/>
        <v>6.1130000000000004</v>
      </c>
    </row>
    <row r="185" spans="5:10" x14ac:dyDescent="0.25">
      <c r="E185" s="170">
        <f t="shared" si="933"/>
        <v>0.65377314968386868</v>
      </c>
      <c r="F185" s="170">
        <f t="shared" si="933"/>
        <v>0.73752797674902071</v>
      </c>
      <c r="G185" s="170">
        <f t="shared" si="933"/>
        <v>-0.16921333359085491</v>
      </c>
      <c r="H185" s="139"/>
      <c r="I185" s="86"/>
      <c r="J185" s="79">
        <f t="shared" si="930"/>
        <v>6.1189999999999998</v>
      </c>
    </row>
    <row r="186" spans="5:10" x14ac:dyDescent="0.25">
      <c r="E186" s="170">
        <f t="shared" si="933"/>
        <v>0.78910755733098348</v>
      </c>
      <c r="F186" s="170">
        <f t="shared" si="933"/>
        <v>0.59746346316021715</v>
      </c>
      <c r="G186" s="170">
        <f t="shared" si="933"/>
        <v>-0.14264176510310217</v>
      </c>
      <c r="H186" s="139"/>
      <c r="I186" s="86"/>
      <c r="J186" s="79">
        <f t="shared" si="930"/>
        <v>6.125</v>
      </c>
    </row>
    <row r="187" spans="5:10" x14ac:dyDescent="0.25">
      <c r="E187" s="170">
        <f t="shared" si="933"/>
        <v>0.86477490759151132</v>
      </c>
      <c r="F187" s="170">
        <f t="shared" si="933"/>
        <v>0.50056299076042343</v>
      </c>
      <c r="G187" s="170">
        <f t="shared" si="933"/>
        <v>-4.0013141354728339E-2</v>
      </c>
      <c r="H187" s="139"/>
      <c r="I187" s="86"/>
      <c r="J187" s="79">
        <f t="shared" si="930"/>
        <v>6.1310000000000002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885" t="str" cm="1">
        <f t="array" ref="L2">IF(OR($K$9:$K$150="Undefined"),"Undefined Element","")</f>
        <v/>
      </c>
      <c r="M2" s="1268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152"/>
      <c r="BO2" s="1152"/>
      <c r="BP2" s="1153"/>
      <c r="BR2" s="1308" t="s">
        <v>279</v>
      </c>
      <c r="BS2" s="1152"/>
      <c r="BT2" s="1152"/>
      <c r="BU2" s="115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163"/>
      <c r="C3" s="1164"/>
      <c r="D3" s="1164"/>
      <c r="E3" s="1164"/>
      <c r="F3" s="1164"/>
      <c r="G3" s="1164"/>
      <c r="H3" s="1164"/>
      <c r="I3" s="1164"/>
      <c r="J3" s="1164"/>
      <c r="K3" s="1165"/>
      <c r="L3" s="885"/>
      <c r="M3" s="1269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960"/>
      <c r="AA3" s="961"/>
      <c r="AB3" s="961"/>
      <c r="AC3" s="961"/>
      <c r="AD3" s="961"/>
      <c r="AE3" s="961"/>
      <c r="AF3" s="961"/>
      <c r="AG3" s="961"/>
      <c r="AH3" s="961"/>
      <c r="AI3" s="961"/>
      <c r="AJ3" s="961"/>
      <c r="AK3" s="961"/>
      <c r="AL3" s="961"/>
      <c r="AM3" s="961"/>
      <c r="AN3" s="961"/>
      <c r="AO3" s="961"/>
      <c r="AP3" s="961"/>
      <c r="AQ3" s="1092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919" t="s">
        <v>316</v>
      </c>
      <c r="C4" s="1091"/>
      <c r="D4" s="1091"/>
      <c r="E4" s="1091"/>
      <c r="F4" s="1091"/>
      <c r="G4" s="1091"/>
      <c r="H4" s="1091"/>
      <c r="I4" s="1091"/>
      <c r="J4" s="1091"/>
      <c r="K4" s="1274"/>
      <c r="L4" s="885"/>
      <c r="M4" s="1269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Q4</f>
        <v>Polar XY; Cartesian Z</v>
      </c>
      <c r="X4" s="1096"/>
      <c r="Y4" s="1162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79" t="s">
        <v>381</v>
      </c>
      <c r="IF4" s="87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163" t="str">
        <f>CONCATENATE(B7," ; ",E7," ; ",H8)</f>
        <v>Absolute-Point ; Incremental-Vector Point ; Radius</v>
      </c>
      <c r="C5" s="1164"/>
      <c r="D5" s="1164"/>
      <c r="E5" s="1164"/>
      <c r="F5" s="1164"/>
      <c r="G5" s="1164"/>
      <c r="H5" s="1164"/>
      <c r="I5" s="1164"/>
      <c r="J5" s="1164"/>
      <c r="K5" s="1165"/>
      <c r="L5" s="843"/>
      <c r="M5" s="1269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&amp; Z; Z Axis")</f>
        <v>Relative to 's θ &amp; Z; Z Axis</v>
      </c>
      <c r="U5" s="1063"/>
      <c r="V5" s="1064"/>
      <c r="W5" s="1063" t="str">
        <f>CONCATENATE("Relative to ",M8,"'s θ &amp; Z; Z Axis")</f>
        <v>Relative to 's θ &amp; Z;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0.25</v>
      </c>
      <c r="AT5" s="464" t="s">
        <v>47</v>
      </c>
      <c r="AV5" s="1285"/>
      <c r="AW5" s="1187" t="str">
        <f>W4</f>
        <v>Polar XY; Cartesian Z</v>
      </c>
      <c r="AX5" s="1096"/>
      <c r="AY5" s="1096"/>
      <c r="AZ5" s="890" t="s">
        <v>104</v>
      </c>
      <c r="BA5" s="1096" t="str">
        <f>AK4</f>
        <v>Polar Z Projection → XZ Plane</v>
      </c>
      <c r="BB5" s="1096"/>
      <c r="BC5" s="109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269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Q6</f>
        <v>Projected XY</v>
      </c>
      <c r="X6" s="1099"/>
      <c r="Y6" s="1140" t="str">
        <f>S6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187" t="str">
        <f>AD6</f>
        <v>Unit Vector</v>
      </c>
      <c r="AL6" s="1096"/>
      <c r="AM6" s="1097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062" t="str">
        <f>W5</f>
        <v>Relative to 's θ &amp; Z; Z Axis</v>
      </c>
      <c r="AX6" s="1063"/>
      <c r="AY6" s="1063"/>
      <c r="AZ6" s="1281"/>
      <c r="BA6" s="1063" t="str">
        <f>AK5</f>
        <v>Vector Along X Axis</v>
      </c>
      <c r="BB6" s="1063"/>
      <c r="BC6" s="1103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180" t="s">
        <v>40</v>
      </c>
      <c r="C7" s="1181"/>
      <c r="D7" s="1182"/>
      <c r="E7" s="1183" t="s">
        <v>41</v>
      </c>
      <c r="F7" s="1181"/>
      <c r="G7" s="1184"/>
      <c r="H7" s="892" t="s">
        <v>314</v>
      </c>
      <c r="I7" s="888"/>
      <c r="J7" s="889"/>
      <c r="K7" s="539"/>
      <c r="L7" s="885"/>
      <c r="M7" s="1270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Q7</f>
        <v>&lt; θ°</v>
      </c>
      <c r="X7" s="27" t="str">
        <f>R7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099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314" t="s">
        <v>364</v>
      </c>
      <c r="JC7" s="1149"/>
      <c r="JD7" s="1149"/>
      <c r="JE7" s="115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8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891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169" t="s">
        <v>42</v>
      </c>
      <c r="C157" s="1170"/>
      <c r="D157" s="1170"/>
      <c r="E157" s="1170"/>
      <c r="F157" s="1170"/>
      <c r="G157" s="1170"/>
      <c r="H157" s="1170"/>
      <c r="I157" s="1170"/>
      <c r="J157" s="1170"/>
      <c r="K157" s="117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172"/>
      <c r="C158" s="1127"/>
      <c r="D158" s="1127"/>
      <c r="E158" s="1127"/>
      <c r="F158" s="1127"/>
      <c r="G158" s="1127"/>
      <c r="H158" s="1127"/>
      <c r="I158" s="1127"/>
      <c r="J158" s="1127"/>
      <c r="K158" s="117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174"/>
      <c r="C159" s="1175"/>
      <c r="D159" s="1175"/>
      <c r="E159" s="1175"/>
      <c r="F159" s="1175"/>
      <c r="G159" s="1175"/>
      <c r="H159" s="1175"/>
      <c r="I159" s="1175"/>
      <c r="J159" s="1175"/>
      <c r="K159" s="1176"/>
      <c r="AQ159" s="166"/>
      <c r="BD159" s="468"/>
    </row>
    <row r="160" spans="1:259" ht="15" customHeight="1" x14ac:dyDescent="0.25">
      <c r="B160" s="1163" t="str">
        <f>CONCATENATE(B162," ; ",E162," ; ",H163)</f>
        <v>Absolute-Point ; Incremental-Vector Point ; Radius</v>
      </c>
      <c r="C160" s="1164"/>
      <c r="D160" s="1164"/>
      <c r="E160" s="1164"/>
      <c r="F160" s="1164"/>
      <c r="G160" s="1164"/>
      <c r="H160" s="1164"/>
      <c r="I160" s="1164"/>
      <c r="J160" s="1164"/>
      <c r="K160" s="1165"/>
      <c r="AQ160" s="166"/>
      <c r="BD160" s="468"/>
    </row>
    <row r="161" spans="2:56" ht="15" customHeight="1" x14ac:dyDescent="0.25">
      <c r="B161" s="1166"/>
      <c r="C161" s="1167"/>
      <c r="D161" s="1167"/>
      <c r="E161" s="1167"/>
      <c r="F161" s="1167"/>
      <c r="G161" s="1167"/>
      <c r="H161" s="1167"/>
      <c r="I161" s="1167"/>
      <c r="J161" s="1167"/>
      <c r="K161" s="1168"/>
      <c r="AQ161" s="166"/>
      <c r="BD161" s="468"/>
    </row>
    <row r="162" spans="2:56" ht="15" customHeight="1" x14ac:dyDescent="0.25">
      <c r="B162" s="1180" t="s">
        <v>40</v>
      </c>
      <c r="C162" s="1181"/>
      <c r="D162" s="1182"/>
      <c r="E162" s="1183" t="s">
        <v>41</v>
      </c>
      <c r="F162" s="1181"/>
      <c r="G162" s="1184"/>
      <c r="H162" s="892" t="s">
        <v>314</v>
      </c>
      <c r="I162" s="888"/>
      <c r="J162" s="889"/>
      <c r="K162" s="539"/>
      <c r="M162" s="938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2.1110000000000002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2.1230000000000002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4.1210000000000004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5.1050000000000004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6.1130000000000004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6.125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6.1310000000000002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2026-03-19T20:22:10Z</dcterms:modified>
</cp:coreProperties>
</file>