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79\"/>
    </mc:Choice>
  </mc:AlternateContent>
  <xr:revisionPtr revIDLastSave="0" documentId="13_ncr:1_{54BFFCFB-B9BC-4A8B-B8E8-3394AFF8C81C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J84" i="1"/>
  <c r="IR84" i="1"/>
  <c r="IP84" i="1"/>
  <c r="IW84" i="1"/>
  <c r="IQ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R73" i="1"/>
  <c r="IW73" i="1"/>
  <c r="IK73" i="1"/>
  <c r="IQ73" i="1"/>
  <c r="IP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Q76" i="1"/>
  <c r="IP76" i="1"/>
  <c r="IN76" i="1"/>
  <c r="IJ76" i="1"/>
  <c r="IW76" i="1"/>
  <c r="IK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K58" i="1"/>
  <c r="IJ58" i="1"/>
  <c r="IW58" i="1"/>
  <c r="IQ58" i="1"/>
  <c r="IN58" i="1"/>
  <c r="IR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Q97" i="1"/>
  <c r="IP97" i="1"/>
  <c r="IR97" i="1"/>
  <c r="IJ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Q96" i="1"/>
  <c r="IJ96" i="1"/>
  <c r="IP96" i="1"/>
  <c r="IN96" i="1"/>
  <c r="IW96" i="1"/>
  <c r="IK96" i="1"/>
  <c r="IR96" i="1"/>
  <c r="IN85" i="1"/>
  <c r="IQ85" i="1"/>
  <c r="IK85" i="1"/>
  <c r="IR85" i="1"/>
  <c r="IJ85" i="1"/>
  <c r="IW85" i="1"/>
  <c r="IP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N75" i="1"/>
  <c r="IW75" i="1"/>
  <c r="IK75" i="1"/>
  <c r="IQ75" i="1"/>
  <c r="IP75" i="1"/>
  <c r="IJ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J98" i="1"/>
  <c r="IN98" i="1"/>
  <c r="IW98" i="1"/>
  <c r="IK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Q95" i="1"/>
  <c r="IN95" i="1"/>
  <c r="IR95" i="1"/>
  <c r="IK95" i="1"/>
  <c r="IJ95" i="1"/>
  <c r="IP95" i="1"/>
  <c r="IW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W86" i="1"/>
  <c r="IQ86" i="1"/>
  <c r="IK86" i="1"/>
  <c r="IN86" i="1"/>
  <c r="IJ86" i="1"/>
  <c r="IP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127" i="1" l="1"/>
  <c r="IF29" i="1"/>
  <c r="IF89" i="1"/>
  <c r="IF130" i="1"/>
  <c r="IF137" i="1"/>
  <c r="IF139" i="1"/>
  <c r="IF11" i="1"/>
  <c r="IF123" i="1"/>
  <c r="IF135" i="1"/>
  <c r="IF112" i="1"/>
  <c r="IF62" i="1"/>
  <c r="IF150" i="1"/>
  <c r="IF56" i="1"/>
  <c r="IF114" i="1"/>
  <c r="IF82" i="1"/>
  <c r="IF117" i="1"/>
  <c r="IF132" i="1"/>
  <c r="IF143" i="1"/>
  <c r="IF144" i="1"/>
  <c r="IF67" i="1"/>
  <c r="IF113" i="1"/>
  <c r="IF78" i="1"/>
  <c r="IF136" i="1"/>
  <c r="IF92" i="1"/>
  <c r="IF149" i="1"/>
  <c r="IF10" i="1"/>
  <c r="IF121" i="1"/>
  <c r="IF118" i="1"/>
  <c r="IF44" i="1"/>
  <c r="IF68" i="1"/>
  <c r="IF105" i="1"/>
  <c r="IF88" i="1"/>
  <c r="IF55" i="1"/>
  <c r="IF115" i="1"/>
  <c r="IF131" i="1"/>
  <c r="IF12" i="1"/>
  <c r="IF126" i="1"/>
  <c r="IF27" i="1"/>
  <c r="IF102" i="1"/>
  <c r="IF147" i="1"/>
  <c r="IF109" i="1"/>
  <c r="IF103" i="1"/>
  <c r="IF145" i="1"/>
  <c r="IF100" i="1"/>
  <c r="IF94" i="1"/>
  <c r="IF13" i="1"/>
  <c r="IF30" i="1"/>
  <c r="IF9" i="1"/>
  <c r="IF116" i="1"/>
  <c r="IF79" i="1"/>
  <c r="IF106" i="1"/>
  <c r="IF134" i="1"/>
  <c r="IF57" i="1"/>
  <c r="IF69" i="1"/>
  <c r="IF125" i="1"/>
  <c r="IF87" i="1"/>
  <c r="IF39" i="1"/>
  <c r="IF107" i="1"/>
  <c r="IF146" i="1"/>
  <c r="IF28" i="1"/>
  <c r="IF90" i="1"/>
  <c r="IF122" i="1"/>
  <c r="IF91" i="1"/>
  <c r="IF83" i="1"/>
  <c r="IF64" i="1"/>
  <c r="IF80" i="1"/>
  <c r="IF141" i="1"/>
  <c r="IF138" i="1"/>
  <c r="IF119" i="1"/>
  <c r="IF45" i="1"/>
  <c r="IF110" i="1"/>
  <c r="IF77" i="1"/>
  <c r="IF133" i="1"/>
  <c r="IF128" i="1"/>
  <c r="IF129" i="1"/>
  <c r="IF72" i="1"/>
  <c r="IF124" i="1"/>
  <c r="IF120" i="1"/>
  <c r="IF14" i="1"/>
  <c r="IF70" i="1"/>
  <c r="IF101" i="1"/>
  <c r="IF38" i="1"/>
  <c r="IF66" i="1"/>
  <c r="IF99" i="1"/>
  <c r="IF81" i="1"/>
  <c r="IF37" i="1"/>
  <c r="IF104" i="1"/>
  <c r="IF63" i="1"/>
  <c r="IF71" i="1"/>
  <c r="IF93" i="1"/>
  <c r="IF65" i="1"/>
  <c r="IF142" i="1"/>
  <c r="IF148" i="1"/>
  <c r="IF50" i="1"/>
  <c r="IF14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IV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V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97" i="1" l="1"/>
  <c r="IU97" i="1"/>
  <c r="IE97" i="1" s="1"/>
  <c r="IQ53" i="1"/>
  <c r="IV49" i="1"/>
  <c r="IQ52" i="1"/>
  <c r="IV48" i="1"/>
  <c r="IQ51" i="1"/>
  <c r="IV47" i="1"/>
  <c r="IQ36" i="1"/>
  <c r="IV32" i="1"/>
  <c r="IQ35" i="1"/>
  <c r="IV31" i="1"/>
  <c r="IQ26" i="1"/>
  <c r="IV23" i="1"/>
  <c r="IQ25" i="1"/>
  <c r="IV22" i="1"/>
  <c r="IQ24" i="1"/>
  <c r="IV21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AJ75" i="1" s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R84" i="1"/>
  <c r="X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98" i="1" l="1"/>
  <c r="IU98" i="1"/>
  <c r="IE98" i="1" s="1"/>
  <c r="AQ96" i="1"/>
  <c r="IU96" i="1"/>
  <c r="IE96" i="1" s="1"/>
  <c r="AQ95" i="1"/>
  <c r="IU95" i="1"/>
  <c r="IE95" i="1" s="1"/>
  <c r="AQ86" i="1"/>
  <c r="IU86" i="1"/>
  <c r="IE86" i="1" s="1"/>
  <c r="AQ85" i="1"/>
  <c r="IU85" i="1"/>
  <c r="IE85" i="1" s="1"/>
  <c r="AQ84" i="1"/>
  <c r="IU84" i="1"/>
  <c r="IE84" i="1" s="1"/>
  <c r="AQ76" i="1"/>
  <c r="IU76" i="1"/>
  <c r="IE76" i="1" s="1"/>
  <c r="AG75" i="1"/>
  <c r="AQ75" i="1"/>
  <c r="IU75" i="1"/>
  <c r="IE75" i="1" s="1"/>
  <c r="AQ74" i="1"/>
  <c r="IU74" i="1"/>
  <c r="IE74" i="1" s="1"/>
  <c r="AQ73" i="1"/>
  <c r="IU73" i="1"/>
  <c r="IE73" i="1" s="1"/>
  <c r="IP61" i="1"/>
  <c r="IU58" i="1"/>
  <c r="IE58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36" i="1"/>
  <c r="IU32" i="1"/>
  <c r="IE32" i="1" s="1"/>
  <c r="IP35" i="1"/>
  <c r="IU31" i="1"/>
  <c r="IE31" i="1" s="1"/>
  <c r="IP26" i="1"/>
  <c r="IU23" i="1"/>
  <c r="IE23" i="1" s="1"/>
  <c r="IP25" i="1"/>
  <c r="IU22" i="1"/>
  <c r="IE22" i="1" s="1"/>
  <c r="IP24" i="1"/>
  <c r="IU21" i="1"/>
  <c r="IE21" i="1" s="1"/>
  <c r="AQ20" i="1"/>
  <c r="IU20" i="1"/>
  <c r="IE20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IL96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IL22" i="1" s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8" i="1" l="1"/>
  <c r="IL97" i="1"/>
  <c r="IL95" i="1"/>
  <c r="IL86" i="1"/>
  <c r="IL75" i="1"/>
  <c r="IL85" i="1"/>
  <c r="IL84" i="1"/>
  <c r="IL31" i="1"/>
  <c r="IL47" i="1"/>
  <c r="IL76" i="1"/>
  <c r="IL74" i="1"/>
  <c r="IL73" i="1"/>
  <c r="IL58" i="1"/>
  <c r="IL49" i="1"/>
  <c r="IL48" i="1"/>
  <c r="IL46" i="1"/>
  <c r="IL32" i="1"/>
  <c r="IL23" i="1"/>
  <c r="IL21" i="1"/>
  <c r="IL20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T98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IT97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5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T75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X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6" i="1" s="1"/>
  <c r="U90" i="1"/>
  <c r="U89" i="1"/>
  <c r="AL89" i="1"/>
  <c r="AN89" i="1" s="1"/>
  <c r="IT95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IY86" i="1" s="1"/>
  <c r="U86" i="1"/>
  <c r="AK86" i="1"/>
  <c r="T86" i="1"/>
  <c r="T85" i="1"/>
  <c r="AL85" i="1"/>
  <c r="AN85" i="1" s="1"/>
  <c r="IY85" i="1" s="1"/>
  <c r="IF85" i="1" s="1"/>
  <c r="AK83" i="1"/>
  <c r="AL84" i="1"/>
  <c r="AN84" i="1" s="1"/>
  <c r="IY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IT86" i="1" s="1"/>
  <c r="AK81" i="1"/>
  <c r="T81" i="1"/>
  <c r="AL79" i="1"/>
  <c r="AN79" i="1" s="1"/>
  <c r="IT84" i="1" s="1"/>
  <c r="U80" i="1"/>
  <c r="AL80" i="1"/>
  <c r="AN80" i="1" s="1"/>
  <c r="IT85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T76" i="1" s="1"/>
  <c r="T69" i="1"/>
  <c r="AK69" i="1"/>
  <c r="U69" i="1"/>
  <c r="U68" i="1"/>
  <c r="T68" i="1"/>
  <c r="AK68" i="1"/>
  <c r="AL68" i="1"/>
  <c r="AN68" i="1" s="1"/>
  <c r="IT74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T54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IT42" i="1" s="1"/>
  <c r="AL38" i="1"/>
  <c r="AN38" i="1" s="1"/>
  <c r="IT41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98" i="1" l="1"/>
  <c r="IT59" i="1"/>
  <c r="IT61" i="1"/>
  <c r="IY58" i="1"/>
  <c r="IY52" i="1"/>
  <c r="IT58" i="1"/>
  <c r="IX43" i="1"/>
  <c r="IS49" i="1"/>
  <c r="IT53" i="1"/>
  <c r="IY49" i="1"/>
  <c r="IY43" i="1"/>
  <c r="IT49" i="1"/>
  <c r="IS53" i="1"/>
  <c r="IX49" i="1"/>
  <c r="IT52" i="1"/>
  <c r="IY48" i="1"/>
  <c r="IY42" i="1"/>
  <c r="IT48" i="1"/>
  <c r="IY41" i="1"/>
  <c r="IT47" i="1"/>
  <c r="IX41" i="1"/>
  <c r="IS47" i="1"/>
  <c r="IS51" i="1"/>
  <c r="IX47" i="1"/>
  <c r="IT43" i="1"/>
  <c r="IT46" i="1"/>
  <c r="IT34" i="1"/>
  <c r="IT33" i="1"/>
  <c r="IY26" i="1"/>
  <c r="IT32" i="1"/>
  <c r="IT36" i="1"/>
  <c r="IY32" i="1"/>
  <c r="IT35" i="1"/>
  <c r="IY31" i="1"/>
  <c r="IX25" i="1"/>
  <c r="IS31" i="1"/>
  <c r="IY25" i="1"/>
  <c r="IT31" i="1"/>
  <c r="IY17" i="1"/>
  <c r="IT23" i="1"/>
  <c r="IT26" i="1"/>
  <c r="IY23" i="1"/>
  <c r="IY16" i="1"/>
  <c r="IT22" i="1"/>
  <c r="IT25" i="1"/>
  <c r="IY22" i="1"/>
  <c r="IT19" i="1"/>
  <c r="IT21" i="1"/>
  <c r="IS24" i="1"/>
  <c r="IX21" i="1"/>
  <c r="IT24" i="1"/>
  <c r="IY21" i="1"/>
  <c r="IT18" i="1"/>
  <c r="IT20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IX95" i="1" s="1"/>
  <c r="IF95" i="1" s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IS97" i="1" s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IS98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S96" i="1" s="1"/>
  <c r="AP90" i="1"/>
  <c r="AO87" i="1"/>
  <c r="AP87" i="1"/>
  <c r="AO88" i="1"/>
  <c r="AP88" i="1"/>
  <c r="AP86" i="1"/>
  <c r="AO86" i="1"/>
  <c r="IX86" i="1" s="1"/>
  <c r="IF86" i="1" s="1"/>
  <c r="AP85" i="1"/>
  <c r="AP84" i="1"/>
  <c r="AO84" i="1"/>
  <c r="IX84" i="1" s="1"/>
  <c r="IF84" i="1" s="1"/>
  <c r="AP83" i="1"/>
  <c r="AO83" i="1"/>
  <c r="AO81" i="1"/>
  <c r="IS86" i="1" s="1"/>
  <c r="AP81" i="1"/>
  <c r="AO82" i="1"/>
  <c r="AP82" i="1"/>
  <c r="AO79" i="1"/>
  <c r="IS84" i="1" s="1"/>
  <c r="AP79" i="1"/>
  <c r="AP80" i="1"/>
  <c r="AO80" i="1"/>
  <c r="IS85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IS76" i="1" s="1"/>
  <c r="AO67" i="1"/>
  <c r="IS73" i="1" s="1"/>
  <c r="AP67" i="1"/>
  <c r="AO68" i="1"/>
  <c r="IS74" i="1" s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AP52" i="1"/>
  <c r="AP49" i="1"/>
  <c r="AP50" i="1"/>
  <c r="AO50" i="1"/>
  <c r="IS54" i="1" s="1"/>
  <c r="AN47" i="1"/>
  <c r="AP47" i="1"/>
  <c r="AO48" i="1"/>
  <c r="AP48" i="1"/>
  <c r="AP45" i="1"/>
  <c r="AO45" i="1"/>
  <c r="AP46" i="1"/>
  <c r="AO46" i="1"/>
  <c r="IX46" i="1" s="1"/>
  <c r="IF46" i="1" s="1"/>
  <c r="AP43" i="1"/>
  <c r="AO44" i="1"/>
  <c r="AP44" i="1"/>
  <c r="AO42" i="1"/>
  <c r="AP42" i="1"/>
  <c r="AP41" i="1"/>
  <c r="AO40" i="1"/>
  <c r="AP40" i="1"/>
  <c r="AO39" i="1"/>
  <c r="IS42" i="1" s="1"/>
  <c r="AP39" i="1"/>
  <c r="AP37" i="1"/>
  <c r="AO37" i="1"/>
  <c r="AO38" i="1"/>
  <c r="IS41" i="1" s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AP27" i="1"/>
  <c r="AP28" i="1"/>
  <c r="AO28" i="1"/>
  <c r="IS34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AP17" i="1"/>
  <c r="AO18" i="1"/>
  <c r="IX18" i="1" s="1"/>
  <c r="IF18" i="1" s="1"/>
  <c r="AP18" i="1"/>
  <c r="AP15" i="1"/>
  <c r="AO15" i="1"/>
  <c r="AO16" i="1"/>
  <c r="IS22" i="1" s="1"/>
  <c r="AP16" i="1"/>
  <c r="AO13" i="1"/>
  <c r="IS17" i="1" s="1"/>
  <c r="AP13" i="1"/>
  <c r="AO14" i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43" i="1" l="1"/>
  <c r="IS60" i="1"/>
  <c r="IS59" i="1"/>
  <c r="IS61" i="1"/>
  <c r="IX58" i="1"/>
  <c r="IF58" i="1" s="1"/>
  <c r="IX52" i="1"/>
  <c r="IF52" i="1" s="1"/>
  <c r="IS58" i="1"/>
  <c r="IF49" i="1"/>
  <c r="IX42" i="1"/>
  <c r="IF42" i="1" s="1"/>
  <c r="IS48" i="1"/>
  <c r="IS52" i="1"/>
  <c r="IX48" i="1"/>
  <c r="IF48" i="1" s="1"/>
  <c r="IF41" i="1"/>
  <c r="IT51" i="1"/>
  <c r="IY47" i="1"/>
  <c r="IF47" i="1" s="1"/>
  <c r="IS43" i="1"/>
  <c r="IS46" i="1"/>
  <c r="IS33" i="1"/>
  <c r="IS36" i="1"/>
  <c r="IX32" i="1"/>
  <c r="IF32" i="1" s="1"/>
  <c r="IX26" i="1"/>
  <c r="IF26" i="1" s="1"/>
  <c r="IS32" i="1"/>
  <c r="IF25" i="1"/>
  <c r="IS35" i="1"/>
  <c r="IX31" i="1"/>
  <c r="IF31" i="1" s="1"/>
  <c r="IF21" i="1"/>
  <c r="IX17" i="1"/>
  <c r="IF17" i="1" s="1"/>
  <c r="IS23" i="1"/>
  <c r="IS26" i="1"/>
  <c r="IX23" i="1"/>
  <c r="IF23" i="1" s="1"/>
  <c r="IS25" i="1"/>
  <c r="IX22" i="1"/>
  <c r="IF22" i="1" s="1"/>
  <c r="IS19" i="1"/>
  <c r="IS5" i="1" s="1"/>
  <c r="IS21" i="1"/>
  <c r="IS18" i="1"/>
  <c r="IS20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<sst xmlns="http://schemas.openxmlformats.org/spreadsheetml/2006/main" count="704" uniqueCount="379">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</sst>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F9" sqref="IF9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1189" t="str">
        <f>CONCATENATE(Settings!C19, " ",Settings!B28)</f>
        <v>12.25 yyyy.mm.dd --- Job # --- Assy #</v>
      </c>
      <c r="D1" s="1189"/>
      <c r="E1" s="1189"/>
      <c r="F1" s="1189"/>
      <c r="G1" s="1189"/>
      <c r="H1" s="1189"/>
      <c r="I1" s="1189"/>
      <c r="J1" s="1189"/>
      <c r="K1" s="1189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200" t="s">
        <v>315</v>
      </c>
      <c r="C2" s="1201"/>
      <c r="D2" s="1201"/>
      <c r="E2" s="1201"/>
      <c r="F2" s="1201"/>
      <c r="G2" s="1201"/>
      <c r="H2" s="1201"/>
      <c r="I2" s="1201"/>
      <c r="J2" s="1201"/>
      <c r="K2" s="1202"/>
      <c r="M2" s="1208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155" t="s">
        <v>0</v>
      </c>
      <c r="AW2" s="1116" t="s">
        <v>109</v>
      </c>
      <c r="AX2" s="1117"/>
      <c r="AY2" s="1117"/>
      <c r="AZ2" s="1117"/>
      <c r="BA2" s="1117"/>
      <c r="BB2" s="1117"/>
      <c r="BC2" s="1117"/>
      <c r="BD2" s="1117"/>
      <c r="BE2" s="1118"/>
      <c r="BF2" s="1187" t="s">
        <v>115</v>
      </c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  <c r="CK2" s="1117"/>
      <c r="CL2" s="1117"/>
      <c r="CM2" s="1117"/>
      <c r="CN2" s="1117"/>
      <c r="CO2" s="1117"/>
      <c r="CP2" s="1117"/>
      <c r="CQ2" s="1117"/>
      <c r="CR2" s="1117"/>
      <c r="CS2" s="1117"/>
      <c r="CT2" s="1117"/>
      <c r="CU2" s="1117"/>
      <c r="CV2" s="1117"/>
      <c r="CW2" s="1117"/>
      <c r="CX2" s="1117"/>
      <c r="CY2" s="1117"/>
      <c r="CZ2" s="1117"/>
      <c r="DA2" s="1117"/>
      <c r="DB2" s="1117"/>
      <c r="DC2" s="1117"/>
      <c r="DD2" s="1117"/>
      <c r="DE2" s="1117"/>
      <c r="DF2" s="1117"/>
      <c r="DG2" s="1117"/>
      <c r="DH2" s="1117"/>
      <c r="DI2" s="1117"/>
      <c r="DJ2" s="1117"/>
      <c r="DK2" s="1117"/>
      <c r="DL2" s="1117"/>
      <c r="DM2" s="1117"/>
      <c r="DN2" s="1117"/>
      <c r="DO2" s="1117"/>
      <c r="DP2" s="1117"/>
      <c r="DQ2" s="1117"/>
      <c r="DR2" s="1117"/>
      <c r="DS2" s="1117"/>
      <c r="DT2" s="1117"/>
      <c r="DU2" s="1117"/>
      <c r="DV2" s="1117"/>
      <c r="DW2" s="1117"/>
      <c r="DX2" s="1117"/>
      <c r="DY2" s="1117"/>
      <c r="DZ2" s="1117"/>
      <c r="EA2" s="1117"/>
      <c r="EB2" s="1117"/>
      <c r="EC2" s="1117"/>
      <c r="ED2" s="1117"/>
      <c r="EE2" s="1117"/>
      <c r="EF2" s="1117"/>
      <c r="EG2" s="1117"/>
      <c r="EH2" s="1117"/>
      <c r="EI2" s="1117"/>
      <c r="EJ2" s="1117"/>
      <c r="EK2" s="1117"/>
      <c r="EL2" s="1117"/>
      <c r="EM2" s="1117"/>
      <c r="EN2" s="1117"/>
      <c r="EO2" s="1117"/>
      <c r="EP2" s="1117"/>
      <c r="EQ2" s="1117"/>
      <c r="ER2" s="1157"/>
      <c r="ES2" s="1054" t="s">
        <v>197</v>
      </c>
      <c r="ET2" s="1055"/>
      <c r="EU2" s="1055"/>
      <c r="EV2" s="1055"/>
      <c r="EW2" s="1055"/>
      <c r="EX2" s="1055"/>
      <c r="EY2" s="1055"/>
      <c r="EZ2" s="1055"/>
      <c r="FA2" s="1055"/>
      <c r="FB2" s="1055"/>
      <c r="FC2" s="1055"/>
      <c r="FD2" s="1055"/>
      <c r="FE2" s="1055"/>
      <c r="FF2" s="105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0" t="s">
        <v>266</v>
      </c>
      <c r="HQ2" s="997" t="str">
        <f>IFERROR(CONCATENATE("Sum of Lateral Forces = ",ROUND(HE3,0)," lbs @ ",ROUND(HF3,1),"° Relative to Blade 1"),"")</f>
        <v/>
      </c>
      <c r="HR2" s="998"/>
      <c r="HS2" s="998"/>
      <c r="HT2" s="998"/>
      <c r="HU2" s="998"/>
      <c r="HV2" s="999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3"/>
      <c r="C3" s="1153"/>
      <c r="D3" s="1153"/>
      <c r="E3" s="1153"/>
      <c r="F3" s="1153"/>
      <c r="G3" s="1153"/>
      <c r="H3" s="1153"/>
      <c r="I3" s="1153"/>
      <c r="J3" s="1153"/>
      <c r="K3" s="1204"/>
      <c r="M3" s="1203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158"/>
      <c r="AA3" s="1159"/>
      <c r="AB3" s="1159"/>
      <c r="AC3" s="1159"/>
      <c r="AD3" s="1159"/>
      <c r="AE3" s="1159"/>
      <c r="AF3" s="1159"/>
      <c r="AG3" s="1159"/>
      <c r="AH3" s="1159"/>
      <c r="AI3" s="1159"/>
      <c r="AJ3" s="1159"/>
      <c r="AK3" s="1159"/>
      <c r="AL3" s="1159"/>
      <c r="AM3" s="1159"/>
      <c r="AN3" s="1159"/>
      <c r="AO3" s="1159"/>
      <c r="AP3" s="1159"/>
      <c r="AQ3" s="1182"/>
      <c r="AS3" s="488">
        <v>100</v>
      </c>
      <c r="AT3" s="485" t="s">
        <v>45</v>
      </c>
      <c r="AV3" s="1156"/>
      <c r="AW3" s="1057"/>
      <c r="AX3" s="1058"/>
      <c r="AY3" s="1058"/>
      <c r="AZ3" s="1058"/>
      <c r="BA3" s="1058"/>
      <c r="BB3" s="1058"/>
      <c r="BC3" s="1058"/>
      <c r="BD3" s="1058"/>
      <c r="BE3" s="1119"/>
      <c r="BF3" s="1188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57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1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5"/>
      <c r="C4" s="1206"/>
      <c r="D4" s="1206"/>
      <c r="E4" s="1206"/>
      <c r="F4" s="1206"/>
      <c r="G4" s="1206"/>
      <c r="H4" s="1206"/>
      <c r="I4" s="1206"/>
      <c r="J4" s="1206"/>
      <c r="K4" s="1207"/>
      <c r="M4" s="1203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$Q$4</f>
        <v>Polar XY; Cartesian Z</v>
      </c>
      <c r="X4" s="1123"/>
      <c r="Y4" s="1193"/>
      <c r="Z4" s="1210" t="s">
        <v>3</v>
      </c>
      <c r="AA4" s="1149"/>
      <c r="AB4" s="1149"/>
      <c r="AC4" s="1149"/>
      <c r="AD4" s="1149"/>
      <c r="AE4" s="1149"/>
      <c r="AF4" s="1149"/>
      <c r="AG4" s="1148" t="s">
        <v>31</v>
      </c>
      <c r="AH4" s="1149"/>
      <c r="AI4" s="1149"/>
      <c r="AJ4" s="1151"/>
      <c r="AK4" s="1183" t="s">
        <v>32</v>
      </c>
      <c r="AL4" s="1184"/>
      <c r="AM4" s="1184"/>
      <c r="AN4" s="1184"/>
      <c r="AO4" s="1184"/>
      <c r="AP4" s="1184"/>
      <c r="AQ4" s="1185"/>
      <c r="AS4" s="489">
        <v>680</v>
      </c>
      <c r="AT4" s="486" t="s">
        <v>46</v>
      </c>
      <c r="AV4" s="1156"/>
      <c r="AW4" s="1075" t="s">
        <v>112</v>
      </c>
      <c r="AX4" s="978"/>
      <c r="AY4" s="910"/>
      <c r="AZ4" s="1114"/>
      <c r="BA4" s="1115"/>
      <c r="BB4" s="1120" t="s">
        <v>113</v>
      </c>
      <c r="BC4" s="1123" t="str">
        <f>$Q$4</f>
        <v>Polar XY; Cartesian Z</v>
      </c>
      <c r="BD4" s="1123"/>
      <c r="BE4" s="1124"/>
      <c r="BF4" s="1140" t="s">
        <v>129</v>
      </c>
      <c r="BG4" s="1141"/>
      <c r="BH4" s="1141"/>
      <c r="BI4" s="1141"/>
      <c r="BJ4" s="1141"/>
      <c r="BK4" s="1141"/>
      <c r="BL4" s="1141"/>
      <c r="BM4" s="1141"/>
      <c r="BN4" s="1141"/>
      <c r="BO4" s="1141"/>
      <c r="BP4" s="1141"/>
      <c r="BQ4" s="1141"/>
      <c r="BR4" s="1141"/>
      <c r="BS4" s="1141"/>
      <c r="BT4" s="1141"/>
      <c r="BU4" s="1141"/>
      <c r="BV4" s="1141"/>
      <c r="BW4" s="1141"/>
      <c r="BX4" s="1141"/>
      <c r="BY4" s="1141"/>
      <c r="BZ4" s="1141"/>
      <c r="CA4" s="1141"/>
      <c r="CB4" s="1141"/>
      <c r="CC4" s="1141"/>
      <c r="CD4" s="1141"/>
      <c r="CE4" s="1141"/>
      <c r="CF4" s="1141"/>
      <c r="CG4" s="1141"/>
      <c r="CH4" s="1141"/>
      <c r="CI4" s="1141"/>
      <c r="CJ4" s="1141"/>
      <c r="CK4" s="1141"/>
      <c r="CL4" s="1141"/>
      <c r="CM4" s="1141"/>
      <c r="CN4" s="1142"/>
      <c r="CO4" s="1110" t="s">
        <v>193</v>
      </c>
      <c r="CP4" s="1111"/>
      <c r="CQ4" s="1111"/>
      <c r="CR4" s="1111"/>
      <c r="CS4" s="1111"/>
      <c r="CT4" s="1111"/>
      <c r="CU4" s="1111"/>
      <c r="CV4" s="1111"/>
      <c r="CW4" s="1111"/>
      <c r="CX4" s="1111"/>
      <c r="CY4" s="1111"/>
      <c r="CZ4" s="1111"/>
      <c r="DA4" s="1112"/>
      <c r="DB4" s="1016" t="s">
        <v>162</v>
      </c>
      <c r="DC4" s="1017"/>
      <c r="DD4" s="1017"/>
      <c r="DE4" s="1017"/>
      <c r="DF4" s="1017"/>
      <c r="DG4" s="1017"/>
      <c r="DH4" s="1017"/>
      <c r="DI4" s="1017"/>
      <c r="DJ4" s="1017"/>
      <c r="DK4" s="1017"/>
      <c r="DL4" s="1017"/>
      <c r="DM4" s="1017"/>
      <c r="DN4" s="1017"/>
      <c r="DO4" s="1017"/>
      <c r="DP4" s="1017"/>
      <c r="DQ4" s="1017"/>
      <c r="DR4" s="1017"/>
      <c r="DS4" s="1017"/>
      <c r="DT4" s="1017"/>
      <c r="DU4" s="1017"/>
      <c r="DV4" s="1017"/>
      <c r="DW4" s="1017"/>
      <c r="DX4" s="1017"/>
      <c r="DY4" s="1017"/>
      <c r="DZ4" s="1017"/>
      <c r="EA4" s="1017"/>
      <c r="EB4" s="1017"/>
      <c r="EC4" s="1017"/>
      <c r="ED4" s="1017"/>
      <c r="EE4" s="1017"/>
      <c r="EF4" s="1017"/>
      <c r="EG4" s="1017"/>
      <c r="EH4" s="1017"/>
      <c r="EI4" s="1017"/>
      <c r="EJ4" s="1017"/>
      <c r="EK4" s="1017"/>
      <c r="EL4" s="1017"/>
      <c r="EM4" s="1017"/>
      <c r="EN4" s="1017"/>
      <c r="EO4" s="1017"/>
      <c r="EP4" s="1017"/>
      <c r="EQ4" s="1017"/>
      <c r="ER4" s="1018"/>
      <c r="ES4" s="1069" t="s">
        <v>196</v>
      </c>
      <c r="ET4" s="1070"/>
      <c r="EU4" s="1070"/>
      <c r="EV4" s="1070"/>
      <c r="EW4" s="1070"/>
      <c r="EX4" s="1070"/>
      <c r="EY4" s="1071"/>
      <c r="EZ4" s="1079" t="s">
        <v>201</v>
      </c>
      <c r="FA4" s="1080"/>
      <c r="FB4" s="1080"/>
      <c r="FC4" s="1080"/>
      <c r="FD4" s="1080"/>
      <c r="FE4" s="1080"/>
      <c r="FF4" s="1081"/>
      <c r="FG4" s="350"/>
      <c r="FP4" s="990" t="s">
        <v>229</v>
      </c>
      <c r="FZ4" s="990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8"/>
      <c r="GO4" s="970" t="s">
        <v>229</v>
      </c>
      <c r="GP4" s="974" t="s">
        <v>228</v>
      </c>
      <c r="GR4" s="980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3" t="str">
        <f>IFERROR(CONCATENATE("Lateral Forces = ",ROUND(HE3,0)," lbs @ ",ROUND(HF3,1),"° Relative to Blade 1"),"")</f>
        <v/>
      </c>
      <c r="HB4" s="1004"/>
      <c r="HC4" s="1004"/>
      <c r="HD4" s="1004"/>
      <c r="HE4" s="1004"/>
      <c r="HF4" s="1004"/>
      <c r="HG4" s="1004"/>
      <c r="HH4" s="1005"/>
      <c r="HI4" s="1011" t="s">
        <v>0</v>
      </c>
      <c r="HO4" s="992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M5" s="1203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about Z Axis")</f>
        <v>Relative to 1.11's θ about Z Axis</v>
      </c>
      <c r="U5" s="1130"/>
      <c r="V5" s="1175"/>
      <c r="W5" s="1130" t="str">
        <f>CONCATENATE("Relative to ",M8,"'s θ about Z Axis")</f>
        <v>Relative to 1.11's θ about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176">
        <f>(((AS4*12)/60)/AS3)</f>
        <v>1.36</v>
      </c>
      <c r="AT5" s="486" t="s">
        <v>47</v>
      </c>
      <c r="AV5" s="1156"/>
      <c r="AW5" s="1134"/>
      <c r="AX5" s="1135"/>
      <c r="AY5" s="1136"/>
      <c r="AZ5" s="987"/>
      <c r="BA5" s="895"/>
      <c r="BB5" s="1121"/>
      <c r="BC5" s="1129" t="str">
        <f>$W$5</f>
        <v>Relative to 1.11's θ about Z Axis</v>
      </c>
      <c r="BD5" s="1130"/>
      <c r="BE5" s="1131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7" t="s">
        <v>275</v>
      </c>
      <c r="CP5" s="1037" t="s">
        <v>149</v>
      </c>
      <c r="CQ5" s="978"/>
      <c r="CR5" s="978"/>
      <c r="CS5" s="920"/>
      <c r="CT5" s="978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3" t="s">
        <v>173</v>
      </c>
      <c r="DJ5" s="1043"/>
      <c r="DK5" s="1103"/>
      <c r="DL5" s="1042" t="s">
        <v>174</v>
      </c>
      <c r="DM5" s="1043"/>
      <c r="DN5" s="1044"/>
      <c r="DO5" s="1105" t="s">
        <v>175</v>
      </c>
      <c r="DP5" s="1106"/>
      <c r="DQ5" s="1106"/>
      <c r="DR5" s="1033" t="s">
        <v>187</v>
      </c>
      <c r="DS5" s="1033"/>
      <c r="DT5" s="1033"/>
      <c r="DU5" s="1033"/>
      <c r="DV5" s="1033"/>
      <c r="DW5" s="1033"/>
      <c r="DX5" s="1037" t="s">
        <v>190</v>
      </c>
      <c r="DY5" s="941" t="s">
        <v>149</v>
      </c>
      <c r="DZ5" s="1033"/>
      <c r="EA5" s="1033"/>
      <c r="EB5" s="1033"/>
      <c r="EC5" s="1033" t="s">
        <v>150</v>
      </c>
      <c r="ED5" s="1033"/>
      <c r="EE5" s="980" t="s">
        <v>194</v>
      </c>
      <c r="EF5" s="980"/>
      <c r="EG5" s="993"/>
      <c r="EH5" s="1048" t="s">
        <v>195</v>
      </c>
      <c r="EI5" s="1049"/>
      <c r="EJ5" s="1050"/>
      <c r="EK5" s="1033" t="s">
        <v>188</v>
      </c>
      <c r="EL5" s="1037"/>
      <c r="EM5" s="919" t="s">
        <v>189</v>
      </c>
      <c r="EN5" s="887"/>
      <c r="EO5" s="887"/>
      <c r="EP5" s="887"/>
      <c r="EQ5" s="887"/>
      <c r="ER5" s="1096"/>
      <c r="ES5" s="1075" t="s">
        <v>202</v>
      </c>
      <c r="ET5" s="978"/>
      <c r="EU5" s="920"/>
      <c r="EV5" s="1072" t="s">
        <v>222</v>
      </c>
      <c r="EW5" s="1073"/>
      <c r="EX5" s="1073"/>
      <c r="EY5" s="1074"/>
      <c r="EZ5" s="1064" t="s">
        <v>200</v>
      </c>
      <c r="FA5" s="914" t="s">
        <v>202</v>
      </c>
      <c r="FB5" s="1089"/>
      <c r="FC5" s="915"/>
      <c r="FD5" s="1093" t="s">
        <v>222</v>
      </c>
      <c r="FE5" s="1094"/>
      <c r="FF5" s="1095"/>
      <c r="FP5" s="992"/>
      <c r="FQ5" s="34"/>
      <c r="FR5" s="34"/>
      <c r="FS5" s="34"/>
      <c r="FT5" s="34"/>
      <c r="FZ5" s="992"/>
      <c r="GJ5" s="966" t="s">
        <v>269</v>
      </c>
      <c r="GK5" s="1021" t="s">
        <v>267</v>
      </c>
      <c r="GL5" s="1023" t="s">
        <v>110</v>
      </c>
      <c r="GM5" s="1023" t="s">
        <v>111</v>
      </c>
      <c r="GN5" s="1024"/>
      <c r="GO5" s="971"/>
      <c r="GP5" s="975"/>
      <c r="GQ5" s="34"/>
      <c r="GR5" s="981"/>
      <c r="GS5" s="987" t="s">
        <v>248</v>
      </c>
      <c r="GT5" s="988"/>
      <c r="GU5" s="983" t="s">
        <v>249</v>
      </c>
      <c r="GV5" s="984"/>
      <c r="GW5" s="985"/>
      <c r="GX5" s="986"/>
      <c r="GY5" s="969" t="s">
        <v>107</v>
      </c>
      <c r="GZ5" s="897"/>
      <c r="HA5" s="1000" t="s">
        <v>248</v>
      </c>
      <c r="HB5" s="1001"/>
      <c r="HC5" s="1001"/>
      <c r="HD5" s="1002"/>
      <c r="HE5" s="1031" t="s">
        <v>249</v>
      </c>
      <c r="HF5" s="1001"/>
      <c r="HG5" s="1001"/>
      <c r="HH5" s="1032"/>
      <c r="HI5" s="1012"/>
      <c r="HN5" s="393" t="s">
        <v>263</v>
      </c>
      <c r="HO5" s="63" t="s">
        <v>264</v>
      </c>
      <c r="HS5" s="1006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M6" s="1203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$Q$6</f>
        <v>Projected XY</v>
      </c>
      <c r="X6" s="1126"/>
      <c r="Y6" s="1169" t="str">
        <f>$S$6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179" t="str">
        <f>AD6</f>
        <v>Unit Vector</v>
      </c>
      <c r="AL6" s="1180"/>
      <c r="AM6" s="1181"/>
      <c r="AN6" s="190" t="s">
        <v>15</v>
      </c>
      <c r="AO6" s="191" t="s">
        <v>16</v>
      </c>
      <c r="AP6" s="803" t="s">
        <v>17</v>
      </c>
      <c r="AQ6" s="1161" t="s">
        <v>108</v>
      </c>
      <c r="AS6" s="177">
        <f>(AS5/360)</f>
        <v>3.7777777777777779E-3</v>
      </c>
      <c r="AT6" s="487" t="s">
        <v>48</v>
      </c>
      <c r="AV6" s="1156"/>
      <c r="AW6" s="1145" t="s">
        <v>105</v>
      </c>
      <c r="AX6" s="1146"/>
      <c r="AY6" s="202" t="s">
        <v>110</v>
      </c>
      <c r="AZ6" s="1132" t="s">
        <v>111</v>
      </c>
      <c r="BA6" s="1133"/>
      <c r="BB6" s="1122"/>
      <c r="BC6" s="1125" t="str">
        <f>$Q$6</f>
        <v>Projected XY</v>
      </c>
      <c r="BD6" s="1126"/>
      <c r="BE6" s="1127" t="str">
        <f>$S$6</f>
        <v>Z</v>
      </c>
      <c r="BF6" s="872" t="s">
        <v>125</v>
      </c>
      <c r="BG6" s="865"/>
      <c r="BH6" s="965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5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8"/>
      <c r="CH6" s="1098"/>
      <c r="CI6" s="1100" t="s">
        <v>137</v>
      </c>
      <c r="CJ6" s="1098"/>
      <c r="CK6" s="875"/>
      <c r="CL6" s="1097" t="s">
        <v>140</v>
      </c>
      <c r="CM6" s="1098"/>
      <c r="CN6" s="1099"/>
      <c r="CO6" s="1038"/>
      <c r="CP6" s="1038"/>
      <c r="CQ6" s="1077"/>
      <c r="CR6" s="1077"/>
      <c r="CS6" s="1078"/>
      <c r="CT6" s="1077"/>
      <c r="CU6" s="1113"/>
      <c r="CV6" s="1139" t="s">
        <v>147</v>
      </c>
      <c r="CW6" s="865"/>
      <c r="CX6" s="866"/>
      <c r="CY6" s="1137" t="s">
        <v>148</v>
      </c>
      <c r="CZ6" s="996"/>
      <c r="DA6" s="1138"/>
      <c r="DB6" s="1101" t="s">
        <v>176</v>
      </c>
      <c r="DC6" s="1029"/>
      <c r="DD6" s="1030"/>
      <c r="DE6" s="1102" t="s">
        <v>177</v>
      </c>
      <c r="DF6" s="1029"/>
      <c r="DG6" s="1030"/>
      <c r="DH6" s="260" t="s">
        <v>29</v>
      </c>
      <c r="DI6" s="1046"/>
      <c r="DJ6" s="1046"/>
      <c r="DK6" s="1104"/>
      <c r="DL6" s="1045"/>
      <c r="DM6" s="1046"/>
      <c r="DN6" s="1047"/>
      <c r="DO6" s="1107"/>
      <c r="DP6" s="1108"/>
      <c r="DQ6" s="1108"/>
      <c r="DR6" s="1034"/>
      <c r="DS6" s="1034"/>
      <c r="DT6" s="1034"/>
      <c r="DU6" s="1034"/>
      <c r="DV6" s="1034"/>
      <c r="DW6" s="1034"/>
      <c r="DX6" s="1038"/>
      <c r="DY6" s="1109"/>
      <c r="DZ6" s="1034"/>
      <c r="EA6" s="1034"/>
      <c r="EB6" s="1034"/>
      <c r="EC6" s="1034"/>
      <c r="ED6" s="1034"/>
      <c r="EE6" s="1035"/>
      <c r="EF6" s="1035"/>
      <c r="EG6" s="1036"/>
      <c r="EH6" s="1051"/>
      <c r="EI6" s="1052"/>
      <c r="EJ6" s="1053"/>
      <c r="EK6" s="1034"/>
      <c r="EL6" s="1038"/>
      <c r="EM6" s="1039" t="s">
        <v>199</v>
      </c>
      <c r="EN6" s="1040"/>
      <c r="EO6" s="1041"/>
      <c r="EP6" s="1082" t="s">
        <v>198</v>
      </c>
      <c r="EQ6" s="1040"/>
      <c r="ER6" s="1084"/>
      <c r="ES6" s="1076"/>
      <c r="ET6" s="1077"/>
      <c r="EU6" s="1078"/>
      <c r="EV6" s="281" t="s">
        <v>221</v>
      </c>
      <c r="EW6" s="1082" t="s">
        <v>202</v>
      </c>
      <c r="EX6" s="1040"/>
      <c r="EY6" s="1083"/>
      <c r="EZ6" s="1065"/>
      <c r="FA6" s="1090"/>
      <c r="FB6" s="1091"/>
      <c r="FC6" s="1092"/>
      <c r="FD6" s="1039" t="s">
        <v>202</v>
      </c>
      <c r="FE6" s="1040"/>
      <c r="FF6" s="1084"/>
      <c r="FG6" s="1086" t="s">
        <v>224</v>
      </c>
      <c r="FH6" s="1087"/>
      <c r="FI6" s="1088"/>
      <c r="FJ6" s="1033" t="s">
        <v>203</v>
      </c>
      <c r="FK6" s="1037" t="s">
        <v>214</v>
      </c>
      <c r="FL6" s="978"/>
      <c r="FM6" s="920"/>
      <c r="FN6" s="1019" t="s">
        <v>204</v>
      </c>
      <c r="FO6" s="1067" t="s">
        <v>227</v>
      </c>
      <c r="FP6" s="106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7" t="s">
        <v>218</v>
      </c>
      <c r="FV6" s="978"/>
      <c r="FW6" s="920"/>
      <c r="FX6" s="1019" t="s">
        <v>219</v>
      </c>
      <c r="FY6" s="1067" t="s">
        <v>227</v>
      </c>
      <c r="FZ6" s="1060" t="s">
        <v>225</v>
      </c>
      <c r="GA6" s="1062" t="s">
        <v>239</v>
      </c>
      <c r="GB6" s="343" t="s">
        <v>207</v>
      </c>
      <c r="GC6" s="344" t="s">
        <v>240</v>
      </c>
      <c r="GD6" s="345" t="s">
        <v>226</v>
      </c>
      <c r="GE6" s="963"/>
      <c r="GF6" s="993" t="s">
        <v>260</v>
      </c>
      <c r="GG6" s="343" t="s">
        <v>207</v>
      </c>
      <c r="GH6" s="344" t="s">
        <v>240</v>
      </c>
      <c r="GI6" s="345" t="s">
        <v>226</v>
      </c>
      <c r="GJ6" s="967"/>
      <c r="GK6" s="1022"/>
      <c r="GL6" s="1025"/>
      <c r="GM6" s="1025"/>
      <c r="GN6" s="1026"/>
      <c r="GO6" s="972" t="s">
        <v>238</v>
      </c>
      <c r="GP6" s="976" t="s">
        <v>225</v>
      </c>
      <c r="GQ6" s="978" t="s">
        <v>203</v>
      </c>
      <c r="GR6" s="981"/>
      <c r="GS6" s="1009" t="s">
        <v>252</v>
      </c>
      <c r="GT6" s="1010"/>
      <c r="GU6" s="995" t="s">
        <v>251</v>
      </c>
      <c r="GV6" s="996"/>
      <c r="GW6" s="996"/>
      <c r="GX6" s="368" t="s">
        <v>106</v>
      </c>
      <c r="GY6" s="878" t="s">
        <v>250</v>
      </c>
      <c r="GZ6" s="965"/>
      <c r="HA6" s="1028" t="s">
        <v>252</v>
      </c>
      <c r="HB6" s="1029"/>
      <c r="HC6" s="1029"/>
      <c r="HD6" s="1030"/>
      <c r="HE6" s="878" t="s">
        <v>251</v>
      </c>
      <c r="HF6" s="865"/>
      <c r="HG6" s="865"/>
      <c r="HH6" s="868"/>
      <c r="HI6" s="1012"/>
      <c r="HN6" s="958" t="s">
        <v>238</v>
      </c>
      <c r="HO6" s="961" t="s">
        <v>265</v>
      </c>
      <c r="HP6" s="941" t="s">
        <v>203</v>
      </c>
      <c r="HQ6" s="398"/>
      <c r="HS6" s="1007"/>
      <c r="HT6" s="888" t="s">
        <v>270</v>
      </c>
      <c r="HU6" s="885"/>
      <c r="HV6" s="968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2" t="s">
        <v>40</v>
      </c>
      <c r="C7" s="1213"/>
      <c r="D7" s="1214"/>
      <c r="E7" s="1215" t="s">
        <v>41</v>
      </c>
      <c r="F7" s="1213"/>
      <c r="G7" s="1216"/>
      <c r="H7" s="1190" t="s">
        <v>98</v>
      </c>
      <c r="I7" s="1191"/>
      <c r="J7" s="1192"/>
      <c r="K7" s="178"/>
      <c r="L7" s="327"/>
      <c r="M7" s="1209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$Q$7</f>
        <v>&lt; θ°</v>
      </c>
      <c r="X7" s="30" t="str">
        <f>$R$7</f>
        <v>r</v>
      </c>
      <c r="Y7" s="117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2"/>
      <c r="AS7" s="1167" t="s">
        <v>54</v>
      </c>
      <c r="AT7" s="1165" t="s">
        <v>53</v>
      </c>
      <c r="AV7" s="1156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2"/>
      <c r="BC7" s="40" t="str">
        <f>$Q$7</f>
        <v>&lt; θ°</v>
      </c>
      <c r="BD7" s="30" t="str">
        <f>$R$7</f>
        <v>r</v>
      </c>
      <c r="BE7" s="112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6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5"/>
      <c r="FK7" s="357" t="s">
        <v>211</v>
      </c>
      <c r="FL7" s="358" t="s">
        <v>212</v>
      </c>
      <c r="FM7" s="359" t="s">
        <v>213</v>
      </c>
      <c r="FN7" s="1020"/>
      <c r="FO7" s="1068"/>
      <c r="FP7" s="106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0"/>
      <c r="FY7" s="1068"/>
      <c r="FZ7" s="1061"/>
      <c r="GA7" s="1063"/>
      <c r="GB7" s="230" t="s">
        <v>232</v>
      </c>
      <c r="GC7" s="136" t="s">
        <v>233</v>
      </c>
      <c r="GD7" s="231" t="s">
        <v>234</v>
      </c>
      <c r="GE7" s="964"/>
      <c r="GF7" s="994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3"/>
      <c r="GP7" s="977"/>
      <c r="GQ7" s="979"/>
      <c r="GR7" s="982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3"/>
      <c r="HJ7" s="34"/>
      <c r="HK7" s="990" t="s">
        <v>246</v>
      </c>
      <c r="HL7" s="990" t="s">
        <v>237</v>
      </c>
      <c r="HM7" s="909" t="s">
        <v>245</v>
      </c>
      <c r="HN7" s="959"/>
      <c r="HO7" s="989"/>
      <c r="HP7" s="1014"/>
      <c r="HQ7" s="399"/>
      <c r="HR7" s="419"/>
      <c r="HS7" s="1007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89.995000000721916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-0.21340064361634115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8"/>
      <c r="AT8" s="116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7"/>
      <c r="HL8" s="1027"/>
      <c r="HM8" s="921"/>
      <c r="HN8" s="960"/>
      <c r="HO8" s="962"/>
      <c r="HP8" s="1015"/>
      <c r="HQ8" s="400" t="s">
        <v>49</v>
      </c>
      <c r="HR8" s="420" t="s">
        <v>51</v>
      </c>
      <c r="HS8" s="1008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1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0.29280088308746344</v>
      </c>
      <c r="D9" s="767">
        <v>-0.73400221375067665</v>
      </c>
      <c r="E9" s="768">
        <v>-0.93969263802333458</v>
      </c>
      <c r="F9" s="766">
        <v>-8.8521302156295625E-2</v>
      </c>
      <c r="G9" s="769">
        <v>0.33036604714967344</v>
      </c>
      <c r="H9" s="768">
        <v>0.26600000000000001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1313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0.29280088308746344</v>
      </c>
      <c r="P9" s="25">
        <f t="shared" ref="P9:P40" si="4">IF(M9="","",D9)</f>
        <v>-0.73400221375067665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0.29280088308746344</v>
      </c>
      <c r="S9" s="23">
        <f>IF(M9="","",P9)</f>
        <v>-0.73400221375067665</v>
      </c>
      <c r="T9" s="26">
        <f>IF(M9="","",X9*COS(RADIANS(W9)))</f>
        <v>0.2928008819725606</v>
      </c>
      <c r="U9" s="20">
        <f>IF(M9="","",X9*SIN(RADIANS(W9)))</f>
        <v>2.5551693591449225E-5</v>
      </c>
      <c r="V9" s="28">
        <f>IF(M9="","",Y9)</f>
        <v>-0.73400221375067665</v>
      </c>
      <c r="W9" s="620">
        <f t="shared" ref="W9:W14" si="5">IF(M9="","",IF(Q9-$Q$8&lt;0,360+Q9-$Q$8,Q9-$Q$8))</f>
        <v>4.999999278084033E-3</v>
      </c>
      <c r="X9" s="5">
        <f>IF(M9="","",R9)</f>
        <v>0.29280088308746344</v>
      </c>
      <c r="Y9" s="7">
        <f>IF(M9="","",S9)</f>
        <v>-0.73400221375067665</v>
      </c>
      <c r="Z9" s="24">
        <f t="shared" ref="Z9:Z40" si="6">IF(M9="","",-E9)</f>
        <v>0.93969263802333458</v>
      </c>
      <c r="AA9" s="20">
        <f t="shared" ref="AA9:AA40" si="7">IF(M9="","",-F9)</f>
        <v>8.8521302156295625E-2</v>
      </c>
      <c r="AB9" s="20">
        <f t="shared" ref="AB9:AB40" si="8">IF(M9="","",-G9)</f>
        <v>-0.33036604714967344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8.8521302156295625E-2</v>
      </c>
      <c r="AF9" s="25">
        <f>IF(M9="","",AB9*(1/SQRT(Z9^2+AA9^2+AB9^2)))</f>
        <v>-0.33036604714967344</v>
      </c>
      <c r="AG9" s="618">
        <f>IF(M9="","",DEGREES(ATAN2(-AF9,AE9)))</f>
        <v>14.999997834268271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8.8521302156295625E-2</v>
      </c>
      <c r="AM9" s="23">
        <f>IF(M9="","",AF9)</f>
        <v>-0.33036604714967344</v>
      </c>
      <c r="AN9" s="612">
        <f>IF(M9="","",DEGREES(ATAN2(-AM9,AL9)))</f>
        <v>14.999997834268271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5.381518762239482</v>
      </c>
      <c r="AQ9" s="641">
        <f t="shared" ref="AQ9:AQ40" si="9">IF(M9="","",DEGREES(ATAN(($AS$5*SIN(RADIANS(90)))/(($X9*2*PI())-($AS$5*COS(RADIANS(90)))))))</f>
        <v>36.473369553469652</v>
      </c>
      <c r="AS9" s="55">
        <f>IF(M9="","",W9)</f>
        <v>4.999999278084033E-3</v>
      </c>
      <c r="AT9" s="76">
        <f t="shared" ref="AT9:AT40" si="10">IF(M9="","",Y9+(((AS9-$AS$9)*$AS$6)*-1))</f>
        <v>-0.73400221375067665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0.98550297227696448</v>
      </c>
      <c r="D10" s="772">
        <v>-0.60310181895508597</v>
      </c>
      <c r="E10" s="773">
        <v>-0.96592583607220739</v>
      </c>
      <c r="F10" s="771">
        <v>-6.6987279208207198E-2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0.98550297227696448</v>
      </c>
      <c r="P10" s="10">
        <f t="shared" si="4"/>
        <v>-0.60310181895508597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0.98550297227696448</v>
      </c>
      <c r="S10" s="6">
        <f t="shared" ref="S10:S105" si="84">IF(M10="","",P10)</f>
        <v>-0.60310181895508597</v>
      </c>
      <c r="T10" s="4">
        <f t="shared" ref="T10:T105" si="85">IF(M10="","",X10*COS(RADIANS(W10)))</f>
        <v>0.98550296852444841</v>
      </c>
      <c r="U10" s="5">
        <f t="shared" ref="U10:U105" si="86">IF(M10="","",X10*SIN(RADIANS(W10)))</f>
        <v>8.6001345745810148E-5</v>
      </c>
      <c r="V10" s="8">
        <f>IF(M10="","",Y10)</f>
        <v>-0.60310181895508597</v>
      </c>
      <c r="W10" s="624">
        <f t="shared" si="5"/>
        <v>4.999999278084033E-3</v>
      </c>
      <c r="X10" s="5">
        <f t="shared" ref="X10:X105" si="87">IF(M10="","",R10)</f>
        <v>0.98550297227696448</v>
      </c>
      <c r="Y10" s="7">
        <f>IF(M10="","",S10)</f>
        <v>-0.60310181895508597</v>
      </c>
      <c r="Z10" s="21">
        <f t="shared" si="6"/>
        <v>0.96592583607220739</v>
      </c>
      <c r="AA10" s="5">
        <f t="shared" si="7"/>
        <v>6.6987279208207198E-2</v>
      </c>
      <c r="AB10" s="5">
        <f t="shared" si="8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6.6987279208207198E-2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14.999997834268267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6.6987279208207198E-2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14.999997834268267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3.9671296450865712</v>
      </c>
      <c r="AQ10" s="625">
        <f t="shared" si="9"/>
        <v>12.387457147507018</v>
      </c>
      <c r="AS10" s="56">
        <f>IF($M10="","",IF(AND($W10&lt;($AS$9+180),$W10&gt;($AS$9-180)),$W10,IF($W10&gt;($AS$9+180),$W10-360,IF($W10&lt;($AS$9-180),$W10+360,"Error"))))</f>
        <v>4.999999278084033E-3</v>
      </c>
      <c r="AT10" s="77">
        <f t="shared" si="10"/>
        <v>-0.60310181895508597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0</v>
      </c>
      <c r="C11" s="771">
        <v>1.7129051661219812</v>
      </c>
      <c r="D11" s="772">
        <v>-0.40830123143651403</v>
      </c>
      <c r="E11" s="773">
        <v>-0.96592583607220739</v>
      </c>
      <c r="F11" s="771">
        <v>-6.6987279208207198E-2</v>
      </c>
      <c r="G11" s="774">
        <v>0.24999996726497564</v>
      </c>
      <c r="H11" s="773">
        <v>0.314</v>
      </c>
      <c r="I11" s="771">
        <v>0.52</v>
      </c>
      <c r="J11" s="601">
        <v>1.107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170</v>
      </c>
      <c r="M11" s="173">
        <f t="shared" si="1"/>
        <v>1.107</v>
      </c>
      <c r="N11" s="21">
        <f t="shared" si="2"/>
        <v>0</v>
      </c>
      <c r="O11" s="5">
        <f t="shared" si="3"/>
        <v>1.7129051661219812</v>
      </c>
      <c r="P11" s="10">
        <f t="shared" si="4"/>
        <v>-0.40830123143651403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1.7129051661219812</v>
      </c>
      <c r="S11" s="6">
        <f t="shared" si="84"/>
        <v>-0.40830123143651403</v>
      </c>
      <c r="T11" s="4">
        <f t="shared" si="85"/>
        <v>1.7129051595997236</v>
      </c>
      <c r="U11" s="5">
        <f t="shared" si="86"/>
        <v>1.4947915284423968E-4</v>
      </c>
      <c r="V11" s="8">
        <f t="shared" ref="V11:V105" si="117">IF(M11="","",Y11)</f>
        <v>-0.40830123143651403</v>
      </c>
      <c r="W11" s="624">
        <f t="shared" si="5"/>
        <v>4.999999278084033E-3</v>
      </c>
      <c r="X11" s="5">
        <f>IF(M11="","",R11)</f>
        <v>1.7129051661219812</v>
      </c>
      <c r="Y11" s="7">
        <f>IF(M11="","",S11)</f>
        <v>-0.40830123143651403</v>
      </c>
      <c r="Z11" s="21">
        <f t="shared" si="6"/>
        <v>0.96592583607220739</v>
      </c>
      <c r="AA11" s="5">
        <f t="shared" si="7"/>
        <v>6.6987279208207198E-2</v>
      </c>
      <c r="AB11" s="5">
        <f t="shared" si="8"/>
        <v>-0.24999996726497564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6.6987279208207198E-2</v>
      </c>
      <c r="AF11" s="10">
        <f t="shared" si="90"/>
        <v>-0.24999996726497564</v>
      </c>
      <c r="AG11" s="622">
        <f>IF(M11="","",DEGREES(ATAN2(-AF11,AE11)))</f>
        <v>14.999997834268267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6.6987279208207198E-2</v>
      </c>
      <c r="AM11" s="6">
        <f t="shared" si="96"/>
        <v>-0.24999996726497564</v>
      </c>
      <c r="AN11" s="612">
        <f>IF(M11="","",DEGREES(ATAN2(-AM11,AL11)))</f>
        <v>14.999997834268267</v>
      </c>
      <c r="AO11" s="613">
        <f>IF(ROUND(IF(M11="",0,DEGREES(ACOS(AK11))),4)=90,0,IF(M11="","",DEGREES(ACOS(AK11))))</f>
        <v>14.999997834268255</v>
      </c>
      <c r="AP11" s="624">
        <f t="shared" si="99"/>
        <v>3.9671296450865712</v>
      </c>
      <c r="AQ11" s="625">
        <f t="shared" si="9"/>
        <v>7.2019911590508912</v>
      </c>
      <c r="AS11" s="56">
        <f t="shared" ref="AS11:AS42" si="119">IF(G11="","",IF(AND(W11&lt;(AS10+180),W11&gt;(AS10-180)),W11,IF(W11&gt;(AS10+180),W11-360,IF(W11&lt;(AS10-180),W11+360,"Error"))))</f>
        <v>4.999999278084033E-3</v>
      </c>
      <c r="AT11" s="77">
        <f t="shared" si="10"/>
        <v>-0.40830123143651403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2.1294823327159022E-4</v>
      </c>
      <c r="C12" s="771">
        <v>2.4402073503737789</v>
      </c>
      <c r="D12" s="772">
        <v>-0.21340064361634115</v>
      </c>
      <c r="E12" s="773">
        <v>-0.96591661679221874</v>
      </c>
      <c r="F12" s="771">
        <v>-6.1591547839337193E-2</v>
      </c>
      <c r="G12" s="774">
        <v>0.25141911351253476</v>
      </c>
      <c r="H12" s="773">
        <v>0.314</v>
      </c>
      <c r="I12" s="771">
        <v>0.52</v>
      </c>
      <c r="J12" s="601">
        <v>1.1100000000000001</v>
      </c>
      <c r="K12" s="426" t="str">
        <f t="shared" si="82"/>
        <v>1613</v>
      </c>
      <c r="L12" s="858" t="s">
        <v>377</v>
      </c>
      <c r="M12" s="173">
        <f t="shared" si="1"/>
        <v>1.1100000000000001</v>
      </c>
      <c r="N12" s="21">
        <f t="shared" si="2"/>
        <v>2.1294823327159022E-4</v>
      </c>
      <c r="O12" s="5">
        <f t="shared" si="3"/>
        <v>2.4402073503737789</v>
      </c>
      <c r="P12" s="10">
        <f t="shared" si="4"/>
        <v>-0.21340064361634115</v>
      </c>
      <c r="Q12" s="624">
        <f>IF(M12="","",IF(DEGREES(ATAN2(N12,O12))&lt;0,DEGREES(ATAN2(N12,O12))+360,IF(DEGREES(ATAN2(N12,O12))&gt;360,DEGREES(ATAN2(N12,O12))-360,DEGREES(ATAN2(N12,O12)))))</f>
        <v>89.995000000721916</v>
      </c>
      <c r="R12" s="5">
        <f t="shared" si="83"/>
        <v>2.440207359665397</v>
      </c>
      <c r="S12" s="6">
        <f t="shared" si="84"/>
        <v>-0.21340064361634115</v>
      </c>
      <c r="T12" s="4">
        <f>IF(M12="","",X12*COS(RADIANS(W12)))</f>
        <v>2.440207359665397</v>
      </c>
      <c r="U12" s="5">
        <f t="shared" si="86"/>
        <v>0</v>
      </c>
      <c r="V12" s="8">
        <f t="shared" si="117"/>
        <v>-0.21340064361634115</v>
      </c>
      <c r="W12" s="624">
        <f>IF(M12="","",IF(Q12-$Q$8&lt;0,360+Q12-$Q$8,Q12-$Q$8))</f>
        <v>0</v>
      </c>
      <c r="X12" s="5">
        <f t="shared" si="87"/>
        <v>2.440207359665397</v>
      </c>
      <c r="Y12" s="7">
        <f>IF(M12="","",S12)</f>
        <v>-0.21340064361634115</v>
      </c>
      <c r="Z12" s="21">
        <f t="shared" si="6"/>
        <v>0.96591661679221874</v>
      </c>
      <c r="AA12" s="5">
        <f t="shared" si="7"/>
        <v>6.1591547839337193E-2</v>
      </c>
      <c r="AB12" s="5">
        <f t="shared" si="8"/>
        <v>-0.25141911351253476</v>
      </c>
      <c r="AC12" s="8">
        <f t="shared" si="88"/>
        <v>1</v>
      </c>
      <c r="AD12" s="9">
        <f t="shared" si="118"/>
        <v>0.96591661679221874</v>
      </c>
      <c r="AE12" s="5">
        <f t="shared" si="89"/>
        <v>6.1591547839337193E-2</v>
      </c>
      <c r="AF12" s="10">
        <f t="shared" si="90"/>
        <v>-0.25141911351253476</v>
      </c>
      <c r="AG12" s="622">
        <f t="shared" si="91"/>
        <v>13.764981751011106</v>
      </c>
      <c r="AH12" s="623">
        <f t="shared" si="92"/>
        <v>15.002038606816477</v>
      </c>
      <c r="AI12" s="624">
        <f t="shared" si="93"/>
        <v>-75.438496092399205</v>
      </c>
      <c r="AJ12" s="625">
        <f t="shared" si="94"/>
        <v>93.648518394091838</v>
      </c>
      <c r="AK12" s="4">
        <f t="shared" ref="AK12:AK105" si="213">IF(M12="","",(COS(RADIANS((90-$Q$8)-W12))*AD12)+(-SIN(RADIANS((90-$Q$8)-W12))*AE12))</f>
        <v>0.96591123823855873</v>
      </c>
      <c r="AL12" s="5">
        <f>IF(M12="","",(SIN(RADIANS((90-$Q$8)-W12))*AD12)+(COS(RADIANS((90-$Q$8)-W12))*AE12))</f>
        <v>6.167583971885042E-2</v>
      </c>
      <c r="AM12" s="6">
        <f t="shared" si="96"/>
        <v>-0.25141911351253476</v>
      </c>
      <c r="AN12" s="612">
        <f>IF(M12="","",DEGREES(ATAN2(-AM12,AL12)))</f>
        <v>13.783102043635949</v>
      </c>
      <c r="AO12" s="613">
        <f t="shared" si="98"/>
        <v>15.003229073942682</v>
      </c>
      <c r="AP12" s="624">
        <f t="shared" si="99"/>
        <v>3.6535183933699313</v>
      </c>
      <c r="AQ12" s="625">
        <f t="shared" si="9"/>
        <v>5.0689708558069748</v>
      </c>
      <c r="AS12" s="56">
        <f t="shared" si="119"/>
        <v>0</v>
      </c>
      <c r="AT12" s="77">
        <f>IF(M12="","",Y12+(((AS12-$AS$9)*$AS$6)*-1))</f>
        <v>-0.21338175473017951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2.4154365129605556E-2</v>
      </c>
      <c r="C13" s="771">
        <v>3.1814179028346867</v>
      </c>
      <c r="D13" s="772">
        <v>-8.1000244296736801E-2</v>
      </c>
      <c r="E13" s="773">
        <v>-0.96432224814862488</v>
      </c>
      <c r="F13" s="771">
        <v>4.7306701554068464E-2</v>
      </c>
      <c r="G13" s="774">
        <v>0.2604701090598619</v>
      </c>
      <c r="H13" s="773">
        <v>0.314</v>
      </c>
      <c r="I13" s="771">
        <v>0.52</v>
      </c>
      <c r="J13" s="601">
        <v>1.1160000000000001</v>
      </c>
      <c r="K13" s="426" t="str">
        <f t="shared" si="82"/>
        <v>1613</v>
      </c>
      <c r="L13" s="859" cm="1">
        <f t="array" ref="L13">MIN(IF(ISNUMBER($II9:$II150),IF(ISNUMBER($IF9:$IF150),"",IF(ISNUMBER(VALUE($K9:$K150)),IF(ISNUMBER($IE9:$IE150),"",$IO9:$IO150),"")),""))</f>
        <v>170</v>
      </c>
      <c r="M13" s="173">
        <f t="shared" si="1"/>
        <v>1.1160000000000001</v>
      </c>
      <c r="N13" s="21">
        <f t="shared" si="2"/>
        <v>2.4154365129605556E-2</v>
      </c>
      <c r="O13" s="5">
        <f t="shared" si="3"/>
        <v>3.1814179028346867</v>
      </c>
      <c r="P13" s="10">
        <f t="shared" si="4"/>
        <v>-8.1000244296736801E-2</v>
      </c>
      <c r="Q13" s="624">
        <f t="shared" si="116"/>
        <v>89.56500006280622</v>
      </c>
      <c r="R13" s="5">
        <f t="shared" si="83"/>
        <v>3.18150959543294</v>
      </c>
      <c r="S13" s="6">
        <f t="shared" si="84"/>
        <v>-8.1000244296736801E-2</v>
      </c>
      <c r="T13" s="4">
        <f>IF(M13="","",X13*COS(RADIANS(W13)))</f>
        <v>3.1814199985864429</v>
      </c>
      <c r="U13" s="5">
        <f t="shared" si="86"/>
        <v>-2.3876733991639362E-2</v>
      </c>
      <c r="V13" s="8">
        <f t="shared" si="117"/>
        <v>-8.1000244296736801E-2</v>
      </c>
      <c r="W13" s="624">
        <f t="shared" si="5"/>
        <v>359.57000006208432</v>
      </c>
      <c r="X13" s="5">
        <f t="shared" si="87"/>
        <v>3.18150959543294</v>
      </c>
      <c r="Y13" s="7">
        <f>IF(M13="","",S13)</f>
        <v>-8.1000244296736801E-2</v>
      </c>
      <c r="Z13" s="21">
        <f t="shared" si="6"/>
        <v>0.96432224814862488</v>
      </c>
      <c r="AA13" s="5">
        <f t="shared" si="7"/>
        <v>-4.7306701554068464E-2</v>
      </c>
      <c r="AB13" s="5">
        <f t="shared" si="8"/>
        <v>-0.2604701090598619</v>
      </c>
      <c r="AC13" s="8">
        <f t="shared" si="88"/>
        <v>1</v>
      </c>
      <c r="AD13" s="9">
        <f>IF(M13="","",Z13*(1/SQRT(Z13^2+AA13^2+AB13^2)))</f>
        <v>0.96432224814862488</v>
      </c>
      <c r="AE13" s="5">
        <f t="shared" si="89"/>
        <v>-4.7306701554068464E-2</v>
      </c>
      <c r="AF13" s="10">
        <f t="shared" si="90"/>
        <v>-0.2604701090598619</v>
      </c>
      <c r="AG13" s="622">
        <f>IF(M13="","",DEGREES(ATAN2(-AF13,AE13)))</f>
        <v>-10.293880090539062</v>
      </c>
      <c r="AH13" s="623">
        <f t="shared" si="92"/>
        <v>15.350980542092119</v>
      </c>
      <c r="AI13" s="624">
        <f t="shared" si="93"/>
        <v>-74.902041426524306</v>
      </c>
      <c r="AJ13" s="625">
        <f t="shared" si="94"/>
        <v>87.191495733488807</v>
      </c>
      <c r="AK13" s="4">
        <f t="shared" si="213"/>
        <v>0.9646536135266961</v>
      </c>
      <c r="AL13" s="5">
        <f t="shared" si="95"/>
        <v>-3.9984099292485815E-2</v>
      </c>
      <c r="AM13" s="6">
        <f t="shared" si="96"/>
        <v>-0.2604701090598619</v>
      </c>
      <c r="AN13" s="612">
        <f t="shared" si="97"/>
        <v>-8.7272030638146312</v>
      </c>
      <c r="AO13" s="613">
        <f t="shared" si="98"/>
        <v>15.279098855427572</v>
      </c>
      <c r="AP13" s="624">
        <f t="shared" si="99"/>
        <v>-2.3735043293174316</v>
      </c>
      <c r="AQ13" s="625">
        <f t="shared" si="9"/>
        <v>3.8920616754441033</v>
      </c>
      <c r="AS13" s="56">
        <f t="shared" si="119"/>
        <v>-0.42999993791568158</v>
      </c>
      <c r="AT13" s="77">
        <f t="shared" si="10"/>
        <v>-7.9356911200671468E-2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8.8464479354209355E-2</v>
      </c>
      <c r="C14" s="771">
        <v>3.9285159317796468</v>
      </c>
      <c r="D14" s="772">
        <v>-0.16810050699112908</v>
      </c>
      <c r="E14" s="773">
        <v>-0.95873541730858625</v>
      </c>
      <c r="F14" s="771">
        <v>0.15522820664902953</v>
      </c>
      <c r="G14" s="774">
        <v>0.23818187054991663</v>
      </c>
      <c r="H14" s="773">
        <v>0.314</v>
      </c>
      <c r="I14" s="771">
        <v>0.52</v>
      </c>
      <c r="J14" s="601">
        <v>1.123</v>
      </c>
      <c r="K14" s="426" t="str">
        <f t="shared" si="82"/>
        <v>1613</v>
      </c>
      <c r="L14" s="327"/>
      <c r="M14" s="173">
        <f t="shared" si="1"/>
        <v>1.123</v>
      </c>
      <c r="N14" s="21">
        <f t="shared" si="2"/>
        <v>8.8464479354209355E-2</v>
      </c>
      <c r="O14" s="5">
        <f t="shared" si="3"/>
        <v>3.9285159317796468</v>
      </c>
      <c r="P14" s="10">
        <f t="shared" si="4"/>
        <v>-0.16810050699112908</v>
      </c>
      <c r="Q14" s="624">
        <f t="shared" si="116"/>
        <v>88.710000186252927</v>
      </c>
      <c r="R14" s="5">
        <f t="shared" si="83"/>
        <v>3.9295118514077441</v>
      </c>
      <c r="S14" s="6">
        <f t="shared" si="84"/>
        <v>-0.16810050699112908</v>
      </c>
      <c r="T14" s="4">
        <f t="shared" si="85"/>
        <v>3.9285236368020255</v>
      </c>
      <c r="U14" s="5">
        <f t="shared" si="86"/>
        <v>-8.8121651378659308E-2</v>
      </c>
      <c r="V14" s="8">
        <f t="shared" si="117"/>
        <v>-0.16810050699112908</v>
      </c>
      <c r="W14" s="624">
        <f t="shared" si="5"/>
        <v>358.71500018553104</v>
      </c>
      <c r="X14" s="5">
        <f t="shared" si="87"/>
        <v>3.9295118514077441</v>
      </c>
      <c r="Y14" s="7">
        <f t="shared" ref="Y14:Y75" si="225">IF(M14="","",S14)</f>
        <v>-0.16810050699112908</v>
      </c>
      <c r="Z14" s="21">
        <f t="shared" si="6"/>
        <v>0.95873541730858625</v>
      </c>
      <c r="AA14" s="5">
        <f t="shared" si="7"/>
        <v>-0.15522820664902953</v>
      </c>
      <c r="AB14" s="5">
        <f t="shared" si="8"/>
        <v>-0.23818187054991663</v>
      </c>
      <c r="AC14" s="8">
        <f t="shared" si="88"/>
        <v>1</v>
      </c>
      <c r="AD14" s="9">
        <f>IF(M14="","",Z14*(1/SQRT(Z14^2+AA14^2+AB14^2)))</f>
        <v>0.95873541730858625</v>
      </c>
      <c r="AE14" s="5">
        <f t="shared" si="89"/>
        <v>-0.15522820664902953</v>
      </c>
      <c r="AF14" s="10">
        <f t="shared" si="90"/>
        <v>-0.23818187054991663</v>
      </c>
      <c r="AG14" s="622">
        <f t="shared" si="91"/>
        <v>-33.093145355596704</v>
      </c>
      <c r="AH14" s="623">
        <f t="shared" si="92"/>
        <v>16.517001271091502</v>
      </c>
      <c r="AI14" s="624">
        <f t="shared" si="93"/>
        <v>-76.22074229912198</v>
      </c>
      <c r="AJ14" s="625">
        <f t="shared" si="94"/>
        <v>80.803089202181965</v>
      </c>
      <c r="AK14" s="4">
        <f>IF(M14="","",(COS(RADIANS((90-$Q$8)-W14))*AD14)+(-SIN(RADIANS((90-$Q$8)-W14))*AE14))</f>
        <v>0.96198705760010661</v>
      </c>
      <c r="AL14" s="5">
        <f t="shared" si="95"/>
        <v>-0.13360500571173242</v>
      </c>
      <c r="AM14" s="6">
        <f t="shared" si="96"/>
        <v>-0.23818187054991663</v>
      </c>
      <c r="AN14" s="612">
        <f t="shared" si="97"/>
        <v>-29.289676156199707</v>
      </c>
      <c r="AO14" s="613">
        <f t="shared" si="98"/>
        <v>15.848523112789879</v>
      </c>
      <c r="AP14" s="624">
        <f>IF(M14="","",DEGREES(ATAN2(AK14,AL14)))</f>
        <v>-7.9069109840709775</v>
      </c>
      <c r="AQ14" s="625">
        <f t="shared" si="9"/>
        <v>3.152857946561213</v>
      </c>
      <c r="AS14" s="56">
        <f t="shared" si="119"/>
        <v>-1.2849998144689607</v>
      </c>
      <c r="AT14" s="77">
        <f t="shared" si="10"/>
        <v>-0.16322717436141801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1.123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0.1834609470076525</v>
      </c>
      <c r="C15" s="771">
        <v>4.6139679731435965</v>
      </c>
      <c r="D15" s="772">
        <v>-0.47400142958831165</v>
      </c>
      <c r="E15" s="773">
        <v>-0.94472261501404031</v>
      </c>
      <c r="F15" s="771">
        <v>0.2526487572793093</v>
      </c>
      <c r="G15" s="774">
        <v>0.20896838547075483</v>
      </c>
      <c r="H15" s="773">
        <v>0.314</v>
      </c>
      <c r="I15" s="771">
        <v>0.52</v>
      </c>
      <c r="J15" s="601">
        <v>1.1299999999999999</v>
      </c>
      <c r="K15" s="426" t="str">
        <f t="shared" si="82"/>
        <v>1613</v>
      </c>
      <c r="L15" s="327"/>
      <c r="M15" s="173">
        <f t="shared" si="1"/>
        <v>1.1299999999999999</v>
      </c>
      <c r="N15" s="21">
        <f t="shared" si="2"/>
        <v>0.1834609470076525</v>
      </c>
      <c r="O15" s="5">
        <f t="shared" si="3"/>
        <v>4.6139679731435965</v>
      </c>
      <c r="P15" s="10">
        <f t="shared" si="4"/>
        <v>-0.47400142958831165</v>
      </c>
      <c r="Q15" s="624">
        <f t="shared" si="116"/>
        <v>87.723000328758076</v>
      </c>
      <c r="R15" s="5">
        <f t="shared" si="83"/>
        <v>4.6176139267236032</v>
      </c>
      <c r="S15" s="6">
        <f t="shared" si="84"/>
        <v>-0.47400142958831165</v>
      </c>
      <c r="T15" s="4">
        <f t="shared" si="85"/>
        <v>4.6139839655604531</v>
      </c>
      <c r="U15" s="5">
        <f t="shared" si="86"/>
        <v>-0.18305830170416715</v>
      </c>
      <c r="V15" s="8">
        <f t="shared" si="117"/>
        <v>-0.47400142958831165</v>
      </c>
      <c r="W15" s="624">
        <f t="shared" ref="W15:W78" si="226">IF(M15="","",IF(Q15-$Q$8&lt;0,360+Q15-$Q$8,Q15-$Q$8))</f>
        <v>357.72800032803616</v>
      </c>
      <c r="X15" s="5">
        <f>IF(M15="","",R15)</f>
        <v>4.6176139267236032</v>
      </c>
      <c r="Y15" s="7">
        <f>IF(M15="","",S15)</f>
        <v>-0.47400142958831165</v>
      </c>
      <c r="Z15" s="21">
        <f t="shared" si="6"/>
        <v>0.94472261501404031</v>
      </c>
      <c r="AA15" s="5">
        <f t="shared" si="7"/>
        <v>-0.2526487572793093</v>
      </c>
      <c r="AB15" s="5">
        <f t="shared" si="8"/>
        <v>-0.20896838547075483</v>
      </c>
      <c r="AC15" s="8">
        <f t="shared" si="88"/>
        <v>1</v>
      </c>
      <c r="AD15" s="9">
        <f t="shared" si="118"/>
        <v>0.94472261501404031</v>
      </c>
      <c r="AE15" s="5">
        <f t="shared" si="89"/>
        <v>-0.2526487572793093</v>
      </c>
      <c r="AF15" s="10">
        <f t="shared" si="90"/>
        <v>-0.20896838547075483</v>
      </c>
      <c r="AG15" s="622">
        <f t="shared" si="91"/>
        <v>-50.405499513809986</v>
      </c>
      <c r="AH15" s="623">
        <f t="shared" si="92"/>
        <v>19.139585091855505</v>
      </c>
      <c r="AI15" s="624">
        <f t="shared" si="93"/>
        <v>-77.93809614375553</v>
      </c>
      <c r="AJ15" s="625">
        <f t="shared" si="94"/>
        <v>75.027668528094679</v>
      </c>
      <c r="AK15" s="4">
        <f t="shared" si="213"/>
        <v>0.95401459267855004</v>
      </c>
      <c r="AL15" s="5">
        <f t="shared" si="95"/>
        <v>-0.21491479900213067</v>
      </c>
      <c r="AM15" s="6">
        <f t="shared" si="96"/>
        <v>-0.20896838547075483</v>
      </c>
      <c r="AN15" s="612">
        <f>IF(M15="","",DEGREES(ATAN2(-AM15,AL15)))</f>
        <v>-45.803716834897394</v>
      </c>
      <c r="AO15" s="613">
        <f t="shared" si="98"/>
        <v>17.443198695665036</v>
      </c>
      <c r="AP15" s="624">
        <f t="shared" si="99"/>
        <v>-12.695331800663421</v>
      </c>
      <c r="AQ15" s="625">
        <f t="shared" si="9"/>
        <v>2.6837760235287997</v>
      </c>
      <c r="AS15" s="56">
        <f t="shared" si="119"/>
        <v>-2.2719996719638402</v>
      </c>
      <c r="AT15" s="77">
        <f t="shared" si="10"/>
        <v>-0.46539943083028662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1.1299999999999999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0.28744359643948192</v>
      </c>
      <c r="C16" s="771">
        <v>5.1753393250031072</v>
      </c>
      <c r="D16" s="772">
        <v>-0.97100292854483294</v>
      </c>
      <c r="E16" s="773">
        <v>-0.92871477772794608</v>
      </c>
      <c r="F16" s="771">
        <v>0.33427043307545568</v>
      </c>
      <c r="G16" s="774">
        <v>0.16047473072505578</v>
      </c>
      <c r="H16" s="773">
        <v>0.314</v>
      </c>
      <c r="I16" s="771">
        <v>0.52</v>
      </c>
      <c r="J16" s="601">
        <v>1.137</v>
      </c>
      <c r="K16" s="426" t="str">
        <f t="shared" si="82"/>
        <v>1613</v>
      </c>
      <c r="L16" s="327"/>
      <c r="M16" s="173">
        <f t="shared" si="1"/>
        <v>1.137</v>
      </c>
      <c r="N16" s="21">
        <f t="shared" si="2"/>
        <v>0.28744359643948192</v>
      </c>
      <c r="O16" s="5">
        <f t="shared" si="3"/>
        <v>5.1753393250031072</v>
      </c>
      <c r="P16" s="10">
        <f t="shared" si="4"/>
        <v>-0.97100292854483294</v>
      </c>
      <c r="Q16" s="624">
        <f>IF(M16="","",IF(DEGREES(ATAN2(N16,O16))&lt;0,DEGREES(ATAN2(N16,O16))+360,IF(DEGREES(ATAN2(N16,O16))&gt;360,DEGREES(ATAN2(N16,O16))-360,DEGREES(ATAN2(N16,O16)))))</f>
        <v>86.821000458990753</v>
      </c>
      <c r="R16" s="5">
        <f t="shared" si="83"/>
        <v>5.1833156328799506</v>
      </c>
      <c r="S16" s="6">
        <f t="shared" si="84"/>
        <v>-0.97100292854483294</v>
      </c>
      <c r="T16" s="4">
        <f t="shared" si="85"/>
        <v>5.1753643894790864</v>
      </c>
      <c r="U16" s="5">
        <f t="shared" si="86"/>
        <v>-0.28699196185511477</v>
      </c>
      <c r="V16" s="8">
        <f t="shared" si="117"/>
        <v>-0.97100292854483294</v>
      </c>
      <c r="W16" s="624">
        <f>IF(M16="","",IF(Q16-$Q$8&lt;0,360+Q16-$Q$8,Q16-$Q$8))</f>
        <v>356.82600045826882</v>
      </c>
      <c r="X16" s="5">
        <f t="shared" si="87"/>
        <v>5.1833156328799506</v>
      </c>
      <c r="Y16" s="7">
        <f t="shared" si="225"/>
        <v>-0.97100292854483294</v>
      </c>
      <c r="Z16" s="21">
        <f t="shared" si="6"/>
        <v>0.92871477772794608</v>
      </c>
      <c r="AA16" s="5">
        <f t="shared" si="7"/>
        <v>-0.33427043307545568</v>
      </c>
      <c r="AB16" s="5">
        <f t="shared" si="8"/>
        <v>-0.16047473072505578</v>
      </c>
      <c r="AC16" s="8">
        <f t="shared" si="88"/>
        <v>1</v>
      </c>
      <c r="AD16" s="9">
        <f t="shared" si="118"/>
        <v>0.92871477772794608</v>
      </c>
      <c r="AE16" s="5">
        <f t="shared" si="89"/>
        <v>-0.33427043307545568</v>
      </c>
      <c r="AF16" s="10">
        <f t="shared" si="90"/>
        <v>-0.16047473072505578</v>
      </c>
      <c r="AG16" s="622">
        <f t="shared" si="91"/>
        <v>-64.355522306161632</v>
      </c>
      <c r="AH16" s="623">
        <f t="shared" si="92"/>
        <v>21.76464948692055</v>
      </c>
      <c r="AI16" s="624">
        <f t="shared" si="93"/>
        <v>-80.765547645142391</v>
      </c>
      <c r="AJ16" s="625">
        <f t="shared" si="94"/>
        <v>70.204776788464898</v>
      </c>
      <c r="AK16" s="4">
        <f t="shared" si="213"/>
        <v>0.94582278093484118</v>
      </c>
      <c r="AL16" s="5">
        <f t="shared" si="95"/>
        <v>-0.28225365872456698</v>
      </c>
      <c r="AM16" s="6">
        <f t="shared" si="96"/>
        <v>-0.16047473072505578</v>
      </c>
      <c r="AN16" s="612">
        <f t="shared" si="97"/>
        <v>-60.379694752052174</v>
      </c>
      <c r="AO16" s="613">
        <f t="shared" si="98"/>
        <v>18.946390955248397</v>
      </c>
      <c r="AP16" s="624">
        <f t="shared" si="99"/>
        <v>-16.616223670525848</v>
      </c>
      <c r="AQ16" s="625">
        <f t="shared" si="9"/>
        <v>2.3912322701062672</v>
      </c>
      <c r="AS16" s="56">
        <f t="shared" si="119"/>
        <v>-3.1739995417311775</v>
      </c>
      <c r="AT16" s="77">
        <f t="shared" si="10"/>
        <v>-0.95899337472324242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1.137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0.37535248394549003</v>
      </c>
      <c r="C17" s="771">
        <v>5.5717880419775359</v>
      </c>
      <c r="D17" s="772">
        <v>-1.6089048524570349</v>
      </c>
      <c r="E17" s="773">
        <v>-0.90087077999373277</v>
      </c>
      <c r="F17" s="771">
        <v>0.4166014762850101</v>
      </c>
      <c r="G17" s="774">
        <v>0.12196330477087716</v>
      </c>
      <c r="H17" s="773">
        <v>0.314</v>
      </c>
      <c r="I17" s="771">
        <v>0.52</v>
      </c>
      <c r="J17" s="601">
        <v>1.1439999999999999</v>
      </c>
      <c r="K17" s="426" t="str">
        <f t="shared" si="82"/>
        <v>1613</v>
      </c>
      <c r="L17" s="861" t="s">
        <v>332</v>
      </c>
      <c r="M17" s="173">
        <f t="shared" si="1"/>
        <v>1.1439999999999999</v>
      </c>
      <c r="N17" s="21">
        <f t="shared" si="2"/>
        <v>0.37535248394549003</v>
      </c>
      <c r="O17" s="5">
        <f t="shared" si="3"/>
        <v>5.5717880419775359</v>
      </c>
      <c r="P17" s="10">
        <f t="shared" si="4"/>
        <v>-1.6089048524570349</v>
      </c>
      <c r="Q17" s="624">
        <f>IF(M17="","",IF(DEGREES(ATAN2(N17,O17))&lt;0,DEGREES(ATAN2(N17,O17))+360,IF(DEGREES(ATAN2(N17,O17))&gt;360,DEGREES(ATAN2(N17,O17))-360,DEGREES(ATAN2(N17,O17)))))</f>
        <v>86.146000556448669</v>
      </c>
      <c r="R17" s="5">
        <f>IF(M17="","",SQRT(N17^2+O17^2))</f>
        <v>5.584416842601196</v>
      </c>
      <c r="S17" s="6">
        <f>IF(M17="","",P17)</f>
        <v>-1.6089048524570349</v>
      </c>
      <c r="T17" s="4">
        <f>IF(M17="","",X17*COS(RADIANS(W17)))</f>
        <v>5.5718207764404761</v>
      </c>
      <c r="U17" s="5">
        <f>IF(M17="","",X17*SIN(RADIANS(W17)))</f>
        <v>-0.37486625235429938</v>
      </c>
      <c r="V17" s="8">
        <f>IF(M17="","",Y17)</f>
        <v>-1.6089048524570349</v>
      </c>
      <c r="W17" s="624">
        <f t="shared" si="226"/>
        <v>356.15100055572674</v>
      </c>
      <c r="X17" s="5">
        <f>IF(M17="","",R17)</f>
        <v>5.584416842601196</v>
      </c>
      <c r="Y17" s="7">
        <f t="shared" si="225"/>
        <v>-1.6089048524570349</v>
      </c>
      <c r="Z17" s="21">
        <f t="shared" si="6"/>
        <v>0.90087077999373277</v>
      </c>
      <c r="AA17" s="5">
        <f t="shared" si="7"/>
        <v>-0.4166014762850101</v>
      </c>
      <c r="AB17" s="5">
        <f t="shared" si="8"/>
        <v>-0.12196330477087716</v>
      </c>
      <c r="AC17" s="8">
        <f>IF(M17="","",SQRT(Z17^2+AA17^2+AB17^2))</f>
        <v>1</v>
      </c>
      <c r="AD17" s="9">
        <f>IF(M17="","",Z17*(1/SQRT(Z17^2+AA17^2+AB17^2)))</f>
        <v>0.90087077999373277</v>
      </c>
      <c r="AE17" s="5">
        <f>IF(M17="","",AA17*(1/SQRT(Z17^2+AA17^2+AB17^2)))</f>
        <v>-0.4166014762850101</v>
      </c>
      <c r="AF17" s="10">
        <f>IF(M17="","",AB17*(1/SQRT(Z17^2+AA17^2+AB17^2)))</f>
        <v>-0.12196330477087716</v>
      </c>
      <c r="AG17" s="622">
        <f>IF(M17="","",DEGREES(ATAN2(-AF17,AE17)))</f>
        <v>-73.682199636810935</v>
      </c>
      <c r="AH17" s="623">
        <f>IF(M17="","",DEGREES(ACOS(AD17)))</f>
        <v>25.727235507564632</v>
      </c>
      <c r="AI17" s="624">
        <f>IF(M17="","",DEGREES(-ACOS(-AF17)))</f>
        <v>-82.994575948955557</v>
      </c>
      <c r="AJ17" s="625">
        <f>IF(M17="","",DEGREES(ATAN2(-AE17,AD17)))</f>
        <v>65.182144370351054</v>
      </c>
      <c r="AK17" s="4">
        <f>IF(M17="","",(COS(RADIANS((90-$Q$8)-W17))*AD17)+(-SIN(RADIANS((90-$Q$8)-W17))*AE17))</f>
        <v>0.92683508129097925</v>
      </c>
      <c r="AL17" s="5">
        <f>IF(M17="","",(SIN(RADIANS((90-$Q$8)-W17))*AD17)+(COS(RADIANS((90-$Q$8)-W17))*AE17))</f>
        <v>-0.35510798974074109</v>
      </c>
      <c r="AM17" s="6">
        <f>IF(M17="","",AF17)</f>
        <v>-0.12196330477087716</v>
      </c>
      <c r="AN17" s="612">
        <f>IF(M17="","",DEGREES(ATAN2(-AM17,AL17)))</f>
        <v>-71.044754357791945</v>
      </c>
      <c r="AO17" s="613">
        <f t="shared" si="98"/>
        <v>22.053283279405921</v>
      </c>
      <c r="AP17" s="624">
        <f>IF(M17="","",DEGREES(ATAN2(AK17,AL17)))</f>
        <v>-20.963856186097612</v>
      </c>
      <c r="AQ17" s="625">
        <f t="shared" si="9"/>
        <v>2.2196602389304299</v>
      </c>
      <c r="AS17" s="56">
        <f t="shared" si="119"/>
        <v>-3.8489994442732609</v>
      </c>
      <c r="AT17" s="77">
        <f t="shared" si="10"/>
        <v>-1.5943452990036187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1.1439999999999999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0.02</v>
      </c>
      <c r="B18" s="770">
        <v>0.43020408276307914</v>
      </c>
      <c r="C18" s="771">
        <v>5.7945697294913909</v>
      </c>
      <c r="D18" s="772">
        <v>-2.328207021872378</v>
      </c>
      <c r="E18" s="773">
        <v>-0.84019752269190651</v>
      </c>
      <c r="F18" s="771">
        <v>0.53299474516085443</v>
      </c>
      <c r="G18" s="774">
        <v>9.9923593276558559E-2</v>
      </c>
      <c r="H18" s="773">
        <v>0.314</v>
      </c>
      <c r="I18" s="771">
        <v>0.52</v>
      </c>
      <c r="J18" s="601">
        <v>1.151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1613</v>
      </c>
      <c r="L18" s="857" t="s">
        <v>376</v>
      </c>
      <c r="M18" s="173">
        <f t="shared" si="1"/>
        <v>1.151</v>
      </c>
      <c r="N18" s="21">
        <f t="shared" si="2"/>
        <v>0.43020408276307914</v>
      </c>
      <c r="O18" s="5">
        <f t="shared" si="3"/>
        <v>5.7945697294913909</v>
      </c>
      <c r="P18" s="10">
        <f t="shared" si="4"/>
        <v>-2.328207021872378</v>
      </c>
      <c r="Q18" s="624">
        <f t="shared" si="116"/>
        <v>85.754000613046472</v>
      </c>
      <c r="R18" s="5">
        <f>IF(M18="","",SQRT(N18^2+O18^2))</f>
        <v>5.8105175245208533</v>
      </c>
      <c r="S18" s="6">
        <f>IF(M18="","",P18)</f>
        <v>-2.328207021872378</v>
      </c>
      <c r="T18" s="4">
        <f>IF(M18="","",X18*COS(RADIANS(W18)))</f>
        <v>5.7946072498103405</v>
      </c>
      <c r="U18" s="5">
        <f>IF(M18="","",X18*SIN(RADIANS(W18)))</f>
        <v>-0.42969840959605865</v>
      </c>
      <c r="V18" s="8">
        <f>IF(M18="","",Y18)</f>
        <v>-2.328207021872378</v>
      </c>
      <c r="W18" s="624">
        <f t="shared" si="226"/>
        <v>355.75900061232454</v>
      </c>
      <c r="X18" s="5">
        <f>IF(M18="","",R18)</f>
        <v>5.8105175245208533</v>
      </c>
      <c r="Y18" s="7">
        <f t="shared" si="225"/>
        <v>-2.328207021872378</v>
      </c>
      <c r="Z18" s="21">
        <f t="shared" si="6"/>
        <v>0.84019752269190651</v>
      </c>
      <c r="AA18" s="5">
        <f t="shared" si="7"/>
        <v>-0.53299474516085443</v>
      </c>
      <c r="AB18" s="5">
        <f t="shared" si="8"/>
        <v>-9.9923593276558559E-2</v>
      </c>
      <c r="AC18" s="8">
        <f>IF(M18="","",SQRT(Z18^2+AA18^2+AB18^2))</f>
        <v>1</v>
      </c>
      <c r="AD18" s="9">
        <f>IF(M18="","",Z18*(1/SQRT(Z18^2+AA18^2+AB18^2)))</f>
        <v>0.84019752269190651</v>
      </c>
      <c r="AE18" s="5">
        <f>IF(M18="","",AA18*(1/SQRT(Z18^2+AA18^2+AB18^2)))</f>
        <v>-0.53299474516085443</v>
      </c>
      <c r="AF18" s="10">
        <f>IF(M18="","",AB18*(1/SQRT(Z18^2+AA18^2+AB18^2)))</f>
        <v>-9.9923593276558559E-2</v>
      </c>
      <c r="AG18" s="622">
        <f>IF(M18="","",DEGREES(ATAN2(-AF18,AE18)))</f>
        <v>-79.381686582141711</v>
      </c>
      <c r="AH18" s="623">
        <f>IF(M18="","",DEGREES(ACOS(AD18)))</f>
        <v>32.839016590594497</v>
      </c>
      <c r="AI18" s="624">
        <f>IF(M18="","",DEGREES(-ACOS(-AF18)))</f>
        <v>-84.265229342999532</v>
      </c>
      <c r="AJ18" s="625">
        <f>IF(M18="","",DEGREES(ATAN2(-AE18,AD18)))</f>
        <v>57.61024984776121</v>
      </c>
      <c r="AK18" s="4">
        <f>IF(M18="","",(COS(RADIANS((90-$Q$8)-W18))*AD18)+(-SIN(RADIANS((90-$Q$8)-W18))*AE18))</f>
        <v>0.87735380294959608</v>
      </c>
      <c r="AL18" s="5">
        <f>IF(M18="","",(SIN(RADIANS((90-$Q$8)-W18))*AD18)+(COS(RADIANS((90-$Q$8)-W18))*AE18))</f>
        <v>-0.46932459977778934</v>
      </c>
      <c r="AM18" s="6">
        <f>IF(M18="","",AF18)</f>
        <v>-9.9923593276558559E-2</v>
      </c>
      <c r="AN18" s="612">
        <f>IF(M18="","",DEGREES(ATAN2(-AM18,AL18)))</f>
        <v>-77.980662127901738</v>
      </c>
      <c r="AO18" s="613">
        <f t="shared" si="98"/>
        <v>28.675216634932145</v>
      </c>
      <c r="AP18" s="624">
        <f>IF(M18="","",DEGREES(ATAN2(AK18,AL18)))</f>
        <v>-28.143750765285244</v>
      </c>
      <c r="AQ18" s="625">
        <f t="shared" si="9"/>
        <v>2.1333695445128904</v>
      </c>
      <c r="AS18" s="56">
        <f t="shared" si="119"/>
        <v>-4.2409993876754584</v>
      </c>
      <c r="AT18" s="77">
        <f t="shared" si="10"/>
        <v>-2.3121665797438871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1.151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7"/>
        <v/>
      </c>
      <c r="IK18" s="839" t="str">
        <f t="shared" si="68"/>
        <v/>
      </c>
      <c r="IL18" s="791" t="str">
        <f t="shared" si="227"/>
        <v/>
      </c>
      <c r="IM18" s="830"/>
      <c r="IN18" s="5" t="str">
        <f t="shared" si="228"/>
        <v/>
      </c>
      <c r="IO18" s="852"/>
      <c r="IP18" s="9" t="str">
        <f t="shared" si="229"/>
        <v/>
      </c>
      <c r="IQ18" s="5" t="str">
        <f t="shared" si="230"/>
        <v/>
      </c>
      <c r="IR18" s="5" t="str">
        <f t="shared" si="73"/>
        <v/>
      </c>
      <c r="IS18" s="5" t="str">
        <f t="shared" si="231"/>
        <v/>
      </c>
      <c r="IT18" s="791" t="str">
        <f t="shared" si="232"/>
        <v/>
      </c>
      <c r="IU18" s="9" t="str">
        <f t="shared" si="233"/>
        <v/>
      </c>
      <c r="IV18" s="5" t="str">
        <f t="shared" si="234"/>
        <v/>
      </c>
      <c r="IW18" s="5" t="str">
        <f t="shared" si="78"/>
        <v/>
      </c>
      <c r="IX18" s="5" t="str">
        <f t="shared" si="235"/>
        <v/>
      </c>
      <c r="IY18" s="833" t="str">
        <f t="shared" si="236"/>
        <v/>
      </c>
    </row>
    <row r="19" spans="1:259" ht="15" customHeight="1" x14ac:dyDescent="0.25">
      <c r="A19" s="84">
        <f t="shared" si="81"/>
        <v>0.02</v>
      </c>
      <c r="B19" s="770">
        <v>0.46282300561634027</v>
      </c>
      <c r="C19" s="771">
        <v>5.920354900043491</v>
      </c>
      <c r="D19" s="772">
        <v>-3.0309091412219704</v>
      </c>
      <c r="E19" s="773">
        <v>-0.77195759060271496</v>
      </c>
      <c r="F19" s="771">
        <v>0.63567403463633332</v>
      </c>
      <c r="G19" s="774">
        <v>1.3008419228225112E-7</v>
      </c>
      <c r="H19" s="773">
        <v>0.26600000000000001</v>
      </c>
      <c r="I19" s="771">
        <v>0.52</v>
      </c>
      <c r="J19" s="601">
        <v>1.1579999999999999</v>
      </c>
      <c r="K19" s="426" t="str">
        <f t="shared" si="82"/>
        <v>1313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1.1579999999999999</v>
      </c>
      <c r="N19" s="21">
        <f t="shared" si="2"/>
        <v>0.46282300561634027</v>
      </c>
      <c r="O19" s="5">
        <f t="shared" si="3"/>
        <v>5.920354900043491</v>
      </c>
      <c r="P19" s="10">
        <f t="shared" si="4"/>
        <v>-3.0309091412219704</v>
      </c>
      <c r="Q19" s="624">
        <f t="shared" si="116"/>
        <v>85.530000645388071</v>
      </c>
      <c r="R19" s="5">
        <f>IF(M19="","",SQRT(N19^2+O19^2))</f>
        <v>5.9384179102684174</v>
      </c>
      <c r="S19" s="6">
        <f>IF(M19="","",P19)</f>
        <v>-3.0309091412219704</v>
      </c>
      <c r="T19" s="4">
        <f>IF(M19="","",X19*COS(RADIANS(W19)))</f>
        <v>5.9203952664210844</v>
      </c>
      <c r="U19" s="5">
        <f>IF(M19="","",X19*SIN(RADIANS(W19)))</f>
        <v>-0.4623063554998294</v>
      </c>
      <c r="V19" s="8">
        <f>IF(M19="","",Y19)</f>
        <v>-3.0309091412219704</v>
      </c>
      <c r="W19" s="624">
        <f t="shared" si="226"/>
        <v>355.53500064466618</v>
      </c>
      <c r="X19" s="5">
        <f>IF(M19="","",R19)</f>
        <v>5.9384179102684174</v>
      </c>
      <c r="Y19" s="7">
        <f t="shared" si="225"/>
        <v>-3.0309091412219704</v>
      </c>
      <c r="Z19" s="21">
        <f t="shared" si="6"/>
        <v>0.77195759060271496</v>
      </c>
      <c r="AA19" s="5">
        <f t="shared" si="7"/>
        <v>-0.63567403463633332</v>
      </c>
      <c r="AB19" s="5">
        <f t="shared" si="8"/>
        <v>-1.3008419228225112E-7</v>
      </c>
      <c r="AC19" s="8">
        <f>IF(M19="","",SQRT(Z19^2+AA19^2+AB19^2))</f>
        <v>1</v>
      </c>
      <c r="AD19" s="9">
        <f>IF(M19="","",Z19*(1/SQRT(Z19^2+AA19^2+AB19^2)))</f>
        <v>0.77195759060271496</v>
      </c>
      <c r="AE19" s="5">
        <f>IF(M19="","",AA19*(1/SQRT(Z19^2+AA19^2+AB19^2)))</f>
        <v>-0.63567403463633332</v>
      </c>
      <c r="AF19" s="10">
        <f>IF(M19="","",AB19*(1/SQRT(Z19^2+AA19^2+AB19^2)))</f>
        <v>-1.3008419228225112E-7</v>
      </c>
      <c r="AG19" s="622">
        <f>IF(M19="","",DEGREES(ATAN2(-AF19,AE19)))</f>
        <v>-89.999988275004497</v>
      </c>
      <c r="AH19" s="623">
        <f>IF(M19="","",DEGREES(ACOS(AD19)))</f>
        <v>39.469994301237804</v>
      </c>
      <c r="AI19" s="624">
        <f>IF(M19="","",DEGREES(-ACOS(-AF19)))</f>
        <v>-89.999992546724798</v>
      </c>
      <c r="AJ19" s="625">
        <f>IF(M19="","",DEGREES(ATAN2(-AE19,AD19)))</f>
        <v>50.530005698762778</v>
      </c>
      <c r="AK19" s="4">
        <f>IF(M19="","",(COS(RADIANS((90-$Q$8)-W19))*AD19)+(-SIN(RADIANS((90-$Q$8)-W19))*AE19))</f>
        <v>0.81915209487729157</v>
      </c>
      <c r="AL19" s="5">
        <f>IF(M19="","",(SIN(RADIANS((90-$Q$8)-W19))*AD19)+(COS(RADIANS((90-$Q$8)-W19))*AE19))</f>
        <v>-0.57357636410344515</v>
      </c>
      <c r="AM19" s="6">
        <f>IF(M19="","",AF19)</f>
        <v>-1.3008419228225112E-7</v>
      </c>
      <c r="AN19" s="612">
        <f>IF(M19="","",DEGREES(ATAN2(-AM19,AL19)))</f>
        <v>-89.999987005609611</v>
      </c>
      <c r="AO19" s="613">
        <f t="shared" si="98"/>
        <v>34.999994946625989</v>
      </c>
      <c r="AP19" s="624">
        <f>IF(M19="","",DEGREES(ATAN2(AK19,AL19)))</f>
        <v>-34.999994946625307</v>
      </c>
      <c r="AQ19" s="625">
        <f t="shared" si="9"/>
        <v>2.087462579638407</v>
      </c>
      <c r="AS19" s="56">
        <f t="shared" si="119"/>
        <v>-4.4649993553338163</v>
      </c>
      <c r="AT19" s="77">
        <f t="shared" si="10"/>
        <v>-3.0140224769934365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1.1579999999999999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7"/>
        <v/>
      </c>
      <c r="IK19" s="839" t="str">
        <f t="shared" si="68"/>
        <v/>
      </c>
      <c r="IL19" s="791" t="str">
        <f t="shared" si="227"/>
        <v/>
      </c>
      <c r="IM19" s="830"/>
      <c r="IN19" s="5" t="str">
        <f t="shared" si="228"/>
        <v/>
      </c>
      <c r="IO19" s="852"/>
      <c r="IP19" s="9" t="str">
        <f t="shared" si="229"/>
        <v/>
      </c>
      <c r="IQ19" s="5" t="str">
        <f t="shared" si="230"/>
        <v/>
      </c>
      <c r="IR19" s="5" t="str">
        <f t="shared" si="73"/>
        <v/>
      </c>
      <c r="IS19" s="5" t="str">
        <f t="shared" si="231"/>
        <v/>
      </c>
      <c r="IT19" s="791" t="str">
        <f t="shared" si="232"/>
        <v/>
      </c>
      <c r="IU19" s="9" t="str">
        <f t="shared" si="233"/>
        <v/>
      </c>
      <c r="IV19" s="5" t="str">
        <f t="shared" si="234"/>
        <v/>
      </c>
      <c r="IW19" s="5" t="str">
        <f t="shared" si="78"/>
        <v/>
      </c>
      <c r="IX19" s="5" t="str">
        <f t="shared" si="235"/>
        <v/>
      </c>
      <c r="IY19" s="833" t="str">
        <f t="shared" si="236"/>
        <v/>
      </c>
    </row>
    <row r="20" spans="1:259" ht="15" customHeight="1" x14ac:dyDescent="0.25">
      <c r="A20" s="84">
        <f t="shared" si="81"/>
        <v>0.02</v>
      </c>
      <c r="B20" s="770">
        <v>0.99269664993762019</v>
      </c>
      <c r="C20" s="771">
        <v>3.8132043223291192</v>
      </c>
      <c r="D20" s="772">
        <v>-0.1216909021023974</v>
      </c>
      <c r="E20" s="773">
        <v>-0.83270149155859929</v>
      </c>
      <c r="F20" s="771">
        <v>0.38410808519294315</v>
      </c>
      <c r="G20" s="774">
        <v>0.3988348089691956</v>
      </c>
      <c r="H20" s="773">
        <v>0.26600000000000001</v>
      </c>
      <c r="I20" s="771">
        <v>0.52</v>
      </c>
      <c r="J20" s="601">
        <v>1.2230000000000001</v>
      </c>
      <c r="K20" s="426" t="str">
        <f t="shared" si="82"/>
        <v>1313</v>
      </c>
      <c r="L20" s="858" t="s">
        <v>377</v>
      </c>
      <c r="M20" s="173">
        <f t="shared" si="1"/>
        <v>1.2230000000000001</v>
      </c>
      <c r="N20" s="21">
        <f t="shared" si="2"/>
        <v>0.99269664993762019</v>
      </c>
      <c r="O20" s="5">
        <f t="shared" si="3"/>
        <v>3.8132043223291192</v>
      </c>
      <c r="P20" s="10">
        <f t="shared" si="4"/>
        <v>-0.1216909021023974</v>
      </c>
      <c r="Q20" s="624">
        <f t="shared" si="116"/>
        <v>75.40800210682383</v>
      </c>
      <c r="R20" s="5">
        <f>IF(M20="","",SQRT(N20^2+O20^2))</f>
        <v>3.9403012375485775</v>
      </c>
      <c r="S20" s="6">
        <f>IF(M20="","",P20)</f>
        <v>-0.1216909021023974</v>
      </c>
      <c r="T20" s="4">
        <f>IF(M20="","",X20*COS(RADIANS(W20)))</f>
        <v>3.8132909369219741</v>
      </c>
      <c r="U20" s="5">
        <f>IF(M20="","",X20*SIN(RADIANS(W20)))</f>
        <v>-0.99236388135380338</v>
      </c>
      <c r="V20" s="8">
        <f>IF(M20="","",Y20)</f>
        <v>-0.1216909021023974</v>
      </c>
      <c r="W20" s="624">
        <f t="shared" si="226"/>
        <v>345.41300210610189</v>
      </c>
      <c r="X20" s="5">
        <f>IF(M20="","",R20)</f>
        <v>3.9403012375485775</v>
      </c>
      <c r="Y20" s="7">
        <f t="shared" si="225"/>
        <v>-0.1216909021023974</v>
      </c>
      <c r="Z20" s="21">
        <f t="shared" si="6"/>
        <v>0.83270149155859929</v>
      </c>
      <c r="AA20" s="5">
        <f t="shared" si="7"/>
        <v>-0.38410808519294315</v>
      </c>
      <c r="AB20" s="5">
        <f t="shared" si="8"/>
        <v>-0.3988348089691956</v>
      </c>
      <c r="AC20" s="8">
        <f>IF(M20="","",SQRT(Z20^2+AA20^2+AB20^2))</f>
        <v>1</v>
      </c>
      <c r="AD20" s="9">
        <f>IF(M20="","",Z20*(1/SQRT(Z20^2+AA20^2+AB20^2)))</f>
        <v>0.83270149155859929</v>
      </c>
      <c r="AE20" s="5">
        <f>IF(M20="","",AA20*(1/SQRT(Z20^2+AA20^2+AB20^2)))</f>
        <v>-0.38410808519294315</v>
      </c>
      <c r="AF20" s="10">
        <f>IF(M20="","",AB20*(1/SQRT(Z20^2+AA20^2+AB20^2)))</f>
        <v>-0.3988348089691956</v>
      </c>
      <c r="AG20" s="622">
        <f>IF(M20="","",DEGREES(ATAN2(-AF20,AE20)))</f>
        <v>-43.922425074076735</v>
      </c>
      <c r="AH20" s="623">
        <f>IF(M20="","",DEGREES(ACOS(AD20)))</f>
        <v>33.622745086992381</v>
      </c>
      <c r="AI20" s="624">
        <f>IF(M20="","",DEGREES(-ACOS(-AF20)))</f>
        <v>-66.494643052668309</v>
      </c>
      <c r="AJ20" s="625">
        <f>IF(M20="","",DEGREES(ATAN2(-AE20,AD20)))</f>
        <v>65.237094857019443</v>
      </c>
      <c r="AK20" s="4">
        <f>IF(M20="","",(COS(RADIANS((90-$Q$8)-W20))*AD20)+(-SIN(RADIANS((90-$Q$8)-W20))*AE20))</f>
        <v>0.90261214099935871</v>
      </c>
      <c r="AL20" s="5">
        <f>IF(M20="","",(SIN(RADIANS((90-$Q$8)-W20))*AD20)+(COS(RADIANS((90-$Q$8)-W20))*AE20))</f>
        <v>-0.16193244911091495</v>
      </c>
      <c r="AM20" s="6">
        <f>IF(M20="","",AF20)</f>
        <v>-0.3988348089691956</v>
      </c>
      <c r="AN20" s="612">
        <f>IF(M20="","",DEGREES(ATAN2(-AM20,AL20)))</f>
        <v>-22.097832814024049</v>
      </c>
      <c r="AO20" s="613">
        <f t="shared" si="98"/>
        <v>25.496425473533719</v>
      </c>
      <c r="AP20" s="624">
        <f>IF(M20="","",DEGREES(ATAN2(AK20,AL20)))</f>
        <v>-10.170907249804376</v>
      </c>
      <c r="AQ20" s="625">
        <f t="shared" si="9"/>
        <v>3.1442420942948961</v>
      </c>
      <c r="AS20" s="56">
        <f t="shared" si="119"/>
        <v>-14.586997893898115</v>
      </c>
      <c r="AT20" s="77">
        <f t="shared" si="10"/>
        <v>-6.6565576728176201E-2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>
        <f>IFERROR(IF($IU20="","",IF($IU20&lt;(((Settings!$C$19/2)*-1)*$IE$8),"",1)),"")</f>
        <v>1</v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1.2230000000000001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I20" s="800" cm="1">
        <f t="array" ref="II20">IFERROR(IF($IH20&lt;1,$IH20+LARGE((IF($M$9:$M$150="",0,$M$9:$M$150)-MOD(IF($M$9:$M$150="",0,$M$9:$M$150),1)),1),$IH20),"")</f>
        <v>1.123</v>
      </c>
      <c r="IJ20" s="839" t="str">
        <f t="shared" si="67"/>
        <v>1613</v>
      </c>
      <c r="IK20" s="839" t="str">
        <f t="shared" si="68"/>
        <v>1313</v>
      </c>
      <c r="IL20" s="791">
        <f t="shared" si="227"/>
        <v>13.301998079429154</v>
      </c>
      <c r="IM20" s="830">
        <v>1.44923828064138E-2</v>
      </c>
      <c r="IN20" s="5">
        <f t="shared" si="228"/>
        <v>0.36</v>
      </c>
      <c r="IO20" s="852">
        <v>180</v>
      </c>
      <c r="IP20" s="9">
        <f t="shared" si="229"/>
        <v>-3.9295118514077441</v>
      </c>
      <c r="IQ20" s="5">
        <f t="shared" si="230"/>
        <v>-0.16810050699112908</v>
      </c>
      <c r="IR20" s="5">
        <f t="shared" si="73"/>
        <v>0.314</v>
      </c>
      <c r="IS20" s="5">
        <f t="shared" si="231"/>
        <v>0.3020639360864335</v>
      </c>
      <c r="IT20" s="791">
        <f t="shared" si="232"/>
        <v>29.289676156199707</v>
      </c>
      <c r="IU20" s="9">
        <f t="shared" si="233"/>
        <v>-3.9403012375485775</v>
      </c>
      <c r="IV20" s="5">
        <f t="shared" si="234"/>
        <v>-0.1216909021023974</v>
      </c>
      <c r="IW20" s="5">
        <f t="shared" si="78"/>
        <v>0.26600000000000001</v>
      </c>
      <c r="IX20" s="5">
        <f t="shared" si="235"/>
        <v>0.24009482950582944</v>
      </c>
      <c r="IY20" s="833">
        <f t="shared" si="236"/>
        <v>22.097832814024049</v>
      </c>
    </row>
    <row r="21" spans="1:259" ht="15" customHeight="1" x14ac:dyDescent="0.25">
      <c r="A21" s="84">
        <f t="shared" si="81"/>
        <v>0.02</v>
      </c>
      <c r="B21" s="770">
        <v>1.119477117964945</v>
      </c>
      <c r="C21" s="771">
        <v>4.5037051182122516</v>
      </c>
      <c r="D21" s="772">
        <v>-0.42874669852907754</v>
      </c>
      <c r="E21" s="773">
        <v>-0.79944568647024461</v>
      </c>
      <c r="F21" s="771">
        <v>0.48162415624734056</v>
      </c>
      <c r="G21" s="774">
        <v>0.35906095095840873</v>
      </c>
      <c r="H21" s="773">
        <v>0.26600000000000001</v>
      </c>
      <c r="I21" s="771">
        <v>0.52</v>
      </c>
      <c r="J21" s="601">
        <v>1.23</v>
      </c>
      <c r="K21" s="426" t="str">
        <f t="shared" si="82"/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1.23</v>
      </c>
      <c r="N21" s="21">
        <f t="shared" si="2"/>
        <v>1.119477117964945</v>
      </c>
      <c r="O21" s="5">
        <f t="shared" si="3"/>
        <v>4.5037051182122516</v>
      </c>
      <c r="P21" s="10">
        <f t="shared" si="4"/>
        <v>-0.42874669852907754</v>
      </c>
      <c r="Q21" s="624">
        <f t="shared" si="116"/>
        <v>76.041002015429953</v>
      </c>
      <c r="R21" s="5">
        <f>IF(M21="","",SQRT(N21^2+O21^2))</f>
        <v>4.6407530433603483</v>
      </c>
      <c r="S21" s="6">
        <f>IF(M21="","",P21)</f>
        <v>-0.42874669852907754</v>
      </c>
      <c r="T21" s="4">
        <f>IF(M21="","",X21*COS(RADIANS(W21)))</f>
        <v>4.5038027938572363</v>
      </c>
      <c r="U21" s="5">
        <f>IF(M21="","",X21*SIN(RADIANS(W21)))</f>
        <v>-1.1190840913452771</v>
      </c>
      <c r="V21" s="8">
        <f>IF(M21="","",Y21)</f>
        <v>-0.42874669852907754</v>
      </c>
      <c r="W21" s="624">
        <f t="shared" si="226"/>
        <v>346.04600201470805</v>
      </c>
      <c r="X21" s="5">
        <f>IF(M21="","",R21)</f>
        <v>4.6407530433603483</v>
      </c>
      <c r="Y21" s="7">
        <f t="shared" si="225"/>
        <v>-0.42874669852907754</v>
      </c>
      <c r="Z21" s="21">
        <f t="shared" si="6"/>
        <v>0.79944568647024461</v>
      </c>
      <c r="AA21" s="5">
        <f t="shared" si="7"/>
        <v>-0.48162415624734056</v>
      </c>
      <c r="AB21" s="5">
        <f t="shared" si="8"/>
        <v>-0.35906095095840873</v>
      </c>
      <c r="AC21" s="8">
        <f>IF(M21="","",SQRT(Z21^2+AA21^2+AB21^2))</f>
        <v>1</v>
      </c>
      <c r="AD21" s="9">
        <f>IF(M21="","",Z21*(1/SQRT(Z21^2+AA21^2+AB21^2)))</f>
        <v>0.79944568647024461</v>
      </c>
      <c r="AE21" s="5">
        <f>IF(M21="","",AA21*(1/SQRT(Z21^2+AA21^2+AB21^2)))</f>
        <v>-0.48162415624734056</v>
      </c>
      <c r="AF21" s="10">
        <f>IF(M21="","",AB21*(1/SQRT(Z21^2+AA21^2+AB21^2)))</f>
        <v>-0.35906095095840873</v>
      </c>
      <c r="AG21" s="622">
        <f>IF(M21="","",DEGREES(ATAN2(-AF21,AE21)))</f>
        <v>-53.294695389390526</v>
      </c>
      <c r="AH21" s="623">
        <f>IF(M21="","",DEGREES(ACOS(AD21)))</f>
        <v>36.922798134751481</v>
      </c>
      <c r="AI21" s="624">
        <f>IF(M21="","",DEGREES(-ACOS(-AF21)))</f>
        <v>-68.957462991610669</v>
      </c>
      <c r="AJ21" s="625">
        <f>IF(M21="","",DEGREES(ATAN2(-AE21,AD21)))</f>
        <v>58.933238144279301</v>
      </c>
      <c r="AK21" s="4">
        <f>IF(M21="","",(COS(RADIANS((90-$Q$8)-W21))*AD21)+(-SIN(RADIANS((90-$Q$8)-W21))*AE21))</f>
        <v>0.89201791467647851</v>
      </c>
      <c r="AL21" s="5">
        <f>IF(M21="","",(SIN(RADIANS((90-$Q$8)-W21))*AD21)+(COS(RADIANS((90-$Q$8)-W21))*AE21))</f>
        <v>-0.27455286083570507</v>
      </c>
      <c r="AM21" s="6">
        <f>IF(M21="","",AF21)</f>
        <v>-0.35906095095840873</v>
      </c>
      <c r="AN21" s="612">
        <f>IF(M21="","",DEGREES(ATAN2(-AM21,AL21)))</f>
        <v>-37.403024526970562</v>
      </c>
      <c r="AO21" s="613">
        <f>IF(ROUND(IF(M21="",0,DEGREES(ACOS(AK21))),4)=90,0,IF(M21="","",DEGREES(ACOS(AK21))))</f>
        <v>26.872077291030372</v>
      </c>
      <c r="AP21" s="624">
        <f>IF(M21="","",DEGREES(ATAN2(AK21,AL21)))</f>
        <v>-17.107763871150652</v>
      </c>
      <c r="AQ21" s="625">
        <f t="shared" si="9"/>
        <v>2.6704139488117766</v>
      </c>
      <c r="AS21" s="56">
        <f t="shared" si="119"/>
        <v>-13.953997985291949</v>
      </c>
      <c r="AT21" s="77">
        <f t="shared" si="10"/>
        <v>-0.37601270614292409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1.23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1.1299999999999999</v>
      </c>
      <c r="II21" s="800" cm="1">
        <f t="array" ref="II21">IFERROR(IF($IH21&lt;1,$IH21+LARGE((IF($M$9:$M$150="",0,$M$9:$M$150)-MOD(IF($M$9:$M$150="",0,$M$9:$M$150),1)),1),$IH21),"")</f>
        <v>1.1299999999999999</v>
      </c>
      <c r="IJ21" s="839" t="str">
        <f t="shared" si="67"/>
        <v>1613</v>
      </c>
      <c r="IK21" s="839" t="str">
        <f t="shared" si="68"/>
        <v>1313</v>
      </c>
      <c r="IL21" s="791">
        <f t="shared" si="227"/>
        <v>11.681998313328108</v>
      </c>
      <c r="IM21" s="830">
        <v>1.19179482090044E-2</v>
      </c>
      <c r="IN21" s="5">
        <f t="shared" si="228"/>
        <v>0.34</v>
      </c>
      <c r="IO21" s="852">
        <v>170</v>
      </c>
      <c r="IP21" s="9">
        <f t="shared" si="229"/>
        <v>-4.6176139267236032</v>
      </c>
      <c r="IQ21" s="5">
        <f t="shared" si="230"/>
        <v>-0.47400142958831165</v>
      </c>
      <c r="IR21" s="5">
        <f t="shared" si="73"/>
        <v>0.314</v>
      </c>
      <c r="IS21" s="5">
        <f t="shared" si="231"/>
        <v>0.29956058210106473</v>
      </c>
      <c r="IT21" s="791">
        <f t="shared" si="232"/>
        <v>45.803716834897394</v>
      </c>
      <c r="IU21" s="9">
        <f t="shared" si="233"/>
        <v>-4.6407530433603483</v>
      </c>
      <c r="IV21" s="5">
        <f t="shared" si="234"/>
        <v>-0.42874669852907754</v>
      </c>
      <c r="IW21" s="5">
        <f t="shared" si="78"/>
        <v>0.26600000000000001</v>
      </c>
      <c r="IX21" s="5">
        <f t="shared" si="235"/>
        <v>0.23727676530394329</v>
      </c>
      <c r="IY21" s="833">
        <f t="shared" si="236"/>
        <v>37.403024526970562</v>
      </c>
    </row>
    <row r="22" spans="1:259" ht="15" customHeight="1" x14ac:dyDescent="0.25">
      <c r="A22" s="84">
        <f t="shared" si="81"/>
        <v>0.02</v>
      </c>
      <c r="B22" s="770">
        <v>1.250421915906949</v>
      </c>
      <c r="C22" s="771">
        <v>5.0659899809527937</v>
      </c>
      <c r="D22" s="772">
        <v>-0.93009300311805032</v>
      </c>
      <c r="E22" s="773">
        <v>-0.76687871764549598</v>
      </c>
      <c r="F22" s="771">
        <v>0.5704763027839137</v>
      </c>
      <c r="G22" s="774">
        <v>0.29403030521426921</v>
      </c>
      <c r="H22" s="773">
        <v>0.26600000000000001</v>
      </c>
      <c r="I22" s="771">
        <v>0.52</v>
      </c>
      <c r="J22" s="601">
        <v>1.2370000000000001</v>
      </c>
      <c r="K22" s="426" t="str">
        <f t="shared" si="82"/>
        <v>1313</v>
      </c>
      <c r="L22" s="327"/>
      <c r="M22" s="173">
        <f t="shared" si="1"/>
        <v>1.2370000000000001</v>
      </c>
      <c r="N22" s="21">
        <f t="shared" si="2"/>
        <v>1.250421915906949</v>
      </c>
      <c r="O22" s="5">
        <f t="shared" si="3"/>
        <v>5.0659899809527937</v>
      </c>
      <c r="P22" s="10">
        <f t="shared" si="4"/>
        <v>-0.93009300311805032</v>
      </c>
      <c r="Q22" s="624">
        <f t="shared" si="116"/>
        <v>76.135002001858041</v>
      </c>
      <c r="R22" s="5">
        <f t="shared" si="83"/>
        <v>5.218027352831192</v>
      </c>
      <c r="S22" s="6">
        <f t="shared" si="84"/>
        <v>-0.93009300311805032</v>
      </c>
      <c r="T22" s="4">
        <f t="shared" si="85"/>
        <v>5.0660990815444036</v>
      </c>
      <c r="U22" s="5">
        <f t="shared" si="86"/>
        <v>-1.2499798201848873</v>
      </c>
      <c r="V22" s="8">
        <f t="shared" si="117"/>
        <v>-0.93009300311805032</v>
      </c>
      <c r="W22" s="624">
        <f t="shared" si="226"/>
        <v>346.14000200113611</v>
      </c>
      <c r="X22" s="5">
        <f t="shared" si="87"/>
        <v>5.218027352831192</v>
      </c>
      <c r="Y22" s="7">
        <f t="shared" si="225"/>
        <v>-0.93009300311805032</v>
      </c>
      <c r="Z22" s="21">
        <f t="shared" si="6"/>
        <v>0.76687871764549598</v>
      </c>
      <c r="AA22" s="5">
        <f t="shared" si="7"/>
        <v>-0.5704763027839137</v>
      </c>
      <c r="AB22" s="5">
        <f t="shared" si="8"/>
        <v>-0.29403030521426921</v>
      </c>
      <c r="AC22" s="8">
        <f t="shared" si="88"/>
        <v>1</v>
      </c>
      <c r="AD22" s="9">
        <f t="shared" si="118"/>
        <v>0.76687871764549598</v>
      </c>
      <c r="AE22" s="5">
        <f t="shared" si="89"/>
        <v>-0.5704763027839137</v>
      </c>
      <c r="AF22" s="10">
        <f t="shared" si="90"/>
        <v>-0.29403030521426921</v>
      </c>
      <c r="AG22" s="622">
        <f t="shared" si="91"/>
        <v>-62.732880400171439</v>
      </c>
      <c r="AH22" s="623">
        <f t="shared" si="92"/>
        <v>39.925578141719257</v>
      </c>
      <c r="AI22" s="624">
        <f t="shared" si="93"/>
        <v>-72.900600657055847</v>
      </c>
      <c r="AJ22" s="625">
        <f t="shared" si="94"/>
        <v>53.354670473299457</v>
      </c>
      <c r="AK22" s="4">
        <f t="shared" si="213"/>
        <v>0.88124029652884506</v>
      </c>
      <c r="AL22" s="5">
        <f t="shared" si="95"/>
        <v>-0.37008339518189304</v>
      </c>
      <c r="AM22" s="6">
        <f t="shared" si="96"/>
        <v>-0.29403030521426921</v>
      </c>
      <c r="AN22" s="612">
        <f t="shared" si="97"/>
        <v>-51.532948790323019</v>
      </c>
      <c r="AO22" s="613">
        <f t="shared" si="98"/>
        <v>28.207656520949712</v>
      </c>
      <c r="AP22" s="624">
        <f t="shared" si="99"/>
        <v>-22.780331528558559</v>
      </c>
      <c r="AQ22" s="625">
        <f t="shared" si="9"/>
        <v>2.3753434318837683</v>
      </c>
      <c r="AS22" s="56">
        <f t="shared" si="119"/>
        <v>-13.859997998863889</v>
      </c>
      <c r="AT22" s="77">
        <f t="shared" si="10"/>
        <v>-0.87771412179173625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>
        <f>IFERROR(IF((((($IW22*COS(RADIANS(180-$IY22)))*COS(RADIANS($IY22)))-(($IX22*SIN(RADIANS(180-$IY22)))*SIN(RADIANS($IY22))))+$IU22)&lt;(((Settings!$C$19/2)*-1)+$IF$8),1,""),"")</f>
        <v>1</v>
      </c>
      <c r="IG22" s="836">
        <f t="shared" si="66"/>
        <v>1.2370000000000001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1.137</v>
      </c>
      <c r="II22" s="800" cm="1">
        <f t="array" ref="II22">IFERROR(IF($IH22&lt;1,$IH22+LARGE((IF($M$9:$M$150="",0,$M$9:$M$150)-MOD(IF($M$9:$M$150="",0,$M$9:$M$150),1)),1),$IH22),"")</f>
        <v>1.137</v>
      </c>
      <c r="IJ22" s="839" t="str">
        <f t="shared" si="67"/>
        <v>1613</v>
      </c>
      <c r="IK22" s="839" t="str">
        <f t="shared" si="68"/>
        <v>1313</v>
      </c>
      <c r="IL22" s="791">
        <f t="shared" si="227"/>
        <v>10.685998457132712</v>
      </c>
      <c r="IM22" s="830">
        <v>9.6395667120287108E-3</v>
      </c>
      <c r="IN22" s="5">
        <f t="shared" si="228"/>
        <v>0.32</v>
      </c>
      <c r="IO22" s="852">
        <v>160</v>
      </c>
      <c r="IP22" s="9">
        <f t="shared" si="229"/>
        <v>-5.1833156328799506</v>
      </c>
      <c r="IQ22" s="5">
        <f t="shared" si="230"/>
        <v>-0.97100292854483294</v>
      </c>
      <c r="IR22" s="5">
        <f t="shared" si="73"/>
        <v>0.314</v>
      </c>
      <c r="IS22" s="5">
        <f t="shared" si="231"/>
        <v>0.29698835321354011</v>
      </c>
      <c r="IT22" s="791">
        <f t="shared" si="232"/>
        <v>60.379694752052174</v>
      </c>
      <c r="IU22" s="9">
        <f t="shared" si="233"/>
        <v>-5.218027352831192</v>
      </c>
      <c r="IV22" s="5">
        <f t="shared" si="234"/>
        <v>-0.93009300311805032</v>
      </c>
      <c r="IW22" s="5">
        <f t="shared" si="78"/>
        <v>0.26600000000000001</v>
      </c>
      <c r="IX22" s="5">
        <f t="shared" si="235"/>
        <v>0.23440991887667284</v>
      </c>
      <c r="IY22" s="833">
        <f t="shared" si="236"/>
        <v>51.532948790323019</v>
      </c>
    </row>
    <row r="23" spans="1:259" ht="15" customHeight="1" x14ac:dyDescent="0.25">
      <c r="A23" s="84">
        <f t="shared" si="81"/>
        <v>0.02</v>
      </c>
      <c r="B23" s="770">
        <v>1.3584182516725258</v>
      </c>
      <c r="C23" s="771">
        <v>5.4637536431660614</v>
      </c>
      <c r="D23" s="772">
        <v>-1.5744636738136282</v>
      </c>
      <c r="E23" s="773">
        <v>-0.71667613827837484</v>
      </c>
      <c r="F23" s="771">
        <v>0.65763571189835035</v>
      </c>
      <c r="G23" s="774">
        <v>0.23214345405017531</v>
      </c>
      <c r="H23" s="773">
        <v>0.26600000000000001</v>
      </c>
      <c r="I23" s="771">
        <v>0.52</v>
      </c>
      <c r="J23" s="601">
        <v>1.244</v>
      </c>
      <c r="K23" s="426" t="str">
        <f t="shared" si="82"/>
        <v>1313</v>
      </c>
      <c r="L23" s="327"/>
      <c r="M23" s="173">
        <f t="shared" si="1"/>
        <v>1.244</v>
      </c>
      <c r="N23" s="21">
        <f t="shared" si="2"/>
        <v>1.3584182516725258</v>
      </c>
      <c r="O23" s="5">
        <f t="shared" si="3"/>
        <v>5.4637536431660614</v>
      </c>
      <c r="P23" s="10">
        <f t="shared" si="4"/>
        <v>-1.5744636738136282</v>
      </c>
      <c r="Q23" s="624">
        <f t="shared" si="116"/>
        <v>76.0380020158631</v>
      </c>
      <c r="R23" s="5">
        <f t="shared" si="83"/>
        <v>5.6300891662288484</v>
      </c>
      <c r="S23" s="6">
        <f t="shared" si="84"/>
        <v>-1.5744636738136282</v>
      </c>
      <c r="T23" s="4">
        <f t="shared" si="85"/>
        <v>5.4638721666999235</v>
      </c>
      <c r="U23" s="5">
        <f t="shared" si="86"/>
        <v>-1.3579414441165467</v>
      </c>
      <c r="V23" s="8">
        <f t="shared" si="117"/>
        <v>-1.5744636738136282</v>
      </c>
      <c r="W23" s="624">
        <f t="shared" si="226"/>
        <v>346.04300201514116</v>
      </c>
      <c r="X23" s="5">
        <f t="shared" si="87"/>
        <v>5.6300891662288484</v>
      </c>
      <c r="Y23" s="7">
        <f t="shared" si="225"/>
        <v>-1.5744636738136282</v>
      </c>
      <c r="Z23" s="21">
        <f t="shared" si="6"/>
        <v>0.71667613827837484</v>
      </c>
      <c r="AA23" s="5">
        <f t="shared" si="7"/>
        <v>-0.65763571189835035</v>
      </c>
      <c r="AB23" s="5">
        <f t="shared" si="8"/>
        <v>-0.23214345405017531</v>
      </c>
      <c r="AC23" s="8">
        <f t="shared" si="88"/>
        <v>1</v>
      </c>
      <c r="AD23" s="9">
        <f t="shared" si="118"/>
        <v>0.71667613827837484</v>
      </c>
      <c r="AE23" s="5">
        <f t="shared" si="89"/>
        <v>-0.65763571189835035</v>
      </c>
      <c r="AF23" s="10">
        <f t="shared" si="90"/>
        <v>-0.23214345405017531</v>
      </c>
      <c r="AG23" s="622">
        <f t="shared" si="91"/>
        <v>-70.55711945883634</v>
      </c>
      <c r="AH23" s="623">
        <f t="shared" si="92"/>
        <v>44.219266287709679</v>
      </c>
      <c r="AI23" s="624">
        <f t="shared" si="93"/>
        <v>-76.576701235720705</v>
      </c>
      <c r="AJ23" s="625">
        <f t="shared" si="94"/>
        <v>47.459913678839278</v>
      </c>
      <c r="AK23" s="4">
        <f t="shared" si="213"/>
        <v>0.85417585290292253</v>
      </c>
      <c r="AL23" s="5">
        <f t="shared" si="95"/>
        <v>-0.4652881140317463</v>
      </c>
      <c r="AM23" s="6">
        <f t="shared" si="96"/>
        <v>-0.23214345405017531</v>
      </c>
      <c r="AN23" s="612">
        <f t="shared" si="97"/>
        <v>-63.484285615785062</v>
      </c>
      <c r="AO23" s="613">
        <f t="shared" si="98"/>
        <v>31.331194513233374</v>
      </c>
      <c r="AP23" s="624">
        <f t="shared" si="99"/>
        <v>-28.578088337023789</v>
      </c>
      <c r="AQ23" s="625">
        <f t="shared" si="9"/>
        <v>2.2016717373166839</v>
      </c>
      <c r="AS23" s="56">
        <f t="shared" si="119"/>
        <v>-13.956997984858845</v>
      </c>
      <c r="AT23" s="77">
        <f t="shared" si="10"/>
        <v>-1.5217183480957774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>
        <f>IFERROR(IF((((($IW23*COS(RADIANS(180-$IY23)))*COS(RADIANS($IY23)))-(($IX23*SIN(RADIANS(180-$IY23)))*SIN(RADIANS($IY23))))+$IU23)&lt;(((Settings!$C$19/2)*-1)+$IF$8),1,""),"")</f>
        <v>1</v>
      </c>
      <c r="IG23" s="836">
        <f t="shared" si="66"/>
        <v>1.244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1.1439999999999999</v>
      </c>
      <c r="II23" s="800" cm="1">
        <f t="array" ref="II23">IFERROR(IF($IH23&lt;1,$IH23+LARGE((IF($M$9:$M$150="",0,$M$9:$M$150)-MOD(IF($M$9:$M$150="",0,$M$9:$M$150),1)),1),$IH23),"")</f>
        <v>1.1439999999999999</v>
      </c>
      <c r="IJ23" s="839" t="str">
        <f t="shared" si="67"/>
        <v>1613</v>
      </c>
      <c r="IK23" s="839" t="str">
        <f t="shared" si="68"/>
        <v>1313</v>
      </c>
      <c r="IL23" s="791">
        <f t="shared" si="227"/>
        <v>10.107998540585584</v>
      </c>
      <c r="IM23" s="830">
        <v>7.4790520761633499E-3</v>
      </c>
      <c r="IN23" s="5">
        <f t="shared" si="228"/>
        <v>0.3</v>
      </c>
      <c r="IO23" s="852">
        <v>150</v>
      </c>
      <c r="IP23" s="9">
        <f t="shared" si="229"/>
        <v>-5.584416842601196</v>
      </c>
      <c r="IQ23" s="5">
        <f t="shared" si="230"/>
        <v>-1.6089048524570349</v>
      </c>
      <c r="IR23" s="5">
        <f t="shared" si="73"/>
        <v>0.314</v>
      </c>
      <c r="IS23" s="5">
        <f t="shared" si="231"/>
        <v>0.2910262155253675</v>
      </c>
      <c r="IT23" s="791">
        <f t="shared" si="232"/>
        <v>71.044754357791945</v>
      </c>
      <c r="IU23" s="9">
        <f t="shared" si="233"/>
        <v>-5.6300891662288484</v>
      </c>
      <c r="IV23" s="5">
        <f t="shared" si="234"/>
        <v>-1.5744636738136282</v>
      </c>
      <c r="IW23" s="5">
        <f t="shared" si="78"/>
        <v>0.26600000000000001</v>
      </c>
      <c r="IX23" s="5">
        <f t="shared" si="235"/>
        <v>0.22721077687217744</v>
      </c>
      <c r="IY23" s="833">
        <f t="shared" si="236"/>
        <v>63.484285615785062</v>
      </c>
    </row>
    <row r="24" spans="1:259" ht="15" customHeight="1" x14ac:dyDescent="0.25">
      <c r="A24" s="84">
        <f t="shared" si="81"/>
        <v>0.02</v>
      </c>
      <c r="B24" s="770">
        <v>2.5430043564058789</v>
      </c>
      <c r="C24" s="771">
        <v>1.694431707048301</v>
      </c>
      <c r="D24" s="772">
        <v>-8.860026721840597E-2</v>
      </c>
      <c r="E24" s="773">
        <v>-0.51719336988893672</v>
      </c>
      <c r="F24" s="771">
        <v>0.81496212494271236</v>
      </c>
      <c r="G24" s="774">
        <v>0.26143403193116327</v>
      </c>
      <c r="H24" s="773">
        <v>0.314</v>
      </c>
      <c r="I24" s="771">
        <v>0.52</v>
      </c>
      <c r="J24" s="601">
        <v>2.1150000000000002</v>
      </c>
      <c r="K24" s="426" t="str">
        <f t="shared" si="82"/>
        <v>1613</v>
      </c>
      <c r="L24" s="327"/>
      <c r="M24" s="173">
        <f t="shared" si="1"/>
        <v>2.1150000000000002</v>
      </c>
      <c r="N24" s="21">
        <f t="shared" si="2"/>
        <v>2.5430043564058789</v>
      </c>
      <c r="O24" s="5">
        <f t="shared" si="3"/>
        <v>1.694431707048301</v>
      </c>
      <c r="P24" s="10">
        <f t="shared" si="4"/>
        <v>-8.860026721840597E-2</v>
      </c>
      <c r="Q24" s="624">
        <f t="shared" si="116"/>
        <v>33.675956154616678</v>
      </c>
      <c r="R24" s="5">
        <f t="shared" si="83"/>
        <v>3.0558092163205965</v>
      </c>
      <c r="S24" s="6">
        <f t="shared" si="84"/>
        <v>-8.860026721840597E-2</v>
      </c>
      <c r="T24" s="4">
        <f t="shared" si="85"/>
        <v>1.6946536195586221</v>
      </c>
      <c r="U24" s="5">
        <f t="shared" si="86"/>
        <v>-2.5428564796831847</v>
      </c>
      <c r="V24" s="8">
        <f t="shared" si="117"/>
        <v>-8.860026721840597E-2</v>
      </c>
      <c r="W24" s="624">
        <f t="shared" si="226"/>
        <v>303.68095615389478</v>
      </c>
      <c r="X24" s="5">
        <f t="shared" si="87"/>
        <v>3.0558092163205965</v>
      </c>
      <c r="Y24" s="7">
        <f t="shared" si="225"/>
        <v>-8.860026721840597E-2</v>
      </c>
      <c r="Z24" s="21">
        <f t="shared" si="6"/>
        <v>0.51719336988893672</v>
      </c>
      <c r="AA24" s="5">
        <f t="shared" si="7"/>
        <v>-0.81496212494271236</v>
      </c>
      <c r="AB24" s="5">
        <f t="shared" si="8"/>
        <v>-0.26143403193116327</v>
      </c>
      <c r="AC24" s="8">
        <f t="shared" si="88"/>
        <v>1</v>
      </c>
      <c r="AD24" s="9">
        <f t="shared" si="118"/>
        <v>0.51719336988893672</v>
      </c>
      <c r="AE24" s="5">
        <f t="shared" si="89"/>
        <v>-0.81496212494271236</v>
      </c>
      <c r="AF24" s="10">
        <f t="shared" si="90"/>
        <v>-0.26143403193116327</v>
      </c>
      <c r="AG24" s="622">
        <f t="shared" si="91"/>
        <v>-72.214129946879211</v>
      </c>
      <c r="AH24" s="623">
        <f t="shared" si="92"/>
        <v>58.855824104484434</v>
      </c>
      <c r="AI24" s="624">
        <f t="shared" si="93"/>
        <v>-74.844830451732435</v>
      </c>
      <c r="AJ24" s="625">
        <f t="shared" si="94"/>
        <v>32.400134251774666</v>
      </c>
      <c r="AK24" s="4">
        <f>IF(M24="","",(COS(RADIANS((90-$Q$8)-W24))*AD24)+(-SIN(RADIANS((90-$Q$8)-W24))*AE24))</f>
        <v>0.96498206200210446</v>
      </c>
      <c r="AL24" s="5">
        <f t="shared" si="95"/>
        <v>-2.1491090302313998E-2</v>
      </c>
      <c r="AM24" s="6">
        <f t="shared" si="96"/>
        <v>-0.26143403193116327</v>
      </c>
      <c r="AN24" s="612">
        <f t="shared" si="97"/>
        <v>-4.6994123108890067</v>
      </c>
      <c r="AO24" s="613">
        <f t="shared" si="98"/>
        <v>15.207522654708804</v>
      </c>
      <c r="AP24" s="624">
        <f t="shared" si="99"/>
        <v>-1.2758219028420392</v>
      </c>
      <c r="AQ24" s="625">
        <f t="shared" si="9"/>
        <v>4.0516384992351231</v>
      </c>
      <c r="AS24" s="56">
        <f t="shared" si="119"/>
        <v>-56.319043846105217</v>
      </c>
      <c r="AT24" s="77">
        <f t="shared" si="10"/>
        <v>0.12417945397526428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2.1150000000000002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3.2132619218103908</v>
      </c>
      <c r="C25" s="771">
        <v>2.0744556274670449</v>
      </c>
      <c r="D25" s="772">
        <v>-0.14190042797169075</v>
      </c>
      <c r="E25" s="773">
        <v>-0.41991424706564268</v>
      </c>
      <c r="F25" s="771">
        <v>0.87447204953322377</v>
      </c>
      <c r="G25" s="774">
        <v>0.24283875246026468</v>
      </c>
      <c r="H25" s="773">
        <v>0.314</v>
      </c>
      <c r="I25" s="771">
        <v>0.52</v>
      </c>
      <c r="J25" s="601">
        <v>2.1219999999999999</v>
      </c>
      <c r="K25" s="426" t="str">
        <f t="shared" si="82"/>
        <v>1613</v>
      </c>
      <c r="L25" s="327"/>
      <c r="M25" s="173">
        <f t="shared" si="1"/>
        <v>2.1219999999999999</v>
      </c>
      <c r="N25" s="21">
        <f t="shared" si="2"/>
        <v>3.2132619218103908</v>
      </c>
      <c r="O25" s="5">
        <f t="shared" si="3"/>
        <v>2.0744556274670449</v>
      </c>
      <c r="P25" s="10">
        <f t="shared" si="4"/>
        <v>-0.14190042797169075</v>
      </c>
      <c r="Q25" s="624">
        <f t="shared" si="116"/>
        <v>32.845956274453833</v>
      </c>
      <c r="R25" s="5">
        <f>IF(M25="","",SQRT(N25^2+O25^2))</f>
        <v>3.8247115353299912</v>
      </c>
      <c r="S25" s="6">
        <f>IF(M25="","",P25)</f>
        <v>-0.14190042797169075</v>
      </c>
      <c r="T25" s="4">
        <f>IF(M25="","",X25*COS(RADIANS(W25)))</f>
        <v>2.0747360295285864</v>
      </c>
      <c r="U25" s="5">
        <f>IF(M25="","",X25*SIN(RADIANS(W25)))</f>
        <v>-3.2130808791971384</v>
      </c>
      <c r="V25" s="8">
        <f>IF(M25="","",Y25)</f>
        <v>-0.14190042797169075</v>
      </c>
      <c r="W25" s="624">
        <f t="shared" si="226"/>
        <v>302.85095627373192</v>
      </c>
      <c r="X25" s="5">
        <f>IF(M25="","",R25)</f>
        <v>3.8247115353299912</v>
      </c>
      <c r="Y25" s="7">
        <f t="shared" si="225"/>
        <v>-0.14190042797169075</v>
      </c>
      <c r="Z25" s="21">
        <f t="shared" si="6"/>
        <v>0.41991424706564268</v>
      </c>
      <c r="AA25" s="5">
        <f t="shared" si="7"/>
        <v>-0.87447204953322377</v>
      </c>
      <c r="AB25" s="5">
        <f t="shared" si="8"/>
        <v>-0.24283875246026468</v>
      </c>
      <c r="AC25" s="8">
        <f>IF(M25="","",SQRT(Z25^2+AA25^2+AB25^2))</f>
        <v>1</v>
      </c>
      <c r="AD25" s="9">
        <f>IF(M25="","",Z25*(1/SQRT(Z25^2+AA25^2+AB25^2)))</f>
        <v>0.41991424706564268</v>
      </c>
      <c r="AE25" s="5">
        <f>IF(M25="","",AA25*(1/SQRT(Z25^2+AA25^2+AB25^2)))</f>
        <v>-0.87447204953322377</v>
      </c>
      <c r="AF25" s="10">
        <f>IF(M25="","",AB25*(1/SQRT(Z25^2+AA25^2+AB25^2)))</f>
        <v>-0.24283875246026468</v>
      </c>
      <c r="AG25" s="622">
        <f>IF(M25="","",DEGREES(ATAN2(-AF25,AE25)))</f>
        <v>-74.480156115862059</v>
      </c>
      <c r="AH25" s="623">
        <f>IF(M25="","",DEGREES(ACOS(AD25)))</f>
        <v>65.170826332122445</v>
      </c>
      <c r="AI25" s="624">
        <f>IF(M25="","",DEGREES(-ACOS(-AF25)))</f>
        <v>-75.945853388237197</v>
      </c>
      <c r="AJ25" s="625">
        <f>IF(M25="","",DEGREES(ATAN2(-AE25,AD25)))</f>
        <v>25.649933447951678</v>
      </c>
      <c r="AK25" s="4">
        <f>IF(M25="","",(COS(RADIANS((90-$Q$8)-W25))*AD25)+(-SIN(RADIANS((90-$Q$8)-W25))*AE25))</f>
        <v>0.96242583978661167</v>
      </c>
      <c r="AL25" s="5">
        <f>IF(M25="","",(SIN(RADIANS((90-$Q$8)-W25))*AD25)+(COS(RADIANS((90-$Q$8)-W25))*AE25))</f>
        <v>-0.12151478599157384</v>
      </c>
      <c r="AM25" s="6">
        <f>IF(M25="","",AF25)</f>
        <v>-0.24283875246026468</v>
      </c>
      <c r="AN25" s="612">
        <f>IF(M25="","",DEGREES(ATAN2(-AM25,AL25)))</f>
        <v>-26.583057257052328</v>
      </c>
      <c r="AO25" s="613">
        <f>IF(ROUND(IF(M25="",0,DEGREES(ACOS(AK25))),4)=90,0,IF(M25="","",DEGREES(ACOS(AK25))))</f>
        <v>15.756203871589038</v>
      </c>
      <c r="AP25" s="624">
        <f>IF(M25="","",DEGREES(ATAN2(AK25,AL25)))</f>
        <v>-7.1960228265021771</v>
      </c>
      <c r="AQ25" s="625">
        <f t="shared" si="9"/>
        <v>3.2390674058762916</v>
      </c>
      <c r="AS25" s="56">
        <f t="shared" si="119"/>
        <v>-57.149043726268076</v>
      </c>
      <c r="AT25" s="77">
        <f t="shared" si="10"/>
        <v>7.4014848324816973E-2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2.1219999999999999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3.8434933785787964</v>
      </c>
      <c r="C26" s="771">
        <v>2.3889176084969144</v>
      </c>
      <c r="D26" s="772">
        <v>-0.41780126008860047</v>
      </c>
      <c r="E26" s="773">
        <v>-0.33719366663998485</v>
      </c>
      <c r="F26" s="771">
        <v>0.91972446153837017</v>
      </c>
      <c r="G26" s="774">
        <v>0.2010157855140681</v>
      </c>
      <c r="H26" s="773">
        <v>0.314</v>
      </c>
      <c r="I26" s="771">
        <v>0.52</v>
      </c>
      <c r="J26" s="601">
        <v>2.129</v>
      </c>
      <c r="K26" s="426" t="str">
        <f t="shared" si="82"/>
        <v>1613</v>
      </c>
      <c r="L26" s="327"/>
      <c r="M26" s="173">
        <f t="shared" si="1"/>
        <v>2.129</v>
      </c>
      <c r="N26" s="21">
        <f t="shared" si="2"/>
        <v>3.8434933785787964</v>
      </c>
      <c r="O26" s="5">
        <f t="shared" si="3"/>
        <v>2.3889176084969144</v>
      </c>
      <c r="P26" s="10">
        <f t="shared" si="4"/>
        <v>-0.41780126008860047</v>
      </c>
      <c r="Q26" s="624">
        <f t="shared" si="116"/>
        <v>31.862956416381451</v>
      </c>
      <c r="R26" s="5">
        <f>IF(M26="","",SQRT(N26^2+O26^2))</f>
        <v>4.5254136486475653</v>
      </c>
      <c r="S26" s="6">
        <f>IF(M26="","",P26)</f>
        <v>-0.41780126008860047</v>
      </c>
      <c r="T26" s="4">
        <f>IF(M26="","",X26*COS(RADIANS(W26)))</f>
        <v>2.3892530074229126</v>
      </c>
      <c r="U26" s="5">
        <f>IF(M26="","",X26*SIN(RADIANS(W26)))</f>
        <v>-3.8432848915850926</v>
      </c>
      <c r="V26" s="8">
        <f>IF(M26="","",Y26)</f>
        <v>-0.41780126008860047</v>
      </c>
      <c r="W26" s="624">
        <f t="shared" si="226"/>
        <v>301.86795641565953</v>
      </c>
      <c r="X26" s="5">
        <f>IF(M26="","",R26)</f>
        <v>4.5254136486475653</v>
      </c>
      <c r="Y26" s="7">
        <f t="shared" si="225"/>
        <v>-0.41780126008860047</v>
      </c>
      <c r="Z26" s="21">
        <f t="shared" si="6"/>
        <v>0.33719366663998485</v>
      </c>
      <c r="AA26" s="5">
        <f t="shared" si="7"/>
        <v>-0.91972446153837017</v>
      </c>
      <c r="AB26" s="5">
        <f t="shared" si="8"/>
        <v>-0.2010157855140681</v>
      </c>
      <c r="AC26" s="8">
        <f>IF(M26="","",SQRT(Z26^2+AA26^2+AB26^2))</f>
        <v>1</v>
      </c>
      <c r="AD26" s="9">
        <f>IF(M26="","",Z26*(1/SQRT(Z26^2+AA26^2+AB26^2)))</f>
        <v>0.33719366663998485</v>
      </c>
      <c r="AE26" s="5">
        <f>IF(M26="","",AA26*(1/SQRT(Z26^2+AA26^2+AB26^2)))</f>
        <v>-0.91972446153837017</v>
      </c>
      <c r="AF26" s="10">
        <f>IF(M26="","",AB26*(1/SQRT(Z26^2+AA26^2+AB26^2)))</f>
        <v>-0.2010157855140681</v>
      </c>
      <c r="AG26" s="622">
        <f>IF(M26="","",DEGREES(ATAN2(-AF26,AE26)))</f>
        <v>-77.671254205444768</v>
      </c>
      <c r="AH26" s="623">
        <f>IF(M26="","",DEGREES(ACOS(AD26)))</f>
        <v>70.294010985204523</v>
      </c>
      <c r="AI26" s="624">
        <f>IF(M26="","",DEGREES(-ACOS(-AF26)))</f>
        <v>-78.403634316293605</v>
      </c>
      <c r="AJ26" s="625">
        <f>IF(M26="","",DEGREES(ATAN2(-AE26,AD26)))</f>
        <v>20.134181753229264</v>
      </c>
      <c r="AK26" s="4">
        <f>IF(M26="","",(COS(RADIANS((90-$Q$8)-W26))*AD26)+(-SIN(RADIANS((90-$Q$8)-W26))*AE26))</f>
        <v>0.95913503222997987</v>
      </c>
      <c r="AL26" s="5">
        <f>IF(M26="","",(SIN(RADIANS((90-$Q$8)-W26))*AD26)+(COS(RADIANS((90-$Q$8)-W26))*AE26))</f>
        <v>-0.1991297163242034</v>
      </c>
      <c r="AM26" s="6">
        <f>IF(M26="","",AF26)</f>
        <v>-0.2010157855140681</v>
      </c>
      <c r="AN26" s="612">
        <f>IF(M26="","",DEGREES(ATAN2(-AM26,AL26)))</f>
        <v>-44.729940724836922</v>
      </c>
      <c r="AO26" s="613">
        <f t="shared" si="98"/>
        <v>16.436273895578388</v>
      </c>
      <c r="AP26" s="624">
        <f>IF(M26="","",DEGREES(ATAN2(AK26,AL26)))</f>
        <v>-11.728774663152187</v>
      </c>
      <c r="AQ26" s="625">
        <f t="shared" si="9"/>
        <v>2.7383725807020713</v>
      </c>
      <c r="AS26" s="56">
        <f t="shared" si="119"/>
        <v>-58.132043584340465</v>
      </c>
      <c r="AT26" s="77">
        <f t="shared" si="10"/>
        <v>-0.19817242877270816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2.129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0.02</v>
      </c>
      <c r="B27" s="770">
        <v>4.3847867097161268</v>
      </c>
      <c r="C27" s="771">
        <v>2.6281875044757688</v>
      </c>
      <c r="D27" s="772">
        <v>-0.88980268364489401</v>
      </c>
      <c r="E27" s="773">
        <v>-0.25068354481090899</v>
      </c>
      <c r="F27" s="771">
        <v>0.95296670226364166</v>
      </c>
      <c r="G27" s="774">
        <v>0.17032975294350838</v>
      </c>
      <c r="H27" s="773">
        <v>0.314</v>
      </c>
      <c r="I27" s="771">
        <v>0.52</v>
      </c>
      <c r="J27" s="601">
        <v>2.1360000000000001</v>
      </c>
      <c r="K27" s="426" t="str">
        <f t="shared" si="82"/>
        <v>1613</v>
      </c>
      <c r="L27" s="327"/>
      <c r="M27" s="173">
        <f t="shared" si="1"/>
        <v>2.1360000000000001</v>
      </c>
      <c r="N27" s="21">
        <f t="shared" si="2"/>
        <v>4.3847867097161268</v>
      </c>
      <c r="O27" s="5">
        <f t="shared" si="3"/>
        <v>2.6281875044757688</v>
      </c>
      <c r="P27" s="10">
        <f t="shared" si="4"/>
        <v>-0.88980268364489401</v>
      </c>
      <c r="Q27" s="624">
        <f t="shared" si="116"/>
        <v>30.937956549934913</v>
      </c>
      <c r="R27" s="5">
        <f t="shared" si="83"/>
        <v>5.1121154181401014</v>
      </c>
      <c r="S27" s="6">
        <f t="shared" si="84"/>
        <v>-0.88980268364489401</v>
      </c>
      <c r="T27" s="4">
        <f t="shared" si="85"/>
        <v>2.628570139238056</v>
      </c>
      <c r="U27" s="5">
        <f t="shared" si="86"/>
        <v>-4.3845573404269409</v>
      </c>
      <c r="V27" s="8">
        <f t="shared" si="117"/>
        <v>-0.88980268364489401</v>
      </c>
      <c r="W27" s="624">
        <f t="shared" si="226"/>
        <v>300.94295654921302</v>
      </c>
      <c r="X27" s="5">
        <f t="shared" si="87"/>
        <v>5.1121154181401014</v>
      </c>
      <c r="Y27" s="7">
        <f t="shared" si="225"/>
        <v>-0.88980268364489401</v>
      </c>
      <c r="Z27" s="21">
        <f t="shared" si="6"/>
        <v>0.25068354481090899</v>
      </c>
      <c r="AA27" s="5">
        <f t="shared" si="7"/>
        <v>-0.95296670226364166</v>
      </c>
      <c r="AB27" s="5">
        <f t="shared" si="8"/>
        <v>-0.17032975294350838</v>
      </c>
      <c r="AC27" s="8">
        <f t="shared" si="88"/>
        <v>1</v>
      </c>
      <c r="AD27" s="9">
        <f t="shared" si="118"/>
        <v>0.25068354481090899</v>
      </c>
      <c r="AE27" s="5">
        <f t="shared" si="89"/>
        <v>-0.95296670226364166</v>
      </c>
      <c r="AF27" s="10">
        <f t="shared" si="90"/>
        <v>-0.17032975294350838</v>
      </c>
      <c r="AG27" s="622">
        <f t="shared" si="91"/>
        <v>-79.866173470819035</v>
      </c>
      <c r="AH27" s="623">
        <f t="shared" si="92"/>
        <v>75.482035477895877</v>
      </c>
      <c r="AI27" s="624">
        <f t="shared" si="93"/>
        <v>-80.193007863477959</v>
      </c>
      <c r="AJ27" s="625">
        <f t="shared" si="94"/>
        <v>14.738099078969507</v>
      </c>
      <c r="AK27" s="4">
        <f t="shared" si="213"/>
        <v>0.94626171267026948</v>
      </c>
      <c r="AL27" s="5">
        <f t="shared" si="95"/>
        <v>-0.27491188842342112</v>
      </c>
      <c r="AM27" s="6">
        <f t="shared" si="96"/>
        <v>-0.17032975294350838</v>
      </c>
      <c r="AN27" s="612">
        <f t="shared" si="97"/>
        <v>-58.218496195204047</v>
      </c>
      <c r="AO27" s="613">
        <f t="shared" si="98"/>
        <v>18.868780999471912</v>
      </c>
      <c r="AP27" s="624">
        <f t="shared" si="99"/>
        <v>-16.199857470965405</v>
      </c>
      <c r="AQ27" s="625">
        <f t="shared" si="9"/>
        <v>2.4244972616813421</v>
      </c>
      <c r="AS27" s="56">
        <f t="shared" si="119"/>
        <v>-59.057043450786978</v>
      </c>
      <c r="AT27" s="77">
        <f t="shared" si="10"/>
        <v>-0.66667940838909268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2.1360000000000001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4.7849816255316</v>
      </c>
      <c r="C28" s="771">
        <v>2.7877167483240113</v>
      </c>
      <c r="D28" s="772">
        <v>-1.5115045586977491</v>
      </c>
      <c r="E28" s="773">
        <v>-0.17678516185940127</v>
      </c>
      <c r="F28" s="771">
        <v>0.97667242993339265</v>
      </c>
      <c r="G28" s="774">
        <v>0.12189327772419389</v>
      </c>
      <c r="H28" s="773">
        <v>0.314</v>
      </c>
      <c r="I28" s="771">
        <v>0.52</v>
      </c>
      <c r="J28" s="601">
        <v>2.1429999999999998</v>
      </c>
      <c r="K28" s="426" t="str">
        <f t="shared" si="82"/>
        <v>1613</v>
      </c>
      <c r="L28" s="327"/>
      <c r="M28" s="173">
        <f t="shared" si="1"/>
        <v>2.1429999999999998</v>
      </c>
      <c r="N28" s="21">
        <f t="shared" si="2"/>
        <v>4.7849816255316</v>
      </c>
      <c r="O28" s="5">
        <f t="shared" si="3"/>
        <v>2.7877167483240113</v>
      </c>
      <c r="P28" s="10">
        <f t="shared" si="4"/>
        <v>-1.5115045586977491</v>
      </c>
      <c r="Q28" s="624">
        <f t="shared" si="116"/>
        <v>30.224956652879357</v>
      </c>
      <c r="R28" s="5">
        <f t="shared" si="83"/>
        <v>5.5378167020551734</v>
      </c>
      <c r="S28" s="6">
        <f t="shared" si="84"/>
        <v>-1.5115045586977491</v>
      </c>
      <c r="T28" s="4">
        <f t="shared" si="85"/>
        <v>2.7881343060684207</v>
      </c>
      <c r="U28" s="5">
        <f t="shared" si="86"/>
        <v>-4.7847383331678239</v>
      </c>
      <c r="V28" s="8">
        <f t="shared" si="117"/>
        <v>-1.5115045586977491</v>
      </c>
      <c r="W28" s="624">
        <f t="shared" si="226"/>
        <v>300.22995665215745</v>
      </c>
      <c r="X28" s="5">
        <f t="shared" si="87"/>
        <v>5.5378167020551734</v>
      </c>
      <c r="Y28" s="7">
        <f t="shared" si="225"/>
        <v>-1.5115045586977491</v>
      </c>
      <c r="Z28" s="21">
        <f t="shared" si="6"/>
        <v>0.17678516185940127</v>
      </c>
      <c r="AA28" s="5">
        <f t="shared" si="7"/>
        <v>-0.97667242993339265</v>
      </c>
      <c r="AB28" s="5">
        <f t="shared" si="8"/>
        <v>-0.12189327772419389</v>
      </c>
      <c r="AC28" s="8">
        <f t="shared" si="88"/>
        <v>1</v>
      </c>
      <c r="AD28" s="9">
        <f t="shared" si="118"/>
        <v>0.17678516185940127</v>
      </c>
      <c r="AE28" s="5">
        <f t="shared" si="89"/>
        <v>-0.97667242993339265</v>
      </c>
      <c r="AF28" s="10">
        <f t="shared" si="90"/>
        <v>-0.12189327772419389</v>
      </c>
      <c r="AG28" s="622">
        <f t="shared" si="91"/>
        <v>-82.886003471980203</v>
      </c>
      <c r="AH28" s="623">
        <f t="shared" si="92"/>
        <v>79.817439736081113</v>
      </c>
      <c r="AI28" s="624">
        <f t="shared" si="93"/>
        <v>-82.998618363997579</v>
      </c>
      <c r="AJ28" s="625">
        <f t="shared" si="94"/>
        <v>10.259884985754097</v>
      </c>
      <c r="AK28" s="4">
        <f t="shared" si="213"/>
        <v>0.93289230502121012</v>
      </c>
      <c r="AL28" s="5">
        <f t="shared" si="95"/>
        <v>-0.33890113023987678</v>
      </c>
      <c r="AM28" s="6">
        <f t="shared" si="96"/>
        <v>-0.12189327772419389</v>
      </c>
      <c r="AN28" s="612">
        <f t="shared" si="97"/>
        <v>-70.217757708675407</v>
      </c>
      <c r="AO28" s="613">
        <f t="shared" si="98"/>
        <v>21.109742965668417</v>
      </c>
      <c r="AP28" s="624">
        <f t="shared" si="99"/>
        <v>-19.965071667125279</v>
      </c>
      <c r="AQ28" s="625">
        <f t="shared" si="9"/>
        <v>2.2383195255955552</v>
      </c>
      <c r="AS28" s="56">
        <f t="shared" si="119"/>
        <v>-59.770043347842545</v>
      </c>
      <c r="AT28" s="77">
        <f t="shared" si="10"/>
        <v>-1.2856877282752934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2.1429999999999998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5.0241369573030932</v>
      </c>
      <c r="C29" s="771">
        <v>2.87629738321169</v>
      </c>
      <c r="D29" s="772">
        <v>-2.2223067024770149</v>
      </c>
      <c r="E29" s="773">
        <v>-4.6511166270578531E-2</v>
      </c>
      <c r="F29" s="771">
        <v>0.99333005853140222</v>
      </c>
      <c r="G29" s="774">
        <v>0.10550879693253838</v>
      </c>
      <c r="H29" s="773">
        <v>0.314</v>
      </c>
      <c r="I29" s="771">
        <v>0.52</v>
      </c>
      <c r="J29" s="601">
        <v>2.15</v>
      </c>
      <c r="K29" s="426" t="str">
        <f t="shared" si="82"/>
        <v>1613</v>
      </c>
      <c r="L29" s="327"/>
      <c r="M29" s="173">
        <f t="shared" si="1"/>
        <v>2.15</v>
      </c>
      <c r="N29" s="21">
        <f t="shared" si="2"/>
        <v>5.0241369573030932</v>
      </c>
      <c r="O29" s="5">
        <f t="shared" si="3"/>
        <v>2.87629738321169</v>
      </c>
      <c r="P29" s="10">
        <f t="shared" si="4"/>
        <v>-2.2223067024770149</v>
      </c>
      <c r="Q29" s="624">
        <f t="shared" si="116"/>
        <v>29.790956715541192</v>
      </c>
      <c r="R29" s="5">
        <f>IF(M29="","",SQRT(N29^2+O29^2))</f>
        <v>5.7892174602798612</v>
      </c>
      <c r="S29" s="6">
        <f>IF(M29="","",P29)</f>
        <v>-2.2223067024770149</v>
      </c>
      <c r="T29" s="4">
        <f>IF(M29="","",X29*COS(RADIANS(W29)))</f>
        <v>2.8767358108555867</v>
      </c>
      <c r="U29" s="5">
        <f>IF(M29="","",X29*SIN(RADIANS(W29)))</f>
        <v>-5.0238859339111448</v>
      </c>
      <c r="V29" s="8">
        <f>IF(M29="","",Y29)</f>
        <v>-2.2223067024770149</v>
      </c>
      <c r="W29" s="624">
        <f t="shared" si="226"/>
        <v>299.79595671481928</v>
      </c>
      <c r="X29" s="5">
        <f>IF(M29="","",R29)</f>
        <v>5.7892174602798612</v>
      </c>
      <c r="Y29" s="7">
        <f t="shared" si="225"/>
        <v>-2.2223067024770149</v>
      </c>
      <c r="Z29" s="21">
        <f t="shared" si="6"/>
        <v>4.6511166270578531E-2</v>
      </c>
      <c r="AA29" s="5">
        <f t="shared" si="7"/>
        <v>-0.99333005853140222</v>
      </c>
      <c r="AB29" s="5">
        <f t="shared" si="8"/>
        <v>-0.10550879693253838</v>
      </c>
      <c r="AC29" s="8">
        <f>IF(M29="","",SQRT(Z29^2+AA29^2+AB29^2))</f>
        <v>1</v>
      </c>
      <c r="AD29" s="9">
        <f>IF(M29="","",Z29*(1/SQRT(Z29^2+AA29^2+AB29^2)))</f>
        <v>4.6511166270578531E-2</v>
      </c>
      <c r="AE29" s="5">
        <f>IF(M29="","",AA29*(1/SQRT(Z29^2+AA29^2+AB29^2)))</f>
        <v>-0.99333005853140222</v>
      </c>
      <c r="AF29" s="10">
        <f>IF(M29="","",AB29*(1/SQRT(Z29^2+AA29^2+AB29^2)))</f>
        <v>-0.10550879693253838</v>
      </c>
      <c r="AG29" s="622">
        <f>IF(M29="","",DEGREES(ATAN2(-AF29,AE29)))</f>
        <v>-83.936932493549619</v>
      </c>
      <c r="AH29" s="623">
        <f>IF(M29="","",DEGREES(ACOS(AD29)))</f>
        <v>87.33414471362461</v>
      </c>
      <c r="AI29" s="624">
        <f>IF(M29="","",DEGREES(-ACOS(-AF29)))</f>
        <v>-83.943518688868039</v>
      </c>
      <c r="AJ29" s="625">
        <f>IF(M29="","",DEGREES(ATAN2(-AE29,AD29)))</f>
        <v>2.6808295235830668</v>
      </c>
      <c r="AK29" s="4">
        <f>IF(M29="","",(COS(RADIANS((90-$Q$8)-W29))*AD29)+(-SIN(RADIANS((90-$Q$8)-W29))*AE29))</f>
        <v>0.88516388248682742</v>
      </c>
      <c r="AL29" s="5">
        <f>IF(M29="","",(SIN(RADIANS((90-$Q$8)-W29))*AD29)+(COS(RADIANS((90-$Q$8)-W29))*AE29))</f>
        <v>-0.45315868623551087</v>
      </c>
      <c r="AM29" s="6">
        <f>IF(M29="","",AF29)</f>
        <v>-0.10550879693253838</v>
      </c>
      <c r="AN29" s="612">
        <f>IF(M29="","",DEGREES(ATAN2(-AM29,AL29)))</f>
        <v>-76.893347356437232</v>
      </c>
      <c r="AO29" s="613">
        <f t="shared" si="98"/>
        <v>27.728304518049693</v>
      </c>
      <c r="AP29" s="624">
        <f>IF(M29="","",DEGREES(ATAN2(AK29,AL29)))</f>
        <v>-27.11012719195811</v>
      </c>
      <c r="AQ29" s="625">
        <f t="shared" si="9"/>
        <v>2.1412114832884015</v>
      </c>
      <c r="AS29" s="56">
        <f t="shared" si="119"/>
        <v>-60.204043285180717</v>
      </c>
      <c r="AT29" s="77">
        <f t="shared" si="10"/>
        <v>-1.9948503167357261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2.15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0.02</v>
      </c>
      <c r="B30" s="770">
        <v>5.1670062375050998</v>
      </c>
      <c r="C30" s="771">
        <v>2.9269188267835711</v>
      </c>
      <c r="D30" s="772">
        <v>-2.9222088133817814</v>
      </c>
      <c r="E30" s="773">
        <v>9.5325214740041714E-2</v>
      </c>
      <c r="F30" s="771">
        <v>0.99544618309316357</v>
      </c>
      <c r="G30" s="774">
        <v>1.3008419211977596E-7</v>
      </c>
      <c r="H30" s="773">
        <v>0.26600000000000001</v>
      </c>
      <c r="I30" s="771">
        <v>0.52</v>
      </c>
      <c r="J30" s="601">
        <v>2.157</v>
      </c>
      <c r="K30" s="426" t="str">
        <f t="shared" si="82"/>
        <v>1313</v>
      </c>
      <c r="L30" s="327"/>
      <c r="M30" s="173">
        <f t="shared" si="1"/>
        <v>2.157</v>
      </c>
      <c r="N30" s="21">
        <f t="shared" si="2"/>
        <v>5.1670062375050998</v>
      </c>
      <c r="O30" s="5">
        <f t="shared" si="3"/>
        <v>2.9269188267835711</v>
      </c>
      <c r="P30" s="10">
        <f t="shared" si="4"/>
        <v>-2.9222088133817814</v>
      </c>
      <c r="Q30" s="624">
        <f t="shared" si="116"/>
        <v>29.529956753224926</v>
      </c>
      <c r="R30" s="5">
        <f>IF(M30="","",SQRT(N30^2+O30^2))</f>
        <v>5.9384179102684174</v>
      </c>
      <c r="S30" s="6">
        <f>IF(M30="","",P30)</f>
        <v>-2.9222088133817814</v>
      </c>
      <c r="T30" s="4">
        <f>IF(M30="","",X30*COS(RADIANS(W30)))</f>
        <v>2.927369721929598</v>
      </c>
      <c r="U30" s="5">
        <f>IF(M30="","",X30*SIN(RADIANS(W30)))</f>
        <v>-5.1667507960154753</v>
      </c>
      <c r="V30" s="8">
        <f>IF(M30="","",Y30)</f>
        <v>-2.9222088133817814</v>
      </c>
      <c r="W30" s="624">
        <f t="shared" si="226"/>
        <v>299.53495675250304</v>
      </c>
      <c r="X30" s="5">
        <f>IF(M30="","",R30)</f>
        <v>5.9384179102684174</v>
      </c>
      <c r="Y30" s="7">
        <f t="shared" si="225"/>
        <v>-2.9222088133817814</v>
      </c>
      <c r="Z30" s="21">
        <f t="shared" si="6"/>
        <v>-9.5325214740041714E-2</v>
      </c>
      <c r="AA30" s="5">
        <f t="shared" si="7"/>
        <v>-0.99544618309316357</v>
      </c>
      <c r="AB30" s="5">
        <f t="shared" si="8"/>
        <v>-1.3008419211977596E-7</v>
      </c>
      <c r="AC30" s="8">
        <f>IF(M30="","",SQRT(Z30^2+AA30^2+AB30^2))</f>
        <v>1</v>
      </c>
      <c r="AD30" s="9">
        <f>IF(M30="","",Z30*(1/SQRT(Z30^2+AA30^2+AB30^2)))</f>
        <v>-9.5325214740041714E-2</v>
      </c>
      <c r="AE30" s="5">
        <f>IF(M30="","",AA30*(1/SQRT(Z30^2+AA30^2+AB30^2)))</f>
        <v>-0.99544618309316357</v>
      </c>
      <c r="AF30" s="10">
        <f>IF(M30="","",AB30*(1/SQRT(Z30^2+AA30^2+AB30^2)))</f>
        <v>-1.3008419211977596E-7</v>
      </c>
      <c r="AG30" s="622">
        <f>IF(M30="","",DEGREES(ATAN2(-AF30,AE30)))</f>
        <v>-89.999992512628694</v>
      </c>
      <c r="AH30" s="623">
        <f>IF(M30="","",DEGREES(ACOS(AD30)))</f>
        <v>95.470038193400299</v>
      </c>
      <c r="AI30" s="624">
        <f>IF(M30="","",DEGREES(-ACOS(-AF30)))</f>
        <v>-89.999992546724812</v>
      </c>
      <c r="AJ30" s="625">
        <f>IF(M30="","",DEGREES(ATAN2(-AE30,AD30)))</f>
        <v>-5.4700381934003426</v>
      </c>
      <c r="AK30" s="4">
        <f>IF(M30="","",(COS(RADIANS((90-$Q$8)-W30))*AD30)+(-SIN(RADIANS((90-$Q$8)-W30))*AE30))</f>
        <v>0.81915209487729201</v>
      </c>
      <c r="AL30" s="5">
        <f>IF(M30="","",(SIN(RADIANS((90-$Q$8)-W30))*AD30)+(COS(RADIANS((90-$Q$8)-W30))*AE30))</f>
        <v>-0.57357636410344459</v>
      </c>
      <c r="AM30" s="6">
        <f>IF(M30="","",AF30)</f>
        <v>-1.3008419211977596E-7</v>
      </c>
      <c r="AN30" s="612">
        <f>IF(M30="","",DEGREES(ATAN2(-AM30,AL30)))</f>
        <v>-89.999987005609626</v>
      </c>
      <c r="AO30" s="613">
        <f>IF(ROUND(IF(M30="",0,DEGREES(ACOS(AK30))),4)=90,0,IF(M30="","",DEGREES(ACOS(AK30))))</f>
        <v>34.999994946625954</v>
      </c>
      <c r="AP30" s="624">
        <f>IF(M30="","",DEGREES(ATAN2(AK30,AL30)))</f>
        <v>-34.999994946625264</v>
      </c>
      <c r="AQ30" s="625">
        <f t="shared" si="9"/>
        <v>2.087462579638407</v>
      </c>
      <c r="AS30" s="56">
        <f t="shared" si="119"/>
        <v>-60.465043247496965</v>
      </c>
      <c r="AT30" s="77">
        <f t="shared" si="10"/>
        <v>-2.6937664277828532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2.157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3.6195217551170198</v>
      </c>
      <c r="C31" s="771">
        <v>1.2634945079416653</v>
      </c>
      <c r="D31" s="772">
        <v>-9.5536824757301242E-2</v>
      </c>
      <c r="E31" s="773">
        <v>-0.1605647486514547</v>
      </c>
      <c r="F31" s="771">
        <v>0.90041222803799237</v>
      </c>
      <c r="G31" s="774">
        <v>0.4043226200574902</v>
      </c>
      <c r="H31" s="773">
        <v>0.26600000000000001</v>
      </c>
      <c r="I31" s="771">
        <v>0.52</v>
      </c>
      <c r="J31" s="601">
        <v>2.222</v>
      </c>
      <c r="K31" s="426" t="str">
        <f t="shared" si="82"/>
        <v>1313</v>
      </c>
      <c r="L31" s="327"/>
      <c r="M31" s="173">
        <f t="shared" si="1"/>
        <v>2.222</v>
      </c>
      <c r="N31" s="21">
        <f t="shared" si="2"/>
        <v>3.6195217551170198</v>
      </c>
      <c r="O31" s="5">
        <f t="shared" si="3"/>
        <v>1.2634945079416653</v>
      </c>
      <c r="P31" s="10">
        <f t="shared" si="4"/>
        <v>-9.5536824757301242E-2</v>
      </c>
      <c r="Q31" s="624">
        <f t="shared" si="116"/>
        <v>19.242958238483752</v>
      </c>
      <c r="R31" s="5">
        <f>IF(M31="","",SQRT(N31^2+O31^2))</f>
        <v>3.8337130966419677</v>
      </c>
      <c r="S31" s="6">
        <f>IF(M31="","",P31)</f>
        <v>-9.5536824757301242E-2</v>
      </c>
      <c r="T31" s="4">
        <f>IF(M31="","",X31*COS(RADIANS(W31)))</f>
        <v>1.2638103659445035</v>
      </c>
      <c r="U31" s="5">
        <f>IF(M31="","",X31*SIN(RADIANS(W31)))</f>
        <v>-3.6194114806547439</v>
      </c>
      <c r="V31" s="8">
        <f>IF(M31="","",Y31)</f>
        <v>-9.5536824757301242E-2</v>
      </c>
      <c r="W31" s="624">
        <f t="shared" si="226"/>
        <v>289.24795823776185</v>
      </c>
      <c r="X31" s="5">
        <f>IF(M31="","",R31)</f>
        <v>3.8337130966419677</v>
      </c>
      <c r="Y31" s="7">
        <f t="shared" si="225"/>
        <v>-9.5536824757301242E-2</v>
      </c>
      <c r="Z31" s="21">
        <f t="shared" si="6"/>
        <v>0.1605647486514547</v>
      </c>
      <c r="AA31" s="5">
        <f t="shared" si="7"/>
        <v>-0.90041222803799237</v>
      </c>
      <c r="AB31" s="5">
        <f t="shared" si="8"/>
        <v>-0.4043226200574902</v>
      </c>
      <c r="AC31" s="8">
        <f>IF(M31="","",SQRT(Z31^2+AA31^2+AB31^2))</f>
        <v>1</v>
      </c>
      <c r="AD31" s="9">
        <f>IF(M31="","",Z31*(1/SQRT(Z31^2+AA31^2+AB31^2)))</f>
        <v>0.1605647486514547</v>
      </c>
      <c r="AE31" s="5">
        <f>IF(M31="","",AA31*(1/SQRT(Z31^2+AA31^2+AB31^2)))</f>
        <v>-0.90041222803799237</v>
      </c>
      <c r="AF31" s="10">
        <f>IF(M31="","",AB31*(1/SQRT(Z31^2+AA31^2+AB31^2)))</f>
        <v>-0.4043226200574902</v>
      </c>
      <c r="AG31" s="622">
        <f>IF(M31="","",DEGREES(ATAN2(-AF31,AE31)))</f>
        <v>-65.817932309495106</v>
      </c>
      <c r="AH31" s="623">
        <f>IF(M31="","",DEGREES(ACOS(AD31)))</f>
        <v>80.760322238091931</v>
      </c>
      <c r="AI31" s="624">
        <f>IF(M31="","",DEGREES(-ACOS(-AF31)))</f>
        <v>-66.151314006643133</v>
      </c>
      <c r="AJ31" s="625">
        <f>IF(M31="","",DEGREES(ATAN2(-AE31,AD31)))</f>
        <v>10.110910250738261</v>
      </c>
      <c r="AK31" s="4">
        <f>IF(M31="","",(COS(RADIANS((90-$Q$8)-W31))*AD31)+(-SIN(RADIANS((90-$Q$8)-W31))*AE31))</f>
        <v>0.90302384105879774</v>
      </c>
      <c r="AL31" s="5">
        <f>IF(M31="","",(SIN(RADIANS((90-$Q$8)-W31))*AD31)+(COS(RADIANS((90-$Q$8)-W31))*AE31))</f>
        <v>-0.14515908992984733</v>
      </c>
      <c r="AM31" s="6">
        <f>IF(M31="","",AF31)</f>
        <v>-0.4043226200574902</v>
      </c>
      <c r="AN31" s="612">
        <f>IF(M31="","",DEGREES(ATAN2(-AM31,AL31)))</f>
        <v>-19.749050524588565</v>
      </c>
      <c r="AO31" s="613">
        <f t="shared" si="98"/>
        <v>25.441570976516715</v>
      </c>
      <c r="AP31" s="624">
        <f>IF(M31="","",DEGREES(ATAN2(AK31,AL31)))</f>
        <v>-9.1320479877454854</v>
      </c>
      <c r="AQ31" s="625">
        <f t="shared" si="9"/>
        <v>3.2314782098859705</v>
      </c>
      <c r="AS31" s="56">
        <f t="shared" si="119"/>
        <v>-70.75204176223815</v>
      </c>
      <c r="AT31" s="77">
        <f t="shared" si="10"/>
        <v>0.17176755523064896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>
        <f>IFERROR(IF($IU31="","",IF($IU31&lt;(((Settings!$C$19/2)*-1)*$IE$8),"",1)),"")</f>
        <v>1</v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2.222</v>
      </c>
      <c r="IH31" s="797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2.1219999999999999</v>
      </c>
      <c r="II31" s="800" cm="1">
        <f t="array" ref="II31">IFERROR(IF($IH31&lt;1,$IH31+LARGE((IF($M$9:$M$150="",0,$M$9:$M$150)-MOD(IF($M$9:$M$150="",0,$M$9:$M$150),1)),1),$IH31),"")</f>
        <v>2.1219999999999999</v>
      </c>
      <c r="IJ31" s="839" t="str">
        <f t="shared" si="67"/>
        <v>1613</v>
      </c>
      <c r="IK31" s="839" t="str">
        <f t="shared" si="68"/>
        <v>1313</v>
      </c>
      <c r="IL31" s="791">
        <f t="shared" si="227"/>
        <v>13.602998035970074</v>
      </c>
      <c r="IM31" s="830">
        <v>1.4893973392958899E-2</v>
      </c>
      <c r="IN31" s="5">
        <f t="shared" si="228"/>
        <v>0.36</v>
      </c>
      <c r="IO31" s="852">
        <v>180</v>
      </c>
      <c r="IP31" s="9">
        <f t="shared" si="229"/>
        <v>-3.8247115353299912</v>
      </c>
      <c r="IQ31" s="5">
        <f t="shared" si="230"/>
        <v>-0.14190042797169075</v>
      </c>
      <c r="IR31" s="5">
        <f t="shared" si="73"/>
        <v>0.314</v>
      </c>
      <c r="IS31" s="5">
        <f t="shared" si="231"/>
        <v>0.30220171369299609</v>
      </c>
      <c r="IT31" s="791">
        <f t="shared" si="232"/>
        <v>26.583057257052328</v>
      </c>
      <c r="IU31" s="9">
        <f t="shared" si="233"/>
        <v>-3.8337130966419677</v>
      </c>
      <c r="IV31" s="5">
        <f t="shared" si="234"/>
        <v>-9.5536824757301242E-2</v>
      </c>
      <c r="IW31" s="5">
        <f t="shared" si="78"/>
        <v>0.26600000000000001</v>
      </c>
      <c r="IX31" s="5">
        <f t="shared" si="235"/>
        <v>0.24020434172164021</v>
      </c>
      <c r="IY31" s="833">
        <f t="shared" si="236"/>
        <v>19.749050524588565</v>
      </c>
    </row>
    <row r="32" spans="1:259" ht="15" customHeight="1" x14ac:dyDescent="0.25">
      <c r="A32" s="84">
        <f t="shared" si="81"/>
        <v>0.02</v>
      </c>
      <c r="B32" s="770">
        <v>4.2726311224229949</v>
      </c>
      <c r="C32" s="771">
        <v>1.5546003324857405</v>
      </c>
      <c r="D32" s="772">
        <v>-0.37260259368476445</v>
      </c>
      <c r="E32" s="773">
        <v>-6.8303267227295739E-2</v>
      </c>
      <c r="F32" s="771">
        <v>0.93280309302161635</v>
      </c>
      <c r="G32" s="774">
        <v>0.35385456523179459</v>
      </c>
      <c r="H32" s="773">
        <v>0.26600000000000001</v>
      </c>
      <c r="I32" s="771">
        <v>0.52</v>
      </c>
      <c r="J32" s="601">
        <v>2.2290000000000001</v>
      </c>
      <c r="K32" s="426" t="str">
        <f t="shared" si="82"/>
        <v>1313</v>
      </c>
      <c r="L32" s="327"/>
      <c r="M32" s="173">
        <f t="shared" si="1"/>
        <v>2.2290000000000001</v>
      </c>
      <c r="N32" s="21">
        <f t="shared" si="2"/>
        <v>4.2726311224229949</v>
      </c>
      <c r="O32" s="5">
        <f t="shared" si="3"/>
        <v>1.5546003324857405</v>
      </c>
      <c r="P32" s="10">
        <f t="shared" si="4"/>
        <v>-0.37260259368476445</v>
      </c>
      <c r="Q32" s="624">
        <f t="shared" si="116"/>
        <v>19.993958130052782</v>
      </c>
      <c r="R32" s="5">
        <f t="shared" si="83"/>
        <v>4.5466645908910364</v>
      </c>
      <c r="S32" s="6">
        <f t="shared" si="84"/>
        <v>-0.37260259368476445</v>
      </c>
      <c r="T32" s="4">
        <f t="shared" si="85"/>
        <v>1.5549731839160006</v>
      </c>
      <c r="U32" s="5">
        <f t="shared" si="86"/>
        <v>-4.2724954417020147</v>
      </c>
      <c r="V32" s="8">
        <f t="shared" si="117"/>
        <v>-0.37260259368476445</v>
      </c>
      <c r="W32" s="624">
        <f t="shared" si="226"/>
        <v>289.99895812933084</v>
      </c>
      <c r="X32" s="5">
        <f t="shared" si="87"/>
        <v>4.5466645908910364</v>
      </c>
      <c r="Y32" s="7">
        <f t="shared" si="225"/>
        <v>-0.37260259368476445</v>
      </c>
      <c r="Z32" s="21">
        <f t="shared" si="6"/>
        <v>6.8303267227295739E-2</v>
      </c>
      <c r="AA32" s="5">
        <f t="shared" si="7"/>
        <v>-0.93280309302161635</v>
      </c>
      <c r="AB32" s="5">
        <f t="shared" si="8"/>
        <v>-0.35385456523179459</v>
      </c>
      <c r="AC32" s="8">
        <f t="shared" si="88"/>
        <v>1</v>
      </c>
      <c r="AD32" s="9">
        <f t="shared" si="118"/>
        <v>6.8303267227295739E-2</v>
      </c>
      <c r="AE32" s="5">
        <f t="shared" si="89"/>
        <v>-0.93280309302161635</v>
      </c>
      <c r="AF32" s="10">
        <f t="shared" si="90"/>
        <v>-0.35385456523179459</v>
      </c>
      <c r="AG32" s="622">
        <f t="shared" si="91"/>
        <v>-69.225989305283946</v>
      </c>
      <c r="AH32" s="623">
        <f t="shared" si="92"/>
        <v>86.083461697726435</v>
      </c>
      <c r="AI32" s="624">
        <f t="shared" si="93"/>
        <v>-69.276740344336133</v>
      </c>
      <c r="AJ32" s="625">
        <f t="shared" si="94"/>
        <v>4.1879331850502641</v>
      </c>
      <c r="AK32" s="4">
        <f t="shared" si="213"/>
        <v>0.89993614582335635</v>
      </c>
      <c r="AL32" s="5">
        <f t="shared" si="95"/>
        <v>-0.25475847405968732</v>
      </c>
      <c r="AM32" s="6">
        <f t="shared" si="96"/>
        <v>-0.35385456523179459</v>
      </c>
      <c r="AN32" s="612">
        <f t="shared" si="97"/>
        <v>-35.752094320717319</v>
      </c>
      <c r="AO32" s="613">
        <f t="shared" si="98"/>
        <v>25.850324840511334</v>
      </c>
      <c r="AP32" s="624">
        <f t="shared" si="99"/>
        <v>-15.806024945002511</v>
      </c>
      <c r="AQ32" s="625">
        <f t="shared" si="9"/>
        <v>2.7255928740998603</v>
      </c>
      <c r="AS32" s="56">
        <f t="shared" si="119"/>
        <v>-70.001041870669155</v>
      </c>
      <c r="AT32" s="77">
        <f t="shared" si="10"/>
        <v>-0.10813532439829709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>
        <f>IFERROR(IF($IU32="","",IF($IU32&lt;(((Settings!$C$19/2)*-1)*$IE$8),"",1)),"")</f>
        <v>1</v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2.2290000000000001</v>
      </c>
      <c r="IH32" s="797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2.129</v>
      </c>
      <c r="II32" s="800" cm="1">
        <f t="array" ref="II32">IFERROR(IF($IH32&lt;1,$IH32+LARGE((IF($M$9:$M$150="",0,$M$9:$M$150)-MOD(IF($M$9:$M$150="",0,$M$9:$M$150),1)),1),$IH32),"")</f>
        <v>2.129</v>
      </c>
      <c r="IJ32" s="839" t="str">
        <f t="shared" si="67"/>
        <v>1613</v>
      </c>
      <c r="IK32" s="839" t="str">
        <f t="shared" si="68"/>
        <v>1313</v>
      </c>
      <c r="IL32" s="791">
        <f t="shared" si="227"/>
        <v>11.86899828632869</v>
      </c>
      <c r="IM32" s="830">
        <v>1.2273466857313601E-2</v>
      </c>
      <c r="IN32" s="5">
        <f t="shared" si="228"/>
        <v>0.34</v>
      </c>
      <c r="IO32" s="852">
        <v>170</v>
      </c>
      <c r="IP32" s="9">
        <f t="shared" si="229"/>
        <v>-4.5254136486475653</v>
      </c>
      <c r="IQ32" s="5">
        <f t="shared" si="230"/>
        <v>-0.41780126008860047</v>
      </c>
      <c r="IR32" s="5">
        <f t="shared" si="73"/>
        <v>0.314</v>
      </c>
      <c r="IS32" s="5">
        <f t="shared" si="231"/>
        <v>0.30116840012021368</v>
      </c>
      <c r="IT32" s="791">
        <f t="shared" si="232"/>
        <v>44.729940724836922</v>
      </c>
      <c r="IU32" s="9">
        <f t="shared" si="233"/>
        <v>-4.5466645908910364</v>
      </c>
      <c r="IV32" s="5">
        <f t="shared" si="234"/>
        <v>-0.37260259368476445</v>
      </c>
      <c r="IW32" s="5">
        <f t="shared" si="78"/>
        <v>0.26600000000000001</v>
      </c>
      <c r="IX32" s="5">
        <f t="shared" si="235"/>
        <v>0.2393830147890128</v>
      </c>
      <c r="IY32" s="833">
        <f t="shared" si="236"/>
        <v>35.752094320717319</v>
      </c>
    </row>
    <row r="33" spans="1:259" ht="15" customHeight="1" x14ac:dyDescent="0.25">
      <c r="A33" s="84">
        <f t="shared" si="81"/>
        <v>0.02</v>
      </c>
      <c r="B33" s="770">
        <v>4.8307027634735835</v>
      </c>
      <c r="C33" s="771">
        <v>1.771511596260005</v>
      </c>
      <c r="D33" s="772">
        <v>-0.84803492242909118</v>
      </c>
      <c r="E33" s="773">
        <v>3.3383136123358567E-2</v>
      </c>
      <c r="F33" s="771">
        <v>0.95130547942013699</v>
      </c>
      <c r="G33" s="774">
        <v>0.30643669990357375</v>
      </c>
      <c r="H33" s="773">
        <v>0.26600000000000001</v>
      </c>
      <c r="I33" s="771">
        <v>0.52</v>
      </c>
      <c r="J33" s="601">
        <v>2.2360000000000002</v>
      </c>
      <c r="K33" s="426" t="str">
        <f t="shared" si="82"/>
        <v>1313</v>
      </c>
      <c r="L33" s="327"/>
      <c r="M33" s="173">
        <f t="shared" si="1"/>
        <v>2.2360000000000002</v>
      </c>
      <c r="N33" s="21">
        <f t="shared" si="2"/>
        <v>4.8307027634735835</v>
      </c>
      <c r="O33" s="5">
        <f t="shared" si="3"/>
        <v>1.771511596260005</v>
      </c>
      <c r="P33" s="10">
        <f t="shared" si="4"/>
        <v>-0.84803492242909118</v>
      </c>
      <c r="Q33" s="624">
        <f t="shared" si="116"/>
        <v>20.138958109117372</v>
      </c>
      <c r="R33" s="5">
        <f t="shared" si="83"/>
        <v>5.1452835222866957</v>
      </c>
      <c r="S33" s="6">
        <f t="shared" si="84"/>
        <v>-0.84803492242909118</v>
      </c>
      <c r="T33" s="4">
        <f t="shared" si="85"/>
        <v>1.771933147795226</v>
      </c>
      <c r="U33" s="5">
        <f t="shared" si="86"/>
        <v>-4.8305481515516941</v>
      </c>
      <c r="V33" s="8">
        <f t="shared" si="117"/>
        <v>-0.84803492242909118</v>
      </c>
      <c r="W33" s="624">
        <f t="shared" si="226"/>
        <v>290.14395810839545</v>
      </c>
      <c r="X33" s="5">
        <f t="shared" si="87"/>
        <v>5.1452835222866957</v>
      </c>
      <c r="Y33" s="7">
        <f t="shared" si="225"/>
        <v>-0.84803492242909118</v>
      </c>
      <c r="Z33" s="21">
        <f t="shared" si="6"/>
        <v>-3.3383136123358567E-2</v>
      </c>
      <c r="AA33" s="5">
        <f t="shared" si="7"/>
        <v>-0.95130547942013699</v>
      </c>
      <c r="AB33" s="5">
        <f t="shared" si="8"/>
        <v>-0.30643669990357375</v>
      </c>
      <c r="AC33" s="8">
        <f t="shared" si="88"/>
        <v>1</v>
      </c>
      <c r="AD33" s="9">
        <f t="shared" si="118"/>
        <v>-3.3383136123358567E-2</v>
      </c>
      <c r="AE33" s="5">
        <f t="shared" si="89"/>
        <v>-0.95130547942013699</v>
      </c>
      <c r="AF33" s="10">
        <f t="shared" si="90"/>
        <v>-0.30643669990357375</v>
      </c>
      <c r="AG33" s="622">
        <f t="shared" si="91"/>
        <v>-72.145093189347506</v>
      </c>
      <c r="AH33" s="623">
        <f t="shared" si="92"/>
        <v>91.913068250354343</v>
      </c>
      <c r="AI33" s="624">
        <f t="shared" si="93"/>
        <v>-72.155379891728131</v>
      </c>
      <c r="AJ33" s="625">
        <f t="shared" si="94"/>
        <v>-2.0097942202081378</v>
      </c>
      <c r="AK33" s="4">
        <f t="shared" si="213"/>
        <v>0.88164925721416776</v>
      </c>
      <c r="AL33" s="5">
        <f t="shared" si="95"/>
        <v>-0.35887481968774793</v>
      </c>
      <c r="AM33" s="6">
        <f t="shared" si="96"/>
        <v>-0.30643669990357375</v>
      </c>
      <c r="AN33" s="612">
        <f t="shared" si="97"/>
        <v>-49.506587490810119</v>
      </c>
      <c r="AO33" s="613">
        <f t="shared" si="98"/>
        <v>28.158043203941315</v>
      </c>
      <c r="AP33" s="624">
        <f t="shared" si="99"/>
        <v>-22.1487523293255</v>
      </c>
      <c r="AQ33" s="625">
        <f t="shared" si="9"/>
        <v>2.4088866658506225</v>
      </c>
      <c r="AS33" s="56">
        <f t="shared" si="119"/>
        <v>-69.856041891604548</v>
      </c>
      <c r="AT33" s="77">
        <f t="shared" si="10"/>
        <v>-0.58411543084131234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>
        <f>IFERROR(IF((((($IW33*COS(RADIANS(180-$IY33)))*COS(RADIANS($IY33)))-(($IX33*SIN(RADIANS(180-$IY33)))*SIN(RADIANS($IY33))))+$IU33)&lt;(((Settings!$C$19/2)*-1)+$IF$8),1,""),"")</f>
        <v>1</v>
      </c>
      <c r="IG33" s="836">
        <f t="shared" si="66"/>
        <v>2.2360000000000002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2.1360000000000001</v>
      </c>
      <c r="II33" s="800" cm="1">
        <f t="array" ref="II33">IFERROR(IF($IH33&lt;1,$IH33+LARGE((IF($M$9:$M$150="",0,$M$9:$M$150)-MOD(IF($M$9:$M$150="",0,$M$9:$M$150),1)),1),$IH33),"")</f>
        <v>2.1360000000000001</v>
      </c>
      <c r="IJ33" s="839" t="str">
        <f t="shared" si="67"/>
        <v>1613</v>
      </c>
      <c r="IK33" s="839" t="str">
        <f t="shared" si="68"/>
        <v>1313</v>
      </c>
      <c r="IL33" s="791">
        <f t="shared" si="227"/>
        <v>10.79899844081757</v>
      </c>
      <c r="IM33" s="830">
        <v>9.9506235180377694E-3</v>
      </c>
      <c r="IN33" s="5">
        <f t="shared" si="228"/>
        <v>0.32</v>
      </c>
      <c r="IO33" s="852">
        <v>160</v>
      </c>
      <c r="IP33" s="9">
        <f t="shared" si="229"/>
        <v>-5.1121154181401014</v>
      </c>
      <c r="IQ33" s="5">
        <f t="shared" si="230"/>
        <v>-0.88980268364489401</v>
      </c>
      <c r="IR33" s="5">
        <f t="shared" si="73"/>
        <v>0.314</v>
      </c>
      <c r="IS33" s="5">
        <f t="shared" si="231"/>
        <v>0.29712617777846462</v>
      </c>
      <c r="IT33" s="791">
        <f t="shared" si="232"/>
        <v>58.218496195204047</v>
      </c>
      <c r="IU33" s="9">
        <f t="shared" si="233"/>
        <v>-5.1452835222866957</v>
      </c>
      <c r="IV33" s="5">
        <f t="shared" si="234"/>
        <v>-0.84803492242909118</v>
      </c>
      <c r="IW33" s="5">
        <f t="shared" si="78"/>
        <v>0.26600000000000001</v>
      </c>
      <c r="IX33" s="5">
        <f t="shared" si="235"/>
        <v>0.23451870241896866</v>
      </c>
      <c r="IY33" s="833">
        <f t="shared" si="236"/>
        <v>49.506587490810119</v>
      </c>
    </row>
    <row r="34" spans="1:259" ht="15" customHeight="1" x14ac:dyDescent="0.25">
      <c r="A34" s="84">
        <f t="shared" si="81"/>
        <v>0.02</v>
      </c>
      <c r="B34" s="770">
        <v>5.2433690014989445</v>
      </c>
      <c r="C34" s="771">
        <v>1.9141279469269463</v>
      </c>
      <c r="D34" s="772">
        <v>-1.476149861052672</v>
      </c>
      <c r="E34" s="773">
        <v>0.12370582904272714</v>
      </c>
      <c r="F34" s="771">
        <v>0.96380261238475762</v>
      </c>
      <c r="G34" s="774">
        <v>0.23618084643164489</v>
      </c>
      <c r="H34" s="773">
        <v>0.26600000000000001</v>
      </c>
      <c r="I34" s="771">
        <v>0.52</v>
      </c>
      <c r="J34" s="601">
        <v>2.2429999999999999</v>
      </c>
      <c r="K34" s="426" t="str">
        <f t="shared" si="82"/>
        <v>1313</v>
      </c>
      <c r="L34" s="327"/>
      <c r="M34" s="173">
        <f t="shared" si="1"/>
        <v>2.2429999999999999</v>
      </c>
      <c r="N34" s="21">
        <f t="shared" si="2"/>
        <v>5.2433690014989445</v>
      </c>
      <c r="O34" s="5">
        <f t="shared" si="3"/>
        <v>1.9141279469269463</v>
      </c>
      <c r="P34" s="10">
        <f t="shared" si="4"/>
        <v>-1.476149861052672</v>
      </c>
      <c r="Q34" s="624">
        <f t="shared" si="116"/>
        <v>20.054958121245473</v>
      </c>
      <c r="R34" s="5">
        <f>IF(M34="","",SQRT(N34^2+O34^2))</f>
        <v>5.5818280413397545</v>
      </c>
      <c r="S34" s="6">
        <f>IF(M34="","",P34)</f>
        <v>-1.476149861052672</v>
      </c>
      <c r="T34" s="4">
        <f>IF(M34="","",X34*COS(RADIANS(W34)))</f>
        <v>1.9145855098367068</v>
      </c>
      <c r="U34" s="5">
        <f>IF(M34="","",X34*SIN(RADIANS(W34)))</f>
        <v>-5.2432019423831191</v>
      </c>
      <c r="V34" s="8">
        <f>IF(M34="","",Y34)</f>
        <v>-1.476149861052672</v>
      </c>
      <c r="W34" s="624">
        <f t="shared" si="226"/>
        <v>290.05995812052356</v>
      </c>
      <c r="X34" s="5">
        <f>IF(M34="","",R34)</f>
        <v>5.5818280413397545</v>
      </c>
      <c r="Y34" s="7">
        <f t="shared" si="225"/>
        <v>-1.476149861052672</v>
      </c>
      <c r="Z34" s="21">
        <f t="shared" si="6"/>
        <v>-0.12370582904272714</v>
      </c>
      <c r="AA34" s="5">
        <f t="shared" si="7"/>
        <v>-0.96380261238475762</v>
      </c>
      <c r="AB34" s="5">
        <f t="shared" si="8"/>
        <v>-0.23618084643164489</v>
      </c>
      <c r="AC34" s="8">
        <f>IF(M34="","",SQRT(Z34^2+AA34^2+AB34^2))</f>
        <v>1</v>
      </c>
      <c r="AD34" s="9">
        <f>IF(M34="","",Z34*(1/SQRT(Z34^2+AA34^2+AB34^2)))</f>
        <v>-0.12370582904272714</v>
      </c>
      <c r="AE34" s="5">
        <f>IF(M34="","",AA34*(1/SQRT(Z34^2+AA34^2+AB34^2)))</f>
        <v>-0.96380261238475762</v>
      </c>
      <c r="AF34" s="10">
        <f>IF(M34="","",AB34*(1/SQRT(Z34^2+AA34^2+AB34^2)))</f>
        <v>-0.23618084643164489</v>
      </c>
      <c r="AG34" s="622">
        <f>IF(M34="","",DEGREES(ATAN2(-AF34,AE34)))</f>
        <v>-76.230939786121738</v>
      </c>
      <c r="AH34" s="623">
        <f>IF(M34="","",DEGREES(ACOS(AD34)))</f>
        <v>97.106025187178304</v>
      </c>
      <c r="AI34" s="624">
        <f>IF(M34="","",DEGREES(-ACOS(-AF34)))</f>
        <v>-76.338760153181639</v>
      </c>
      <c r="AJ34" s="625">
        <f>IF(M34="","",DEGREES(ATAN2(-AE34,AD34)))</f>
        <v>-7.3140288513868184</v>
      </c>
      <c r="AK34" s="4">
        <f>IF(M34="","",(COS(RADIANS((90-$Q$8)-W34))*AD34)+(-SIN(RADIANS((90-$Q$8)-W34))*AE34))</f>
        <v>0.86294022694711348</v>
      </c>
      <c r="AL34" s="5">
        <f>IF(M34="","",(SIN(RADIANS((90-$Q$8)-W34))*AD34)+(COS(RADIANS((90-$Q$8)-W34))*AE34))</f>
        <v>-0.4467133001101446</v>
      </c>
      <c r="AM34" s="6">
        <f>IF(M34="","",AF34)</f>
        <v>-0.23618084643164489</v>
      </c>
      <c r="AN34" s="612">
        <f>IF(M34="","",DEGREES(ATAN2(-AM34,AL34)))</f>
        <v>-62.134238385429938</v>
      </c>
      <c r="AO34" s="613">
        <f t="shared" si="98"/>
        <v>30.351668158683687</v>
      </c>
      <c r="AP34" s="624">
        <f>IF(M34="","",DEGREES(ATAN2(AK34,AL34)))</f>
        <v>-27.368986972632282</v>
      </c>
      <c r="AQ34" s="625">
        <f t="shared" si="9"/>
        <v>2.2206886668085555</v>
      </c>
      <c r="AS34" s="56">
        <f t="shared" si="119"/>
        <v>-69.940041879476439</v>
      </c>
      <c r="AT34" s="77">
        <f t="shared" si="10"/>
        <v>-1.2119130361773771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>
        <f>IFERROR(IF((((($IW34*COS(RADIANS(180-$IY34)))*COS(RADIANS($IY34)))-(($IX34*SIN(RADIANS(180-$IY34)))*SIN(RADIANS($IY34))))+$IU34)&lt;(((Settings!$C$19/2)*-1)+$IF$8),1,""),"")</f>
        <v>1</v>
      </c>
      <c r="IG34" s="836">
        <f t="shared" si="66"/>
        <v>2.2429999999999999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2.1429999999999998</v>
      </c>
      <c r="II34" s="800" cm="1">
        <f t="array" ref="II34">IFERROR(IF($IH34&lt;1,$IH34+LARGE((IF($M$9:$M$150="",0,$M$9:$M$150)-MOD(IF($M$9:$M$150="",0,$M$9:$M$150),1)),1),$IH34),"")</f>
        <v>2.1429999999999998</v>
      </c>
      <c r="IJ34" s="839" t="str">
        <f t="shared" si="67"/>
        <v>1613</v>
      </c>
      <c r="IK34" s="839" t="str">
        <f t="shared" si="68"/>
        <v>1313</v>
      </c>
      <c r="IL34" s="791">
        <f t="shared" si="227"/>
        <v>10.169998531633894</v>
      </c>
      <c r="IM34" s="830">
        <v>7.7953488113377198E-3</v>
      </c>
      <c r="IN34" s="5">
        <f t="shared" si="228"/>
        <v>0.3</v>
      </c>
      <c r="IO34" s="852">
        <v>150</v>
      </c>
      <c r="IP34" s="9">
        <f t="shared" si="229"/>
        <v>-5.5378167020551734</v>
      </c>
      <c r="IQ34" s="5">
        <f t="shared" si="230"/>
        <v>-1.5115045586977491</v>
      </c>
      <c r="IR34" s="5">
        <f t="shared" si="73"/>
        <v>0.314</v>
      </c>
      <c r="IS34" s="5">
        <f t="shared" si="231"/>
        <v>0.29292818377665997</v>
      </c>
      <c r="IT34" s="791">
        <f t="shared" si="232"/>
        <v>70.217757708675407</v>
      </c>
      <c r="IU34" s="9">
        <f t="shared" si="233"/>
        <v>-5.5818280413397545</v>
      </c>
      <c r="IV34" s="5">
        <f t="shared" si="234"/>
        <v>-1.476149861052672</v>
      </c>
      <c r="IW34" s="5">
        <f t="shared" si="78"/>
        <v>0.26600000000000001</v>
      </c>
      <c r="IX34" s="5">
        <f t="shared" si="235"/>
        <v>0.22954210036793218</v>
      </c>
      <c r="IY34" s="833">
        <f t="shared" si="236"/>
        <v>62.134238385429938</v>
      </c>
    </row>
    <row r="35" spans="1:259" ht="15" customHeight="1" x14ac:dyDescent="0.25">
      <c r="A35" s="84">
        <f t="shared" si="81"/>
        <v>0.02</v>
      </c>
      <c r="B35" s="770">
        <v>0.72171732554916357</v>
      </c>
      <c r="C35" s="771">
        <v>-0.20694961285251576</v>
      </c>
      <c r="D35" s="772">
        <v>-0.66600200866205828</v>
      </c>
      <c r="E35" s="773">
        <v>0.20185354387626064</v>
      </c>
      <c r="F35" s="771">
        <v>0.94697157464841875</v>
      </c>
      <c r="G35" s="774">
        <v>0.2499999672649757</v>
      </c>
      <c r="H35" s="773">
        <v>0.314</v>
      </c>
      <c r="I35" s="771">
        <v>0.52</v>
      </c>
      <c r="J35" s="601">
        <v>3.1030000000000002</v>
      </c>
      <c r="K35" s="426" t="str">
        <f t="shared" si="82"/>
        <v>1613</v>
      </c>
      <c r="L35" s="327"/>
      <c r="M35" s="173">
        <f t="shared" si="1"/>
        <v>3.1030000000000002</v>
      </c>
      <c r="N35" s="21">
        <f t="shared" si="2"/>
        <v>0.72171732554916357</v>
      </c>
      <c r="O35" s="5">
        <f t="shared" si="3"/>
        <v>-0.20694961285251576</v>
      </c>
      <c r="P35" s="10">
        <f t="shared" si="4"/>
        <v>-0.66600200866205828</v>
      </c>
      <c r="Q35" s="624">
        <f t="shared" si="116"/>
        <v>343.99996332694263</v>
      </c>
      <c r="R35" s="5">
        <f>IF(M35="","",SQRT(N35^2+O35^2))</f>
        <v>0.75080226441962972</v>
      </c>
      <c r="S35" s="6">
        <f>IF(M35="","",P35)</f>
        <v>-0.66600200866205828</v>
      </c>
      <c r="T35" s="4">
        <f>IF(M35="","",X35*COS(RADIANS(W35)))</f>
        <v>-0.20688663035568641</v>
      </c>
      <c r="U35" s="5">
        <f>IF(M35="","",X35*SIN(RADIANS(W35)))</f>
        <v>-0.72173538255908798</v>
      </c>
      <c r="V35" s="8">
        <f>IF(M35="","",Y35)</f>
        <v>-0.66600200866205828</v>
      </c>
      <c r="W35" s="624">
        <f t="shared" si="226"/>
        <v>254.00496332622072</v>
      </c>
      <c r="X35" s="5">
        <f>IF(M35="","",R35)</f>
        <v>0.75080226441962972</v>
      </c>
      <c r="Y35" s="7">
        <f t="shared" si="225"/>
        <v>-0.66600200866205828</v>
      </c>
      <c r="Z35" s="21">
        <f t="shared" si="6"/>
        <v>-0.20185354387626064</v>
      </c>
      <c r="AA35" s="5">
        <f t="shared" si="7"/>
        <v>-0.94697157464841875</v>
      </c>
      <c r="AB35" s="5">
        <f t="shared" si="8"/>
        <v>-0.2499999672649757</v>
      </c>
      <c r="AC35" s="8">
        <f>IF(M35="","",SQRT(Z35^2+AA35^2+AB35^2))</f>
        <v>1</v>
      </c>
      <c r="AD35" s="9">
        <f>IF(M35="","",Z35*(1/SQRT(Z35^2+AA35^2+AB35^2)))</f>
        <v>-0.20185354387626064</v>
      </c>
      <c r="AE35" s="5">
        <f>IF(M35="","",AA35*(1/SQRT(Z35^2+AA35^2+AB35^2)))</f>
        <v>-0.94697157464841875</v>
      </c>
      <c r="AF35" s="10">
        <f>IF(M35="","",AB35*(1/SQRT(Z35^2+AA35^2+AB35^2)))</f>
        <v>-0.2499999672649757</v>
      </c>
      <c r="AG35" s="622">
        <f>IF(M35="","",DEGREES(ATAN2(-AF35,AE35)))</f>
        <v>-75.2113522756256</v>
      </c>
      <c r="AH35" s="623">
        <f>IF(M35="","",DEGREES(ACOS(AD35)))</f>
        <v>101.64537020065387</v>
      </c>
      <c r="AI35" s="624">
        <f>IF(M35="","",DEGREES(-ACOS(-AF35)))</f>
        <v>-75.522489751159455</v>
      </c>
      <c r="AJ35" s="625">
        <f>IF(M35="","",DEGREES(ATAN2(-AE35,AD35)))</f>
        <v>-12.032907027970779</v>
      </c>
      <c r="AK35" s="4">
        <f>IF(M35="","",(COS(RADIANS((90-$Q$8)-W35))*AD35)+(-SIN(RADIANS((90-$Q$8)-W35))*AE35))</f>
        <v>0.96592583607220739</v>
      </c>
      <c r="AL35" s="5">
        <f>IF(M35="","",(SIN(RADIANS((90-$Q$8)-W35))*AD35)+(COS(RADIANS((90-$Q$8)-W35))*AE35))</f>
        <v>6.6987279208207184E-2</v>
      </c>
      <c r="AM35" s="6">
        <f>IF(M35="","",AF35)</f>
        <v>-0.2499999672649757</v>
      </c>
      <c r="AN35" s="612">
        <f>IF(M35="","",DEGREES(ATAN2(-AM35,AL35)))</f>
        <v>14.999997834268262</v>
      </c>
      <c r="AO35" s="613">
        <f t="shared" si="98"/>
        <v>14.999997834268255</v>
      </c>
      <c r="AP35" s="624">
        <f>IF(M35="","",DEGREES(ATAN2(AK35,AL35)))</f>
        <v>3.9671296450865703</v>
      </c>
      <c r="AQ35" s="625">
        <f t="shared" si="9"/>
        <v>16.081879036268571</v>
      </c>
      <c r="AS35" s="56">
        <f t="shared" si="119"/>
        <v>-105.99503667377928</v>
      </c>
      <c r="AT35" s="77">
        <f t="shared" si="10"/>
        <v>-0.26555742567495266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3.1030000000000002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1.4134432012353355</v>
      </c>
      <c r="C36" s="771">
        <v>-0.40529929506971119</v>
      </c>
      <c r="D36" s="772">
        <v>-0.4732014271755044</v>
      </c>
      <c r="E36" s="773">
        <v>0.20185354387626056</v>
      </c>
      <c r="F36" s="771">
        <v>0.94697157464841875</v>
      </c>
      <c r="G36" s="774">
        <v>0.24999996726497567</v>
      </c>
      <c r="H36" s="773">
        <v>0.314</v>
      </c>
      <c r="I36" s="771">
        <v>0.52</v>
      </c>
      <c r="J36" s="601">
        <v>3.1059999999999999</v>
      </c>
      <c r="K36" s="426" t="str">
        <f t="shared" si="82"/>
        <v>1613</v>
      </c>
      <c r="L36" s="327"/>
      <c r="M36" s="173">
        <f t="shared" si="1"/>
        <v>3.1059999999999999</v>
      </c>
      <c r="N36" s="21">
        <f t="shared" si="2"/>
        <v>1.4134432012353355</v>
      </c>
      <c r="O36" s="5">
        <f t="shared" si="3"/>
        <v>-0.40529929506971119</v>
      </c>
      <c r="P36" s="10">
        <f t="shared" si="4"/>
        <v>-0.4732014271755044</v>
      </c>
      <c r="Q36" s="624">
        <f t="shared" si="116"/>
        <v>343.99996332694263</v>
      </c>
      <c r="R36" s="5">
        <f>IF(M36="","",SQRT(N36^2+O36^2))</f>
        <v>1.4704044347397753</v>
      </c>
      <c r="S36" s="6">
        <f>IF(M36="","",P36)</f>
        <v>-0.4732014271755044</v>
      </c>
      <c r="T36" s="4">
        <f>IF(M36="","",X36*COS(RADIANS(W36)))</f>
        <v>-0.40517594735615509</v>
      </c>
      <c r="U36" s="5">
        <f>IF(M36="","",X36*SIN(RADIANS(W36)))</f>
        <v>-1.4134785648839676</v>
      </c>
      <c r="V36" s="8">
        <f>IF(M36="","",Y36)</f>
        <v>-0.4732014271755044</v>
      </c>
      <c r="W36" s="624">
        <f t="shared" si="226"/>
        <v>254.00496332622072</v>
      </c>
      <c r="X36" s="5">
        <f>IF(M36="","",R36)</f>
        <v>1.4704044347397753</v>
      </c>
      <c r="Y36" s="7">
        <f t="shared" si="225"/>
        <v>-0.4732014271755044</v>
      </c>
      <c r="Z36" s="21">
        <f t="shared" si="6"/>
        <v>-0.20185354387626056</v>
      </c>
      <c r="AA36" s="5">
        <f t="shared" si="7"/>
        <v>-0.94697157464841875</v>
      </c>
      <c r="AB36" s="5">
        <f t="shared" si="8"/>
        <v>-0.24999996726497567</v>
      </c>
      <c r="AC36" s="8">
        <f>IF(M36="","",SQRT(Z36^2+AA36^2+AB36^2))</f>
        <v>1</v>
      </c>
      <c r="AD36" s="9">
        <f>IF(M36="","",Z36*(1/SQRT(Z36^2+AA36^2+AB36^2)))</f>
        <v>-0.20185354387626056</v>
      </c>
      <c r="AE36" s="5">
        <f>IF(M36="","",AA36*(1/SQRT(Z36^2+AA36^2+AB36^2)))</f>
        <v>-0.94697157464841875</v>
      </c>
      <c r="AF36" s="10">
        <f>IF(M36="","",AB36*(1/SQRT(Z36^2+AA36^2+AB36^2)))</f>
        <v>-0.24999996726497567</v>
      </c>
      <c r="AG36" s="622">
        <f>IF(M36="","",DEGREES(ATAN2(-AF36,AE36)))</f>
        <v>-75.2113522756256</v>
      </c>
      <c r="AH36" s="623">
        <f>IF(M36="","",DEGREES(ACOS(AD36)))</f>
        <v>101.64537020065387</v>
      </c>
      <c r="AI36" s="624">
        <f>IF(M36="","",DEGREES(-ACOS(-AF36)))</f>
        <v>-75.522489751159455</v>
      </c>
      <c r="AJ36" s="625">
        <f>IF(M36="","",DEGREES(ATAN2(-AE36,AD36)))</f>
        <v>-12.032907027970774</v>
      </c>
      <c r="AK36" s="4">
        <f>IF(M36="","",(COS(RADIANS((90-$Q$8)-W36))*AD36)+(-SIN(RADIANS((90-$Q$8)-W36))*AE36))</f>
        <v>0.96592583607220739</v>
      </c>
      <c r="AL36" s="5">
        <f>IF(M36="","",(SIN(RADIANS((90-$Q$8)-W36))*AD36)+(COS(RADIANS((90-$Q$8)-W36))*AE36))</f>
        <v>6.6987279208207268E-2</v>
      </c>
      <c r="AM36" s="6">
        <f>IF(M36="","",AF36)</f>
        <v>-0.24999996726497567</v>
      </c>
      <c r="AN36" s="612">
        <f>IF(M36="","",DEGREES(ATAN2(-AM36,AL36)))</f>
        <v>14.99999783426828</v>
      </c>
      <c r="AO36" s="613">
        <f t="shared" si="98"/>
        <v>14.999997834268255</v>
      </c>
      <c r="AP36" s="624">
        <f>IF(M36="","",DEGREES(ATAN2(AK36,AL36)))</f>
        <v>3.9671296450865761</v>
      </c>
      <c r="AQ36" s="625">
        <f t="shared" si="9"/>
        <v>8.3740777672224151</v>
      </c>
      <c r="AS36" s="56">
        <f t="shared" si="119"/>
        <v>-105.99503667377928</v>
      </c>
      <c r="AT36" s="77">
        <f t="shared" si="10"/>
        <v>-7.2756844188398784E-2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3.1059999999999999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0.02</v>
      </c>
      <c r="B37" s="770">
        <v>2.1126669393872555</v>
      </c>
      <c r="C37" s="771">
        <v>-0.60579895994573663</v>
      </c>
      <c r="D37" s="772">
        <v>-0.27830083935533151</v>
      </c>
      <c r="E37" s="773">
        <v>0.20185354387626053</v>
      </c>
      <c r="F37" s="771">
        <v>0.94697157464841875</v>
      </c>
      <c r="G37" s="774">
        <v>0.24999996726497564</v>
      </c>
      <c r="H37" s="773">
        <v>0.314</v>
      </c>
      <c r="I37" s="771">
        <v>0.52</v>
      </c>
      <c r="J37" s="601">
        <v>3.109</v>
      </c>
      <c r="K37" s="426" t="str">
        <f t="shared" si="82"/>
        <v>1613</v>
      </c>
      <c r="L37" s="327"/>
      <c r="M37" s="173">
        <f t="shared" si="1"/>
        <v>3.109</v>
      </c>
      <c r="N37" s="21">
        <f t="shared" si="2"/>
        <v>2.1126669393872555</v>
      </c>
      <c r="O37" s="5">
        <f t="shared" si="3"/>
        <v>-0.60579895994573663</v>
      </c>
      <c r="P37" s="10">
        <f t="shared" si="4"/>
        <v>-0.27830083935533151</v>
      </c>
      <c r="Q37" s="624">
        <f t="shared" si="116"/>
        <v>343.99996332694263</v>
      </c>
      <c r="R37" s="5">
        <f t="shared" si="83"/>
        <v>2.1978066285847917</v>
      </c>
      <c r="S37" s="6">
        <f t="shared" si="84"/>
        <v>-0.27830083935533151</v>
      </c>
      <c r="T37" s="4">
        <f t="shared" si="85"/>
        <v>-0.60561459269542817</v>
      </c>
      <c r="U37" s="5">
        <f t="shared" si="86"/>
        <v>-2.112719797267399</v>
      </c>
      <c r="V37" s="8">
        <f t="shared" si="117"/>
        <v>-0.27830083935533151</v>
      </c>
      <c r="W37" s="624">
        <f t="shared" si="226"/>
        <v>254.00496332622072</v>
      </c>
      <c r="X37" s="5">
        <f t="shared" si="87"/>
        <v>2.1978066285847917</v>
      </c>
      <c r="Y37" s="7">
        <f t="shared" si="225"/>
        <v>-0.27830083935533151</v>
      </c>
      <c r="Z37" s="21">
        <f t="shared" si="6"/>
        <v>-0.20185354387626053</v>
      </c>
      <c r="AA37" s="5">
        <f t="shared" si="7"/>
        <v>-0.94697157464841875</v>
      </c>
      <c r="AB37" s="5">
        <f t="shared" si="8"/>
        <v>-0.24999996726497564</v>
      </c>
      <c r="AC37" s="8">
        <f t="shared" si="88"/>
        <v>1</v>
      </c>
      <c r="AD37" s="9">
        <f t="shared" si="118"/>
        <v>-0.20185354387626053</v>
      </c>
      <c r="AE37" s="5">
        <f t="shared" si="89"/>
        <v>-0.94697157464841875</v>
      </c>
      <c r="AF37" s="10">
        <f t="shared" si="90"/>
        <v>-0.24999996726497564</v>
      </c>
      <c r="AG37" s="622">
        <f t="shared" si="91"/>
        <v>-75.2113522756256</v>
      </c>
      <c r="AH37" s="623">
        <f t="shared" si="92"/>
        <v>101.64537020065387</v>
      </c>
      <c r="AI37" s="624">
        <f t="shared" si="93"/>
        <v>-75.522489751159469</v>
      </c>
      <c r="AJ37" s="625">
        <f t="shared" si="94"/>
        <v>-12.032907027970774</v>
      </c>
      <c r="AK37" s="4">
        <f t="shared" si="213"/>
        <v>0.96592583607220739</v>
      </c>
      <c r="AL37" s="5">
        <f t="shared" si="95"/>
        <v>6.6987279208207268E-2</v>
      </c>
      <c r="AM37" s="6">
        <f t="shared" si="96"/>
        <v>-0.24999996726497564</v>
      </c>
      <c r="AN37" s="612">
        <f t="shared" si="97"/>
        <v>14.999997834268283</v>
      </c>
      <c r="AO37" s="613">
        <f t="shared" si="98"/>
        <v>14.999997834268255</v>
      </c>
      <c r="AP37" s="624">
        <f t="shared" si="99"/>
        <v>3.9671296450865761</v>
      </c>
      <c r="AQ37" s="625">
        <f t="shared" si="9"/>
        <v>5.6246298433560149</v>
      </c>
      <c r="AS37" s="56">
        <f t="shared" si="119"/>
        <v>-105.99503667377928</v>
      </c>
      <c r="AT37" s="77">
        <f t="shared" si="10"/>
        <v>0.1221437436317741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3.109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7"/>
        <v/>
      </c>
      <c r="IK37" s="839" t="str">
        <f t="shared" si="68"/>
        <v/>
      </c>
      <c r="IL37" s="791" t="str">
        <f t="shared" si="227"/>
        <v/>
      </c>
      <c r="IM37" s="830"/>
      <c r="IN37" s="5" t="str">
        <f t="shared" si="228"/>
        <v/>
      </c>
      <c r="IO37" s="852"/>
      <c r="IP37" s="9" t="str">
        <f t="shared" si="229"/>
        <v/>
      </c>
      <c r="IQ37" s="5" t="str">
        <f t="shared" si="230"/>
        <v/>
      </c>
      <c r="IR37" s="5" t="str">
        <f t="shared" si="73"/>
        <v/>
      </c>
      <c r="IS37" s="5" t="str">
        <f t="shared" si="231"/>
        <v/>
      </c>
      <c r="IT37" s="791" t="str">
        <f t="shared" si="232"/>
        <v/>
      </c>
      <c r="IU37" s="9" t="str">
        <f t="shared" si="233"/>
        <v/>
      </c>
      <c r="IV37" s="5" t="str">
        <f t="shared" si="234"/>
        <v/>
      </c>
      <c r="IW37" s="5" t="str">
        <f t="shared" si="78"/>
        <v/>
      </c>
      <c r="IX37" s="5" t="str">
        <f t="shared" si="235"/>
        <v/>
      </c>
      <c r="IY37" s="833" t="str">
        <f t="shared" si="236"/>
        <v/>
      </c>
    </row>
    <row r="38" spans="1:259" ht="15" customHeight="1" x14ac:dyDescent="0.25">
      <c r="A38" s="84">
        <f t="shared" si="81"/>
        <v>0.02</v>
      </c>
      <c r="B38" s="770">
        <v>2.8138590354141964</v>
      </c>
      <c r="C38" s="771">
        <v>-0.81894169168490916</v>
      </c>
      <c r="D38" s="772">
        <v>-0.10260030944253329</v>
      </c>
      <c r="E38" s="773">
        <v>0.2614953272271795</v>
      </c>
      <c r="F38" s="771">
        <v>0.929213139187541</v>
      </c>
      <c r="G38" s="774">
        <v>0.26111900696729451</v>
      </c>
      <c r="H38" s="773">
        <v>0.314</v>
      </c>
      <c r="I38" s="771">
        <v>0.52</v>
      </c>
      <c r="J38" s="601">
        <v>3.1139999999999999</v>
      </c>
      <c r="K38" s="426" t="str">
        <f t="shared" si="82"/>
        <v>1613</v>
      </c>
      <c r="L38" s="327"/>
      <c r="M38" s="173">
        <f t="shared" si="1"/>
        <v>3.1139999999999999</v>
      </c>
      <c r="N38" s="21">
        <f t="shared" si="2"/>
        <v>2.8138590354141964</v>
      </c>
      <c r="O38" s="5">
        <f t="shared" si="3"/>
        <v>-0.81894169168490916</v>
      </c>
      <c r="P38" s="10">
        <f t="shared" si="4"/>
        <v>-0.10260030944253329</v>
      </c>
      <c r="Q38" s="624">
        <f t="shared" si="116"/>
        <v>343.77296335971738</v>
      </c>
      <c r="R38" s="5">
        <f t="shared" si="83"/>
        <v>2.9306088387162577</v>
      </c>
      <c r="S38" s="6">
        <f t="shared" si="84"/>
        <v>-0.10260030944253329</v>
      </c>
      <c r="T38" s="4">
        <f t="shared" si="85"/>
        <v>-0.81869613307810307</v>
      </c>
      <c r="U38" s="5">
        <f t="shared" si="86"/>
        <v>-2.813930490833918</v>
      </c>
      <c r="V38" s="8">
        <f t="shared" si="117"/>
        <v>-0.10260030944253329</v>
      </c>
      <c r="W38" s="624">
        <f t="shared" si="226"/>
        <v>253.77796335899546</v>
      </c>
      <c r="X38" s="5">
        <f t="shared" si="87"/>
        <v>2.9306088387162577</v>
      </c>
      <c r="Y38" s="7">
        <f t="shared" si="225"/>
        <v>-0.10260030944253329</v>
      </c>
      <c r="Z38" s="21">
        <f t="shared" si="6"/>
        <v>-0.2614953272271795</v>
      </c>
      <c r="AA38" s="5">
        <f t="shared" si="7"/>
        <v>-0.929213139187541</v>
      </c>
      <c r="AB38" s="5">
        <f t="shared" si="8"/>
        <v>-0.26111900696729451</v>
      </c>
      <c r="AC38" s="8">
        <f t="shared" si="88"/>
        <v>1</v>
      </c>
      <c r="AD38" s="9">
        <f t="shared" si="118"/>
        <v>-0.2614953272271795</v>
      </c>
      <c r="AE38" s="5">
        <f t="shared" si="89"/>
        <v>-0.929213139187541</v>
      </c>
      <c r="AF38" s="10">
        <f t="shared" si="90"/>
        <v>-0.26111900696729451</v>
      </c>
      <c r="AG38" s="622">
        <f t="shared" si="91"/>
        <v>-74.304058947257161</v>
      </c>
      <c r="AH38" s="623">
        <f t="shared" si="92"/>
        <v>105.15880808360063</v>
      </c>
      <c r="AI38" s="624">
        <f t="shared" si="93"/>
        <v>-74.863529585916282</v>
      </c>
      <c r="AJ38" s="625">
        <f t="shared" si="94"/>
        <v>-15.71744463699209</v>
      </c>
      <c r="AK38" s="4">
        <f t="shared" si="213"/>
        <v>0.96526843698960962</v>
      </c>
      <c r="AL38" s="5">
        <f t="shared" si="95"/>
        <v>8.585380134293219E-3</v>
      </c>
      <c r="AM38" s="6">
        <f t="shared" si="96"/>
        <v>-0.26111900696729451</v>
      </c>
      <c r="AN38" s="612">
        <f t="shared" si="97"/>
        <v>1.8831601382428615</v>
      </c>
      <c r="AO38" s="613">
        <f t="shared" si="98"/>
        <v>15.144845691273698</v>
      </c>
      <c r="AP38" s="624">
        <f t="shared" si="99"/>
        <v>0.50959200329051302</v>
      </c>
      <c r="AQ38" s="625">
        <f t="shared" si="9"/>
        <v>4.2241173215547052</v>
      </c>
      <c r="AS38" s="56">
        <f t="shared" si="119"/>
        <v>-106.22203664100454</v>
      </c>
      <c r="AT38" s="77">
        <f t="shared" si="10"/>
        <v>0.2987018289763122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3.1139999999999999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7"/>
        <v/>
      </c>
      <c r="IK38" s="839" t="str">
        <f t="shared" si="68"/>
        <v/>
      </c>
      <c r="IL38" s="791" t="str">
        <f t="shared" si="227"/>
        <v/>
      </c>
      <c r="IM38" s="830"/>
      <c r="IN38" s="5" t="str">
        <f t="shared" si="228"/>
        <v/>
      </c>
      <c r="IO38" s="852"/>
      <c r="IP38" s="9" t="str">
        <f t="shared" si="229"/>
        <v/>
      </c>
      <c r="IQ38" s="5" t="str">
        <f t="shared" si="230"/>
        <v/>
      </c>
      <c r="IR38" s="5" t="str">
        <f t="shared" si="73"/>
        <v/>
      </c>
      <c r="IS38" s="5" t="str">
        <f t="shared" si="231"/>
        <v/>
      </c>
      <c r="IT38" s="791" t="str">
        <f t="shared" si="232"/>
        <v/>
      </c>
      <c r="IU38" s="9" t="str">
        <f t="shared" si="233"/>
        <v/>
      </c>
      <c r="IV38" s="5" t="str">
        <f t="shared" si="234"/>
        <v/>
      </c>
      <c r="IW38" s="5" t="str">
        <f t="shared" si="78"/>
        <v/>
      </c>
      <c r="IX38" s="5" t="str">
        <f t="shared" si="235"/>
        <v/>
      </c>
      <c r="IY38" s="833" t="str">
        <f t="shared" si="236"/>
        <v/>
      </c>
    </row>
    <row r="39" spans="1:259" ht="15" customHeight="1" x14ac:dyDescent="0.25">
      <c r="A39" s="84">
        <f t="shared" si="81"/>
        <v>0.02</v>
      </c>
      <c r="B39" s="770">
        <v>3.5561086523837244</v>
      </c>
      <c r="C39" s="771">
        <v>-1.0886393714981071</v>
      </c>
      <c r="D39" s="772">
        <v>-0.12020036252429339</v>
      </c>
      <c r="E39" s="773">
        <v>0.3862390231452692</v>
      </c>
      <c r="F39" s="771">
        <v>0.88871670972251493</v>
      </c>
      <c r="G39" s="774">
        <v>0.24698588392816154</v>
      </c>
      <c r="H39" s="773">
        <v>0.314</v>
      </c>
      <c r="I39" s="771">
        <v>0.52</v>
      </c>
      <c r="J39" s="601">
        <v>3.121</v>
      </c>
      <c r="K39" s="426" t="str">
        <f t="shared" si="82"/>
        <v>1613</v>
      </c>
      <c r="L39" s="327"/>
      <c r="M39" s="173">
        <f t="shared" si="1"/>
        <v>3.121</v>
      </c>
      <c r="N39" s="21">
        <f t="shared" si="2"/>
        <v>3.5561086523837244</v>
      </c>
      <c r="O39" s="5">
        <f t="shared" si="3"/>
        <v>-1.0886393714981071</v>
      </c>
      <c r="P39" s="10">
        <f t="shared" si="4"/>
        <v>-0.12020036252429339</v>
      </c>
      <c r="Q39" s="624">
        <f t="shared" si="116"/>
        <v>342.97896347435682</v>
      </c>
      <c r="R39" s="5">
        <f t="shared" si="83"/>
        <v>3.7190112165378291</v>
      </c>
      <c r="S39" s="6">
        <f t="shared" si="84"/>
        <v>-0.12020036252429339</v>
      </c>
      <c r="T39" s="4">
        <f t="shared" si="85"/>
        <v>-1.0883290383753634</v>
      </c>
      <c r="U39" s="5">
        <f t="shared" si="86"/>
        <v>-3.5562036405362303</v>
      </c>
      <c r="V39" s="8">
        <f t="shared" si="117"/>
        <v>-0.12020036252429339</v>
      </c>
      <c r="W39" s="624">
        <f t="shared" si="226"/>
        <v>252.9839634736349</v>
      </c>
      <c r="X39" s="5">
        <f t="shared" si="87"/>
        <v>3.7190112165378291</v>
      </c>
      <c r="Y39" s="7">
        <f t="shared" si="225"/>
        <v>-0.12020036252429339</v>
      </c>
      <c r="Z39" s="21">
        <f t="shared" si="6"/>
        <v>-0.3862390231452692</v>
      </c>
      <c r="AA39" s="5">
        <f t="shared" si="7"/>
        <v>-0.88871670972251493</v>
      </c>
      <c r="AB39" s="5">
        <f t="shared" si="8"/>
        <v>-0.24698588392816154</v>
      </c>
      <c r="AC39" s="8">
        <f t="shared" si="88"/>
        <v>1</v>
      </c>
      <c r="AD39" s="9">
        <f t="shared" si="118"/>
        <v>-0.3862390231452692</v>
      </c>
      <c r="AE39" s="5">
        <f t="shared" si="89"/>
        <v>-0.88871670972251493</v>
      </c>
      <c r="AF39" s="10">
        <f t="shared" si="90"/>
        <v>-0.24698588392816154</v>
      </c>
      <c r="AG39" s="622">
        <f t="shared" si="91"/>
        <v>-74.468699156332519</v>
      </c>
      <c r="AH39" s="623">
        <f t="shared" si="92"/>
        <v>112.72068189576089</v>
      </c>
      <c r="AI39" s="624">
        <f t="shared" si="93"/>
        <v>-75.700776275550908</v>
      </c>
      <c r="AJ39" s="625">
        <f t="shared" si="94"/>
        <v>-23.489914412150942</v>
      </c>
      <c r="AK39" s="4">
        <f t="shared" si="213"/>
        <v>0.96284952635896814</v>
      </c>
      <c r="AL39" s="5">
        <f t="shared" si="95"/>
        <v>-0.10917308610887222</v>
      </c>
      <c r="AM39" s="6">
        <f t="shared" si="96"/>
        <v>-0.24698588392816154</v>
      </c>
      <c r="AN39" s="612">
        <f t="shared" si="97"/>
        <v>-23.846462142047397</v>
      </c>
      <c r="AO39" s="613">
        <f t="shared" si="98"/>
        <v>15.66655762929136</v>
      </c>
      <c r="AP39" s="624">
        <f t="shared" si="99"/>
        <v>-6.4688778865077445</v>
      </c>
      <c r="AQ39" s="625">
        <f t="shared" si="9"/>
        <v>3.3309225139786371</v>
      </c>
      <c r="AS39" s="56">
        <f t="shared" si="119"/>
        <v>-107.0160365263651</v>
      </c>
      <c r="AT39" s="77">
        <f t="shared" si="10"/>
        <v>0.28410133101702534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3.121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7"/>
        <v/>
      </c>
      <c r="IK39" s="839" t="str">
        <f t="shared" si="68"/>
        <v/>
      </c>
      <c r="IL39" s="791" t="str">
        <f t="shared" si="227"/>
        <v/>
      </c>
      <c r="IM39" s="830"/>
      <c r="IN39" s="5" t="str">
        <f t="shared" si="228"/>
        <v/>
      </c>
      <c r="IO39" s="852"/>
      <c r="IP39" s="9" t="str">
        <f t="shared" si="229"/>
        <v/>
      </c>
      <c r="IQ39" s="5" t="str">
        <f t="shared" si="230"/>
        <v/>
      </c>
      <c r="IR39" s="5" t="str">
        <f t="shared" si="73"/>
        <v/>
      </c>
      <c r="IS39" s="5" t="str">
        <f t="shared" si="231"/>
        <v/>
      </c>
      <c r="IT39" s="791" t="str">
        <f t="shared" si="232"/>
        <v/>
      </c>
      <c r="IU39" s="9" t="str">
        <f t="shared" si="233"/>
        <v/>
      </c>
      <c r="IV39" s="5" t="str">
        <f t="shared" si="234"/>
        <v/>
      </c>
      <c r="IW39" s="5" t="str">
        <f t="shared" si="78"/>
        <v/>
      </c>
      <c r="IX39" s="5" t="str">
        <f t="shared" si="235"/>
        <v/>
      </c>
      <c r="IY39" s="833" t="str">
        <f t="shared" si="236"/>
        <v/>
      </c>
    </row>
    <row r="40" spans="1:259" ht="15" customHeight="1" x14ac:dyDescent="0.25">
      <c r="A40" s="84">
        <f t="shared" si="81"/>
        <v>0.02</v>
      </c>
      <c r="B40" s="770">
        <v>4.2141676299417856</v>
      </c>
      <c r="C40" s="771">
        <v>-1.3688624557593256</v>
      </c>
      <c r="D40" s="772">
        <v>-0.36560110265292561</v>
      </c>
      <c r="E40" s="773">
        <v>0.47630990258221034</v>
      </c>
      <c r="F40" s="771">
        <v>0.85426598438746271</v>
      </c>
      <c r="G40" s="774">
        <v>0.20822705064579078</v>
      </c>
      <c r="H40" s="773">
        <v>0.314</v>
      </c>
      <c r="I40" s="771">
        <v>0.52</v>
      </c>
      <c r="J40" s="601">
        <v>3.1280000000000001</v>
      </c>
      <c r="K40" s="426" t="str">
        <f t="shared" si="82"/>
        <v>1613</v>
      </c>
      <c r="L40" s="327"/>
      <c r="M40" s="173">
        <f t="shared" si="1"/>
        <v>3.1280000000000001</v>
      </c>
      <c r="N40" s="21">
        <f t="shared" si="2"/>
        <v>4.2141676299417856</v>
      </c>
      <c r="O40" s="5">
        <f t="shared" si="3"/>
        <v>-1.3688624557593256</v>
      </c>
      <c r="P40" s="10">
        <f t="shared" si="4"/>
        <v>-0.36560110265292561</v>
      </c>
      <c r="Q40" s="624">
        <f t="shared" si="116"/>
        <v>342.00496361498494</v>
      </c>
      <c r="R40" s="5">
        <f t="shared" si="83"/>
        <v>4.4309133636347058</v>
      </c>
      <c r="S40" s="6">
        <f t="shared" si="84"/>
        <v>-0.36560110265292561</v>
      </c>
      <c r="T40" s="4">
        <f t="shared" si="85"/>
        <v>-1.368494695098784</v>
      </c>
      <c r="U40" s="5">
        <f t="shared" si="86"/>
        <v>-4.2142870696623298</v>
      </c>
      <c r="V40" s="8">
        <f t="shared" si="117"/>
        <v>-0.36560110265292561</v>
      </c>
      <c r="W40" s="624">
        <f t="shared" si="226"/>
        <v>252.00996361426303</v>
      </c>
      <c r="X40" s="5">
        <f t="shared" si="87"/>
        <v>4.4309133636347058</v>
      </c>
      <c r="Y40" s="7">
        <f t="shared" si="225"/>
        <v>-0.36560110265292561</v>
      </c>
      <c r="Z40" s="21">
        <f t="shared" si="6"/>
        <v>-0.47630990258221034</v>
      </c>
      <c r="AA40" s="5">
        <f t="shared" si="7"/>
        <v>-0.85426598438746271</v>
      </c>
      <c r="AB40" s="5">
        <f t="shared" si="8"/>
        <v>-0.20822705064579078</v>
      </c>
      <c r="AC40" s="8">
        <f t="shared" si="88"/>
        <v>1</v>
      </c>
      <c r="AD40" s="9">
        <f t="shared" si="118"/>
        <v>-0.47630990258221034</v>
      </c>
      <c r="AE40" s="5">
        <f t="shared" si="89"/>
        <v>-0.85426598438746271</v>
      </c>
      <c r="AF40" s="10">
        <f t="shared" si="90"/>
        <v>-0.20822705064579078</v>
      </c>
      <c r="AG40" s="622">
        <f t="shared" si="91"/>
        <v>-76.301300912375268</v>
      </c>
      <c r="AH40" s="623">
        <f t="shared" si="92"/>
        <v>118.44467196599638</v>
      </c>
      <c r="AI40" s="624">
        <f t="shared" si="93"/>
        <v>-77.981526912055941</v>
      </c>
      <c r="AJ40" s="625">
        <f t="shared" si="94"/>
        <v>-29.142563510633646</v>
      </c>
      <c r="AK40" s="4">
        <f t="shared" si="213"/>
        <v>0.9596267073543524</v>
      </c>
      <c r="AL40" s="5">
        <f t="shared" si="95"/>
        <v>-0.18909806427248149</v>
      </c>
      <c r="AM40" s="6">
        <f t="shared" si="96"/>
        <v>-0.20822705064579078</v>
      </c>
      <c r="AN40" s="612">
        <f t="shared" si="97"/>
        <v>-42.243656361863756</v>
      </c>
      <c r="AO40" s="613">
        <f t="shared" si="98"/>
        <v>16.3364169933642</v>
      </c>
      <c r="AP40" s="624">
        <f t="shared" si="99"/>
        <v>-11.14752712561857</v>
      </c>
      <c r="AQ40" s="625">
        <f t="shared" si="9"/>
        <v>2.7966834549497617</v>
      </c>
      <c r="AS40" s="56">
        <f t="shared" si="119"/>
        <v>-107.99003638573697</v>
      </c>
      <c r="AT40" s="77">
        <f t="shared" si="10"/>
        <v>4.2380145912686851E-2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3.1280000000000001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7"/>
        <v/>
      </c>
      <c r="IK40" s="839" t="str">
        <f t="shared" si="68"/>
        <v/>
      </c>
      <c r="IL40" s="791" t="str">
        <f t="shared" si="227"/>
        <v/>
      </c>
      <c r="IM40" s="830"/>
      <c r="IN40" s="5" t="str">
        <f t="shared" si="228"/>
        <v/>
      </c>
      <c r="IO40" s="852"/>
      <c r="IP40" s="9" t="str">
        <f t="shared" si="229"/>
        <v/>
      </c>
      <c r="IQ40" s="5" t="str">
        <f t="shared" si="230"/>
        <v/>
      </c>
      <c r="IR40" s="5" t="str">
        <f t="shared" si="73"/>
        <v/>
      </c>
      <c r="IS40" s="5" t="str">
        <f t="shared" si="231"/>
        <v/>
      </c>
      <c r="IT40" s="791" t="str">
        <f t="shared" si="232"/>
        <v/>
      </c>
      <c r="IU40" s="9" t="str">
        <f t="shared" si="233"/>
        <v/>
      </c>
      <c r="IV40" s="5" t="str">
        <f t="shared" si="234"/>
        <v/>
      </c>
      <c r="IW40" s="5" t="str">
        <f t="shared" si="78"/>
        <v/>
      </c>
      <c r="IX40" s="5" t="str">
        <f t="shared" si="235"/>
        <v/>
      </c>
      <c r="IY40" s="833" t="str">
        <f t="shared" si="236"/>
        <v/>
      </c>
    </row>
    <row r="41" spans="1:259" ht="15" customHeight="1" x14ac:dyDescent="0.25">
      <c r="A41" s="84">
        <f t="shared" si="81"/>
        <v>0.02</v>
      </c>
      <c r="B41" s="770">
        <v>4.7646834185086204</v>
      </c>
      <c r="C41" s="771">
        <v>-1.63503631350707</v>
      </c>
      <c r="D41" s="772">
        <v>-0.81180244839618443</v>
      </c>
      <c r="E41" s="773">
        <v>0.55989555897859322</v>
      </c>
      <c r="F41" s="771">
        <v>0.8087703255324642</v>
      </c>
      <c r="G41" s="774">
        <v>0.18002089760403026</v>
      </c>
      <c r="H41" s="773">
        <v>0.314</v>
      </c>
      <c r="I41" s="771">
        <v>0.52</v>
      </c>
      <c r="J41" s="601">
        <v>3.1349999999999998</v>
      </c>
      <c r="K41" s="426" t="str">
        <f t="shared" si="82"/>
        <v>1613</v>
      </c>
      <c r="L41" s="327"/>
      <c r="M41" s="173">
        <f t="shared" ref="M41:M72" si="241">IF(J41="","",VALUE(J41))</f>
        <v>3.1349999999999998</v>
      </c>
      <c r="N41" s="21">
        <f t="shared" ref="N41:N72" si="242">IF(M41="","",B41)</f>
        <v>4.7646834185086204</v>
      </c>
      <c r="O41" s="5">
        <f t="shared" ref="O41:O72" si="243">IF(M41="","",C41)</f>
        <v>-1.63503631350707</v>
      </c>
      <c r="P41" s="10">
        <f t="shared" ref="P41:P72" si="244">IF(M41="","",D41)</f>
        <v>-0.81180244839618443</v>
      </c>
      <c r="Q41" s="624">
        <f t="shared" si="116"/>
        <v>341.05996375142604</v>
      </c>
      <c r="R41" s="5">
        <f t="shared" si="83"/>
        <v>5.0374151928442217</v>
      </c>
      <c r="S41" s="6">
        <f t="shared" si="84"/>
        <v>-0.81180244839618443</v>
      </c>
      <c r="T41" s="4">
        <f t="shared" si="85"/>
        <v>-1.6346205102745375</v>
      </c>
      <c r="U41" s="5">
        <f t="shared" si="86"/>
        <v>-4.7648260841805756</v>
      </c>
      <c r="V41" s="8">
        <f t="shared" si="117"/>
        <v>-0.81180244839618443</v>
      </c>
      <c r="W41" s="624">
        <f t="shared" si="226"/>
        <v>251.06496375070412</v>
      </c>
      <c r="X41" s="5">
        <f t="shared" si="87"/>
        <v>5.0374151928442217</v>
      </c>
      <c r="Y41" s="7">
        <f t="shared" si="225"/>
        <v>-0.81180244839618443</v>
      </c>
      <c r="Z41" s="21">
        <f t="shared" ref="Z41:Z72" si="245">IF(M41="","",-E41)</f>
        <v>-0.55989555897859322</v>
      </c>
      <c r="AA41" s="5">
        <f t="shared" ref="AA41:AA72" si="246">IF(M41="","",-F41)</f>
        <v>-0.8087703255324642</v>
      </c>
      <c r="AB41" s="5">
        <f t="shared" ref="AB41:AB72" si="247">IF(M41="","",-G41)</f>
        <v>-0.18002089760403026</v>
      </c>
      <c r="AC41" s="8">
        <f t="shared" si="88"/>
        <v>1</v>
      </c>
      <c r="AD41" s="9">
        <f t="shared" si="118"/>
        <v>-0.55989555897859322</v>
      </c>
      <c r="AE41" s="5">
        <f t="shared" si="89"/>
        <v>-0.8087703255324642</v>
      </c>
      <c r="AF41" s="10">
        <f t="shared" si="90"/>
        <v>-0.18002089760403026</v>
      </c>
      <c r="AG41" s="622">
        <f t="shared" si="91"/>
        <v>-77.451335384086377</v>
      </c>
      <c r="AH41" s="623">
        <f t="shared" si="92"/>
        <v>124.04857525829161</v>
      </c>
      <c r="AI41" s="624">
        <f t="shared" si="93"/>
        <v>-79.62902296621786</v>
      </c>
      <c r="AJ41" s="625">
        <f t="shared" si="94"/>
        <v>-34.694082761113883</v>
      </c>
      <c r="AK41" s="4">
        <f t="shared" si="213"/>
        <v>0.946712539582236</v>
      </c>
      <c r="AL41" s="5">
        <f t="shared" si="95"/>
        <v>-0.26707273133660192</v>
      </c>
      <c r="AM41" s="6">
        <f t="shared" si="96"/>
        <v>-0.18002089760403026</v>
      </c>
      <c r="AN41" s="612">
        <f t="shared" si="97"/>
        <v>-56.017982882796446</v>
      </c>
      <c r="AO41" s="613">
        <f t="shared" si="98"/>
        <v>18.788746265345882</v>
      </c>
      <c r="AP41" s="624">
        <f t="shared" si="99"/>
        <v>-15.754046512539901</v>
      </c>
      <c r="AQ41" s="625">
        <f t="shared" ref="AQ41:AQ72" si="248">IF(M41="","",DEGREES(ATAN(($AS$5*SIN(RADIANS(90)))/(($X41*2*PI())-($AS$5*COS(RADIANS(90)))))))</f>
        <v>2.4604064612989003</v>
      </c>
      <c r="AS41" s="56">
        <f t="shared" si="119"/>
        <v>-108.93503624929588</v>
      </c>
      <c r="AT41" s="77">
        <f t="shared" ref="AT41:AT72" si="249">IF(M41="","",Y41+(((AS41-$AS$9)*$AS$6)*-1))</f>
        <v>-0.40025120034601613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3.1349999999999998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5">IF(ISNUMBER($II41),INDEX($K$9:$K$150,MATCH($II41,$M$9:$M$150,0)),"")</f>
        <v/>
      </c>
      <c r="IK41" s="839" t="str">
        <f t="shared" ref="IK41:IK72" si="386">IF(ISNUMBER($II41),INDEX($K$9:$K$150,MATCH($IG41,$M$9:$M$150,0)),"")</f>
        <v/>
      </c>
      <c r="IL41" s="791" t="str">
        <f t="shared" si="227"/>
        <v/>
      </c>
      <c r="IM41" s="830"/>
      <c r="IN41" s="5" t="str">
        <f t="shared" si="228"/>
        <v/>
      </c>
      <c r="IO41" s="852"/>
      <c r="IP41" s="9" t="str">
        <f t="shared" si="229"/>
        <v/>
      </c>
      <c r="IQ41" s="5" t="str">
        <f t="shared" si="230"/>
        <v/>
      </c>
      <c r="IR41" s="5" t="str">
        <f t="shared" ref="IR41:IR72" si="387">IF(ISNUMBER($II41),INDEX($H$9:$H$150,MATCH($II41,$M$9:$M$150,0)),"")</f>
        <v/>
      </c>
      <c r="IS41" s="5" t="str">
        <f t="shared" si="231"/>
        <v/>
      </c>
      <c r="IT41" s="791" t="str">
        <f t="shared" si="232"/>
        <v/>
      </c>
      <c r="IU41" s="9" t="str">
        <f t="shared" si="233"/>
        <v/>
      </c>
      <c r="IV41" s="5" t="str">
        <f t="shared" si="234"/>
        <v/>
      </c>
      <c r="IW41" s="5" t="str">
        <f t="shared" ref="IW41:IW72" si="388">IF(ISNUMBER($II41),$H41,"")</f>
        <v/>
      </c>
      <c r="IX41" s="5" t="str">
        <f t="shared" si="235"/>
        <v/>
      </c>
      <c r="IY41" s="833" t="str">
        <f t="shared" si="236"/>
        <v/>
      </c>
    </row>
    <row r="42" spans="1:259" ht="15" customHeight="1" x14ac:dyDescent="0.25">
      <c r="A42" s="84">
        <f t="shared" si="81"/>
        <v>0.02</v>
      </c>
      <c r="B42" s="770">
        <v>5.1669715354282495</v>
      </c>
      <c r="C42" s="771">
        <v>-1.8489282442267672</v>
      </c>
      <c r="D42" s="772">
        <v>-1.4159042703672795</v>
      </c>
      <c r="E42" s="773">
        <v>0.62861513021084725</v>
      </c>
      <c r="F42" s="771">
        <v>0.76623117057266277</v>
      </c>
      <c r="G42" s="774">
        <v>0.13316460232676963</v>
      </c>
      <c r="H42" s="773">
        <v>0.314</v>
      </c>
      <c r="I42" s="771">
        <v>0.52</v>
      </c>
      <c r="J42" s="601">
        <v>3.1419999999999999</v>
      </c>
      <c r="K42" s="426" t="str">
        <f t="shared" si="82"/>
        <v>1613</v>
      </c>
      <c r="L42" s="327"/>
      <c r="M42" s="173">
        <f t="shared" si="241"/>
        <v>3.1419999999999999</v>
      </c>
      <c r="N42" s="21">
        <f t="shared" si="242"/>
        <v>5.1669715354282495</v>
      </c>
      <c r="O42" s="5">
        <f t="shared" si="243"/>
        <v>-1.8489282442267672</v>
      </c>
      <c r="P42" s="10">
        <f t="shared" si="244"/>
        <v>-1.4159042703672795</v>
      </c>
      <c r="Q42" s="624">
        <f t="shared" si="116"/>
        <v>340.31096385956829</v>
      </c>
      <c r="R42" s="5">
        <f t="shared" ref="R42:R47" si="389">IF(M42="","",SQRT(N42^2+O42^2))</f>
        <v>5.4878165512547188</v>
      </c>
      <c r="S42" s="6">
        <f t="shared" ref="S42:S47" si="390">IF(M42="","",P42)</f>
        <v>-1.4159042703672795</v>
      </c>
      <c r="T42" s="4">
        <f t="shared" ref="T42:T47" si="391">IF(M42="","",X42*COS(RADIANS(W42)))</f>
        <v>-1.8484773339239946</v>
      </c>
      <c r="U42" s="5">
        <f t="shared" ref="U42:U47" si="392">IF(M42="","",X42*SIN(RADIANS(W42)))</f>
        <v>-5.1671328651578596</v>
      </c>
      <c r="V42" s="8">
        <f t="shared" ref="V42:V47" si="393">IF(M42="","",Y42)</f>
        <v>-1.4159042703672795</v>
      </c>
      <c r="W42" s="624">
        <f t="shared" si="226"/>
        <v>250.31596385884637</v>
      </c>
      <c r="X42" s="5">
        <f t="shared" ref="X42:X47" si="394">IF(M42="","",R42)</f>
        <v>5.4878165512547188</v>
      </c>
      <c r="Y42" s="7">
        <f t="shared" si="225"/>
        <v>-1.4159042703672795</v>
      </c>
      <c r="Z42" s="21">
        <f t="shared" si="245"/>
        <v>-0.62861513021084725</v>
      </c>
      <c r="AA42" s="5">
        <f t="shared" si="246"/>
        <v>-0.76623117057266277</v>
      </c>
      <c r="AB42" s="5">
        <f t="shared" si="247"/>
        <v>-0.13316460232676963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-0.62861513021084725</v>
      </c>
      <c r="AE42" s="5">
        <f t="shared" ref="AE42:AE47" si="397">IF(M42="","",AA42*(1/SQRT(Z42^2+AA42^2+AB42^2)))</f>
        <v>-0.76623117057266277</v>
      </c>
      <c r="AF42" s="10">
        <f t="shared" ref="AF42:AF47" si="398">IF(M42="","",AB42*(1/SQRT(Z42^2+AA42^2+AB42^2)))</f>
        <v>-0.13316460232676963</v>
      </c>
      <c r="AG42" s="622">
        <f t="shared" ref="AG42:AG47" si="399">IF(M42="","",DEGREES(ATAN2(-AF42,AE42)))</f>
        <v>-80.140942672901261</v>
      </c>
      <c r="AH42" s="623">
        <f t="shared" ref="AH42:AH47" si="400">IF(M42="","",DEGREES(ACOS(AD42)))</f>
        <v>128.94802309953943</v>
      </c>
      <c r="AI42" s="624">
        <f t="shared" ref="AI42:AI47" si="401">IF(M42="","",DEGREES(-ACOS(-AF42)))</f>
        <v>-82.347498899144554</v>
      </c>
      <c r="AJ42" s="625">
        <f t="shared" ref="AJ42:AJ47" si="402">IF(M42="","",DEGREES(ATAN2(-AE42,AD42)))</f>
        <v>-39.365412570854183</v>
      </c>
      <c r="AK42" s="4">
        <f t="shared" ref="AK42:AK47" si="403">IF(M42="","",(COS(RADIANS((90-$Q$8)-W42))*AD42)+(-SIN(RADIANS((90-$Q$8)-W42))*AE42))</f>
        <v>0.93322341755957672</v>
      </c>
      <c r="AL42" s="5">
        <f t="shared" ref="AL42:AL47" si="404">IF(M42="","",(SIN(RADIANS((90-$Q$8)-W42))*AD42)+(COS(RADIANS((90-$Q$8)-W42))*AE42))</f>
        <v>-0.33370831815460855</v>
      </c>
      <c r="AM42" s="6">
        <f t="shared" ref="AM42:AM47" si="405">IF(M42="","",AF42)</f>
        <v>-0.13316460232676963</v>
      </c>
      <c r="AN42" s="612">
        <f t="shared" ref="AN42:AN47" si="406">IF(M42="","",DEGREES(ATAN2(-AM42,AL42)))</f>
        <v>-68.245781234390591</v>
      </c>
      <c r="AO42" s="613">
        <f t="shared" si="98"/>
        <v>21.057004636654277</v>
      </c>
      <c r="AP42" s="624">
        <f t="shared" ref="AP42:AP47" si="407">IF(M42="","",DEGREES(ATAN2(AK42,AL42)))</f>
        <v>-19.676376430422451</v>
      </c>
      <c r="AQ42" s="625">
        <f t="shared" si="248"/>
        <v>2.2586920947559421</v>
      </c>
      <c r="AS42" s="56">
        <f t="shared" si="119"/>
        <v>-109.68403614115363</v>
      </c>
      <c r="AT42" s="77">
        <f t="shared" si="249"/>
        <v>-1.001523467170093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3.1419999999999999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/>
      <c r="IN42" s="5" t="str">
        <f t="shared" si="228"/>
        <v/>
      </c>
      <c r="IO42" s="852"/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0.02</v>
      </c>
      <c r="B43" s="770">
        <v>5.41098525782993</v>
      </c>
      <c r="C43" s="771">
        <v>-1.9871068055466459</v>
      </c>
      <c r="D43" s="772">
        <v>-2.1173063857960597</v>
      </c>
      <c r="E43" s="773">
        <v>0.7178514821289057</v>
      </c>
      <c r="F43" s="771">
        <v>0.68740434930388417</v>
      </c>
      <c r="G43" s="774">
        <v>0.11029283822369007</v>
      </c>
      <c r="H43" s="773">
        <v>0.314</v>
      </c>
      <c r="I43" s="771">
        <v>0.52</v>
      </c>
      <c r="J43" s="601">
        <v>3.149</v>
      </c>
      <c r="K43" s="426" t="str">
        <f t="shared" si="82"/>
        <v>1613</v>
      </c>
      <c r="L43" s="327"/>
      <c r="M43" s="173">
        <f t="shared" si="241"/>
        <v>3.149</v>
      </c>
      <c r="N43" s="21">
        <f t="shared" si="242"/>
        <v>5.41098525782993</v>
      </c>
      <c r="O43" s="5">
        <f t="shared" si="243"/>
        <v>-1.9871068055466459</v>
      </c>
      <c r="P43" s="10">
        <f t="shared" si="244"/>
        <v>-2.1173063857960597</v>
      </c>
      <c r="Q43" s="624">
        <f t="shared" si="116"/>
        <v>339.83496392829414</v>
      </c>
      <c r="R43" s="5">
        <f t="shared" si="389"/>
        <v>5.7643173851812346</v>
      </c>
      <c r="S43" s="6">
        <f t="shared" si="390"/>
        <v>-2.1173063857960597</v>
      </c>
      <c r="T43" s="4">
        <f t="shared" si="391"/>
        <v>-1.9866346005064537</v>
      </c>
      <c r="U43" s="5">
        <f t="shared" si="392"/>
        <v>-5.4111586449829012</v>
      </c>
      <c r="V43" s="8">
        <f t="shared" si="393"/>
        <v>-2.1173063857960597</v>
      </c>
      <c r="W43" s="624">
        <f t="shared" si="226"/>
        <v>249.83996392757223</v>
      </c>
      <c r="X43" s="5">
        <f t="shared" si="394"/>
        <v>5.7643173851812346</v>
      </c>
      <c r="Y43" s="7">
        <f t="shared" si="225"/>
        <v>-2.1173063857960597</v>
      </c>
      <c r="Z43" s="21">
        <f t="shared" si="245"/>
        <v>-0.7178514821289057</v>
      </c>
      <c r="AA43" s="5">
        <f t="shared" si="246"/>
        <v>-0.68740434930388417</v>
      </c>
      <c r="AB43" s="5">
        <f t="shared" si="247"/>
        <v>-0.11029283822369007</v>
      </c>
      <c r="AC43" s="8">
        <f t="shared" si="395"/>
        <v>1</v>
      </c>
      <c r="AD43" s="9">
        <f t="shared" si="396"/>
        <v>-0.7178514821289057</v>
      </c>
      <c r="AE43" s="5">
        <f t="shared" si="397"/>
        <v>-0.68740434930388417</v>
      </c>
      <c r="AF43" s="10">
        <f t="shared" si="398"/>
        <v>-0.11029283822369007</v>
      </c>
      <c r="AG43" s="622">
        <f t="shared" si="399"/>
        <v>-80.884681984177789</v>
      </c>
      <c r="AH43" s="623">
        <f t="shared" si="400"/>
        <v>135.87737853141593</v>
      </c>
      <c r="AI43" s="624">
        <f t="shared" si="401"/>
        <v>-83.667803321006886</v>
      </c>
      <c r="AJ43" s="625">
        <f t="shared" si="402"/>
        <v>-46.24121122122326</v>
      </c>
      <c r="AK43" s="4">
        <f t="shared" si="403"/>
        <v>0.89273057361323549</v>
      </c>
      <c r="AL43" s="5">
        <f t="shared" si="404"/>
        <v>-0.43688398090654057</v>
      </c>
      <c r="AM43" s="6">
        <f t="shared" si="405"/>
        <v>-0.11029283822369007</v>
      </c>
      <c r="AN43" s="612">
        <f t="shared" si="406"/>
        <v>-75.831533428902773</v>
      </c>
      <c r="AO43" s="613">
        <f t="shared" si="98"/>
        <v>26.781599222516185</v>
      </c>
      <c r="AP43" s="624">
        <f t="shared" si="407"/>
        <v>-26.076175149517386</v>
      </c>
      <c r="AQ43" s="625">
        <f t="shared" si="248"/>
        <v>2.1504521919645505</v>
      </c>
      <c r="AS43" s="56">
        <f t="shared" ref="AS43:AS74" si="410">IF(G43="","",IF(AND(W43&lt;(AS42+180),W43&gt;(AS42-180)),W43,IF(W43&gt;(AS42+180),W43-360,IF(W43&lt;(AS42-180),W43+360,"Error"))))</f>
        <v>-110.16003607242777</v>
      </c>
      <c r="AT43" s="77">
        <f t="shared" si="249"/>
        <v>-1.701127360636282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3.149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/>
      <c r="IN43" s="5" t="str">
        <f t="shared" si="228"/>
        <v/>
      </c>
      <c r="IO43" s="852"/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0.02</v>
      </c>
      <c r="B44" s="770">
        <v>5.494720586430188</v>
      </c>
      <c r="C44" s="771">
        <v>-2.0360522685642812</v>
      </c>
      <c r="D44" s="772">
        <v>-2.8651086411676618</v>
      </c>
      <c r="E44" s="773">
        <v>0.78436523992494822</v>
      </c>
      <c r="F44" s="771">
        <v>0.61843336028629714</v>
      </c>
      <c r="G44" s="774">
        <v>4.8076494074313997E-2</v>
      </c>
      <c r="H44" s="773">
        <v>0.314</v>
      </c>
      <c r="I44" s="771">
        <v>0.52</v>
      </c>
      <c r="J44" s="601">
        <v>3.1560000000000001</v>
      </c>
      <c r="K44" s="426" t="str">
        <f t="shared" si="82"/>
        <v>1613</v>
      </c>
      <c r="L44" s="327"/>
      <c r="M44" s="173">
        <f t="shared" si="241"/>
        <v>3.1560000000000001</v>
      </c>
      <c r="N44" s="21">
        <f t="shared" si="242"/>
        <v>5.494720586430188</v>
      </c>
      <c r="O44" s="5">
        <f t="shared" si="243"/>
        <v>-2.0360522685642812</v>
      </c>
      <c r="P44" s="10">
        <f t="shared" si="244"/>
        <v>-2.8651086411676618</v>
      </c>
      <c r="Q44" s="624">
        <f t="shared" si="116"/>
        <v>339.66796395240596</v>
      </c>
      <c r="R44" s="5">
        <f t="shared" si="389"/>
        <v>5.8598176732101024</v>
      </c>
      <c r="S44" s="6">
        <f t="shared" si="390"/>
        <v>-2.8651086411676618</v>
      </c>
      <c r="T44" s="4">
        <f t="shared" si="391"/>
        <v>-2.0355727560528645</v>
      </c>
      <c r="U44" s="5">
        <f t="shared" si="392"/>
        <v>-5.4948982445611136</v>
      </c>
      <c r="V44" s="8">
        <f t="shared" si="393"/>
        <v>-2.8651086411676618</v>
      </c>
      <c r="W44" s="624">
        <f t="shared" si="226"/>
        <v>249.67296395168404</v>
      </c>
      <c r="X44" s="5">
        <f t="shared" si="394"/>
        <v>5.8598176732101024</v>
      </c>
      <c r="Y44" s="7">
        <f t="shared" si="225"/>
        <v>-2.8651086411676618</v>
      </c>
      <c r="Z44" s="21">
        <f t="shared" si="245"/>
        <v>-0.78436523992494822</v>
      </c>
      <c r="AA44" s="5">
        <f t="shared" si="246"/>
        <v>-0.61843336028629714</v>
      </c>
      <c r="AB44" s="5">
        <f t="shared" si="247"/>
        <v>-4.8076494074313997E-2</v>
      </c>
      <c r="AC44" s="8">
        <f t="shared" si="395"/>
        <v>1</v>
      </c>
      <c r="AD44" s="9">
        <f t="shared" si="396"/>
        <v>-0.78436523992494822</v>
      </c>
      <c r="AE44" s="5">
        <f t="shared" si="397"/>
        <v>-0.61843336028629714</v>
      </c>
      <c r="AF44" s="10">
        <f t="shared" si="398"/>
        <v>-4.8076494074313997E-2</v>
      </c>
      <c r="AG44" s="622">
        <f t="shared" si="399"/>
        <v>-85.554814107257329</v>
      </c>
      <c r="AH44" s="623">
        <f t="shared" si="400"/>
        <v>141.6620087731695</v>
      </c>
      <c r="AI44" s="624">
        <f t="shared" si="401"/>
        <v>-87.244357557713599</v>
      </c>
      <c r="AJ44" s="625">
        <f t="shared" si="402"/>
        <v>-51.745960883298963</v>
      </c>
      <c r="AK44" s="4">
        <f t="shared" si="403"/>
        <v>0.85243729767722654</v>
      </c>
      <c r="AL44" s="5">
        <f t="shared" si="404"/>
        <v>-0.52061435270867262</v>
      </c>
      <c r="AM44" s="6">
        <f t="shared" si="405"/>
        <v>-4.8076494074313997E-2</v>
      </c>
      <c r="AN44" s="612">
        <f t="shared" si="406"/>
        <v>-84.723945069228037</v>
      </c>
      <c r="AO44" s="613">
        <f t="shared" si="98"/>
        <v>31.522238768824256</v>
      </c>
      <c r="AP44" s="624">
        <f t="shared" si="407"/>
        <v>-31.413924835704901</v>
      </c>
      <c r="AQ44" s="625">
        <f t="shared" si="248"/>
        <v>2.1154373356217491</v>
      </c>
      <c r="AS44" s="56">
        <f t="shared" si="410"/>
        <v>-110.32703604831596</v>
      </c>
      <c r="AT44" s="77">
        <f t="shared" si="249"/>
        <v>-2.4482987272100845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3.1560000000000001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5.5634377530262098</v>
      </c>
      <c r="C45" s="771">
        <v>-2.0767685584097704</v>
      </c>
      <c r="D45" s="772">
        <v>-3.5746107810261156</v>
      </c>
      <c r="E45" s="773">
        <v>0.82382981248824527</v>
      </c>
      <c r="F45" s="771">
        <v>0.56683722536153691</v>
      </c>
      <c r="G45" s="774">
        <v>1.3008419185959158E-7</v>
      </c>
      <c r="H45" s="773">
        <v>0.26600000000000001</v>
      </c>
      <c r="I45" s="771">
        <v>0.52</v>
      </c>
      <c r="J45" s="601">
        <v>3.1629999999999998</v>
      </c>
      <c r="K45" s="426" t="str">
        <f t="shared" si="82"/>
        <v>1313</v>
      </c>
      <c r="L45" s="327"/>
      <c r="M45" s="173">
        <f t="shared" si="241"/>
        <v>3.1629999999999998</v>
      </c>
      <c r="N45" s="21">
        <f t="shared" si="242"/>
        <v>5.5634377530262098</v>
      </c>
      <c r="O45" s="5">
        <f t="shared" si="243"/>
        <v>-2.0767685584097704</v>
      </c>
      <c r="P45" s="10">
        <f t="shared" si="244"/>
        <v>-3.5746107810261156</v>
      </c>
      <c r="Q45" s="624">
        <f t="shared" si="116"/>
        <v>339.52996397233073</v>
      </c>
      <c r="R45" s="5">
        <f t="shared" si="389"/>
        <v>5.9384179102684174</v>
      </c>
      <c r="S45" s="6">
        <f t="shared" si="390"/>
        <v>-3.5746107810261156</v>
      </c>
      <c r="T45" s="4">
        <f t="shared" si="391"/>
        <v>-2.0762830490401361</v>
      </c>
      <c r="U45" s="5">
        <f t="shared" si="392"/>
        <v>-5.5636189640615497</v>
      </c>
      <c r="V45" s="8">
        <f t="shared" si="393"/>
        <v>-3.5746107810261156</v>
      </c>
      <c r="W45" s="624">
        <f t="shared" si="226"/>
        <v>249.53496397160882</v>
      </c>
      <c r="X45" s="5">
        <f t="shared" si="394"/>
        <v>5.9384179102684174</v>
      </c>
      <c r="Y45" s="7">
        <f t="shared" si="225"/>
        <v>-3.5746107810261156</v>
      </c>
      <c r="Z45" s="21">
        <f t="shared" si="245"/>
        <v>-0.82382981248824527</v>
      </c>
      <c r="AA45" s="5">
        <f t="shared" si="246"/>
        <v>-0.56683722536153691</v>
      </c>
      <c r="AB45" s="5">
        <f t="shared" si="247"/>
        <v>-1.3008419185959158E-7</v>
      </c>
      <c r="AC45" s="8">
        <f t="shared" si="395"/>
        <v>1</v>
      </c>
      <c r="AD45" s="9">
        <f t="shared" si="396"/>
        <v>-0.82382981248824527</v>
      </c>
      <c r="AE45" s="5">
        <f t="shared" si="397"/>
        <v>-0.56683722536153691</v>
      </c>
      <c r="AF45" s="10">
        <f t="shared" si="398"/>
        <v>-1.3008419185959158E-7</v>
      </c>
      <c r="AG45" s="622">
        <f t="shared" si="399"/>
        <v>-89.99998685111909</v>
      </c>
      <c r="AH45" s="623">
        <f t="shared" si="400"/>
        <v>145.47003097429385</v>
      </c>
      <c r="AI45" s="624">
        <f t="shared" si="401"/>
        <v>-89.999992546724826</v>
      </c>
      <c r="AJ45" s="625">
        <f t="shared" si="402"/>
        <v>-55.470030974294552</v>
      </c>
      <c r="AK45" s="4">
        <f t="shared" si="403"/>
        <v>0.81915209487729168</v>
      </c>
      <c r="AL45" s="5">
        <f t="shared" si="404"/>
        <v>-0.57357636410344515</v>
      </c>
      <c r="AM45" s="6">
        <f t="shared" si="405"/>
        <v>-1.3008419185959158E-7</v>
      </c>
      <c r="AN45" s="612">
        <f t="shared" si="406"/>
        <v>-89.99998700560964</v>
      </c>
      <c r="AO45" s="613">
        <f t="shared" si="98"/>
        <v>34.999994946625982</v>
      </c>
      <c r="AP45" s="624">
        <f t="shared" si="407"/>
        <v>-34.9999949466253</v>
      </c>
      <c r="AQ45" s="625">
        <f t="shared" si="248"/>
        <v>2.087462579638407</v>
      </c>
      <c r="AS45" s="56">
        <f t="shared" si="410"/>
        <v>-110.46503602839118</v>
      </c>
      <c r="AT45" s="77">
        <f t="shared" si="249"/>
        <v>-3.1572795338104762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3.1629999999999998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3.8516777209047803</v>
      </c>
      <c r="C46" s="771">
        <v>-2.2296002188577355</v>
      </c>
      <c r="D46" s="772">
        <v>-0.32003125606281951</v>
      </c>
      <c r="E46" s="773">
        <v>0.65903151226414081</v>
      </c>
      <c r="F46" s="771">
        <v>0.65888183730994621</v>
      </c>
      <c r="G46" s="774">
        <v>0.36270124111437668</v>
      </c>
      <c r="H46" s="773">
        <v>0.26600000000000001</v>
      </c>
      <c r="I46" s="771">
        <v>0.52</v>
      </c>
      <c r="J46" s="601">
        <v>3.2280000000000002</v>
      </c>
      <c r="K46" s="426" t="str">
        <f t="shared" si="82"/>
        <v>1313</v>
      </c>
      <c r="L46" s="327"/>
      <c r="M46" s="173">
        <f t="shared" si="241"/>
        <v>3.2280000000000002</v>
      </c>
      <c r="N46" s="21">
        <f t="shared" si="242"/>
        <v>3.8516777209047803</v>
      </c>
      <c r="O46" s="5">
        <f t="shared" si="243"/>
        <v>-2.2296002188577355</v>
      </c>
      <c r="P46" s="10">
        <f t="shared" si="244"/>
        <v>-0.32003125606281951</v>
      </c>
      <c r="Q46" s="624">
        <f t="shared" si="116"/>
        <v>329.93496535767713</v>
      </c>
      <c r="R46" s="5">
        <f t="shared" si="389"/>
        <v>4.4504537298622378</v>
      </c>
      <c r="S46" s="6">
        <f t="shared" si="390"/>
        <v>-0.32003125606281951</v>
      </c>
      <c r="T46" s="4">
        <f t="shared" si="391"/>
        <v>-2.2292640881272292</v>
      </c>
      <c r="U46" s="5">
        <f t="shared" si="392"/>
        <v>-3.8518722755344545</v>
      </c>
      <c r="V46" s="8">
        <f t="shared" si="393"/>
        <v>-0.32003125606281951</v>
      </c>
      <c r="W46" s="624">
        <f t="shared" si="226"/>
        <v>239.93996535695521</v>
      </c>
      <c r="X46" s="5">
        <f t="shared" si="394"/>
        <v>4.4504537298622378</v>
      </c>
      <c r="Y46" s="7">
        <f t="shared" si="225"/>
        <v>-0.32003125606281951</v>
      </c>
      <c r="Z46" s="21">
        <f t="shared" si="245"/>
        <v>-0.65903151226414081</v>
      </c>
      <c r="AA46" s="5">
        <f t="shared" si="246"/>
        <v>-0.65888183730994621</v>
      </c>
      <c r="AB46" s="5">
        <f t="shared" si="247"/>
        <v>-0.36270124111437668</v>
      </c>
      <c r="AC46" s="8">
        <f t="shared" si="395"/>
        <v>1</v>
      </c>
      <c r="AD46" s="9">
        <f t="shared" si="396"/>
        <v>-0.65903151226414081</v>
      </c>
      <c r="AE46" s="5">
        <f t="shared" si="397"/>
        <v>-0.65888183730994621</v>
      </c>
      <c r="AF46" s="10">
        <f t="shared" si="398"/>
        <v>-0.36270124111437668</v>
      </c>
      <c r="AG46" s="622">
        <f t="shared" si="399"/>
        <v>-61.168097958840576</v>
      </c>
      <c r="AH46" s="623">
        <f t="shared" si="400"/>
        <v>131.22605217694755</v>
      </c>
      <c r="AI46" s="624">
        <f t="shared" si="401"/>
        <v>-68.733818548947312</v>
      </c>
      <c r="AJ46" s="625">
        <f t="shared" si="402"/>
        <v>-45.006507061439258</v>
      </c>
      <c r="AK46" s="4">
        <f t="shared" si="403"/>
        <v>0.90039747420940852</v>
      </c>
      <c r="AL46" s="5">
        <f t="shared" si="404"/>
        <v>-0.24027525492944202</v>
      </c>
      <c r="AM46" s="6">
        <f t="shared" si="405"/>
        <v>-0.36270124111437668</v>
      </c>
      <c r="AN46" s="612">
        <f t="shared" si="406"/>
        <v>-33.522901401188378</v>
      </c>
      <c r="AO46" s="613">
        <f t="shared" si="98"/>
        <v>25.789637269882316</v>
      </c>
      <c r="AP46" s="624">
        <f t="shared" si="407"/>
        <v>-14.941472419116387</v>
      </c>
      <c r="AQ46" s="625">
        <f t="shared" si="248"/>
        <v>2.7844235749909392</v>
      </c>
      <c r="AS46" s="56">
        <f t="shared" si="410"/>
        <v>-120.06003464304479</v>
      </c>
      <c r="AT46" s="77">
        <f t="shared" si="249"/>
        <v>0.13354776369706689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>
        <f>IFERROR(IF($IU46="","",IF($IU46&lt;(((Settings!$C$19/2)*-1)*$IE$8),"",1)),"")</f>
        <v>1</v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3.2280000000000002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3.1280000000000001</v>
      </c>
      <c r="II46" s="800" cm="1">
        <f t="array" ref="II46">IFERROR(IF($IH46&lt;1,$IH46+LARGE((IF($M$9:$M$150="",0,$M$9:$M$150)-MOD(IF($M$9:$M$150="",0,$M$9:$M$150),1)),1),$IH46),"")</f>
        <v>3.1280000000000001</v>
      </c>
      <c r="IJ46" s="839" t="str">
        <f t="shared" si="385"/>
        <v>1613</v>
      </c>
      <c r="IK46" s="839" t="str">
        <f t="shared" si="386"/>
        <v>1313</v>
      </c>
      <c r="IL46" s="791">
        <f t="shared" si="227"/>
        <v>12.069998257307816</v>
      </c>
      <c r="IM46" s="830">
        <v>1.2619108231569099E-2</v>
      </c>
      <c r="IN46" s="5">
        <f t="shared" si="228"/>
        <v>0.34</v>
      </c>
      <c r="IO46" s="852">
        <v>170</v>
      </c>
      <c r="IP46" s="9">
        <f t="shared" si="229"/>
        <v>-4.4309133636347058</v>
      </c>
      <c r="IQ46" s="5">
        <f t="shared" si="230"/>
        <v>-0.36560110265292561</v>
      </c>
      <c r="IR46" s="5">
        <f t="shared" si="387"/>
        <v>0.314</v>
      </c>
      <c r="IS46" s="5">
        <f t="shared" si="231"/>
        <v>0.30132278610926666</v>
      </c>
      <c r="IT46" s="791">
        <f t="shared" si="232"/>
        <v>42.243656361863756</v>
      </c>
      <c r="IU46" s="9">
        <f t="shared" si="233"/>
        <v>-4.4504537298622378</v>
      </c>
      <c r="IV46" s="5">
        <f t="shared" si="234"/>
        <v>-0.32003125606281951</v>
      </c>
      <c r="IW46" s="5">
        <f t="shared" si="388"/>
        <v>0.26600000000000001</v>
      </c>
      <c r="IX46" s="5">
        <f t="shared" si="235"/>
        <v>0.23950572813970267</v>
      </c>
      <c r="IY46" s="833">
        <f t="shared" si="236"/>
        <v>33.522901401188378</v>
      </c>
    </row>
    <row r="47" spans="1:259" ht="15" customHeight="1" x14ac:dyDescent="0.25">
      <c r="A47" s="84">
        <f t="shared" si="81"/>
        <v>0.02</v>
      </c>
      <c r="B47" s="770">
        <v>4.3960190254696911</v>
      </c>
      <c r="C47" s="771">
        <v>-2.5238464648758097</v>
      </c>
      <c r="D47" s="772">
        <v>-0.76922646640103853</v>
      </c>
      <c r="E47" s="773">
        <v>0.7401733913881694</v>
      </c>
      <c r="F47" s="771">
        <v>0.59215560638602349</v>
      </c>
      <c r="G47" s="774">
        <v>0.31858293819119798</v>
      </c>
      <c r="H47" s="773">
        <v>0.26600000000000001</v>
      </c>
      <c r="I47" s="771">
        <v>0.52</v>
      </c>
      <c r="J47" s="601">
        <v>3.2349999999999999</v>
      </c>
      <c r="K47" s="426" t="str">
        <f t="shared" si="82"/>
        <v>1313</v>
      </c>
      <c r="L47" s="327"/>
      <c r="M47" s="173">
        <f t="shared" si="241"/>
        <v>3.2349999999999999</v>
      </c>
      <c r="N47" s="21">
        <f t="shared" si="242"/>
        <v>4.3960190254696911</v>
      </c>
      <c r="O47" s="5">
        <f t="shared" si="243"/>
        <v>-2.5238464648758097</v>
      </c>
      <c r="P47" s="10">
        <f t="shared" si="244"/>
        <v>-0.76922646640103853</v>
      </c>
      <c r="Q47" s="624">
        <f t="shared" si="116"/>
        <v>330.13896532822315</v>
      </c>
      <c r="R47" s="5">
        <f t="shared" si="389"/>
        <v>5.0690022934062293</v>
      </c>
      <c r="S47" s="6">
        <f t="shared" si="390"/>
        <v>-0.76922646640103853</v>
      </c>
      <c r="T47" s="4">
        <f t="shared" si="391"/>
        <v>-2.5234628302917188</v>
      </c>
      <c r="U47" s="5">
        <f t="shared" si="392"/>
        <v>-4.3962392558519516</v>
      </c>
      <c r="V47" s="8">
        <f t="shared" si="393"/>
        <v>-0.76922646640103853</v>
      </c>
      <c r="W47" s="624">
        <f t="shared" si="226"/>
        <v>240.14396532750123</v>
      </c>
      <c r="X47" s="5">
        <f t="shared" si="394"/>
        <v>5.0690022934062293</v>
      </c>
      <c r="Y47" s="7">
        <f t="shared" si="225"/>
        <v>-0.76922646640103853</v>
      </c>
      <c r="Z47" s="21">
        <f t="shared" si="245"/>
        <v>-0.7401733913881694</v>
      </c>
      <c r="AA47" s="5">
        <f t="shared" si="246"/>
        <v>-0.59215560638602349</v>
      </c>
      <c r="AB47" s="5">
        <f t="shared" si="247"/>
        <v>-0.31858293819119798</v>
      </c>
      <c r="AC47" s="8">
        <f t="shared" si="395"/>
        <v>1</v>
      </c>
      <c r="AD47" s="9">
        <f t="shared" si="396"/>
        <v>-0.7401733913881694</v>
      </c>
      <c r="AE47" s="5">
        <f t="shared" si="397"/>
        <v>-0.59215560638602349</v>
      </c>
      <c r="AF47" s="10">
        <f t="shared" si="398"/>
        <v>-0.31858293819119798</v>
      </c>
      <c r="AG47" s="622">
        <f t="shared" si="399"/>
        <v>-61.719506738015369</v>
      </c>
      <c r="AH47" s="623">
        <f t="shared" si="400"/>
        <v>137.74618795016448</v>
      </c>
      <c r="AI47" s="624">
        <f t="shared" si="401"/>
        <v>-71.422751376298578</v>
      </c>
      <c r="AJ47" s="625">
        <f t="shared" si="402"/>
        <v>-51.339394386093822</v>
      </c>
      <c r="AK47" s="4">
        <f t="shared" si="403"/>
        <v>0.88206930085193191</v>
      </c>
      <c r="AL47" s="5">
        <f t="shared" si="404"/>
        <v>-0.34707154880232916</v>
      </c>
      <c r="AM47" s="6">
        <f t="shared" si="405"/>
        <v>-0.31858293819119798</v>
      </c>
      <c r="AN47" s="612">
        <f t="shared" si="406"/>
        <v>-47.450643217709974</v>
      </c>
      <c r="AO47" s="613">
        <f t="shared" si="98"/>
        <v>28.107001657075504</v>
      </c>
      <c r="AP47" s="624">
        <f t="shared" si="407"/>
        <v>-21.478359714316962</v>
      </c>
      <c r="AQ47" s="625">
        <f t="shared" si="248"/>
        <v>2.4450932922123827</v>
      </c>
      <c r="AS47" s="56">
        <f t="shared" si="410"/>
        <v>-119.85603467249877</v>
      </c>
      <c r="AT47" s="77">
        <f t="shared" si="249"/>
        <v>-0.31641811319654822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>
        <f>IFERROR(IF((((($IW47*COS(RADIANS(180-$IY47)))*COS(RADIANS($IY47)))-(($IX47*SIN(RADIANS(180-$IY47)))*SIN(RADIANS($IY47))))+$IU47)&lt;(((Settings!$C$19/2)*-1)+$IF$8),1,""),"")</f>
        <v>1</v>
      </c>
      <c r="IG47" s="836">
        <f t="shared" si="384"/>
        <v>3.2349999999999999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3.1349999999999998</v>
      </c>
      <c r="II47" s="800" cm="1">
        <f t="array" ref="II47">IFERROR(IF($IH47&lt;1,$IH47+LARGE((IF($M$9:$M$150="",0,$M$9:$M$150)-MOD(IF($M$9:$M$150="",0,$M$9:$M$150),1)),1),$IH47),"")</f>
        <v>3.1349999999999998</v>
      </c>
      <c r="IJ47" s="839" t="str">
        <f t="shared" si="385"/>
        <v>1613</v>
      </c>
      <c r="IK47" s="839" t="str">
        <f t="shared" si="386"/>
        <v>1313</v>
      </c>
      <c r="IL47" s="791">
        <f t="shared" si="227"/>
        <v>10.920998423202889</v>
      </c>
      <c r="IM47" s="830">
        <v>1.02721882614731E-2</v>
      </c>
      <c r="IN47" s="5">
        <f t="shared" si="228"/>
        <v>0.32</v>
      </c>
      <c r="IO47" s="852">
        <v>160</v>
      </c>
      <c r="IP47" s="9">
        <f t="shared" si="229"/>
        <v>-5.0374151928442217</v>
      </c>
      <c r="IQ47" s="5">
        <f t="shared" si="230"/>
        <v>-0.81180244839618443</v>
      </c>
      <c r="IR47" s="5">
        <f t="shared" si="387"/>
        <v>0.314</v>
      </c>
      <c r="IS47" s="5">
        <f t="shared" si="231"/>
        <v>0.29726773742882212</v>
      </c>
      <c r="IT47" s="791">
        <f t="shared" si="232"/>
        <v>56.017982882796446</v>
      </c>
      <c r="IU47" s="9">
        <f t="shared" si="233"/>
        <v>-5.0690022934062293</v>
      </c>
      <c r="IV47" s="5">
        <f t="shared" si="234"/>
        <v>-0.76922646640103853</v>
      </c>
      <c r="IW47" s="5">
        <f t="shared" si="388"/>
        <v>0.26600000000000001</v>
      </c>
      <c r="IX47" s="5">
        <f t="shared" si="235"/>
        <v>0.23463043402661393</v>
      </c>
      <c r="IY47" s="833">
        <f t="shared" si="236"/>
        <v>47.450643217709974</v>
      </c>
    </row>
    <row r="48" spans="1:259" ht="15" customHeight="1" x14ac:dyDescent="0.25">
      <c r="A48" s="84">
        <f t="shared" si="81"/>
        <v>0.02</v>
      </c>
      <c r="B48" s="770">
        <v>4.792986479130227</v>
      </c>
      <c r="C48" s="771">
        <v>-2.7592109865673442</v>
      </c>
      <c r="D48" s="772">
        <v>-1.3793708806985872</v>
      </c>
      <c r="E48" s="773">
        <v>0.81045251954808017</v>
      </c>
      <c r="F48" s="771">
        <v>0.52951098629836368</v>
      </c>
      <c r="G48" s="774">
        <v>0.25056901034945006</v>
      </c>
      <c r="H48" s="773">
        <v>0.26600000000000001</v>
      </c>
      <c r="I48" s="771">
        <v>0.52</v>
      </c>
      <c r="J48" s="601">
        <v>3.242</v>
      </c>
      <c r="K48" s="426" t="str">
        <f t="shared" si="82"/>
        <v>1313</v>
      </c>
      <c r="L48" s="327"/>
      <c r="M48" s="173">
        <f t="shared" si="241"/>
        <v>3.242</v>
      </c>
      <c r="N48" s="21">
        <f t="shared" si="242"/>
        <v>4.792986479130227</v>
      </c>
      <c r="O48" s="5">
        <f t="shared" si="243"/>
        <v>-2.7592109865673442</v>
      </c>
      <c r="P48" s="10">
        <f t="shared" si="244"/>
        <v>-1.3793708806985872</v>
      </c>
      <c r="Q48" s="624">
        <f t="shared" si="116"/>
        <v>330.07196533789676</v>
      </c>
      <c r="R48" s="5">
        <f t="shared" si="83"/>
        <v>5.5304579066763635</v>
      </c>
      <c r="S48" s="6">
        <f t="shared" si="84"/>
        <v>-1.3793708806985872</v>
      </c>
      <c r="T48" s="4">
        <f t="shared" si="85"/>
        <v>-2.7587927091466513</v>
      </c>
      <c r="U48" s="5">
        <f t="shared" si="86"/>
        <v>-4.7932272474271844</v>
      </c>
      <c r="V48" s="8">
        <f t="shared" si="117"/>
        <v>-1.3793708806985872</v>
      </c>
      <c r="W48" s="624">
        <f t="shared" si="226"/>
        <v>240.07696533717484</v>
      </c>
      <c r="X48" s="5">
        <f t="shared" si="87"/>
        <v>5.5304579066763635</v>
      </c>
      <c r="Y48" s="7">
        <f t="shared" si="225"/>
        <v>-1.3793708806985872</v>
      </c>
      <c r="Z48" s="21">
        <f t="shared" si="245"/>
        <v>-0.81045251954808017</v>
      </c>
      <c r="AA48" s="5">
        <f t="shared" si="246"/>
        <v>-0.52951098629836368</v>
      </c>
      <c r="AB48" s="5">
        <f t="shared" si="247"/>
        <v>-0.25056901034945006</v>
      </c>
      <c r="AC48" s="8">
        <f t="shared" si="88"/>
        <v>1</v>
      </c>
      <c r="AD48" s="9">
        <f t="shared" si="118"/>
        <v>-0.81045251954808017</v>
      </c>
      <c r="AE48" s="5">
        <f t="shared" si="89"/>
        <v>-0.52951098629836368</v>
      </c>
      <c r="AF48" s="10">
        <f t="shared" si="90"/>
        <v>-0.25056901034945006</v>
      </c>
      <c r="AG48" s="622">
        <f t="shared" si="91"/>
        <v>-64.676097331570773</v>
      </c>
      <c r="AH48" s="623">
        <f t="shared" si="92"/>
        <v>144.14016738729657</v>
      </c>
      <c r="AI48" s="624">
        <f t="shared" si="93"/>
        <v>-75.488814168404573</v>
      </c>
      <c r="AJ48" s="625">
        <f t="shared" si="94"/>
        <v>-56.841316059480938</v>
      </c>
      <c r="AK48" s="4">
        <f t="shared" si="213"/>
        <v>0.86324651131398511</v>
      </c>
      <c r="AL48" s="5">
        <f t="shared" si="95"/>
        <v>-0.43820158803538234</v>
      </c>
      <c r="AM48" s="6">
        <f t="shared" si="96"/>
        <v>-0.25056901034945006</v>
      </c>
      <c r="AN48" s="612">
        <f t="shared" si="97"/>
        <v>-60.238552047530803</v>
      </c>
      <c r="AO48" s="613">
        <f t="shared" si="98"/>
        <v>30.316921105721459</v>
      </c>
      <c r="AP48" s="624">
        <f t="shared" si="99"/>
        <v>-26.913281397377705</v>
      </c>
      <c r="AQ48" s="625">
        <f t="shared" si="248"/>
        <v>2.241294785295735</v>
      </c>
      <c r="AS48" s="56">
        <f t="shared" si="410"/>
        <v>-119.92303466282516</v>
      </c>
      <c r="AT48" s="77">
        <f t="shared" si="249"/>
        <v>-0.92630941641953046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>
        <f>IFERROR(IF((((($IW48*COS(RADIANS(180-$IY48)))*COS(RADIANS($IY48)))-(($IX48*SIN(RADIANS(180-$IY48)))*SIN(RADIANS($IY48))))+$IU48)&lt;(((Settings!$C$19/2)*-1)+$IF$8),1,""),"")</f>
        <v>1</v>
      </c>
      <c r="IG48" s="836">
        <f t="shared" si="384"/>
        <v>3.242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3.1419999999999999</v>
      </c>
      <c r="II48" s="800" cm="1">
        <f t="array" ref="II48">IFERROR(IF($IH48&lt;1,$IH48+LARGE((IF($M$9:$M$150="",0,$M$9:$M$150)-MOD(IF($M$9:$M$150="",0,$M$9:$M$150),1)),1),$IH48),"")</f>
        <v>3.1419999999999999</v>
      </c>
      <c r="IJ48" s="839" t="str">
        <f t="shared" si="385"/>
        <v>1613</v>
      </c>
      <c r="IK48" s="839" t="str">
        <f t="shared" si="386"/>
        <v>1313</v>
      </c>
      <c r="IL48" s="791">
        <f t="shared" si="227"/>
        <v>10.238998521671533</v>
      </c>
      <c r="IM48" s="830">
        <v>8.096918499993E-3</v>
      </c>
      <c r="IN48" s="5">
        <f t="shared" si="228"/>
        <v>0.3</v>
      </c>
      <c r="IO48" s="852">
        <v>150</v>
      </c>
      <c r="IP48" s="9">
        <f t="shared" si="229"/>
        <v>-5.4878165512547188</v>
      </c>
      <c r="IQ48" s="5">
        <f t="shared" si="230"/>
        <v>-1.4159042703672795</v>
      </c>
      <c r="IR48" s="5">
        <f t="shared" si="387"/>
        <v>0.314</v>
      </c>
      <c r="IS48" s="5">
        <f t="shared" si="231"/>
        <v>0.29303215311370712</v>
      </c>
      <c r="IT48" s="791">
        <f t="shared" si="232"/>
        <v>68.245781234390591</v>
      </c>
      <c r="IU48" s="9">
        <f t="shared" si="233"/>
        <v>-5.5304579066763635</v>
      </c>
      <c r="IV48" s="5">
        <f t="shared" si="234"/>
        <v>-1.3793708806985872</v>
      </c>
      <c r="IW48" s="5">
        <f t="shared" si="388"/>
        <v>0.26600000000000001</v>
      </c>
      <c r="IX48" s="5">
        <f t="shared" si="235"/>
        <v>0.22962357200952008</v>
      </c>
      <c r="IY48" s="833">
        <f t="shared" si="236"/>
        <v>60.238552047530803</v>
      </c>
    </row>
    <row r="49" spans="1:259" ht="15" customHeight="1" x14ac:dyDescent="0.25">
      <c r="A49" s="84">
        <f t="shared" si="81"/>
        <v>0.02</v>
      </c>
      <c r="B49" s="770">
        <v>5.0362430373180844</v>
      </c>
      <c r="C49" s="771">
        <v>-2.9123701760054939</v>
      </c>
      <c r="D49" s="772">
        <v>-2.0885312460640457</v>
      </c>
      <c r="E49" s="773">
        <v>0.88537564314674533</v>
      </c>
      <c r="F49" s="771">
        <v>0.42008455627279351</v>
      </c>
      <c r="G49" s="774">
        <v>0.1990952940266979</v>
      </c>
      <c r="H49" s="773">
        <v>0.26600000000000001</v>
      </c>
      <c r="I49" s="771">
        <v>0.52</v>
      </c>
      <c r="J49" s="601">
        <v>3.2490000000000001</v>
      </c>
      <c r="K49" s="426" t="str">
        <f t="shared" si="82"/>
        <v>1313</v>
      </c>
      <c r="L49" s="327"/>
      <c r="M49" s="173">
        <f t="shared" si="241"/>
        <v>3.2490000000000001</v>
      </c>
      <c r="N49" s="21">
        <f t="shared" si="242"/>
        <v>5.0362430373180844</v>
      </c>
      <c r="O49" s="5">
        <f t="shared" si="243"/>
        <v>-2.9123701760054939</v>
      </c>
      <c r="P49" s="10">
        <f t="shared" si="244"/>
        <v>-2.0885312460640457</v>
      </c>
      <c r="Q49" s="624">
        <f t="shared" si="116"/>
        <v>329.95996535406755</v>
      </c>
      <c r="R49" s="5">
        <f t="shared" si="83"/>
        <v>5.8177009181480921</v>
      </c>
      <c r="S49" s="6">
        <f t="shared" si="84"/>
        <v>-2.0885312460640457</v>
      </c>
      <c r="T49" s="4">
        <f t="shared" si="85"/>
        <v>-2.9119306698653689</v>
      </c>
      <c r="U49" s="5">
        <f t="shared" si="86"/>
        <v>-5.0364971703475208</v>
      </c>
      <c r="V49" s="8">
        <f t="shared" si="117"/>
        <v>-2.0885312460640457</v>
      </c>
      <c r="W49" s="624">
        <f t="shared" si="226"/>
        <v>239.96496535334563</v>
      </c>
      <c r="X49" s="5">
        <f t="shared" si="87"/>
        <v>5.8177009181480921</v>
      </c>
      <c r="Y49" s="7">
        <f t="shared" si="225"/>
        <v>-2.0885312460640457</v>
      </c>
      <c r="Z49" s="21">
        <f t="shared" si="245"/>
        <v>-0.88537564314674533</v>
      </c>
      <c r="AA49" s="5">
        <f t="shared" si="246"/>
        <v>-0.42008455627279351</v>
      </c>
      <c r="AB49" s="5">
        <f t="shared" si="247"/>
        <v>-0.1990952940266979</v>
      </c>
      <c r="AC49" s="8">
        <f t="shared" si="88"/>
        <v>1</v>
      </c>
      <c r="AD49" s="9">
        <f t="shared" si="118"/>
        <v>-0.88537564314674533</v>
      </c>
      <c r="AE49" s="5">
        <f t="shared" si="89"/>
        <v>-0.42008455627279351</v>
      </c>
      <c r="AF49" s="10">
        <f t="shared" si="90"/>
        <v>-0.1990952940266979</v>
      </c>
      <c r="AG49" s="622">
        <f t="shared" si="91"/>
        <v>-64.641808637272021</v>
      </c>
      <c r="AH49" s="623">
        <f t="shared" si="92"/>
        <v>152.29778357061952</v>
      </c>
      <c r="AI49" s="624">
        <f t="shared" si="93"/>
        <v>-78.515940716394297</v>
      </c>
      <c r="AJ49" s="625">
        <f t="shared" si="94"/>
        <v>-64.617043731724095</v>
      </c>
      <c r="AK49" s="4">
        <f t="shared" si="213"/>
        <v>0.8068805195249269</v>
      </c>
      <c r="AL49" s="5">
        <f t="shared" si="95"/>
        <v>-0.55615185975379666</v>
      </c>
      <c r="AM49" s="6">
        <f t="shared" si="96"/>
        <v>-0.1990952940266979</v>
      </c>
      <c r="AN49" s="612">
        <f t="shared" si="97"/>
        <v>-70.303278392308485</v>
      </c>
      <c r="AO49" s="613">
        <f t="shared" si="98"/>
        <v>36.207740119468191</v>
      </c>
      <c r="AP49" s="624">
        <f t="shared" si="99"/>
        <v>-34.577009085791651</v>
      </c>
      <c r="AQ49" s="625">
        <f t="shared" si="248"/>
        <v>2.1307378005747966</v>
      </c>
      <c r="AS49" s="56">
        <f t="shared" si="410"/>
        <v>-120.03503464665437</v>
      </c>
      <c r="AT49" s="77">
        <f t="shared" si="249"/>
        <v>-1.6350466707349676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>
        <f>IFERROR(IF((((($IW49*COS(RADIANS(180-$IY49)))*COS(RADIANS($IY49)))-(($IX49*SIN(RADIANS(180-$IY49)))*SIN(RADIANS($IY49))))+$IU49)&lt;(((Settings!$C$19/2)*-1)+$IF$8),1,""),"")</f>
        <v>1</v>
      </c>
      <c r="IG49" s="836">
        <f t="shared" si="384"/>
        <v>3.2490000000000001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3.149</v>
      </c>
      <c r="II49" s="800" cm="1">
        <f t="array" ref="II49">IFERROR(IF($IH49&lt;1,$IH49+LARGE((IF($M$9:$M$150="",0,$M$9:$M$150)-MOD(IF($M$9:$M$150="",0,$M$9:$M$150),1)),1),$IH49),"")</f>
        <v>3.149</v>
      </c>
      <c r="IJ49" s="839" t="str">
        <f t="shared" si="385"/>
        <v>1613</v>
      </c>
      <c r="IK49" s="839" t="str">
        <f t="shared" si="386"/>
        <v>1313</v>
      </c>
      <c r="IL49" s="791">
        <f t="shared" si="227"/>
        <v>9.8749985742265949</v>
      </c>
      <c r="IM49" s="830">
        <v>5.8810766054583803E-3</v>
      </c>
      <c r="IN49" s="5">
        <f t="shared" si="228"/>
        <v>0.26</v>
      </c>
      <c r="IO49" s="852">
        <v>130</v>
      </c>
      <c r="IP49" s="9">
        <f t="shared" si="229"/>
        <v>-5.7643173851812346</v>
      </c>
      <c r="IQ49" s="5">
        <f t="shared" si="230"/>
        <v>-2.1173063857960597</v>
      </c>
      <c r="IR49" s="5">
        <f t="shared" si="387"/>
        <v>0.314</v>
      </c>
      <c r="IS49" s="5">
        <f t="shared" si="231"/>
        <v>0.28031740011455597</v>
      </c>
      <c r="IT49" s="791">
        <f t="shared" si="232"/>
        <v>75.831533428902773</v>
      </c>
      <c r="IU49" s="9">
        <f t="shared" si="233"/>
        <v>-5.8177009181480921</v>
      </c>
      <c r="IV49" s="5">
        <f t="shared" si="234"/>
        <v>-2.0885312460640457</v>
      </c>
      <c r="IW49" s="5">
        <f t="shared" si="388"/>
        <v>0.26600000000000001</v>
      </c>
      <c r="IX49" s="5">
        <f t="shared" si="235"/>
        <v>0.21463021819363057</v>
      </c>
      <c r="IY49" s="833">
        <f t="shared" si="236"/>
        <v>70.303278392308485</v>
      </c>
    </row>
    <row r="50" spans="1:259" ht="15" customHeight="1" x14ac:dyDescent="0.25">
      <c r="A50" s="84">
        <f t="shared" si="81"/>
        <v>0.02</v>
      </c>
      <c r="B50" s="770">
        <v>0.76669276021265886</v>
      </c>
      <c r="C50" s="771">
        <v>-2.6995461480739262</v>
      </c>
      <c r="D50" s="772">
        <v>-0.12280037036591702</v>
      </c>
      <c r="E50" s="773">
        <v>0.92131761659656253</v>
      </c>
      <c r="F50" s="771">
        <v>0.29004538427211518</v>
      </c>
      <c r="G50" s="774">
        <v>0.25893536724686811</v>
      </c>
      <c r="H50" s="773">
        <v>0.314</v>
      </c>
      <c r="I50" s="771">
        <v>0.52</v>
      </c>
      <c r="J50" s="601">
        <v>4.1130000000000004</v>
      </c>
      <c r="K50" s="426" t="str">
        <f t="shared" si="82"/>
        <v>1613</v>
      </c>
      <c r="L50" s="327"/>
      <c r="M50" s="173">
        <f t="shared" si="241"/>
        <v>4.1130000000000004</v>
      </c>
      <c r="N50" s="21">
        <f t="shared" si="242"/>
        <v>0.76669276021265886</v>
      </c>
      <c r="O50" s="5">
        <f t="shared" si="243"/>
        <v>-2.6995461480739262</v>
      </c>
      <c r="P50" s="10">
        <f t="shared" si="244"/>
        <v>-0.12280037036591702</v>
      </c>
      <c r="Q50" s="624">
        <f t="shared" si="116"/>
        <v>285.85497172204077</v>
      </c>
      <c r="R50" s="5">
        <f t="shared" si="83"/>
        <v>2.8063084638263267</v>
      </c>
      <c r="S50" s="6">
        <f t="shared" si="84"/>
        <v>-0.12280037036591702</v>
      </c>
      <c r="T50" s="4">
        <f t="shared" si="85"/>
        <v>-2.6994792312394802</v>
      </c>
      <c r="U50" s="5">
        <f t="shared" si="86"/>
        <v>-0.76692833710196351</v>
      </c>
      <c r="V50" s="8">
        <f t="shared" si="117"/>
        <v>-0.12280037036591702</v>
      </c>
      <c r="W50" s="624">
        <f t="shared" si="226"/>
        <v>195.85997172131886</v>
      </c>
      <c r="X50" s="5">
        <f t="shared" si="87"/>
        <v>2.8063084638263267</v>
      </c>
      <c r="Y50" s="7">
        <f t="shared" si="225"/>
        <v>-0.12280037036591702</v>
      </c>
      <c r="Z50" s="21">
        <f t="shared" si="245"/>
        <v>-0.92131761659656253</v>
      </c>
      <c r="AA50" s="5">
        <f t="shared" si="246"/>
        <v>-0.29004538427211518</v>
      </c>
      <c r="AB50" s="5">
        <f t="shared" si="247"/>
        <v>-0.25893536724686811</v>
      </c>
      <c r="AC50" s="8">
        <f t="shared" si="88"/>
        <v>1</v>
      </c>
      <c r="AD50" s="9">
        <f t="shared" si="118"/>
        <v>-0.92131761659656253</v>
      </c>
      <c r="AE50" s="5">
        <f t="shared" si="89"/>
        <v>-0.29004538427211518</v>
      </c>
      <c r="AF50" s="10">
        <f t="shared" si="90"/>
        <v>-0.25893536724686811</v>
      </c>
      <c r="AG50" s="622">
        <f t="shared" si="91"/>
        <v>-48.243407528206433</v>
      </c>
      <c r="AH50" s="623">
        <f t="shared" si="92"/>
        <v>157.11947498516639</v>
      </c>
      <c r="AI50" s="624">
        <f t="shared" si="93"/>
        <v>-74.993100013166313</v>
      </c>
      <c r="AJ50" s="625">
        <f t="shared" si="94"/>
        <v>-72.525172024497877</v>
      </c>
      <c r="AK50" s="4">
        <f t="shared" si="213"/>
        <v>0.96550865815943787</v>
      </c>
      <c r="AL50" s="5">
        <f t="shared" si="95"/>
        <v>2.7303966889288322E-2</v>
      </c>
      <c r="AM50" s="6">
        <f t="shared" si="96"/>
        <v>-0.25893536724686811</v>
      </c>
      <c r="AN50" s="612">
        <f t="shared" si="97"/>
        <v>6.0194257179917274</v>
      </c>
      <c r="AO50" s="613">
        <f t="shared" si="98"/>
        <v>15.092074070411881</v>
      </c>
      <c r="AP50" s="624">
        <f t="shared" si="99"/>
        <v>1.619856253461339</v>
      </c>
      <c r="AQ50" s="625">
        <f t="shared" si="248"/>
        <v>4.4104943076552141</v>
      </c>
      <c r="AS50" s="56">
        <f t="shared" si="410"/>
        <v>-164.14002827868114</v>
      </c>
      <c r="AT50" s="77">
        <f t="shared" si="249"/>
        <v>0.49730306979526234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4.1130000000000004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0.02</v>
      </c>
      <c r="B51" s="770">
        <v>0.94150850992620883</v>
      </c>
      <c r="C51" s="771">
        <v>-3.4874563403602803</v>
      </c>
      <c r="D51" s="772">
        <v>-0.10310031095053783</v>
      </c>
      <c r="E51" s="773">
        <v>0.95512382908553572</v>
      </c>
      <c r="F51" s="771">
        <v>0.15785124374064233</v>
      </c>
      <c r="G51" s="774">
        <v>0.25064208737264548</v>
      </c>
      <c r="H51" s="773">
        <v>0.314</v>
      </c>
      <c r="I51" s="771">
        <v>0.52</v>
      </c>
      <c r="J51" s="601">
        <v>4.12</v>
      </c>
      <c r="K51" s="426" t="str">
        <f t="shared" si="82"/>
        <v>1613</v>
      </c>
      <c r="L51" s="327"/>
      <c r="M51" s="173">
        <f t="shared" si="241"/>
        <v>4.12</v>
      </c>
      <c r="N51" s="21">
        <f t="shared" si="242"/>
        <v>0.94150850992620883</v>
      </c>
      <c r="O51" s="5">
        <f t="shared" si="243"/>
        <v>-3.4874563403602803</v>
      </c>
      <c r="P51" s="10">
        <f t="shared" si="244"/>
        <v>-0.10310031095053783</v>
      </c>
      <c r="Q51" s="624">
        <f t="shared" si="116"/>
        <v>285.10797182989421</v>
      </c>
      <c r="R51" s="5">
        <f t="shared" si="83"/>
        <v>3.6123108947296592</v>
      </c>
      <c r="S51" s="6">
        <f t="shared" si="84"/>
        <v>-0.10310031095053783</v>
      </c>
      <c r="T51" s="4">
        <f t="shared" si="85"/>
        <v>-3.4873741649758334</v>
      </c>
      <c r="U51" s="5">
        <f t="shared" si="86"/>
        <v>-0.94181284427517753</v>
      </c>
      <c r="V51" s="8">
        <f t="shared" si="117"/>
        <v>-0.10310031095053783</v>
      </c>
      <c r="W51" s="624">
        <f t="shared" si="226"/>
        <v>195.1129718291723</v>
      </c>
      <c r="X51" s="5">
        <f t="shared" si="87"/>
        <v>3.6123108947296592</v>
      </c>
      <c r="Y51" s="7">
        <f t="shared" si="225"/>
        <v>-0.10310031095053783</v>
      </c>
      <c r="Z51" s="21">
        <f t="shared" si="245"/>
        <v>-0.95512382908553572</v>
      </c>
      <c r="AA51" s="5">
        <f t="shared" si="246"/>
        <v>-0.15785124374064233</v>
      </c>
      <c r="AB51" s="5">
        <f t="shared" si="247"/>
        <v>-0.25064208737264548</v>
      </c>
      <c r="AC51" s="8">
        <f t="shared" si="88"/>
        <v>1</v>
      </c>
      <c r="AD51" s="9">
        <f t="shared" si="118"/>
        <v>-0.95512382908553572</v>
      </c>
      <c r="AE51" s="5">
        <f t="shared" si="89"/>
        <v>-0.15785124374064233</v>
      </c>
      <c r="AF51" s="10">
        <f t="shared" si="90"/>
        <v>-0.25064208737264548</v>
      </c>
      <c r="AG51" s="622">
        <f t="shared" si="91"/>
        <v>-32.202209293913221</v>
      </c>
      <c r="AH51" s="623">
        <f t="shared" si="92"/>
        <v>162.77008322891965</v>
      </c>
      <c r="AI51" s="624">
        <f t="shared" si="93"/>
        <v>-75.484489148919906</v>
      </c>
      <c r="AJ51" s="625">
        <f t="shared" si="94"/>
        <v>-80.615676661456803</v>
      </c>
      <c r="AK51" s="4">
        <f t="shared" si="213"/>
        <v>0.96325345305534615</v>
      </c>
      <c r="AL51" s="5">
        <f t="shared" si="95"/>
        <v>-9.6547031101092057E-2</v>
      </c>
      <c r="AM51" s="6">
        <f t="shared" si="96"/>
        <v>-0.25064208737264548</v>
      </c>
      <c r="AN51" s="612">
        <f t="shared" si="97"/>
        <v>-21.066624900518867</v>
      </c>
      <c r="AO51" s="613">
        <f t="shared" si="98"/>
        <v>15.580624133333467</v>
      </c>
      <c r="AP51" s="624">
        <f t="shared" si="99"/>
        <v>-5.7236484913510086</v>
      </c>
      <c r="AQ51" s="625">
        <f t="shared" si="248"/>
        <v>3.4290797749255648</v>
      </c>
      <c r="AS51" s="56">
        <f t="shared" si="410"/>
        <v>-164.8870281708277</v>
      </c>
      <c r="AT51" s="77">
        <f t="shared" si="249"/>
        <v>0.5198251288031952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4.12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5"/>
        <v/>
      </c>
      <c r="IK51" s="839" t="str">
        <f t="shared" si="386"/>
        <v/>
      </c>
      <c r="IL51" s="791" t="str">
        <f t="shared" si="227"/>
        <v/>
      </c>
      <c r="IM51" s="830"/>
      <c r="IN51" s="5" t="str">
        <f t="shared" si="228"/>
        <v/>
      </c>
      <c r="IO51" s="852"/>
      <c r="IP51" s="9" t="str">
        <f t="shared" si="229"/>
        <v/>
      </c>
      <c r="IQ51" s="5" t="str">
        <f t="shared" si="230"/>
        <v/>
      </c>
      <c r="IR51" s="5" t="str">
        <f t="shared" si="387"/>
        <v/>
      </c>
      <c r="IS51" s="5" t="str">
        <f t="shared" si="231"/>
        <v/>
      </c>
      <c r="IT51" s="791" t="str">
        <f t="shared" si="232"/>
        <v/>
      </c>
      <c r="IU51" s="9" t="str">
        <f t="shared" si="233"/>
        <v/>
      </c>
      <c r="IV51" s="5" t="str">
        <f t="shared" si="234"/>
        <v/>
      </c>
      <c r="IW51" s="5" t="str">
        <f t="shared" si="388"/>
        <v/>
      </c>
      <c r="IX51" s="5" t="str">
        <f t="shared" si="235"/>
        <v/>
      </c>
      <c r="IY51" s="833" t="str">
        <f t="shared" si="236"/>
        <v/>
      </c>
    </row>
    <row r="52" spans="1:259" ht="15" customHeight="1" x14ac:dyDescent="0.25">
      <c r="A52" s="84">
        <f t="shared" si="81"/>
        <v>0.02</v>
      </c>
      <c r="B52" s="770">
        <v>1.0593252160827564</v>
      </c>
      <c r="C52" s="771">
        <v>-4.2027649279909713</v>
      </c>
      <c r="D52" s="772">
        <v>-0.3175009575828881</v>
      </c>
      <c r="E52" s="773">
        <v>0.97467978504498187</v>
      </c>
      <c r="F52" s="771">
        <v>6.1344586566431214E-2</v>
      </c>
      <c r="G52" s="774">
        <v>0.21502594802409702</v>
      </c>
      <c r="H52" s="773">
        <v>0.314</v>
      </c>
      <c r="I52" s="771">
        <v>0.52</v>
      </c>
      <c r="J52" s="601">
        <v>4.1269999999999998</v>
      </c>
      <c r="K52" s="426" t="str">
        <f t="shared" si="82"/>
        <v>1613</v>
      </c>
      <c r="L52" s="327"/>
      <c r="M52" s="173">
        <f t="shared" si="241"/>
        <v>4.1269999999999998</v>
      </c>
      <c r="N52" s="21">
        <f t="shared" si="242"/>
        <v>1.0593252160827564</v>
      </c>
      <c r="O52" s="5">
        <f t="shared" si="243"/>
        <v>-4.2027649279909713</v>
      </c>
      <c r="P52" s="10">
        <f t="shared" si="244"/>
        <v>-0.3175009575828881</v>
      </c>
      <c r="Q52" s="624">
        <f t="shared" si="116"/>
        <v>284.1469719686454</v>
      </c>
      <c r="R52" s="5">
        <f t="shared" si="83"/>
        <v>4.3342130719866248</v>
      </c>
      <c r="S52" s="6">
        <f t="shared" si="84"/>
        <v>-0.3175009575828881</v>
      </c>
      <c r="T52" s="4">
        <f t="shared" si="85"/>
        <v>-4.2026724684371484</v>
      </c>
      <c r="U52" s="5">
        <f t="shared" si="86"/>
        <v>-1.0596919724241283</v>
      </c>
      <c r="V52" s="8">
        <f t="shared" si="117"/>
        <v>-0.3175009575828881</v>
      </c>
      <c r="W52" s="624">
        <f t="shared" si="226"/>
        <v>194.15197196792349</v>
      </c>
      <c r="X52" s="5">
        <f t="shared" si="87"/>
        <v>4.3342130719866248</v>
      </c>
      <c r="Y52" s="7">
        <f t="shared" si="225"/>
        <v>-0.3175009575828881</v>
      </c>
      <c r="Z52" s="21">
        <f t="shared" si="245"/>
        <v>-0.97467978504498187</v>
      </c>
      <c r="AA52" s="5">
        <f t="shared" si="246"/>
        <v>-6.1344586566431214E-2</v>
      </c>
      <c r="AB52" s="5">
        <f t="shared" si="247"/>
        <v>-0.21502594802409702</v>
      </c>
      <c r="AC52" s="8">
        <f t="shared" si="88"/>
        <v>1</v>
      </c>
      <c r="AD52" s="9">
        <f t="shared" si="118"/>
        <v>-0.97467978504498187</v>
      </c>
      <c r="AE52" s="5">
        <f t="shared" si="89"/>
        <v>-6.1344586566431214E-2</v>
      </c>
      <c r="AF52" s="10">
        <f t="shared" si="90"/>
        <v>-0.21502594802409702</v>
      </c>
      <c r="AG52" s="622">
        <f t="shared" si="91"/>
        <v>-15.922877363552823</v>
      </c>
      <c r="AH52" s="623">
        <f t="shared" si="92"/>
        <v>167.07912344534205</v>
      </c>
      <c r="AI52" s="624">
        <f t="shared" si="93"/>
        <v>-77.582950377633793</v>
      </c>
      <c r="AJ52" s="625">
        <f t="shared" si="94"/>
        <v>-86.398657264980173</v>
      </c>
      <c r="AK52" s="4">
        <f t="shared" si="213"/>
        <v>0.96011290052277865</v>
      </c>
      <c r="AL52" s="5">
        <f t="shared" si="95"/>
        <v>-0.17873740494388754</v>
      </c>
      <c r="AM52" s="6">
        <f t="shared" si="96"/>
        <v>-0.21502594802409702</v>
      </c>
      <c r="AN52" s="612">
        <f t="shared" si="97"/>
        <v>-39.734594006201981</v>
      </c>
      <c r="AO52" s="613">
        <f t="shared" si="98"/>
        <v>16.237086132637653</v>
      </c>
      <c r="AP52" s="624">
        <f t="shared" si="99"/>
        <v>-10.545629233625565</v>
      </c>
      <c r="AQ52" s="625">
        <f t="shared" si="248"/>
        <v>2.8589776480050202</v>
      </c>
      <c r="AS52" s="56">
        <f t="shared" si="410"/>
        <v>-165.84802803207651</v>
      </c>
      <c r="AT52" s="77">
        <f t="shared" si="249"/>
        <v>0.30905492609111818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4.1269999999999998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0.02</v>
      </c>
      <c r="B53" s="770">
        <v>1.1313273514199915</v>
      </c>
      <c r="C53" s="771">
        <v>-4.8287562623862295</v>
      </c>
      <c r="D53" s="772">
        <v>-0.73710222310030493</v>
      </c>
      <c r="E53" s="773">
        <v>0.98421547323311898</v>
      </c>
      <c r="F53" s="771">
        <v>-2.7105147797389963E-2</v>
      </c>
      <c r="G53" s="774">
        <v>0.174886286516094</v>
      </c>
      <c r="H53" s="773">
        <v>0.314</v>
      </c>
      <c r="I53" s="771">
        <v>0.52</v>
      </c>
      <c r="J53" s="601">
        <v>4.1340000000000003</v>
      </c>
      <c r="K53" s="426" t="str">
        <f t="shared" si="82"/>
        <v>1613</v>
      </c>
      <c r="L53" s="327"/>
      <c r="M53" s="173">
        <f t="shared" si="241"/>
        <v>4.1340000000000003</v>
      </c>
      <c r="N53" s="21">
        <f t="shared" si="242"/>
        <v>1.1313273514199915</v>
      </c>
      <c r="O53" s="5">
        <f t="shared" si="243"/>
        <v>-4.8287562623862295</v>
      </c>
      <c r="P53" s="10">
        <f t="shared" si="244"/>
        <v>-0.73710222310030493</v>
      </c>
      <c r="Q53" s="624">
        <f t="shared" si="116"/>
        <v>283.18597210739665</v>
      </c>
      <c r="R53" s="5">
        <f t="shared" ref="R53:R58" si="414">IF(M53="","",SQRT(N53^2+O53^2))</f>
        <v>4.9595149578971132</v>
      </c>
      <c r="S53" s="6">
        <f t="shared" ref="S53:S58" si="415">IF(M53="","",P53)</f>
        <v>-0.73710222310030493</v>
      </c>
      <c r="T53" s="4">
        <f t="shared" ref="T53:T58" si="416">IF(M53="","",X53*COS(RADIANS(W53)))</f>
        <v>-4.8286575170780734</v>
      </c>
      <c r="U53" s="5">
        <f t="shared" ref="U53:U58" si="417">IF(M53="","",X53*SIN(RADIANS(W53)))</f>
        <v>-1.1317487355286155</v>
      </c>
      <c r="V53" s="8">
        <f t="shared" ref="V53:V58" si="418">IF(M53="","",Y53)</f>
        <v>-0.73710222310030493</v>
      </c>
      <c r="W53" s="624">
        <f t="shared" si="226"/>
        <v>193.19097210667474</v>
      </c>
      <c r="X53" s="5">
        <f t="shared" ref="X53:X58" si="419">IF(M53="","",R53)</f>
        <v>4.9595149578971132</v>
      </c>
      <c r="Y53" s="7">
        <f t="shared" si="225"/>
        <v>-0.73710222310030493</v>
      </c>
      <c r="Z53" s="21">
        <f t="shared" si="245"/>
        <v>-0.98421547323311898</v>
      </c>
      <c r="AA53" s="5">
        <f t="shared" si="246"/>
        <v>2.7105147797389963E-2</v>
      </c>
      <c r="AB53" s="5">
        <f t="shared" si="247"/>
        <v>-0.174886286516094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-0.98421547323311898</v>
      </c>
      <c r="AE53" s="5">
        <f t="shared" ref="AE53:AE58" si="422">IF(M53="","",AA53*(1/SQRT(Z53^2+AA53^2+AB53^2)))</f>
        <v>2.7105147797389963E-2</v>
      </c>
      <c r="AF53" s="10">
        <f t="shared" ref="AF53:AF58" si="423">IF(M53="","",AB53*(1/SQRT(Z53^2+AA53^2+AB53^2)))</f>
        <v>-0.174886286516094</v>
      </c>
      <c r="AG53" s="622">
        <f t="shared" ref="AG53:AG58" si="424">IF(M53="","",DEGREES(ATAN2(-AF53,AE53)))</f>
        <v>8.8100206222258155</v>
      </c>
      <c r="AH53" s="623">
        <f t="shared" ref="AH53:AH58" si="425">IF(M53="","",DEGREES(ACOS(AD53)))</f>
        <v>169.80642941235115</v>
      </c>
      <c r="AI53" s="624">
        <f t="shared" ref="AI53:AI58" si="426">IF(M53="","",DEGREES(-ACOS(-AF53)))</f>
        <v>-79.927959244162381</v>
      </c>
      <c r="AJ53" s="625">
        <f t="shared" ref="AJ53:AJ58" si="427">IF(M53="","",DEGREES(ATAN2(-AE53,AD53)))</f>
        <v>-91.57751851004376</v>
      </c>
      <c r="AK53" s="4">
        <f t="shared" ref="AK53:AK58" si="428">IF(M53="","",(COS(RADIANS((90-$Q$8)-W53))*AD53)+(-SIN(RADIANS((90-$Q$8)-W53))*AE53))</f>
        <v>0.95208339422904065</v>
      </c>
      <c r="AL53" s="5">
        <f t="shared" ref="AL53:AL58" si="429">IF(M53="","",(SIN(RADIANS((90-$Q$8)-W53))*AD53)+(COS(RADIANS((90-$Q$8)-W53))*AE53))</f>
        <v>-0.25090236591534942</v>
      </c>
      <c r="AM53" s="6">
        <f t="shared" ref="AM53:AM58" si="430">IF(M53="","",AF53)</f>
        <v>-0.174886286516094</v>
      </c>
      <c r="AN53" s="612">
        <f t="shared" ref="AN53:AN58" si="431">IF(M53="","",DEGREES(ATAN2(-AM53,AL53)))</f>
        <v>-55.122375388202165</v>
      </c>
      <c r="AO53" s="613">
        <f t="shared" si="98"/>
        <v>17.808619377965879</v>
      </c>
      <c r="AP53" s="624">
        <f t="shared" ref="AP53:AP58" si="432">IF(M53="","",DEGREES(ATAN2(AK53,AL53)))</f>
        <v>-14.763490617440421</v>
      </c>
      <c r="AQ53" s="625">
        <f t="shared" si="248"/>
        <v>2.4990040124734714</v>
      </c>
      <c r="AS53" s="56">
        <f t="shared" si="410"/>
        <v>-166.80902789332526</v>
      </c>
      <c r="AT53" s="77">
        <f t="shared" si="249"/>
        <v>-0.10691589550602554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4.1340000000000003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0.02</v>
      </c>
      <c r="B54" s="770">
        <v>1.1670512438481213</v>
      </c>
      <c r="C54" s="771">
        <v>-5.307624034943049</v>
      </c>
      <c r="D54" s="772">
        <v>-1.3220039871640255</v>
      </c>
      <c r="E54" s="773">
        <v>0.98531716659400681</v>
      </c>
      <c r="F54" s="771">
        <v>-0.10844756421634974</v>
      </c>
      <c r="G54" s="774">
        <v>0.13186814259213347</v>
      </c>
      <c r="H54" s="773">
        <v>0.314</v>
      </c>
      <c r="I54" s="771">
        <v>0.52</v>
      </c>
      <c r="J54" s="601">
        <v>4.141</v>
      </c>
      <c r="K54" s="426" t="str">
        <f t="shared" si="82"/>
        <v>1613</v>
      </c>
      <c r="L54" s="327"/>
      <c r="M54" s="173">
        <f t="shared" si="241"/>
        <v>4.141</v>
      </c>
      <c r="N54" s="21">
        <f t="shared" si="242"/>
        <v>1.1670512438481213</v>
      </c>
      <c r="O54" s="5">
        <f t="shared" si="243"/>
        <v>-5.307624034943049</v>
      </c>
      <c r="P54" s="10">
        <f t="shared" si="244"/>
        <v>-1.3220039871640255</v>
      </c>
      <c r="Q54" s="624">
        <f t="shared" si="116"/>
        <v>282.40097222073661</v>
      </c>
      <c r="R54" s="5">
        <f t="shared" si="414"/>
        <v>5.4344163901998321</v>
      </c>
      <c r="S54" s="6">
        <f t="shared" si="415"/>
        <v>-1.3220039871640255</v>
      </c>
      <c r="T54" s="4">
        <f t="shared" si="416"/>
        <v>-5.3075221703142308</v>
      </c>
      <c r="U54" s="5">
        <f t="shared" si="417"/>
        <v>-1.1675144169111955</v>
      </c>
      <c r="V54" s="8">
        <f t="shared" si="418"/>
        <v>-1.3220039871640255</v>
      </c>
      <c r="W54" s="624">
        <f t="shared" si="226"/>
        <v>192.40597222001469</v>
      </c>
      <c r="X54" s="5">
        <f t="shared" si="419"/>
        <v>5.4344163901998321</v>
      </c>
      <c r="Y54" s="7">
        <f t="shared" si="225"/>
        <v>-1.3220039871640255</v>
      </c>
      <c r="Z54" s="21">
        <f t="shared" si="245"/>
        <v>-0.98531716659400681</v>
      </c>
      <c r="AA54" s="5">
        <f t="shared" si="246"/>
        <v>0.10844756421634974</v>
      </c>
      <c r="AB54" s="5">
        <f t="shared" si="247"/>
        <v>-0.13186814259213347</v>
      </c>
      <c r="AC54" s="8">
        <f t="shared" si="420"/>
        <v>1</v>
      </c>
      <c r="AD54" s="9">
        <f t="shared" si="421"/>
        <v>-0.98531716659400681</v>
      </c>
      <c r="AE54" s="5">
        <f t="shared" si="422"/>
        <v>0.10844756421634974</v>
      </c>
      <c r="AF54" s="10">
        <f t="shared" si="423"/>
        <v>-0.13186814259213347</v>
      </c>
      <c r="AG54" s="622">
        <f t="shared" si="424"/>
        <v>39.433672620760809</v>
      </c>
      <c r="AH54" s="623">
        <f t="shared" si="425"/>
        <v>170.16950488859365</v>
      </c>
      <c r="AI54" s="624">
        <f t="shared" si="426"/>
        <v>-82.422441508449211</v>
      </c>
      <c r="AJ54" s="625">
        <f t="shared" si="427"/>
        <v>-96.280899469287363</v>
      </c>
      <c r="AK54" s="4">
        <f t="shared" si="428"/>
        <v>0.93903905117540942</v>
      </c>
      <c r="AL54" s="5">
        <f t="shared" si="429"/>
        <v>-0.3175160678404918</v>
      </c>
      <c r="AM54" s="6">
        <f t="shared" si="430"/>
        <v>-0.13186814259213347</v>
      </c>
      <c r="AN54" s="612">
        <f t="shared" si="431"/>
        <v>-67.44631570992</v>
      </c>
      <c r="AO54" s="613">
        <f t="shared" si="98"/>
        <v>20.109201212550495</v>
      </c>
      <c r="AP54" s="624">
        <f t="shared" si="432"/>
        <v>-18.681871690023982</v>
      </c>
      <c r="AQ54" s="625">
        <f t="shared" si="248"/>
        <v>2.2808633354307934</v>
      </c>
      <c r="AS54" s="56">
        <f t="shared" si="410"/>
        <v>-167.59402777998531</v>
      </c>
      <c r="AT54" s="77">
        <f t="shared" si="249"/>
        <v>-0.68885210444236367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4.141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5"/>
        <v/>
      </c>
      <c r="IK54" s="839" t="str">
        <f t="shared" si="386"/>
        <v/>
      </c>
      <c r="IL54" s="791" t="str">
        <f t="shared" si="227"/>
        <v/>
      </c>
      <c r="IM54" s="830"/>
      <c r="IN54" s="5" t="str">
        <f t="shared" si="228"/>
        <v/>
      </c>
      <c r="IO54" s="852"/>
      <c r="IP54" s="9" t="str">
        <f t="shared" si="229"/>
        <v/>
      </c>
      <c r="IQ54" s="5" t="str">
        <f t="shared" si="230"/>
        <v/>
      </c>
      <c r="IR54" s="5" t="str">
        <f t="shared" si="387"/>
        <v/>
      </c>
      <c r="IS54" s="5" t="str">
        <f t="shared" si="231"/>
        <v/>
      </c>
      <c r="IT54" s="791" t="str">
        <f t="shared" si="232"/>
        <v/>
      </c>
      <c r="IU54" s="9" t="str">
        <f t="shared" si="233"/>
        <v/>
      </c>
      <c r="IV54" s="5" t="str">
        <f t="shared" si="234"/>
        <v/>
      </c>
      <c r="IW54" s="5" t="str">
        <f t="shared" si="388"/>
        <v/>
      </c>
      <c r="IX54" s="5" t="str">
        <f t="shared" si="235"/>
        <v/>
      </c>
      <c r="IY54" s="833" t="str">
        <f t="shared" si="236"/>
        <v/>
      </c>
    </row>
    <row r="55" spans="1:259" ht="15" customHeight="1" x14ac:dyDescent="0.25">
      <c r="A55" s="84">
        <f t="shared" si="81"/>
        <v>0.02</v>
      </c>
      <c r="B55" s="770">
        <v>1.1812362277562933</v>
      </c>
      <c r="C55" s="771">
        <v>-5.6126630729525715</v>
      </c>
      <c r="D55" s="772">
        <v>-2.0132060718295124</v>
      </c>
      <c r="E55" s="773">
        <v>0.96736938827189234</v>
      </c>
      <c r="F55" s="771">
        <v>-0.22617563447711195</v>
      </c>
      <c r="G55" s="774">
        <v>0.11419741241963806</v>
      </c>
      <c r="H55" s="773">
        <v>0.314</v>
      </c>
      <c r="I55" s="771">
        <v>0.52</v>
      </c>
      <c r="J55" s="601">
        <v>4.1479999999999997</v>
      </c>
      <c r="K55" s="426" t="str">
        <f t="shared" si="82"/>
        <v>1613</v>
      </c>
      <c r="L55" s="327"/>
      <c r="M55" s="173">
        <f t="shared" si="241"/>
        <v>4.1479999999999997</v>
      </c>
      <c r="N55" s="21">
        <f t="shared" si="242"/>
        <v>1.1812362277562933</v>
      </c>
      <c r="O55" s="5">
        <f t="shared" si="243"/>
        <v>-5.6126630729525715</v>
      </c>
      <c r="P55" s="10">
        <f t="shared" si="244"/>
        <v>-2.0132060718295124</v>
      </c>
      <c r="Q55" s="624">
        <f t="shared" si="116"/>
        <v>281.88497229523779</v>
      </c>
      <c r="R55" s="5">
        <f t="shared" si="414"/>
        <v>5.7356172986217722</v>
      </c>
      <c r="S55" s="6">
        <f t="shared" si="415"/>
        <v>-2.0132060718295124</v>
      </c>
      <c r="T55" s="4">
        <f t="shared" si="416"/>
        <v>-5.6125599692890633</v>
      </c>
      <c r="U55" s="5">
        <f t="shared" si="417"/>
        <v>-1.1817260204392803</v>
      </c>
      <c r="V55" s="8">
        <f t="shared" si="418"/>
        <v>-2.0132060718295124</v>
      </c>
      <c r="W55" s="624">
        <f t="shared" si="226"/>
        <v>191.88997229451587</v>
      </c>
      <c r="X55" s="5">
        <f t="shared" si="419"/>
        <v>5.7356172986217722</v>
      </c>
      <c r="Y55" s="7">
        <f t="shared" si="225"/>
        <v>-2.0132060718295124</v>
      </c>
      <c r="Z55" s="21">
        <f t="shared" si="245"/>
        <v>-0.96736938827189234</v>
      </c>
      <c r="AA55" s="5">
        <f t="shared" si="246"/>
        <v>0.22617563447711195</v>
      </c>
      <c r="AB55" s="5">
        <f t="shared" si="247"/>
        <v>-0.11419741241963806</v>
      </c>
      <c r="AC55" s="8">
        <f t="shared" si="420"/>
        <v>1</v>
      </c>
      <c r="AD55" s="9">
        <f t="shared" si="421"/>
        <v>-0.96736938827189234</v>
      </c>
      <c r="AE55" s="5">
        <f t="shared" si="422"/>
        <v>0.22617563447711195</v>
      </c>
      <c r="AF55" s="10">
        <f t="shared" si="423"/>
        <v>-0.11419741241963806</v>
      </c>
      <c r="AG55" s="622">
        <f t="shared" si="424"/>
        <v>63.210520462960936</v>
      </c>
      <c r="AH55" s="623">
        <f t="shared" si="425"/>
        <v>165.32296573268351</v>
      </c>
      <c r="AI55" s="624">
        <f t="shared" si="426"/>
        <v>-83.442664797295606</v>
      </c>
      <c r="AJ55" s="625">
        <f t="shared" si="427"/>
        <v>-103.15963948907061</v>
      </c>
      <c r="AK55" s="4">
        <f t="shared" si="428"/>
        <v>0.90005161108268394</v>
      </c>
      <c r="AL55" s="5">
        <f t="shared" si="429"/>
        <v>-0.42055445353024667</v>
      </c>
      <c r="AM55" s="6">
        <f t="shared" si="430"/>
        <v>-0.11419741241963806</v>
      </c>
      <c r="AN55" s="612">
        <f t="shared" si="431"/>
        <v>-74.80820948400951</v>
      </c>
      <c r="AO55" s="613">
        <f>IF(ROUND(IF(M55="",0,DEGREES(ACOS(AK55))),4)=90,0,IF(M55="","",DEGREES(ACOS(AK55))))</f>
        <v>25.835147887414021</v>
      </c>
      <c r="AP55" s="624">
        <f t="shared" si="432"/>
        <v>-25.044611784308415</v>
      </c>
      <c r="AQ55" s="625">
        <f t="shared" si="248"/>
        <v>2.1612025229218479</v>
      </c>
      <c r="AS55" s="56">
        <f t="shared" si="410"/>
        <v>-168.11002770548413</v>
      </c>
      <c r="AT55" s="77">
        <f t="shared" si="249"/>
        <v>-1.3781048560559661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4.1479999999999997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5"/>
        <v/>
      </c>
      <c r="IK55" s="839" t="str">
        <f t="shared" si="386"/>
        <v/>
      </c>
      <c r="IL55" s="791" t="str">
        <f t="shared" si="227"/>
        <v/>
      </c>
      <c r="IM55" s="830"/>
      <c r="IN55" s="5" t="str">
        <f t="shared" si="228"/>
        <v/>
      </c>
      <c r="IO55" s="852"/>
      <c r="IP55" s="9" t="str">
        <f t="shared" si="229"/>
        <v/>
      </c>
      <c r="IQ55" s="5" t="str">
        <f t="shared" si="230"/>
        <v/>
      </c>
      <c r="IR55" s="5" t="str">
        <f t="shared" si="387"/>
        <v/>
      </c>
      <c r="IS55" s="5" t="str">
        <f t="shared" si="231"/>
        <v/>
      </c>
      <c r="IT55" s="791" t="str">
        <f t="shared" si="232"/>
        <v/>
      </c>
      <c r="IU55" s="9" t="str">
        <f t="shared" si="233"/>
        <v/>
      </c>
      <c r="IV55" s="5" t="str">
        <f t="shared" si="234"/>
        <v/>
      </c>
      <c r="IW55" s="5" t="str">
        <f t="shared" si="388"/>
        <v/>
      </c>
      <c r="IX55" s="5" t="str">
        <f t="shared" si="235"/>
        <v/>
      </c>
      <c r="IY55" s="833" t="str">
        <f t="shared" si="236"/>
        <v/>
      </c>
    </row>
    <row r="56" spans="1:259" ht="15" customHeight="1" x14ac:dyDescent="0.25">
      <c r="A56" s="84">
        <f t="shared" si="81"/>
        <v>0.02</v>
      </c>
      <c r="B56" s="770">
        <v>1.1850444355585368</v>
      </c>
      <c r="C56" s="771">
        <v>-5.7364932156781911</v>
      </c>
      <c r="D56" s="772">
        <v>-2.7572083157402805</v>
      </c>
      <c r="E56" s="773">
        <v>0.93981487971788868</v>
      </c>
      <c r="F56" s="771">
        <v>-0.33576479316859109</v>
      </c>
      <c r="G56" s="774">
        <v>6.3324525496080711E-2</v>
      </c>
      <c r="H56" s="773">
        <v>0.314</v>
      </c>
      <c r="I56" s="771">
        <v>0.52</v>
      </c>
      <c r="J56" s="601">
        <v>4.1550000000000002</v>
      </c>
      <c r="K56" s="426" t="str">
        <f t="shared" si="82"/>
        <v>1613</v>
      </c>
      <c r="L56" s="327"/>
      <c r="M56" s="173">
        <f t="shared" si="241"/>
        <v>4.1550000000000002</v>
      </c>
      <c r="N56" s="21">
        <f t="shared" si="242"/>
        <v>1.1850444355585368</v>
      </c>
      <c r="O56" s="5">
        <f t="shared" si="243"/>
        <v>-5.7364932156781911</v>
      </c>
      <c r="P56" s="10">
        <f t="shared" si="244"/>
        <v>-2.7572083157402805</v>
      </c>
      <c r="Q56" s="624">
        <f t="shared" si="116"/>
        <v>281.67197232599119</v>
      </c>
      <c r="R56" s="5">
        <f t="shared" si="414"/>
        <v>5.8576176665748818</v>
      </c>
      <c r="S56" s="6">
        <f t="shared" si="415"/>
        <v>-2.7572083157402805</v>
      </c>
      <c r="T56" s="4">
        <f t="shared" si="416"/>
        <v>-5.7363897792143979</v>
      </c>
      <c r="U56" s="5">
        <f t="shared" si="417"/>
        <v>-1.1855450344439697</v>
      </c>
      <c r="V56" s="8">
        <f t="shared" si="418"/>
        <v>-2.7572083157402805</v>
      </c>
      <c r="W56" s="624">
        <f t="shared" si="226"/>
        <v>191.67697232526928</v>
      </c>
      <c r="X56" s="5">
        <f t="shared" si="419"/>
        <v>5.8576176665748818</v>
      </c>
      <c r="Y56" s="7">
        <f t="shared" si="225"/>
        <v>-2.7572083157402805</v>
      </c>
      <c r="Z56" s="21">
        <f t="shared" si="245"/>
        <v>-0.93981487971788868</v>
      </c>
      <c r="AA56" s="5">
        <f t="shared" si="246"/>
        <v>0.33576479316859109</v>
      </c>
      <c r="AB56" s="5">
        <f t="shared" si="247"/>
        <v>-6.3324525496080711E-2</v>
      </c>
      <c r="AC56" s="8">
        <f t="shared" si="420"/>
        <v>1</v>
      </c>
      <c r="AD56" s="9">
        <f t="shared" si="421"/>
        <v>-0.93981487971788868</v>
      </c>
      <c r="AE56" s="5">
        <f t="shared" si="422"/>
        <v>0.33576479316859109</v>
      </c>
      <c r="AF56" s="10">
        <f t="shared" si="423"/>
        <v>-6.3324525496080711E-2</v>
      </c>
      <c r="AG56" s="622">
        <f t="shared" si="424"/>
        <v>79.319589737304455</v>
      </c>
      <c r="AH56" s="623">
        <f t="shared" si="425"/>
        <v>160.02049108598845</v>
      </c>
      <c r="AI56" s="624">
        <f t="shared" si="426"/>
        <v>-86.369342700228955</v>
      </c>
      <c r="AJ56" s="625">
        <f t="shared" si="427"/>
        <v>-109.66012937517831</v>
      </c>
      <c r="AK56" s="4">
        <f t="shared" si="428"/>
        <v>0.85245329516597368</v>
      </c>
      <c r="AL56" s="5">
        <f t="shared" si="429"/>
        <v>-0.51895412517039463</v>
      </c>
      <c r="AM56" s="6">
        <f t="shared" si="430"/>
        <v>-6.3324525496080711E-2</v>
      </c>
      <c r="AN56" s="612">
        <f t="shared" si="431"/>
        <v>-83.042969851447282</v>
      </c>
      <c r="AO56" s="613">
        <f t="shared" ref="AO56:AO119" si="465">IF(ROUND(IF(M56="",0,DEGREES(ACOS(AK56))),4)=90,0,IF(M56="","",DEGREES(ACOS(AK56))))</f>
        <v>31.520485594018428</v>
      </c>
      <c r="AP56" s="624">
        <f t="shared" si="432"/>
        <v>-31.332101701169524</v>
      </c>
      <c r="AQ56" s="625">
        <f t="shared" si="248"/>
        <v>2.1162311302534529</v>
      </c>
      <c r="AS56" s="56">
        <f t="shared" si="410"/>
        <v>-168.32302767473072</v>
      </c>
      <c r="AT56" s="77">
        <f t="shared" si="249"/>
        <v>-2.1213024334162469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4.1550000000000002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5"/>
        <v/>
      </c>
      <c r="IK56" s="839" t="str">
        <f t="shared" si="386"/>
        <v/>
      </c>
      <c r="IL56" s="791" t="str">
        <f t="shared" si="227"/>
        <v/>
      </c>
      <c r="IM56" s="830"/>
      <c r="IN56" s="5" t="str">
        <f t="shared" si="228"/>
        <v/>
      </c>
      <c r="IO56" s="852"/>
      <c r="IP56" s="9" t="str">
        <f t="shared" si="229"/>
        <v/>
      </c>
      <c r="IQ56" s="5" t="str">
        <f t="shared" si="230"/>
        <v/>
      </c>
      <c r="IR56" s="5" t="str">
        <f t="shared" si="387"/>
        <v/>
      </c>
      <c r="IS56" s="5" t="str">
        <f t="shared" si="231"/>
        <v/>
      </c>
      <c r="IT56" s="791" t="str">
        <f t="shared" si="232"/>
        <v/>
      </c>
      <c r="IU56" s="9" t="str">
        <f t="shared" si="233"/>
        <v/>
      </c>
      <c r="IV56" s="5" t="str">
        <f t="shared" si="234"/>
        <v/>
      </c>
      <c r="IW56" s="5" t="str">
        <f t="shared" si="388"/>
        <v/>
      </c>
      <c r="IX56" s="5" t="str">
        <f t="shared" si="235"/>
        <v/>
      </c>
      <c r="IY56" s="833" t="str">
        <f t="shared" si="236"/>
        <v/>
      </c>
    </row>
    <row r="57" spans="1:259" ht="15" customHeight="1" x14ac:dyDescent="0.25">
      <c r="A57" s="84">
        <f t="shared" si="81"/>
        <v>0.02</v>
      </c>
      <c r="B57" s="770">
        <v>1.1869740689988186</v>
      </c>
      <c r="C57" s="771">
        <v>-5.8185822875096562</v>
      </c>
      <c r="D57" s="772">
        <v>-3.4659104531859271</v>
      </c>
      <c r="E57" s="773">
        <v>0.91726857609531953</v>
      </c>
      <c r="F57" s="771">
        <v>-0.39826920456903053</v>
      </c>
      <c r="G57" s="774">
        <v>1.3008419222672713E-7</v>
      </c>
      <c r="H57" s="773">
        <v>0.26600000000000001</v>
      </c>
      <c r="I57" s="771">
        <v>0.52</v>
      </c>
      <c r="J57" s="601">
        <v>4.1619999999999999</v>
      </c>
      <c r="K57" s="426" t="str">
        <f t="shared" si="82"/>
        <v>1313</v>
      </c>
      <c r="L57" s="327"/>
      <c r="M57" s="173">
        <f t="shared" si="241"/>
        <v>4.1619999999999999</v>
      </c>
      <c r="N57" s="21">
        <f t="shared" si="242"/>
        <v>1.1869740689988186</v>
      </c>
      <c r="O57" s="5">
        <f t="shared" si="243"/>
        <v>-5.8185822875096562</v>
      </c>
      <c r="P57" s="10">
        <f t="shared" si="244"/>
        <v>-3.4659104531859271</v>
      </c>
      <c r="Q57" s="624">
        <f t="shared" si="116"/>
        <v>281.52997234649342</v>
      </c>
      <c r="R57" s="5">
        <f t="shared" si="414"/>
        <v>5.9384179102684174</v>
      </c>
      <c r="S57" s="6">
        <f t="shared" si="415"/>
        <v>-3.4659104531859271</v>
      </c>
      <c r="T57" s="4">
        <f t="shared" si="416"/>
        <v>-5.8184786823410315</v>
      </c>
      <c r="U57" s="5">
        <f t="shared" si="417"/>
        <v>-1.1874818314987763</v>
      </c>
      <c r="V57" s="8">
        <f t="shared" si="418"/>
        <v>-3.4659104531859271</v>
      </c>
      <c r="W57" s="624">
        <f t="shared" si="226"/>
        <v>191.53497234577151</v>
      </c>
      <c r="X57" s="5">
        <f t="shared" si="419"/>
        <v>5.9384179102684174</v>
      </c>
      <c r="Y57" s="7">
        <f t="shared" si="225"/>
        <v>-3.4659104531859271</v>
      </c>
      <c r="Z57" s="21">
        <f t="shared" si="245"/>
        <v>-0.91726857609531953</v>
      </c>
      <c r="AA57" s="5">
        <f t="shared" si="246"/>
        <v>0.39826920456903053</v>
      </c>
      <c r="AB57" s="5">
        <f t="shared" si="247"/>
        <v>-1.3008419222672713E-7</v>
      </c>
      <c r="AC57" s="8">
        <f t="shared" si="420"/>
        <v>1</v>
      </c>
      <c r="AD57" s="9">
        <f t="shared" si="421"/>
        <v>-0.91726857609531953</v>
      </c>
      <c r="AE57" s="5">
        <f t="shared" si="422"/>
        <v>0.39826920456903053</v>
      </c>
      <c r="AF57" s="10">
        <f t="shared" si="423"/>
        <v>-1.3008419222672713E-7</v>
      </c>
      <c r="AG57" s="622">
        <f t="shared" si="424"/>
        <v>89.999981285836043</v>
      </c>
      <c r="AH57" s="623">
        <f t="shared" si="425"/>
        <v>156.52997739986705</v>
      </c>
      <c r="AI57" s="624">
        <f t="shared" si="426"/>
        <v>-89.999992546724798</v>
      </c>
      <c r="AJ57" s="625">
        <f t="shared" si="427"/>
        <v>-113.47002260013184</v>
      </c>
      <c r="AK57" s="4">
        <f t="shared" si="428"/>
        <v>0.81915209487729201</v>
      </c>
      <c r="AL57" s="5">
        <f t="shared" si="429"/>
        <v>-0.57357636410344459</v>
      </c>
      <c r="AM57" s="6">
        <f t="shared" si="430"/>
        <v>-1.3008419222672713E-7</v>
      </c>
      <c r="AN57" s="612">
        <f t="shared" si="431"/>
        <v>-89.999987005609611</v>
      </c>
      <c r="AO57" s="613">
        <f t="shared" si="465"/>
        <v>34.999994946625954</v>
      </c>
      <c r="AP57" s="624">
        <f t="shared" si="432"/>
        <v>-34.999994946625264</v>
      </c>
      <c r="AQ57" s="625">
        <f t="shared" si="248"/>
        <v>2.087462579638407</v>
      </c>
      <c r="AS57" s="56">
        <f t="shared" si="410"/>
        <v>-168.46502765422849</v>
      </c>
      <c r="AT57" s="77">
        <f t="shared" si="249"/>
        <v>-2.829468126494902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4"/>
        <v>4.1619999999999999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5"/>
        <v/>
      </c>
      <c r="IK57" s="839" t="str">
        <f t="shared" si="386"/>
        <v/>
      </c>
      <c r="IL57" s="791" t="str">
        <f t="shared" si="227"/>
        <v/>
      </c>
      <c r="IM57" s="830"/>
      <c r="IN57" s="5" t="str">
        <f t="shared" si="228"/>
        <v/>
      </c>
      <c r="IO57" s="852"/>
      <c r="IP57" s="9" t="str">
        <f t="shared" si="229"/>
        <v/>
      </c>
      <c r="IQ57" s="5" t="str">
        <f t="shared" si="230"/>
        <v/>
      </c>
      <c r="IR57" s="5" t="str">
        <f t="shared" si="387"/>
        <v/>
      </c>
      <c r="IS57" s="5" t="str">
        <f t="shared" si="231"/>
        <v/>
      </c>
      <c r="IT57" s="791" t="str">
        <f t="shared" si="232"/>
        <v/>
      </c>
      <c r="IU57" s="9" t="str">
        <f t="shared" si="233"/>
        <v/>
      </c>
      <c r="IV57" s="5" t="str">
        <f t="shared" si="234"/>
        <v/>
      </c>
      <c r="IW57" s="5" t="str">
        <f t="shared" si="388"/>
        <v/>
      </c>
      <c r="IX57" s="5" t="str">
        <f t="shared" si="235"/>
        <v/>
      </c>
      <c r="IY57" s="833" t="str">
        <f t="shared" si="236"/>
        <v/>
      </c>
    </row>
    <row r="58" spans="1:259" ht="15" customHeight="1" x14ac:dyDescent="0.25">
      <c r="A58" s="84">
        <f t="shared" si="81"/>
        <v>0.02</v>
      </c>
      <c r="B58" s="770">
        <v>0.14148165071740185</v>
      </c>
      <c r="C58" s="771">
        <v>-4.3497363093539914</v>
      </c>
      <c r="D58" s="772">
        <v>-0.27162758880300431</v>
      </c>
      <c r="E58" s="773">
        <v>0.90770645511200032</v>
      </c>
      <c r="F58" s="771">
        <v>-0.19603661729578775</v>
      </c>
      <c r="G58" s="774">
        <v>0.37099681403919255</v>
      </c>
      <c r="H58" s="773">
        <v>0.26600000000000001</v>
      </c>
      <c r="I58" s="771">
        <v>0.52</v>
      </c>
      <c r="J58" s="601">
        <v>4.2270000000000003</v>
      </c>
      <c r="K58" s="426" t="str">
        <f t="shared" si="82"/>
        <v>1313</v>
      </c>
      <c r="L58" s="327"/>
      <c r="M58" s="173">
        <f t="shared" si="241"/>
        <v>4.2270000000000003</v>
      </c>
      <c r="N58" s="21">
        <f t="shared" si="242"/>
        <v>0.14148165071740185</v>
      </c>
      <c r="O58" s="5">
        <f t="shared" si="243"/>
        <v>-4.3497363093539914</v>
      </c>
      <c r="P58" s="10">
        <f t="shared" si="244"/>
        <v>-0.27162758880300431</v>
      </c>
      <c r="Q58" s="624">
        <f t="shared" si="116"/>
        <v>271.86297374223534</v>
      </c>
      <c r="R58" s="5">
        <f t="shared" si="414"/>
        <v>4.3520366517760625</v>
      </c>
      <c r="S58" s="6">
        <f t="shared" si="415"/>
        <v>-0.27162758880300431</v>
      </c>
      <c r="T58" s="4">
        <f t="shared" si="416"/>
        <v>-4.3497239461900454</v>
      </c>
      <c r="U58" s="5">
        <f t="shared" si="417"/>
        <v>-0.14186123622435165</v>
      </c>
      <c r="V58" s="8">
        <f t="shared" si="418"/>
        <v>-0.27162758880300431</v>
      </c>
      <c r="W58" s="624">
        <f t="shared" si="226"/>
        <v>181.86797374151342</v>
      </c>
      <c r="X58" s="5">
        <f t="shared" si="419"/>
        <v>4.3520366517760625</v>
      </c>
      <c r="Y58" s="7">
        <f t="shared" si="225"/>
        <v>-0.27162758880300431</v>
      </c>
      <c r="Z58" s="21">
        <f t="shared" si="245"/>
        <v>-0.90770645511200032</v>
      </c>
      <c r="AA58" s="5">
        <f t="shared" si="246"/>
        <v>0.19603661729578775</v>
      </c>
      <c r="AB58" s="5">
        <f t="shared" si="247"/>
        <v>-0.37099681403919255</v>
      </c>
      <c r="AC58" s="8">
        <f t="shared" si="420"/>
        <v>1</v>
      </c>
      <c r="AD58" s="9">
        <f t="shared" si="421"/>
        <v>-0.90770645511200032</v>
      </c>
      <c r="AE58" s="5">
        <f t="shared" si="422"/>
        <v>0.19603661729578775</v>
      </c>
      <c r="AF58" s="10">
        <f t="shared" si="423"/>
        <v>-0.37099681403919255</v>
      </c>
      <c r="AG58" s="622">
        <f t="shared" si="424"/>
        <v>27.852202413631844</v>
      </c>
      <c r="AH58" s="623">
        <f t="shared" si="425"/>
        <v>155.19030021039464</v>
      </c>
      <c r="AI58" s="624">
        <f t="shared" si="426"/>
        <v>-68.222893476781152</v>
      </c>
      <c r="AJ58" s="625">
        <f t="shared" si="427"/>
        <v>-102.18694596032397</v>
      </c>
      <c r="AK58" s="4">
        <f t="shared" si="428"/>
        <v>0.90085365899196423</v>
      </c>
      <c r="AL58" s="5">
        <f t="shared" si="429"/>
        <v>-0.22544189728965375</v>
      </c>
      <c r="AM58" s="6">
        <f t="shared" si="430"/>
        <v>-0.37099681403919255</v>
      </c>
      <c r="AN58" s="612">
        <f t="shared" si="431"/>
        <v>-31.285598873295342</v>
      </c>
      <c r="AO58" s="613">
        <f t="shared" si="465"/>
        <v>25.729495239324784</v>
      </c>
      <c r="AP58" s="624">
        <f t="shared" si="432"/>
        <v>-14.049919702559313</v>
      </c>
      <c r="AQ58" s="625">
        <f t="shared" si="248"/>
        <v>2.8472881344391636</v>
      </c>
      <c r="AS58" s="56">
        <f t="shared" si="410"/>
        <v>-178.13202625848658</v>
      </c>
      <c r="AT58" s="77">
        <f t="shared" si="249"/>
        <v>0.4013345103929955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>
        <f>IFERROR(IF($IU58="","",IF($IU58&lt;(((Settings!$C$19/2)*-1)*$IE$8),"",1)),"")</f>
        <v>1</v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4.2270000000000003</v>
      </c>
      <c r="IH58" s="797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4.1269999999999998</v>
      </c>
      <c r="II58" s="800" cm="1">
        <f t="array" ref="II58">IFERROR(IF($IH58&lt;1,$IH58+LARGE((IF($M$9:$M$150="",0,$M$9:$M$150)-MOD(IF($M$9:$M$150="",0,$M$9:$M$150),1)),1),$IH58),"")</f>
        <v>4.1269999999999998</v>
      </c>
      <c r="IJ58" s="839" t="str">
        <f t="shared" si="385"/>
        <v>1613</v>
      </c>
      <c r="IK58" s="839" t="str">
        <f t="shared" si="386"/>
        <v>1313</v>
      </c>
      <c r="IL58" s="791">
        <f t="shared" si="227"/>
        <v>12.283998226410063</v>
      </c>
      <c r="IM58" s="830">
        <v>1.29818132872172E-2</v>
      </c>
      <c r="IN58" s="5">
        <f t="shared" si="228"/>
        <v>0.34</v>
      </c>
      <c r="IO58" s="852">
        <v>170</v>
      </c>
      <c r="IP58" s="9">
        <f t="shared" si="229"/>
        <v>-4.3342130719866248</v>
      </c>
      <c r="IQ58" s="5">
        <f t="shared" si="230"/>
        <v>-0.3175009575828881</v>
      </c>
      <c r="IR58" s="5">
        <f t="shared" si="387"/>
        <v>0.314</v>
      </c>
      <c r="IS58" s="5">
        <f t="shared" si="231"/>
        <v>0.3014754507641525</v>
      </c>
      <c r="IT58" s="791">
        <f t="shared" si="232"/>
        <v>39.734594006201981</v>
      </c>
      <c r="IU58" s="9">
        <f t="shared" si="233"/>
        <v>-4.3520366517760625</v>
      </c>
      <c r="IV58" s="5">
        <f t="shared" si="234"/>
        <v>-0.27162758880300431</v>
      </c>
      <c r="IW58" s="5">
        <f t="shared" si="388"/>
        <v>0.26600000000000001</v>
      </c>
      <c r="IX58" s="5">
        <f t="shared" si="235"/>
        <v>0.23962707329186253</v>
      </c>
      <c r="IY58" s="833">
        <f t="shared" si="236"/>
        <v>31.285598873295342</v>
      </c>
    </row>
    <row r="59" spans="1:259" ht="15" customHeight="1" x14ac:dyDescent="0.25">
      <c r="A59" s="84">
        <f t="shared" si="81"/>
        <v>0.02</v>
      </c>
      <c r="B59" s="770">
        <v>0.18578106373373679</v>
      </c>
      <c r="C59" s="771">
        <v>-4.9857917470167266</v>
      </c>
      <c r="D59" s="772">
        <v>-0.69422407967661304</v>
      </c>
      <c r="E59" s="773">
        <v>0.90178562873394896</v>
      </c>
      <c r="F59" s="771">
        <v>-0.29401495014601403</v>
      </c>
      <c r="G59" s="774">
        <v>0.3167615647447673</v>
      </c>
      <c r="H59" s="773">
        <v>0.26600000000000001</v>
      </c>
      <c r="I59" s="771">
        <v>0.52</v>
      </c>
      <c r="J59" s="601">
        <v>4.234</v>
      </c>
      <c r="K59" s="426" t="str">
        <f t="shared" si="82"/>
        <v>1313</v>
      </c>
      <c r="L59" s="327"/>
      <c r="M59" s="173">
        <f t="shared" si="241"/>
        <v>4.234</v>
      </c>
      <c r="N59" s="21">
        <f t="shared" si="242"/>
        <v>0.18578106373373679</v>
      </c>
      <c r="O59" s="5">
        <f t="shared" si="243"/>
        <v>-4.9857917470167266</v>
      </c>
      <c r="P59" s="10">
        <f t="shared" si="244"/>
        <v>-0.69422407967661304</v>
      </c>
      <c r="Q59" s="624">
        <f t="shared" si="116"/>
        <v>272.13397370310781</v>
      </c>
      <c r="R59" s="5">
        <f t="shared" si="83"/>
        <v>4.98925184253733</v>
      </c>
      <c r="S59" s="6">
        <f t="shared" si="84"/>
        <v>-0.69422407967661304</v>
      </c>
      <c r="T59" s="4">
        <f t="shared" si="85"/>
        <v>-4.9857755155783554</v>
      </c>
      <c r="U59" s="5">
        <f t="shared" si="86"/>
        <v>-0.18621615537198485</v>
      </c>
      <c r="V59" s="8">
        <f t="shared" si="117"/>
        <v>-0.69422407967661304</v>
      </c>
      <c r="W59" s="624">
        <f t="shared" si="226"/>
        <v>182.1389737023859</v>
      </c>
      <c r="X59" s="5">
        <f t="shared" si="87"/>
        <v>4.98925184253733</v>
      </c>
      <c r="Y59" s="7">
        <f t="shared" si="225"/>
        <v>-0.69422407967661304</v>
      </c>
      <c r="Z59" s="21">
        <f t="shared" si="245"/>
        <v>-0.90178562873394896</v>
      </c>
      <c r="AA59" s="5">
        <f t="shared" si="246"/>
        <v>0.29401495014601403</v>
      </c>
      <c r="AB59" s="5">
        <f t="shared" si="247"/>
        <v>-0.3167615647447673</v>
      </c>
      <c r="AC59" s="8">
        <f t="shared" si="88"/>
        <v>1</v>
      </c>
      <c r="AD59" s="9">
        <f t="shared" si="118"/>
        <v>-0.90178562873394896</v>
      </c>
      <c r="AE59" s="5">
        <f t="shared" si="89"/>
        <v>0.29401495014601403</v>
      </c>
      <c r="AF59" s="10">
        <f t="shared" si="90"/>
        <v>-0.3167615647447673</v>
      </c>
      <c r="AG59" s="622">
        <f t="shared" si="91"/>
        <v>42.867169181683614</v>
      </c>
      <c r="AH59" s="623">
        <f t="shared" si="92"/>
        <v>154.39378194177229</v>
      </c>
      <c r="AI59" s="624">
        <f t="shared" si="93"/>
        <v>-71.532809348211288</v>
      </c>
      <c r="AJ59" s="625">
        <f t="shared" si="94"/>
        <v>-108.05785421411264</v>
      </c>
      <c r="AK59" s="4">
        <f t="shared" si="213"/>
        <v>0.89021221523856808</v>
      </c>
      <c r="AL59" s="5">
        <f t="shared" si="95"/>
        <v>-0.32739016927893266</v>
      </c>
      <c r="AM59" s="6">
        <f t="shared" si="96"/>
        <v>-0.3167615647447673</v>
      </c>
      <c r="AN59" s="612">
        <f t="shared" si="97"/>
        <v>-45.945303557109376</v>
      </c>
      <c r="AO59" s="613">
        <f t="shared" si="465"/>
        <v>27.100074127746641</v>
      </c>
      <c r="AP59" s="624">
        <f t="shared" si="99"/>
        <v>-20.191827917220454</v>
      </c>
      <c r="AQ59" s="625">
        <f t="shared" si="248"/>
        <v>2.4841281901607637</v>
      </c>
      <c r="AS59" s="56">
        <f t="shared" si="410"/>
        <v>-177.8610262976141</v>
      </c>
      <c r="AT59" s="77">
        <f t="shared" si="249"/>
        <v>-2.2285758110575871E-2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>
        <f>IFERROR(IF((((($IW59*COS(RADIANS(180-$IY59)))*COS(RADIANS($IY59)))-(($IX59*SIN(RADIANS(180-$IY59)))*SIN(RADIANS($IY59))))+$IU59)&lt;(((Settings!$C$19/2)*-1)+$IF$8),1,""),"")</f>
        <v>1</v>
      </c>
      <c r="IG59" s="836">
        <f t="shared" si="384"/>
        <v>4.234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4.1340000000000003</v>
      </c>
      <c r="II59" s="800" cm="1">
        <f t="array" ref="II59">IFERROR(IF($IH59&lt;1,$IH59+LARGE((IF($M$9:$M$150="",0,$M$9:$M$150)-MOD(IF($M$9:$M$150="",0,$M$9:$M$150),1)),1),$IH59),"")</f>
        <v>4.1340000000000003</v>
      </c>
      <c r="IJ59" s="839" t="str">
        <f t="shared" si="385"/>
        <v>1613</v>
      </c>
      <c r="IK59" s="839" t="str">
        <f t="shared" si="386"/>
        <v>1313</v>
      </c>
      <c r="IL59" s="791">
        <f t="shared" si="227"/>
        <v>11.051998404288838</v>
      </c>
      <c r="IM59" s="830">
        <v>1.05955376587899E-2</v>
      </c>
      <c r="IN59" s="5">
        <f t="shared" si="228"/>
        <v>0.34</v>
      </c>
      <c r="IO59" s="852">
        <v>170</v>
      </c>
      <c r="IP59" s="9">
        <f t="shared" si="229"/>
        <v>-4.9595149578971132</v>
      </c>
      <c r="IQ59" s="5">
        <f t="shared" si="230"/>
        <v>-0.73710222310030493</v>
      </c>
      <c r="IR59" s="5">
        <f t="shared" si="387"/>
        <v>0.314</v>
      </c>
      <c r="IS59" s="5">
        <f t="shared" si="231"/>
        <v>0.29895418578791877</v>
      </c>
      <c r="IT59" s="791">
        <f t="shared" si="232"/>
        <v>55.122375388202165</v>
      </c>
      <c r="IU59" s="9">
        <f t="shared" si="233"/>
        <v>-4.98925184253733</v>
      </c>
      <c r="IV59" s="5">
        <f t="shared" si="234"/>
        <v>-0.69422407967661304</v>
      </c>
      <c r="IW59" s="5">
        <f t="shared" si="388"/>
        <v>0.26600000000000001</v>
      </c>
      <c r="IX59" s="5">
        <f t="shared" si="235"/>
        <v>0.23679644925345916</v>
      </c>
      <c r="IY59" s="833">
        <f t="shared" si="236"/>
        <v>45.945303557109376</v>
      </c>
    </row>
    <row r="60" spans="1:259" ht="15" customHeight="1" x14ac:dyDescent="0.25">
      <c r="A60" s="84">
        <f t="shared" si="81"/>
        <v>0.02</v>
      </c>
      <c r="B60" s="770">
        <v>0.19948826377023401</v>
      </c>
      <c r="C60" s="771">
        <v>-5.4717046434312833</v>
      </c>
      <c r="D60" s="772">
        <v>-1.2846921433841949</v>
      </c>
      <c r="E60" s="773">
        <v>0.88649056568164075</v>
      </c>
      <c r="F60" s="771">
        <v>-0.38730980108233121</v>
      </c>
      <c r="G60" s="774">
        <v>0.25323031995203438</v>
      </c>
      <c r="H60" s="773">
        <v>0.26600000000000001</v>
      </c>
      <c r="I60" s="771">
        <v>0.52</v>
      </c>
      <c r="J60" s="601">
        <v>4.2409999999999997</v>
      </c>
      <c r="K60" s="426" t="str">
        <f t="shared" si="82"/>
        <v>1313</v>
      </c>
      <c r="L60" s="327"/>
      <c r="M60" s="173">
        <f t="shared" si="241"/>
        <v>4.2409999999999997</v>
      </c>
      <c r="N60" s="21">
        <f t="shared" si="242"/>
        <v>0.19948826377023401</v>
      </c>
      <c r="O60" s="5">
        <f t="shared" si="243"/>
        <v>-5.4717046434312833</v>
      </c>
      <c r="P60" s="10">
        <f t="shared" si="244"/>
        <v>-1.2846921433841949</v>
      </c>
      <c r="Q60" s="624">
        <f t="shared" si="116"/>
        <v>272.08797370974935</v>
      </c>
      <c r="R60" s="5">
        <f t="shared" si="83"/>
        <v>5.4753399229937791</v>
      </c>
      <c r="S60" s="6">
        <f t="shared" si="84"/>
        <v>-1.2846921433841949</v>
      </c>
      <c r="T60" s="4">
        <f t="shared" si="85"/>
        <v>-5.4716872139640085</v>
      </c>
      <c r="U60" s="5">
        <f t="shared" si="86"/>
        <v>-0.19996575924971213</v>
      </c>
      <c r="V60" s="8">
        <f t="shared" si="117"/>
        <v>-1.2846921433841949</v>
      </c>
      <c r="W60" s="624">
        <f t="shared" si="226"/>
        <v>182.09297370902743</v>
      </c>
      <c r="X60" s="5">
        <f t="shared" si="87"/>
        <v>5.4753399229937791</v>
      </c>
      <c r="Y60" s="7">
        <f t="shared" si="225"/>
        <v>-1.2846921433841949</v>
      </c>
      <c r="Z60" s="21">
        <f t="shared" si="245"/>
        <v>-0.88649056568164075</v>
      </c>
      <c r="AA60" s="5">
        <f t="shared" si="246"/>
        <v>0.38730980108233121</v>
      </c>
      <c r="AB60" s="5">
        <f t="shared" si="247"/>
        <v>-0.25323031995203438</v>
      </c>
      <c r="AC60" s="8">
        <f t="shared" si="88"/>
        <v>1</v>
      </c>
      <c r="AD60" s="9">
        <f t="shared" si="118"/>
        <v>-0.88649056568164075</v>
      </c>
      <c r="AE60" s="5">
        <f t="shared" si="89"/>
        <v>0.38730980108233121</v>
      </c>
      <c r="AF60" s="10">
        <f t="shared" si="90"/>
        <v>-0.25323031995203438</v>
      </c>
      <c r="AG60" s="622">
        <f t="shared" si="91"/>
        <v>56.822597587784777</v>
      </c>
      <c r="AH60" s="623">
        <f t="shared" si="92"/>
        <v>152.43551264286052</v>
      </c>
      <c r="AI60" s="624">
        <f t="shared" si="93"/>
        <v>-75.331251433002137</v>
      </c>
      <c r="AJ60" s="625">
        <f t="shared" si="94"/>
        <v>-113.60062934731599</v>
      </c>
      <c r="AK60" s="4">
        <f t="shared" si="213"/>
        <v>0.87179076586521786</v>
      </c>
      <c r="AL60" s="5">
        <f t="shared" si="95"/>
        <v>-0.41935100525589203</v>
      </c>
      <c r="AM60" s="6">
        <f t="shared" si="96"/>
        <v>-0.25323031995203438</v>
      </c>
      <c r="AN60" s="612">
        <f t="shared" si="97"/>
        <v>-58.873799143140204</v>
      </c>
      <c r="AO60" s="613">
        <f t="shared" si="465"/>
        <v>29.33259039746665</v>
      </c>
      <c r="AP60" s="624">
        <f t="shared" si="99"/>
        <v>-25.688603057065329</v>
      </c>
      <c r="AQ60" s="625">
        <f t="shared" si="248"/>
        <v>2.2638336156127115</v>
      </c>
      <c r="AS60" s="56">
        <f t="shared" si="410"/>
        <v>-177.90702629097257</v>
      </c>
      <c r="AT60" s="77">
        <f t="shared" si="249"/>
        <v>-0.61258004406547018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>
        <f>IFERROR(IF((((($IW60*COS(RADIANS(180-$IY60)))*COS(RADIANS($IY60)))-(($IX60*SIN(RADIANS(180-$IY60)))*SIN(RADIANS($IY60))))+$IU60)&lt;(((Settings!$C$19/2)*-1)+$IF$8),1,""),"")</f>
        <v>1</v>
      </c>
      <c r="IG60" s="836">
        <f t="shared" si="384"/>
        <v>4.2409999999999997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4.141</v>
      </c>
      <c r="II60" s="800" cm="1">
        <f t="array" ref="II60">IFERROR(IF($IH60&lt;1,$IH60+LARGE((IF($M$9:$M$150="",0,$M$9:$M$150)-MOD(IF($M$9:$M$150="",0,$M$9:$M$150),1)),1),$IH60),"")</f>
        <v>4.141</v>
      </c>
      <c r="IJ60" s="839" t="str">
        <f t="shared" si="385"/>
        <v>1613</v>
      </c>
      <c r="IK60" s="839" t="str">
        <f t="shared" si="386"/>
        <v>1313</v>
      </c>
      <c r="IL60" s="791">
        <f t="shared" si="227"/>
        <v>10.312998510987256</v>
      </c>
      <c r="IM60" s="830">
        <v>8.4110854934905301E-3</v>
      </c>
      <c r="IN60" s="5">
        <f t="shared" si="228"/>
        <v>0.3</v>
      </c>
      <c r="IO60" s="852">
        <v>150</v>
      </c>
      <c r="IP60" s="9">
        <f t="shared" si="229"/>
        <v>-5.4344163901998321</v>
      </c>
      <c r="IQ60" s="5">
        <f t="shared" si="230"/>
        <v>-1.3220039871640255</v>
      </c>
      <c r="IR60" s="5">
        <f t="shared" si="387"/>
        <v>0.314</v>
      </c>
      <c r="IS60" s="5">
        <f t="shared" si="231"/>
        <v>0.29485826206907856</v>
      </c>
      <c r="IT60" s="791">
        <f t="shared" si="232"/>
        <v>67.44631570992</v>
      </c>
      <c r="IU60" s="9">
        <f t="shared" si="233"/>
        <v>-5.4753399229937791</v>
      </c>
      <c r="IV60" s="5">
        <f t="shared" si="234"/>
        <v>-1.2846921433841949</v>
      </c>
      <c r="IW60" s="5">
        <f t="shared" si="388"/>
        <v>0.26600000000000001</v>
      </c>
      <c r="IX60" s="5">
        <f t="shared" si="235"/>
        <v>0.231896343720148</v>
      </c>
      <c r="IY60" s="833">
        <f t="shared" si="236"/>
        <v>58.873799143140204</v>
      </c>
    </row>
    <row r="61" spans="1:259" ht="15" customHeight="1" x14ac:dyDescent="0.25">
      <c r="A61" s="84">
        <f t="shared" si="81"/>
        <v>0.02</v>
      </c>
      <c r="B61" s="770">
        <v>0.19925425484101203</v>
      </c>
      <c r="C61" s="771">
        <v>-5.7841191478780978</v>
      </c>
      <c r="D61" s="772">
        <v>-1.9831611847890893</v>
      </c>
      <c r="E61" s="773">
        <v>0.83484326940084852</v>
      </c>
      <c r="F61" s="771">
        <v>-0.50994274404813056</v>
      </c>
      <c r="G61" s="774">
        <v>0.2073526303878615</v>
      </c>
      <c r="H61" s="773">
        <v>0.26600000000000001</v>
      </c>
      <c r="I61" s="771">
        <v>0.52</v>
      </c>
      <c r="J61" s="601">
        <v>4.2480000000000002</v>
      </c>
      <c r="K61" s="426" t="str">
        <f t="shared" si="82"/>
        <v>1313</v>
      </c>
      <c r="L61" s="327"/>
      <c r="M61" s="173">
        <f t="shared" si="241"/>
        <v>4.2480000000000002</v>
      </c>
      <c r="N61" s="21">
        <f t="shared" si="242"/>
        <v>0.19925425484101203</v>
      </c>
      <c r="O61" s="5">
        <f t="shared" si="243"/>
        <v>-5.7841191478780978</v>
      </c>
      <c r="P61" s="10">
        <f t="shared" si="244"/>
        <v>-1.9831611847890893</v>
      </c>
      <c r="Q61" s="624">
        <f t="shared" si="116"/>
        <v>271.9729737263533</v>
      </c>
      <c r="R61" s="5">
        <f t="shared" si="83"/>
        <v>5.7875501358452439</v>
      </c>
      <c r="S61" s="6">
        <f t="shared" si="84"/>
        <v>-1.9831611847890893</v>
      </c>
      <c r="T61" s="4">
        <f t="shared" si="85"/>
        <v>-5.7841017376423656</v>
      </c>
      <c r="U61" s="5">
        <f t="shared" si="86"/>
        <v>-0.19975901362607892</v>
      </c>
      <c r="V61" s="8">
        <f t="shared" si="117"/>
        <v>-1.9831611847890893</v>
      </c>
      <c r="W61" s="624">
        <f t="shared" si="226"/>
        <v>181.97797372563139</v>
      </c>
      <c r="X61" s="5">
        <f t="shared" si="87"/>
        <v>5.7875501358452439</v>
      </c>
      <c r="Y61" s="7">
        <f t="shared" si="225"/>
        <v>-1.9831611847890893</v>
      </c>
      <c r="Z61" s="21">
        <f t="shared" si="245"/>
        <v>-0.83484326940084852</v>
      </c>
      <c r="AA61" s="5">
        <f t="shared" si="246"/>
        <v>0.50994274404813056</v>
      </c>
      <c r="AB61" s="5">
        <f t="shared" si="247"/>
        <v>-0.2073526303878615</v>
      </c>
      <c r="AC61" s="8">
        <f t="shared" si="88"/>
        <v>1</v>
      </c>
      <c r="AD61" s="9">
        <f t="shared" si="118"/>
        <v>-0.83484326940084852</v>
      </c>
      <c r="AE61" s="5">
        <f t="shared" si="89"/>
        <v>0.50994274404813056</v>
      </c>
      <c r="AF61" s="10">
        <f t="shared" si="90"/>
        <v>-0.2073526303878615</v>
      </c>
      <c r="AG61" s="622">
        <f t="shared" si="91"/>
        <v>67.872385458284441</v>
      </c>
      <c r="AH61" s="623">
        <f t="shared" si="92"/>
        <v>146.59952185925593</v>
      </c>
      <c r="AI61" s="624">
        <f t="shared" si="93"/>
        <v>-78.03274542549822</v>
      </c>
      <c r="AJ61" s="625">
        <f t="shared" si="94"/>
        <v>-121.41760875556409</v>
      </c>
      <c r="AK61" s="4">
        <f t="shared" si="213"/>
        <v>0.81679200483527603</v>
      </c>
      <c r="AL61" s="5">
        <f t="shared" si="95"/>
        <v>-0.53838249182937348</v>
      </c>
      <c r="AM61" s="6">
        <f t="shared" si="96"/>
        <v>-0.2073526303878615</v>
      </c>
      <c r="AN61" s="612">
        <f t="shared" si="97"/>
        <v>-68.936309049361455</v>
      </c>
      <c r="AO61" s="613">
        <f t="shared" si="465"/>
        <v>35.235061433522581</v>
      </c>
      <c r="AP61" s="624">
        <f t="shared" si="99"/>
        <v>-33.390582481917377</v>
      </c>
      <c r="AQ61" s="625">
        <f t="shared" si="248"/>
        <v>2.1418277664524608</v>
      </c>
      <c r="AS61" s="56">
        <f t="shared" si="410"/>
        <v>-178.02202627436861</v>
      </c>
      <c r="AT61" s="77">
        <f t="shared" si="249"/>
        <v>-1.3106146410886463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>
        <f>IFERROR(IF((((($IW61*COS(RADIANS(180-$IY61)))*COS(RADIANS($IY61)))-(($IX61*SIN(RADIANS(180-$IY61)))*SIN(RADIANS($IY61))))+$IU61)&lt;(((Settings!$C$19/2)*-1)+$IF$8),1,""),"")</f>
        <v>1</v>
      </c>
      <c r="IG61" s="836">
        <f t="shared" si="384"/>
        <v>4.2480000000000002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4.1479999999999997</v>
      </c>
      <c r="II61" s="800" cm="1">
        <f t="array" ref="II61">IFERROR(IF($IH61&lt;1,$IH61+LARGE((IF($M$9:$M$150="",0,$M$9:$M$150)-MOD(IF($M$9:$M$150="",0,$M$9:$M$150),1)),1),$IH61),"")</f>
        <v>4.1479999999999997</v>
      </c>
      <c r="IJ61" s="839" t="str">
        <f t="shared" si="385"/>
        <v>1613</v>
      </c>
      <c r="IK61" s="839" t="str">
        <f t="shared" si="386"/>
        <v>1313</v>
      </c>
      <c r="IL61" s="791">
        <f t="shared" si="227"/>
        <v>9.9119985688844849</v>
      </c>
      <c r="IM61" s="830">
        <v>6.20420182764543E-3</v>
      </c>
      <c r="IN61" s="5">
        <f t="shared" si="228"/>
        <v>0.28000000000000003</v>
      </c>
      <c r="IO61" s="852">
        <v>140</v>
      </c>
      <c r="IP61" s="9">
        <f t="shared" si="229"/>
        <v>-5.7356172986217722</v>
      </c>
      <c r="IQ61" s="5">
        <f t="shared" si="230"/>
        <v>-2.0132060718295124</v>
      </c>
      <c r="IR61" s="5">
        <f t="shared" si="387"/>
        <v>0.314</v>
      </c>
      <c r="IS61" s="5">
        <f t="shared" si="231"/>
        <v>0.28261620587996278</v>
      </c>
      <c r="IT61" s="791">
        <f t="shared" si="232"/>
        <v>74.80820948400951</v>
      </c>
      <c r="IU61" s="9">
        <f t="shared" si="233"/>
        <v>-5.7875501358452439</v>
      </c>
      <c r="IV61" s="5">
        <f t="shared" si="234"/>
        <v>-1.9831611847890893</v>
      </c>
      <c r="IW61" s="5">
        <f t="shared" si="388"/>
        <v>0.26600000000000001</v>
      </c>
      <c r="IX61" s="5">
        <f t="shared" si="235"/>
        <v>0.21726667328618343</v>
      </c>
      <c r="IY61" s="833">
        <f t="shared" si="236"/>
        <v>68.936309049361455</v>
      </c>
    </row>
    <row r="62" spans="1:259" ht="15" customHeight="1" x14ac:dyDescent="0.25">
      <c r="A62" s="84">
        <f t="shared" si="81"/>
        <v>0.02</v>
      </c>
      <c r="B62" s="770">
        <v>-0.31712832764480298</v>
      </c>
      <c r="C62" s="771">
        <v>-0.40590544991538041</v>
      </c>
      <c r="D62" s="772">
        <v>-0.72520218720979657</v>
      </c>
      <c r="E62" s="773">
        <v>0.79945496202092159</v>
      </c>
      <c r="F62" s="771">
        <v>-0.525837489816112</v>
      </c>
      <c r="G62" s="774">
        <v>0.2904594601730453</v>
      </c>
      <c r="H62" s="773">
        <v>0.314</v>
      </c>
      <c r="I62" s="771">
        <v>0.52</v>
      </c>
      <c r="J62" s="601">
        <v>5.1020000000000003</v>
      </c>
      <c r="K62" s="426" t="str">
        <f t="shared" si="82"/>
        <v>1613</v>
      </c>
      <c r="L62" s="327"/>
      <c r="M62" s="173">
        <f t="shared" si="241"/>
        <v>5.1020000000000003</v>
      </c>
      <c r="N62" s="21">
        <f t="shared" si="242"/>
        <v>-0.31712832764480298</v>
      </c>
      <c r="O62" s="5">
        <f t="shared" si="243"/>
        <v>-0.40590544991538041</v>
      </c>
      <c r="P62" s="10">
        <f t="shared" si="244"/>
        <v>-0.72520218720979657</v>
      </c>
      <c r="Q62" s="624">
        <f t="shared" si="116"/>
        <v>231.99997949773959</v>
      </c>
      <c r="R62" s="5">
        <f t="shared" si="83"/>
        <v>0.51510155354628562</v>
      </c>
      <c r="S62" s="6">
        <f t="shared" si="84"/>
        <v>-0.72520218720979657</v>
      </c>
      <c r="T62" s="4">
        <f t="shared" si="85"/>
        <v>-0.40593312303312035</v>
      </c>
      <c r="U62" s="5">
        <f t="shared" si="86"/>
        <v>0.31709290450966338</v>
      </c>
      <c r="V62" s="8">
        <f t="shared" si="117"/>
        <v>-0.72520218720979657</v>
      </c>
      <c r="W62" s="624">
        <f t="shared" si="226"/>
        <v>142.00497949701767</v>
      </c>
      <c r="X62" s="5">
        <f t="shared" si="87"/>
        <v>0.51510155354628562</v>
      </c>
      <c r="Y62" s="7">
        <f t="shared" si="225"/>
        <v>-0.72520218720979657</v>
      </c>
      <c r="Z62" s="21">
        <f t="shared" si="245"/>
        <v>-0.79945496202092159</v>
      </c>
      <c r="AA62" s="5">
        <f t="shared" si="246"/>
        <v>0.525837489816112</v>
      </c>
      <c r="AB62" s="5">
        <f t="shared" si="247"/>
        <v>-0.2904594601730453</v>
      </c>
      <c r="AC62" s="8">
        <f t="shared" si="88"/>
        <v>0.99999999999999978</v>
      </c>
      <c r="AD62" s="9">
        <f t="shared" si="118"/>
        <v>-0.79945496202092181</v>
      </c>
      <c r="AE62" s="5">
        <f t="shared" si="89"/>
        <v>0.52583748981611211</v>
      </c>
      <c r="AF62" s="10">
        <f t="shared" si="90"/>
        <v>-0.29045946017304536</v>
      </c>
      <c r="AG62" s="622">
        <f t="shared" si="91"/>
        <v>61.084838914487548</v>
      </c>
      <c r="AH62" s="623">
        <f t="shared" si="92"/>
        <v>143.07808653549648</v>
      </c>
      <c r="AI62" s="624">
        <f t="shared" si="93"/>
        <v>-73.114534769632428</v>
      </c>
      <c r="AJ62" s="625">
        <f t="shared" si="94"/>
        <v>-123.3347185534777</v>
      </c>
      <c r="AK62" s="4">
        <f t="shared" si="213"/>
        <v>0.95371696400905348</v>
      </c>
      <c r="AL62" s="5">
        <f t="shared" si="95"/>
        <v>7.7828366019961515E-2</v>
      </c>
      <c r="AM62" s="6">
        <f t="shared" si="96"/>
        <v>-0.29045946017304536</v>
      </c>
      <c r="AN62" s="612">
        <f t="shared" si="97"/>
        <v>14.999997834268262</v>
      </c>
      <c r="AO62" s="613">
        <f t="shared" si="465"/>
        <v>17.499997473312952</v>
      </c>
      <c r="AP62" s="624">
        <f t="shared" si="99"/>
        <v>4.6653019487827025</v>
      </c>
      <c r="AQ62" s="625">
        <f t="shared" si="248"/>
        <v>22.792623305586538</v>
      </c>
      <c r="AS62" s="56">
        <f t="shared" si="410"/>
        <v>-217.99502050298233</v>
      </c>
      <c r="AT62" s="77">
        <f t="shared" si="249"/>
        <v>9.8353445798742833E-2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4"/>
        <v>5.1020000000000003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0.02</v>
      </c>
      <c r="B63" s="770">
        <v>-0.75603491816699286</v>
      </c>
      <c r="C63" s="771">
        <v>-0.96767985341892271</v>
      </c>
      <c r="D63" s="772">
        <v>-0.53820162321609566</v>
      </c>
      <c r="E63" s="773">
        <v>0.80240123924886209</v>
      </c>
      <c r="F63" s="771">
        <v>-0.54189691604529533</v>
      </c>
      <c r="G63" s="774">
        <v>0.24999996726497564</v>
      </c>
      <c r="H63" s="773">
        <v>0.314</v>
      </c>
      <c r="I63" s="771">
        <v>0.52</v>
      </c>
      <c r="J63" s="601">
        <v>5.1050000000000004</v>
      </c>
      <c r="K63" s="426" t="str">
        <f t="shared" si="82"/>
        <v>1613</v>
      </c>
      <c r="L63" s="327"/>
      <c r="M63" s="173">
        <f t="shared" si="241"/>
        <v>5.1050000000000004</v>
      </c>
      <c r="N63" s="21">
        <f t="shared" si="242"/>
        <v>-0.75603491816699286</v>
      </c>
      <c r="O63" s="5">
        <f t="shared" si="243"/>
        <v>-0.96767985341892271</v>
      </c>
      <c r="P63" s="10">
        <f t="shared" si="244"/>
        <v>-0.53820162321609566</v>
      </c>
      <c r="Q63" s="624">
        <f t="shared" si="116"/>
        <v>231.99997949773959</v>
      </c>
      <c r="R63" s="5">
        <f t="shared" si="83"/>
        <v>1.2280037036591702</v>
      </c>
      <c r="S63" s="6">
        <f t="shared" si="84"/>
        <v>-0.53820162321609566</v>
      </c>
      <c r="T63" s="4">
        <f t="shared" si="85"/>
        <v>-0.96774582621757266</v>
      </c>
      <c r="U63" s="5">
        <f t="shared" si="86"/>
        <v>0.75595046930278886</v>
      </c>
      <c r="V63" s="8">
        <f t="shared" si="117"/>
        <v>-0.53820162321609566</v>
      </c>
      <c r="W63" s="624">
        <f t="shared" si="226"/>
        <v>142.00497949701767</v>
      </c>
      <c r="X63" s="5">
        <f t="shared" si="87"/>
        <v>1.2280037036591702</v>
      </c>
      <c r="Y63" s="7">
        <f t="shared" si="225"/>
        <v>-0.53820162321609566</v>
      </c>
      <c r="Z63" s="21">
        <f t="shared" si="245"/>
        <v>-0.80240123924886209</v>
      </c>
      <c r="AA63" s="5">
        <f t="shared" si="246"/>
        <v>0.54189691604529533</v>
      </c>
      <c r="AB63" s="5">
        <f t="shared" si="247"/>
        <v>-0.24999996726497564</v>
      </c>
      <c r="AC63" s="8">
        <f t="shared" si="88"/>
        <v>1</v>
      </c>
      <c r="AD63" s="9">
        <f t="shared" si="118"/>
        <v>-0.80240123924886209</v>
      </c>
      <c r="AE63" s="5">
        <f t="shared" si="89"/>
        <v>0.54189691604529533</v>
      </c>
      <c r="AF63" s="10">
        <f t="shared" si="90"/>
        <v>-0.24999996726497564</v>
      </c>
      <c r="AG63" s="622">
        <f t="shared" si="91"/>
        <v>65.234125837354625</v>
      </c>
      <c r="AH63" s="623">
        <f t="shared" si="92"/>
        <v>143.36001950406509</v>
      </c>
      <c r="AI63" s="624">
        <f t="shared" si="93"/>
        <v>-75.522489751159469</v>
      </c>
      <c r="AJ63" s="625">
        <f t="shared" si="94"/>
        <v>-124.03289085717384</v>
      </c>
      <c r="AK63" s="4">
        <f t="shared" si="213"/>
        <v>0.96592583607220761</v>
      </c>
      <c r="AL63" s="5">
        <f t="shared" si="95"/>
        <v>6.6987279208207184E-2</v>
      </c>
      <c r="AM63" s="6">
        <f t="shared" si="96"/>
        <v>-0.24999996726497564</v>
      </c>
      <c r="AN63" s="612">
        <f t="shared" si="97"/>
        <v>14.999997834268264</v>
      </c>
      <c r="AO63" s="613">
        <f t="shared" si="465"/>
        <v>14.999997834268203</v>
      </c>
      <c r="AP63" s="624">
        <f t="shared" si="99"/>
        <v>3.9671296450865694</v>
      </c>
      <c r="AQ63" s="625">
        <f t="shared" si="248"/>
        <v>9.9964042099630213</v>
      </c>
      <c r="AS63" s="56">
        <f t="shared" si="410"/>
        <v>-217.99502050298233</v>
      </c>
      <c r="AT63" s="77">
        <f t="shared" si="249"/>
        <v>0.28535400979244374</v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4"/>
        <v>5.1050000000000004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0.02</v>
      </c>
      <c r="B64" s="770">
        <v>-1.2038070647328347</v>
      </c>
      <c r="C64" s="771">
        <v>-1.5408016428257489</v>
      </c>
      <c r="D64" s="772">
        <v>-0.34330103539592277</v>
      </c>
      <c r="E64" s="773">
        <v>0.80240123924886186</v>
      </c>
      <c r="F64" s="771">
        <v>-0.54189691604529533</v>
      </c>
      <c r="G64" s="774">
        <v>0.24999996726497561</v>
      </c>
      <c r="H64" s="773">
        <v>0.314</v>
      </c>
      <c r="I64" s="771">
        <v>0.52</v>
      </c>
      <c r="J64" s="601">
        <v>5.1079999999999997</v>
      </c>
      <c r="K64" s="426" t="str">
        <f t="shared" si="82"/>
        <v>1613</v>
      </c>
      <c r="L64" s="327"/>
      <c r="M64" s="173">
        <f t="shared" si="241"/>
        <v>5.1079999999999997</v>
      </c>
      <c r="N64" s="21">
        <f t="shared" si="242"/>
        <v>-1.2038070647328347</v>
      </c>
      <c r="O64" s="5">
        <f t="shared" si="243"/>
        <v>-1.5408016428257489</v>
      </c>
      <c r="P64" s="10">
        <f t="shared" si="244"/>
        <v>-0.34330103539592277</v>
      </c>
      <c r="Q64" s="624">
        <f t="shared" si="116"/>
        <v>231.99997949773959</v>
      </c>
      <c r="R64" s="5">
        <f t="shared" si="83"/>
        <v>1.9553058972025861</v>
      </c>
      <c r="S64" s="6">
        <f t="shared" si="84"/>
        <v>-0.34330103539592277</v>
      </c>
      <c r="T64" s="4">
        <f t="shared" si="85"/>
        <v>-1.5409066889277037</v>
      </c>
      <c r="U64" s="5">
        <f t="shared" si="86"/>
        <v>1.2036725998597257</v>
      </c>
      <c r="V64" s="8">
        <f t="shared" si="117"/>
        <v>-0.34330103539592277</v>
      </c>
      <c r="W64" s="624">
        <f t="shared" si="226"/>
        <v>142.00497949701767</v>
      </c>
      <c r="X64" s="5">
        <f t="shared" si="87"/>
        <v>1.9553058972025861</v>
      </c>
      <c r="Y64" s="7">
        <f t="shared" si="225"/>
        <v>-0.34330103539592277</v>
      </c>
      <c r="Z64" s="21">
        <f t="shared" si="245"/>
        <v>-0.80240123924886186</v>
      </c>
      <c r="AA64" s="5">
        <f t="shared" si="246"/>
        <v>0.54189691604529533</v>
      </c>
      <c r="AB64" s="5">
        <f t="shared" si="247"/>
        <v>-0.24999996726497561</v>
      </c>
      <c r="AC64" s="8">
        <f t="shared" si="88"/>
        <v>1</v>
      </c>
      <c r="AD64" s="9">
        <f t="shared" si="118"/>
        <v>-0.80240123924886186</v>
      </c>
      <c r="AE64" s="5">
        <f t="shared" si="89"/>
        <v>0.54189691604529533</v>
      </c>
      <c r="AF64" s="10">
        <f t="shared" si="90"/>
        <v>-0.24999996726497561</v>
      </c>
      <c r="AG64" s="622">
        <f t="shared" si="91"/>
        <v>65.234125837354625</v>
      </c>
      <c r="AH64" s="623">
        <f t="shared" si="92"/>
        <v>143.36001950406506</v>
      </c>
      <c r="AI64" s="624">
        <f t="shared" si="93"/>
        <v>-75.522489751159469</v>
      </c>
      <c r="AJ64" s="625">
        <f t="shared" si="94"/>
        <v>-124.03289085717384</v>
      </c>
      <c r="AK64" s="4">
        <f t="shared" si="213"/>
        <v>0.96592583607220739</v>
      </c>
      <c r="AL64" s="5">
        <f t="shared" si="95"/>
        <v>6.6987279208207073E-2</v>
      </c>
      <c r="AM64" s="6">
        <f t="shared" si="96"/>
        <v>-0.24999996726497561</v>
      </c>
      <c r="AN64" s="612">
        <f t="shared" si="97"/>
        <v>14.999997834268243</v>
      </c>
      <c r="AO64" s="613">
        <f t="shared" si="465"/>
        <v>14.999997834268255</v>
      </c>
      <c r="AP64" s="624">
        <f t="shared" si="99"/>
        <v>3.9671296450865641</v>
      </c>
      <c r="AQ64" s="625">
        <f t="shared" si="248"/>
        <v>6.3168755400247356</v>
      </c>
      <c r="AS64" s="56">
        <f t="shared" si="410"/>
        <v>-217.99502050298233</v>
      </c>
      <c r="AT64" s="77">
        <f t="shared" si="249"/>
        <v>0.48025459761261663</v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4"/>
        <v>5.1079999999999997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0.02</v>
      </c>
      <c r="B65" s="770">
        <v>-1.6548007138045646</v>
      </c>
      <c r="C65" s="771">
        <v>-2.1120377914021424</v>
      </c>
      <c r="D65" s="772">
        <v>-0.14920044998855719</v>
      </c>
      <c r="E65" s="773">
        <v>0.78579728334939303</v>
      </c>
      <c r="F65" s="771">
        <v>-0.56287199977362257</v>
      </c>
      <c r="G65" s="774">
        <v>0.25631570640824375</v>
      </c>
      <c r="H65" s="773">
        <v>0.314</v>
      </c>
      <c r="I65" s="771">
        <v>0.52</v>
      </c>
      <c r="J65" s="601">
        <v>5.1120000000000001</v>
      </c>
      <c r="K65" s="426" t="str">
        <f t="shared" si="82"/>
        <v>1613</v>
      </c>
      <c r="L65" s="327"/>
      <c r="M65" s="173">
        <f t="shared" si="241"/>
        <v>5.1120000000000001</v>
      </c>
      <c r="N65" s="21">
        <f t="shared" si="242"/>
        <v>-1.6548007138045646</v>
      </c>
      <c r="O65" s="5">
        <f t="shared" si="243"/>
        <v>-2.1120377914021424</v>
      </c>
      <c r="P65" s="10">
        <f t="shared" si="244"/>
        <v>-0.14920044998855719</v>
      </c>
      <c r="Q65" s="624">
        <f t="shared" si="116"/>
        <v>231.92097950914581</v>
      </c>
      <c r="R65" s="5">
        <f t="shared" si="83"/>
        <v>2.6831080922540069</v>
      </c>
      <c r="S65" s="6">
        <f t="shared" si="84"/>
        <v>-0.14920044998855719</v>
      </c>
      <c r="T65" s="4">
        <f t="shared" si="85"/>
        <v>-2.1121821919436692</v>
      </c>
      <c r="U65" s="5">
        <f t="shared" si="86"/>
        <v>1.6546163974634645</v>
      </c>
      <c r="V65" s="8">
        <f t="shared" si="117"/>
        <v>-0.14920044998855719</v>
      </c>
      <c r="W65" s="624">
        <f t="shared" si="226"/>
        <v>141.92597950842389</v>
      </c>
      <c r="X65" s="5">
        <f t="shared" si="87"/>
        <v>2.6831080922540069</v>
      </c>
      <c r="Y65" s="7">
        <f t="shared" si="225"/>
        <v>-0.14920044998855719</v>
      </c>
      <c r="Z65" s="21">
        <f t="shared" si="245"/>
        <v>-0.78579728334939303</v>
      </c>
      <c r="AA65" s="5">
        <f t="shared" si="246"/>
        <v>0.56287199977362257</v>
      </c>
      <c r="AB65" s="5">
        <f t="shared" si="247"/>
        <v>-0.25631570640824375</v>
      </c>
      <c r="AC65" s="8">
        <f t="shared" si="88"/>
        <v>1</v>
      </c>
      <c r="AD65" s="9">
        <f t="shared" si="118"/>
        <v>-0.78579728334939303</v>
      </c>
      <c r="AE65" s="5">
        <f t="shared" si="89"/>
        <v>0.56287199977362257</v>
      </c>
      <c r="AF65" s="10">
        <f t="shared" si="90"/>
        <v>-0.25631570640824375</v>
      </c>
      <c r="AG65" s="622">
        <f t="shared" si="91"/>
        <v>65.516846302775079</v>
      </c>
      <c r="AH65" s="623">
        <f t="shared" si="92"/>
        <v>141.79447746453005</v>
      </c>
      <c r="AI65" s="624">
        <f t="shared" si="93"/>
        <v>-75.148439074257524</v>
      </c>
      <c r="AJ65" s="625">
        <f t="shared" si="94"/>
        <v>-125.61428568729883</v>
      </c>
      <c r="AK65" s="4">
        <f t="shared" si="213"/>
        <v>0.96569890467750674</v>
      </c>
      <c r="AL65" s="5">
        <f t="shared" si="95"/>
        <v>4.1567825936739911E-2</v>
      </c>
      <c r="AM65" s="6">
        <f t="shared" si="96"/>
        <v>-0.25631570640824375</v>
      </c>
      <c r="AN65" s="612">
        <f t="shared" si="97"/>
        <v>9.2117054022995983</v>
      </c>
      <c r="AO65" s="613">
        <f t="shared" si="465"/>
        <v>15.050152608397486</v>
      </c>
      <c r="AP65" s="624">
        <f t="shared" si="99"/>
        <v>2.4647348035553676</v>
      </c>
      <c r="AQ65" s="625">
        <f t="shared" si="248"/>
        <v>4.6121564717317858</v>
      </c>
      <c r="AS65" s="56">
        <f t="shared" si="410"/>
        <v>-218.07402049157611</v>
      </c>
      <c r="AT65" s="77">
        <f t="shared" si="249"/>
        <v>0.6746536274213365</v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4"/>
        <v>5.1120000000000001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0.02</v>
      </c>
      <c r="B66" s="770">
        <v>-2.194790623502318</v>
      </c>
      <c r="C66" s="771">
        <v>-2.7328911864216008</v>
      </c>
      <c r="D66" s="772">
        <v>-9.0600273250424176E-2</v>
      </c>
      <c r="E66" s="773">
        <v>0.69896102626883416</v>
      </c>
      <c r="F66" s="771">
        <v>-0.66861884733965571</v>
      </c>
      <c r="G66" s="774">
        <v>0.25377612326499155</v>
      </c>
      <c r="H66" s="773">
        <v>0.314</v>
      </c>
      <c r="I66" s="771">
        <v>0.52</v>
      </c>
      <c r="J66" s="601">
        <v>5.1189999999999998</v>
      </c>
      <c r="K66" s="426" t="str">
        <f t="shared" si="82"/>
        <v>1613</v>
      </c>
      <c r="L66" s="327"/>
      <c r="M66" s="173">
        <f t="shared" si="241"/>
        <v>5.1189999999999998</v>
      </c>
      <c r="N66" s="21">
        <f t="shared" si="242"/>
        <v>-2.194790623502318</v>
      </c>
      <c r="O66" s="5">
        <f t="shared" si="243"/>
        <v>-2.7328911864216008</v>
      </c>
      <c r="P66" s="10">
        <f t="shared" si="244"/>
        <v>-9.0600273250424176E-2</v>
      </c>
      <c r="Q66" s="624">
        <f t="shared" si="116"/>
        <v>231.23197960862507</v>
      </c>
      <c r="R66" s="5">
        <f t="shared" si="83"/>
        <v>3.5051105714134838</v>
      </c>
      <c r="S66" s="6">
        <f t="shared" si="84"/>
        <v>-9.0600273250424176E-2</v>
      </c>
      <c r="T66" s="4">
        <f t="shared" si="85"/>
        <v>-2.733082707601489</v>
      </c>
      <c r="U66" s="5">
        <f t="shared" si="86"/>
        <v>2.1945521254334044</v>
      </c>
      <c r="V66" s="8">
        <f t="shared" si="117"/>
        <v>-9.0600273250424176E-2</v>
      </c>
      <c r="W66" s="624">
        <f t="shared" si="226"/>
        <v>141.23697960790315</v>
      </c>
      <c r="X66" s="5">
        <f t="shared" si="87"/>
        <v>3.5051105714134838</v>
      </c>
      <c r="Y66" s="7">
        <f t="shared" si="225"/>
        <v>-9.0600273250424176E-2</v>
      </c>
      <c r="Z66" s="21">
        <f t="shared" si="245"/>
        <v>-0.69896102626883416</v>
      </c>
      <c r="AA66" s="5">
        <f t="shared" si="246"/>
        <v>0.66861884733965571</v>
      </c>
      <c r="AB66" s="5">
        <f t="shared" si="247"/>
        <v>-0.25377612326499155</v>
      </c>
      <c r="AC66" s="8">
        <f t="shared" si="88"/>
        <v>1</v>
      </c>
      <c r="AD66" s="9">
        <f t="shared" si="118"/>
        <v>-0.69896102626883416</v>
      </c>
      <c r="AE66" s="5">
        <f t="shared" si="89"/>
        <v>0.66861884733965571</v>
      </c>
      <c r="AF66" s="10">
        <f t="shared" si="90"/>
        <v>-0.25377612326499155</v>
      </c>
      <c r="AG66" s="622">
        <f t="shared" si="91"/>
        <v>69.21560434890425</v>
      </c>
      <c r="AH66" s="623">
        <f t="shared" si="92"/>
        <v>134.34370631538181</v>
      </c>
      <c r="AI66" s="624">
        <f t="shared" si="93"/>
        <v>-75.298923189347974</v>
      </c>
      <c r="AJ66" s="625">
        <f t="shared" si="94"/>
        <v>-133.72900029119799</v>
      </c>
      <c r="AK66" s="4">
        <f t="shared" si="213"/>
        <v>0.96363944485158126</v>
      </c>
      <c r="AL66" s="5">
        <f t="shared" si="95"/>
        <v>-8.364627658615853E-2</v>
      </c>
      <c r="AM66" s="6">
        <f t="shared" si="96"/>
        <v>-0.25377612326499155</v>
      </c>
      <c r="AN66" s="612">
        <f t="shared" si="97"/>
        <v>-18.242559225336031</v>
      </c>
      <c r="AO66" s="613">
        <f t="shared" si="465"/>
        <v>15.498072079106807</v>
      </c>
      <c r="AP66" s="624">
        <f t="shared" si="99"/>
        <v>-4.9609798998230703</v>
      </c>
      <c r="AQ66" s="625">
        <f t="shared" si="248"/>
        <v>3.5336929560315311</v>
      </c>
      <c r="AS66" s="56">
        <f t="shared" si="410"/>
        <v>-218.76302039209685</v>
      </c>
      <c r="AT66" s="77">
        <f t="shared" si="249"/>
        <v>0.73585669267254783</v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4"/>
        <v>5.1189999999999998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0.02</v>
      </c>
      <c r="B67" s="770">
        <v>-2.7061359979093043</v>
      </c>
      <c r="C67" s="771">
        <v>-3.258281206730504</v>
      </c>
      <c r="D67" s="772">
        <v>-0.27360082518008877</v>
      </c>
      <c r="E67" s="773">
        <v>0.63165580785783604</v>
      </c>
      <c r="F67" s="771">
        <v>-0.74294215079109915</v>
      </c>
      <c r="G67" s="774">
        <v>0.22146760706107838</v>
      </c>
      <c r="H67" s="773">
        <v>0.314</v>
      </c>
      <c r="I67" s="771">
        <v>0.52</v>
      </c>
      <c r="J67" s="601">
        <v>5.1260000000000003</v>
      </c>
      <c r="K67" s="426" t="str">
        <f t="shared" si="82"/>
        <v>1613</v>
      </c>
      <c r="L67" s="327"/>
      <c r="M67" s="173">
        <f t="shared" si="241"/>
        <v>5.1260000000000003</v>
      </c>
      <c r="N67" s="21">
        <f t="shared" si="242"/>
        <v>-2.7061359979093043</v>
      </c>
      <c r="O67" s="5">
        <f t="shared" si="243"/>
        <v>-3.258281206730504</v>
      </c>
      <c r="P67" s="10">
        <f t="shared" si="244"/>
        <v>-0.27360082518008877</v>
      </c>
      <c r="Q67" s="624">
        <f t="shared" si="116"/>
        <v>230.28897974477741</v>
      </c>
      <c r="R67" s="5">
        <f>IF(M67="","",SQRT(N67^2+O67^2))</f>
        <v>4.2355127743065273</v>
      </c>
      <c r="S67" s="6">
        <f>IF(M67="","",P67)</f>
        <v>-0.27360082518008877</v>
      </c>
      <c r="T67" s="4">
        <f>IF(M67="","",X67*COS(RADIANS(W67)))</f>
        <v>-3.2585173492053476</v>
      </c>
      <c r="U67" s="5">
        <f>IF(M67="","",X67*SIN(RADIANS(W67)))</f>
        <v>2.7058516489714526</v>
      </c>
      <c r="V67" s="8">
        <f>IF(M67="","",Y67)</f>
        <v>-0.27360082518008877</v>
      </c>
      <c r="W67" s="624">
        <f t="shared" si="226"/>
        <v>140.29397974405549</v>
      </c>
      <c r="X67" s="5">
        <f>IF(M67="","",R67)</f>
        <v>4.2355127743065273</v>
      </c>
      <c r="Y67" s="7">
        <f t="shared" si="225"/>
        <v>-0.27360082518008877</v>
      </c>
      <c r="Z67" s="21">
        <f t="shared" si="245"/>
        <v>-0.63165580785783604</v>
      </c>
      <c r="AA67" s="5">
        <f t="shared" si="246"/>
        <v>0.74294215079109915</v>
      </c>
      <c r="AB67" s="5">
        <f t="shared" si="247"/>
        <v>-0.22146760706107838</v>
      </c>
      <c r="AC67" s="8">
        <f>IF(M67="","",SQRT(Z67^2+AA67^2+AB67^2))</f>
        <v>1</v>
      </c>
      <c r="AD67" s="9">
        <f>IF(M67="","",Z67*(1/SQRT(Z67^2+AA67^2+AB67^2)))</f>
        <v>-0.63165580785783604</v>
      </c>
      <c r="AE67" s="5">
        <f>IF(M67="","",AA67*(1/SQRT(Z67^2+AA67^2+AB67^2)))</f>
        <v>0.74294215079109915</v>
      </c>
      <c r="AF67" s="10">
        <f>IF(M67="","",AB67*(1/SQRT(Z67^2+AA67^2+AB67^2)))</f>
        <v>-0.22146760706107838</v>
      </c>
      <c r="AG67" s="622">
        <f>IF(M67="","",DEGREES(ATAN2(-AF67,AE67)))</f>
        <v>73.400925512036494</v>
      </c>
      <c r="AH67" s="623">
        <f>IF(M67="","",DEGREES(ACOS(AD67)))</f>
        <v>129.17239096088153</v>
      </c>
      <c r="AI67" s="624">
        <f>IF(M67="","",DEGREES(-ACOS(-AF67)))</f>
        <v>-77.204752752909727</v>
      </c>
      <c r="AJ67" s="625">
        <f>IF(M67="","",DEGREES(ATAN2(-AE67,AD67)))</f>
        <v>-139.62852536017408</v>
      </c>
      <c r="AK67" s="4">
        <f>IF(M67="","",(COS(RADIANS((90-$Q$8)-W67))*AD67)+(-SIN(RADIANS((90-$Q$8)-W67))*AE67))</f>
        <v>0.96059555555264831</v>
      </c>
      <c r="AL67" s="5">
        <f>IF(M67="","",(SIN(RADIANS((90-$Q$8)-W67))*AD67)+(COS(RADIANS((90-$Q$8)-W67))*AE67))</f>
        <v>-0.16795320084814969</v>
      </c>
      <c r="AM67" s="6">
        <f>IF(M67="","",AF67)</f>
        <v>-0.22146760706107838</v>
      </c>
      <c r="AN67" s="612">
        <f>IF(M67="","",DEGREES(ATAN2(-AM67,AL67)))</f>
        <v>-37.175393442968414</v>
      </c>
      <c r="AO67" s="613">
        <f t="shared" si="465"/>
        <v>16.137889772218259</v>
      </c>
      <c r="AP67" s="624">
        <f>IF(M67="","",DEGREES(ATAN2(AK67,AL67)))</f>
        <v>-9.9175051049515037</v>
      </c>
      <c r="AQ67" s="625">
        <f t="shared" si="248"/>
        <v>2.9254860824115303</v>
      </c>
      <c r="AS67" s="56">
        <f t="shared" si="410"/>
        <v>-219.70602025594451</v>
      </c>
      <c r="AT67" s="77">
        <f t="shared" si="249"/>
        <v>0.55641858467297434</v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4"/>
        <v>5.1260000000000003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0.02</v>
      </c>
      <c r="B68" s="770">
        <v>-3.1801741838648212</v>
      </c>
      <c r="C68" s="771">
        <v>-3.6992494643271123</v>
      </c>
      <c r="D68" s="772">
        <v>-0.66590200836045721</v>
      </c>
      <c r="E68" s="773">
        <v>0.56419273490621336</v>
      </c>
      <c r="F68" s="771">
        <v>-0.80492100954977785</v>
      </c>
      <c r="G68" s="774">
        <v>0.18381710003265148</v>
      </c>
      <c r="H68" s="773">
        <v>0.314</v>
      </c>
      <c r="I68" s="771">
        <v>0.52</v>
      </c>
      <c r="J68" s="601">
        <v>5.133</v>
      </c>
      <c r="K68" s="426" t="str">
        <f t="shared" si="82"/>
        <v>1613</v>
      </c>
      <c r="L68" s="327"/>
      <c r="M68" s="173">
        <f t="shared" si="241"/>
        <v>5.133</v>
      </c>
      <c r="N68" s="21">
        <f t="shared" si="242"/>
        <v>-3.1801741838648212</v>
      </c>
      <c r="O68" s="5">
        <f t="shared" si="243"/>
        <v>-3.6992494643271123</v>
      </c>
      <c r="P68" s="10">
        <f t="shared" si="244"/>
        <v>-0.66590200836045721</v>
      </c>
      <c r="Q68" s="624">
        <f t="shared" si="116"/>
        <v>229.31497988540556</v>
      </c>
      <c r="R68" s="5">
        <f>IF(M68="","",SQRT(N68^2+O68^2))</f>
        <v>4.8783147129971747</v>
      </c>
      <c r="S68" s="6">
        <f>IF(M68="","",P68)</f>
        <v>-0.66590200836045721</v>
      </c>
      <c r="T68" s="4">
        <f>IF(M68="","",X68*COS(RADIANS(W68)))</f>
        <v>-3.6995269727524729</v>
      </c>
      <c r="U68" s="5">
        <f>IF(M68="","",X68*SIN(RADIANS(W68)))</f>
        <v>3.1798513513876134</v>
      </c>
      <c r="V68" s="8">
        <f>IF(M68="","",Y68)</f>
        <v>-0.66590200836045721</v>
      </c>
      <c r="W68" s="624">
        <f t="shared" si="226"/>
        <v>139.31997988468365</v>
      </c>
      <c r="X68" s="5">
        <f>IF(M68="","",R68)</f>
        <v>4.8783147129971747</v>
      </c>
      <c r="Y68" s="7">
        <f t="shared" si="225"/>
        <v>-0.66590200836045721</v>
      </c>
      <c r="Z68" s="21">
        <f t="shared" si="245"/>
        <v>-0.56419273490621336</v>
      </c>
      <c r="AA68" s="5">
        <f t="shared" si="246"/>
        <v>0.80492100954977785</v>
      </c>
      <c r="AB68" s="5">
        <f t="shared" si="247"/>
        <v>-0.18381710003265148</v>
      </c>
      <c r="AC68" s="8">
        <f>IF(M68="","",SQRT(Z68^2+AA68^2+AB68^2))</f>
        <v>1</v>
      </c>
      <c r="AD68" s="9">
        <f>IF(M68="","",Z68*(1/SQRT(Z68^2+AA68^2+AB68^2)))</f>
        <v>-0.56419273490621336</v>
      </c>
      <c r="AE68" s="5">
        <f>IF(M68="","",AA68*(1/SQRT(Z68^2+AA68^2+AB68^2)))</f>
        <v>0.80492100954977785</v>
      </c>
      <c r="AF68" s="10">
        <f>IF(M68="","",AB68*(1/SQRT(Z68^2+AA68^2+AB68^2)))</f>
        <v>-0.18381710003265148</v>
      </c>
      <c r="AG68" s="622">
        <f>IF(M68="","",DEGREES(ATAN2(-AF68,AE68)))</f>
        <v>77.136150309249331</v>
      </c>
      <c r="AH68" s="623">
        <f>IF(M68="","",DEGREES(ACOS(AD68)))</f>
        <v>124.3462521432306</v>
      </c>
      <c r="AI68" s="624">
        <f>IF(M68="","",DEGREES(-ACOS(-AF68)))</f>
        <v>-79.407825431614242</v>
      </c>
      <c r="AJ68" s="625">
        <f>IF(M68="","",DEGREES(ATAN2(-AE68,AD68)))</f>
        <v>-144.97225980070476</v>
      </c>
      <c r="AK68" s="4">
        <f>IF(M68="","",(COS(RADIANS((90-$Q$8)-W68))*AD68)+(-SIN(RADIANS((90-$Q$8)-W68))*AE68))</f>
        <v>0.95255820101542554</v>
      </c>
      <c r="AL68" s="5">
        <f>IF(M68="","",(SIN(RADIANS((90-$Q$8)-W68))*AD68)+(COS(RADIANS((90-$Q$8)-W68))*AE68))</f>
        <v>-0.24257812641258963</v>
      </c>
      <c r="AM68" s="6">
        <f>IF(M68="","",AF68)</f>
        <v>-0.18381710003265148</v>
      </c>
      <c r="AN68" s="612">
        <f>IF(M68="","",DEGREES(ATAN2(-AM68,AL68)))</f>
        <v>-52.846441991429906</v>
      </c>
      <c r="AO68" s="613">
        <f t="shared" si="465"/>
        <v>17.719453068111086</v>
      </c>
      <c r="AP68" s="624">
        <f>IF(M68="","",DEGREES(ATAN2(AK68,AL68)))</f>
        <v>-14.287239686110318</v>
      </c>
      <c r="AQ68" s="625">
        <f t="shared" si="248"/>
        <v>2.5405462356831885</v>
      </c>
      <c r="AS68" s="56">
        <f t="shared" si="410"/>
        <v>-220.68002011531635</v>
      </c>
      <c r="AT68" s="77">
        <f t="shared" si="249"/>
        <v>0.16779695651689963</v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4"/>
        <v>5.133</v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0.02</v>
      </c>
      <c r="B69" s="770">
        <v>-3.5635948695549025</v>
      </c>
      <c r="C69" s="771">
        <v>-4.0274834996364604</v>
      </c>
      <c r="D69" s="772">
        <v>-1.2301037099927894</v>
      </c>
      <c r="E69" s="773">
        <v>0.49698662222413681</v>
      </c>
      <c r="F69" s="771">
        <v>-0.85595009374345543</v>
      </c>
      <c r="G69" s="774">
        <v>0.14266651446927983</v>
      </c>
      <c r="H69" s="773">
        <v>0.314</v>
      </c>
      <c r="I69" s="771">
        <v>0.52</v>
      </c>
      <c r="J69" s="601">
        <v>5.14</v>
      </c>
      <c r="K69" s="426" t="str">
        <f t="shared" si="82"/>
        <v>1613</v>
      </c>
      <c r="L69" s="327"/>
      <c r="M69" s="173">
        <f t="shared" si="241"/>
        <v>5.14</v>
      </c>
      <c r="N69" s="21">
        <f t="shared" si="242"/>
        <v>-3.5635948695549025</v>
      </c>
      <c r="O69" s="5">
        <f t="shared" si="243"/>
        <v>-4.0274834996364604</v>
      </c>
      <c r="P69" s="10">
        <f t="shared" si="244"/>
        <v>-1.2301037099927894</v>
      </c>
      <c r="Q69" s="624">
        <f t="shared" si="116"/>
        <v>228.49698000351017</v>
      </c>
      <c r="R69" s="5">
        <f t="shared" si="83"/>
        <v>5.3777162191921182</v>
      </c>
      <c r="S69" s="6">
        <f t="shared" si="84"/>
        <v>-1.2301037099927894</v>
      </c>
      <c r="T69" s="4">
        <f t="shared" si="85"/>
        <v>-4.027794466574055</v>
      </c>
      <c r="U69" s="5">
        <f t="shared" si="86"/>
        <v>3.5632433917987414</v>
      </c>
      <c r="V69" s="8">
        <f t="shared" si="117"/>
        <v>-1.2301037099927894</v>
      </c>
      <c r="W69" s="624">
        <f t="shared" si="226"/>
        <v>138.50198000278826</v>
      </c>
      <c r="X69" s="5">
        <f t="shared" si="87"/>
        <v>5.3777162191921182</v>
      </c>
      <c r="Y69" s="7">
        <f t="shared" si="225"/>
        <v>-1.2301037099927894</v>
      </c>
      <c r="Z69" s="21">
        <f t="shared" si="245"/>
        <v>-0.49698662222413681</v>
      </c>
      <c r="AA69" s="5">
        <f t="shared" si="246"/>
        <v>0.85595009374345543</v>
      </c>
      <c r="AB69" s="5">
        <f t="shared" si="247"/>
        <v>-0.14266651446927983</v>
      </c>
      <c r="AC69" s="8">
        <f t="shared" si="88"/>
        <v>1</v>
      </c>
      <c r="AD69" s="9">
        <f t="shared" si="118"/>
        <v>-0.49698662222413681</v>
      </c>
      <c r="AE69" s="5">
        <f t="shared" si="89"/>
        <v>0.85595009374345543</v>
      </c>
      <c r="AF69" s="10">
        <f t="shared" si="90"/>
        <v>-0.14266651446927983</v>
      </c>
      <c r="AG69" s="622">
        <f t="shared" si="91"/>
        <v>80.537145980483672</v>
      </c>
      <c r="AH69" s="623">
        <f t="shared" si="92"/>
        <v>119.80083598183799</v>
      </c>
      <c r="AI69" s="624">
        <f t="shared" si="93"/>
        <v>-81.797824533486789</v>
      </c>
      <c r="AJ69" s="625">
        <f t="shared" si="94"/>
        <v>-149.85944836207156</v>
      </c>
      <c r="AK69" s="4">
        <f t="shared" si="213"/>
        <v>0.93940709723167859</v>
      </c>
      <c r="AL69" s="5">
        <f t="shared" si="95"/>
        <v>-0.31170590517335173</v>
      </c>
      <c r="AM69" s="6">
        <f t="shared" si="96"/>
        <v>-0.14266651446927983</v>
      </c>
      <c r="AN69" s="612">
        <f t="shared" si="97"/>
        <v>-65.406624487673625</v>
      </c>
      <c r="AO69" s="613">
        <f t="shared" si="465"/>
        <v>20.047776654672525</v>
      </c>
      <c r="AP69" s="624">
        <f t="shared" si="99"/>
        <v>-18.356428365581731</v>
      </c>
      <c r="AQ69" s="625">
        <f t="shared" si="248"/>
        <v>2.3048859101402623</v>
      </c>
      <c r="AS69" s="56">
        <f t="shared" si="410"/>
        <v>-221.49801999721174</v>
      </c>
      <c r="AT69" s="77">
        <f t="shared" si="249"/>
        <v>-0.39331452333938333</v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4"/>
        <v>5.14</v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0.02</v>
      </c>
      <c r="B70" s="770">
        <v>-3.8205610135846646</v>
      </c>
      <c r="C70" s="771">
        <v>-4.234383069840713</v>
      </c>
      <c r="D70" s="772">
        <v>-1.9102057611805756</v>
      </c>
      <c r="E70" s="773">
        <v>0.40275979150549734</v>
      </c>
      <c r="F70" s="771">
        <v>-0.90774769031467006</v>
      </c>
      <c r="G70" s="774">
        <v>0.11738262680154292</v>
      </c>
      <c r="H70" s="773">
        <v>0.314</v>
      </c>
      <c r="I70" s="771">
        <v>0.52</v>
      </c>
      <c r="J70" s="601">
        <v>5.1470000000000002</v>
      </c>
      <c r="K70" s="426" t="str">
        <f t="shared" si="82"/>
        <v>1613</v>
      </c>
      <c r="L70" s="327"/>
      <c r="M70" s="173">
        <f t="shared" si="241"/>
        <v>5.1470000000000002</v>
      </c>
      <c r="N70" s="21">
        <f t="shared" si="242"/>
        <v>-3.8205610135846646</v>
      </c>
      <c r="O70" s="5">
        <f t="shared" si="243"/>
        <v>-4.234383069840713</v>
      </c>
      <c r="P70" s="10">
        <f t="shared" si="244"/>
        <v>-1.9102057611805756</v>
      </c>
      <c r="Q70" s="624">
        <f t="shared" si="116"/>
        <v>227.9409800837866</v>
      </c>
      <c r="R70" s="5">
        <f t="shared" si="83"/>
        <v>5.7032172009030777</v>
      </c>
      <c r="S70" s="6">
        <f t="shared" si="84"/>
        <v>-1.9102057611805756</v>
      </c>
      <c r="T70" s="4">
        <f t="shared" si="85"/>
        <v>-4.2347164605136225</v>
      </c>
      <c r="U70" s="5">
        <f t="shared" si="86"/>
        <v>3.820191479459075</v>
      </c>
      <c r="V70" s="8">
        <f t="shared" si="117"/>
        <v>-1.9102057611805756</v>
      </c>
      <c r="W70" s="624">
        <f t="shared" si="226"/>
        <v>137.94598008306468</v>
      </c>
      <c r="X70" s="5">
        <f t="shared" si="87"/>
        <v>5.7032172009030777</v>
      </c>
      <c r="Y70" s="7">
        <f t="shared" si="225"/>
        <v>-1.9102057611805756</v>
      </c>
      <c r="Z70" s="21">
        <f t="shared" si="245"/>
        <v>-0.40275979150549734</v>
      </c>
      <c r="AA70" s="5">
        <f t="shared" si="246"/>
        <v>0.90774769031467006</v>
      </c>
      <c r="AB70" s="5">
        <f t="shared" si="247"/>
        <v>-0.11738262680154292</v>
      </c>
      <c r="AC70" s="8">
        <f t="shared" si="88"/>
        <v>1</v>
      </c>
      <c r="AD70" s="9">
        <f t="shared" si="118"/>
        <v>-0.40275979150549734</v>
      </c>
      <c r="AE70" s="5">
        <f t="shared" si="89"/>
        <v>0.90774769031467006</v>
      </c>
      <c r="AF70" s="10">
        <f t="shared" si="90"/>
        <v>-0.11738262680154292</v>
      </c>
      <c r="AG70" s="622">
        <f t="shared" si="91"/>
        <v>82.631858293853426</v>
      </c>
      <c r="AH70" s="623">
        <f t="shared" si="92"/>
        <v>113.75082012674936</v>
      </c>
      <c r="AI70" s="624">
        <f t="shared" si="93"/>
        <v>-83.258929518993213</v>
      </c>
      <c r="AJ70" s="625">
        <f t="shared" si="94"/>
        <v>-156.07355319649236</v>
      </c>
      <c r="AK70" s="4">
        <f t="shared" si="213"/>
        <v>0.90712741526519469</v>
      </c>
      <c r="AL70" s="5">
        <f t="shared" si="95"/>
        <v>-0.40415488540837519</v>
      </c>
      <c r="AM70" s="6">
        <f t="shared" si="96"/>
        <v>-0.11738262680154292</v>
      </c>
      <c r="AN70" s="612">
        <f t="shared" si="97"/>
        <v>-73.80460472038277</v>
      </c>
      <c r="AO70" s="613">
        <f t="shared" si="465"/>
        <v>24.888648129907455</v>
      </c>
      <c r="AP70" s="624">
        <f t="shared" si="99"/>
        <v>-24.014533280278943</v>
      </c>
      <c r="AQ70" s="625">
        <f t="shared" si="248"/>
        <v>2.1734686182711314</v>
      </c>
      <c r="AS70" s="56">
        <f t="shared" si="410"/>
        <v>-222.05401991693532</v>
      </c>
      <c r="AT70" s="77">
        <f t="shared" si="249"/>
        <v>-1.0713161303859917</v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4"/>
        <v>5.1470000000000002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0.02</v>
      </c>
      <c r="B71" s="770">
        <v>-3.9394300609669202</v>
      </c>
      <c r="C71" s="771">
        <v>-4.3267943770971735</v>
      </c>
      <c r="D71" s="772">
        <v>-2.6494079906144998</v>
      </c>
      <c r="E71" s="773">
        <v>0.28242715563397158</v>
      </c>
      <c r="F71" s="771">
        <v>-0.95606710192298638</v>
      </c>
      <c r="G71" s="774">
        <v>7.8553156404351537E-2</v>
      </c>
      <c r="H71" s="773">
        <v>0.314</v>
      </c>
      <c r="I71" s="771">
        <v>0.52</v>
      </c>
      <c r="J71" s="601">
        <v>5.1539999999999999</v>
      </c>
      <c r="K71" s="426" t="str">
        <f t="shared" si="82"/>
        <v>1613</v>
      </c>
      <c r="L71" s="327"/>
      <c r="M71" s="173">
        <f t="shared" si="241"/>
        <v>5.1539999999999999</v>
      </c>
      <c r="N71" s="21">
        <f t="shared" si="242"/>
        <v>-3.9394300609669202</v>
      </c>
      <c r="O71" s="5">
        <f t="shared" si="243"/>
        <v>-4.3267943770971735</v>
      </c>
      <c r="P71" s="10">
        <f t="shared" si="244"/>
        <v>-2.6494079906144998</v>
      </c>
      <c r="Q71" s="624">
        <f t="shared" si="116"/>
        <v>227.68298012103719</v>
      </c>
      <c r="R71" s="5">
        <f t="shared" si="83"/>
        <v>5.8515176481772277</v>
      </c>
      <c r="S71" s="6">
        <f t="shared" si="84"/>
        <v>-2.6494079906144998</v>
      </c>
      <c r="T71" s="4">
        <f t="shared" si="85"/>
        <v>-4.3271381406979739</v>
      </c>
      <c r="U71" s="5">
        <f t="shared" si="86"/>
        <v>3.9390524619819973</v>
      </c>
      <c r="V71" s="8">
        <f t="shared" si="117"/>
        <v>-2.6494079906144998</v>
      </c>
      <c r="W71" s="624">
        <f t="shared" si="226"/>
        <v>137.68798012031527</v>
      </c>
      <c r="X71" s="5">
        <f t="shared" si="87"/>
        <v>5.8515176481772277</v>
      </c>
      <c r="Y71" s="7">
        <f t="shared" si="225"/>
        <v>-2.6494079906144998</v>
      </c>
      <c r="Z71" s="21">
        <f t="shared" si="245"/>
        <v>-0.28242715563397158</v>
      </c>
      <c r="AA71" s="5">
        <f t="shared" si="246"/>
        <v>0.95606710192298638</v>
      </c>
      <c r="AB71" s="5">
        <f t="shared" si="247"/>
        <v>-7.8553156404351537E-2</v>
      </c>
      <c r="AC71" s="8">
        <f t="shared" si="88"/>
        <v>1</v>
      </c>
      <c r="AD71" s="9">
        <f t="shared" si="118"/>
        <v>-0.28242715563397158</v>
      </c>
      <c r="AE71" s="5">
        <f t="shared" si="89"/>
        <v>0.95606710192298638</v>
      </c>
      <c r="AF71" s="10">
        <f t="shared" si="90"/>
        <v>-7.8553156404351537E-2</v>
      </c>
      <c r="AG71" s="622">
        <f t="shared" si="91"/>
        <v>85.302968446953031</v>
      </c>
      <c r="AH71" s="623">
        <f t="shared" si="92"/>
        <v>106.40511849480723</v>
      </c>
      <c r="AI71" s="624">
        <f t="shared" si="93"/>
        <v>-85.49459403541583</v>
      </c>
      <c r="AJ71" s="625">
        <f t="shared" si="94"/>
        <v>-163.5425876050852</v>
      </c>
      <c r="AK71" s="4">
        <f t="shared" si="213"/>
        <v>0.85249058628532892</v>
      </c>
      <c r="AL71" s="5">
        <f t="shared" si="95"/>
        <v>-0.51680673555383339</v>
      </c>
      <c r="AM71" s="6">
        <f t="shared" si="96"/>
        <v>-7.8553156404351537E-2</v>
      </c>
      <c r="AN71" s="612">
        <f t="shared" si="97"/>
        <v>-81.35735642959088</v>
      </c>
      <c r="AO71" s="613">
        <f t="shared" si="465"/>
        <v>31.5163984972638</v>
      </c>
      <c r="AP71" s="624">
        <f t="shared" si="99"/>
        <v>-31.225567726122396</v>
      </c>
      <c r="AQ71" s="625">
        <f t="shared" si="248"/>
        <v>2.118435223967094</v>
      </c>
      <c r="AS71" s="56">
        <f t="shared" si="410"/>
        <v>-222.31201987968473</v>
      </c>
      <c r="AT71" s="77">
        <f t="shared" si="249"/>
        <v>-1.8095436932939735</v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4"/>
        <v>5.1539999999999999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0.02</v>
      </c>
      <c r="B72" s="770">
        <v>-4.0096455050873914</v>
      </c>
      <c r="C72" s="771">
        <v>-4.3803595971711262</v>
      </c>
      <c r="D72" s="772">
        <v>-3.3571101250441373</v>
      </c>
      <c r="E72" s="773">
        <v>0.21695051942354801</v>
      </c>
      <c r="F72" s="771">
        <v>-0.97618260183320005</v>
      </c>
      <c r="G72" s="774">
        <v>1.3008419243937377E-7</v>
      </c>
      <c r="H72" s="773">
        <v>0.26600000000000001</v>
      </c>
      <c r="I72" s="771">
        <v>0.52</v>
      </c>
      <c r="J72" s="601">
        <v>5.1609999999999996</v>
      </c>
      <c r="K72" s="426" t="str">
        <f t="shared" si="82"/>
        <v>1313</v>
      </c>
      <c r="L72" s="327"/>
      <c r="M72" s="173">
        <f t="shared" si="241"/>
        <v>5.1609999999999996</v>
      </c>
      <c r="N72" s="21">
        <f t="shared" si="242"/>
        <v>-4.0096455050873914</v>
      </c>
      <c r="O72" s="5">
        <f t="shared" si="243"/>
        <v>-4.3803595971711262</v>
      </c>
      <c r="P72" s="10">
        <f t="shared" si="244"/>
        <v>-3.3571101250441373</v>
      </c>
      <c r="Q72" s="624">
        <f t="shared" si="116"/>
        <v>227.52998014312766</v>
      </c>
      <c r="R72" s="5">
        <f t="shared" si="83"/>
        <v>5.9384179102684174</v>
      </c>
      <c r="S72" s="6">
        <f t="shared" si="84"/>
        <v>-3.3571101250441373</v>
      </c>
      <c r="T72" s="4">
        <f t="shared" si="85"/>
        <v>-4.3807094880205018</v>
      </c>
      <c r="U72" s="5">
        <f t="shared" si="86"/>
        <v>4.0092632313885144</v>
      </c>
      <c r="V72" s="8">
        <f t="shared" si="117"/>
        <v>-3.3571101250441373</v>
      </c>
      <c r="W72" s="624">
        <f t="shared" si="226"/>
        <v>137.53498014240574</v>
      </c>
      <c r="X72" s="5">
        <f t="shared" si="87"/>
        <v>5.9384179102684174</v>
      </c>
      <c r="Y72" s="7">
        <f t="shared" si="225"/>
        <v>-3.3571101250441373</v>
      </c>
      <c r="Z72" s="21">
        <f t="shared" si="245"/>
        <v>-0.21695051942354801</v>
      </c>
      <c r="AA72" s="5">
        <f t="shared" si="246"/>
        <v>0.97618260183320005</v>
      </c>
      <c r="AB72" s="5">
        <f t="shared" si="247"/>
        <v>-1.3008419243937377E-7</v>
      </c>
      <c r="AC72" s="8">
        <f t="shared" si="88"/>
        <v>1</v>
      </c>
      <c r="AD72" s="9">
        <f t="shared" si="118"/>
        <v>-0.21695051942354801</v>
      </c>
      <c r="AE72" s="5">
        <f t="shared" si="89"/>
        <v>0.97618260183320005</v>
      </c>
      <c r="AF72" s="10">
        <f t="shared" si="90"/>
        <v>-1.3008419243937377E-7</v>
      </c>
      <c r="AG72" s="622">
        <f t="shared" si="91"/>
        <v>89.999992364876007</v>
      </c>
      <c r="AH72" s="623">
        <f t="shared" si="92"/>
        <v>102.52998519650228</v>
      </c>
      <c r="AI72" s="624">
        <f t="shared" si="93"/>
        <v>-89.999992546724783</v>
      </c>
      <c r="AJ72" s="625">
        <f t="shared" si="94"/>
        <v>-167.47001480349763</v>
      </c>
      <c r="AK72" s="4">
        <f t="shared" si="213"/>
        <v>0.81915209487729201</v>
      </c>
      <c r="AL72" s="5">
        <f t="shared" si="95"/>
        <v>-0.57357636410344459</v>
      </c>
      <c r="AM72" s="6">
        <f t="shared" si="96"/>
        <v>-1.3008419243937377E-7</v>
      </c>
      <c r="AN72" s="612">
        <f t="shared" si="97"/>
        <v>-89.999987005609583</v>
      </c>
      <c r="AO72" s="613">
        <f t="shared" si="465"/>
        <v>34.999994946625954</v>
      </c>
      <c r="AP72" s="624">
        <f t="shared" si="99"/>
        <v>-34.999994946625264</v>
      </c>
      <c r="AQ72" s="625">
        <f t="shared" si="248"/>
        <v>2.087462579638407</v>
      </c>
      <c r="AS72" s="56">
        <f t="shared" si="410"/>
        <v>-222.46501985759426</v>
      </c>
      <c r="AT72" s="77">
        <f t="shared" si="249"/>
        <v>-2.5166678278070638</v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4"/>
        <v>5.1609999999999996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0.02</v>
      </c>
      <c r="B73" s="770">
        <v>-3.360510486927025</v>
      </c>
      <c r="C73" s="771">
        <v>-2.6044235328305225</v>
      </c>
      <c r="D73" s="772">
        <v>-0.22748775303342733</v>
      </c>
      <c r="E73" s="773">
        <v>0.38604224910883261</v>
      </c>
      <c r="F73" s="771">
        <v>-0.84111387904090729</v>
      </c>
      <c r="G73" s="774">
        <v>0.37881238679292423</v>
      </c>
      <c r="H73" s="773">
        <v>0.26600000000000001</v>
      </c>
      <c r="I73" s="771">
        <v>0.52</v>
      </c>
      <c r="J73" s="601">
        <v>5.226</v>
      </c>
      <c r="K73" s="426" t="str">
        <f t="shared" si="82"/>
        <v>1313</v>
      </c>
      <c r="L73" s="327"/>
      <c r="M73" s="173">
        <f t="shared" ref="M73:M104" si="468">IF(J73="","",VALUE(J73))</f>
        <v>5.226</v>
      </c>
      <c r="N73" s="21">
        <f t="shared" ref="N73:N104" si="469">IF(M73="","",B73)</f>
        <v>-3.360510486927025</v>
      </c>
      <c r="O73" s="5">
        <f t="shared" ref="O73:O104" si="470">IF(M73="","",C73)</f>
        <v>-2.6044235328305225</v>
      </c>
      <c r="P73" s="10">
        <f t="shared" ref="P73:P104" si="471">IF(M73="","",D73)</f>
        <v>-0.22748775303342733</v>
      </c>
      <c r="Q73" s="624">
        <f t="shared" si="116"/>
        <v>217.77598155143082</v>
      </c>
      <c r="R73" s="5">
        <f>IF(M73="","",SQRT(N73^2+O73^2))</f>
        <v>4.2515941329233122</v>
      </c>
      <c r="S73" s="6">
        <f>IF(M73="","",P73)</f>
        <v>-0.22748775303342733</v>
      </c>
      <c r="T73" s="4">
        <f>IF(M73="","",X73*COS(RADIANS(W73)))</f>
        <v>-2.6047167827336253</v>
      </c>
      <c r="U73" s="5">
        <f>IF(M73="","",X73*SIN(RADIANS(W73)))</f>
        <v>3.3602831953354357</v>
      </c>
      <c r="V73" s="8">
        <f>IF(M73="","",Y73)</f>
        <v>-0.22748775303342733</v>
      </c>
      <c r="W73" s="624">
        <f t="shared" si="226"/>
        <v>127.7809815507089</v>
      </c>
      <c r="X73" s="5">
        <f>IF(M73="","",R73)</f>
        <v>4.2515941329233122</v>
      </c>
      <c r="Y73" s="7">
        <f t="shared" si="225"/>
        <v>-0.22748775303342733</v>
      </c>
      <c r="Z73" s="21">
        <f t="shared" ref="Z73:Z104" si="472">IF(M73="","",-E73)</f>
        <v>-0.38604224910883261</v>
      </c>
      <c r="AA73" s="5">
        <f t="shared" ref="AA73:AA104" si="473">IF(M73="","",-F73)</f>
        <v>0.84111387904090729</v>
      </c>
      <c r="AB73" s="5">
        <f t="shared" ref="AB73:AB104" si="474">IF(M73="","",-G73)</f>
        <v>-0.37881238679292423</v>
      </c>
      <c r="AC73" s="8">
        <f>IF(M73="","",SQRT(Z73^2+AA73^2+AB73^2))</f>
        <v>1</v>
      </c>
      <c r="AD73" s="9">
        <f>IF(M73="","",Z73*(1/SQRT(Z73^2+AA73^2+AB73^2)))</f>
        <v>-0.38604224910883261</v>
      </c>
      <c r="AE73" s="5">
        <f>IF(M73="","",AA73*(1/SQRT(Z73^2+AA73^2+AB73^2)))</f>
        <v>0.84111387904090729</v>
      </c>
      <c r="AF73" s="10">
        <f>IF(M73="","",AB73*(1/SQRT(Z73^2+AA73^2+AB73^2)))</f>
        <v>-0.37881238679292423</v>
      </c>
      <c r="AG73" s="622">
        <f>IF(M73="","",DEGREES(ATAN2(-AF73,AE73)))</f>
        <v>65.754631668469855</v>
      </c>
      <c r="AH73" s="623">
        <f>IF(M73="","",DEGREES(ACOS(AD73)))</f>
        <v>112.70845961269067</v>
      </c>
      <c r="AI73" s="624">
        <f>IF(M73="","",DEGREES(-ACOS(-AF73)))</f>
        <v>-67.739861451320053</v>
      </c>
      <c r="AJ73" s="625">
        <f>IF(M73="","",DEGREES(ATAN2(-AE73,AD73)))</f>
        <v>-155.34650998282768</v>
      </c>
      <c r="AK73" s="4">
        <f>IF(M73="","",(COS(RADIANS((90-$Q$8)-W73))*AD73)+(-SIN(RADIANS((90-$Q$8)-W73))*AE73))</f>
        <v>0.90130652401383027</v>
      </c>
      <c r="AL73" s="5">
        <f>IF(M73="","",(SIN(RADIANS((90-$Q$8)-W73))*AD73)+(COS(RADIANS((90-$Q$8)-W73))*AE73))</f>
        <v>-0.21011360113604011</v>
      </c>
      <c r="AM73" s="6">
        <f>IF(M73="","",AF73)</f>
        <v>-0.37881238679292423</v>
      </c>
      <c r="AN73" s="612">
        <f>IF(M73="","",DEGREES(ATAN2(-AM73,AL73)))</f>
        <v>-29.015555542810478</v>
      </c>
      <c r="AO73" s="613">
        <f t="shared" si="465"/>
        <v>25.669661020411567</v>
      </c>
      <c r="AP73" s="624">
        <f>IF(M73="","",DEGREES(ATAN2(AK73,AL73)))</f>
        <v>-13.122491534258483</v>
      </c>
      <c r="AQ73" s="625">
        <f t="shared" ref="AQ73:AQ104" si="475">IF(M73="","",DEGREES(ATAN(($AS$5*SIN(RADIANS(90)))/(($X73*2*PI())-($AS$5*COS(RADIANS(90)))))))</f>
        <v>2.9144397485696896</v>
      </c>
      <c r="AS73" s="56">
        <f t="shared" si="410"/>
        <v>-232.2190184492911</v>
      </c>
      <c r="AT73" s="77">
        <f t="shared" ref="AT73:AT104" si="476">IF(M73="","",Y73+(((AS73-$AS$9)*$AS$6)*-1))</f>
        <v>0.64980298332783404</v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>
        <f>IFERROR(IF($IU73="","",IF($IU73&lt;(((Settings!$C$19/2)*-1)*$IE$8),"",1)),"")</f>
        <v>1</v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1">M73</f>
        <v>5.226</v>
      </c>
      <c r="IH73" s="797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5.1260000000000003</v>
      </c>
      <c r="II73" s="800" cm="1">
        <f t="array" ref="II73">IFERROR(IF($IH73&lt;1,$IH73+LARGE((IF($M$9:$M$150="",0,$M$9:$M$150)-MOD(IF($M$9:$M$150="",0,$M$9:$M$150),1)),1),$IH73),"")</f>
        <v>5.1260000000000003</v>
      </c>
      <c r="IJ73" s="839" t="str">
        <f t="shared" ref="IJ73:IJ104" si="522">IF(ISNUMBER($II73),INDEX($K$9:$K$150,MATCH($II73,$M$9:$M$150,0)),"")</f>
        <v>1613</v>
      </c>
      <c r="IK73" s="839" t="str">
        <f t="shared" ref="IK73:IK104" si="523">IF(ISNUMBER($II73),INDEX($K$9:$K$150,MATCH($IG73,$M$9:$M$150,0)),"")</f>
        <v>1313</v>
      </c>
      <c r="IL73" s="791">
        <f t="shared" si="227"/>
        <v>12.51299819334659</v>
      </c>
      <c r="IM73" s="830">
        <v>1.33437516611044E-2</v>
      </c>
      <c r="IN73" s="5">
        <f t="shared" si="228"/>
        <v>0.36</v>
      </c>
      <c r="IO73" s="852">
        <v>180</v>
      </c>
      <c r="IP73" s="9">
        <f t="shared" si="229"/>
        <v>-4.2355127743065273</v>
      </c>
      <c r="IQ73" s="5">
        <f t="shared" si="230"/>
        <v>-0.27360082518008877</v>
      </c>
      <c r="IR73" s="5">
        <f t="shared" ref="IR73:IR104" si="524">IF(ISNUMBER($II73),INDEX($H$9:$H$150,MATCH($II73,$M$9:$M$150,0)),"")</f>
        <v>0.314</v>
      </c>
      <c r="IS73" s="5">
        <f t="shared" si="231"/>
        <v>0.30162700444353158</v>
      </c>
      <c r="IT73" s="791">
        <f t="shared" si="232"/>
        <v>37.175393442968414</v>
      </c>
      <c r="IU73" s="9">
        <f t="shared" si="233"/>
        <v>-4.2515941329233122</v>
      </c>
      <c r="IV73" s="5">
        <f t="shared" si="234"/>
        <v>-0.22748775303342733</v>
      </c>
      <c r="IW73" s="5">
        <f t="shared" ref="IW73:IW104" si="525">IF(ISNUMBER($II73),$H73,"")</f>
        <v>0.26600000000000001</v>
      </c>
      <c r="IX73" s="5">
        <f t="shared" si="235"/>
        <v>0.23974753538767887</v>
      </c>
      <c r="IY73" s="833">
        <f t="shared" si="236"/>
        <v>29.015555542810478</v>
      </c>
    </row>
    <row r="74" spans="1:259" ht="15" customHeight="1" x14ac:dyDescent="0.25">
      <c r="A74" s="84">
        <f t="shared" ref="A74:A137" si="526">IF(ISNUMBER(VALUE($K74)),$A$7,0)</f>
        <v>0.02</v>
      </c>
      <c r="B74" s="770">
        <v>-3.8598358413483336</v>
      </c>
      <c r="C74" s="771">
        <v>-3.0289987195196511</v>
      </c>
      <c r="D74" s="772">
        <v>-0.62234113899392507</v>
      </c>
      <c r="E74" s="773">
        <v>0.30207280152298444</v>
      </c>
      <c r="F74" s="771">
        <v>-0.895109064022788</v>
      </c>
      <c r="G74" s="774">
        <v>0.32792039595655575</v>
      </c>
      <c r="H74" s="773">
        <v>0.26600000000000001</v>
      </c>
      <c r="I74" s="771">
        <v>0.52</v>
      </c>
      <c r="J74" s="601">
        <v>5.2329999999999997</v>
      </c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>1313</v>
      </c>
      <c r="L74" s="327"/>
      <c r="M74" s="173">
        <f t="shared" si="468"/>
        <v>5.2329999999999997</v>
      </c>
      <c r="N74" s="21">
        <f t="shared" si="469"/>
        <v>-3.8598358413483336</v>
      </c>
      <c r="O74" s="5">
        <f t="shared" si="470"/>
        <v>-3.0289987195196511</v>
      </c>
      <c r="P74" s="10">
        <f t="shared" si="471"/>
        <v>-0.62234113899392507</v>
      </c>
      <c r="Q74" s="624">
        <f t="shared" ref="Q74:Q129" si="528">IF(M74="","",IF(DEGREES(ATAN2(N74,O74))&lt;0,DEGREES(ATAN2(N74,O74))+360,IF(DEGREES(ATAN2(N74,O74))&gt;360,DEGREES(ATAN2(N74,O74))-360,DEGREES(ATAN2(N74,O74)))))</f>
        <v>218.1229815013302</v>
      </c>
      <c r="R74" s="5">
        <f>IF(M74="","",SQRT(N74^2+O74^2))</f>
        <v>4.9064412729603601</v>
      </c>
      <c r="S74" s="6">
        <f>IF(M74="","",P74)</f>
        <v>-0.62234113899392507</v>
      </c>
      <c r="T74" s="4">
        <f>IF(M74="","",X74*COS(RADIANS(W74)))</f>
        <v>-3.0293355421571113</v>
      </c>
      <c r="U74" s="5">
        <f>IF(M74="","",X74*SIN(RADIANS(W74)))</f>
        <v>3.8595714966862014</v>
      </c>
      <c r="V74" s="8">
        <f>IF(M74="","",Y74)</f>
        <v>-0.62234113899392507</v>
      </c>
      <c r="W74" s="624">
        <f t="shared" si="226"/>
        <v>128.12798150060829</v>
      </c>
      <c r="X74" s="5">
        <f>IF(M74="","",R74)</f>
        <v>4.9064412729603601</v>
      </c>
      <c r="Y74" s="7">
        <f t="shared" si="225"/>
        <v>-0.62234113899392507</v>
      </c>
      <c r="Z74" s="21">
        <f t="shared" si="472"/>
        <v>-0.30207280152298444</v>
      </c>
      <c r="AA74" s="5">
        <f t="shared" si="473"/>
        <v>0.895109064022788</v>
      </c>
      <c r="AB74" s="5">
        <f t="shared" si="474"/>
        <v>-0.32792039595655575</v>
      </c>
      <c r="AC74" s="8">
        <f>IF(M74="","",SQRT(Z74^2+AA74^2+AB74^2))</f>
        <v>1</v>
      </c>
      <c r="AD74" s="9">
        <f>IF(M74="","",Z74*(1/SQRT(Z74^2+AA74^2+AB74^2)))</f>
        <v>-0.30207280152298444</v>
      </c>
      <c r="AE74" s="5">
        <f>IF(M74="","",AA74*(1/SQRT(Z74^2+AA74^2+AB74^2)))</f>
        <v>0.895109064022788</v>
      </c>
      <c r="AF74" s="10">
        <f>IF(M74="","",AB74*(1/SQRT(Z74^2+AA74^2+AB74^2)))</f>
        <v>-0.32792039595655575</v>
      </c>
      <c r="AG74" s="622">
        <f>IF(M74="","",DEGREES(ATAN2(-AF74,AE74)))</f>
        <v>69.879850207506948</v>
      </c>
      <c r="AH74" s="623">
        <f>IF(M74="","",DEGREES(ACOS(AD74)))</f>
        <v>107.58214300840015</v>
      </c>
      <c r="AI74" s="624">
        <f>IF(M74="","",DEGREES(-ACOS(-AF74)))</f>
        <v>-70.857399498199584</v>
      </c>
      <c r="AJ74" s="625">
        <f>IF(M74="","",DEGREES(ATAN2(-AE74,AD74)))</f>
        <v>-161.3519844991213</v>
      </c>
      <c r="AK74" s="4">
        <f>IF(M74="","",(COS(RADIANS((90-$Q$8)-W74))*AD74)+(-SIN(RADIANS((90-$Q$8)-W74))*AE74))</f>
        <v>0.89065616668618308</v>
      </c>
      <c r="AL74" s="5">
        <f>IF(M74="","",(SIN(RADIANS((90-$Q$8)-W74))*AD74)+(COS(RADIANS((90-$Q$8)-W74))*AE74))</f>
        <v>-0.31496000803208335</v>
      </c>
      <c r="AM74" s="6">
        <f>IF(M74="","",AF74)</f>
        <v>-0.32792039595655575</v>
      </c>
      <c r="AN74" s="612">
        <f>IF(M74="","",DEGREES(ATAN2(-AM74,AL74)))</f>
        <v>-43.845080749807032</v>
      </c>
      <c r="AO74" s="613">
        <f t="shared" si="465"/>
        <v>27.044183367495854</v>
      </c>
      <c r="AP74" s="624">
        <f>IF(M74="","",DEGREES(ATAN2(AK74,AL74)))</f>
        <v>-19.474966000451474</v>
      </c>
      <c r="AQ74" s="625">
        <f t="shared" si="475"/>
        <v>2.5260012733360364</v>
      </c>
      <c r="AS74" s="56">
        <f t="shared" si="410"/>
        <v>-231.87201849939171</v>
      </c>
      <c r="AT74" s="77">
        <f t="shared" si="476"/>
        <v>0.25363870866771643</v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>
        <f>IFERROR(IF((((($IW74*COS(RADIANS(180-$IY74)))*COS(RADIANS($IY74)))-(($IX74*SIN(RADIANS(180-$IY74)))*SIN(RADIANS($IY74))))+$IU74)&lt;(((Settings!$C$19/2)*-1)+$IF$8),1,""),"")</f>
        <v>1</v>
      </c>
      <c r="IG74" s="836">
        <f t="shared" si="521"/>
        <v>5.2329999999999997</v>
      </c>
      <c r="IH74" s="797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5.133</v>
      </c>
      <c r="II74" s="800" cm="1">
        <f t="array" ref="II74">IFERROR(IF($IH74&lt;1,$IH74+LARGE((IF($M$9:$M$150="",0,$M$9:$M$150)-MOD(IF($M$9:$M$150="",0,$M$9:$M$150),1)),1),$IH74),"")</f>
        <v>5.133</v>
      </c>
      <c r="IJ74" s="839" t="str">
        <f t="shared" si="522"/>
        <v>1613</v>
      </c>
      <c r="IK74" s="839" t="str">
        <f t="shared" si="523"/>
        <v>1313</v>
      </c>
      <c r="IL74" s="791">
        <f t="shared" si="227"/>
        <v>11.191998384075362</v>
      </c>
      <c r="IM74" s="830">
        <v>1.0922717829371599E-2</v>
      </c>
      <c r="IN74" s="5">
        <f t="shared" si="228"/>
        <v>0.34</v>
      </c>
      <c r="IO74" s="852">
        <v>170</v>
      </c>
      <c r="IP74" s="9">
        <f t="shared" si="229"/>
        <v>-4.8783147129971747</v>
      </c>
      <c r="IQ74" s="5">
        <f t="shared" si="230"/>
        <v>-0.66590200836045721</v>
      </c>
      <c r="IR74" s="5">
        <f t="shared" si="524"/>
        <v>0.314</v>
      </c>
      <c r="IS74" s="5">
        <f t="shared" si="231"/>
        <v>0.2991032751188436</v>
      </c>
      <c r="IT74" s="791">
        <f t="shared" si="232"/>
        <v>52.846441991429906</v>
      </c>
      <c r="IU74" s="9">
        <f t="shared" si="233"/>
        <v>-4.9064412729603601</v>
      </c>
      <c r="IV74" s="5">
        <f t="shared" si="234"/>
        <v>-0.62234113899392507</v>
      </c>
      <c r="IW74" s="5">
        <f t="shared" si="525"/>
        <v>0.26600000000000001</v>
      </c>
      <c r="IX74" s="5">
        <f t="shared" si="235"/>
        <v>0.23691454033852472</v>
      </c>
      <c r="IY74" s="833">
        <f t="shared" si="236"/>
        <v>43.845080749807032</v>
      </c>
    </row>
    <row r="75" spans="1:259" ht="15" customHeight="1" x14ac:dyDescent="0.25">
      <c r="A75" s="84">
        <f t="shared" si="526"/>
        <v>0.02</v>
      </c>
      <c r="B75" s="770">
        <v>-4.2628112818116595</v>
      </c>
      <c r="C75" s="771">
        <v>-3.342829219267105</v>
      </c>
      <c r="D75" s="772">
        <v>-1.1917099522933361</v>
      </c>
      <c r="E75" s="773">
        <v>0.21554311608985902</v>
      </c>
      <c r="F75" s="771">
        <v>-0.93928460771973654</v>
      </c>
      <c r="G75" s="774">
        <v>0.26699361566721819</v>
      </c>
      <c r="H75" s="773">
        <v>0.26600000000000001</v>
      </c>
      <c r="I75" s="771">
        <v>0.52</v>
      </c>
      <c r="J75" s="601">
        <v>5.24</v>
      </c>
      <c r="K75" s="426" t="str">
        <f t="shared" si="527"/>
        <v>1313</v>
      </c>
      <c r="L75" s="327"/>
      <c r="M75" s="173">
        <f t="shared" si="468"/>
        <v>5.24</v>
      </c>
      <c r="N75" s="21">
        <f t="shared" si="469"/>
        <v>-4.2628112818116595</v>
      </c>
      <c r="O75" s="5">
        <f t="shared" si="470"/>
        <v>-3.342829219267105</v>
      </c>
      <c r="P75" s="10">
        <f t="shared" si="471"/>
        <v>-1.1917099522933361</v>
      </c>
      <c r="Q75" s="624">
        <f t="shared" si="528"/>
        <v>218.10298150421784</v>
      </c>
      <c r="R75" s="5">
        <f>IF(M75="","",SQRT(N75^2+O75^2))</f>
        <v>5.4172010497605392</v>
      </c>
      <c r="S75" s="6">
        <f>IF(M75="","",P75)</f>
        <v>-1.1917099522933361</v>
      </c>
      <c r="T75" s="4">
        <f>IF(M75="","",X75*COS(RADIANS(W75)))</f>
        <v>-3.3432012069456691</v>
      </c>
      <c r="U75" s="5">
        <f>IF(M75="","",X75*SIN(RADIANS(W75)))</f>
        <v>4.2625195487415315</v>
      </c>
      <c r="V75" s="8">
        <f>IF(M75="","",Y75)</f>
        <v>-1.1917099522933361</v>
      </c>
      <c r="W75" s="624">
        <f t="shared" si="226"/>
        <v>128.10798150349592</v>
      </c>
      <c r="X75" s="5">
        <f>IF(M75="","",R75)</f>
        <v>5.4172010497605392</v>
      </c>
      <c r="Y75" s="7">
        <f t="shared" si="225"/>
        <v>-1.1917099522933361</v>
      </c>
      <c r="Z75" s="21">
        <f t="shared" si="472"/>
        <v>-0.21554311608985902</v>
      </c>
      <c r="AA75" s="5">
        <f t="shared" si="473"/>
        <v>0.93928460771973654</v>
      </c>
      <c r="AB75" s="5">
        <f t="shared" si="474"/>
        <v>-0.26699361566721819</v>
      </c>
      <c r="AC75" s="8">
        <f>IF(M75="","",SQRT(Z75^2+AA75^2+AB75^2))</f>
        <v>1</v>
      </c>
      <c r="AD75" s="9">
        <f>IF(M75="","",Z75*(1/SQRT(Z75^2+AA75^2+AB75^2)))</f>
        <v>-0.21554311608985902</v>
      </c>
      <c r="AE75" s="5">
        <f>IF(M75="","",AA75*(1/SQRT(Z75^2+AA75^2+AB75^2)))</f>
        <v>0.93928460771973654</v>
      </c>
      <c r="AF75" s="10">
        <f>IF(M75="","",AB75*(1/SQRT(Z75^2+AA75^2+AB75^2)))</f>
        <v>-0.26699361566721819</v>
      </c>
      <c r="AG75" s="622">
        <f>IF(M75="","",DEGREES(ATAN2(-AF75,AE75)))</f>
        <v>74.13208862277375</v>
      </c>
      <c r="AH75" s="623">
        <f>IF(M75="","",DEGREES(ACOS(AD75)))</f>
        <v>102.44739267332933</v>
      </c>
      <c r="AI75" s="624">
        <f>IF(M75="","",DEGREES(-ACOS(-AF75)))</f>
        <v>-74.514552513121217</v>
      </c>
      <c r="AJ75" s="625">
        <f>IF(M75="","",DEGREES(ATAN2(-AE75,AD75)))</f>
        <v>-167.07576250409437</v>
      </c>
      <c r="AK75" s="4">
        <f>IF(M75="","",(COS(RADIANS((90-$Q$8)-W75))*AD75)+(-SIN(RADIANS((90-$Q$8)-W75))*AE75))</f>
        <v>0.87213245469367195</v>
      </c>
      <c r="AL75" s="5">
        <f>IF(M75="","",(SIN(RADIANS((90-$Q$8)-W75))*AD75)+(COS(RADIANS((90-$Q$8)-W75))*AE75))</f>
        <v>-0.40999925690534633</v>
      </c>
      <c r="AM75" s="6">
        <f>IF(M75="","",AF75)</f>
        <v>-0.26699361566721819</v>
      </c>
      <c r="AN75" s="612">
        <f>IF(M75="","",DEGREES(ATAN2(-AM75,AL75)))</f>
        <v>-56.927619035649919</v>
      </c>
      <c r="AO75" s="613">
        <f t="shared" si="465"/>
        <v>29.292601914013673</v>
      </c>
      <c r="AP75" s="624">
        <f>IF(M75="","",DEGREES(ATAN2(AK75,AL75)))</f>
        <v>-25.178744008312229</v>
      </c>
      <c r="AQ75" s="625">
        <f t="shared" si="475"/>
        <v>2.2881040064557303</v>
      </c>
      <c r="AS75" s="56">
        <f t="shared" ref="AS75:AS106" si="550">IF(G75="","",IF(AND(W75&lt;(AS74+180),W75&gt;(AS74-180)),W75,IF(W75&gt;(AS74+180),W75-360,IF(W75&lt;(AS74-180),W75+360,"Error"))))</f>
        <v>-231.89201849650408</v>
      </c>
      <c r="AT75" s="77">
        <f t="shared" si="476"/>
        <v>-0.31565454908704793</v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>
        <f>IFERROR(IF((((($IW75*COS(RADIANS(180-$IY75)))*COS(RADIANS($IY75)))-(($IX75*SIN(RADIANS(180-$IY75)))*SIN(RADIANS($IY75))))+$IU75)&lt;(((Settings!$C$19/2)*-1)+$IF$8),1,""),"")</f>
        <v>1</v>
      </c>
      <c r="IG75" s="836">
        <f t="shared" si="521"/>
        <v>5.24</v>
      </c>
      <c r="IH75" s="797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5.14</v>
      </c>
      <c r="II75" s="800" cm="1">
        <f t="array" ref="II75">IFERROR(IF($IH75&lt;1,$IH75+LARGE((IF($M$9:$M$150="",0,$M$9:$M$150)-MOD(IF($M$9:$M$150="",0,$M$9:$M$150),1)),1),$IH75),"")</f>
        <v>5.14</v>
      </c>
      <c r="IJ75" s="839" t="str">
        <f t="shared" si="522"/>
        <v>1613</v>
      </c>
      <c r="IK75" s="839" t="str">
        <f t="shared" si="523"/>
        <v>1313</v>
      </c>
      <c r="IL75" s="791">
        <f t="shared" si="227"/>
        <v>10.393998499292337</v>
      </c>
      <c r="IM75" s="830">
        <v>8.7118456531611703E-3</v>
      </c>
      <c r="IN75" s="5">
        <f t="shared" si="228"/>
        <v>0.32</v>
      </c>
      <c r="IO75" s="852">
        <v>160</v>
      </c>
      <c r="IP75" s="9">
        <f t="shared" si="229"/>
        <v>-5.3777162191921182</v>
      </c>
      <c r="IQ75" s="5">
        <f t="shared" si="230"/>
        <v>-1.2301037099927894</v>
      </c>
      <c r="IR75" s="5">
        <f t="shared" si="524"/>
        <v>0.314</v>
      </c>
      <c r="IS75" s="5">
        <f t="shared" si="231"/>
        <v>0.29497382853074705</v>
      </c>
      <c r="IT75" s="791">
        <f t="shared" si="232"/>
        <v>65.406624487673625</v>
      </c>
      <c r="IU75" s="9">
        <f t="shared" si="233"/>
        <v>-5.4172010497605392</v>
      </c>
      <c r="IV75" s="5">
        <f t="shared" si="234"/>
        <v>-1.1917099522933361</v>
      </c>
      <c r="IW75" s="5">
        <f t="shared" si="525"/>
        <v>0.26600000000000001</v>
      </c>
      <c r="IX75" s="5">
        <f t="shared" si="235"/>
        <v>0.23198723294851675</v>
      </c>
      <c r="IY75" s="833">
        <f t="shared" si="236"/>
        <v>56.927619035649919</v>
      </c>
    </row>
    <row r="76" spans="1:259" ht="15" customHeight="1" x14ac:dyDescent="0.25">
      <c r="A76" s="84">
        <f t="shared" si="526"/>
        <v>0.02</v>
      </c>
      <c r="B76" s="770">
        <v>-4.5346157364156277</v>
      </c>
      <c r="C76" s="771">
        <v>-3.5414259579566854</v>
      </c>
      <c r="D76" s="772">
        <v>-1.8789491210624092</v>
      </c>
      <c r="E76" s="773">
        <v>9.8611647649293963E-2</v>
      </c>
      <c r="F76" s="771">
        <v>-0.97165038825716588</v>
      </c>
      <c r="G76" s="774">
        <v>0.21487500075064658</v>
      </c>
      <c r="H76" s="773">
        <v>0.26600000000000001</v>
      </c>
      <c r="I76" s="771">
        <v>0.52</v>
      </c>
      <c r="J76" s="601">
        <v>5.2469999999999999</v>
      </c>
      <c r="K76" s="426" t="str">
        <f t="shared" si="527"/>
        <v>1313</v>
      </c>
      <c r="L76" s="327"/>
      <c r="M76" s="173">
        <f t="shared" si="468"/>
        <v>5.2469999999999999</v>
      </c>
      <c r="N76" s="21">
        <f t="shared" si="469"/>
        <v>-4.5346157364156277</v>
      </c>
      <c r="O76" s="5">
        <f t="shared" si="470"/>
        <v>-3.5414259579566854</v>
      </c>
      <c r="P76" s="10">
        <f t="shared" si="471"/>
        <v>-1.8789491210624092</v>
      </c>
      <c r="Q76" s="624">
        <f t="shared" si="528"/>
        <v>217.98898152067741</v>
      </c>
      <c r="R76" s="5">
        <f t="shared" si="83"/>
        <v>5.7536456001945124</v>
      </c>
      <c r="S76" s="6">
        <f t="shared" si="84"/>
        <v>-1.8789491210624092</v>
      </c>
      <c r="T76" s="4">
        <f t="shared" si="85"/>
        <v>-3.5418216642888667</v>
      </c>
      <c r="U76" s="5">
        <f t="shared" si="86"/>
        <v>4.5343066714782001</v>
      </c>
      <c r="V76" s="8">
        <f t="shared" si="117"/>
        <v>-1.8789491210624092</v>
      </c>
      <c r="W76" s="624">
        <f t="shared" si="226"/>
        <v>127.9939815199555</v>
      </c>
      <c r="X76" s="5">
        <f t="shared" si="87"/>
        <v>5.7536456001945124</v>
      </c>
      <c r="Y76" s="7">
        <f t="shared" ref="Y76:Y129" si="650">IF(M76="","",S76)</f>
        <v>-1.8789491210624092</v>
      </c>
      <c r="Z76" s="21">
        <f t="shared" si="472"/>
        <v>-9.8611647649293963E-2</v>
      </c>
      <c r="AA76" s="5">
        <f t="shared" si="473"/>
        <v>0.97165038825716588</v>
      </c>
      <c r="AB76" s="5">
        <f t="shared" si="474"/>
        <v>-0.21487500075064658</v>
      </c>
      <c r="AC76" s="8">
        <f t="shared" si="88"/>
        <v>1</v>
      </c>
      <c r="AD76" s="9">
        <f t="shared" si="118"/>
        <v>-9.8611647649293963E-2</v>
      </c>
      <c r="AE76" s="5">
        <f t="shared" si="89"/>
        <v>0.97165038825716588</v>
      </c>
      <c r="AF76" s="10">
        <f t="shared" si="90"/>
        <v>-0.21487500075064658</v>
      </c>
      <c r="AG76" s="622">
        <f t="shared" si="91"/>
        <v>77.530056593383293</v>
      </c>
      <c r="AH76" s="623">
        <f t="shared" si="92"/>
        <v>95.659228584463719</v>
      </c>
      <c r="AI76" s="624">
        <f t="shared" si="93"/>
        <v>-77.591806020431846</v>
      </c>
      <c r="AJ76" s="625">
        <f t="shared" si="94"/>
        <v>-174.20496107077565</v>
      </c>
      <c r="AK76" s="4">
        <f t="shared" si="213"/>
        <v>0.82648242871730337</v>
      </c>
      <c r="AL76" s="5">
        <f t="shared" si="95"/>
        <v>-0.52034174258265808</v>
      </c>
      <c r="AM76" s="6">
        <f t="shared" si="96"/>
        <v>-0.21487500075064658</v>
      </c>
      <c r="AN76" s="612">
        <f t="shared" si="97"/>
        <v>-67.561833583122862</v>
      </c>
      <c r="AO76" s="613">
        <f t="shared" si="465"/>
        <v>34.260924115020266</v>
      </c>
      <c r="AP76" s="624">
        <f t="shared" si="99"/>
        <v>-32.193942591453066</v>
      </c>
      <c r="AQ76" s="625">
        <f t="shared" si="475"/>
        <v>2.1544370667814716</v>
      </c>
      <c r="AS76" s="56">
        <f t="shared" si="550"/>
        <v>-232.0060184800445</v>
      </c>
      <c r="AT76" s="77">
        <f t="shared" si="476"/>
        <v>-1.002463051251635</v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>
        <f>IFERROR(IF((((($IW76*COS(RADIANS(180-$IY76)))*COS(RADIANS($IY76)))-(($IX76*SIN(RADIANS(180-$IY76)))*SIN(RADIANS($IY76))))+$IU76)&lt;(((Settings!$C$19/2)*-1)+$IF$8),1,""),"")</f>
        <v>1</v>
      </c>
      <c r="IG76" s="836">
        <f t="shared" si="521"/>
        <v>5.2469999999999999</v>
      </c>
      <c r="IH76" s="797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5.1470000000000002</v>
      </c>
      <c r="II76" s="800" cm="1">
        <f t="array" ref="II76">IFERROR(IF($IH76&lt;1,$IH76+LARGE((IF($M$9:$M$150="",0,$M$9:$M$150)-MOD(IF($M$9:$M$150="",0,$M$9:$M$150),1)),1),$IH76),"")</f>
        <v>5.1470000000000002</v>
      </c>
      <c r="IJ76" s="839" t="str">
        <f t="shared" si="522"/>
        <v>1613</v>
      </c>
      <c r="IK76" s="839" t="str">
        <f t="shared" si="523"/>
        <v>1313</v>
      </c>
      <c r="IL76" s="791">
        <f t="shared" si="227"/>
        <v>9.9519985631091856</v>
      </c>
      <c r="IM76" s="830">
        <v>6.5224555256022804E-3</v>
      </c>
      <c r="IN76" s="5">
        <f t="shared" si="228"/>
        <v>0.28000000000000003</v>
      </c>
      <c r="IO76" s="852">
        <v>140</v>
      </c>
      <c r="IP76" s="9">
        <f t="shared" si="229"/>
        <v>-5.7032172009030777</v>
      </c>
      <c r="IQ76" s="5">
        <f t="shared" si="230"/>
        <v>-1.9102057611805756</v>
      </c>
      <c r="IR76" s="5">
        <f t="shared" si="524"/>
        <v>0.314</v>
      </c>
      <c r="IS76" s="5">
        <f t="shared" si="231"/>
        <v>0.28483800839327111</v>
      </c>
      <c r="IT76" s="791">
        <f t="shared" si="232"/>
        <v>73.80460472038277</v>
      </c>
      <c r="IU76" s="9">
        <f t="shared" si="233"/>
        <v>-5.7536456001945124</v>
      </c>
      <c r="IV76" s="5">
        <f t="shared" si="234"/>
        <v>-1.8789491210624092</v>
      </c>
      <c r="IW76" s="5">
        <f t="shared" si="525"/>
        <v>0.26600000000000001</v>
      </c>
      <c r="IX76" s="5">
        <f t="shared" si="235"/>
        <v>0.21984432603880272</v>
      </c>
      <c r="IY76" s="833">
        <f t="shared" si="236"/>
        <v>67.561833583122862</v>
      </c>
    </row>
    <row r="77" spans="1:259" ht="15" customHeight="1" x14ac:dyDescent="0.25">
      <c r="A77" s="84">
        <f t="shared" si="526"/>
        <v>0.02</v>
      </c>
      <c r="B77" s="770">
        <v>-3.3826102201410846</v>
      </c>
      <c r="C77" s="771">
        <v>-0.31677197197206663</v>
      </c>
      <c r="D77" s="772">
        <v>-8.2700249423952238E-2</v>
      </c>
      <c r="E77" s="773">
        <v>1.9602760580727702E-2</v>
      </c>
      <c r="F77" s="771">
        <v>-0.96638384419998591</v>
      </c>
      <c r="G77" s="774">
        <v>0.25635521731939065</v>
      </c>
      <c r="H77" s="773">
        <v>0.314</v>
      </c>
      <c r="I77" s="771">
        <v>0.52</v>
      </c>
      <c r="J77" s="601">
        <v>6.1180000000000003</v>
      </c>
      <c r="K77" s="426" t="str">
        <f t="shared" si="527"/>
        <v>1613</v>
      </c>
      <c r="L77" s="327"/>
      <c r="M77" s="173">
        <f t="shared" si="468"/>
        <v>6.1180000000000003</v>
      </c>
      <c r="N77" s="21">
        <f t="shared" si="469"/>
        <v>-3.3826102201410846</v>
      </c>
      <c r="O77" s="5">
        <f t="shared" si="470"/>
        <v>-0.31677197197206663</v>
      </c>
      <c r="P77" s="10">
        <f t="shared" si="471"/>
        <v>-8.2700249423952238E-2</v>
      </c>
      <c r="Q77" s="624">
        <f t="shared" si="528"/>
        <v>185.34998623316528</v>
      </c>
      <c r="R77" s="5">
        <f t="shared" si="83"/>
        <v>3.397410246589303</v>
      </c>
      <c r="S77" s="6">
        <f t="shared" si="84"/>
        <v>-8.2700249423952238E-2</v>
      </c>
      <c r="T77" s="4">
        <f t="shared" si="85"/>
        <v>-0.31706715915115796</v>
      </c>
      <c r="U77" s="5">
        <f t="shared" si="86"/>
        <v>3.382582563695645</v>
      </c>
      <c r="V77" s="8">
        <f t="shared" si="117"/>
        <v>-8.2700249423952238E-2</v>
      </c>
      <c r="W77" s="624">
        <f t="shared" si="226"/>
        <v>95.354986232443366</v>
      </c>
      <c r="X77" s="5">
        <f t="shared" si="87"/>
        <v>3.397410246589303</v>
      </c>
      <c r="Y77" s="7">
        <f t="shared" si="650"/>
        <v>-8.2700249423952238E-2</v>
      </c>
      <c r="Z77" s="21">
        <f t="shared" si="472"/>
        <v>-1.9602760580727702E-2</v>
      </c>
      <c r="AA77" s="5">
        <f t="shared" si="473"/>
        <v>0.96638384419998591</v>
      </c>
      <c r="AB77" s="5">
        <f t="shared" si="474"/>
        <v>-0.25635521731939065</v>
      </c>
      <c r="AC77" s="8">
        <f t="shared" si="88"/>
        <v>1</v>
      </c>
      <c r="AD77" s="9">
        <f t="shared" si="118"/>
        <v>-1.9602760580727702E-2</v>
      </c>
      <c r="AE77" s="5">
        <f t="shared" si="89"/>
        <v>0.96638384419998591</v>
      </c>
      <c r="AF77" s="10">
        <f t="shared" si="90"/>
        <v>-0.25635521731939065</v>
      </c>
      <c r="AG77" s="622">
        <f t="shared" si="91"/>
        <v>75.143176504565673</v>
      </c>
      <c r="AH77" s="623">
        <f t="shared" si="92"/>
        <v>91.123227392680434</v>
      </c>
      <c r="AI77" s="624">
        <f t="shared" si="93"/>
        <v>-75.146097012558855</v>
      </c>
      <c r="AJ77" s="625">
        <f t="shared" si="94"/>
        <v>-178.8379343822256</v>
      </c>
      <c r="AK77" s="4">
        <f t="shared" si="213"/>
        <v>0.96400176469217203</v>
      </c>
      <c r="AL77" s="5">
        <f t="shared" si="95"/>
        <v>-7.0587535893429282E-2</v>
      </c>
      <c r="AM77" s="6">
        <f t="shared" si="96"/>
        <v>-0.25635521731939065</v>
      </c>
      <c r="AN77" s="612">
        <f t="shared" si="97"/>
        <v>-15.39491952426026</v>
      </c>
      <c r="AO77" s="613">
        <f t="shared" si="465"/>
        <v>15.420190538085741</v>
      </c>
      <c r="AP77" s="624">
        <f t="shared" si="99"/>
        <v>-4.1879206153908806</v>
      </c>
      <c r="AQ77" s="625">
        <f t="shared" si="475"/>
        <v>3.6454160937492452</v>
      </c>
      <c r="AS77" s="56">
        <f t="shared" si="550"/>
        <v>-264.64501376755663</v>
      </c>
      <c r="AT77" s="77">
        <f t="shared" si="476"/>
        <v>0.91708869147297889</v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1"/>
        <v>6.1180000000000003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0.02</v>
      </c>
      <c r="B78" s="770">
        <v>-4.122753098701855</v>
      </c>
      <c r="C78" s="771">
        <v>-0.31947149965622507</v>
      </c>
      <c r="D78" s="772">
        <v>-0.23410070604772945</v>
      </c>
      <c r="E78" s="773">
        <v>-8.2108839041485485E-2</v>
      </c>
      <c r="F78" s="771">
        <v>-0.97031291393042929</v>
      </c>
      <c r="G78" s="774">
        <v>0.22748843401610272</v>
      </c>
      <c r="H78" s="773">
        <v>0.314</v>
      </c>
      <c r="I78" s="771">
        <v>0.52</v>
      </c>
      <c r="J78" s="601">
        <v>6.125</v>
      </c>
      <c r="K78" s="426" t="str">
        <f t="shared" si="527"/>
        <v>1613</v>
      </c>
      <c r="L78" s="327"/>
      <c r="M78" s="173">
        <f t="shared" si="468"/>
        <v>6.125</v>
      </c>
      <c r="N78" s="21">
        <f t="shared" si="469"/>
        <v>-4.122753098701855</v>
      </c>
      <c r="O78" s="5">
        <f t="shared" si="470"/>
        <v>-0.31947149965622507</v>
      </c>
      <c r="P78" s="10">
        <f t="shared" si="471"/>
        <v>-0.23410070604772945</v>
      </c>
      <c r="Q78" s="624">
        <f t="shared" si="528"/>
        <v>184.43098636585245</v>
      </c>
      <c r="R78" s="5">
        <f>IF(M78="","",SQRT(N78^2+O78^2))</f>
        <v>4.1351124714992151</v>
      </c>
      <c r="S78" s="6">
        <f>IF(M78="","",P78)</f>
        <v>-0.23410070604772945</v>
      </c>
      <c r="T78" s="4">
        <f>IF(M78="","",X78*COS(RADIANS(W78)))</f>
        <v>-0.31983127646646059</v>
      </c>
      <c r="U78" s="5">
        <f>IF(M78="","",X78*SIN(RADIANS(W78)))</f>
        <v>4.1227252038599635</v>
      </c>
      <c r="V78" s="8">
        <f>IF(M78="","",Y78)</f>
        <v>-0.23410070604772945</v>
      </c>
      <c r="W78" s="624">
        <f t="shared" si="226"/>
        <v>94.435986365130532</v>
      </c>
      <c r="X78" s="5">
        <f>IF(M78="","",R78)</f>
        <v>4.1351124714992151</v>
      </c>
      <c r="Y78" s="7">
        <f t="shared" si="650"/>
        <v>-0.23410070604772945</v>
      </c>
      <c r="Z78" s="21">
        <f t="shared" si="472"/>
        <v>8.2108839041485485E-2</v>
      </c>
      <c r="AA78" s="5">
        <f t="shared" si="473"/>
        <v>0.97031291393042929</v>
      </c>
      <c r="AB78" s="5">
        <f t="shared" si="474"/>
        <v>-0.22748843401610272</v>
      </c>
      <c r="AC78" s="8">
        <f>IF(M78="","",SQRT(Z78^2+AA78^2+AB78^2))</f>
        <v>1</v>
      </c>
      <c r="AD78" s="9">
        <f>IF(M78="","",Z78*(1/SQRT(Z78^2+AA78^2+AB78^2)))</f>
        <v>8.2108839041485485E-2</v>
      </c>
      <c r="AE78" s="5">
        <f>IF(M78="","",AA78*(1/SQRT(Z78^2+AA78^2+AB78^2)))</f>
        <v>0.97031291393042929</v>
      </c>
      <c r="AF78" s="10">
        <f>IF(M78="","",AB78*(1/SQRT(Z78^2+AA78^2+AB78^2)))</f>
        <v>-0.22748843401610272</v>
      </c>
      <c r="AG78" s="622">
        <f>IF(M78="","",DEGREES(ATAN2(-AF78,AE78)))</f>
        <v>76.805395896971319</v>
      </c>
      <c r="AH78" s="623">
        <f>IF(M78="","",DEGREES(ACOS(AD78)))</f>
        <v>85.290207790276384</v>
      </c>
      <c r="AI78" s="624">
        <f>IF(M78="","",DEGREES(-ACOS(-AF78)))</f>
        <v>-76.850749684773533</v>
      </c>
      <c r="AJ78" s="625">
        <f>IF(M78="","",DEGREES(ATAN2(-AE78,AD78)))</f>
        <v>175.16309769288421</v>
      </c>
      <c r="AK78" s="4">
        <f>IF(M78="","",(COS(RADIANS((90-$Q$8)-W78))*AD78)+(-SIN(RADIANS((90-$Q$8)-W78))*AE78))</f>
        <v>0.96106917673091474</v>
      </c>
      <c r="AL78" s="5">
        <f>IF(M78="","",(SIN(RADIANS((90-$Q$8)-W78))*AD78)+(COS(RADIANS((90-$Q$8)-W78))*AE78))</f>
        <v>-0.15682809036222703</v>
      </c>
      <c r="AM78" s="6">
        <f>IF(M78="","",AF78)</f>
        <v>-0.22748843401610272</v>
      </c>
      <c r="AN78" s="612">
        <f>IF(M78="","",DEGREES(ATAN2(-AM78,AL78)))</f>
        <v>-34.581963739036809</v>
      </c>
      <c r="AO78" s="613">
        <f t="shared" si="465"/>
        <v>16.039969682316013</v>
      </c>
      <c r="AP78" s="624">
        <f>IF(M78="","",DEGREES(ATAN2(AK78,AL78)))</f>
        <v>-9.2678886729682404</v>
      </c>
      <c r="AQ78" s="625">
        <f t="shared" si="475"/>
        <v>2.9963888131241379</v>
      </c>
      <c r="AS78" s="56">
        <f t="shared" si="550"/>
        <v>-265.56401363486947</v>
      </c>
      <c r="AT78" s="77">
        <f t="shared" si="476"/>
        <v>0.76916001212571683</v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1"/>
        <v>6.125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0.02</v>
      </c>
      <c r="B79" s="770">
        <v>-4.7855309746768855</v>
      </c>
      <c r="C79" s="771">
        <v>-0.2884190920457223</v>
      </c>
      <c r="D79" s="772">
        <v>-0.59820180417664137</v>
      </c>
      <c r="E79" s="773">
        <v>-0.17601608972999205</v>
      </c>
      <c r="F79" s="771">
        <v>-0.96537780197767653</v>
      </c>
      <c r="G79" s="774">
        <v>0.19252022128834514</v>
      </c>
      <c r="H79" s="773">
        <v>0.314</v>
      </c>
      <c r="I79" s="771">
        <v>0.52</v>
      </c>
      <c r="J79" s="601">
        <v>6.1319999999999997</v>
      </c>
      <c r="K79" s="426" t="str">
        <f t="shared" si="527"/>
        <v>1613</v>
      </c>
      <c r="L79" s="327"/>
      <c r="M79" s="173">
        <f t="shared" si="468"/>
        <v>6.1319999999999997</v>
      </c>
      <c r="N79" s="21">
        <f t="shared" si="469"/>
        <v>-4.7855309746768855</v>
      </c>
      <c r="O79" s="5">
        <f t="shared" si="470"/>
        <v>-0.2884190920457223</v>
      </c>
      <c r="P79" s="10">
        <f t="shared" si="471"/>
        <v>-0.59820180417664137</v>
      </c>
      <c r="Q79" s="624">
        <f t="shared" si="528"/>
        <v>183.44898650763568</v>
      </c>
      <c r="R79" s="5">
        <f>IF(M79="","",SQRT(N79^2+O79^2))</f>
        <v>4.79421445935081</v>
      </c>
      <c r="S79" s="6">
        <f>IF(M79="","",P79)</f>
        <v>-0.59820180417664137</v>
      </c>
      <c r="T79" s="4">
        <f>IF(M79="","",X79*COS(RADIANS(W79)))</f>
        <v>-0.28883670724649702</v>
      </c>
      <c r="U79" s="5">
        <f>IF(M79="","",X79*SIN(RADIANS(W79)))</f>
        <v>4.7855057871446967</v>
      </c>
      <c r="V79" s="8">
        <f>IF(M79="","",Y79)</f>
        <v>-0.59820180417664137</v>
      </c>
      <c r="W79" s="624">
        <f t="shared" ref="W79:W129" si="651">IF(M79="","",IF(Q79-$Q$8&lt;0,360+Q79-$Q$8,Q79-$Q$8))</f>
        <v>93.453986506913765</v>
      </c>
      <c r="X79" s="5">
        <f>IF(M79="","",R79)</f>
        <v>4.79421445935081</v>
      </c>
      <c r="Y79" s="7">
        <f t="shared" si="650"/>
        <v>-0.59820180417664137</v>
      </c>
      <c r="Z79" s="21">
        <f t="shared" si="472"/>
        <v>0.17601608972999205</v>
      </c>
      <c r="AA79" s="5">
        <f t="shared" si="473"/>
        <v>0.96537780197767653</v>
      </c>
      <c r="AB79" s="5">
        <f t="shared" si="474"/>
        <v>-0.19252022128834514</v>
      </c>
      <c r="AC79" s="8">
        <f>IF(M79="","",SQRT(Z79^2+AA79^2+AB79^2))</f>
        <v>1</v>
      </c>
      <c r="AD79" s="9">
        <f>IF(M79="","",Z79*(1/SQRT(Z79^2+AA79^2+AB79^2)))</f>
        <v>0.17601608972999205</v>
      </c>
      <c r="AE79" s="5">
        <f>IF(M79="","",AA79*(1/SQRT(Z79^2+AA79^2+AB79^2)))</f>
        <v>0.96537780197767653</v>
      </c>
      <c r="AF79" s="10">
        <f>IF(M79="","",AB79*(1/SQRT(Z79^2+AA79^2+AB79^2)))</f>
        <v>-0.19252022128834514</v>
      </c>
      <c r="AG79" s="622">
        <f>IF(M79="","",DEGREES(ATAN2(-AF79,AE79)))</f>
        <v>78.721763072536561</v>
      </c>
      <c r="AH79" s="623">
        <f>IF(M79="","",DEGREES(ACOS(AD79)))</f>
        <v>79.862206333921918</v>
      </c>
      <c r="AI79" s="624">
        <f>IF(M79="","",DEGREES(-ACOS(-AF79)))</f>
        <v>-78.900101901025849</v>
      </c>
      <c r="AJ79" s="625">
        <f>IF(M79="","",DEGREES(ATAN2(-AE79,AD79)))</f>
        <v>169.66684097802835</v>
      </c>
      <c r="AK79" s="4">
        <f>IF(M79="","",(COS(RADIANS((90-$Q$8)-W79))*AD79)+(-SIN(RADIANS((90-$Q$8)-W79))*AE79))</f>
        <v>0.95304017197908186</v>
      </c>
      <c r="AL79" s="5">
        <f>IF(M79="","",(SIN(RADIANS((90-$Q$8)-W79))*AD79)+(COS(RADIANS((90-$Q$8)-W79))*AE79))</f>
        <v>-0.2337742393617582</v>
      </c>
      <c r="AM79" s="6">
        <f>IF(M79="","",AF79)</f>
        <v>-0.19252022128834514</v>
      </c>
      <c r="AN79" s="612">
        <f>IF(M79="","",DEGREES(ATAN2(-AM79,AL79)))</f>
        <v>-50.527502259095044</v>
      </c>
      <c r="AO79" s="613">
        <f t="shared" si="465"/>
        <v>17.628494971054575</v>
      </c>
      <c r="AP79" s="624">
        <f>IF(M79="","",DEGREES(ATAN2(AK79,AL79)))</f>
        <v>-13.78214552960733</v>
      </c>
      <c r="AQ79" s="625">
        <f t="shared" si="475"/>
        <v>2.5850526388215735</v>
      </c>
      <c r="AS79" s="56">
        <f t="shared" si="550"/>
        <v>-266.54601349308621</v>
      </c>
      <c r="AT79" s="77">
        <f t="shared" si="476"/>
        <v>0.40876869123895709</v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1"/>
        <v>6.1319999999999997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0.02</v>
      </c>
      <c r="B80" s="770">
        <v>-5.3095362289422683</v>
      </c>
      <c r="C80" s="771">
        <v>-0.24128910801281744</v>
      </c>
      <c r="D80" s="772">
        <v>-1.1421034445839888</v>
      </c>
      <c r="E80" s="773">
        <v>-0.26238256239883617</v>
      </c>
      <c r="F80" s="771">
        <v>-0.95270145191708677</v>
      </c>
      <c r="G80" s="774">
        <v>0.1533471045181348</v>
      </c>
      <c r="H80" s="773">
        <v>0.314</v>
      </c>
      <c r="I80" s="771">
        <v>0.52</v>
      </c>
      <c r="J80" s="601">
        <v>6.1390000000000002</v>
      </c>
      <c r="K80" s="426" t="str">
        <f t="shared" si="527"/>
        <v>1613</v>
      </c>
      <c r="L80" s="327"/>
      <c r="M80" s="173">
        <f t="shared" si="468"/>
        <v>6.1390000000000002</v>
      </c>
      <c r="N80" s="21">
        <f t="shared" si="469"/>
        <v>-5.3095362289422683</v>
      </c>
      <c r="O80" s="5">
        <f t="shared" si="470"/>
        <v>-0.24128910801281744</v>
      </c>
      <c r="P80" s="10">
        <f t="shared" si="471"/>
        <v>-1.1421034445839888</v>
      </c>
      <c r="Q80" s="624">
        <f t="shared" si="528"/>
        <v>182.60198662992735</v>
      </c>
      <c r="R80" s="5">
        <f t="shared" si="83"/>
        <v>5.3150160300883478</v>
      </c>
      <c r="S80" s="6">
        <f t="shared" si="84"/>
        <v>-1.1421034445839888</v>
      </c>
      <c r="T80" s="4">
        <f t="shared" si="85"/>
        <v>-0.24175245147131452</v>
      </c>
      <c r="U80" s="5">
        <f t="shared" si="86"/>
        <v>5.3095151522812056</v>
      </c>
      <c r="V80" s="8">
        <f t="shared" si="117"/>
        <v>-1.1421034445839888</v>
      </c>
      <c r="W80" s="624">
        <f t="shared" si="651"/>
        <v>92.606986629205437</v>
      </c>
      <c r="X80" s="5">
        <f t="shared" si="87"/>
        <v>5.3150160300883478</v>
      </c>
      <c r="Y80" s="7">
        <f t="shared" si="650"/>
        <v>-1.1421034445839888</v>
      </c>
      <c r="Z80" s="21">
        <f t="shared" si="472"/>
        <v>0.26238256239883617</v>
      </c>
      <c r="AA80" s="5">
        <f t="shared" si="473"/>
        <v>0.95270145191708677</v>
      </c>
      <c r="AB80" s="5">
        <f t="shared" si="474"/>
        <v>-0.1533471045181348</v>
      </c>
      <c r="AC80" s="8">
        <f t="shared" si="88"/>
        <v>1</v>
      </c>
      <c r="AD80" s="9">
        <f t="shared" si="118"/>
        <v>0.26238256239883617</v>
      </c>
      <c r="AE80" s="5">
        <f t="shared" si="89"/>
        <v>0.95270145191708677</v>
      </c>
      <c r="AF80" s="10">
        <f t="shared" si="90"/>
        <v>-0.1533471045181348</v>
      </c>
      <c r="AG80" s="622">
        <f t="shared" si="91"/>
        <v>80.856083786147821</v>
      </c>
      <c r="AH80" s="623">
        <f t="shared" si="92"/>
        <v>74.788517942496782</v>
      </c>
      <c r="AI80" s="624">
        <f t="shared" si="93"/>
        <v>-81.179053696810328</v>
      </c>
      <c r="AJ80" s="625">
        <f t="shared" si="94"/>
        <v>164.60196419127209</v>
      </c>
      <c r="AK80" s="4">
        <f t="shared" si="213"/>
        <v>0.93980766786084546</v>
      </c>
      <c r="AL80" s="5">
        <f t="shared" si="95"/>
        <v>-0.30536242887078152</v>
      </c>
      <c r="AM80" s="6">
        <f t="shared" si="96"/>
        <v>-0.1533471045181348</v>
      </c>
      <c r="AN80" s="612">
        <f t="shared" si="97"/>
        <v>-63.335082175253525</v>
      </c>
      <c r="AO80" s="613">
        <f t="shared" si="465"/>
        <v>19.980718209482227</v>
      </c>
      <c r="AP80" s="624">
        <f t="shared" si="99"/>
        <v>-18.000022438655275</v>
      </c>
      <c r="AQ80" s="625">
        <f t="shared" si="475"/>
        <v>2.3320463466237071</v>
      </c>
      <c r="AS80" s="56">
        <f t="shared" si="550"/>
        <v>-267.39301337079456</v>
      </c>
      <c r="AT80" s="77">
        <f t="shared" si="476"/>
        <v>-0.13193317185260334</v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1"/>
        <v>6.1390000000000002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0.02</v>
      </c>
      <c r="B81" s="770">
        <v>-5.6637544590615754</v>
      </c>
      <c r="C81" s="771">
        <v>-0.19807826488690455</v>
      </c>
      <c r="D81" s="772">
        <v>-1.8084054541508503</v>
      </c>
      <c r="E81" s="773">
        <v>-0.35557792970999658</v>
      </c>
      <c r="F81" s="771">
        <v>-0.92694454204066723</v>
      </c>
      <c r="G81" s="774">
        <v>0.11974202221513762</v>
      </c>
      <c r="H81" s="773">
        <v>0.314</v>
      </c>
      <c r="I81" s="771">
        <v>0.52</v>
      </c>
      <c r="J81" s="601">
        <v>6.1459999999999999</v>
      </c>
      <c r="K81" s="426" t="str">
        <f t="shared" si="527"/>
        <v>1613</v>
      </c>
      <c r="L81" s="327"/>
      <c r="M81" s="173">
        <f t="shared" si="468"/>
        <v>6.1459999999999999</v>
      </c>
      <c r="N81" s="21">
        <f t="shared" si="469"/>
        <v>-5.6637544590615754</v>
      </c>
      <c r="O81" s="5">
        <f t="shared" si="470"/>
        <v>-0.19807826488690455</v>
      </c>
      <c r="P81" s="10">
        <f t="shared" si="471"/>
        <v>-1.8084054541508503</v>
      </c>
      <c r="Q81" s="624">
        <f t="shared" si="528"/>
        <v>182.00298671641224</v>
      </c>
      <c r="R81" s="5">
        <f t="shared" si="83"/>
        <v>5.6672170923267524</v>
      </c>
      <c r="S81" s="6">
        <f t="shared" si="84"/>
        <v>-1.8084054541508503</v>
      </c>
      <c r="T81" s="4">
        <f t="shared" si="85"/>
        <v>-0.19857251987736521</v>
      </c>
      <c r="U81" s="5">
        <f t="shared" si="86"/>
        <v>5.6637371519086273</v>
      </c>
      <c r="V81" s="8">
        <f t="shared" si="117"/>
        <v>-1.8084054541508503</v>
      </c>
      <c r="W81" s="624">
        <f t="shared" si="651"/>
        <v>92.007986715690322</v>
      </c>
      <c r="X81" s="5">
        <f t="shared" si="87"/>
        <v>5.6672170923267524</v>
      </c>
      <c r="Y81" s="7">
        <f t="shared" si="650"/>
        <v>-1.8084054541508503</v>
      </c>
      <c r="Z81" s="21">
        <f t="shared" si="472"/>
        <v>0.35557792970999658</v>
      </c>
      <c r="AA81" s="5">
        <f t="shared" si="473"/>
        <v>0.92694454204066723</v>
      </c>
      <c r="AB81" s="5">
        <f t="shared" si="474"/>
        <v>-0.11974202221513762</v>
      </c>
      <c r="AC81" s="8">
        <f t="shared" si="88"/>
        <v>1</v>
      </c>
      <c r="AD81" s="9">
        <f t="shared" si="118"/>
        <v>0.35557792970999658</v>
      </c>
      <c r="AE81" s="5">
        <f t="shared" si="89"/>
        <v>0.92694454204066723</v>
      </c>
      <c r="AF81" s="10">
        <f t="shared" si="90"/>
        <v>-0.11974202221513762</v>
      </c>
      <c r="AG81" s="622">
        <f t="shared" si="91"/>
        <v>82.639335395646924</v>
      </c>
      <c r="AH81" s="623">
        <f t="shared" si="92"/>
        <v>69.171131492109126</v>
      </c>
      <c r="AI81" s="624">
        <f t="shared" si="93"/>
        <v>-83.122785812103842</v>
      </c>
      <c r="AJ81" s="625">
        <f t="shared" si="94"/>
        <v>159.01307844573296</v>
      </c>
      <c r="AK81" s="4">
        <f t="shared" si="213"/>
        <v>0.91395016981960187</v>
      </c>
      <c r="AL81" s="5">
        <f t="shared" si="95"/>
        <v>-0.38775886218441286</v>
      </c>
      <c r="AM81" s="6">
        <f t="shared" si="96"/>
        <v>-0.11974202221513762</v>
      </c>
      <c r="AN81" s="612">
        <f t="shared" si="97"/>
        <v>-72.83903062279083</v>
      </c>
      <c r="AO81" s="613">
        <f t="shared" si="465"/>
        <v>23.94292554348517</v>
      </c>
      <c r="AP81" s="624">
        <f t="shared" si="99"/>
        <v>-22.98990827067929</v>
      </c>
      <c r="AQ81" s="625">
        <f t="shared" si="475"/>
        <v>2.1872618694555794</v>
      </c>
      <c r="AS81" s="56">
        <f t="shared" si="550"/>
        <v>-267.99201328430968</v>
      </c>
      <c r="AT81" s="77">
        <f t="shared" si="476"/>
        <v>-0.79597229285729654</v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1"/>
        <v>6.1459999999999999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0.02</v>
      </c>
      <c r="B82" s="770">
        <v>-5.8391464857713071</v>
      </c>
      <c r="C82" s="771">
        <v>-0.17330047144732369</v>
      </c>
      <c r="D82" s="772">
        <v>-2.5418076660919211</v>
      </c>
      <c r="E82" s="773">
        <v>-0.47540222428059092</v>
      </c>
      <c r="F82" s="771">
        <v>-0.87550632161968933</v>
      </c>
      <c r="G82" s="774">
        <v>8.6495120978167764E-2</v>
      </c>
      <c r="H82" s="773">
        <v>0.314</v>
      </c>
      <c r="I82" s="771">
        <v>0.52</v>
      </c>
      <c r="J82" s="601">
        <v>6.1529999999999996</v>
      </c>
      <c r="K82" s="426" t="str">
        <f t="shared" si="527"/>
        <v>1613</v>
      </c>
      <c r="L82" s="327"/>
      <c r="M82" s="173">
        <f t="shared" si="468"/>
        <v>6.1529999999999996</v>
      </c>
      <c r="N82" s="21">
        <f t="shared" si="469"/>
        <v>-5.8391464857713071</v>
      </c>
      <c r="O82" s="5">
        <f t="shared" si="470"/>
        <v>-0.17330047144732369</v>
      </c>
      <c r="P82" s="10">
        <f t="shared" si="471"/>
        <v>-2.5418076660919211</v>
      </c>
      <c r="Q82" s="624">
        <f t="shared" si="528"/>
        <v>181.69998676016002</v>
      </c>
      <c r="R82" s="5">
        <f t="shared" si="83"/>
        <v>5.8417176186203372</v>
      </c>
      <c r="S82" s="6">
        <f t="shared" si="84"/>
        <v>-2.5418076660919211</v>
      </c>
      <c r="T82" s="4">
        <f t="shared" si="85"/>
        <v>-0.17381003237164069</v>
      </c>
      <c r="U82" s="5">
        <f t="shared" si="86"/>
        <v>5.8391313402205842</v>
      </c>
      <c r="V82" s="8">
        <f t="shared" si="117"/>
        <v>-2.5418076660919211</v>
      </c>
      <c r="W82" s="624">
        <f t="shared" si="651"/>
        <v>91.7049867594381</v>
      </c>
      <c r="X82" s="5">
        <f t="shared" si="87"/>
        <v>5.8417176186203372</v>
      </c>
      <c r="Y82" s="7">
        <f t="shared" si="650"/>
        <v>-2.5418076660919211</v>
      </c>
      <c r="Z82" s="21">
        <f t="shared" si="472"/>
        <v>0.47540222428059092</v>
      </c>
      <c r="AA82" s="5">
        <f t="shared" si="473"/>
        <v>0.87550632161968933</v>
      </c>
      <c r="AB82" s="5">
        <f t="shared" si="474"/>
        <v>-8.6495120978167764E-2</v>
      </c>
      <c r="AC82" s="8">
        <f t="shared" si="88"/>
        <v>1</v>
      </c>
      <c r="AD82" s="9">
        <f t="shared" si="118"/>
        <v>0.47540222428059092</v>
      </c>
      <c r="AE82" s="5">
        <f t="shared" si="89"/>
        <v>0.87550632161968933</v>
      </c>
      <c r="AF82" s="10">
        <f t="shared" si="90"/>
        <v>-8.6495120978167764E-2</v>
      </c>
      <c r="AG82" s="622">
        <f t="shared" si="91"/>
        <v>84.357806917133985</v>
      </c>
      <c r="AH82" s="623">
        <f t="shared" si="92"/>
        <v>61.614457960236201</v>
      </c>
      <c r="AI82" s="624">
        <f t="shared" si="93"/>
        <v>-85.037994323948098</v>
      </c>
      <c r="AJ82" s="625">
        <f t="shared" si="94"/>
        <v>151.49792389486598</v>
      </c>
      <c r="AK82" s="4">
        <f t="shared" si="213"/>
        <v>0.8610176937565075</v>
      </c>
      <c r="AL82" s="5">
        <f t="shared" si="95"/>
        <v>-0.50116576607465646</v>
      </c>
      <c r="AM82" s="6">
        <f t="shared" si="96"/>
        <v>-8.6495120978167764E-2</v>
      </c>
      <c r="AN82" s="612">
        <f t="shared" si="97"/>
        <v>-80.207908541343897</v>
      </c>
      <c r="AO82" s="613">
        <f t="shared" si="465"/>
        <v>30.568957770655299</v>
      </c>
      <c r="AP82" s="624">
        <f t="shared" si="99"/>
        <v>-30.202062865294039</v>
      </c>
      <c r="AQ82" s="625">
        <f t="shared" si="475"/>
        <v>2.1219858517269796</v>
      </c>
      <c r="AS82" s="56">
        <f t="shared" si="550"/>
        <v>-268.2950132405619</v>
      </c>
      <c r="AT82" s="77">
        <f t="shared" si="476"/>
        <v>-1.5282298382969701</v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1"/>
        <v>6.1529999999999996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0.02</v>
      </c>
      <c r="B83" s="770">
        <v>-5.9363007923434008</v>
      </c>
      <c r="C83" s="771">
        <v>-0.1585565508574969</v>
      </c>
      <c r="D83" s="772">
        <v>-3.2484097972039487</v>
      </c>
      <c r="E83" s="773">
        <v>-0.5515004069084215</v>
      </c>
      <c r="F83" s="771">
        <v>-0.83417462271387088</v>
      </c>
      <c r="G83" s="774">
        <v>1.3008419227659164E-7</v>
      </c>
      <c r="H83" s="773">
        <v>0.26600000000000001</v>
      </c>
      <c r="I83" s="771">
        <v>0.52</v>
      </c>
      <c r="J83" s="601">
        <v>6.16</v>
      </c>
      <c r="K83" s="426" t="str">
        <f t="shared" si="527"/>
        <v>1313</v>
      </c>
      <c r="L83" s="327"/>
      <c r="M83" s="173">
        <f t="shared" si="468"/>
        <v>6.16</v>
      </c>
      <c r="N83" s="21">
        <f t="shared" si="469"/>
        <v>-5.9363007923434008</v>
      </c>
      <c r="O83" s="5">
        <f t="shared" si="470"/>
        <v>-0.1585565508574969</v>
      </c>
      <c r="P83" s="10">
        <f t="shared" si="471"/>
        <v>-3.2484097972039487</v>
      </c>
      <c r="Q83" s="624">
        <f t="shared" si="528"/>
        <v>181.52998678470499</v>
      </c>
      <c r="R83" s="5">
        <f t="shared" si="83"/>
        <v>5.9384179102684174</v>
      </c>
      <c r="S83" s="6">
        <f t="shared" si="84"/>
        <v>-3.2484097972039487</v>
      </c>
      <c r="T83" s="4">
        <f t="shared" si="85"/>
        <v>-0.15907459014938197</v>
      </c>
      <c r="U83" s="5">
        <f t="shared" si="86"/>
        <v>5.9362869330723491</v>
      </c>
      <c r="V83" s="8">
        <f t="shared" si="117"/>
        <v>-3.2484097972039487</v>
      </c>
      <c r="W83" s="624">
        <f t="shared" si="651"/>
        <v>91.534986783983072</v>
      </c>
      <c r="X83" s="5">
        <f t="shared" si="87"/>
        <v>5.9384179102684174</v>
      </c>
      <c r="Y83" s="7">
        <f t="shared" si="650"/>
        <v>-3.2484097972039487</v>
      </c>
      <c r="Z83" s="21">
        <f t="shared" si="472"/>
        <v>0.5515004069084215</v>
      </c>
      <c r="AA83" s="5">
        <f t="shared" si="473"/>
        <v>0.83417462271387088</v>
      </c>
      <c r="AB83" s="5">
        <f t="shared" si="474"/>
        <v>-1.3008419227659164E-7</v>
      </c>
      <c r="AC83" s="8">
        <f t="shared" si="88"/>
        <v>1</v>
      </c>
      <c r="AD83" s="9">
        <f t="shared" si="118"/>
        <v>0.5515004069084215</v>
      </c>
      <c r="AE83" s="5">
        <f t="shared" si="89"/>
        <v>0.83417462271387088</v>
      </c>
      <c r="AF83" s="10">
        <f t="shared" si="90"/>
        <v>-1.3008419227659164E-7</v>
      </c>
      <c r="AG83" s="622">
        <f t="shared" si="91"/>
        <v>89.999991065089972</v>
      </c>
      <c r="AH83" s="623">
        <f t="shared" si="92"/>
        <v>56.529991838080008</v>
      </c>
      <c r="AI83" s="624">
        <f t="shared" si="93"/>
        <v>-89.999992546724798</v>
      </c>
      <c r="AJ83" s="625">
        <f t="shared" si="94"/>
        <v>146.5299918380797</v>
      </c>
      <c r="AK83" s="4">
        <f t="shared" si="213"/>
        <v>0.81915209487729179</v>
      </c>
      <c r="AL83" s="5">
        <f t="shared" si="95"/>
        <v>-0.57357636410344492</v>
      </c>
      <c r="AM83" s="6">
        <f t="shared" si="96"/>
        <v>-1.3008419227659164E-7</v>
      </c>
      <c r="AN83" s="612">
        <f t="shared" si="97"/>
        <v>-89.999987005609611</v>
      </c>
      <c r="AO83" s="613">
        <f t="shared" si="465"/>
        <v>34.999994946625968</v>
      </c>
      <c r="AP83" s="624">
        <f t="shared" si="99"/>
        <v>-34.999994946625293</v>
      </c>
      <c r="AQ83" s="625">
        <f t="shared" si="475"/>
        <v>2.087462579638407</v>
      </c>
      <c r="AS83" s="56">
        <f t="shared" si="550"/>
        <v>-268.46501321601693</v>
      </c>
      <c r="AT83" s="77">
        <f t="shared" si="476"/>
        <v>-2.2341897472795011</v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1"/>
        <v>6.16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0.02</v>
      </c>
      <c r="B84" s="770">
        <v>-4.774992279311908</v>
      </c>
      <c r="C84" s="771">
        <v>0.66224616699235272</v>
      </c>
      <c r="D84" s="772">
        <v>-0.55401503073786351</v>
      </c>
      <c r="E84" s="773">
        <v>-0.42151373365155659</v>
      </c>
      <c r="F84" s="771">
        <v>-0.84117628358965357</v>
      </c>
      <c r="G84" s="774">
        <v>0.3387456749088073</v>
      </c>
      <c r="H84" s="773">
        <v>0.26600000000000001</v>
      </c>
      <c r="I84" s="771">
        <v>0.52</v>
      </c>
      <c r="J84" s="601">
        <v>6.2320000000000002</v>
      </c>
      <c r="K84" s="426" t="str">
        <f t="shared" si="527"/>
        <v>1313</v>
      </c>
      <c r="L84" s="327"/>
      <c r="M84" s="173">
        <f t="shared" si="468"/>
        <v>6.2320000000000002</v>
      </c>
      <c r="N84" s="21">
        <f t="shared" si="469"/>
        <v>-4.774992279311908</v>
      </c>
      <c r="O84" s="5">
        <f t="shared" si="470"/>
        <v>0.66224616699235272</v>
      </c>
      <c r="P84" s="10">
        <f t="shared" si="471"/>
        <v>-0.55401503073786351</v>
      </c>
      <c r="Q84" s="624">
        <f t="shared" si="528"/>
        <v>172.10398814565082</v>
      </c>
      <c r="R84" s="5">
        <f t="shared" si="83"/>
        <v>4.8206971750136303</v>
      </c>
      <c r="S84" s="6">
        <f t="shared" si="84"/>
        <v>-0.55401503073786351</v>
      </c>
      <c r="T84" s="4">
        <f t="shared" si="85"/>
        <v>0.66182946784624141</v>
      </c>
      <c r="U84" s="5">
        <f t="shared" si="86"/>
        <v>4.7750500530020368</v>
      </c>
      <c r="V84" s="8">
        <f t="shared" si="117"/>
        <v>-0.55401503073786351</v>
      </c>
      <c r="W84" s="624">
        <f t="shared" si="651"/>
        <v>82.108988144928901</v>
      </c>
      <c r="X84" s="5">
        <f t="shared" si="87"/>
        <v>4.8206971750136303</v>
      </c>
      <c r="Y84" s="7">
        <f t="shared" si="650"/>
        <v>-0.55401503073786351</v>
      </c>
      <c r="Z84" s="21">
        <f t="shared" si="472"/>
        <v>0.42151373365155659</v>
      </c>
      <c r="AA84" s="5">
        <f t="shared" si="473"/>
        <v>0.84117628358965357</v>
      </c>
      <c r="AB84" s="5">
        <f t="shared" si="474"/>
        <v>-0.3387456749088073</v>
      </c>
      <c r="AC84" s="8">
        <f t="shared" si="88"/>
        <v>1</v>
      </c>
      <c r="AD84" s="9">
        <f t="shared" si="118"/>
        <v>0.42151373365155659</v>
      </c>
      <c r="AE84" s="5">
        <f t="shared" si="89"/>
        <v>0.84117628358965357</v>
      </c>
      <c r="AF84" s="10">
        <f t="shared" si="90"/>
        <v>-0.3387456749088073</v>
      </c>
      <c r="AG84" s="622">
        <f t="shared" si="91"/>
        <v>68.065120348135963</v>
      </c>
      <c r="AH84" s="623">
        <f t="shared" si="92"/>
        <v>65.069807235926589</v>
      </c>
      <c r="AI84" s="624">
        <f t="shared" si="93"/>
        <v>-70.19952777209943</v>
      </c>
      <c r="AJ84" s="625">
        <f t="shared" si="94"/>
        <v>153.38453450406996</v>
      </c>
      <c r="AK84" s="4">
        <f t="shared" si="213"/>
        <v>0.89110681674671099</v>
      </c>
      <c r="AL84" s="5">
        <f t="shared" si="95"/>
        <v>-0.30196027698709033</v>
      </c>
      <c r="AM84" s="6">
        <f t="shared" si="96"/>
        <v>-0.3387456749088073</v>
      </c>
      <c r="AN84" s="612">
        <f t="shared" si="97"/>
        <v>-41.714035880324644</v>
      </c>
      <c r="AO84" s="613">
        <f t="shared" si="465"/>
        <v>26.987339852681</v>
      </c>
      <c r="AP84" s="624">
        <f t="shared" si="99"/>
        <v>-18.719453641580849</v>
      </c>
      <c r="AQ84" s="625">
        <f t="shared" si="475"/>
        <v>2.5708706423162946</v>
      </c>
      <c r="AS84" s="56">
        <f t="shared" si="550"/>
        <v>-277.8910118550711</v>
      </c>
      <c r="AT84" s="77">
        <f t="shared" si="476"/>
        <v>0.49581434737856678</v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1"/>
        <v>6.2320000000000002</v>
      </c>
      <c r="IH84" s="797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6.1319999999999997</v>
      </c>
      <c r="II84" s="800" cm="1">
        <f t="array" ref="II84">IFERROR(IF($IH84&lt;1,$IH84+LARGE((IF($M$9:$M$150="",0,$M$9:$M$150)-MOD(IF($M$9:$M$150="",0,$M$9:$M$150),1)),1),$IH84),"")</f>
        <v>6.1319999999999997</v>
      </c>
      <c r="IJ84" s="839" t="str">
        <f t="shared" si="522"/>
        <v>1613</v>
      </c>
      <c r="IK84" s="839" t="str">
        <f t="shared" si="523"/>
        <v>1313</v>
      </c>
      <c r="IL84" s="791">
        <f t="shared" si="653"/>
        <v>11.344998361984864</v>
      </c>
      <c r="IM84" s="830">
        <v>1.1245313409807899E-2</v>
      </c>
      <c r="IN84" s="5">
        <f t="shared" si="654"/>
        <v>0.34</v>
      </c>
      <c r="IO84" s="852">
        <v>170</v>
      </c>
      <c r="IP84" s="9">
        <f t="shared" si="655"/>
        <v>-4.79421445935081</v>
      </c>
      <c r="IQ84" s="5">
        <f t="shared" si="656"/>
        <v>-0.59820180417664137</v>
      </c>
      <c r="IR84" s="5">
        <f t="shared" si="524"/>
        <v>0.314</v>
      </c>
      <c r="IS84" s="5">
        <f t="shared" si="657"/>
        <v>0.29925461400143172</v>
      </c>
      <c r="IT84" s="791">
        <f t="shared" si="658"/>
        <v>50.527502259095044</v>
      </c>
      <c r="IU84" s="9">
        <f t="shared" si="659"/>
        <v>-4.8206971750136303</v>
      </c>
      <c r="IV84" s="5">
        <f t="shared" si="660"/>
        <v>-0.55401503073786351</v>
      </c>
      <c r="IW84" s="5">
        <f t="shared" si="525"/>
        <v>0.26600000000000001</v>
      </c>
      <c r="IX84" s="5">
        <f t="shared" si="661"/>
        <v>0.23703441325462513</v>
      </c>
      <c r="IY84" s="833">
        <f t="shared" si="662"/>
        <v>41.714035880324644</v>
      </c>
    </row>
    <row r="85" spans="1:259" ht="15" customHeight="1" x14ac:dyDescent="0.25">
      <c r="A85" s="84">
        <f t="shared" si="526"/>
        <v>0.02</v>
      </c>
      <c r="B85" s="770">
        <v>-5.3024394306075227</v>
      </c>
      <c r="C85" s="771">
        <v>0.73426621860273433</v>
      </c>
      <c r="D85" s="772">
        <v>-1.1026890561273139</v>
      </c>
      <c r="E85" s="773">
        <v>-0.51595173833023233</v>
      </c>
      <c r="F85" s="771">
        <v>-0.809382661546036</v>
      </c>
      <c r="G85" s="774">
        <v>0.28052363697675542</v>
      </c>
      <c r="H85" s="773">
        <v>0.26600000000000001</v>
      </c>
      <c r="I85" s="771">
        <v>0.52</v>
      </c>
      <c r="J85" s="601">
        <v>6.2389999999999999</v>
      </c>
      <c r="K85" s="426" t="str">
        <f t="shared" si="527"/>
        <v>1313</v>
      </c>
      <c r="L85" s="327"/>
      <c r="M85" s="173">
        <f t="shared" si="468"/>
        <v>6.2389999999999999</v>
      </c>
      <c r="N85" s="21">
        <f t="shared" si="469"/>
        <v>-5.3024394306075227</v>
      </c>
      <c r="O85" s="5">
        <f t="shared" si="470"/>
        <v>0.73426621860273433</v>
      </c>
      <c r="P85" s="10">
        <f t="shared" si="471"/>
        <v>-1.1026890561273139</v>
      </c>
      <c r="Q85" s="624">
        <f t="shared" si="528"/>
        <v>172.1159881439182</v>
      </c>
      <c r="R85" s="5">
        <f t="shared" si="83"/>
        <v>5.353037529762199</v>
      </c>
      <c r="S85" s="6">
        <f t="shared" si="84"/>
        <v>-1.1026890561273139</v>
      </c>
      <c r="T85" s="4">
        <f t="shared" si="85"/>
        <v>0.73380349074199624</v>
      </c>
      <c r="U85" s="5">
        <f t="shared" si="86"/>
        <v>5.3025034872235066</v>
      </c>
      <c r="V85" s="8">
        <f t="shared" si="117"/>
        <v>-1.1026890561273139</v>
      </c>
      <c r="W85" s="624">
        <f t="shared" si="651"/>
        <v>82.120988143196286</v>
      </c>
      <c r="X85" s="5">
        <f t="shared" si="87"/>
        <v>5.353037529762199</v>
      </c>
      <c r="Y85" s="7">
        <f t="shared" si="650"/>
        <v>-1.1026890561273139</v>
      </c>
      <c r="Z85" s="21">
        <f t="shared" si="472"/>
        <v>0.51595173833023233</v>
      </c>
      <c r="AA85" s="5">
        <f t="shared" si="473"/>
        <v>0.809382661546036</v>
      </c>
      <c r="AB85" s="5">
        <f t="shared" si="474"/>
        <v>-0.28052363697675542</v>
      </c>
      <c r="AC85" s="8">
        <f t="shared" si="88"/>
        <v>1</v>
      </c>
      <c r="AD85" s="9">
        <f t="shared" si="118"/>
        <v>0.51595173833023233</v>
      </c>
      <c r="AE85" s="5">
        <f t="shared" si="89"/>
        <v>0.809382661546036</v>
      </c>
      <c r="AF85" s="10">
        <f t="shared" si="90"/>
        <v>-0.28052363697675542</v>
      </c>
      <c r="AG85" s="622">
        <f t="shared" si="91"/>
        <v>70.884214112859837</v>
      </c>
      <c r="AH85" s="623">
        <f t="shared" si="92"/>
        <v>58.938908259412635</v>
      </c>
      <c r="AI85" s="624">
        <f t="shared" si="93"/>
        <v>-73.70854052379886</v>
      </c>
      <c r="AJ85" s="625">
        <f t="shared" si="94"/>
        <v>147.483984740669</v>
      </c>
      <c r="AK85" s="4">
        <f t="shared" si="213"/>
        <v>0.87250433888224477</v>
      </c>
      <c r="AL85" s="5">
        <f t="shared" si="95"/>
        <v>-0.40005333110597963</v>
      </c>
      <c r="AM85" s="6">
        <f t="shared" si="96"/>
        <v>-0.28052363697675542</v>
      </c>
      <c r="AN85" s="612">
        <f t="shared" si="97"/>
        <v>-54.961262328461878</v>
      </c>
      <c r="AO85" s="613">
        <f t="shared" si="465"/>
        <v>29.24902299625079</v>
      </c>
      <c r="AP85" s="624">
        <f t="shared" si="99"/>
        <v>-24.6320034032492</v>
      </c>
      <c r="AQ85" s="625">
        <f t="shared" si="475"/>
        <v>2.3155004055370485</v>
      </c>
      <c r="AS85" s="56">
        <f t="shared" si="550"/>
        <v>-277.87901185680369</v>
      </c>
      <c r="AT85" s="77">
        <f t="shared" si="476"/>
        <v>-5.290501133767167E-2</v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>
        <f>IFERROR(IF((((($IW85*COS(RADIANS(180-$IY85)))*COS(RADIANS($IY85)))-(($IX85*SIN(RADIANS(180-$IY85)))*SIN(RADIANS($IY85))))+$IU85)&lt;(((Settings!$C$19/2)*-1)+$IF$8),1,""),"")</f>
        <v>1</v>
      </c>
      <c r="IG85" s="836">
        <f t="shared" si="521"/>
        <v>6.2389999999999999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6.1390000000000002</v>
      </c>
      <c r="II85" s="800" cm="1">
        <f t="array" ref="II85">IFERROR(IF($IH85&lt;1,$IH85+LARGE((IF($M$9:$M$150="",0,$M$9:$M$150)-MOD(IF($M$9:$M$150="",0,$M$9:$M$150),1)),1),$IH85),"")</f>
        <v>6.1390000000000002</v>
      </c>
      <c r="IJ85" s="839" t="str">
        <f t="shared" si="522"/>
        <v>1613</v>
      </c>
      <c r="IK85" s="839" t="str">
        <f t="shared" si="523"/>
        <v>1313</v>
      </c>
      <c r="IL85" s="791">
        <f t="shared" si="653"/>
        <v>10.485998486009152</v>
      </c>
      <c r="IM85" s="830">
        <v>9.0137421732714301E-3</v>
      </c>
      <c r="IN85" s="5">
        <f t="shared" si="654"/>
        <v>0.32</v>
      </c>
      <c r="IO85" s="852">
        <v>160</v>
      </c>
      <c r="IP85" s="9">
        <f t="shared" si="655"/>
        <v>-5.3150160300883478</v>
      </c>
      <c r="IQ85" s="5">
        <f t="shared" si="656"/>
        <v>-1.1421034445839888</v>
      </c>
      <c r="IR85" s="5">
        <f t="shared" si="524"/>
        <v>0.314</v>
      </c>
      <c r="IS85" s="5">
        <f t="shared" si="657"/>
        <v>0.29509960770830546</v>
      </c>
      <c r="IT85" s="791">
        <f t="shared" si="658"/>
        <v>63.335082175253525</v>
      </c>
      <c r="IU85" s="9">
        <f t="shared" si="659"/>
        <v>-5.353037529762199</v>
      </c>
      <c r="IV85" s="5">
        <f t="shared" si="660"/>
        <v>-1.1026890561273139</v>
      </c>
      <c r="IW85" s="5">
        <f t="shared" si="525"/>
        <v>0.26600000000000001</v>
      </c>
      <c r="IX85" s="5">
        <f t="shared" si="661"/>
        <v>0.23208615414267711</v>
      </c>
      <c r="IY85" s="833">
        <f t="shared" si="662"/>
        <v>54.961262328461878</v>
      </c>
    </row>
    <row r="86" spans="1:259" ht="15" customHeight="1" x14ac:dyDescent="0.25">
      <c r="A86" s="84">
        <f t="shared" si="526"/>
        <v>0.02</v>
      </c>
      <c r="B86" s="770">
        <v>-5.660537787356466</v>
      </c>
      <c r="C86" s="771">
        <v>0.79503417251961317</v>
      </c>
      <c r="D86" s="772">
        <v>-1.7760096643000023</v>
      </c>
      <c r="E86" s="773">
        <v>-0.61350771658777759</v>
      </c>
      <c r="F86" s="771">
        <v>-0.75798049251889865</v>
      </c>
      <c r="G86" s="774">
        <v>0.22152619404499091</v>
      </c>
      <c r="H86" s="773">
        <v>0.26600000000000001</v>
      </c>
      <c r="I86" s="771">
        <v>0.52</v>
      </c>
      <c r="J86" s="601">
        <v>6.2460000000000004</v>
      </c>
      <c r="K86" s="426" t="str">
        <f t="shared" si="527"/>
        <v>1313</v>
      </c>
      <c r="L86" s="327"/>
      <c r="M86" s="173">
        <f t="shared" si="468"/>
        <v>6.2460000000000004</v>
      </c>
      <c r="N86" s="21">
        <f t="shared" si="469"/>
        <v>-5.660537787356466</v>
      </c>
      <c r="O86" s="5">
        <f t="shared" si="470"/>
        <v>0.79503417251961317</v>
      </c>
      <c r="P86" s="10">
        <f t="shared" si="471"/>
        <v>-1.7760096643000023</v>
      </c>
      <c r="Q86" s="624">
        <f t="shared" si="528"/>
        <v>172.00498815994462</v>
      </c>
      <c r="R86" s="5">
        <f t="shared" si="83"/>
        <v>5.7160972155452692</v>
      </c>
      <c r="S86" s="6">
        <f t="shared" si="84"/>
        <v>-1.7760096643000023</v>
      </c>
      <c r="T86" s="4">
        <f t="shared" si="85"/>
        <v>0.79454019445518309</v>
      </c>
      <c r="U86" s="5">
        <f t="shared" si="86"/>
        <v>5.6606071456125182</v>
      </c>
      <c r="V86" s="8">
        <f t="shared" si="117"/>
        <v>-1.7760096643000023</v>
      </c>
      <c r="W86" s="624">
        <f t="shared" si="651"/>
        <v>82.009988159222701</v>
      </c>
      <c r="X86" s="5">
        <f t="shared" si="87"/>
        <v>5.7160972155452692</v>
      </c>
      <c r="Y86" s="7">
        <f t="shared" si="650"/>
        <v>-1.7760096643000023</v>
      </c>
      <c r="Z86" s="21">
        <f t="shared" si="472"/>
        <v>0.61350771658777759</v>
      </c>
      <c r="AA86" s="5">
        <f t="shared" si="473"/>
        <v>0.75798049251889865</v>
      </c>
      <c r="AB86" s="5">
        <f t="shared" si="474"/>
        <v>-0.22152619404499091</v>
      </c>
      <c r="AC86" s="8">
        <f t="shared" si="88"/>
        <v>1</v>
      </c>
      <c r="AD86" s="9">
        <f t="shared" si="118"/>
        <v>0.61350771658777759</v>
      </c>
      <c r="AE86" s="5">
        <f t="shared" si="89"/>
        <v>0.75798049251889865</v>
      </c>
      <c r="AF86" s="10">
        <f t="shared" si="90"/>
        <v>-0.22152619404499091</v>
      </c>
      <c r="AG86" s="622">
        <f t="shared" si="91"/>
        <v>73.708552546119876</v>
      </c>
      <c r="AH86" s="623">
        <f t="shared" si="92"/>
        <v>52.156431831058647</v>
      </c>
      <c r="AI86" s="624">
        <f t="shared" si="93"/>
        <v>-77.201310463222697</v>
      </c>
      <c r="AJ86" s="625">
        <f t="shared" si="94"/>
        <v>141.01336899534235</v>
      </c>
      <c r="AK86" s="4">
        <f t="shared" si="213"/>
        <v>0.83594393859836369</v>
      </c>
      <c r="AL86" s="5">
        <f t="shared" si="95"/>
        <v>-0.50211938507948095</v>
      </c>
      <c r="AM86" s="6">
        <f t="shared" si="96"/>
        <v>-0.22152619404499091</v>
      </c>
      <c r="AN86" s="612">
        <f t="shared" si="97"/>
        <v>-66.1937760522801</v>
      </c>
      <c r="AO86" s="613">
        <f t="shared" si="465"/>
        <v>33.285744160358099</v>
      </c>
      <c r="AP86" s="624">
        <f t="shared" si="99"/>
        <v>-30.99161916460227</v>
      </c>
      <c r="AQ86" s="625">
        <f t="shared" si="475"/>
        <v>2.1685758480891311</v>
      </c>
      <c r="AS86" s="56">
        <f t="shared" si="550"/>
        <v>-277.9900118407773</v>
      </c>
      <c r="AT86" s="77">
        <f t="shared" si="476"/>
        <v>-0.72580628623757071</v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>
        <f>IFERROR(IF((((($IW86*COS(RADIANS(180-$IY86)))*COS(RADIANS($IY86)))-(($IX86*SIN(RADIANS(180-$IY86)))*SIN(RADIANS($IY86))))+$IU86)&lt;(((Settings!$C$19/2)*-1)+$IF$8),1,""),"")</f>
        <v>1</v>
      </c>
      <c r="IG86" s="836">
        <f t="shared" si="521"/>
        <v>6.2460000000000004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6.1459999999999999</v>
      </c>
      <c r="II86" s="800" cm="1">
        <f t="array" ref="II86">IFERROR(IF($IH86&lt;1,$IH86+LARGE((IF($M$9:$M$150="",0,$M$9:$M$150)-MOD(IF($M$9:$M$150="",0,$M$9:$M$150),1)),1),$IH86),"")</f>
        <v>6.1459999999999999</v>
      </c>
      <c r="IJ86" s="839" t="str">
        <f t="shared" si="522"/>
        <v>1613</v>
      </c>
      <c r="IK86" s="839" t="str">
        <f t="shared" si="523"/>
        <v>1313</v>
      </c>
      <c r="IL86" s="791">
        <f t="shared" si="653"/>
        <v>9.9979985564676213</v>
      </c>
      <c r="IM86" s="830">
        <v>6.8419408837764699E-3</v>
      </c>
      <c r="IN86" s="5">
        <f t="shared" si="654"/>
        <v>0.28000000000000003</v>
      </c>
      <c r="IO86" s="852">
        <v>140</v>
      </c>
      <c r="IP86" s="9">
        <f t="shared" si="655"/>
        <v>-5.6672170923267524</v>
      </c>
      <c r="IQ86" s="5">
        <f t="shared" si="656"/>
        <v>-1.8084054541508503</v>
      </c>
      <c r="IR86" s="5">
        <f t="shared" si="524"/>
        <v>0.314</v>
      </c>
      <c r="IS86" s="5">
        <f t="shared" si="657"/>
        <v>0.28698035332335498</v>
      </c>
      <c r="IT86" s="791">
        <f t="shared" si="658"/>
        <v>72.83903062279083</v>
      </c>
      <c r="IU86" s="9">
        <f t="shared" si="659"/>
        <v>-5.7160972155452692</v>
      </c>
      <c r="IV86" s="5">
        <f t="shared" si="660"/>
        <v>-1.7760096643000023</v>
      </c>
      <c r="IW86" s="5">
        <f t="shared" si="525"/>
        <v>0.26600000000000001</v>
      </c>
      <c r="IX86" s="5">
        <f t="shared" si="661"/>
        <v>0.22236108766716475</v>
      </c>
      <c r="IY86" s="833">
        <f t="shared" si="662"/>
        <v>66.1937760522801</v>
      </c>
    </row>
    <row r="87" spans="1:259" ht="15" customHeight="1" x14ac:dyDescent="0.25">
      <c r="A87" s="84">
        <f t="shared" si="526"/>
        <v>0.02</v>
      </c>
      <c r="B87" s="770">
        <v>-2.0087924430343791</v>
      </c>
      <c r="C87" s="771">
        <v>1.5712486255506992</v>
      </c>
      <c r="D87" s="772">
        <v>-0.18390055464407282</v>
      </c>
      <c r="E87" s="773">
        <v>-0.57032307611037325</v>
      </c>
      <c r="F87" s="771">
        <v>-0.78009839783424906</v>
      </c>
      <c r="G87" s="774">
        <v>0.25725100301541892</v>
      </c>
      <c r="H87" s="773">
        <v>0.314</v>
      </c>
      <c r="I87" s="771">
        <v>0.52</v>
      </c>
      <c r="J87" s="601">
        <v>7.1109999999999998</v>
      </c>
      <c r="K87" s="426" t="str">
        <f t="shared" si="527"/>
        <v>1613</v>
      </c>
      <c r="L87" s="327"/>
      <c r="M87" s="173">
        <f t="shared" si="468"/>
        <v>7.1109999999999998</v>
      </c>
      <c r="N87" s="21">
        <f t="shared" si="469"/>
        <v>-2.0087924430343791</v>
      </c>
      <c r="O87" s="5">
        <f t="shared" si="470"/>
        <v>1.5712486255506992</v>
      </c>
      <c r="P87" s="10">
        <f t="shared" si="471"/>
        <v>-0.18390055464407282</v>
      </c>
      <c r="Q87" s="624">
        <f t="shared" si="528"/>
        <v>141.96799249675018</v>
      </c>
      <c r="R87" s="5">
        <f t="shared" si="83"/>
        <v>2.5503076917279981</v>
      </c>
      <c r="S87" s="6">
        <f t="shared" si="84"/>
        <v>-0.18390055464407282</v>
      </c>
      <c r="T87" s="4">
        <f t="shared" si="85"/>
        <v>1.5710733193827628</v>
      </c>
      <c r="U87" s="5">
        <f t="shared" si="86"/>
        <v>2.0089295526749105</v>
      </c>
      <c r="V87" s="8">
        <f t="shared" si="117"/>
        <v>-0.18390055464407282</v>
      </c>
      <c r="W87" s="624">
        <f t="shared" si="651"/>
        <v>51.972992496028269</v>
      </c>
      <c r="X87" s="5">
        <f t="shared" si="87"/>
        <v>2.5503076917279981</v>
      </c>
      <c r="Y87" s="7">
        <f t="shared" si="650"/>
        <v>-0.18390055464407282</v>
      </c>
      <c r="Z87" s="21">
        <f t="shared" si="472"/>
        <v>0.57032307611037325</v>
      </c>
      <c r="AA87" s="5">
        <f t="shared" si="473"/>
        <v>0.78009839783424906</v>
      </c>
      <c r="AB87" s="5">
        <f t="shared" si="474"/>
        <v>-0.25725100301541892</v>
      </c>
      <c r="AC87" s="8">
        <f t="shared" si="88"/>
        <v>1</v>
      </c>
      <c r="AD87" s="9">
        <f t="shared" si="118"/>
        <v>0.57032307611037325</v>
      </c>
      <c r="AE87" s="5">
        <f t="shared" si="89"/>
        <v>0.78009839783424906</v>
      </c>
      <c r="AF87" s="10">
        <f t="shared" si="90"/>
        <v>-0.25725100301541892</v>
      </c>
      <c r="AG87" s="622">
        <f t="shared" si="91"/>
        <v>71.749130255792593</v>
      </c>
      <c r="AH87" s="623">
        <f t="shared" si="92"/>
        <v>55.227242093883788</v>
      </c>
      <c r="AI87" s="624">
        <f t="shared" si="93"/>
        <v>-75.092991303796865</v>
      </c>
      <c r="AJ87" s="625">
        <f t="shared" si="94"/>
        <v>143.82979074368771</v>
      </c>
      <c r="AK87" s="4">
        <f t="shared" si="213"/>
        <v>0.9658344849291407</v>
      </c>
      <c r="AL87" s="5">
        <f t="shared" si="95"/>
        <v>3.1395368595103779E-2</v>
      </c>
      <c r="AM87" s="6">
        <f t="shared" si="96"/>
        <v>-0.25725100301541892</v>
      </c>
      <c r="AN87" s="612">
        <f t="shared" si="97"/>
        <v>6.9580697323296263</v>
      </c>
      <c r="AO87" s="613">
        <f t="shared" si="465"/>
        <v>15.020207294065676</v>
      </c>
      <c r="AP87" s="624">
        <f t="shared" si="99"/>
        <v>1.8617982469375454</v>
      </c>
      <c r="AQ87" s="625">
        <f t="shared" si="475"/>
        <v>4.8512040759844073</v>
      </c>
      <c r="AS87" s="56">
        <f t="shared" si="550"/>
        <v>-308.02700750397173</v>
      </c>
      <c r="AT87" s="77">
        <f t="shared" si="476"/>
        <v>0.97977591814598197</v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1"/>
        <v>7.1109999999999998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0.02</v>
      </c>
      <c r="B88" s="770">
        <v>-2.5730025627750983</v>
      </c>
      <c r="C88" s="771">
        <v>2.0495202690813996</v>
      </c>
      <c r="D88" s="772">
        <v>-7.9500239772723164E-2</v>
      </c>
      <c r="E88" s="773">
        <v>-0.64562377929396086</v>
      </c>
      <c r="F88" s="771">
        <v>-0.71861140260998679</v>
      </c>
      <c r="G88" s="774">
        <v>0.25839424848299297</v>
      </c>
      <c r="H88" s="773">
        <v>0.314</v>
      </c>
      <c r="I88" s="771">
        <v>0.52</v>
      </c>
      <c r="J88" s="601">
        <v>7.117</v>
      </c>
      <c r="K88" s="426" t="str">
        <f t="shared" si="527"/>
        <v>1613</v>
      </c>
      <c r="L88" s="327"/>
      <c r="M88" s="173">
        <f t="shared" si="468"/>
        <v>7.117</v>
      </c>
      <c r="N88" s="21">
        <f t="shared" si="469"/>
        <v>-2.5730025627750983</v>
      </c>
      <c r="O88" s="5">
        <f t="shared" si="470"/>
        <v>2.0495202690813996</v>
      </c>
      <c r="P88" s="10">
        <f t="shared" si="471"/>
        <v>-7.9500239772723164E-2</v>
      </c>
      <c r="Q88" s="624">
        <f t="shared" si="528"/>
        <v>141.46099256995194</v>
      </c>
      <c r="R88" s="5">
        <f t="shared" si="83"/>
        <v>3.2895099211619225</v>
      </c>
      <c r="S88" s="6">
        <f t="shared" si="84"/>
        <v>-7.9500239772723164E-2</v>
      </c>
      <c r="T88" s="4">
        <f t="shared" si="85"/>
        <v>2.0492957244781986</v>
      </c>
      <c r="U88" s="5">
        <f t="shared" si="86"/>
        <v>2.5731814073356922</v>
      </c>
      <c r="V88" s="8">
        <f t="shared" si="117"/>
        <v>-7.9500239772723164E-2</v>
      </c>
      <c r="W88" s="624">
        <f t="shared" si="651"/>
        <v>51.465992569230025</v>
      </c>
      <c r="X88" s="5">
        <f t="shared" si="87"/>
        <v>3.2895099211619225</v>
      </c>
      <c r="Y88" s="7">
        <f t="shared" si="650"/>
        <v>-7.9500239772723164E-2</v>
      </c>
      <c r="Z88" s="21">
        <f t="shared" si="472"/>
        <v>0.64562377929396086</v>
      </c>
      <c r="AA88" s="5">
        <f t="shared" si="473"/>
        <v>0.71861140260998679</v>
      </c>
      <c r="AB88" s="5">
        <f t="shared" si="474"/>
        <v>-0.25839424848299297</v>
      </c>
      <c r="AC88" s="8">
        <f t="shared" si="88"/>
        <v>1</v>
      </c>
      <c r="AD88" s="9">
        <f t="shared" si="118"/>
        <v>0.64562377929396086</v>
      </c>
      <c r="AE88" s="5">
        <f t="shared" si="89"/>
        <v>0.71861140260998679</v>
      </c>
      <c r="AF88" s="10">
        <f t="shared" si="90"/>
        <v>-0.25839424848299297</v>
      </c>
      <c r="AG88" s="622">
        <f t="shared" si="91"/>
        <v>70.222715024954326</v>
      </c>
      <c r="AH88" s="623">
        <f t="shared" si="92"/>
        <v>49.787539578324022</v>
      </c>
      <c r="AI88" s="624">
        <f t="shared" si="93"/>
        <v>-75.025196158643027</v>
      </c>
      <c r="AJ88" s="625">
        <f t="shared" si="94"/>
        <v>138.0624482406289</v>
      </c>
      <c r="AK88" s="4">
        <f t="shared" si="213"/>
        <v>0.96434060952712497</v>
      </c>
      <c r="AL88" s="5">
        <f t="shared" si="95"/>
        <v>-5.7267802190784256E-2</v>
      </c>
      <c r="AM88" s="6">
        <f t="shared" si="96"/>
        <v>-0.25839424848299297</v>
      </c>
      <c r="AN88" s="612">
        <f t="shared" si="97"/>
        <v>-12.496444288007595</v>
      </c>
      <c r="AO88" s="613">
        <f t="shared" si="465"/>
        <v>15.347006086211854</v>
      </c>
      <c r="AP88" s="624">
        <f t="shared" si="99"/>
        <v>-3.3985443293230606</v>
      </c>
      <c r="AQ88" s="625">
        <f t="shared" si="475"/>
        <v>3.7646521975413609</v>
      </c>
      <c r="AS88" s="56">
        <f t="shared" si="550"/>
        <v>-308.53400743076998</v>
      </c>
      <c r="AT88" s="77">
        <f t="shared" si="476"/>
        <v>1.086091566074125</v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1"/>
        <v>7.117</v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0.02</v>
      </c>
      <c r="B89" s="770">
        <v>-3.1151475059390448</v>
      </c>
      <c r="C89" s="771">
        <v>2.5614533233503329</v>
      </c>
      <c r="D89" s="772">
        <v>-0.19890059988420924</v>
      </c>
      <c r="E89" s="773">
        <v>-0.72298786611124488</v>
      </c>
      <c r="F89" s="771">
        <v>-0.65036528994701548</v>
      </c>
      <c r="G89" s="774">
        <v>0.23305264445623275</v>
      </c>
      <c r="H89" s="773">
        <v>0.314</v>
      </c>
      <c r="I89" s="771">
        <v>0.52</v>
      </c>
      <c r="J89" s="601">
        <v>7.1239999999999997</v>
      </c>
      <c r="K89" s="426" t="str">
        <f t="shared" si="527"/>
        <v>1613</v>
      </c>
      <c r="L89" s="327"/>
      <c r="M89" s="173">
        <f t="shared" si="468"/>
        <v>7.1239999999999997</v>
      </c>
      <c r="N89" s="21">
        <f t="shared" si="469"/>
        <v>-3.1151475059390448</v>
      </c>
      <c r="O89" s="5">
        <f t="shared" si="470"/>
        <v>2.5614533233503329</v>
      </c>
      <c r="P89" s="10">
        <f t="shared" si="471"/>
        <v>-0.19890059988420924</v>
      </c>
      <c r="Q89" s="624">
        <f t="shared" si="528"/>
        <v>140.57099269845205</v>
      </c>
      <c r="R89" s="5">
        <f t="shared" si="83"/>
        <v>4.0330121635646865</v>
      </c>
      <c r="S89" s="6">
        <f t="shared" si="84"/>
        <v>-0.19890059988420924</v>
      </c>
      <c r="T89" s="4">
        <f t="shared" si="85"/>
        <v>2.5611814657333194</v>
      </c>
      <c r="U89" s="5">
        <f t="shared" si="86"/>
        <v>3.1153710230155318</v>
      </c>
      <c r="V89" s="8">
        <f t="shared" si="117"/>
        <v>-0.19890059988420924</v>
      </c>
      <c r="W89" s="624">
        <f t="shared" si="651"/>
        <v>50.575992697730129</v>
      </c>
      <c r="X89" s="5">
        <f t="shared" si="87"/>
        <v>4.0330121635646865</v>
      </c>
      <c r="Y89" s="7">
        <f t="shared" si="650"/>
        <v>-0.19890059988420924</v>
      </c>
      <c r="Z89" s="21">
        <f t="shared" si="472"/>
        <v>0.72298786611124488</v>
      </c>
      <c r="AA89" s="5">
        <f t="shared" si="473"/>
        <v>0.65036528994701548</v>
      </c>
      <c r="AB89" s="5">
        <f t="shared" si="474"/>
        <v>-0.23305264445623275</v>
      </c>
      <c r="AC89" s="8">
        <f t="shared" si="88"/>
        <v>1</v>
      </c>
      <c r="AD89" s="9">
        <f t="shared" si="118"/>
        <v>0.72298786611124488</v>
      </c>
      <c r="AE89" s="5">
        <f t="shared" si="89"/>
        <v>0.65036528994701548</v>
      </c>
      <c r="AF89" s="10">
        <f t="shared" si="90"/>
        <v>-0.23305264445623275</v>
      </c>
      <c r="AG89" s="622">
        <f t="shared" si="91"/>
        <v>70.285308700876541</v>
      </c>
      <c r="AH89" s="623">
        <f t="shared" si="92"/>
        <v>43.698281619683002</v>
      </c>
      <c r="AI89" s="624">
        <f t="shared" si="93"/>
        <v>-76.523139417924199</v>
      </c>
      <c r="AJ89" s="625">
        <f t="shared" si="94"/>
        <v>131.9730326145243</v>
      </c>
      <c r="AK89" s="4">
        <f t="shared" si="213"/>
        <v>0.96153528083902695</v>
      </c>
      <c r="AL89" s="5">
        <f t="shared" si="95"/>
        <v>-0.14538352249746384</v>
      </c>
      <c r="AM89" s="6">
        <f t="shared" si="96"/>
        <v>-0.23305264445623275</v>
      </c>
      <c r="AN89" s="612">
        <f t="shared" si="97"/>
        <v>-31.956849750709221</v>
      </c>
      <c r="AO89" s="613">
        <f t="shared" si="465"/>
        <v>15.943032080870594</v>
      </c>
      <c r="AP89" s="624">
        <f t="shared" si="99"/>
        <v>-8.5979600839277488</v>
      </c>
      <c r="AQ89" s="625">
        <f t="shared" si="475"/>
        <v>3.0721023007233605</v>
      </c>
      <c r="AS89" s="56">
        <f t="shared" si="550"/>
        <v>-309.42400730226984</v>
      </c>
      <c r="AT89" s="77">
        <f t="shared" si="476"/>
        <v>0.97005342769941616</v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1"/>
        <v>7.1239999999999997</v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0.02</v>
      </c>
      <c r="B90" s="770">
        <v>-3.5839247207682754</v>
      </c>
      <c r="C90" s="771">
        <v>3.0517780214014851</v>
      </c>
      <c r="D90" s="772">
        <v>-0.53420161115205922</v>
      </c>
      <c r="E90" s="773">
        <v>-0.78914934435276363</v>
      </c>
      <c r="F90" s="771">
        <v>-0.58040840510120484</v>
      </c>
      <c r="G90" s="774">
        <v>0.20092136669722108</v>
      </c>
      <c r="H90" s="773">
        <v>0.314</v>
      </c>
      <c r="I90" s="771">
        <v>0.52</v>
      </c>
      <c r="J90" s="601">
        <v>7.1310000000000002</v>
      </c>
      <c r="K90" s="426" t="str">
        <f t="shared" si="527"/>
        <v>1613</v>
      </c>
      <c r="L90" s="327"/>
      <c r="M90" s="173">
        <f t="shared" si="468"/>
        <v>7.1310000000000002</v>
      </c>
      <c r="N90" s="21">
        <f t="shared" si="469"/>
        <v>-3.5839247207682754</v>
      </c>
      <c r="O90" s="5">
        <f t="shared" si="470"/>
        <v>3.0517780214014851</v>
      </c>
      <c r="P90" s="10">
        <f t="shared" si="471"/>
        <v>-0.53420161115205922</v>
      </c>
      <c r="Q90" s="624">
        <f t="shared" si="528"/>
        <v>139.58499284081279</v>
      </c>
      <c r="R90" s="5">
        <f t="shared" si="83"/>
        <v>4.7072141969580183</v>
      </c>
      <c r="S90" s="6">
        <f t="shared" si="84"/>
        <v>-0.53420161115205922</v>
      </c>
      <c r="T90" s="4">
        <f t="shared" si="85"/>
        <v>3.0514652533941282</v>
      </c>
      <c r="U90" s="5">
        <f t="shared" si="86"/>
        <v>3.5841910249554818</v>
      </c>
      <c r="V90" s="8">
        <f t="shared" si="117"/>
        <v>-0.53420161115205922</v>
      </c>
      <c r="W90" s="624">
        <f t="shared" si="651"/>
        <v>49.589992840090872</v>
      </c>
      <c r="X90" s="5">
        <f t="shared" si="87"/>
        <v>4.7072141969580183</v>
      </c>
      <c r="Y90" s="7">
        <f t="shared" si="650"/>
        <v>-0.53420161115205922</v>
      </c>
      <c r="Z90" s="21">
        <f t="shared" si="472"/>
        <v>0.78914934435276363</v>
      </c>
      <c r="AA90" s="5">
        <f t="shared" si="473"/>
        <v>0.58040840510120484</v>
      </c>
      <c r="AB90" s="5">
        <f t="shared" si="474"/>
        <v>-0.20092136669722108</v>
      </c>
      <c r="AC90" s="8">
        <f t="shared" si="88"/>
        <v>1</v>
      </c>
      <c r="AD90" s="9">
        <f t="shared" si="118"/>
        <v>0.78914934435276363</v>
      </c>
      <c r="AE90" s="5">
        <f t="shared" si="89"/>
        <v>0.58040840510120484</v>
      </c>
      <c r="AF90" s="10">
        <f t="shared" si="90"/>
        <v>-0.20092136669722108</v>
      </c>
      <c r="AG90" s="622">
        <f t="shared" si="91"/>
        <v>70.905559038145157</v>
      </c>
      <c r="AH90" s="623">
        <f t="shared" si="92"/>
        <v>37.893912680736769</v>
      </c>
      <c r="AI90" s="624">
        <f t="shared" si="93"/>
        <v>-78.409156787178887</v>
      </c>
      <c r="AJ90" s="625">
        <f t="shared" si="94"/>
        <v>126.33396644778733</v>
      </c>
      <c r="AK90" s="4">
        <f t="shared" si="213"/>
        <v>0.95352547559523826</v>
      </c>
      <c r="AL90" s="5">
        <f t="shared" si="95"/>
        <v>-0.22454347417681897</v>
      </c>
      <c r="AM90" s="6">
        <f t="shared" si="96"/>
        <v>-0.20092136669722108</v>
      </c>
      <c r="AN90" s="612">
        <f t="shared" si="97"/>
        <v>-48.17783941138228</v>
      </c>
      <c r="AO90" s="613">
        <f t="shared" si="465"/>
        <v>17.536446465026682</v>
      </c>
      <c r="AP90" s="624">
        <f t="shared" si="99"/>
        <v>-13.251026393025464</v>
      </c>
      <c r="AQ90" s="625">
        <f t="shared" si="475"/>
        <v>2.6327638054630134</v>
      </c>
      <c r="AS90" s="56">
        <f t="shared" si="550"/>
        <v>-310.41000715990913</v>
      </c>
      <c r="AT90" s="77">
        <f t="shared" si="476"/>
        <v>0.63847730478264808</v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1"/>
        <v>7.1310000000000002</v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0.02</v>
      </c>
      <c r="B91" s="770">
        <v>-3.9454437764768655</v>
      </c>
      <c r="C91" s="771">
        <v>3.4650599890556646</v>
      </c>
      <c r="D91" s="772">
        <v>-1.0551031821911976</v>
      </c>
      <c r="E91" s="773">
        <v>-0.84110400408057751</v>
      </c>
      <c r="F91" s="771">
        <v>-0.51954428623589743</v>
      </c>
      <c r="G91" s="774">
        <v>0.15039211734413466</v>
      </c>
      <c r="H91" s="773">
        <v>0.314</v>
      </c>
      <c r="I91" s="771">
        <v>0.52</v>
      </c>
      <c r="J91" s="601">
        <v>7.1379999999999999</v>
      </c>
      <c r="K91" s="426" t="str">
        <f t="shared" si="527"/>
        <v>1613</v>
      </c>
      <c r="L91" s="327"/>
      <c r="M91" s="173">
        <f t="shared" si="468"/>
        <v>7.1379999999999999</v>
      </c>
      <c r="N91" s="21">
        <f t="shared" si="469"/>
        <v>-3.9454437764768655</v>
      </c>
      <c r="O91" s="5">
        <f t="shared" si="470"/>
        <v>3.4650599890556646</v>
      </c>
      <c r="P91" s="10">
        <f t="shared" si="471"/>
        <v>-1.0551031821911976</v>
      </c>
      <c r="Q91" s="624">
        <f t="shared" si="528"/>
        <v>138.70899296729155</v>
      </c>
      <c r="R91" s="5">
        <f t="shared" si="83"/>
        <v>5.2510158370637647</v>
      </c>
      <c r="S91" s="6">
        <f t="shared" si="84"/>
        <v>-1.0551031821911976</v>
      </c>
      <c r="T91" s="4">
        <f t="shared" si="85"/>
        <v>3.464715670990087</v>
      </c>
      <c r="U91" s="5">
        <f t="shared" si="86"/>
        <v>3.9457461449376314</v>
      </c>
      <c r="V91" s="8">
        <f t="shared" si="117"/>
        <v>-1.0551031821911976</v>
      </c>
      <c r="W91" s="624">
        <f t="shared" si="651"/>
        <v>48.713992966569634</v>
      </c>
      <c r="X91" s="5">
        <f t="shared" si="87"/>
        <v>5.2510158370637647</v>
      </c>
      <c r="Y91" s="7">
        <f t="shared" si="650"/>
        <v>-1.0551031821911976</v>
      </c>
      <c r="Z91" s="21">
        <f t="shared" si="472"/>
        <v>0.84110400408057751</v>
      </c>
      <c r="AA91" s="5">
        <f t="shared" si="473"/>
        <v>0.51954428623589743</v>
      </c>
      <c r="AB91" s="5">
        <f t="shared" si="474"/>
        <v>-0.15039211734413466</v>
      </c>
      <c r="AC91" s="8">
        <f t="shared" si="88"/>
        <v>1</v>
      </c>
      <c r="AD91" s="9">
        <f t="shared" si="118"/>
        <v>0.84110400408057751</v>
      </c>
      <c r="AE91" s="5">
        <f t="shared" si="89"/>
        <v>0.51954428623589743</v>
      </c>
      <c r="AF91" s="10">
        <f t="shared" si="90"/>
        <v>-0.15039211734413466</v>
      </c>
      <c r="AG91" s="622">
        <f t="shared" si="91"/>
        <v>73.855893352463397</v>
      </c>
      <c r="AH91" s="623">
        <f t="shared" si="92"/>
        <v>32.743116006981573</v>
      </c>
      <c r="AI91" s="624">
        <f t="shared" si="93"/>
        <v>-81.35034899137014</v>
      </c>
      <c r="AJ91" s="625">
        <f t="shared" si="94"/>
        <v>121.70334636540218</v>
      </c>
      <c r="AK91" s="4">
        <f t="shared" si="213"/>
        <v>0.94539966283620536</v>
      </c>
      <c r="AL91" s="5">
        <f t="shared" si="95"/>
        <v>-0.28913956586731177</v>
      </c>
      <c r="AM91" s="6">
        <f t="shared" si="96"/>
        <v>-0.15039211734413466</v>
      </c>
      <c r="AN91" s="612">
        <f t="shared" si="97"/>
        <v>-62.51940070629206</v>
      </c>
      <c r="AO91" s="613">
        <f t="shared" si="465"/>
        <v>19.020916019512278</v>
      </c>
      <c r="AP91" s="624">
        <f t="shared" si="99"/>
        <v>-17.005646601889357</v>
      </c>
      <c r="AQ91" s="625">
        <f t="shared" si="475"/>
        <v>2.3604377316821359</v>
      </c>
      <c r="AS91" s="56">
        <f t="shared" si="550"/>
        <v>-311.28600703343034</v>
      </c>
      <c r="AT91" s="77">
        <f t="shared" si="476"/>
        <v>0.1208850665990342</v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1"/>
        <v>7.1379999999999999</v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0.02</v>
      </c>
      <c r="B92" s="770">
        <v>-4.1868626803605071</v>
      </c>
      <c r="C92" s="771">
        <v>3.7603528676701932</v>
      </c>
      <c r="D92" s="772">
        <v>-1.7079051510419356</v>
      </c>
      <c r="E92" s="773">
        <v>-0.89141347058551967</v>
      </c>
      <c r="F92" s="771">
        <v>-0.43667683345832242</v>
      </c>
      <c r="G92" s="774">
        <v>0.12122445124434106</v>
      </c>
      <c r="H92" s="773">
        <v>0.314</v>
      </c>
      <c r="I92" s="771">
        <v>0.52</v>
      </c>
      <c r="J92" s="601">
        <v>7.1449999999999996</v>
      </c>
      <c r="K92" s="426" t="str">
        <f t="shared" si="527"/>
        <v>1613</v>
      </c>
      <c r="L92" s="327"/>
      <c r="M92" s="173">
        <f t="shared" si="468"/>
        <v>7.1449999999999996</v>
      </c>
      <c r="N92" s="21">
        <f t="shared" si="469"/>
        <v>-4.1868626803605071</v>
      </c>
      <c r="O92" s="5">
        <f t="shared" si="470"/>
        <v>3.7603528676701932</v>
      </c>
      <c r="P92" s="10">
        <f t="shared" si="471"/>
        <v>-1.7079051510419356</v>
      </c>
      <c r="Q92" s="624">
        <f t="shared" si="528"/>
        <v>138.07199305926295</v>
      </c>
      <c r="R92" s="5">
        <f t="shared" si="83"/>
        <v>5.6276169728927909</v>
      </c>
      <c r="S92" s="6">
        <f t="shared" si="84"/>
        <v>-1.7079051510419356</v>
      </c>
      <c r="T92" s="4">
        <f t="shared" si="85"/>
        <v>3.759987480709547</v>
      </c>
      <c r="U92" s="5">
        <f t="shared" si="86"/>
        <v>4.1871908170632119</v>
      </c>
      <c r="V92" s="8">
        <f t="shared" si="117"/>
        <v>-1.7079051510419356</v>
      </c>
      <c r="W92" s="624">
        <f t="shared" si="651"/>
        <v>48.076993058541035</v>
      </c>
      <c r="X92" s="5">
        <f t="shared" si="87"/>
        <v>5.6276169728927909</v>
      </c>
      <c r="Y92" s="7">
        <f t="shared" si="650"/>
        <v>-1.7079051510419356</v>
      </c>
      <c r="Z92" s="21">
        <f t="shared" si="472"/>
        <v>0.89141347058551967</v>
      </c>
      <c r="AA92" s="5">
        <f t="shared" si="473"/>
        <v>0.43667683345832242</v>
      </c>
      <c r="AB92" s="5">
        <f t="shared" si="474"/>
        <v>-0.12122445124434106</v>
      </c>
      <c r="AC92" s="8">
        <f t="shared" si="88"/>
        <v>1</v>
      </c>
      <c r="AD92" s="9">
        <f t="shared" si="118"/>
        <v>0.89141347058551967</v>
      </c>
      <c r="AE92" s="5">
        <f t="shared" si="89"/>
        <v>0.43667683345832242</v>
      </c>
      <c r="AF92" s="10">
        <f t="shared" si="90"/>
        <v>-0.12122445124434106</v>
      </c>
      <c r="AG92" s="622">
        <f t="shared" si="91"/>
        <v>74.484984836300924</v>
      </c>
      <c r="AH92" s="623">
        <f t="shared" si="92"/>
        <v>26.948596149430053</v>
      </c>
      <c r="AI92" s="624">
        <f t="shared" si="93"/>
        <v>-83.037225601891294</v>
      </c>
      <c r="AJ92" s="625">
        <f t="shared" si="94"/>
        <v>116.09885341461329</v>
      </c>
      <c r="AK92" s="4">
        <f t="shared" si="213"/>
        <v>0.92052020646278576</v>
      </c>
      <c r="AL92" s="5">
        <f t="shared" si="95"/>
        <v>-0.37141241486280296</v>
      </c>
      <c r="AM92" s="6">
        <f t="shared" si="96"/>
        <v>-0.12122445124434106</v>
      </c>
      <c r="AN92" s="612">
        <f t="shared" si="97"/>
        <v>-71.92395323129314</v>
      </c>
      <c r="AO92" s="613">
        <f t="shared" si="465"/>
        <v>22.997748570948072</v>
      </c>
      <c r="AP92" s="624">
        <f t="shared" si="99"/>
        <v>-21.973139644649653</v>
      </c>
      <c r="AQ92" s="625">
        <f t="shared" si="475"/>
        <v>2.2026379719180111</v>
      </c>
      <c r="AS92" s="56">
        <f t="shared" si="550"/>
        <v>-311.92300694145899</v>
      </c>
      <c r="AT92" s="78">
        <f t="shared" si="476"/>
        <v>-0.52951045815470654</v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1"/>
        <v>7.1449999999999996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0.02</v>
      </c>
      <c r="B93" s="770">
        <v>-4.3122251537783223</v>
      </c>
      <c r="C93" s="771">
        <v>3.9205233202279395</v>
      </c>
      <c r="D93" s="772">
        <v>-2.4347073430773469</v>
      </c>
      <c r="E93" s="773">
        <v>-0.94388137543092399</v>
      </c>
      <c r="F93" s="771">
        <v>-0.31673146063892016</v>
      </c>
      <c r="G93" s="774">
        <v>9.3643638097648627E-2</v>
      </c>
      <c r="H93" s="773">
        <v>0.314</v>
      </c>
      <c r="I93" s="771">
        <v>0.52</v>
      </c>
      <c r="J93" s="601">
        <v>7.1520000000000001</v>
      </c>
      <c r="K93" s="426" t="str">
        <f t="shared" si="527"/>
        <v>1613</v>
      </c>
      <c r="L93" s="327"/>
      <c r="M93" s="173">
        <f t="shared" si="468"/>
        <v>7.1520000000000001</v>
      </c>
      <c r="N93" s="21">
        <f t="shared" si="469"/>
        <v>-4.3122251537783223</v>
      </c>
      <c r="O93" s="5">
        <f t="shared" si="470"/>
        <v>3.9205233202279395</v>
      </c>
      <c r="P93" s="10">
        <f t="shared" si="471"/>
        <v>-2.4347073430773469</v>
      </c>
      <c r="Q93" s="624">
        <f t="shared" si="528"/>
        <v>137.72399310950792</v>
      </c>
      <c r="R93" s="5">
        <f t="shared" si="83"/>
        <v>5.8280175773010141</v>
      </c>
      <c r="S93" s="6">
        <f t="shared" si="84"/>
        <v>-2.4347073430773469</v>
      </c>
      <c r="T93" s="4">
        <f t="shared" si="85"/>
        <v>3.9201469927194053</v>
      </c>
      <c r="U93" s="5">
        <f t="shared" si="86"/>
        <v>4.3125672675104543</v>
      </c>
      <c r="V93" s="8">
        <f t="shared" si="117"/>
        <v>-2.4347073430773469</v>
      </c>
      <c r="W93" s="624">
        <f t="shared" si="651"/>
        <v>47.728993108786</v>
      </c>
      <c r="X93" s="5">
        <f t="shared" si="87"/>
        <v>5.8280175773010141</v>
      </c>
      <c r="Y93" s="7">
        <f t="shared" si="650"/>
        <v>-2.4347073430773469</v>
      </c>
      <c r="Z93" s="21">
        <f t="shared" si="472"/>
        <v>0.94388137543092399</v>
      </c>
      <c r="AA93" s="5">
        <f t="shared" si="473"/>
        <v>0.31673146063892016</v>
      </c>
      <c r="AB93" s="5">
        <f t="shared" si="474"/>
        <v>-9.3643638097648627E-2</v>
      </c>
      <c r="AC93" s="8">
        <f t="shared" si="88"/>
        <v>1</v>
      </c>
      <c r="AD93" s="9">
        <f t="shared" si="118"/>
        <v>0.94388137543092399</v>
      </c>
      <c r="AE93" s="5">
        <f t="shared" si="89"/>
        <v>0.31673146063892016</v>
      </c>
      <c r="AF93" s="10">
        <f t="shared" si="90"/>
        <v>-9.3643638097648627E-2</v>
      </c>
      <c r="AG93" s="622">
        <f t="shared" si="91"/>
        <v>73.529356427093006</v>
      </c>
      <c r="AH93" s="623">
        <f t="shared" si="92"/>
        <v>19.286053408875876</v>
      </c>
      <c r="AI93" s="624">
        <f t="shared" si="93"/>
        <v>-84.626742024713494</v>
      </c>
      <c r="AJ93" s="625">
        <f t="shared" si="94"/>
        <v>108.54983605061119</v>
      </c>
      <c r="AK93" s="4">
        <f t="shared" si="213"/>
        <v>0.86930525659328972</v>
      </c>
      <c r="AL93" s="5">
        <f t="shared" si="95"/>
        <v>-0.48532385054014338</v>
      </c>
      <c r="AM93" s="6">
        <f t="shared" si="96"/>
        <v>-9.3643638097648627E-2</v>
      </c>
      <c r="AN93" s="612">
        <f t="shared" si="97"/>
        <v>-79.078942464783466</v>
      </c>
      <c r="AO93" s="613">
        <f t="shared" si="465"/>
        <v>29.621994060117583</v>
      </c>
      <c r="AP93" s="624">
        <f t="shared" si="99"/>
        <v>-29.174157058896729</v>
      </c>
      <c r="AQ93" s="625">
        <f t="shared" si="475"/>
        <v>2.1269694715487195</v>
      </c>
      <c r="AS93" s="56">
        <f t="shared" si="550"/>
        <v>-312.27100689121403</v>
      </c>
      <c r="AT93" s="78">
        <f t="shared" si="476"/>
        <v>-1.2549979837132657</v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1"/>
        <v>7.1520000000000001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0.02</v>
      </c>
      <c r="B94" s="770">
        <v>-4.3803605065381523</v>
      </c>
      <c r="C94" s="771">
        <v>4.0096445116440851</v>
      </c>
      <c r="D94" s="772">
        <v>-3.1397094693637597</v>
      </c>
      <c r="E94" s="773">
        <v>-0.97618255262990428</v>
      </c>
      <c r="F94" s="771">
        <v>-0.2169507408167749</v>
      </c>
      <c r="G94" s="774">
        <v>1.3008419237362996E-7</v>
      </c>
      <c r="H94" s="773">
        <v>0.26600000000000001</v>
      </c>
      <c r="I94" s="771">
        <v>0.52</v>
      </c>
      <c r="J94" s="601">
        <v>7.1589999999999998</v>
      </c>
      <c r="K94" s="426" t="str">
        <f t="shared" si="527"/>
        <v>1313</v>
      </c>
      <c r="L94" s="327"/>
      <c r="M94" s="173">
        <f t="shared" si="468"/>
        <v>7.1589999999999998</v>
      </c>
      <c r="N94" s="21">
        <f t="shared" si="469"/>
        <v>-4.3803605065381523</v>
      </c>
      <c r="O94" s="5">
        <f t="shared" si="470"/>
        <v>4.0096445116440851</v>
      </c>
      <c r="P94" s="10">
        <f t="shared" si="471"/>
        <v>-3.1397094693637597</v>
      </c>
      <c r="Q94" s="624">
        <f t="shared" si="528"/>
        <v>137.52999313751803</v>
      </c>
      <c r="R94" s="5">
        <f t="shared" si="83"/>
        <v>5.9384179102684174</v>
      </c>
      <c r="S94" s="6">
        <f t="shared" si="84"/>
        <v>-3.1397094693637597</v>
      </c>
      <c r="T94" s="4">
        <f t="shared" si="85"/>
        <v>4.0092622378658564</v>
      </c>
      <c r="U94" s="5">
        <f t="shared" si="86"/>
        <v>4.3807103973008283</v>
      </c>
      <c r="V94" s="8">
        <f t="shared" si="117"/>
        <v>-3.1397094693637597</v>
      </c>
      <c r="W94" s="624">
        <f t="shared" si="651"/>
        <v>47.534993136796118</v>
      </c>
      <c r="X94" s="5">
        <f t="shared" si="87"/>
        <v>5.9384179102684174</v>
      </c>
      <c r="Y94" s="7">
        <f t="shared" si="650"/>
        <v>-3.1397094693637597</v>
      </c>
      <c r="Z94" s="21">
        <f t="shared" si="472"/>
        <v>0.97618255262990428</v>
      </c>
      <c r="AA94" s="5">
        <f t="shared" si="473"/>
        <v>0.2169507408167749</v>
      </c>
      <c r="AB94" s="5">
        <f t="shared" si="474"/>
        <v>-1.3008419237362996E-7</v>
      </c>
      <c r="AC94" s="8">
        <f t="shared" si="88"/>
        <v>1</v>
      </c>
      <c r="AD94" s="9">
        <f t="shared" si="118"/>
        <v>0.97618255262990428</v>
      </c>
      <c r="AE94" s="5">
        <f t="shared" si="89"/>
        <v>0.2169507408167749</v>
      </c>
      <c r="AF94" s="10">
        <f t="shared" si="90"/>
        <v>-1.3008419237362996E-7</v>
      </c>
      <c r="AG94" s="622">
        <f t="shared" si="91"/>
        <v>89.999965645311107</v>
      </c>
      <c r="AH94" s="623">
        <f t="shared" si="92"/>
        <v>12.529998190894934</v>
      </c>
      <c r="AI94" s="624">
        <f t="shared" si="93"/>
        <v>-89.999992546724798</v>
      </c>
      <c r="AJ94" s="625">
        <f t="shared" si="94"/>
        <v>102.52999819089278</v>
      </c>
      <c r="AK94" s="4">
        <f t="shared" si="213"/>
        <v>0.81915209487729213</v>
      </c>
      <c r="AL94" s="5">
        <f t="shared" si="95"/>
        <v>-0.57357636410344448</v>
      </c>
      <c r="AM94" s="6">
        <f t="shared" si="96"/>
        <v>-1.3008419237362996E-7</v>
      </c>
      <c r="AN94" s="612">
        <f t="shared" si="97"/>
        <v>-89.999987005609597</v>
      </c>
      <c r="AO94" s="613">
        <f t="shared" si="465"/>
        <v>34.999994946625939</v>
      </c>
      <c r="AP94" s="624">
        <f t="shared" si="99"/>
        <v>-34.999994946625257</v>
      </c>
      <c r="AQ94" s="625">
        <f t="shared" si="475"/>
        <v>2.087462579638407</v>
      </c>
      <c r="AS94" s="56">
        <f t="shared" si="550"/>
        <v>-312.46500686320388</v>
      </c>
      <c r="AT94" s="78">
        <f t="shared" si="476"/>
        <v>-1.9592672212166056</v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1"/>
        <v>7.1589999999999998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0.02</v>
      </c>
      <c r="B95" s="770">
        <v>-2.4655928298304808</v>
      </c>
      <c r="C95" s="771">
        <v>3.2074243912592975</v>
      </c>
      <c r="D95" s="772">
        <v>-0.15251919544535672</v>
      </c>
      <c r="E95" s="773">
        <v>-0.82397992058509117</v>
      </c>
      <c r="F95" s="771">
        <v>-0.40842981665181255</v>
      </c>
      <c r="G95" s="774">
        <v>0.39273677615211144</v>
      </c>
      <c r="H95" s="773">
        <v>0.26600000000000001</v>
      </c>
      <c r="I95" s="771">
        <v>0.52</v>
      </c>
      <c r="J95" s="601">
        <v>7.2240000000000002</v>
      </c>
      <c r="K95" s="426" t="str">
        <f t="shared" si="527"/>
        <v>1313</v>
      </c>
      <c r="L95" s="327"/>
      <c r="M95" s="173">
        <f t="shared" si="468"/>
        <v>7.2240000000000002</v>
      </c>
      <c r="N95" s="21">
        <f t="shared" si="469"/>
        <v>-2.4655928298304808</v>
      </c>
      <c r="O95" s="5">
        <f t="shared" si="470"/>
        <v>3.2074243912592975</v>
      </c>
      <c r="P95" s="10">
        <f t="shared" si="471"/>
        <v>-0.15251919544535672</v>
      </c>
      <c r="Q95" s="624">
        <f t="shared" si="528"/>
        <v>127.54999457845156</v>
      </c>
      <c r="R95" s="5">
        <f t="shared" si="83"/>
        <v>4.0455802090870172</v>
      </c>
      <c r="S95" s="6">
        <f t="shared" si="84"/>
        <v>-0.15251919544535672</v>
      </c>
      <c r="T95" s="4">
        <f t="shared" si="85"/>
        <v>3.207209215513203</v>
      </c>
      <c r="U95" s="5">
        <f t="shared" si="86"/>
        <v>2.465872720982115</v>
      </c>
      <c r="V95" s="8">
        <f t="shared" si="117"/>
        <v>-0.15251919544535672</v>
      </c>
      <c r="W95" s="624">
        <f t="shared" si="651"/>
        <v>37.554994577729644</v>
      </c>
      <c r="X95" s="5">
        <f t="shared" si="87"/>
        <v>4.0455802090870172</v>
      </c>
      <c r="Y95" s="7">
        <f t="shared" si="650"/>
        <v>-0.15251919544535672</v>
      </c>
      <c r="Z95" s="21">
        <f t="shared" si="472"/>
        <v>0.82397992058509117</v>
      </c>
      <c r="AA95" s="5">
        <f t="shared" si="473"/>
        <v>0.40842981665181255</v>
      </c>
      <c r="AB95" s="5">
        <f t="shared" si="474"/>
        <v>-0.39273677615211144</v>
      </c>
      <c r="AC95" s="8">
        <f t="shared" si="88"/>
        <v>1</v>
      </c>
      <c r="AD95" s="9">
        <f t="shared" si="118"/>
        <v>0.82397992058509117</v>
      </c>
      <c r="AE95" s="5">
        <f t="shared" si="89"/>
        <v>0.40842981665181255</v>
      </c>
      <c r="AF95" s="10">
        <f t="shared" si="90"/>
        <v>-0.39273677615211144</v>
      </c>
      <c r="AG95" s="622">
        <f t="shared" si="91"/>
        <v>46.122151158597077</v>
      </c>
      <c r="AH95" s="623">
        <f t="shared" si="92"/>
        <v>34.514793211798391</v>
      </c>
      <c r="AI95" s="624">
        <f t="shared" si="93"/>
        <v>-66.875102855872825</v>
      </c>
      <c r="AJ95" s="625">
        <f t="shared" si="94"/>
        <v>116.3666642720232</v>
      </c>
      <c r="AK95" s="4">
        <f t="shared" si="213"/>
        <v>0.90218824840501433</v>
      </c>
      <c r="AL95" s="5">
        <f t="shared" si="95"/>
        <v>-0.1783653248183027</v>
      </c>
      <c r="AM95" s="6">
        <f t="shared" si="96"/>
        <v>-0.39273677615211144</v>
      </c>
      <c r="AN95" s="612">
        <f t="shared" si="97"/>
        <v>-24.425647726853157</v>
      </c>
      <c r="AO95" s="613">
        <f t="shared" si="465"/>
        <v>25.552789666501198</v>
      </c>
      <c r="AP95" s="624">
        <f t="shared" si="99"/>
        <v>-11.183330306428337</v>
      </c>
      <c r="AQ95" s="625">
        <f t="shared" si="475"/>
        <v>3.0625766691708067</v>
      </c>
      <c r="AS95" s="56">
        <f t="shared" si="550"/>
        <v>-322.44500542227036</v>
      </c>
      <c r="AT95" s="78">
        <f t="shared" si="476"/>
        <v>1.0656252694804931</v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>
        <f>IFERROR(IF($IU95="","",IF($IU95&lt;(((Settings!$C$19/2)*-1)*$IE$8),"",1)),"")</f>
        <v>1</v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1"/>
        <v>7.2240000000000002</v>
      </c>
      <c r="IH95" s="797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0.124</v>
      </c>
      <c r="II95" s="800" cm="1">
        <f t="array" ref="II95">IFERROR(IF($IH95&lt;1,$IH95+LARGE((IF($M$9:$M$150="",0,$M$9:$M$150)-MOD(IF($M$9:$M$150="",0,$M$9:$M$150),1)),1),$IH95),"")</f>
        <v>7.1239999999999997</v>
      </c>
      <c r="IJ95" s="839" t="str">
        <f t="shared" si="522"/>
        <v>1613</v>
      </c>
      <c r="IK95" s="839" t="str">
        <f t="shared" si="523"/>
        <v>1313</v>
      </c>
      <c r="IL95" s="791">
        <f t="shared" si="653"/>
        <v>13.020998120000485</v>
      </c>
      <c r="IM95" s="830">
        <v>1.41075163313873E-2</v>
      </c>
      <c r="IN95" s="5">
        <f t="shared" si="654"/>
        <v>0.36</v>
      </c>
      <c r="IO95" s="852">
        <v>180</v>
      </c>
      <c r="IP95" s="9">
        <f t="shared" si="655"/>
        <v>-4.0330121635646865</v>
      </c>
      <c r="IQ95" s="5">
        <f t="shared" si="656"/>
        <v>-0.19890059988420924</v>
      </c>
      <c r="IR95" s="5">
        <f t="shared" si="524"/>
        <v>0.314</v>
      </c>
      <c r="IS95" s="5">
        <f t="shared" si="657"/>
        <v>0.30192207818345446</v>
      </c>
      <c r="IT95" s="791">
        <f t="shared" si="658"/>
        <v>31.956849750709221</v>
      </c>
      <c r="IU95" s="9">
        <f t="shared" si="659"/>
        <v>-4.0455802090870172</v>
      </c>
      <c r="IV95" s="5">
        <f t="shared" si="660"/>
        <v>-0.15251919544535672</v>
      </c>
      <c r="IW95" s="5">
        <f t="shared" si="525"/>
        <v>0.26600000000000001</v>
      </c>
      <c r="IX95" s="5">
        <f t="shared" si="661"/>
        <v>0.23998207407573385</v>
      </c>
      <c r="IY95" s="833">
        <f t="shared" si="662"/>
        <v>24.425647726853157</v>
      </c>
    </row>
    <row r="96" spans="1:259" ht="15" customHeight="1" x14ac:dyDescent="0.25">
      <c r="A96" s="84">
        <f t="shared" si="526"/>
        <v>0.02</v>
      </c>
      <c r="B96" s="770">
        <v>-2.918337202940406</v>
      </c>
      <c r="C96" s="771">
        <v>3.724972657668105</v>
      </c>
      <c r="D96" s="772">
        <v>-0.48944828918468725</v>
      </c>
      <c r="E96" s="773">
        <v>-0.87972727610088275</v>
      </c>
      <c r="F96" s="771">
        <v>-0.32276321050734996</v>
      </c>
      <c r="G96" s="774">
        <v>0.34914728930225064</v>
      </c>
      <c r="H96" s="773">
        <v>0.26600000000000001</v>
      </c>
      <c r="I96" s="771">
        <v>0.52</v>
      </c>
      <c r="J96" s="601">
        <v>7.2309999999999999</v>
      </c>
      <c r="K96" s="426" t="str">
        <f t="shared" si="527"/>
        <v>1313</v>
      </c>
      <c r="L96" s="327"/>
      <c r="M96" s="173">
        <f t="shared" si="468"/>
        <v>7.2309999999999999</v>
      </c>
      <c r="N96" s="21">
        <f t="shared" si="469"/>
        <v>-2.918337202940406</v>
      </c>
      <c r="O96" s="5">
        <f t="shared" si="470"/>
        <v>3.724972657668105</v>
      </c>
      <c r="P96" s="10">
        <f t="shared" si="471"/>
        <v>-0.48944828918468725</v>
      </c>
      <c r="Q96" s="624">
        <f t="shared" si="528"/>
        <v>128.0769945023622</v>
      </c>
      <c r="R96" s="5">
        <f t="shared" si="83"/>
        <v>4.7320305715877424</v>
      </c>
      <c r="S96" s="6">
        <f t="shared" si="84"/>
        <v>-0.48944828918468725</v>
      </c>
      <c r="T96" s="4">
        <f t="shared" si="85"/>
        <v>3.7247179705571836</v>
      </c>
      <c r="U96" s="5">
        <f t="shared" si="86"/>
        <v>2.9186622569679748</v>
      </c>
      <c r="V96" s="8">
        <f t="shared" si="117"/>
        <v>-0.48944828918468725</v>
      </c>
      <c r="W96" s="624">
        <f t="shared" si="651"/>
        <v>38.081994501640281</v>
      </c>
      <c r="X96" s="5">
        <f t="shared" si="87"/>
        <v>4.7320305715877424</v>
      </c>
      <c r="Y96" s="7">
        <f t="shared" si="650"/>
        <v>-0.48944828918468725</v>
      </c>
      <c r="Z96" s="21">
        <f t="shared" si="472"/>
        <v>0.87972727610088275</v>
      </c>
      <c r="AA96" s="5">
        <f t="shared" si="473"/>
        <v>0.32276321050734996</v>
      </c>
      <c r="AB96" s="5">
        <f t="shared" si="474"/>
        <v>-0.34914728930225064</v>
      </c>
      <c r="AC96" s="8">
        <f t="shared" si="88"/>
        <v>1</v>
      </c>
      <c r="AD96" s="9">
        <f t="shared" si="118"/>
        <v>0.87972727610088275</v>
      </c>
      <c r="AE96" s="5">
        <f t="shared" si="89"/>
        <v>0.32276321050734996</v>
      </c>
      <c r="AF96" s="10">
        <f t="shared" si="90"/>
        <v>-0.34914728930225064</v>
      </c>
      <c r="AG96" s="622">
        <f t="shared" si="91"/>
        <v>42.751307488719199</v>
      </c>
      <c r="AH96" s="623">
        <f t="shared" si="92"/>
        <v>28.390517611763205</v>
      </c>
      <c r="AI96" s="624">
        <f t="shared" si="93"/>
        <v>-69.564831606342679</v>
      </c>
      <c r="AJ96" s="625">
        <f t="shared" si="94"/>
        <v>110.14758622285864</v>
      </c>
      <c r="AK96" s="4">
        <f t="shared" si="213"/>
        <v>0.89156058288717788</v>
      </c>
      <c r="AL96" s="5">
        <f t="shared" si="95"/>
        <v>-0.28847165790553247</v>
      </c>
      <c r="AM96" s="6">
        <f t="shared" si="96"/>
        <v>-0.34914728930225064</v>
      </c>
      <c r="AN96" s="612">
        <f t="shared" si="97"/>
        <v>-39.564119016744257</v>
      </c>
      <c r="AO96" s="613">
        <f t="shared" si="465"/>
        <v>26.929991172678225</v>
      </c>
      <c r="AP96" s="624">
        <f t="shared" si="99"/>
        <v>-17.929408279503573</v>
      </c>
      <c r="AQ96" s="625">
        <f t="shared" si="475"/>
        <v>2.6189759730983626</v>
      </c>
      <c r="AS96" s="56">
        <f t="shared" si="550"/>
        <v>-321.91800549835972</v>
      </c>
      <c r="AT96" s="78">
        <f t="shared" si="476"/>
        <v>0.72670528713972238</v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1"/>
        <v>7.2309999999999999</v>
      </c>
      <c r="IH96" s="797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0.13100000000000001</v>
      </c>
      <c r="II96" s="800" cm="1">
        <f t="array" ref="II96">IFERROR(IF($IH96&lt;1,$IH96+LARGE((IF($M$9:$M$150="",0,$M$9:$M$150)-MOD(IF($M$9:$M$150="",0,$M$9:$M$150),1)),1),$IH96),"")</f>
        <v>7.1310000000000002</v>
      </c>
      <c r="IJ96" s="839" t="str">
        <f t="shared" si="522"/>
        <v>1613</v>
      </c>
      <c r="IK96" s="839" t="str">
        <f t="shared" si="523"/>
        <v>1313</v>
      </c>
      <c r="IL96" s="791">
        <f t="shared" si="653"/>
        <v>11.507998338450591</v>
      </c>
      <c r="IM96" s="830">
        <v>1.1581648866962E-2</v>
      </c>
      <c r="IN96" s="5">
        <f t="shared" si="654"/>
        <v>0.34</v>
      </c>
      <c r="IO96" s="852">
        <v>170</v>
      </c>
      <c r="IP96" s="9">
        <f t="shared" si="655"/>
        <v>-4.7072141969580183</v>
      </c>
      <c r="IQ96" s="5">
        <f t="shared" si="656"/>
        <v>-0.53420161115205922</v>
      </c>
      <c r="IR96" s="5">
        <f t="shared" si="524"/>
        <v>0.314</v>
      </c>
      <c r="IS96" s="5">
        <f t="shared" si="657"/>
        <v>0.29940699933690479</v>
      </c>
      <c r="IT96" s="791">
        <f t="shared" si="658"/>
        <v>48.17783941138228</v>
      </c>
      <c r="IU96" s="9">
        <f t="shared" si="659"/>
        <v>-4.7320305715877424</v>
      </c>
      <c r="IV96" s="5">
        <f t="shared" si="660"/>
        <v>-0.48944828918468725</v>
      </c>
      <c r="IW96" s="5">
        <f t="shared" si="525"/>
        <v>0.26600000000000001</v>
      </c>
      <c r="IX96" s="5">
        <f t="shared" si="661"/>
        <v>0.23715511504798933</v>
      </c>
      <c r="IY96" s="833">
        <f t="shared" si="662"/>
        <v>39.564119016744257</v>
      </c>
    </row>
    <row r="97" spans="1:259" ht="15" customHeight="1" x14ac:dyDescent="0.25">
      <c r="A97" s="84">
        <f t="shared" si="526"/>
        <v>0.02</v>
      </c>
      <c r="B97" s="770">
        <v>-3.2643835238221541</v>
      </c>
      <c r="C97" s="771">
        <v>4.1591855078699549</v>
      </c>
      <c r="D97" s="772">
        <v>-1.0151117194334787</v>
      </c>
      <c r="E97" s="773">
        <v>-0.92801050342427116</v>
      </c>
      <c r="F97" s="771">
        <v>-0.24429926259717269</v>
      </c>
      <c r="G97" s="774">
        <v>0.28127277832863351</v>
      </c>
      <c r="H97" s="773">
        <v>0.26600000000000001</v>
      </c>
      <c r="I97" s="771">
        <v>0.52</v>
      </c>
      <c r="J97" s="601">
        <v>7.2380000000000004</v>
      </c>
      <c r="K97" s="426" t="str">
        <f t="shared" si="527"/>
        <v>1313</v>
      </c>
      <c r="L97" s="327"/>
      <c r="M97" s="173">
        <f t="shared" si="468"/>
        <v>7.2380000000000004</v>
      </c>
      <c r="N97" s="21">
        <f t="shared" si="469"/>
        <v>-3.2643835238221541</v>
      </c>
      <c r="O97" s="5">
        <f t="shared" si="470"/>
        <v>4.1591855078699549</v>
      </c>
      <c r="P97" s="10">
        <f t="shared" si="471"/>
        <v>-1.0151117194334787</v>
      </c>
      <c r="Q97" s="624">
        <f t="shared" si="528"/>
        <v>128.12699449514307</v>
      </c>
      <c r="R97" s="5">
        <f t="shared" si="83"/>
        <v>5.2872510702138023</v>
      </c>
      <c r="S97" s="6">
        <f t="shared" si="84"/>
        <v>-1.0151117194334787</v>
      </c>
      <c r="T97" s="4">
        <f t="shared" si="85"/>
        <v>4.1589006208717549</v>
      </c>
      <c r="U97" s="5">
        <f t="shared" si="86"/>
        <v>3.2647464687460075</v>
      </c>
      <c r="V97" s="8">
        <f t="shared" si="117"/>
        <v>-1.0151117194334787</v>
      </c>
      <c r="W97" s="624">
        <f t="shared" si="651"/>
        <v>38.13199449442115</v>
      </c>
      <c r="X97" s="5">
        <f t="shared" si="87"/>
        <v>5.2872510702138023</v>
      </c>
      <c r="Y97" s="7">
        <f t="shared" si="650"/>
        <v>-1.0151117194334787</v>
      </c>
      <c r="Z97" s="21">
        <f t="shared" si="472"/>
        <v>0.92801050342427116</v>
      </c>
      <c r="AA97" s="5">
        <f t="shared" si="473"/>
        <v>0.24429926259717269</v>
      </c>
      <c r="AB97" s="5">
        <f t="shared" si="474"/>
        <v>-0.28127277832863351</v>
      </c>
      <c r="AC97" s="8">
        <f t="shared" si="88"/>
        <v>1</v>
      </c>
      <c r="AD97" s="9">
        <f t="shared" si="118"/>
        <v>0.92801050342427116</v>
      </c>
      <c r="AE97" s="5">
        <f t="shared" si="89"/>
        <v>0.24429926259717269</v>
      </c>
      <c r="AF97" s="10">
        <f t="shared" si="90"/>
        <v>-0.28127277832863351</v>
      </c>
      <c r="AG97" s="622">
        <f t="shared" si="91"/>
        <v>40.975923589188511</v>
      </c>
      <c r="AH97" s="623">
        <f t="shared" si="92"/>
        <v>21.873217431860102</v>
      </c>
      <c r="AI97" s="624">
        <f t="shared" si="93"/>
        <v>-73.663817215490127</v>
      </c>
      <c r="AJ97" s="625">
        <f t="shared" si="94"/>
        <v>104.74852690637042</v>
      </c>
      <c r="AK97" s="4">
        <f t="shared" si="213"/>
        <v>0.88084606969668944</v>
      </c>
      <c r="AL97" s="5">
        <f t="shared" si="95"/>
        <v>-0.38078317409148532</v>
      </c>
      <c r="AM97" s="6">
        <f t="shared" si="96"/>
        <v>-0.28127277832863351</v>
      </c>
      <c r="AN97" s="612">
        <f t="shared" si="97"/>
        <v>-53.547861935281396</v>
      </c>
      <c r="AO97" s="613">
        <f t="shared" si="465"/>
        <v>28.255406689160768</v>
      </c>
      <c r="AP97" s="624">
        <f t="shared" si="99"/>
        <v>-23.378467588772647</v>
      </c>
      <c r="AQ97" s="625">
        <f t="shared" si="475"/>
        <v>2.3442790024722688</v>
      </c>
      <c r="AS97" s="56">
        <f t="shared" si="550"/>
        <v>-321.86800550557882</v>
      </c>
      <c r="AT97" s="78">
        <f t="shared" si="476"/>
        <v>0.20085296802931407</v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>
        <f>IFERROR(IF((((($IW97*COS(RADIANS(180-$IY97)))*COS(RADIANS($IY97)))-(($IX97*SIN(RADIANS(180-$IY97)))*SIN(RADIANS($IY97))))+$IU97)&lt;(((Settings!$C$19/2)*-1)+$IF$8),1,""),"")</f>
        <v>1</v>
      </c>
      <c r="IG97" s="836">
        <f t="shared" si="521"/>
        <v>7.2380000000000004</v>
      </c>
      <c r="IH97" s="797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0.13800000000000001</v>
      </c>
      <c r="II97" s="800" cm="1">
        <f t="array" ref="II97">IFERROR(IF($IH97&lt;1,$IH97+LARGE((IF($M$9:$M$150="",0,$M$9:$M$150)-MOD(IF($M$9:$M$150="",0,$M$9:$M$150),1)),1),$IH97),"")</f>
        <v>7.1379999999999999</v>
      </c>
      <c r="IJ97" s="839" t="str">
        <f t="shared" si="522"/>
        <v>1613</v>
      </c>
      <c r="IK97" s="839" t="str">
        <f t="shared" si="523"/>
        <v>1313</v>
      </c>
      <c r="IL97" s="791">
        <f t="shared" si="653"/>
        <v>10.581998472148484</v>
      </c>
      <c r="IM97" s="830">
        <v>9.3359507084435894E-3</v>
      </c>
      <c r="IN97" s="5">
        <f t="shared" si="654"/>
        <v>0.32</v>
      </c>
      <c r="IO97" s="852">
        <v>160</v>
      </c>
      <c r="IP97" s="9">
        <f t="shared" si="655"/>
        <v>-5.2510158370637647</v>
      </c>
      <c r="IQ97" s="5">
        <f t="shared" si="656"/>
        <v>-1.0551031821911976</v>
      </c>
      <c r="IR97" s="5">
        <f t="shared" si="524"/>
        <v>0.314</v>
      </c>
      <c r="IS97" s="5">
        <f t="shared" si="657"/>
        <v>0.2968554941305685</v>
      </c>
      <c r="IT97" s="791">
        <f t="shared" si="658"/>
        <v>62.51940070629206</v>
      </c>
      <c r="IU97" s="9">
        <f t="shared" si="659"/>
        <v>-5.2872510702138023</v>
      </c>
      <c r="IV97" s="5">
        <f t="shared" si="660"/>
        <v>-1.0151117194334787</v>
      </c>
      <c r="IW97" s="5">
        <f t="shared" si="525"/>
        <v>0.26600000000000001</v>
      </c>
      <c r="IX97" s="5">
        <f t="shared" si="661"/>
        <v>0.23430505453931941</v>
      </c>
      <c r="IY97" s="833">
        <f t="shared" si="662"/>
        <v>53.547861935281396</v>
      </c>
    </row>
    <row r="98" spans="1:259" ht="15" customHeight="1" x14ac:dyDescent="0.25">
      <c r="A98" s="84">
        <f t="shared" si="526"/>
        <v>0.02</v>
      </c>
      <c r="B98" s="770">
        <v>-3.4954654204780757</v>
      </c>
      <c r="C98" s="771">
        <v>4.4706141751388673</v>
      </c>
      <c r="D98" s="772">
        <v>-1.6744539988119027</v>
      </c>
      <c r="E98" s="773">
        <v>-0.96380278260342511</v>
      </c>
      <c r="F98" s="771">
        <v>-0.13947004128990087</v>
      </c>
      <c r="G98" s="774">
        <v>0.22722742754449407</v>
      </c>
      <c r="H98" s="773">
        <v>0.26600000000000001</v>
      </c>
      <c r="I98" s="771">
        <v>0.52</v>
      </c>
      <c r="J98" s="601">
        <v>7.2450000000000001</v>
      </c>
      <c r="K98" s="426" t="str">
        <f t="shared" si="527"/>
        <v>1313</v>
      </c>
      <c r="L98" s="327"/>
      <c r="M98" s="173">
        <f t="shared" si="468"/>
        <v>7.2450000000000001</v>
      </c>
      <c r="N98" s="21">
        <f t="shared" si="469"/>
        <v>-3.4954654204780757</v>
      </c>
      <c r="O98" s="5">
        <f t="shared" si="470"/>
        <v>4.4706141751388673</v>
      </c>
      <c r="P98" s="10">
        <f t="shared" si="471"/>
        <v>-1.6744539988119027</v>
      </c>
      <c r="Q98" s="624">
        <f t="shared" si="528"/>
        <v>128.02099451044759</v>
      </c>
      <c r="R98" s="5">
        <f t="shared" si="83"/>
        <v>5.6749158239317126</v>
      </c>
      <c r="S98" s="6">
        <f t="shared" si="84"/>
        <v>-1.6744539988119027</v>
      </c>
      <c r="T98" s="4">
        <f t="shared" si="85"/>
        <v>4.4703091212580794</v>
      </c>
      <c r="U98" s="5">
        <f t="shared" si="86"/>
        <v>3.4958555417962232</v>
      </c>
      <c r="V98" s="8">
        <f t="shared" si="117"/>
        <v>-1.6744539988119027</v>
      </c>
      <c r="W98" s="624">
        <f t="shared" si="651"/>
        <v>38.025994509725678</v>
      </c>
      <c r="X98" s="5">
        <f t="shared" si="87"/>
        <v>5.6749158239317126</v>
      </c>
      <c r="Y98" s="7">
        <f t="shared" si="650"/>
        <v>-1.6744539988119027</v>
      </c>
      <c r="Z98" s="21">
        <f t="shared" si="472"/>
        <v>0.96380278260342511</v>
      </c>
      <c r="AA98" s="5">
        <f t="shared" si="473"/>
        <v>0.13947004128990087</v>
      </c>
      <c r="AB98" s="5">
        <f t="shared" si="474"/>
        <v>-0.22722742754449407</v>
      </c>
      <c r="AC98" s="8">
        <f t="shared" si="88"/>
        <v>1</v>
      </c>
      <c r="AD98" s="9">
        <f t="shared" si="118"/>
        <v>0.96380278260342511</v>
      </c>
      <c r="AE98" s="5">
        <f t="shared" si="89"/>
        <v>0.13947004128990087</v>
      </c>
      <c r="AF98" s="10">
        <f t="shared" si="90"/>
        <v>-0.22722742754449407</v>
      </c>
      <c r="AG98" s="622">
        <f t="shared" si="91"/>
        <v>31.541207945498769</v>
      </c>
      <c r="AH98" s="623">
        <f t="shared" si="92"/>
        <v>15.463009601595322</v>
      </c>
      <c r="AI98" s="624">
        <f t="shared" si="93"/>
        <v>-76.866106427815652</v>
      </c>
      <c r="AJ98" s="625">
        <f t="shared" si="94"/>
        <v>98.234004667438086</v>
      </c>
      <c r="AK98" s="4">
        <f t="shared" si="213"/>
        <v>0.84517607613493451</v>
      </c>
      <c r="AL98" s="5">
        <f t="shared" si="95"/>
        <v>-0.48378207542308449</v>
      </c>
      <c r="AM98" s="6">
        <f t="shared" si="96"/>
        <v>-0.22722742754449407</v>
      </c>
      <c r="AN98" s="612">
        <f t="shared" si="97"/>
        <v>-64.841042267595626</v>
      </c>
      <c r="AO98" s="613">
        <f t="shared" si="465"/>
        <v>32.309194112535181</v>
      </c>
      <c r="AP98" s="624">
        <f t="shared" si="99"/>
        <v>-29.786989843009504</v>
      </c>
      <c r="AQ98" s="625">
        <f t="shared" si="475"/>
        <v>2.1842974519141536</v>
      </c>
      <c r="AS98" s="56">
        <f t="shared" si="550"/>
        <v>-321.97400549027429</v>
      </c>
      <c r="AT98" s="78">
        <f t="shared" si="476"/>
        <v>-0.45808886696248252</v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>
        <f>IFERROR(IF((((($IW98*COS(RADIANS(180-$IY98)))*COS(RADIANS($IY98)))-(($IX98*SIN(RADIANS(180-$IY98)))*SIN(RADIANS($IY98))))+$IU98)&lt;(((Settings!$C$19/2)*-1)+$IF$8),1,""),"")</f>
        <v>1</v>
      </c>
      <c r="IG98" s="836">
        <f t="shared" si="521"/>
        <v>7.2450000000000001</v>
      </c>
      <c r="IH98" s="797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0.14499999999999999</v>
      </c>
      <c r="II98" s="800" cm="1">
        <f t="array" ref="II98">IFERROR(IF($IH98&lt;1,$IH98+LARGE((IF($M$9:$M$150="",0,$M$9:$M$150)-MOD(IF($M$9:$M$150="",0,$M$9:$M$150),1)),1),$IH98),"")</f>
        <v>7.1449999999999996</v>
      </c>
      <c r="IJ98" s="839" t="str">
        <f t="shared" si="522"/>
        <v>1613</v>
      </c>
      <c r="IK98" s="839" t="str">
        <f t="shared" si="523"/>
        <v>1313</v>
      </c>
      <c r="IL98" s="791">
        <f t="shared" si="653"/>
        <v>10.050998548815357</v>
      </c>
      <c r="IM98" s="830">
        <v>7.1593313787359997E-3</v>
      </c>
      <c r="IN98" s="5">
        <f t="shared" si="654"/>
        <v>0.28000000000000003</v>
      </c>
      <c r="IO98" s="852">
        <v>140</v>
      </c>
      <c r="IP98" s="9">
        <f t="shared" si="655"/>
        <v>-5.6276169728927909</v>
      </c>
      <c r="IQ98" s="5">
        <f t="shared" si="656"/>
        <v>-1.7079051510419356</v>
      </c>
      <c r="IR98" s="5">
        <f t="shared" si="524"/>
        <v>0.314</v>
      </c>
      <c r="IS98" s="5">
        <f t="shared" si="657"/>
        <v>0.28904334482931471</v>
      </c>
      <c r="IT98" s="791">
        <f t="shared" si="658"/>
        <v>71.92395323129314</v>
      </c>
      <c r="IU98" s="9">
        <f t="shared" si="659"/>
        <v>-5.6749158239317126</v>
      </c>
      <c r="IV98" s="5">
        <f t="shared" si="660"/>
        <v>-1.6744539988119027</v>
      </c>
      <c r="IW98" s="5">
        <f t="shared" si="525"/>
        <v>0.26600000000000001</v>
      </c>
      <c r="IX98" s="5">
        <f t="shared" si="661"/>
        <v>0.22481683625189258</v>
      </c>
      <c r="IY98" s="833">
        <f t="shared" si="662"/>
        <v>64.841042267595626</v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8.8521302156295625E-2</v>
      </c>
      <c r="G154" s="175">
        <f>G9*-1</f>
        <v>-0.33036604714967344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0.96592583607220739</v>
      </c>
      <c r="F155" s="175">
        <f t="shared" si="939"/>
        <v>6.6987279208207198E-2</v>
      </c>
      <c r="G155" s="175">
        <f t="shared" si="939"/>
        <v>-0.24999996726497564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0.96592583607220739</v>
      </c>
      <c r="F156" s="175">
        <f t="shared" si="941"/>
        <v>6.6987279208207198E-2</v>
      </c>
      <c r="G156" s="175">
        <f t="shared" si="941"/>
        <v>-0.24999996726497564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0.96591661679221874</v>
      </c>
      <c r="F157" s="175">
        <f t="shared" si="942"/>
        <v>6.1591547839337193E-2</v>
      </c>
      <c r="G157" s="175">
        <f t="shared" si="942"/>
        <v>-0.25141911351253476</v>
      </c>
      <c r="H157" s="144"/>
      <c r="I157" s="91"/>
      <c r="J157" s="84">
        <f t="shared" si="940"/>
        <v>1.1100000000000001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0.96432224814862488</v>
      </c>
      <c r="F158" s="175">
        <f t="shared" si="945"/>
        <v>-4.7306701554068464E-2</v>
      </c>
      <c r="G158" s="175">
        <f t="shared" si="945"/>
        <v>-0.2604701090598619</v>
      </c>
      <c r="H158" s="144"/>
      <c r="I158" s="91"/>
      <c r="J158" s="84">
        <f t="shared" si="940"/>
        <v>1.1160000000000001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0.95873541730858625</v>
      </c>
      <c r="F159" s="175">
        <f t="shared" si="946"/>
        <v>-0.15522820664902953</v>
      </c>
      <c r="G159" s="175">
        <f t="shared" si="946"/>
        <v>-0.23818187054991663</v>
      </c>
      <c r="H159" s="144"/>
      <c r="I159" s="91"/>
      <c r="J159" s="84">
        <f t="shared" si="940"/>
        <v>1.123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0.94472261501404031</v>
      </c>
      <c r="F160" s="175">
        <f t="shared" si="947"/>
        <v>-0.2526487572793093</v>
      </c>
      <c r="G160" s="175">
        <f t="shared" si="947"/>
        <v>-0.20896838547075483</v>
      </c>
      <c r="H160" s="144"/>
      <c r="I160" s="91"/>
      <c r="J160" s="84">
        <f t="shared" si="940"/>
        <v>1.1299999999999999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0.92871477772794608</v>
      </c>
      <c r="F161" s="175">
        <f t="shared" si="948"/>
        <v>-0.33427043307545568</v>
      </c>
      <c r="G161" s="175">
        <f t="shared" si="948"/>
        <v>-0.16047473072505578</v>
      </c>
      <c r="H161" s="144"/>
      <c r="I161" s="91"/>
      <c r="J161" s="84">
        <f t="shared" si="940"/>
        <v>1.137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0.90087077999373277</v>
      </c>
      <c r="F162" s="175">
        <f t="shared" si="949"/>
        <v>-0.4166014762850101</v>
      </c>
      <c r="G162" s="175">
        <f t="shared" si="949"/>
        <v>-0.12196330477087716</v>
      </c>
      <c r="H162" s="144"/>
      <c r="I162" s="91"/>
      <c r="J162" s="84">
        <f t="shared" si="940"/>
        <v>1.1439999999999999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0.84019752269190651</v>
      </c>
      <c r="F163" s="175">
        <f t="shared" si="950"/>
        <v>-0.53299474516085443</v>
      </c>
      <c r="G163" s="175">
        <f t="shared" si="950"/>
        <v>-9.9923593276558559E-2</v>
      </c>
      <c r="H163" s="144"/>
      <c r="I163" s="91"/>
      <c r="J163" s="84">
        <f t="shared" si="940"/>
        <v>1.151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0.77195759060271496</v>
      </c>
      <c r="F164" s="175">
        <f t="shared" si="951"/>
        <v>-0.63567403463633332</v>
      </c>
      <c r="G164" s="175">
        <f t="shared" si="951"/>
        <v>-1.3008419228225112E-7</v>
      </c>
      <c r="H164" s="144"/>
      <c r="I164" s="91"/>
      <c r="J164" s="84">
        <f t="shared" si="940"/>
        <v>1.1579999999999999</v>
      </c>
    </row>
    <row r="165" spans="5:16" x14ac:dyDescent="0.25">
      <c r="E165" s="175">
        <f t="shared" ref="E165:G165" si="952">E20*-1</f>
        <v>0.83270149155859929</v>
      </c>
      <c r="F165" s="175">
        <f t="shared" si="952"/>
        <v>-0.38410808519294315</v>
      </c>
      <c r="G165" s="175">
        <f t="shared" si="952"/>
        <v>-0.3988348089691956</v>
      </c>
      <c r="H165" s="144"/>
      <c r="I165" s="91"/>
      <c r="J165" s="84">
        <f t="shared" si="940"/>
        <v>1.2230000000000001</v>
      </c>
    </row>
    <row r="166" spans="5:16" x14ac:dyDescent="0.25">
      <c r="E166" s="175">
        <f t="shared" ref="E166:G166" si="953">E21*-1</f>
        <v>0.79944568647024461</v>
      </c>
      <c r="F166" s="175">
        <f t="shared" si="953"/>
        <v>-0.48162415624734056</v>
      </c>
      <c r="G166" s="175">
        <f t="shared" si="953"/>
        <v>-0.35906095095840873</v>
      </c>
      <c r="H166" s="144"/>
      <c r="I166" s="91"/>
      <c r="J166" s="84">
        <f t="shared" si="940"/>
        <v>1.23</v>
      </c>
    </row>
    <row r="167" spans="5:16" x14ac:dyDescent="0.25">
      <c r="E167" s="175">
        <f t="shared" ref="E167:G167" si="954">E22*-1</f>
        <v>0.76687871764549598</v>
      </c>
      <c r="F167" s="175">
        <f t="shared" si="954"/>
        <v>-0.5704763027839137</v>
      </c>
      <c r="G167" s="175">
        <f t="shared" si="954"/>
        <v>-0.29403030521426921</v>
      </c>
      <c r="H167" s="144"/>
      <c r="I167" s="91"/>
      <c r="J167" s="84">
        <f t="shared" si="940"/>
        <v>1.2370000000000001</v>
      </c>
    </row>
    <row r="168" spans="5:16" x14ac:dyDescent="0.25">
      <c r="E168" s="175">
        <f t="shared" ref="E168:G168" si="955">E23*-1</f>
        <v>0.71667613827837484</v>
      </c>
      <c r="F168" s="175">
        <f t="shared" si="955"/>
        <v>-0.65763571189835035</v>
      </c>
      <c r="G168" s="175">
        <f t="shared" si="955"/>
        <v>-0.23214345405017531</v>
      </c>
      <c r="H168" s="144"/>
      <c r="I168" s="91"/>
      <c r="J168" s="84">
        <f t="shared" si="940"/>
        <v>1.244</v>
      </c>
    </row>
    <row r="169" spans="5:16" x14ac:dyDescent="0.25">
      <c r="E169" s="175">
        <f t="shared" ref="E169:G169" si="956">E24*-1</f>
        <v>0.51719336988893672</v>
      </c>
      <c r="F169" s="175">
        <f t="shared" si="956"/>
        <v>-0.81496212494271236</v>
      </c>
      <c r="G169" s="175">
        <f t="shared" si="956"/>
        <v>-0.26143403193116327</v>
      </c>
      <c r="H169" s="144"/>
      <c r="I169" s="91"/>
      <c r="J169" s="84">
        <f t="shared" si="940"/>
        <v>2.1150000000000002</v>
      </c>
    </row>
    <row r="170" spans="5:16" x14ac:dyDescent="0.25">
      <c r="E170" s="175">
        <f t="shared" ref="E170:G170" si="957">E25*-1</f>
        <v>0.41991424706564268</v>
      </c>
      <c r="F170" s="175">
        <f t="shared" si="957"/>
        <v>-0.87447204953322377</v>
      </c>
      <c r="G170" s="175">
        <f t="shared" si="957"/>
        <v>-0.24283875246026468</v>
      </c>
      <c r="H170" s="144"/>
      <c r="I170" s="91"/>
      <c r="J170" s="84">
        <f t="shared" si="940"/>
        <v>2.1219999999999999</v>
      </c>
    </row>
    <row r="171" spans="5:16" x14ac:dyDescent="0.25">
      <c r="E171" s="175">
        <f t="shared" ref="E171:G171" si="958">E26*-1</f>
        <v>0.33719366663998485</v>
      </c>
      <c r="F171" s="175">
        <f t="shared" si="958"/>
        <v>-0.91972446153837017</v>
      </c>
      <c r="G171" s="175">
        <f t="shared" si="958"/>
        <v>-0.2010157855140681</v>
      </c>
      <c r="H171" s="144"/>
      <c r="I171" s="91"/>
      <c r="J171" s="84">
        <f t="shared" si="940"/>
        <v>2.129</v>
      </c>
    </row>
    <row r="172" spans="5:16" x14ac:dyDescent="0.25">
      <c r="E172" s="175">
        <f t="shared" ref="E172:G172" si="959">E27*-1</f>
        <v>0.25068354481090899</v>
      </c>
      <c r="F172" s="175">
        <f t="shared" si="959"/>
        <v>-0.95296670226364166</v>
      </c>
      <c r="G172" s="175">
        <f t="shared" si="959"/>
        <v>-0.17032975294350838</v>
      </c>
      <c r="H172" s="144"/>
      <c r="I172" s="91"/>
      <c r="J172" s="84">
        <f t="shared" si="940"/>
        <v>2.1360000000000001</v>
      </c>
    </row>
    <row r="173" spans="5:16" x14ac:dyDescent="0.25">
      <c r="E173" s="175">
        <f t="shared" ref="E173:G173" si="960">E28*-1</f>
        <v>0.17678516185940127</v>
      </c>
      <c r="F173" s="175">
        <f t="shared" si="960"/>
        <v>-0.97667242993339265</v>
      </c>
      <c r="G173" s="175">
        <f t="shared" si="960"/>
        <v>-0.12189327772419389</v>
      </c>
      <c r="H173" s="144"/>
      <c r="I173" s="91"/>
      <c r="J173" s="84">
        <f t="shared" si="940"/>
        <v>2.1429999999999998</v>
      </c>
    </row>
    <row r="174" spans="5:16" x14ac:dyDescent="0.25">
      <c r="E174" s="175">
        <f t="shared" ref="E174:G174" si="961">E29*-1</f>
        <v>4.6511166270578531E-2</v>
      </c>
      <c r="F174" s="175">
        <f t="shared" si="961"/>
        <v>-0.99333005853140222</v>
      </c>
      <c r="G174" s="175">
        <f t="shared" si="961"/>
        <v>-0.10550879693253838</v>
      </c>
      <c r="H174" s="144"/>
      <c r="I174" s="91"/>
      <c r="J174" s="84">
        <f t="shared" si="940"/>
        <v>2.15</v>
      </c>
    </row>
    <row r="175" spans="5:16" x14ac:dyDescent="0.25">
      <c r="E175" s="175">
        <f t="shared" ref="E175:G175" si="962">E30*-1</f>
        <v>-9.5325214740041714E-2</v>
      </c>
      <c r="F175" s="175">
        <f t="shared" si="962"/>
        <v>-0.99544618309316357</v>
      </c>
      <c r="G175" s="175">
        <f t="shared" si="962"/>
        <v>-1.3008419211977596E-7</v>
      </c>
      <c r="H175" s="144"/>
      <c r="I175" s="91"/>
      <c r="J175" s="84">
        <f t="shared" si="940"/>
        <v>2.157</v>
      </c>
    </row>
    <row r="176" spans="5:16" x14ac:dyDescent="0.25">
      <c r="E176" s="175">
        <f t="shared" ref="E176:G176" si="963">E31*-1</f>
        <v>0.1605647486514547</v>
      </c>
      <c r="F176" s="175">
        <f t="shared" si="963"/>
        <v>-0.90041222803799237</v>
      </c>
      <c r="G176" s="175">
        <f t="shared" si="963"/>
        <v>-0.4043226200574902</v>
      </c>
      <c r="H176" s="144"/>
      <c r="I176" s="91"/>
      <c r="J176" s="84">
        <f t="shared" si="940"/>
        <v>2.222</v>
      </c>
    </row>
    <row r="177" spans="5:10" x14ac:dyDescent="0.25">
      <c r="E177" s="175">
        <f t="shared" ref="E177:G177" si="964">E32*-1</f>
        <v>6.8303267227295739E-2</v>
      </c>
      <c r="F177" s="175">
        <f t="shared" si="964"/>
        <v>-0.93280309302161635</v>
      </c>
      <c r="G177" s="175">
        <f t="shared" si="964"/>
        <v>-0.35385456523179459</v>
      </c>
      <c r="H177" s="144"/>
      <c r="I177" s="91"/>
      <c r="J177" s="84">
        <f t="shared" si="940"/>
        <v>2.2290000000000001</v>
      </c>
    </row>
    <row r="178" spans="5:10" x14ac:dyDescent="0.25">
      <c r="E178" s="175">
        <f t="shared" ref="E178:G178" si="965">E33*-1</f>
        <v>-3.3383136123358567E-2</v>
      </c>
      <c r="F178" s="175">
        <f t="shared" si="965"/>
        <v>-0.95130547942013699</v>
      </c>
      <c r="G178" s="175">
        <f t="shared" si="965"/>
        <v>-0.30643669990357375</v>
      </c>
      <c r="H178" s="144"/>
      <c r="I178" s="91"/>
      <c r="J178" s="84">
        <f t="shared" si="940"/>
        <v>2.2360000000000002</v>
      </c>
    </row>
    <row r="179" spans="5:10" x14ac:dyDescent="0.25">
      <c r="E179" s="175">
        <f t="shared" ref="E179:G179" si="966">E34*-1</f>
        <v>-0.12370582904272714</v>
      </c>
      <c r="F179" s="175">
        <f t="shared" si="966"/>
        <v>-0.96380261238475762</v>
      </c>
      <c r="G179" s="175">
        <f t="shared" si="966"/>
        <v>-0.23618084643164489</v>
      </c>
      <c r="H179" s="144"/>
      <c r="I179" s="91"/>
      <c r="J179" s="84">
        <f t="shared" si="940"/>
        <v>2.2429999999999999</v>
      </c>
    </row>
    <row r="180" spans="5:10" x14ac:dyDescent="0.25">
      <c r="E180" s="175">
        <f t="shared" ref="E180:G180" si="967">E35*-1</f>
        <v>-0.20185354387626064</v>
      </c>
      <c r="F180" s="175">
        <f t="shared" si="967"/>
        <v>-0.94697157464841875</v>
      </c>
      <c r="G180" s="175">
        <f t="shared" si="967"/>
        <v>-0.2499999672649757</v>
      </c>
      <c r="H180" s="144"/>
      <c r="I180" s="91"/>
      <c r="J180" s="84">
        <f t="shared" si="940"/>
        <v>3.1030000000000002</v>
      </c>
    </row>
    <row r="181" spans="5:10" x14ac:dyDescent="0.25">
      <c r="E181" s="175">
        <f t="shared" ref="E181:G181" si="968">E36*-1</f>
        <v>-0.20185354387626056</v>
      </c>
      <c r="F181" s="175">
        <f t="shared" si="968"/>
        <v>-0.94697157464841875</v>
      </c>
      <c r="G181" s="175">
        <f t="shared" si="968"/>
        <v>-0.24999996726497567</v>
      </c>
      <c r="H181" s="144"/>
      <c r="I181" s="91"/>
      <c r="J181" s="84">
        <f t="shared" si="940"/>
        <v>3.1059999999999999</v>
      </c>
    </row>
    <row r="182" spans="5:10" x14ac:dyDescent="0.25">
      <c r="E182" s="175">
        <f t="shared" ref="E182:G182" si="969">E37*-1</f>
        <v>-0.20185354387626053</v>
      </c>
      <c r="F182" s="175">
        <f t="shared" si="969"/>
        <v>-0.94697157464841875</v>
      </c>
      <c r="G182" s="175">
        <f t="shared" si="969"/>
        <v>-0.24999996726497564</v>
      </c>
      <c r="H182" s="144"/>
      <c r="I182" s="91"/>
      <c r="J182" s="84">
        <f t="shared" si="940"/>
        <v>3.109</v>
      </c>
    </row>
    <row r="183" spans="5:10" x14ac:dyDescent="0.25">
      <c r="E183" s="175">
        <f t="shared" ref="E183:G183" si="970">E38*-1</f>
        <v>-0.2614953272271795</v>
      </c>
      <c r="F183" s="175">
        <f t="shared" si="970"/>
        <v>-0.929213139187541</v>
      </c>
      <c r="G183" s="175">
        <f t="shared" si="970"/>
        <v>-0.26111900696729451</v>
      </c>
      <c r="H183" s="144"/>
      <c r="I183" s="91"/>
      <c r="J183" s="84">
        <f t="shared" si="940"/>
        <v>3.1139999999999999</v>
      </c>
    </row>
    <row r="184" spans="5:10" x14ac:dyDescent="0.25">
      <c r="E184" s="175">
        <f t="shared" ref="E184:G184" si="971">E39*-1</f>
        <v>-0.3862390231452692</v>
      </c>
      <c r="F184" s="175">
        <f t="shared" si="971"/>
        <v>-0.88871670972251493</v>
      </c>
      <c r="G184" s="175">
        <f t="shared" si="971"/>
        <v>-0.24698588392816154</v>
      </c>
      <c r="H184" s="144"/>
      <c r="I184" s="91"/>
      <c r="J184" s="84">
        <f t="shared" si="940"/>
        <v>3.121</v>
      </c>
    </row>
    <row r="185" spans="5:10" x14ac:dyDescent="0.25">
      <c r="E185" s="175">
        <f t="shared" ref="E185:G185" si="972">E40*-1</f>
        <v>-0.47630990258221034</v>
      </c>
      <c r="F185" s="175">
        <f t="shared" si="972"/>
        <v>-0.85426598438746271</v>
      </c>
      <c r="G185" s="175">
        <f t="shared" si="972"/>
        <v>-0.20822705064579078</v>
      </c>
      <c r="H185" s="144"/>
      <c r="I185" s="91"/>
      <c r="J185" s="84">
        <f t="shared" si="940"/>
        <v>3.1280000000000001</v>
      </c>
    </row>
    <row r="186" spans="5:10" x14ac:dyDescent="0.25">
      <c r="E186" s="175">
        <f t="shared" ref="E186:G186" si="973">E41*-1</f>
        <v>-0.55989555897859322</v>
      </c>
      <c r="F186" s="175">
        <f t="shared" si="973"/>
        <v>-0.8087703255324642</v>
      </c>
      <c r="G186" s="175">
        <f t="shared" si="973"/>
        <v>-0.18002089760403026</v>
      </c>
      <c r="H186" s="144"/>
      <c r="I186" s="91"/>
      <c r="J186" s="84">
        <f t="shared" si="940"/>
        <v>3.1349999999999998</v>
      </c>
    </row>
    <row r="187" spans="5:10" x14ac:dyDescent="0.25">
      <c r="E187" s="175">
        <f t="shared" ref="E187:G187" si="974">E42*-1</f>
        <v>-0.62861513021084725</v>
      </c>
      <c r="F187" s="175">
        <f t="shared" si="974"/>
        <v>-0.76623117057266277</v>
      </c>
      <c r="G187" s="175">
        <f t="shared" si="974"/>
        <v>-0.13316460232676963</v>
      </c>
      <c r="H187" s="144"/>
      <c r="I187" s="91"/>
      <c r="J187" s="84">
        <f t="shared" si="940"/>
        <v>3.1419999999999999</v>
      </c>
    </row>
    <row r="188" spans="5:10" x14ac:dyDescent="0.25">
      <c r="E188" s="175">
        <f t="shared" ref="E188:G188" si="975">E43*-1</f>
        <v>-0.7178514821289057</v>
      </c>
      <c r="F188" s="175">
        <f t="shared" si="975"/>
        <v>-0.68740434930388417</v>
      </c>
      <c r="G188" s="175">
        <f t="shared" si="975"/>
        <v>-0.11029283822369007</v>
      </c>
      <c r="H188" s="144"/>
      <c r="I188" s="91"/>
      <c r="J188" s="84">
        <f t="shared" si="940"/>
        <v>3.149</v>
      </c>
    </row>
    <row r="189" spans="5:10" x14ac:dyDescent="0.25">
      <c r="E189" s="175">
        <f t="shared" ref="E189:G189" si="976">E44*-1</f>
        <v>-0.78436523992494822</v>
      </c>
      <c r="F189" s="175">
        <f t="shared" si="976"/>
        <v>-0.61843336028629714</v>
      </c>
      <c r="G189" s="175">
        <f t="shared" si="976"/>
        <v>-4.8076494074313997E-2</v>
      </c>
      <c r="H189" s="144"/>
      <c r="I189" s="91"/>
      <c r="J189" s="84">
        <f t="shared" si="940"/>
        <v>3.1560000000000001</v>
      </c>
    </row>
    <row r="190" spans="5:10" x14ac:dyDescent="0.25">
      <c r="E190" s="175">
        <f t="shared" ref="E190:G190" si="977">E45*-1</f>
        <v>-0.82382981248824527</v>
      </c>
      <c r="F190" s="175">
        <f t="shared" si="977"/>
        <v>-0.56683722536153691</v>
      </c>
      <c r="G190" s="175">
        <f t="shared" si="977"/>
        <v>-1.3008419185959158E-7</v>
      </c>
      <c r="H190" s="144"/>
      <c r="I190" s="91"/>
      <c r="J190" s="84">
        <f t="shared" si="940"/>
        <v>3.1629999999999998</v>
      </c>
    </row>
    <row r="191" spans="5:10" x14ac:dyDescent="0.25">
      <c r="E191" s="175">
        <f t="shared" ref="E191:G191" si="978">E46*-1</f>
        <v>-0.65903151226414081</v>
      </c>
      <c r="F191" s="175">
        <f t="shared" si="978"/>
        <v>-0.65888183730994621</v>
      </c>
      <c r="G191" s="175">
        <f t="shared" si="978"/>
        <v>-0.36270124111437668</v>
      </c>
      <c r="H191" s="144"/>
      <c r="I191" s="91"/>
      <c r="J191" s="84">
        <f t="shared" si="940"/>
        <v>3.2280000000000002</v>
      </c>
    </row>
    <row r="192" spans="5:10" x14ac:dyDescent="0.25">
      <c r="E192" s="175">
        <f t="shared" ref="E192:G192" si="979">E47*-1</f>
        <v>-0.7401733913881694</v>
      </c>
      <c r="F192" s="175">
        <f t="shared" si="979"/>
        <v>-0.59215560638602349</v>
      </c>
      <c r="G192" s="175">
        <f t="shared" si="979"/>
        <v>-0.31858293819119798</v>
      </c>
      <c r="H192" s="144"/>
      <c r="I192" s="91"/>
      <c r="J192" s="84">
        <f t="shared" si="940"/>
        <v>3.2349999999999999</v>
      </c>
    </row>
    <row r="193" spans="5:10" x14ac:dyDescent="0.25">
      <c r="E193" s="175">
        <f t="shared" ref="E193:G193" si="980">E48*-1</f>
        <v>-0.81045251954808017</v>
      </c>
      <c r="F193" s="175">
        <f t="shared" si="980"/>
        <v>-0.52951098629836368</v>
      </c>
      <c r="G193" s="175">
        <f t="shared" si="980"/>
        <v>-0.25056901034945006</v>
      </c>
      <c r="H193" s="144"/>
      <c r="I193" s="91"/>
      <c r="J193" s="84">
        <f t="shared" si="940"/>
        <v>3.242</v>
      </c>
    </row>
    <row r="194" spans="5:10" x14ac:dyDescent="0.25">
      <c r="E194" s="175">
        <f t="shared" ref="E194:G194" si="981">E49*-1</f>
        <v>-0.88537564314674533</v>
      </c>
      <c r="F194" s="175">
        <f t="shared" si="981"/>
        <v>-0.42008455627279351</v>
      </c>
      <c r="G194" s="175">
        <f t="shared" si="981"/>
        <v>-0.1990952940266979</v>
      </c>
      <c r="H194" s="144"/>
      <c r="I194" s="91"/>
      <c r="J194" s="84">
        <f t="shared" si="940"/>
        <v>3.2490000000000001</v>
      </c>
    </row>
    <row r="195" spans="5:10" x14ac:dyDescent="0.25">
      <c r="E195" s="175">
        <f t="shared" ref="E195:G195" si="982">E50*-1</f>
        <v>-0.92131761659656253</v>
      </c>
      <c r="F195" s="175">
        <f t="shared" si="982"/>
        <v>-0.29004538427211518</v>
      </c>
      <c r="G195" s="175">
        <f t="shared" si="982"/>
        <v>-0.25893536724686811</v>
      </c>
      <c r="H195" s="144"/>
      <c r="I195" s="91"/>
      <c r="J195" s="84">
        <f t="shared" si="940"/>
        <v>4.1130000000000004</v>
      </c>
    </row>
    <row r="196" spans="5:10" x14ac:dyDescent="0.25">
      <c r="E196" s="175">
        <f t="shared" ref="E196:G196" si="983">E51*-1</f>
        <v>-0.95512382908553572</v>
      </c>
      <c r="F196" s="175">
        <f t="shared" si="983"/>
        <v>-0.15785124374064233</v>
      </c>
      <c r="G196" s="175">
        <f t="shared" si="983"/>
        <v>-0.25064208737264548</v>
      </c>
      <c r="H196" s="144"/>
      <c r="I196" s="91"/>
      <c r="J196" s="84">
        <f t="shared" si="940"/>
        <v>4.12</v>
      </c>
    </row>
    <row r="197" spans="5:10" x14ac:dyDescent="0.25">
      <c r="E197" s="175">
        <f t="shared" ref="E197:G197" si="984">E52*-1</f>
        <v>-0.97467978504498187</v>
      </c>
      <c r="F197" s="175">
        <f t="shared" si="984"/>
        <v>-6.1344586566431214E-2</v>
      </c>
      <c r="G197" s="175">
        <f t="shared" si="984"/>
        <v>-0.21502594802409702</v>
      </c>
      <c r="H197" s="144"/>
      <c r="I197" s="91"/>
      <c r="J197" s="84">
        <f t="shared" si="940"/>
        <v>4.1269999999999998</v>
      </c>
    </row>
    <row r="198" spans="5:10" x14ac:dyDescent="0.25">
      <c r="E198" s="175">
        <f t="shared" ref="E198:G198" si="985">E53*-1</f>
        <v>-0.98421547323311898</v>
      </c>
      <c r="F198" s="175">
        <f t="shared" si="985"/>
        <v>2.7105147797389963E-2</v>
      </c>
      <c r="G198" s="175">
        <f t="shared" si="985"/>
        <v>-0.174886286516094</v>
      </c>
      <c r="H198" s="144"/>
      <c r="I198" s="91"/>
      <c r="J198" s="84">
        <f t="shared" si="940"/>
        <v>4.1340000000000003</v>
      </c>
    </row>
    <row r="199" spans="5:10" x14ac:dyDescent="0.25">
      <c r="E199" s="175">
        <f t="shared" ref="E199:G199" si="986">E54*-1</f>
        <v>-0.98531716659400681</v>
      </c>
      <c r="F199" s="175">
        <f t="shared" si="986"/>
        <v>0.10844756421634974</v>
      </c>
      <c r="G199" s="175">
        <f t="shared" si="986"/>
        <v>-0.13186814259213347</v>
      </c>
      <c r="H199" s="144"/>
      <c r="I199" s="91"/>
      <c r="J199" s="84">
        <f t="shared" si="940"/>
        <v>4.141</v>
      </c>
    </row>
    <row r="200" spans="5:10" x14ac:dyDescent="0.25">
      <c r="E200" s="175">
        <f t="shared" ref="E200:G200" si="987">E55*-1</f>
        <v>-0.96736938827189234</v>
      </c>
      <c r="F200" s="175">
        <f t="shared" si="987"/>
        <v>0.22617563447711195</v>
      </c>
      <c r="G200" s="175">
        <f t="shared" si="987"/>
        <v>-0.11419741241963806</v>
      </c>
      <c r="H200" s="144"/>
      <c r="I200" s="91"/>
      <c r="J200" s="84">
        <f t="shared" si="940"/>
        <v>4.1479999999999997</v>
      </c>
    </row>
    <row r="201" spans="5:10" x14ac:dyDescent="0.25">
      <c r="E201" s="175">
        <f t="shared" ref="E201:G201" si="988">E56*-1</f>
        <v>-0.93981487971788868</v>
      </c>
      <c r="F201" s="175">
        <f t="shared" si="988"/>
        <v>0.33576479316859109</v>
      </c>
      <c r="G201" s="175">
        <f t="shared" si="988"/>
        <v>-6.3324525496080711E-2</v>
      </c>
      <c r="H201" s="144"/>
      <c r="I201" s="91"/>
      <c r="J201" s="84">
        <f t="shared" si="940"/>
        <v>4.1550000000000002</v>
      </c>
    </row>
    <row r="202" spans="5:10" x14ac:dyDescent="0.25">
      <c r="E202" s="175">
        <f t="shared" ref="E202:G202" si="989">E57*-1</f>
        <v>-0.91726857609531953</v>
      </c>
      <c r="F202" s="175">
        <f t="shared" si="989"/>
        <v>0.39826920456903053</v>
      </c>
      <c r="G202" s="175">
        <f t="shared" si="989"/>
        <v>-1.3008419222672713E-7</v>
      </c>
      <c r="H202" s="144"/>
      <c r="I202" s="91"/>
      <c r="J202" s="84">
        <f t="shared" si="940"/>
        <v>4.1619999999999999</v>
      </c>
    </row>
    <row r="203" spans="5:10" x14ac:dyDescent="0.25">
      <c r="E203" s="175">
        <f t="shared" ref="E203:G203" si="990">E58*-1</f>
        <v>-0.90770645511200032</v>
      </c>
      <c r="F203" s="175">
        <f t="shared" si="990"/>
        <v>0.19603661729578775</v>
      </c>
      <c r="G203" s="175">
        <f t="shared" si="990"/>
        <v>-0.37099681403919255</v>
      </c>
      <c r="H203" s="144"/>
      <c r="I203" s="91"/>
      <c r="J203" s="84">
        <f t="shared" si="940"/>
        <v>4.2270000000000003</v>
      </c>
    </row>
    <row r="204" spans="5:10" x14ac:dyDescent="0.25">
      <c r="E204" s="175">
        <f t="shared" ref="E204:G204" si="991">E59*-1</f>
        <v>-0.90178562873394896</v>
      </c>
      <c r="F204" s="175">
        <f t="shared" si="991"/>
        <v>0.29401495014601403</v>
      </c>
      <c r="G204" s="175">
        <f t="shared" si="991"/>
        <v>-0.3167615647447673</v>
      </c>
      <c r="H204" s="144"/>
      <c r="I204" s="91"/>
      <c r="J204" s="84">
        <f t="shared" si="940"/>
        <v>4.234</v>
      </c>
    </row>
    <row r="205" spans="5:10" x14ac:dyDescent="0.25">
      <c r="E205" s="175">
        <f t="shared" ref="E205:G205" si="992">E60*-1</f>
        <v>-0.88649056568164075</v>
      </c>
      <c r="F205" s="175">
        <f t="shared" si="992"/>
        <v>0.38730980108233121</v>
      </c>
      <c r="G205" s="175">
        <f t="shared" si="992"/>
        <v>-0.25323031995203438</v>
      </c>
      <c r="H205" s="144"/>
      <c r="I205" s="91"/>
      <c r="J205" s="84">
        <f t="shared" si="940"/>
        <v>4.2409999999999997</v>
      </c>
    </row>
    <row r="206" spans="5:10" x14ac:dyDescent="0.25">
      <c r="E206" s="175">
        <f t="shared" ref="E206:G206" si="993">E61*-1</f>
        <v>-0.83484326940084852</v>
      </c>
      <c r="F206" s="175">
        <f t="shared" si="993"/>
        <v>0.50994274404813056</v>
      </c>
      <c r="G206" s="175">
        <f t="shared" si="993"/>
        <v>-0.2073526303878615</v>
      </c>
      <c r="H206" s="144"/>
      <c r="I206" s="91"/>
      <c r="J206" s="84">
        <f t="shared" si="940"/>
        <v>4.2480000000000002</v>
      </c>
    </row>
    <row r="207" spans="5:10" x14ac:dyDescent="0.25">
      <c r="E207" s="175">
        <f t="shared" ref="E207:G207" si="994">E62*-1</f>
        <v>-0.79945496202092159</v>
      </c>
      <c r="F207" s="175">
        <f t="shared" si="994"/>
        <v>0.525837489816112</v>
      </c>
      <c r="G207" s="175">
        <f t="shared" si="994"/>
        <v>-0.2904594601730453</v>
      </c>
      <c r="H207" s="144"/>
      <c r="I207" s="91"/>
      <c r="J207" s="84">
        <f t="shared" si="940"/>
        <v>5.1020000000000003</v>
      </c>
    </row>
    <row r="208" spans="5:10" x14ac:dyDescent="0.25">
      <c r="E208" s="175">
        <f t="shared" ref="E208:G208" si="995">E63*-1</f>
        <v>-0.80240123924886209</v>
      </c>
      <c r="F208" s="175">
        <f t="shared" si="995"/>
        <v>0.54189691604529533</v>
      </c>
      <c r="G208" s="175">
        <f t="shared" si="995"/>
        <v>-0.24999996726497564</v>
      </c>
      <c r="H208" s="144"/>
      <c r="I208" s="91"/>
      <c r="J208" s="84">
        <f t="shared" si="940"/>
        <v>5.1050000000000004</v>
      </c>
    </row>
    <row r="209" spans="5:10" x14ac:dyDescent="0.25">
      <c r="E209" s="175">
        <f t="shared" ref="E209:G209" si="996">E64*-1</f>
        <v>-0.80240123924886186</v>
      </c>
      <c r="F209" s="175">
        <f t="shared" si="996"/>
        <v>0.54189691604529533</v>
      </c>
      <c r="G209" s="175">
        <f t="shared" si="996"/>
        <v>-0.24999996726497561</v>
      </c>
      <c r="H209" s="144"/>
      <c r="I209" s="91"/>
      <c r="J209" s="84">
        <f t="shared" si="940"/>
        <v>5.1079999999999997</v>
      </c>
    </row>
    <row r="210" spans="5:10" x14ac:dyDescent="0.25">
      <c r="E210" s="175">
        <f t="shared" ref="E210:G210" si="997">E65*-1</f>
        <v>-0.78579728334939303</v>
      </c>
      <c r="F210" s="175">
        <f t="shared" si="997"/>
        <v>0.56287199977362257</v>
      </c>
      <c r="G210" s="175">
        <f t="shared" si="997"/>
        <v>-0.25631570640824375</v>
      </c>
      <c r="H210" s="144"/>
      <c r="I210" s="91"/>
      <c r="J210" s="84">
        <f t="shared" si="940"/>
        <v>5.1120000000000001</v>
      </c>
    </row>
    <row r="211" spans="5:10" x14ac:dyDescent="0.25">
      <c r="E211" s="175">
        <f t="shared" ref="E211:G211" si="998">E66*-1</f>
        <v>-0.69896102626883416</v>
      </c>
      <c r="F211" s="175">
        <f t="shared" si="998"/>
        <v>0.66861884733965571</v>
      </c>
      <c r="G211" s="175">
        <f t="shared" si="998"/>
        <v>-0.25377612326499155</v>
      </c>
      <c r="H211" s="144"/>
      <c r="I211" s="91"/>
      <c r="J211" s="84">
        <f t="shared" si="940"/>
        <v>5.1189999999999998</v>
      </c>
    </row>
    <row r="212" spans="5:10" x14ac:dyDescent="0.25">
      <c r="E212" s="175">
        <f t="shared" ref="E212:G212" si="999">E67*-1</f>
        <v>-0.63165580785783604</v>
      </c>
      <c r="F212" s="175">
        <f t="shared" si="999"/>
        <v>0.74294215079109915</v>
      </c>
      <c r="G212" s="175">
        <f t="shared" si="999"/>
        <v>-0.22146760706107838</v>
      </c>
      <c r="H212" s="144"/>
      <c r="I212" s="91"/>
      <c r="J212" s="84">
        <f t="shared" si="940"/>
        <v>5.1260000000000003</v>
      </c>
    </row>
    <row r="213" spans="5:10" x14ac:dyDescent="0.25">
      <c r="E213" s="175">
        <f t="shared" ref="E213:G213" si="1000">E68*-1</f>
        <v>-0.56419273490621336</v>
      </c>
      <c r="F213" s="175">
        <f t="shared" si="1000"/>
        <v>0.80492100954977785</v>
      </c>
      <c r="G213" s="175">
        <f t="shared" si="1000"/>
        <v>-0.18381710003265148</v>
      </c>
      <c r="H213" s="144"/>
      <c r="I213" s="91"/>
      <c r="J213" s="84">
        <f t="shared" si="940"/>
        <v>5.133</v>
      </c>
    </row>
    <row r="214" spans="5:10" x14ac:dyDescent="0.25">
      <c r="E214" s="175">
        <f t="shared" ref="E214:G214" si="1001">E69*-1</f>
        <v>-0.49698662222413681</v>
      </c>
      <c r="F214" s="175">
        <f t="shared" si="1001"/>
        <v>0.85595009374345543</v>
      </c>
      <c r="G214" s="175">
        <f t="shared" si="1001"/>
        <v>-0.14266651446927983</v>
      </c>
      <c r="H214" s="144"/>
      <c r="I214" s="91"/>
      <c r="J214" s="84">
        <f t="shared" si="940"/>
        <v>5.14</v>
      </c>
    </row>
    <row r="215" spans="5:10" x14ac:dyDescent="0.25">
      <c r="E215" s="175">
        <f t="shared" ref="E215:G215" si="1002">E70*-1</f>
        <v>-0.40275979150549734</v>
      </c>
      <c r="F215" s="175">
        <f t="shared" si="1002"/>
        <v>0.90774769031467006</v>
      </c>
      <c r="G215" s="175">
        <f t="shared" si="1002"/>
        <v>-0.11738262680154292</v>
      </c>
      <c r="H215" s="144"/>
      <c r="I215" s="91"/>
      <c r="J215" s="84">
        <f t="shared" si="940"/>
        <v>5.1470000000000002</v>
      </c>
    </row>
    <row r="216" spans="5:10" x14ac:dyDescent="0.25">
      <c r="E216" s="175">
        <f t="shared" ref="E216:G216" si="1003">E71*-1</f>
        <v>-0.28242715563397158</v>
      </c>
      <c r="F216" s="175">
        <f t="shared" si="1003"/>
        <v>0.95606710192298638</v>
      </c>
      <c r="G216" s="175">
        <f t="shared" si="1003"/>
        <v>-7.8553156404351537E-2</v>
      </c>
      <c r="H216" s="144"/>
      <c r="I216" s="91"/>
      <c r="J216" s="84">
        <f t="shared" si="940"/>
        <v>5.1539999999999999</v>
      </c>
    </row>
    <row r="217" spans="5:10" x14ac:dyDescent="0.25">
      <c r="E217" s="175">
        <f t="shared" ref="E217:G217" si="1004">E72*-1</f>
        <v>-0.21695051942354801</v>
      </c>
      <c r="F217" s="175">
        <f t="shared" si="1004"/>
        <v>0.97618260183320005</v>
      </c>
      <c r="G217" s="175">
        <f t="shared" si="1004"/>
        <v>-1.3008419243937377E-7</v>
      </c>
      <c r="H217" s="144"/>
      <c r="I217" s="91"/>
      <c r="J217" s="84">
        <f t="shared" si="940"/>
        <v>5.1609999999999996</v>
      </c>
    </row>
    <row r="218" spans="5:10" x14ac:dyDescent="0.25">
      <c r="E218" s="175">
        <f t="shared" ref="E218:G218" si="1005">E73*-1</f>
        <v>-0.38604224910883261</v>
      </c>
      <c r="F218" s="175">
        <f t="shared" si="1005"/>
        <v>0.84111387904090729</v>
      </c>
      <c r="G218" s="175">
        <f t="shared" si="1005"/>
        <v>-0.37881238679292423</v>
      </c>
      <c r="H218" s="144"/>
      <c r="I218" s="91"/>
      <c r="J218" s="84">
        <f t="shared" si="940"/>
        <v>5.226</v>
      </c>
    </row>
    <row r="219" spans="5:10" x14ac:dyDescent="0.25">
      <c r="E219" s="175">
        <f t="shared" ref="E219:G219" si="1006">E74*-1</f>
        <v>-0.30207280152298444</v>
      </c>
      <c r="F219" s="175">
        <f t="shared" si="1006"/>
        <v>0.895109064022788</v>
      </c>
      <c r="G219" s="175">
        <f t="shared" si="1006"/>
        <v>-0.32792039595655575</v>
      </c>
      <c r="H219" s="144"/>
      <c r="I219" s="91"/>
      <c r="J219" s="84">
        <f t="shared" ref="J219:J282" si="1007">J74</f>
        <v>5.2329999999999997</v>
      </c>
    </row>
    <row r="220" spans="5:10" x14ac:dyDescent="0.25">
      <c r="E220" s="175">
        <f t="shared" ref="E220:G220" si="1008">E75*-1</f>
        <v>-0.21554311608985902</v>
      </c>
      <c r="F220" s="175">
        <f t="shared" si="1008"/>
        <v>0.93928460771973654</v>
      </c>
      <c r="G220" s="175">
        <f t="shared" si="1008"/>
        <v>-0.26699361566721819</v>
      </c>
      <c r="H220" s="144"/>
      <c r="I220" s="91"/>
      <c r="J220" s="84">
        <f t="shared" si="1007"/>
        <v>5.24</v>
      </c>
    </row>
    <row r="221" spans="5:10" x14ac:dyDescent="0.25">
      <c r="E221" s="175">
        <f t="shared" ref="E221:G221" si="1009">E76*-1</f>
        <v>-9.8611647649293963E-2</v>
      </c>
      <c r="F221" s="175">
        <f t="shared" si="1009"/>
        <v>0.97165038825716588</v>
      </c>
      <c r="G221" s="175">
        <f t="shared" si="1009"/>
        <v>-0.21487500075064658</v>
      </c>
      <c r="H221" s="144"/>
      <c r="I221" s="91"/>
      <c r="J221" s="84">
        <f t="shared" si="1007"/>
        <v>5.2469999999999999</v>
      </c>
    </row>
    <row r="222" spans="5:10" x14ac:dyDescent="0.25">
      <c r="E222" s="175">
        <f t="shared" ref="E222:G222" si="1010">E77*-1</f>
        <v>-1.9602760580727702E-2</v>
      </c>
      <c r="F222" s="175">
        <f t="shared" si="1010"/>
        <v>0.96638384419998591</v>
      </c>
      <c r="G222" s="175">
        <f t="shared" si="1010"/>
        <v>-0.25635521731939065</v>
      </c>
      <c r="H222" s="144"/>
      <c r="I222" s="91"/>
      <c r="J222" s="84">
        <f t="shared" si="1007"/>
        <v>6.1180000000000003</v>
      </c>
    </row>
    <row r="223" spans="5:10" x14ac:dyDescent="0.25">
      <c r="E223" s="175">
        <f t="shared" ref="E223:G223" si="1011">E78*-1</f>
        <v>8.2108839041485485E-2</v>
      </c>
      <c r="F223" s="175">
        <f t="shared" si="1011"/>
        <v>0.97031291393042929</v>
      </c>
      <c r="G223" s="175">
        <f t="shared" si="1011"/>
        <v>-0.22748843401610272</v>
      </c>
      <c r="H223" s="144"/>
      <c r="I223" s="91"/>
      <c r="J223" s="84">
        <f t="shared" si="1007"/>
        <v>6.125</v>
      </c>
    </row>
    <row r="224" spans="5:10" x14ac:dyDescent="0.25">
      <c r="E224" s="175">
        <f t="shared" ref="E224:G224" si="1012">E79*-1</f>
        <v>0.17601608972999205</v>
      </c>
      <c r="F224" s="175">
        <f t="shared" si="1012"/>
        <v>0.96537780197767653</v>
      </c>
      <c r="G224" s="175">
        <f t="shared" si="1012"/>
        <v>-0.19252022128834514</v>
      </c>
      <c r="H224" s="144"/>
      <c r="I224" s="91"/>
      <c r="J224" s="84">
        <f t="shared" si="1007"/>
        <v>6.1319999999999997</v>
      </c>
    </row>
    <row r="225" spans="5:10" x14ac:dyDescent="0.25">
      <c r="E225" s="175">
        <f t="shared" ref="E225:G225" si="1013">E80*-1</f>
        <v>0.26238256239883617</v>
      </c>
      <c r="F225" s="175">
        <f t="shared" si="1013"/>
        <v>0.95270145191708677</v>
      </c>
      <c r="G225" s="175">
        <f t="shared" si="1013"/>
        <v>-0.1533471045181348</v>
      </c>
      <c r="H225" s="144"/>
      <c r="I225" s="91"/>
      <c r="J225" s="84">
        <f t="shared" si="1007"/>
        <v>6.1390000000000002</v>
      </c>
    </row>
    <row r="226" spans="5:10" x14ac:dyDescent="0.25">
      <c r="E226" s="175">
        <f t="shared" ref="E226:G226" si="1014">E81*-1</f>
        <v>0.35557792970999658</v>
      </c>
      <c r="F226" s="175">
        <f t="shared" si="1014"/>
        <v>0.92694454204066723</v>
      </c>
      <c r="G226" s="175">
        <f t="shared" si="1014"/>
        <v>-0.11974202221513762</v>
      </c>
      <c r="H226" s="144"/>
      <c r="I226" s="91"/>
      <c r="J226" s="84">
        <f t="shared" si="1007"/>
        <v>6.1459999999999999</v>
      </c>
    </row>
    <row r="227" spans="5:10" x14ac:dyDescent="0.25">
      <c r="E227" s="175">
        <f t="shared" ref="E227:G227" si="1015">E82*-1</f>
        <v>0.47540222428059092</v>
      </c>
      <c r="F227" s="175">
        <f t="shared" si="1015"/>
        <v>0.87550632161968933</v>
      </c>
      <c r="G227" s="175">
        <f t="shared" si="1015"/>
        <v>-8.6495120978167764E-2</v>
      </c>
      <c r="H227" s="144"/>
      <c r="I227" s="91"/>
      <c r="J227" s="84">
        <f t="shared" si="1007"/>
        <v>6.1529999999999996</v>
      </c>
    </row>
    <row r="228" spans="5:10" x14ac:dyDescent="0.25">
      <c r="E228" s="175">
        <f t="shared" ref="E228:G228" si="1016">E83*-1</f>
        <v>0.5515004069084215</v>
      </c>
      <c r="F228" s="175">
        <f t="shared" si="1016"/>
        <v>0.83417462271387088</v>
      </c>
      <c r="G228" s="175">
        <f t="shared" si="1016"/>
        <v>-1.3008419227659164E-7</v>
      </c>
      <c r="H228" s="144"/>
      <c r="I228" s="91"/>
      <c r="J228" s="84">
        <f t="shared" si="1007"/>
        <v>6.16</v>
      </c>
    </row>
    <row r="229" spans="5:10" x14ac:dyDescent="0.25">
      <c r="E229" s="175">
        <f t="shared" ref="E229:G229" si="1017">E84*-1</f>
        <v>0.42151373365155659</v>
      </c>
      <c r="F229" s="175">
        <f t="shared" si="1017"/>
        <v>0.84117628358965357</v>
      </c>
      <c r="G229" s="175">
        <f t="shared" si="1017"/>
        <v>-0.3387456749088073</v>
      </c>
      <c r="H229" s="144"/>
      <c r="I229" s="91"/>
      <c r="J229" s="84">
        <f t="shared" si="1007"/>
        <v>6.2320000000000002</v>
      </c>
    </row>
    <row r="230" spans="5:10" x14ac:dyDescent="0.25">
      <c r="E230" s="175">
        <f t="shared" ref="E230:G230" si="1018">E85*-1</f>
        <v>0.51595173833023233</v>
      </c>
      <c r="F230" s="175">
        <f t="shared" si="1018"/>
        <v>0.809382661546036</v>
      </c>
      <c r="G230" s="175">
        <f t="shared" si="1018"/>
        <v>-0.28052363697675542</v>
      </c>
      <c r="H230" s="144"/>
      <c r="I230" s="91"/>
      <c r="J230" s="84">
        <f t="shared" si="1007"/>
        <v>6.2389999999999999</v>
      </c>
    </row>
    <row r="231" spans="5:10" x14ac:dyDescent="0.25">
      <c r="E231" s="175">
        <f t="shared" ref="E231:G231" si="1019">E86*-1</f>
        <v>0.61350771658777759</v>
      </c>
      <c r="F231" s="175">
        <f t="shared" si="1019"/>
        <v>0.75798049251889865</v>
      </c>
      <c r="G231" s="175">
        <f t="shared" si="1019"/>
        <v>-0.22152619404499091</v>
      </c>
      <c r="H231" s="144"/>
      <c r="I231" s="91"/>
      <c r="J231" s="84">
        <f t="shared" si="1007"/>
        <v>6.2460000000000004</v>
      </c>
    </row>
    <row r="232" spans="5:10" x14ac:dyDescent="0.25">
      <c r="E232" s="175">
        <f t="shared" ref="E232:G232" si="1020">E87*-1</f>
        <v>0.57032307611037325</v>
      </c>
      <c r="F232" s="175">
        <f t="shared" si="1020"/>
        <v>0.78009839783424906</v>
      </c>
      <c r="G232" s="175">
        <f t="shared" si="1020"/>
        <v>-0.25725100301541892</v>
      </c>
      <c r="H232" s="144"/>
      <c r="I232" s="91"/>
      <c r="J232" s="84">
        <f t="shared" si="1007"/>
        <v>7.1109999999999998</v>
      </c>
    </row>
    <row r="233" spans="5:10" x14ac:dyDescent="0.25">
      <c r="E233" s="175">
        <f t="shared" ref="E233:G233" si="1021">E88*-1</f>
        <v>0.64562377929396086</v>
      </c>
      <c r="F233" s="175">
        <f t="shared" si="1021"/>
        <v>0.71861140260998679</v>
      </c>
      <c r="G233" s="175">
        <f t="shared" si="1021"/>
        <v>-0.25839424848299297</v>
      </c>
      <c r="H233" s="144"/>
      <c r="I233" s="91"/>
      <c r="J233" s="84">
        <f t="shared" si="1007"/>
        <v>7.117</v>
      </c>
    </row>
    <row r="234" spans="5:10" x14ac:dyDescent="0.25">
      <c r="E234" s="175">
        <f t="shared" ref="E234:G234" si="1022">E89*-1</f>
        <v>0.72298786611124488</v>
      </c>
      <c r="F234" s="175">
        <f t="shared" si="1022"/>
        <v>0.65036528994701548</v>
      </c>
      <c r="G234" s="175">
        <f t="shared" si="1022"/>
        <v>-0.23305264445623275</v>
      </c>
      <c r="H234" s="144"/>
      <c r="I234" s="91"/>
      <c r="J234" s="84">
        <f t="shared" si="1007"/>
        <v>7.1239999999999997</v>
      </c>
    </row>
    <row r="235" spans="5:10" x14ac:dyDescent="0.25">
      <c r="E235" s="175">
        <f t="shared" ref="E235:G235" si="1023">E90*-1</f>
        <v>0.78914934435276363</v>
      </c>
      <c r="F235" s="175">
        <f t="shared" si="1023"/>
        <v>0.58040840510120484</v>
      </c>
      <c r="G235" s="175">
        <f t="shared" si="1023"/>
        <v>-0.20092136669722108</v>
      </c>
      <c r="H235" s="144"/>
      <c r="I235" s="91"/>
      <c r="J235" s="84">
        <f t="shared" si="1007"/>
        <v>7.1310000000000002</v>
      </c>
    </row>
    <row r="236" spans="5:10" x14ac:dyDescent="0.25">
      <c r="E236" s="175">
        <f t="shared" ref="E236:G236" si="1024">E91*-1</f>
        <v>0.84110400408057751</v>
      </c>
      <c r="F236" s="175">
        <f t="shared" si="1024"/>
        <v>0.51954428623589743</v>
      </c>
      <c r="G236" s="175">
        <f t="shared" si="1024"/>
        <v>-0.15039211734413466</v>
      </c>
      <c r="H236" s="144"/>
      <c r="I236" s="91"/>
      <c r="J236" s="84">
        <f t="shared" si="1007"/>
        <v>7.1379999999999999</v>
      </c>
    </row>
    <row r="237" spans="5:10" x14ac:dyDescent="0.25">
      <c r="E237" s="175">
        <f t="shared" ref="E237:G237" si="1025">E92*-1</f>
        <v>0.89141347058551967</v>
      </c>
      <c r="F237" s="175">
        <f t="shared" si="1025"/>
        <v>0.43667683345832242</v>
      </c>
      <c r="G237" s="175">
        <f t="shared" si="1025"/>
        <v>-0.12122445124434106</v>
      </c>
      <c r="H237" s="144"/>
      <c r="I237" s="91"/>
      <c r="J237" s="84">
        <f t="shared" si="1007"/>
        <v>7.1449999999999996</v>
      </c>
    </row>
    <row r="238" spans="5:10" x14ac:dyDescent="0.25">
      <c r="E238" s="175">
        <f t="shared" ref="E238:G238" si="1026">E93*-1</f>
        <v>0.94388137543092399</v>
      </c>
      <c r="F238" s="175">
        <f t="shared" si="1026"/>
        <v>0.31673146063892016</v>
      </c>
      <c r="G238" s="175">
        <f t="shared" si="1026"/>
        <v>-9.3643638097648627E-2</v>
      </c>
      <c r="H238" s="144"/>
      <c r="I238" s="91"/>
      <c r="J238" s="84">
        <f t="shared" si="1007"/>
        <v>7.1520000000000001</v>
      </c>
    </row>
    <row r="239" spans="5:10" x14ac:dyDescent="0.25">
      <c r="E239" s="175">
        <f t="shared" ref="E239:G239" si="1027">E94*-1</f>
        <v>0.97618255262990428</v>
      </c>
      <c r="F239" s="175">
        <f t="shared" si="1027"/>
        <v>0.2169507408167749</v>
      </c>
      <c r="G239" s="175">
        <f t="shared" si="1027"/>
        <v>-1.3008419237362996E-7</v>
      </c>
      <c r="H239" s="144"/>
      <c r="I239" s="91"/>
      <c r="J239" s="84">
        <f t="shared" si="1007"/>
        <v>7.1589999999999998</v>
      </c>
    </row>
    <row r="240" spans="5:10" x14ac:dyDescent="0.25">
      <c r="E240" s="175">
        <f t="shared" ref="E240:G240" si="1028">E95*-1</f>
        <v>0.82397992058509117</v>
      </c>
      <c r="F240" s="175">
        <f t="shared" si="1028"/>
        <v>0.40842981665181255</v>
      </c>
      <c r="G240" s="175">
        <f t="shared" si="1028"/>
        <v>-0.39273677615211144</v>
      </c>
      <c r="H240" s="144"/>
      <c r="I240" s="91"/>
      <c r="J240" s="84">
        <f t="shared" si="1007"/>
        <v>7.2240000000000002</v>
      </c>
    </row>
    <row r="241" spans="5:10" x14ac:dyDescent="0.25">
      <c r="E241" s="175">
        <f t="shared" ref="E241:G241" si="1029">E96*-1</f>
        <v>0.87972727610088275</v>
      </c>
      <c r="F241" s="175">
        <f t="shared" si="1029"/>
        <v>0.32276321050734996</v>
      </c>
      <c r="G241" s="175">
        <f t="shared" si="1029"/>
        <v>-0.34914728930225064</v>
      </c>
      <c r="H241" s="144"/>
      <c r="I241" s="91"/>
      <c r="J241" s="84">
        <f t="shared" si="1007"/>
        <v>7.2309999999999999</v>
      </c>
    </row>
    <row r="242" spans="5:10" x14ac:dyDescent="0.25">
      <c r="E242" s="175">
        <f t="shared" ref="E242:G242" si="1030">E97*-1</f>
        <v>0.92801050342427116</v>
      </c>
      <c r="F242" s="175">
        <f t="shared" si="1030"/>
        <v>0.24429926259717269</v>
      </c>
      <c r="G242" s="175">
        <f t="shared" si="1030"/>
        <v>-0.28127277832863351</v>
      </c>
      <c r="H242" s="144"/>
      <c r="I242" s="91"/>
      <c r="J242" s="84">
        <f t="shared" si="1007"/>
        <v>7.2380000000000004</v>
      </c>
    </row>
    <row r="243" spans="5:10" x14ac:dyDescent="0.25">
      <c r="E243" s="175">
        <f t="shared" ref="E243:G243" si="1031">E98*-1</f>
        <v>0.96380278260342511</v>
      </c>
      <c r="F243" s="175">
        <f t="shared" si="1031"/>
        <v>0.13947004128990087</v>
      </c>
      <c r="G243" s="175">
        <f t="shared" si="1031"/>
        <v>-0.22722742754449407</v>
      </c>
      <c r="H243" s="144"/>
      <c r="I243" s="91"/>
      <c r="J243" s="84">
        <f t="shared" si="1007"/>
        <v>7.2450000000000001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P6:ER6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36"/>
      <c r="M3" s="1240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119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7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Q4</f>
        <v>Polar XY; Cartesian Z</v>
      </c>
      <c r="X4" s="1123"/>
      <c r="Y4" s="1193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36"/>
      <c r="M5" s="1240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&amp; Z; Z Axis")</f>
        <v>Relative to 's θ &amp; Z; Z Axis</v>
      </c>
      <c r="U5" s="1130"/>
      <c r="V5" s="1175"/>
      <c r="W5" s="1130" t="str">
        <f>CONCATENATE("Relative to ",M8,"'s θ &amp; Z; Z Axis")</f>
        <v>Relative to 's θ &amp; Z;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57">
        <f>((AS4*12)/60)/AS3</f>
        <v>0.25</v>
      </c>
      <c r="AT5" s="486" t="s">
        <v>47</v>
      </c>
      <c r="AV5" s="1243"/>
      <c r="AW5" s="1219" t="str">
        <f>W4</f>
        <v>Polar XY; Cartesian Z</v>
      </c>
      <c r="AX5" s="1123"/>
      <c r="AY5" s="1123"/>
      <c r="AZ5" s="963" t="s">
        <v>104</v>
      </c>
      <c r="BA5" s="1123" t="str">
        <f>AK4</f>
        <v>Polar Z Projection → XZ Plane</v>
      </c>
      <c r="BB5" s="1123"/>
      <c r="BC5" s="1124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36"/>
      <c r="M6" s="1240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Q6</f>
        <v>Projected XY</v>
      </c>
      <c r="X6" s="1126"/>
      <c r="Y6" s="1169" t="str">
        <f>S6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219" t="str">
        <f>AD6</f>
        <v>Unit Vector</v>
      </c>
      <c r="AL6" s="1123"/>
      <c r="AM6" s="1124"/>
      <c r="AN6" s="37" t="s">
        <v>15</v>
      </c>
      <c r="AO6" s="38" t="s">
        <v>16</v>
      </c>
      <c r="AP6" s="189" t="s">
        <v>17</v>
      </c>
      <c r="AQ6" s="1161" t="s">
        <v>108</v>
      </c>
      <c r="AS6" s="177">
        <f>AS5/360</f>
        <v>6.9444444444444447E-4</v>
      </c>
      <c r="AT6" s="487" t="s">
        <v>48</v>
      </c>
      <c r="AV6" s="1243"/>
      <c r="AW6" s="1147" t="str">
        <f>W5</f>
        <v>Relative to 's θ &amp; Z; Z Axis</v>
      </c>
      <c r="AX6" s="1130"/>
      <c r="AY6" s="1130"/>
      <c r="AZ6" s="1256"/>
      <c r="BA6" s="1130" t="str">
        <f>AK5</f>
        <v>Vector Along X Axis</v>
      </c>
      <c r="BB6" s="1130"/>
      <c r="BC6" s="1131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878" t="s">
        <v>314</v>
      </c>
      <c r="I7" s="865"/>
      <c r="J7" s="866"/>
      <c r="K7" s="564"/>
      <c r="L7" s="36"/>
      <c r="M7" s="1241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Q7</f>
        <v>&lt; θ°</v>
      </c>
      <c r="X7" s="30" t="str">
        <f>R7</f>
        <v>r</v>
      </c>
      <c r="Y7" s="117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2"/>
      <c r="AS7" s="1167" t="s">
        <v>54</v>
      </c>
      <c r="AT7" s="1165" t="s">
        <v>53</v>
      </c>
      <c r="AV7" s="1243"/>
      <c r="AW7" s="1255" t="str">
        <f>$W$6</f>
        <v>Projected XY</v>
      </c>
      <c r="AX7" s="1126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8"/>
      <c r="AT8" s="1166"/>
      <c r="AV8" s="1244"/>
      <c r="AW8" s="49" t="str">
        <f>$W$7</f>
        <v>&lt; θ°</v>
      </c>
      <c r="AX8" s="30" t="str">
        <f>$X$7</f>
        <v>r</v>
      </c>
      <c r="AY8" s="1258"/>
      <c r="AZ8" s="96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3"/>
      <c r="C158" s="1153"/>
      <c r="D158" s="1153"/>
      <c r="E158" s="1153"/>
      <c r="F158" s="1153"/>
      <c r="G158" s="1153"/>
      <c r="H158" s="1153"/>
      <c r="I158" s="1153"/>
      <c r="J158" s="1153"/>
      <c r="K158" s="1204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5"/>
      <c r="C159" s="1206"/>
      <c r="D159" s="1206"/>
      <c r="E159" s="1206"/>
      <c r="F159" s="1206"/>
      <c r="G159" s="1206"/>
      <c r="H159" s="1206"/>
      <c r="I159" s="1206"/>
      <c r="J159" s="1206"/>
      <c r="K159" s="1207"/>
      <c r="AQ159" s="171"/>
    </row>
    <row r="160" spans="2:60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71"/>
    </row>
    <row r="161" spans="2:43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71"/>
    </row>
    <row r="162" spans="2:43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878" t="s">
        <v>314</v>
      </c>
      <c r="I162" s="865"/>
      <c r="J162" s="866"/>
      <c r="K162" s="564"/>
      <c r="M162" s="1048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1.123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1.1299999999999999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1.137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1.1439999999999999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1.151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1.1579999999999999</v>
      </c>
      <c r="N174" s="594" t="str">
        <f>Assy.Model!K19</f>
        <v>1313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1.2230000000000001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1.23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1.2370000000000001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1.244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2.1150000000000002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2.1219999999999999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2.129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2.1360000000000001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2.1429999999999998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2.15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2.157</v>
      </c>
      <c r="N185" s="594" t="str">
        <f>Assy.Model!K30</f>
        <v>1313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2.222</v>
      </c>
      <c r="N186" s="594" t="str">
        <f>Assy.Model!K31</f>
        <v>1313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2.2290000000000001</v>
      </c>
      <c r="N187" s="594" t="str">
        <f>Assy.Model!K32</f>
        <v>1313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2.2360000000000002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2.2429999999999999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3.1030000000000002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3.1059999999999999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3.109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3.1139999999999999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3.121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3.1280000000000001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3.1349999999999998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3.1419999999999999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3.149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3.1560000000000001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3.1629999999999998</v>
      </c>
      <c r="N200" s="594" t="str">
        <f>Assy.Model!K45</f>
        <v>1313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3.2280000000000002</v>
      </c>
      <c r="N201" s="594" t="str">
        <f>Assy.Model!K46</f>
        <v>1313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3.2349999999999999</v>
      </c>
      <c r="N202" s="594" t="str">
        <f>Assy.Model!K47</f>
        <v>1313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3.242</v>
      </c>
      <c r="N203" s="594" t="str">
        <f>Assy.Model!K48</f>
        <v>1313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3.2490000000000001</v>
      </c>
      <c r="N204" s="594" t="str">
        <f>Assy.Model!K49</f>
        <v>1313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4.1130000000000004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4.12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4.1269999999999998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4.1340000000000003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4.141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4.1479999999999997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4.1550000000000002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4.1619999999999999</v>
      </c>
      <c r="N212" s="594" t="str">
        <f>Assy.Model!K57</f>
        <v>1313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4.2270000000000003</v>
      </c>
      <c r="N213" s="594" t="str">
        <f>Assy.Model!K58</f>
        <v>1313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4.234</v>
      </c>
      <c r="N214" s="594" t="str">
        <f>Assy.Model!K59</f>
        <v>1313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4.2409999999999997</v>
      </c>
      <c r="N215" s="594" t="str">
        <f>Assy.Model!K60</f>
        <v>1313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4.2480000000000002</v>
      </c>
      <c r="N216" s="594" t="str">
        <f>Assy.Model!K61</f>
        <v>1313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5.1020000000000003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5.1050000000000004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5.1079999999999997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5.1120000000000001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5.1189999999999998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5.1260000000000003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5.133</v>
      </c>
      <c r="N223" s="594" t="str">
        <f>Assy.Model!K68</f>
        <v>1613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5.14</v>
      </c>
      <c r="N224" s="594" t="str">
        <f>Assy.Model!K69</f>
        <v>1613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5.1470000000000002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5.1539999999999999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5.1609999999999996</v>
      </c>
      <c r="N227" s="594" t="str">
        <f>Assy.Model!K72</f>
        <v>1313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5.226</v>
      </c>
      <c r="N228" s="594" t="str">
        <f>Assy.Model!K73</f>
        <v>1313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5.2329999999999997</v>
      </c>
      <c r="N229" s="594" t="str">
        <f>Assy.Model!K74</f>
        <v>1313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5.24</v>
      </c>
      <c r="N230" s="594" t="str">
        <f>Assy.Model!K75</f>
        <v>1313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5.2469999999999999</v>
      </c>
      <c r="N231" s="594" t="str">
        <f>Assy.Model!K76</f>
        <v>1313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6.1180000000000003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6.125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6.1319999999999997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6.1390000000000002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6.1459999999999999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6.1529999999999996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6.16</v>
      </c>
      <c r="N238" s="594" t="str">
        <f>Assy.Model!K83</f>
        <v>1313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6.2320000000000002</v>
      </c>
      <c r="N239" s="594" t="str">
        <f>Assy.Model!K84</f>
        <v>1313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6.2389999999999999</v>
      </c>
      <c r="N240" s="594" t="str">
        <f>Assy.Model!K85</f>
        <v>1313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6.2460000000000004</v>
      </c>
      <c r="N241" s="594" t="str">
        <f>Assy.Model!K86</f>
        <v>1313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7.1109999999999998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7.117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7.1239999999999997</v>
      </c>
      <c r="N244" s="594" t="str">
        <f>Assy.Model!K89</f>
        <v>1613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7.1310000000000002</v>
      </c>
      <c r="N245" s="594" t="str">
        <f>Assy.Model!K90</f>
        <v>1613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7.1379999999999999</v>
      </c>
      <c r="N246" s="594" t="str">
        <f>Assy.Model!K91</f>
        <v>1613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7.1449999999999996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7.1520000000000001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7.1589999999999998</v>
      </c>
      <c r="N249" s="594" t="str">
        <f>Assy.Model!K94</f>
        <v>1313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7.2240000000000002</v>
      </c>
      <c r="N250" s="594" t="str">
        <f>Assy.Model!K95</f>
        <v>1313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7.2309999999999999</v>
      </c>
      <c r="N251" s="594" t="str">
        <f>Assy.Model!K96</f>
        <v>1313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7.2380000000000004</v>
      </c>
      <c r="N252" s="594" t="str">
        <f>Assy.Model!K97</f>
        <v>1313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7.2450000000000001</v>
      </c>
      <c r="N253" s="594" t="str">
        <f>Assy.Model!K98</f>
        <v>1313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2023-03-21T14:08:25Z</dcterms:modified>
</cp:coreProperties>
</file>