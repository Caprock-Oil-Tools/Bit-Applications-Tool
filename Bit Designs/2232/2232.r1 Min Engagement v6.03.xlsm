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32\"/>
    </mc:Choice>
  </mc:AlternateContent>
  <xr:revisionPtr revIDLastSave="0" documentId="8_{57846043-6CC4-469E-9399-A82B3026C4BB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R109" i="1"/>
  <c r="IP109" i="1"/>
  <c r="IN109" i="1"/>
  <c r="IQ109" i="1"/>
  <c r="IQ111" i="1"/>
  <c r="IK111" i="1"/>
  <c r="IW111" i="1"/>
  <c r="IN111" i="1"/>
  <c r="IP111" i="1"/>
  <c r="IJ111" i="1"/>
  <c r="IR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Q57" i="1"/>
  <c r="IN57" i="1"/>
  <c r="IP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R73" i="1"/>
  <c r="IW73" i="1"/>
  <c r="IK73" i="1"/>
  <c r="IQ73" i="1"/>
  <c r="IP73" i="1"/>
  <c r="IN73" i="1"/>
  <c r="IQ108" i="1"/>
  <c r="IN108" i="1"/>
  <c r="IK108" i="1"/>
  <c r="IJ108" i="1"/>
  <c r="IW108" i="1"/>
  <c r="IR108" i="1"/>
  <c r="IP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Q76" i="1"/>
  <c r="IP76" i="1"/>
  <c r="IN76" i="1"/>
  <c r="IJ76" i="1"/>
  <c r="IW76" i="1"/>
  <c r="IK76" i="1"/>
  <c r="IQ112" i="1"/>
  <c r="IW112" i="1"/>
  <c r="IK112" i="1"/>
  <c r="IR112" i="1"/>
  <c r="IP112" i="1"/>
  <c r="IJ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Q56" i="1"/>
  <c r="IP56" i="1"/>
  <c r="IW56" i="1"/>
  <c r="IJ56" i="1"/>
  <c r="IR56" i="1"/>
  <c r="IN56" i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Q110" i="1"/>
  <c r="IW110" i="1"/>
  <c r="IP110" i="1"/>
  <c r="IK110" i="1"/>
  <c r="IJ110" i="1"/>
  <c r="IR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N75" i="1"/>
  <c r="IW75" i="1"/>
  <c r="IK75" i="1"/>
  <c r="IQ75" i="1"/>
  <c r="IP75" i="1"/>
  <c r="IJ75" i="1"/>
  <c r="IR75" i="1"/>
  <c r="IK107" i="1"/>
  <c r="IW107" i="1"/>
  <c r="IN107" i="1"/>
  <c r="IR107" i="1"/>
  <c r="IJ107" i="1"/>
  <c r="IP107" i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Q72" i="1"/>
  <c r="IJ72" i="1"/>
  <c r="IW72" i="1"/>
  <c r="IK72" i="1"/>
  <c r="IR72" i="1"/>
  <c r="IP72" i="1"/>
  <c r="IN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98" i="1"/>
  <c r="IF130" i="1"/>
  <c r="IF137" i="1"/>
  <c r="IF150" i="1"/>
  <c r="IF58" i="1"/>
  <c r="IF114" i="1"/>
  <c r="IF139" i="1"/>
  <c r="IF82" i="1"/>
  <c r="IF113" i="1"/>
  <c r="IF117" i="1"/>
  <c r="IF132" i="1"/>
  <c r="IF78" i="1"/>
  <c r="IF136" i="1"/>
  <c r="IF11" i="1"/>
  <c r="IF140" i="1"/>
  <c r="IF144" i="1"/>
  <c r="IF100" i="1"/>
  <c r="IF96" i="1"/>
  <c r="IF67" i="1"/>
  <c r="IF13" i="1"/>
  <c r="IF116" i="1"/>
  <c r="IF106" i="1"/>
  <c r="IF127" i="1"/>
  <c r="IF135" i="1"/>
  <c r="IF68" i="1"/>
  <c r="IF105" i="1"/>
  <c r="IF123" i="1"/>
  <c r="IF115" i="1"/>
  <c r="IF131" i="1"/>
  <c r="IF12" i="1"/>
  <c r="IF126" i="1"/>
  <c r="IF149" i="1"/>
  <c r="IF27" i="1"/>
  <c r="IF102" i="1"/>
  <c r="IF147" i="1"/>
  <c r="IF84" i="1"/>
  <c r="IF103" i="1"/>
  <c r="IF145" i="1"/>
  <c r="IF94" i="1"/>
  <c r="IF9" i="1"/>
  <c r="IF79" i="1"/>
  <c r="IF134" i="1"/>
  <c r="IF69" i="1"/>
  <c r="IF125" i="1"/>
  <c r="IF87" i="1"/>
  <c r="IF143" i="1"/>
  <c r="IF95" i="1"/>
  <c r="IF10" i="1"/>
  <c r="IF146" i="1"/>
  <c r="IF28" i="1"/>
  <c r="IF121" i="1"/>
  <c r="IF122" i="1"/>
  <c r="IF118" i="1"/>
  <c r="IF83" i="1"/>
  <c r="IF64" i="1"/>
  <c r="IF80" i="1"/>
  <c r="IF86" i="1"/>
  <c r="IF141" i="1"/>
  <c r="IF138" i="1"/>
  <c r="IF119" i="1"/>
  <c r="IF45" i="1"/>
  <c r="IF85" i="1"/>
  <c r="IF97" i="1"/>
  <c r="IF77" i="1"/>
  <c r="IF133" i="1"/>
  <c r="IF128" i="1"/>
  <c r="IF129" i="1"/>
  <c r="IF124" i="1"/>
  <c r="IF120" i="1"/>
  <c r="IF14" i="1"/>
  <c r="IF70" i="1"/>
  <c r="IF101" i="1"/>
  <c r="IF66" i="1"/>
  <c r="IF99" i="1"/>
  <c r="IF81" i="1"/>
  <c r="IF104" i="1"/>
  <c r="IF71" i="1"/>
  <c r="IF93" i="1"/>
  <c r="IF65" i="1"/>
  <c r="IF142" i="1"/>
  <c r="IF148" i="1"/>
  <c r="IF50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11" i="1" l="1"/>
  <c r="IU111" i="1"/>
  <c r="IE111" i="1" s="1"/>
  <c r="IQ60" i="1"/>
  <c r="IV57" i="1"/>
  <c r="IP60" i="1"/>
  <c r="IU57" i="1"/>
  <c r="IE57" i="1" s="1"/>
  <c r="IQ59" i="1"/>
  <c r="IV56" i="1"/>
  <c r="IQ43" i="1"/>
  <c r="IV40" i="1"/>
  <c r="IQ24" i="1"/>
  <c r="IV21" i="1"/>
  <c r="AQ91" i="1"/>
  <c r="IU91" i="1"/>
  <c r="IE91" i="1" s="1"/>
  <c r="AQ90" i="1"/>
  <c r="IU90" i="1"/>
  <c r="IE90" i="1" s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12" i="1" l="1"/>
  <c r="IU112" i="1"/>
  <c r="IE112" i="1" s="1"/>
  <c r="AQ110" i="1"/>
  <c r="IU110" i="1"/>
  <c r="IE110" i="1" s="1"/>
  <c r="AQ109" i="1"/>
  <c r="IU109" i="1"/>
  <c r="IE109" i="1" s="1"/>
  <c r="AQ108" i="1"/>
  <c r="IU108" i="1"/>
  <c r="IE108" i="1" s="1"/>
  <c r="AQ107" i="1"/>
  <c r="IU107" i="1"/>
  <c r="IE107" i="1" s="1"/>
  <c r="AQ76" i="1"/>
  <c r="IU76" i="1"/>
  <c r="IE76" i="1" s="1"/>
  <c r="AQ73" i="1"/>
  <c r="IU73" i="1"/>
  <c r="IE73" i="1" s="1"/>
  <c r="AQ72" i="1"/>
  <c r="IU72" i="1"/>
  <c r="IE72" i="1" s="1"/>
  <c r="IP59" i="1"/>
  <c r="IU56" i="1"/>
  <c r="IE56" i="1" s="1"/>
  <c r="AQ44" i="1"/>
  <c r="IU44" i="1"/>
  <c r="IE44" i="1" s="1"/>
  <c r="IP43" i="1"/>
  <c r="IU40" i="1"/>
  <c r="IE40" i="1" s="1"/>
  <c r="IP24" i="1"/>
  <c r="IU21" i="1"/>
  <c r="IE21" i="1" s="1"/>
  <c r="AQ92" i="1"/>
  <c r="IU92" i="1"/>
  <c r="IE92" i="1" s="1"/>
  <c r="AQ89" i="1"/>
  <c r="IU89" i="1"/>
  <c r="IE89" i="1" s="1"/>
  <c r="AQ88" i="1"/>
  <c r="IU88" i="1"/>
  <c r="IE88" i="1" s="1"/>
  <c r="AJ75" i="1"/>
  <c r="AQ75" i="1"/>
  <c r="IU75" i="1"/>
  <c r="IE75" i="1" s="1"/>
  <c r="AQ74" i="1"/>
  <c r="IU74" i="1"/>
  <c r="IE74" i="1" s="1"/>
  <c r="AQ63" i="1"/>
  <c r="IU63" i="1"/>
  <c r="IE63" i="1" s="1"/>
  <c r="AQ62" i="1"/>
  <c r="IU62" i="1"/>
  <c r="IE62" i="1" s="1"/>
  <c r="AQ37" i="1"/>
  <c r="IU37" i="1"/>
  <c r="IE37" i="1" s="1"/>
  <c r="AQ20" i="1"/>
  <c r="IU20" i="1"/>
  <c r="IE20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IL111" i="1" s="1"/>
  <c r="W99" i="1"/>
  <c r="W94" i="1"/>
  <c r="W121" i="1"/>
  <c r="W107" i="1"/>
  <c r="W132" i="1"/>
  <c r="W108" i="1"/>
  <c r="W124" i="1"/>
  <c r="W116" i="1"/>
  <c r="W117" i="1"/>
  <c r="W111" i="1"/>
  <c r="W102" i="1"/>
  <c r="IL109" i="1" s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IL112" i="1" s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IL91" i="1" s="1"/>
  <c r="W86" i="1"/>
  <c r="IL92" i="1" s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IL55" i="1" s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IL20" i="1" s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10" i="1" l="1"/>
  <c r="IL108" i="1"/>
  <c r="IL107" i="1"/>
  <c r="IL73" i="1"/>
  <c r="IL76" i="1"/>
  <c r="IL75" i="1"/>
  <c r="IL74" i="1"/>
  <c r="IL72" i="1"/>
  <c r="IL57" i="1"/>
  <c r="IL56" i="1"/>
  <c r="IL40" i="1"/>
  <c r="IL44" i="1"/>
  <c r="IL21" i="1"/>
  <c r="IL90" i="1"/>
  <c r="IL88" i="1"/>
  <c r="IL89" i="1"/>
  <c r="IL63" i="1"/>
  <c r="IL62" i="1"/>
  <c r="IL37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IS2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IY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Y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8" i="1" s="1"/>
  <c r="AL102" i="1"/>
  <c r="AN102" i="1" s="1"/>
  <c r="IT109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T110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1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U85" i="1"/>
  <c r="AL86" i="1"/>
  <c r="AN86" i="1" s="1"/>
  <c r="IT92" i="1" s="1"/>
  <c r="U86" i="1"/>
  <c r="AK86" i="1"/>
  <c r="T86" i="1"/>
  <c r="T85" i="1"/>
  <c r="AL85" i="1"/>
  <c r="AN85" i="1" s="1"/>
  <c r="IT91" i="1" s="1"/>
  <c r="AK83" i="1"/>
  <c r="AL84" i="1"/>
  <c r="AN84" i="1" s="1"/>
  <c r="T84" i="1"/>
  <c r="U84" i="1"/>
  <c r="AK84" i="1"/>
  <c r="T83" i="1"/>
  <c r="U83" i="1"/>
  <c r="AL82" i="1"/>
  <c r="AN82" i="1" s="1"/>
  <c r="IT88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T76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IT6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Y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T44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T31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IX21" i="1" s="1"/>
  <c r="T21" i="1"/>
  <c r="AL21" i="1"/>
  <c r="AN21" i="1" s="1"/>
  <c r="IY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IT20" i="1" s="1"/>
  <c r="AL11" i="1"/>
  <c r="AN11" i="1" s="1"/>
  <c r="IT2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0" i="1" l="1"/>
  <c r="IT89" i="1"/>
  <c r="IT75" i="1"/>
  <c r="IT74" i="1"/>
  <c r="IT72" i="1"/>
  <c r="IT59" i="1"/>
  <c r="IY56" i="1"/>
  <c r="IY33" i="1"/>
  <c r="IT40" i="1"/>
  <c r="IT43" i="1"/>
  <c r="IY40" i="1"/>
  <c r="IF21" i="1"/>
  <c r="IF89" i="1"/>
  <c r="IS60" i="1"/>
  <c r="IS62" i="1"/>
  <c r="IT61" i="1"/>
  <c r="IT48" i="1"/>
  <c r="IT39" i="1"/>
  <c r="IY37" i="1"/>
  <c r="IT33" i="1"/>
  <c r="IT22" i="1"/>
  <c r="IY20" i="1"/>
  <c r="IF55" i="1"/>
  <c r="IY53" i="1"/>
  <c r="IT55" i="1"/>
  <c r="IT54" i="1"/>
  <c r="IS53" i="1"/>
  <c r="IX49" i="1"/>
  <c r="IT53" i="1"/>
  <c r="IY49" i="1"/>
  <c r="IT52" i="1"/>
  <c r="IY48" i="1"/>
  <c r="IX43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X30" i="1"/>
  <c r="IT34" i="1"/>
  <c r="IY30" i="1"/>
  <c r="IY26" i="1"/>
  <c r="IT30" i="1"/>
  <c r="IT17" i="1"/>
  <c r="IT26" i="1"/>
  <c r="IY23" i="1"/>
  <c r="IT24" i="1"/>
  <c r="IT23" i="1"/>
  <c r="IS24" i="1"/>
  <c r="IS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IS112" i="1" s="1"/>
  <c r="AP105" i="1"/>
  <c r="AP126" i="1"/>
  <c r="AO126" i="1"/>
  <c r="AO120" i="1"/>
  <c r="AP120" i="1"/>
  <c r="AO102" i="1"/>
  <c r="IS109" i="1" s="1"/>
  <c r="AP102" i="1"/>
  <c r="AO101" i="1"/>
  <c r="IS108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IX108" i="1" s="1"/>
  <c r="IF108" i="1" s="1"/>
  <c r="AP108" i="1"/>
  <c r="AO133" i="1"/>
  <c r="AP133" i="1"/>
  <c r="AP93" i="1"/>
  <c r="AO93" i="1"/>
  <c r="AO104" i="1"/>
  <c r="IS111" i="1" s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IS110" i="1" s="1"/>
  <c r="AP103" i="1"/>
  <c r="AP91" i="1"/>
  <c r="AO91" i="1"/>
  <c r="IX91" i="1" s="1"/>
  <c r="IF91" i="1" s="1"/>
  <c r="AP125" i="1"/>
  <c r="AO125" i="1"/>
  <c r="AP115" i="1"/>
  <c r="AO115" i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IX112" i="1" s="1"/>
  <c r="IF112" i="1" s="1"/>
  <c r="AP121" i="1"/>
  <c r="AO121" i="1"/>
  <c r="AP107" i="1"/>
  <c r="AO107" i="1"/>
  <c r="IX107" i="1" s="1"/>
  <c r="IF107" i="1" s="1"/>
  <c r="AP100" i="1"/>
  <c r="AO100" i="1"/>
  <c r="IS107" i="1" s="1"/>
  <c r="AO116" i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AP87" i="1"/>
  <c r="AO88" i="1"/>
  <c r="IX88" i="1" s="1"/>
  <c r="IF88" i="1" s="1"/>
  <c r="AP88" i="1"/>
  <c r="AP86" i="1"/>
  <c r="AO86" i="1"/>
  <c r="IS92" i="1" s="1"/>
  <c r="AP85" i="1"/>
  <c r="AP84" i="1"/>
  <c r="AO84" i="1"/>
  <c r="AP83" i="1"/>
  <c r="AO83" i="1"/>
  <c r="AO81" i="1"/>
  <c r="AP81" i="1"/>
  <c r="AO82" i="1"/>
  <c r="IS88" i="1" s="1"/>
  <c r="AP82" i="1"/>
  <c r="AO79" i="1"/>
  <c r="AP79" i="1"/>
  <c r="AP80" i="1"/>
  <c r="AO80" i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IX72" i="1" s="1"/>
  <c r="IF72" i="1" s="1"/>
  <c r="AP72" i="1"/>
  <c r="AO69" i="1"/>
  <c r="AP69" i="1"/>
  <c r="AP70" i="1"/>
  <c r="AO70" i="1"/>
  <c r="IS76" i="1" s="1"/>
  <c r="AO67" i="1"/>
  <c r="AP67" i="1"/>
  <c r="AO68" i="1"/>
  <c r="AP68" i="1"/>
  <c r="AO65" i="1"/>
  <c r="AP65" i="1"/>
  <c r="AP66" i="1"/>
  <c r="AO66" i="1"/>
  <c r="AO63" i="1"/>
  <c r="IX63" i="1" s="1"/>
  <c r="IF63" i="1" s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Y57" i="1" s="1"/>
  <c r="IF57" i="1" s="1"/>
  <c r="AP57" i="1"/>
  <c r="AO58" i="1"/>
  <c r="IS63" i="1" s="1"/>
  <c r="AP58" i="1"/>
  <c r="AP56" i="1"/>
  <c r="AO56" i="1"/>
  <c r="AP55" i="1"/>
  <c r="AO53" i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6" i="1" s="1"/>
  <c r="AP47" i="1"/>
  <c r="AO48" i="1"/>
  <c r="IS57" i="1" s="1"/>
  <c r="AP48" i="1"/>
  <c r="AP45" i="1"/>
  <c r="AO45" i="1"/>
  <c r="IS49" i="1" s="1"/>
  <c r="AP46" i="1"/>
  <c r="AO46" i="1"/>
  <c r="IX46" i="1" s="1"/>
  <c r="IF46" i="1" s="1"/>
  <c r="AP43" i="1"/>
  <c r="AO44" i="1"/>
  <c r="IX44" i="1" s="1"/>
  <c r="IF44" i="1" s="1"/>
  <c r="AP44" i="1"/>
  <c r="AO42" i="1"/>
  <c r="AP42" i="1"/>
  <c r="AP41" i="1"/>
  <c r="AO40" i="1"/>
  <c r="AP40" i="1"/>
  <c r="AO39" i="1"/>
  <c r="IS47" i="1" s="1"/>
  <c r="AP39" i="1"/>
  <c r="AP37" i="1"/>
  <c r="AO37" i="1"/>
  <c r="IS44" i="1" s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7" i="1" s="1"/>
  <c r="AP31" i="1"/>
  <c r="AO32" i="1"/>
  <c r="AP32" i="1"/>
  <c r="AO29" i="1"/>
  <c r="AP29" i="1"/>
  <c r="AP30" i="1"/>
  <c r="AO27" i="1"/>
  <c r="IS31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AP13" i="1"/>
  <c r="AO14" i="1"/>
  <c r="IS18" i="1" s="1"/>
  <c r="AP14" i="1"/>
  <c r="AP11" i="1"/>
  <c r="AO12" i="1"/>
  <c r="IS20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89" i="1" l="1"/>
  <c r="IS90" i="1"/>
  <c r="IS75" i="1"/>
  <c r="IS73" i="1"/>
  <c r="IS74" i="1"/>
  <c r="IS72" i="1"/>
  <c r="IS59" i="1"/>
  <c r="IX56" i="1"/>
  <c r="IF56" i="1" s="1"/>
  <c r="IX33" i="1"/>
  <c r="IF33" i="1" s="1"/>
  <c r="IS40" i="1"/>
  <c r="IS43" i="1"/>
  <c r="IX40" i="1"/>
  <c r="IF40" i="1" s="1"/>
  <c r="IT60" i="1"/>
  <c r="IT62" i="1"/>
  <c r="IS61" i="1"/>
  <c r="IS48" i="1"/>
  <c r="IS39" i="1"/>
  <c r="IX37" i="1"/>
  <c r="IF37" i="1" s="1"/>
  <c r="IS33" i="1"/>
  <c r="IS34" i="1"/>
  <c r="IS22" i="1"/>
  <c r="IX20" i="1"/>
  <c r="IF20" i="1" s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<sst xmlns="http://schemas.openxmlformats.org/spreadsheetml/2006/main" count="704" uniqueCount="379">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</sst>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K32" sqref="IK32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963">
        <f>Settings!C19</f>
        <v>12.25</v>
      </c>
      <c r="E1" s="963"/>
      <c r="F1" s="963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198" t="s">
        <v>315</v>
      </c>
      <c r="C2" s="1199"/>
      <c r="D2" s="1199"/>
      <c r="E2" s="1199"/>
      <c r="F2" s="1199"/>
      <c r="G2" s="1199"/>
      <c r="H2" s="1199"/>
      <c r="I2" s="1199"/>
      <c r="J2" s="1199"/>
      <c r="K2" s="1200"/>
      <c r="M2" s="1206" t="s">
        <v>0</v>
      </c>
      <c r="N2" s="1114" t="s">
        <v>1</v>
      </c>
      <c r="O2" s="1115"/>
      <c r="P2" s="1115"/>
      <c r="Q2" s="1115"/>
      <c r="R2" s="1115"/>
      <c r="S2" s="1115"/>
      <c r="T2" s="1115"/>
      <c r="U2" s="1115"/>
      <c r="V2" s="1115"/>
      <c r="W2" s="1115"/>
      <c r="X2" s="1115"/>
      <c r="Y2" s="1153"/>
      <c r="Z2" s="1114" t="s">
        <v>2</v>
      </c>
      <c r="AA2" s="1115"/>
      <c r="AB2" s="1115"/>
      <c r="AC2" s="1115"/>
      <c r="AD2" s="1115"/>
      <c r="AE2" s="1115"/>
      <c r="AF2" s="1115"/>
      <c r="AG2" s="1115"/>
      <c r="AH2" s="1115"/>
      <c r="AI2" s="1115"/>
      <c r="AJ2" s="1115"/>
      <c r="AK2" s="1115"/>
      <c r="AL2" s="1115"/>
      <c r="AM2" s="1115"/>
      <c r="AN2" s="1115"/>
      <c r="AO2" s="1115"/>
      <c r="AP2" s="1115"/>
      <c r="AQ2" s="1116"/>
      <c r="AS2" s="1159" t="s">
        <v>44</v>
      </c>
      <c r="AT2" s="1160"/>
      <c r="AV2" s="1151" t="s">
        <v>0</v>
      </c>
      <c r="AW2" s="1114" t="s">
        <v>109</v>
      </c>
      <c r="AX2" s="1115"/>
      <c r="AY2" s="1115"/>
      <c r="AZ2" s="1115"/>
      <c r="BA2" s="1115"/>
      <c r="BB2" s="1115"/>
      <c r="BC2" s="1115"/>
      <c r="BD2" s="1115"/>
      <c r="BE2" s="1116"/>
      <c r="BF2" s="1183" t="s">
        <v>115</v>
      </c>
      <c r="BG2" s="1115"/>
      <c r="BH2" s="1115"/>
      <c r="BI2" s="1115"/>
      <c r="BJ2" s="1115"/>
      <c r="BK2" s="1115"/>
      <c r="BL2" s="1115"/>
      <c r="BM2" s="1115"/>
      <c r="BN2" s="1115"/>
      <c r="BO2" s="1115"/>
      <c r="BP2" s="1115"/>
      <c r="BQ2" s="1115"/>
      <c r="BR2" s="1115"/>
      <c r="BS2" s="1115"/>
      <c r="BT2" s="1115"/>
      <c r="BU2" s="1115"/>
      <c r="BV2" s="1115"/>
      <c r="BW2" s="1115"/>
      <c r="BX2" s="1115"/>
      <c r="BY2" s="1115"/>
      <c r="BZ2" s="1115"/>
      <c r="CA2" s="1115"/>
      <c r="CB2" s="1115"/>
      <c r="CC2" s="1115"/>
      <c r="CD2" s="1115"/>
      <c r="CE2" s="1115"/>
      <c r="CF2" s="1115"/>
      <c r="CG2" s="1115"/>
      <c r="CH2" s="1115"/>
      <c r="CI2" s="1115"/>
      <c r="CJ2" s="1115"/>
      <c r="CK2" s="1115"/>
      <c r="CL2" s="1115"/>
      <c r="CM2" s="1115"/>
      <c r="CN2" s="1115"/>
      <c r="CO2" s="1115"/>
      <c r="CP2" s="1115"/>
      <c r="CQ2" s="1115"/>
      <c r="CR2" s="1115"/>
      <c r="CS2" s="1115"/>
      <c r="CT2" s="1115"/>
      <c r="CU2" s="1115"/>
      <c r="CV2" s="1115"/>
      <c r="CW2" s="1115"/>
      <c r="CX2" s="1115"/>
      <c r="CY2" s="1115"/>
      <c r="CZ2" s="1115"/>
      <c r="DA2" s="1115"/>
      <c r="DB2" s="1115"/>
      <c r="DC2" s="1115"/>
      <c r="DD2" s="1115"/>
      <c r="DE2" s="1115"/>
      <c r="DF2" s="1115"/>
      <c r="DG2" s="1115"/>
      <c r="DH2" s="1115"/>
      <c r="DI2" s="1115"/>
      <c r="DJ2" s="1115"/>
      <c r="DK2" s="1115"/>
      <c r="DL2" s="1115"/>
      <c r="DM2" s="1115"/>
      <c r="DN2" s="1115"/>
      <c r="DO2" s="1115"/>
      <c r="DP2" s="1115"/>
      <c r="DQ2" s="1115"/>
      <c r="DR2" s="1115"/>
      <c r="DS2" s="1115"/>
      <c r="DT2" s="1115"/>
      <c r="DU2" s="1115"/>
      <c r="DV2" s="1115"/>
      <c r="DW2" s="1115"/>
      <c r="DX2" s="1115"/>
      <c r="DY2" s="1115"/>
      <c r="DZ2" s="1115"/>
      <c r="EA2" s="1115"/>
      <c r="EB2" s="1115"/>
      <c r="EC2" s="1115"/>
      <c r="ED2" s="1115"/>
      <c r="EE2" s="1115"/>
      <c r="EF2" s="1115"/>
      <c r="EG2" s="1115"/>
      <c r="EH2" s="1115"/>
      <c r="EI2" s="1115"/>
      <c r="EJ2" s="1115"/>
      <c r="EK2" s="1115"/>
      <c r="EL2" s="1115"/>
      <c r="EM2" s="1115"/>
      <c r="EN2" s="1115"/>
      <c r="EO2" s="1115"/>
      <c r="EP2" s="1115"/>
      <c r="EQ2" s="1115"/>
      <c r="ER2" s="1153"/>
      <c r="ES2" s="1055" t="s">
        <v>197</v>
      </c>
      <c r="ET2" s="1056"/>
      <c r="EU2" s="1056"/>
      <c r="EV2" s="1056"/>
      <c r="EW2" s="1056"/>
      <c r="EX2" s="1056"/>
      <c r="EY2" s="1056"/>
      <c r="EZ2" s="1056"/>
      <c r="FA2" s="1056"/>
      <c r="FB2" s="1056"/>
      <c r="FC2" s="1056"/>
      <c r="FD2" s="1056"/>
      <c r="FE2" s="1056"/>
      <c r="FF2" s="1057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1" t="s">
        <v>266</v>
      </c>
      <c r="HQ2" s="998" t="str">
        <f>IFERROR(CONCATENATE("Sum of Lateral Forces = ",ROUND(HE3,0)," lbs @ ",ROUND(HF3,1),"° Relative to Blade 1"),"")</f>
        <v/>
      </c>
      <c r="HR2" s="999"/>
      <c r="HS2" s="999"/>
      <c r="HT2" s="999"/>
      <c r="HU2" s="999"/>
      <c r="HV2" s="100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1"/>
      <c r="C3" s="1149"/>
      <c r="D3" s="1149"/>
      <c r="E3" s="1149"/>
      <c r="F3" s="1149"/>
      <c r="G3" s="1149"/>
      <c r="H3" s="1149"/>
      <c r="I3" s="1149"/>
      <c r="J3" s="1149"/>
      <c r="K3" s="1202"/>
      <c r="M3" s="1201"/>
      <c r="N3" s="1154"/>
      <c r="O3" s="1155"/>
      <c r="P3" s="1155"/>
      <c r="Q3" s="1155"/>
      <c r="R3" s="1155"/>
      <c r="S3" s="1155"/>
      <c r="T3" s="1155"/>
      <c r="U3" s="1155"/>
      <c r="V3" s="1155"/>
      <c r="W3" s="1155"/>
      <c r="X3" s="1155"/>
      <c r="Y3" s="1156"/>
      <c r="Z3" s="1154"/>
      <c r="AA3" s="1155"/>
      <c r="AB3" s="1155"/>
      <c r="AC3" s="1155"/>
      <c r="AD3" s="1155"/>
      <c r="AE3" s="1155"/>
      <c r="AF3" s="1155"/>
      <c r="AG3" s="1155"/>
      <c r="AH3" s="1155"/>
      <c r="AI3" s="1155"/>
      <c r="AJ3" s="1155"/>
      <c r="AK3" s="1155"/>
      <c r="AL3" s="1155"/>
      <c r="AM3" s="1155"/>
      <c r="AN3" s="1155"/>
      <c r="AO3" s="1155"/>
      <c r="AP3" s="1155"/>
      <c r="AQ3" s="1178"/>
      <c r="AS3" s="488">
        <v>100</v>
      </c>
      <c r="AT3" s="485" t="s">
        <v>45</v>
      </c>
      <c r="AV3" s="1152"/>
      <c r="AW3" s="1058"/>
      <c r="AX3" s="1059"/>
      <c r="AY3" s="1059"/>
      <c r="AZ3" s="1059"/>
      <c r="BA3" s="1059"/>
      <c r="BB3" s="1059"/>
      <c r="BC3" s="1059"/>
      <c r="BD3" s="1059"/>
      <c r="BE3" s="1117"/>
      <c r="BF3" s="1184"/>
      <c r="BG3" s="1059"/>
      <c r="BH3" s="1059"/>
      <c r="BI3" s="1059"/>
      <c r="BJ3" s="1059"/>
      <c r="BK3" s="1059"/>
      <c r="BL3" s="1059"/>
      <c r="BM3" s="1059"/>
      <c r="BN3" s="1059"/>
      <c r="BO3" s="1059"/>
      <c r="BP3" s="1059"/>
      <c r="BQ3" s="1059"/>
      <c r="BR3" s="1059"/>
      <c r="BS3" s="1059"/>
      <c r="BT3" s="1059"/>
      <c r="BU3" s="1059"/>
      <c r="BV3" s="1059"/>
      <c r="BW3" s="1059"/>
      <c r="BX3" s="1059"/>
      <c r="BY3" s="1059"/>
      <c r="BZ3" s="1059"/>
      <c r="CA3" s="1059"/>
      <c r="CB3" s="1059"/>
      <c r="CC3" s="1059"/>
      <c r="CD3" s="1059"/>
      <c r="CE3" s="1059"/>
      <c r="CF3" s="1059"/>
      <c r="CG3" s="1059"/>
      <c r="CH3" s="1059"/>
      <c r="CI3" s="1059"/>
      <c r="CJ3" s="1059"/>
      <c r="CK3" s="1059"/>
      <c r="CL3" s="1059"/>
      <c r="CM3" s="1059"/>
      <c r="CN3" s="1059"/>
      <c r="CO3" s="1059"/>
      <c r="CP3" s="1059"/>
      <c r="CQ3" s="1059"/>
      <c r="CR3" s="1059"/>
      <c r="CS3" s="1059"/>
      <c r="CT3" s="1059"/>
      <c r="CU3" s="1059"/>
      <c r="CV3" s="1059"/>
      <c r="CW3" s="1059"/>
      <c r="CX3" s="1059"/>
      <c r="CY3" s="1059"/>
      <c r="CZ3" s="1059"/>
      <c r="DA3" s="1059"/>
      <c r="DB3" s="1059"/>
      <c r="DC3" s="1059"/>
      <c r="DD3" s="1059"/>
      <c r="DE3" s="1059"/>
      <c r="DF3" s="1059"/>
      <c r="DG3" s="1059"/>
      <c r="DH3" s="1059"/>
      <c r="DI3" s="1059"/>
      <c r="DJ3" s="1059"/>
      <c r="DK3" s="1059"/>
      <c r="DL3" s="1059"/>
      <c r="DM3" s="1059"/>
      <c r="DN3" s="1059"/>
      <c r="DO3" s="1059"/>
      <c r="DP3" s="1059"/>
      <c r="DQ3" s="1059"/>
      <c r="DR3" s="1059"/>
      <c r="DS3" s="1059"/>
      <c r="DT3" s="1059"/>
      <c r="DU3" s="1059"/>
      <c r="DV3" s="1059"/>
      <c r="DW3" s="1059"/>
      <c r="DX3" s="1059"/>
      <c r="DY3" s="1059"/>
      <c r="DZ3" s="1059"/>
      <c r="EA3" s="1059"/>
      <c r="EB3" s="1059"/>
      <c r="EC3" s="1059"/>
      <c r="ED3" s="1059"/>
      <c r="EE3" s="1059"/>
      <c r="EF3" s="1059"/>
      <c r="EG3" s="1059"/>
      <c r="EH3" s="1059"/>
      <c r="EI3" s="1059"/>
      <c r="EJ3" s="1059"/>
      <c r="EK3" s="1059"/>
      <c r="EL3" s="1059"/>
      <c r="EM3" s="1059"/>
      <c r="EN3" s="1059"/>
      <c r="EO3" s="1059"/>
      <c r="EP3" s="1059"/>
      <c r="EQ3" s="1059"/>
      <c r="ER3" s="1060"/>
      <c r="ES3" s="1058"/>
      <c r="ET3" s="1059"/>
      <c r="EU3" s="1059"/>
      <c r="EV3" s="1059"/>
      <c r="EW3" s="1059"/>
      <c r="EX3" s="1059"/>
      <c r="EY3" s="1059"/>
      <c r="EZ3" s="1059"/>
      <c r="FA3" s="1059"/>
      <c r="FB3" s="1059"/>
      <c r="FC3" s="1059"/>
      <c r="FD3" s="1059"/>
      <c r="FE3" s="1059"/>
      <c r="FF3" s="1060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2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3"/>
      <c r="C4" s="1204"/>
      <c r="D4" s="1204"/>
      <c r="E4" s="1204"/>
      <c r="F4" s="1204"/>
      <c r="G4" s="1204"/>
      <c r="H4" s="1204"/>
      <c r="I4" s="1204"/>
      <c r="J4" s="1204"/>
      <c r="K4" s="1205"/>
      <c r="M4" s="1201"/>
      <c r="N4" s="1208" t="s">
        <v>3</v>
      </c>
      <c r="O4" s="1145"/>
      <c r="P4" s="1145"/>
      <c r="Q4" s="1146" t="s">
        <v>4</v>
      </c>
      <c r="R4" s="1145"/>
      <c r="S4" s="1147"/>
      <c r="T4" s="1217" t="str">
        <f>N4</f>
        <v>Cartesian Coordinates</v>
      </c>
      <c r="U4" s="1121"/>
      <c r="V4" s="1218"/>
      <c r="W4" s="1121" t="str">
        <f>$Q$4</f>
        <v>Polar XY; Cartesian Z</v>
      </c>
      <c r="X4" s="1121"/>
      <c r="Y4" s="1191"/>
      <c r="Z4" s="1208" t="s">
        <v>3</v>
      </c>
      <c r="AA4" s="1145"/>
      <c r="AB4" s="1145"/>
      <c r="AC4" s="1145"/>
      <c r="AD4" s="1145"/>
      <c r="AE4" s="1145"/>
      <c r="AF4" s="1145"/>
      <c r="AG4" s="1144" t="s">
        <v>31</v>
      </c>
      <c r="AH4" s="1145"/>
      <c r="AI4" s="1145"/>
      <c r="AJ4" s="1147"/>
      <c r="AK4" s="1179" t="s">
        <v>32</v>
      </c>
      <c r="AL4" s="1180"/>
      <c r="AM4" s="1180"/>
      <c r="AN4" s="1180"/>
      <c r="AO4" s="1180"/>
      <c r="AP4" s="1180"/>
      <c r="AQ4" s="1181"/>
      <c r="AS4" s="489">
        <v>680</v>
      </c>
      <c r="AT4" s="486" t="s">
        <v>46</v>
      </c>
      <c r="AV4" s="1152"/>
      <c r="AW4" s="1076" t="s">
        <v>112</v>
      </c>
      <c r="AX4" s="979"/>
      <c r="AY4" s="910"/>
      <c r="AZ4" s="1112"/>
      <c r="BA4" s="1113"/>
      <c r="BB4" s="1118" t="s">
        <v>113</v>
      </c>
      <c r="BC4" s="1121" t="str">
        <f>$Q$4</f>
        <v>Polar XY; Cartesian Z</v>
      </c>
      <c r="BD4" s="1121"/>
      <c r="BE4" s="1122"/>
      <c r="BF4" s="1138" t="s">
        <v>129</v>
      </c>
      <c r="BG4" s="1139"/>
      <c r="BH4" s="1139"/>
      <c r="BI4" s="1139"/>
      <c r="BJ4" s="1139"/>
      <c r="BK4" s="1139"/>
      <c r="BL4" s="1139"/>
      <c r="BM4" s="1139"/>
      <c r="BN4" s="1139"/>
      <c r="BO4" s="1139"/>
      <c r="BP4" s="1139"/>
      <c r="BQ4" s="1139"/>
      <c r="BR4" s="1139"/>
      <c r="BS4" s="1139"/>
      <c r="BT4" s="1139"/>
      <c r="BU4" s="1139"/>
      <c r="BV4" s="1139"/>
      <c r="BW4" s="1139"/>
      <c r="BX4" s="1139"/>
      <c r="BY4" s="1139"/>
      <c r="BZ4" s="1139"/>
      <c r="CA4" s="1139"/>
      <c r="CB4" s="1139"/>
      <c r="CC4" s="1139"/>
      <c r="CD4" s="1139"/>
      <c r="CE4" s="1139"/>
      <c r="CF4" s="1139"/>
      <c r="CG4" s="1139"/>
      <c r="CH4" s="1139"/>
      <c r="CI4" s="1139"/>
      <c r="CJ4" s="1139"/>
      <c r="CK4" s="1139"/>
      <c r="CL4" s="1139"/>
      <c r="CM4" s="1139"/>
      <c r="CN4" s="1140"/>
      <c r="CO4" s="1185" t="s">
        <v>193</v>
      </c>
      <c r="CP4" s="1186"/>
      <c r="CQ4" s="1186"/>
      <c r="CR4" s="1186"/>
      <c r="CS4" s="1186"/>
      <c r="CT4" s="1186"/>
      <c r="CU4" s="1186"/>
      <c r="CV4" s="1186"/>
      <c r="CW4" s="1186"/>
      <c r="CX4" s="1186"/>
      <c r="CY4" s="1186"/>
      <c r="CZ4" s="1186"/>
      <c r="DA4" s="1187"/>
      <c r="DB4" s="1017" t="s">
        <v>162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070" t="s">
        <v>196</v>
      </c>
      <c r="ET4" s="1071"/>
      <c r="EU4" s="1071"/>
      <c r="EV4" s="1071"/>
      <c r="EW4" s="1071"/>
      <c r="EX4" s="1071"/>
      <c r="EY4" s="1072"/>
      <c r="EZ4" s="1080" t="s">
        <v>201</v>
      </c>
      <c r="FA4" s="1081"/>
      <c r="FB4" s="1081"/>
      <c r="FC4" s="1081"/>
      <c r="FD4" s="1081"/>
      <c r="FE4" s="1081"/>
      <c r="FF4" s="1082"/>
      <c r="FG4" s="350"/>
      <c r="FP4" s="991" t="s">
        <v>229</v>
      </c>
      <c r="FZ4" s="991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9"/>
      <c r="GO4" s="971" t="s">
        <v>229</v>
      </c>
      <c r="GP4" s="975" t="s">
        <v>228</v>
      </c>
      <c r="GR4" s="981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4" t="str">
        <f>IFERROR(CONCATENATE("Lateral Forces = ",ROUND(HE3,0)," lbs @ ",ROUND(HF3,1),"° Relative to Blade 1"),"")</f>
        <v/>
      </c>
      <c r="HB4" s="1005"/>
      <c r="HC4" s="1005"/>
      <c r="HD4" s="1005"/>
      <c r="HE4" s="1005"/>
      <c r="HF4" s="1005"/>
      <c r="HG4" s="1005"/>
      <c r="HH4" s="1006"/>
      <c r="HI4" s="1012" t="s">
        <v>0</v>
      </c>
      <c r="HO4" s="993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2" t="str">
        <f>CONCATENATE(B7," ; ",E7," ; ",H7)</f>
        <v>Absolute-Point ; Incremental-Vector Point ; Pocket Info.</v>
      </c>
      <c r="C5" s="1193"/>
      <c r="D5" s="1193"/>
      <c r="E5" s="1193"/>
      <c r="F5" s="1193"/>
      <c r="G5" s="1193"/>
      <c r="H5" s="1193"/>
      <c r="I5" s="1193"/>
      <c r="J5" s="1193"/>
      <c r="K5" s="1194"/>
      <c r="M5" s="1201"/>
      <c r="N5" s="1228" t="s">
        <v>5</v>
      </c>
      <c r="O5" s="1173"/>
      <c r="P5" s="1173"/>
      <c r="Q5" s="1172" t="s">
        <v>6</v>
      </c>
      <c r="R5" s="1173"/>
      <c r="S5" s="1174"/>
      <c r="T5" s="1143" t="str">
        <f>CONCATENATE("Relative to ",M8,"'s θ about Z Axis")</f>
        <v>Relative to 1.111's θ about Z Axis</v>
      </c>
      <c r="U5" s="1128"/>
      <c r="V5" s="1171"/>
      <c r="W5" s="1128" t="str">
        <f>CONCATENATE("Relative to ",M8,"'s θ about Z Axis")</f>
        <v>Relative to 1.111's θ about Z Axis</v>
      </c>
      <c r="X5" s="1128"/>
      <c r="Y5" s="1219"/>
      <c r="Z5" s="1209" t="str">
        <f>N5</f>
        <v>Relative to World_CS</v>
      </c>
      <c r="AA5" s="1128"/>
      <c r="AB5" s="1128"/>
      <c r="AC5" s="1128"/>
      <c r="AD5" s="1128"/>
      <c r="AE5" s="1128"/>
      <c r="AF5" s="1128"/>
      <c r="AG5" s="1143" t="str">
        <f>N5</f>
        <v>Relative to World_CS</v>
      </c>
      <c r="AH5" s="1128"/>
      <c r="AI5" s="1128"/>
      <c r="AJ5" s="1129"/>
      <c r="AK5" s="1182" t="s">
        <v>7</v>
      </c>
      <c r="AL5" s="1173"/>
      <c r="AM5" s="1173"/>
      <c r="AN5" s="1173"/>
      <c r="AO5" s="1173"/>
      <c r="AP5" s="1173"/>
      <c r="AQ5" s="1174"/>
      <c r="AS5" s="176">
        <f>(((AS4*12)/60)/AS3)</f>
        <v>1.36</v>
      </c>
      <c r="AT5" s="486" t="s">
        <v>47</v>
      </c>
      <c r="AV5" s="1152"/>
      <c r="AW5" s="1132"/>
      <c r="AX5" s="1133"/>
      <c r="AY5" s="1134"/>
      <c r="AZ5" s="988"/>
      <c r="BA5" s="895"/>
      <c r="BB5" s="1119"/>
      <c r="BC5" s="1127" t="str">
        <f>$W$5</f>
        <v>Relative to 1.111's θ about Z Axis</v>
      </c>
      <c r="BD5" s="1128"/>
      <c r="BE5" s="1129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8" t="s">
        <v>275</v>
      </c>
      <c r="CP5" s="1038" t="s">
        <v>149</v>
      </c>
      <c r="CQ5" s="979"/>
      <c r="CR5" s="979"/>
      <c r="CS5" s="920"/>
      <c r="CT5" s="979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4" t="s">
        <v>173</v>
      </c>
      <c r="DJ5" s="1044"/>
      <c r="DK5" s="1104"/>
      <c r="DL5" s="1043" t="s">
        <v>174</v>
      </c>
      <c r="DM5" s="1044"/>
      <c r="DN5" s="1045"/>
      <c r="DO5" s="1106" t="s">
        <v>175</v>
      </c>
      <c r="DP5" s="1107"/>
      <c r="DQ5" s="1107"/>
      <c r="DR5" s="1034" t="s">
        <v>187</v>
      </c>
      <c r="DS5" s="1034"/>
      <c r="DT5" s="1034"/>
      <c r="DU5" s="1034"/>
      <c r="DV5" s="1034"/>
      <c r="DW5" s="1034"/>
      <c r="DX5" s="1038" t="s">
        <v>190</v>
      </c>
      <c r="DY5" s="941" t="s">
        <v>149</v>
      </c>
      <c r="DZ5" s="1034"/>
      <c r="EA5" s="1034"/>
      <c r="EB5" s="1034"/>
      <c r="EC5" s="1034" t="s">
        <v>150</v>
      </c>
      <c r="ED5" s="1034"/>
      <c r="EE5" s="981" t="s">
        <v>194</v>
      </c>
      <c r="EF5" s="981"/>
      <c r="EG5" s="994"/>
      <c r="EH5" s="1049" t="s">
        <v>195</v>
      </c>
      <c r="EI5" s="1050"/>
      <c r="EJ5" s="1051"/>
      <c r="EK5" s="1034" t="s">
        <v>188</v>
      </c>
      <c r="EL5" s="1038"/>
      <c r="EM5" s="919" t="s">
        <v>189</v>
      </c>
      <c r="EN5" s="887"/>
      <c r="EO5" s="887"/>
      <c r="EP5" s="887"/>
      <c r="EQ5" s="887"/>
      <c r="ER5" s="1097"/>
      <c r="ES5" s="1076" t="s">
        <v>202</v>
      </c>
      <c r="ET5" s="979"/>
      <c r="EU5" s="920"/>
      <c r="EV5" s="1073" t="s">
        <v>222</v>
      </c>
      <c r="EW5" s="1074"/>
      <c r="EX5" s="1074"/>
      <c r="EY5" s="1075"/>
      <c r="EZ5" s="1065" t="s">
        <v>200</v>
      </c>
      <c r="FA5" s="914" t="s">
        <v>202</v>
      </c>
      <c r="FB5" s="1090"/>
      <c r="FC5" s="915"/>
      <c r="FD5" s="1094" t="s">
        <v>222</v>
      </c>
      <c r="FE5" s="1095"/>
      <c r="FF5" s="1096"/>
      <c r="FP5" s="993"/>
      <c r="FQ5" s="34"/>
      <c r="FR5" s="34"/>
      <c r="FS5" s="34"/>
      <c r="FT5" s="34"/>
      <c r="FZ5" s="993"/>
      <c r="GJ5" s="967" t="s">
        <v>269</v>
      </c>
      <c r="GK5" s="1022" t="s">
        <v>267</v>
      </c>
      <c r="GL5" s="1024" t="s">
        <v>110</v>
      </c>
      <c r="GM5" s="1024" t="s">
        <v>111</v>
      </c>
      <c r="GN5" s="1025"/>
      <c r="GO5" s="972"/>
      <c r="GP5" s="976"/>
      <c r="GQ5" s="34"/>
      <c r="GR5" s="982"/>
      <c r="GS5" s="988" t="s">
        <v>248</v>
      </c>
      <c r="GT5" s="989"/>
      <c r="GU5" s="984" t="s">
        <v>249</v>
      </c>
      <c r="GV5" s="985"/>
      <c r="GW5" s="986"/>
      <c r="GX5" s="987"/>
      <c r="GY5" s="970" t="s">
        <v>107</v>
      </c>
      <c r="GZ5" s="897"/>
      <c r="HA5" s="1001" t="s">
        <v>248</v>
      </c>
      <c r="HB5" s="1002"/>
      <c r="HC5" s="1002"/>
      <c r="HD5" s="1003"/>
      <c r="HE5" s="1032" t="s">
        <v>249</v>
      </c>
      <c r="HF5" s="1002"/>
      <c r="HG5" s="1002"/>
      <c r="HH5" s="1033"/>
      <c r="HI5" s="1013"/>
      <c r="HN5" s="393" t="s">
        <v>263</v>
      </c>
      <c r="HO5" s="63" t="s">
        <v>264</v>
      </c>
      <c r="HS5" s="1007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M6" s="1201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67" t="str">
        <f>N6</f>
        <v>X</v>
      </c>
      <c r="U6" s="1169" t="str">
        <f>O6</f>
        <v>Y</v>
      </c>
      <c r="V6" s="1215" t="str">
        <f>P6</f>
        <v>Z</v>
      </c>
      <c r="W6" s="1123" t="str">
        <f>$Q$6</f>
        <v>Projected XY</v>
      </c>
      <c r="X6" s="1124"/>
      <c r="Y6" s="1165" t="str">
        <f>$S$6</f>
        <v>Z</v>
      </c>
      <c r="Z6" s="1148" t="s">
        <v>12</v>
      </c>
      <c r="AA6" s="1149"/>
      <c r="AB6" s="1149"/>
      <c r="AC6" s="1150"/>
      <c r="AD6" s="1146" t="s">
        <v>13</v>
      </c>
      <c r="AE6" s="1145"/>
      <c r="AF6" s="1145"/>
      <c r="AG6" s="1144" t="s">
        <v>7</v>
      </c>
      <c r="AH6" s="1145"/>
      <c r="AI6" s="1146" t="s">
        <v>14</v>
      </c>
      <c r="AJ6" s="1147"/>
      <c r="AK6" s="1175" t="str">
        <f>AD6</f>
        <v>Unit Vector</v>
      </c>
      <c r="AL6" s="1176"/>
      <c r="AM6" s="1177"/>
      <c r="AN6" s="190" t="s">
        <v>15</v>
      </c>
      <c r="AO6" s="191" t="s">
        <v>16</v>
      </c>
      <c r="AP6" s="803" t="s">
        <v>17</v>
      </c>
      <c r="AQ6" s="1157" t="s">
        <v>108</v>
      </c>
      <c r="AS6" s="177">
        <f>(AS5/360)</f>
        <v>3.7777777777777779E-3</v>
      </c>
      <c r="AT6" s="487" t="s">
        <v>48</v>
      </c>
      <c r="AV6" s="1152"/>
      <c r="AW6" s="1141" t="s">
        <v>105</v>
      </c>
      <c r="AX6" s="1142"/>
      <c r="AY6" s="202" t="s">
        <v>110</v>
      </c>
      <c r="AZ6" s="1130" t="s">
        <v>111</v>
      </c>
      <c r="BA6" s="1131"/>
      <c r="BB6" s="1120"/>
      <c r="BC6" s="1123" t="str">
        <f>$Q$6</f>
        <v>Projected XY</v>
      </c>
      <c r="BD6" s="1124"/>
      <c r="BE6" s="1125" t="str">
        <f>$S$6</f>
        <v>Z</v>
      </c>
      <c r="BF6" s="872" t="s">
        <v>125</v>
      </c>
      <c r="BG6" s="865"/>
      <c r="BH6" s="966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6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9"/>
      <c r="CH6" s="1099"/>
      <c r="CI6" s="1101" t="s">
        <v>137</v>
      </c>
      <c r="CJ6" s="1099"/>
      <c r="CK6" s="875"/>
      <c r="CL6" s="1098" t="s">
        <v>140</v>
      </c>
      <c r="CM6" s="1099"/>
      <c r="CN6" s="1100"/>
      <c r="CO6" s="1039"/>
      <c r="CP6" s="1039"/>
      <c r="CQ6" s="1078"/>
      <c r="CR6" s="1078"/>
      <c r="CS6" s="1079"/>
      <c r="CT6" s="1078"/>
      <c r="CU6" s="1111"/>
      <c r="CV6" s="1137" t="s">
        <v>147</v>
      </c>
      <c r="CW6" s="865"/>
      <c r="CX6" s="866"/>
      <c r="CY6" s="1135" t="s">
        <v>148</v>
      </c>
      <c r="CZ6" s="997"/>
      <c r="DA6" s="1136"/>
      <c r="DB6" s="1102" t="s">
        <v>176</v>
      </c>
      <c r="DC6" s="1030"/>
      <c r="DD6" s="1031"/>
      <c r="DE6" s="1103" t="s">
        <v>177</v>
      </c>
      <c r="DF6" s="1030"/>
      <c r="DG6" s="1031"/>
      <c r="DH6" s="260" t="s">
        <v>29</v>
      </c>
      <c r="DI6" s="1047"/>
      <c r="DJ6" s="1047"/>
      <c r="DK6" s="1105"/>
      <c r="DL6" s="1046"/>
      <c r="DM6" s="1047"/>
      <c r="DN6" s="1048"/>
      <c r="DO6" s="1108"/>
      <c r="DP6" s="1109"/>
      <c r="DQ6" s="1109"/>
      <c r="DR6" s="1035"/>
      <c r="DS6" s="1035"/>
      <c r="DT6" s="1035"/>
      <c r="DU6" s="1035"/>
      <c r="DV6" s="1035"/>
      <c r="DW6" s="1035"/>
      <c r="DX6" s="1039"/>
      <c r="DY6" s="1110"/>
      <c r="DZ6" s="1035"/>
      <c r="EA6" s="1035"/>
      <c r="EB6" s="1035"/>
      <c r="EC6" s="1035"/>
      <c r="ED6" s="1035"/>
      <c r="EE6" s="1036"/>
      <c r="EF6" s="1036"/>
      <c r="EG6" s="1037"/>
      <c r="EH6" s="1052"/>
      <c r="EI6" s="1053"/>
      <c r="EJ6" s="1054"/>
      <c r="EK6" s="1035"/>
      <c r="EL6" s="1039"/>
      <c r="EM6" s="1040" t="s">
        <v>199</v>
      </c>
      <c r="EN6" s="1041"/>
      <c r="EO6" s="1042"/>
      <c r="EP6" s="1083" t="s">
        <v>198</v>
      </c>
      <c r="EQ6" s="1041"/>
      <c r="ER6" s="1085"/>
      <c r="ES6" s="1077"/>
      <c r="ET6" s="1078"/>
      <c r="EU6" s="1079"/>
      <c r="EV6" s="281" t="s">
        <v>221</v>
      </c>
      <c r="EW6" s="1083" t="s">
        <v>202</v>
      </c>
      <c r="EX6" s="1041"/>
      <c r="EY6" s="1084"/>
      <c r="EZ6" s="1066"/>
      <c r="FA6" s="1091"/>
      <c r="FB6" s="1092"/>
      <c r="FC6" s="1093"/>
      <c r="FD6" s="1040" t="s">
        <v>202</v>
      </c>
      <c r="FE6" s="1041"/>
      <c r="FF6" s="1085"/>
      <c r="FG6" s="1087" t="s">
        <v>224</v>
      </c>
      <c r="FH6" s="1088"/>
      <c r="FI6" s="1089"/>
      <c r="FJ6" s="1034" t="s">
        <v>203</v>
      </c>
      <c r="FK6" s="1038" t="s">
        <v>214</v>
      </c>
      <c r="FL6" s="979"/>
      <c r="FM6" s="920"/>
      <c r="FN6" s="1020" t="s">
        <v>204</v>
      </c>
      <c r="FO6" s="1068" t="s">
        <v>227</v>
      </c>
      <c r="FP6" s="106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8" t="s">
        <v>218</v>
      </c>
      <c r="FV6" s="979"/>
      <c r="FW6" s="920"/>
      <c r="FX6" s="1020" t="s">
        <v>219</v>
      </c>
      <c r="FY6" s="1068" t="s">
        <v>227</v>
      </c>
      <c r="FZ6" s="1061" t="s">
        <v>225</v>
      </c>
      <c r="GA6" s="1063" t="s">
        <v>239</v>
      </c>
      <c r="GB6" s="343" t="s">
        <v>207</v>
      </c>
      <c r="GC6" s="344" t="s">
        <v>240</v>
      </c>
      <c r="GD6" s="345" t="s">
        <v>226</v>
      </c>
      <c r="GE6" s="964"/>
      <c r="GF6" s="994" t="s">
        <v>260</v>
      </c>
      <c r="GG6" s="343" t="s">
        <v>207</v>
      </c>
      <c r="GH6" s="344" t="s">
        <v>240</v>
      </c>
      <c r="GI6" s="345" t="s">
        <v>226</v>
      </c>
      <c r="GJ6" s="968"/>
      <c r="GK6" s="1023"/>
      <c r="GL6" s="1026"/>
      <c r="GM6" s="1026"/>
      <c r="GN6" s="1027"/>
      <c r="GO6" s="973" t="s">
        <v>238</v>
      </c>
      <c r="GP6" s="977" t="s">
        <v>225</v>
      </c>
      <c r="GQ6" s="979" t="s">
        <v>203</v>
      </c>
      <c r="GR6" s="982"/>
      <c r="GS6" s="1010" t="s">
        <v>252</v>
      </c>
      <c r="GT6" s="1011"/>
      <c r="GU6" s="996" t="s">
        <v>251</v>
      </c>
      <c r="GV6" s="997"/>
      <c r="GW6" s="997"/>
      <c r="GX6" s="368" t="s">
        <v>106</v>
      </c>
      <c r="GY6" s="878" t="s">
        <v>250</v>
      </c>
      <c r="GZ6" s="966"/>
      <c r="HA6" s="1029" t="s">
        <v>252</v>
      </c>
      <c r="HB6" s="1030"/>
      <c r="HC6" s="1030"/>
      <c r="HD6" s="1031"/>
      <c r="HE6" s="878" t="s">
        <v>251</v>
      </c>
      <c r="HF6" s="865"/>
      <c r="HG6" s="865"/>
      <c r="HH6" s="868"/>
      <c r="HI6" s="1013"/>
      <c r="HN6" s="958" t="s">
        <v>238</v>
      </c>
      <c r="HO6" s="961" t="s">
        <v>265</v>
      </c>
      <c r="HP6" s="941" t="s">
        <v>203</v>
      </c>
      <c r="HQ6" s="398"/>
      <c r="HS6" s="1008"/>
      <c r="HT6" s="888" t="s">
        <v>270</v>
      </c>
      <c r="HU6" s="885"/>
      <c r="HV6" s="969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0" t="s">
        <v>40</v>
      </c>
      <c r="C7" s="1211"/>
      <c r="D7" s="1212"/>
      <c r="E7" s="1213" t="s">
        <v>41</v>
      </c>
      <c r="F7" s="1211"/>
      <c r="G7" s="1214"/>
      <c r="H7" s="1188" t="s">
        <v>98</v>
      </c>
      <c r="I7" s="1189"/>
      <c r="J7" s="1190"/>
      <c r="K7" s="178"/>
      <c r="L7" s="327"/>
      <c r="M7" s="1207"/>
      <c r="N7" s="1225"/>
      <c r="O7" s="1227"/>
      <c r="P7" s="1223"/>
      <c r="Q7" s="39" t="s">
        <v>18</v>
      </c>
      <c r="R7" s="2" t="s">
        <v>19</v>
      </c>
      <c r="S7" s="1221"/>
      <c r="T7" s="1168"/>
      <c r="U7" s="1170"/>
      <c r="V7" s="1216"/>
      <c r="W7" s="40" t="str">
        <f>$Q$7</f>
        <v>&lt; θ°</v>
      </c>
      <c r="X7" s="30" t="str">
        <f>$R$7</f>
        <v>r</v>
      </c>
      <c r="Y7" s="1166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58"/>
      <c r="AS7" s="1163" t="s">
        <v>54</v>
      </c>
      <c r="AT7" s="1161" t="s">
        <v>53</v>
      </c>
      <c r="AV7" s="1152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0"/>
      <c r="BC7" s="40" t="str">
        <f>$Q$7</f>
        <v>&lt; θ°</v>
      </c>
      <c r="BD7" s="30" t="str">
        <f>$R$7</f>
        <v>r</v>
      </c>
      <c r="BE7" s="1126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6"/>
      <c r="FK7" s="357" t="s">
        <v>211</v>
      </c>
      <c r="FL7" s="358" t="s">
        <v>212</v>
      </c>
      <c r="FM7" s="359" t="s">
        <v>213</v>
      </c>
      <c r="FN7" s="1021"/>
      <c r="FO7" s="1069"/>
      <c r="FP7" s="106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1"/>
      <c r="FY7" s="1069"/>
      <c r="FZ7" s="1062"/>
      <c r="GA7" s="1064"/>
      <c r="GB7" s="230" t="s">
        <v>232</v>
      </c>
      <c r="GC7" s="136" t="s">
        <v>233</v>
      </c>
      <c r="GD7" s="231" t="s">
        <v>234</v>
      </c>
      <c r="GE7" s="965"/>
      <c r="GF7" s="995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4"/>
      <c r="GP7" s="978"/>
      <c r="GQ7" s="980"/>
      <c r="GR7" s="983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4"/>
      <c r="HJ7" s="34"/>
      <c r="HK7" s="991" t="s">
        <v>246</v>
      </c>
      <c r="HL7" s="991" t="s">
        <v>237</v>
      </c>
      <c r="HM7" s="909" t="s">
        <v>245</v>
      </c>
      <c r="HN7" s="959"/>
      <c r="HO7" s="990"/>
      <c r="HP7" s="1015"/>
      <c r="HQ7" s="399"/>
      <c r="HR7" s="419"/>
      <c r="HS7" s="1008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-9.8900298283299631E-2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4"/>
      <c r="AT8" s="1162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8"/>
      <c r="HL8" s="1028"/>
      <c r="HM8" s="921"/>
      <c r="HN8" s="960"/>
      <c r="HO8" s="962"/>
      <c r="HP8" s="1016"/>
      <c r="HQ8" s="400" t="s">
        <v>49</v>
      </c>
      <c r="HR8" s="420" t="s">
        <v>51</v>
      </c>
      <c r="HS8" s="1009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0.34330103539592277</v>
      </c>
      <c r="D9" s="767">
        <v>-0.69050208255428114</v>
      </c>
      <c r="E9" s="768">
        <v>-0.95371696400905348</v>
      </c>
      <c r="F9" s="766">
        <v>-7.7828366019961542E-2</v>
      </c>
      <c r="G9" s="769">
        <v>0.29045946017304536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0.34330103539592277</v>
      </c>
      <c r="P9" s="25">
        <f t="shared" ref="P9:P40" si="5">IF(M9="","",D9)</f>
        <v>-0.69050208255428114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0.34330103539592277</v>
      </c>
      <c r="S9" s="23">
        <f>IF(M9="","",P9)</f>
        <v>-0.69050208255428114</v>
      </c>
      <c r="T9" s="26">
        <f>IF(M9="","",X9*COS(RADIANS(W9)))</f>
        <v>0.34330103539592277</v>
      </c>
      <c r="U9" s="20">
        <f>IF(M9="","",X9*SIN(RADIANS(W9)))</f>
        <v>0</v>
      </c>
      <c r="V9" s="28">
        <f>IF(M9="","",Y9)</f>
        <v>-0.69050208255428114</v>
      </c>
      <c r="W9" s="620">
        <f t="shared" ref="W9:W14" si="6">IF(M9="","",IF(Q9-$Q$8&lt;0,360+Q9-$Q$8,Q9-$Q$8))</f>
        <v>0</v>
      </c>
      <c r="X9" s="5">
        <f>IF(M9="","",R9)</f>
        <v>0.34330103539592277</v>
      </c>
      <c r="Y9" s="7">
        <f>IF(M9="","",S9)</f>
        <v>-0.69050208255428114</v>
      </c>
      <c r="Z9" s="24">
        <f t="shared" ref="Z9:Z40" si="7">IF(M9="","",-E9)</f>
        <v>0.95371696400905348</v>
      </c>
      <c r="AA9" s="20">
        <f t="shared" ref="AA9:AA40" si="8">IF(M9="","",-F9)</f>
        <v>7.7828366019961542E-2</v>
      </c>
      <c r="AB9" s="20">
        <f t="shared" ref="AB9:AB40" si="9">IF(M9="","",-G9)</f>
        <v>-0.29045946017304536</v>
      </c>
      <c r="AC9" s="28">
        <f>IF(M9="","",SQRT(Z9^2+AA9^2+AB9^2))</f>
        <v>1</v>
      </c>
      <c r="AD9" s="27">
        <f>IF(M9="","",Z9*(1/SQRT(Z9^2+AA9^2+AB9^2)))</f>
        <v>0.95371696400905348</v>
      </c>
      <c r="AE9" s="20">
        <f>IF(M9="","",AA9*(1/SQRT(Z9^2+AA9^2+AB9^2)))</f>
        <v>7.7828366019961542E-2</v>
      </c>
      <c r="AF9" s="25">
        <f>IF(M9="","",AB9*(1/SQRT(Z9^2+AA9^2+AB9^2)))</f>
        <v>-0.29045946017304536</v>
      </c>
      <c r="AG9" s="618">
        <f>IF(M9="","",DEGREES(ATAN2(-AF9,AE9)))</f>
        <v>14.999997834268267</v>
      </c>
      <c r="AH9" s="619">
        <f>IF(M9="","",DEGREES(ACOS(AD9)))</f>
        <v>17.499997473312952</v>
      </c>
      <c r="AI9" s="620">
        <f>IF(M9="","",DEGREES(-ACOS(-AF9)))</f>
        <v>-73.114534769632428</v>
      </c>
      <c r="AJ9" s="621">
        <f>IF(M9="","",DEGREES(ATAN2(-AE9,AD9)))</f>
        <v>94.665301948782698</v>
      </c>
      <c r="AK9" s="26">
        <f>IF(M9="","",(COS(RADIANS((90-$Q$8)-W9))*AD9)+(-SIN(RADIANS((90-$Q$8)-W9))*AE9))</f>
        <v>0.95371696400905348</v>
      </c>
      <c r="AL9" s="20">
        <f>IF(M9="","",(SIN(RADIANS((90-$Q$8)-W9))*AD9)+(COS(RADIANS((90-$Q$8)-W9))*AE9))</f>
        <v>7.7828366019961542E-2</v>
      </c>
      <c r="AM9" s="23">
        <f>IF(M9="","",AF9)</f>
        <v>-0.29045946017304536</v>
      </c>
      <c r="AN9" s="612">
        <f>IF(M9="","",DEGREES(ATAN2(-AM9,AL9)))</f>
        <v>14.999997834268267</v>
      </c>
      <c r="AO9" s="613">
        <f>IF(ROUND(IF(M9="",0,DEGREES(ACOS(AK9))),4)=90,0,IF(M9="","",DEGREES(ACOS(AK9))))</f>
        <v>17.499997473312952</v>
      </c>
      <c r="AP9" s="640">
        <f>IF(M9="","",DEGREES(ATAN2(AK9,AL9)))</f>
        <v>4.6653019487827043</v>
      </c>
      <c r="AQ9" s="641">
        <f t="shared" ref="AQ9:AQ40" si="10">IF(M9="","",DEGREES(ATAN(($AS$5*SIN(RADIANS(90)))/(($X9*2*PI())-($AS$5*COS(RADIANS(90)))))))</f>
        <v>32.231361998185271</v>
      </c>
      <c r="AS9" s="55">
        <f>IF(M9="","",W9)</f>
        <v>0</v>
      </c>
      <c r="AT9" s="76">
        <f t="shared" ref="AT9:AT40" si="11">IF(M9="","",Y9+(((AS9-$AS$9)*$AS$6)*-1))</f>
        <v>-0.69050208255428114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1.1084033429444824</v>
      </c>
      <c r="D10" s="772">
        <v>-0.48550146427241625</v>
      </c>
      <c r="E10" s="773">
        <v>-0.96592583607220739</v>
      </c>
      <c r="F10" s="771">
        <v>-6.6987279208207226E-2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1.1084033429444824</v>
      </c>
      <c r="P10" s="10">
        <f t="shared" si="5"/>
        <v>-0.48550146427241625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1.1084033429444824</v>
      </c>
      <c r="S10" s="6">
        <f t="shared" ref="S10:S105" si="84">IF(M10="","",P10)</f>
        <v>-0.48550146427241625</v>
      </c>
      <c r="T10" s="4">
        <f t="shared" ref="T10:T105" si="85">IF(M10="","",X10*COS(RADIANS(W10)))</f>
        <v>1.1084033429444824</v>
      </c>
      <c r="U10" s="5">
        <f t="shared" ref="U10:U105" si="86">IF(M10="","",X10*SIN(RADIANS(W10)))</f>
        <v>0</v>
      </c>
      <c r="V10" s="8">
        <f>IF(M10="","",Y10)</f>
        <v>-0.48550146427241625</v>
      </c>
      <c r="W10" s="624">
        <f t="shared" si="6"/>
        <v>0</v>
      </c>
      <c r="X10" s="5">
        <f t="shared" ref="X10:X105" si="87">IF(M10="","",R10)</f>
        <v>1.1084033429444824</v>
      </c>
      <c r="Y10" s="7">
        <f>IF(M10="","",S10)</f>
        <v>-0.48550146427241625</v>
      </c>
      <c r="Z10" s="21">
        <f t="shared" si="7"/>
        <v>0.96592583607220739</v>
      </c>
      <c r="AA10" s="5">
        <f t="shared" si="8"/>
        <v>6.6987279208207226E-2</v>
      </c>
      <c r="AB10" s="5">
        <f t="shared" si="9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6.6987279208207226E-2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14.999997834268274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6.6987279208207226E-2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14.999997834268274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3.9671296450865725</v>
      </c>
      <c r="AQ10" s="625">
        <f t="shared" si="10"/>
        <v>11.049748861388355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1"/>
        <v>-0.48550146427241625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0</v>
      </c>
      <c r="C11" s="771">
        <v>1.8533055895696582</v>
      </c>
      <c r="D11" s="772">
        <v>-0.28590086227700062</v>
      </c>
      <c r="E11" s="773">
        <v>-0.96592583607220739</v>
      </c>
      <c r="F11" s="771">
        <v>-6.6987279208207212E-2</v>
      </c>
      <c r="G11" s="774">
        <v>0.24999996726497561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2"/>
        <v>1.107</v>
      </c>
      <c r="N11" s="21">
        <f t="shared" si="3"/>
        <v>0</v>
      </c>
      <c r="O11" s="5">
        <f t="shared" si="4"/>
        <v>1.8533055895696582</v>
      </c>
      <c r="P11" s="10">
        <f t="shared" si="5"/>
        <v>-0.28590086227700062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1.8533055895696582</v>
      </c>
      <c r="S11" s="6">
        <f t="shared" si="84"/>
        <v>-0.28590086227700062</v>
      </c>
      <c r="T11" s="4">
        <f t="shared" si="85"/>
        <v>1.8533055895696582</v>
      </c>
      <c r="U11" s="5">
        <f t="shared" si="86"/>
        <v>0</v>
      </c>
      <c r="V11" s="8">
        <f t="shared" ref="V11:V105" si="117">IF(M11="","",Y11)</f>
        <v>-0.28590086227700062</v>
      </c>
      <c r="W11" s="624">
        <f t="shared" si="6"/>
        <v>0</v>
      </c>
      <c r="X11" s="5">
        <f>IF(M11="","",R11)</f>
        <v>1.8533055895696582</v>
      </c>
      <c r="Y11" s="7">
        <f>IF(M11="","",S11)</f>
        <v>-0.28590086227700062</v>
      </c>
      <c r="Z11" s="21">
        <f t="shared" si="7"/>
        <v>0.96592583607220739</v>
      </c>
      <c r="AA11" s="5">
        <f t="shared" si="8"/>
        <v>6.6987279208207212E-2</v>
      </c>
      <c r="AB11" s="5">
        <f t="shared" si="9"/>
        <v>-0.24999996726497561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6.6987279208207212E-2</v>
      </c>
      <c r="AF11" s="10">
        <f t="shared" si="90"/>
        <v>-0.24999996726497561</v>
      </c>
      <c r="AG11" s="622">
        <f>IF(M11="","",DEGREES(ATAN2(-AF11,AE11)))</f>
        <v>14.999997834268271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6.6987279208207212E-2</v>
      </c>
      <c r="AM11" s="6">
        <f t="shared" si="96"/>
        <v>-0.24999996726497561</v>
      </c>
      <c r="AN11" s="612">
        <f>IF(M11="","",DEGREES(ATAN2(-AM11,AL11)))</f>
        <v>14.999997834268271</v>
      </c>
      <c r="AO11" s="613">
        <f>IF(ROUND(IF(M11="",0,DEGREES(ACOS(AK11))),4)=90,0,IF(M11="","",DEGREES(ACOS(AK11))))</f>
        <v>14.999997834268255</v>
      </c>
      <c r="AP11" s="624">
        <f t="shared" si="99"/>
        <v>3.9671296450865721</v>
      </c>
      <c r="AQ11" s="625">
        <f t="shared" si="10"/>
        <v>6.6614929990067928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1"/>
        <v>-0.28590086227700062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0</v>
      </c>
      <c r="C12" s="771">
        <v>2.5987078377028388</v>
      </c>
      <c r="D12" s="772">
        <v>-9.8900298283299631E-2</v>
      </c>
      <c r="E12" s="773">
        <v>-0.96592583607220739</v>
      </c>
      <c r="F12" s="771">
        <v>-4.0488207353615101E-2</v>
      </c>
      <c r="G12" s="774">
        <v>0.2556325180283171</v>
      </c>
      <c r="H12" s="773">
        <v>0.314</v>
      </c>
      <c r="I12" s="771">
        <v>0.52</v>
      </c>
      <c r="J12" s="601">
        <v>1.111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1.111</v>
      </c>
      <c r="N12" s="21">
        <f t="shared" si="3"/>
        <v>0</v>
      </c>
      <c r="O12" s="5">
        <f t="shared" si="4"/>
        <v>2.5987078377028388</v>
      </c>
      <c r="P12" s="10">
        <f t="shared" si="5"/>
        <v>-9.8900298283299631E-2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2.5987078377028388</v>
      </c>
      <c r="S12" s="6">
        <f t="shared" si="84"/>
        <v>-9.8900298283299631E-2</v>
      </c>
      <c r="T12" s="4">
        <f>IF(M12="","",X12*COS(RADIANS(W12)))</f>
        <v>2.5987078377028388</v>
      </c>
      <c r="U12" s="5">
        <f t="shared" si="86"/>
        <v>0</v>
      </c>
      <c r="V12" s="8">
        <f t="shared" si="117"/>
        <v>-9.8900298283299631E-2</v>
      </c>
      <c r="W12" s="624">
        <f>IF(M12="","",IF(Q12-$Q$8&lt;0,360+Q12-$Q$8,Q12-$Q$8))</f>
        <v>0</v>
      </c>
      <c r="X12" s="5">
        <f t="shared" si="87"/>
        <v>2.5987078377028388</v>
      </c>
      <c r="Y12" s="7">
        <f>IF(M12="","",S12)</f>
        <v>-9.8900298283299631E-2</v>
      </c>
      <c r="Z12" s="21">
        <f t="shared" si="7"/>
        <v>0.96592583607220739</v>
      </c>
      <c r="AA12" s="5">
        <f t="shared" si="8"/>
        <v>4.0488207353615101E-2</v>
      </c>
      <c r="AB12" s="5">
        <f t="shared" si="9"/>
        <v>-0.2556325180283171</v>
      </c>
      <c r="AC12" s="8">
        <f t="shared" si="88"/>
        <v>1</v>
      </c>
      <c r="AD12" s="9">
        <f t="shared" si="118"/>
        <v>0.96592583607220739</v>
      </c>
      <c r="AE12" s="5">
        <f t="shared" si="89"/>
        <v>4.0488207353615101E-2</v>
      </c>
      <c r="AF12" s="10">
        <f t="shared" si="90"/>
        <v>-0.2556325180283171</v>
      </c>
      <c r="AG12" s="622">
        <f t="shared" si="91"/>
        <v>8.9999987005609672</v>
      </c>
      <c r="AH12" s="623">
        <f t="shared" si="92"/>
        <v>14.999997834268255</v>
      </c>
      <c r="AI12" s="624">
        <f t="shared" si="93"/>
        <v>-75.188931961768461</v>
      </c>
      <c r="AJ12" s="625">
        <f t="shared" si="94"/>
        <v>92.400232109692112</v>
      </c>
      <c r="AK12" s="4">
        <f t="shared" ref="AK12:AK105" si="213">IF(M12="","",(COS(RADIANS((90-$Q$8)-W12))*AD12)+(-SIN(RADIANS((90-$Q$8)-W12))*AE12))</f>
        <v>0.96592583607220739</v>
      </c>
      <c r="AL12" s="5">
        <f>IF(M12="","",(SIN(RADIANS((90-$Q$8)-W12))*AD12)+(COS(RADIANS((90-$Q$8)-W12))*AE12))</f>
        <v>4.0488207353615101E-2</v>
      </c>
      <c r="AM12" s="6">
        <f t="shared" si="96"/>
        <v>-0.2556325180283171</v>
      </c>
      <c r="AN12" s="612">
        <f>IF(M12="","",DEGREES(ATAN2(-AM12,AL12)))</f>
        <v>8.9999987005609672</v>
      </c>
      <c r="AO12" s="613">
        <f t="shared" si="98"/>
        <v>14.999997834268255</v>
      </c>
      <c r="AP12" s="624">
        <f t="shared" si="99"/>
        <v>2.4002321096921255</v>
      </c>
      <c r="AQ12" s="625">
        <f t="shared" si="10"/>
        <v>4.7612711647892727</v>
      </c>
      <c r="AS12" s="56">
        <f t="shared" si="119"/>
        <v>0</v>
      </c>
      <c r="AT12" s="77">
        <f>IF(M12="","",Y12+(((AS12-$AS$9)*$AS$6)*-1))</f>
        <v>-9.8900298283299631E-2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1.4135909559049975E-2</v>
      </c>
      <c r="C13" s="771">
        <v>3.3746805719071342</v>
      </c>
      <c r="D13" s="772">
        <v>-0.12210036825471066</v>
      </c>
      <c r="E13" s="773">
        <v>-0.96503120569306655</v>
      </c>
      <c r="F13" s="771">
        <v>8.6271707881404161E-2</v>
      </c>
      <c r="G13" s="774">
        <v>0.24753174434365366</v>
      </c>
      <c r="H13" s="773">
        <v>0.314</v>
      </c>
      <c r="I13" s="771">
        <v>0.52</v>
      </c>
      <c r="J13" s="601">
        <v>1.117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1.117</v>
      </c>
      <c r="N13" s="21">
        <f t="shared" si="3"/>
        <v>1.4135909559049975E-2</v>
      </c>
      <c r="O13" s="5">
        <f t="shared" si="4"/>
        <v>3.3746805719071342</v>
      </c>
      <c r="P13" s="10">
        <f t="shared" si="5"/>
        <v>-0.12210036825471066</v>
      </c>
      <c r="Q13" s="624">
        <f t="shared" si="116"/>
        <v>89.760000034651711</v>
      </c>
      <c r="R13" s="5">
        <f t="shared" si="83"/>
        <v>3.374710178125897</v>
      </c>
      <c r="S13" s="6">
        <f t="shared" si="84"/>
        <v>-0.12210036825471066</v>
      </c>
      <c r="T13" s="4">
        <f>IF(M13="","",X13*COS(RADIANS(W13)))</f>
        <v>3.3746805719071338</v>
      </c>
      <c r="U13" s="5">
        <f t="shared" si="86"/>
        <v>-1.413590955904975E-2</v>
      </c>
      <c r="V13" s="8">
        <f t="shared" si="117"/>
        <v>-0.12210036825471066</v>
      </c>
      <c r="W13" s="624">
        <f t="shared" si="6"/>
        <v>359.76000003465174</v>
      </c>
      <c r="X13" s="5">
        <f t="shared" si="87"/>
        <v>3.374710178125897</v>
      </c>
      <c r="Y13" s="7">
        <f>IF(M13="","",S13)</f>
        <v>-0.12210036825471066</v>
      </c>
      <c r="Z13" s="21">
        <f t="shared" si="7"/>
        <v>0.96503120569306655</v>
      </c>
      <c r="AA13" s="5">
        <f t="shared" si="8"/>
        <v>-8.6271707881404161E-2</v>
      </c>
      <c r="AB13" s="5">
        <f t="shared" si="9"/>
        <v>-0.24753174434365366</v>
      </c>
      <c r="AC13" s="8">
        <f t="shared" si="88"/>
        <v>1</v>
      </c>
      <c r="AD13" s="9">
        <f>IF(M13="","",Z13*(1/SQRT(Z13^2+AA13^2+AB13^2)))</f>
        <v>0.96503120569306655</v>
      </c>
      <c r="AE13" s="5">
        <f t="shared" si="89"/>
        <v>-8.6271707881404161E-2</v>
      </c>
      <c r="AF13" s="10">
        <f t="shared" si="90"/>
        <v>-0.24753174434365366</v>
      </c>
      <c r="AG13" s="622">
        <f>IF(M13="","",DEGREES(ATAN2(-AF13,AE13)))</f>
        <v>-19.214869037496637</v>
      </c>
      <c r="AH13" s="623">
        <f t="shared" si="92"/>
        <v>15.196784848563111</v>
      </c>
      <c r="AI13" s="624">
        <f t="shared" si="93"/>
        <v>-75.668498536188096</v>
      </c>
      <c r="AJ13" s="625">
        <f t="shared" si="94"/>
        <v>84.891461139306244</v>
      </c>
      <c r="AK13" s="4">
        <f t="shared" si="213"/>
        <v>0.96538411248276568</v>
      </c>
      <c r="AL13" s="5">
        <f t="shared" si="95"/>
        <v>-8.2228650165564507E-2</v>
      </c>
      <c r="AM13" s="6">
        <f t="shared" si="96"/>
        <v>-0.24753174434365366</v>
      </c>
      <c r="AN13" s="612">
        <f t="shared" si="97"/>
        <v>-18.376196401016035</v>
      </c>
      <c r="AO13" s="613">
        <f t="shared" si="98"/>
        <v>15.119456634930531</v>
      </c>
      <c r="AP13" s="624">
        <f t="shared" si="99"/>
        <v>-4.8685388953454716</v>
      </c>
      <c r="AQ13" s="625">
        <f t="shared" si="10"/>
        <v>3.6698702838677586</v>
      </c>
      <c r="AS13" s="56">
        <f t="shared" si="119"/>
        <v>-0.23999996534826096</v>
      </c>
      <c r="AT13" s="77">
        <f t="shared" si="11"/>
        <v>-0.12119370171895055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1.117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5.9513669200225203E-2</v>
      </c>
      <c r="C14" s="771">
        <v>4.1631871987431976</v>
      </c>
      <c r="D14" s="772">
        <v>-0.46940141571466981</v>
      </c>
      <c r="E14" s="773">
        <v>-0.96110151983728853</v>
      </c>
      <c r="F14" s="771">
        <v>0.21006958652855806</v>
      </c>
      <c r="G14" s="774">
        <v>0.17931714190833781</v>
      </c>
      <c r="H14" s="773">
        <v>0.314</v>
      </c>
      <c r="I14" s="771">
        <v>0.52</v>
      </c>
      <c r="J14" s="601">
        <v>1.1240000000000001</v>
      </c>
      <c r="K14" s="426" t="str">
        <f t="shared" si="225"/>
        <v>1613</v>
      </c>
      <c r="L14" s="327"/>
      <c r="M14" s="173">
        <f t="shared" si="2"/>
        <v>1.1240000000000001</v>
      </c>
      <c r="N14" s="21">
        <f t="shared" si="3"/>
        <v>5.9513669200225203E-2</v>
      </c>
      <c r="O14" s="5">
        <f t="shared" si="4"/>
        <v>4.1631871987431976</v>
      </c>
      <c r="P14" s="10">
        <f t="shared" si="5"/>
        <v>-0.46940141571466981</v>
      </c>
      <c r="Q14" s="624">
        <f t="shared" si="116"/>
        <v>89.18100011824896</v>
      </c>
      <c r="R14" s="5">
        <f t="shared" si="83"/>
        <v>4.1636125574554734</v>
      </c>
      <c r="S14" s="6">
        <f t="shared" si="84"/>
        <v>-0.46940141571466981</v>
      </c>
      <c r="T14" s="4">
        <f t="shared" si="85"/>
        <v>4.1631871987431976</v>
      </c>
      <c r="U14" s="5">
        <f t="shared" si="86"/>
        <v>-5.951366920022369E-2</v>
      </c>
      <c r="V14" s="8">
        <f t="shared" si="117"/>
        <v>-0.46940141571466981</v>
      </c>
      <c r="W14" s="624">
        <f t="shared" si="6"/>
        <v>359.18100011824896</v>
      </c>
      <c r="X14" s="5">
        <f t="shared" si="87"/>
        <v>4.1636125574554734</v>
      </c>
      <c r="Y14" s="7">
        <f t="shared" ref="Y14:Y75" si="226">IF(M14="","",S14)</f>
        <v>-0.46940141571466981</v>
      </c>
      <c r="Z14" s="21">
        <f t="shared" si="7"/>
        <v>0.96110151983728853</v>
      </c>
      <c r="AA14" s="5">
        <f t="shared" si="8"/>
        <v>-0.21006958652855806</v>
      </c>
      <c r="AB14" s="5">
        <f t="shared" si="9"/>
        <v>-0.17931714190833781</v>
      </c>
      <c r="AC14" s="8">
        <f t="shared" si="88"/>
        <v>1</v>
      </c>
      <c r="AD14" s="9">
        <f>IF(M14="","",Z14*(1/SQRT(Z14^2+AA14^2+AB14^2)))</f>
        <v>0.96110151983728853</v>
      </c>
      <c r="AE14" s="5">
        <f t="shared" si="89"/>
        <v>-0.21006958652855806</v>
      </c>
      <c r="AF14" s="10">
        <f t="shared" si="90"/>
        <v>-0.17931714190833781</v>
      </c>
      <c r="AG14" s="622">
        <f t="shared" si="91"/>
        <v>-49.515653616826476</v>
      </c>
      <c r="AH14" s="623">
        <f t="shared" si="92"/>
        <v>16.033261581988789</v>
      </c>
      <c r="AI14" s="624">
        <f t="shared" si="93"/>
        <v>-79.670012211472979</v>
      </c>
      <c r="AJ14" s="625">
        <f t="shared" si="94"/>
        <v>77.67066277370887</v>
      </c>
      <c r="AK14" s="4">
        <f>IF(M14="","",(COS(RADIANS((90-$Q$8)-W14))*AD14)+(-SIN(RADIANS((90-$Q$8)-W14))*AE14))</f>
        <v>0.96400601654776896</v>
      </c>
      <c r="AL14" s="5">
        <f t="shared" si="95"/>
        <v>-0.19631037333143642</v>
      </c>
      <c r="AM14" s="6">
        <f t="shared" si="96"/>
        <v>-0.17931714190833781</v>
      </c>
      <c r="AN14" s="612">
        <f t="shared" si="97"/>
        <v>-47.590270925091495</v>
      </c>
      <c r="AO14" s="613">
        <f t="shared" si="98"/>
        <v>15.419274312984417</v>
      </c>
      <c r="AP14" s="624">
        <f>IF(M14="","",DEGREES(ATAN2(AK14,AL14)))</f>
        <v>-11.510337344540099</v>
      </c>
      <c r="AQ14" s="625">
        <f t="shared" si="10"/>
        <v>2.9759154122290745</v>
      </c>
      <c r="AS14" s="56">
        <f t="shared" si="119"/>
        <v>-0.81899988175103999</v>
      </c>
      <c r="AT14" s="77">
        <f t="shared" si="11"/>
        <v>-0.4663074161613881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1.1240000000000001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0.11344330979698143</v>
      </c>
      <c r="C15" s="771">
        <v>4.7469589745097025</v>
      </c>
      <c r="D15" s="772">
        <v>-0.98370296684814806</v>
      </c>
      <c r="E15" s="773">
        <v>-0.95675425831459349</v>
      </c>
      <c r="F15" s="771">
        <v>0.25646186061116322</v>
      </c>
      <c r="G15" s="774">
        <v>0.13729021541520198</v>
      </c>
      <c r="H15" s="773">
        <v>0.314</v>
      </c>
      <c r="I15" s="771">
        <v>0.52</v>
      </c>
      <c r="J15" s="601">
        <v>1.133</v>
      </c>
      <c r="K15" s="426" t="str">
        <f t="shared" si="225"/>
        <v>1613</v>
      </c>
      <c r="L15" s="327"/>
      <c r="M15" s="173">
        <f t="shared" si="2"/>
        <v>1.133</v>
      </c>
      <c r="N15" s="21">
        <f t="shared" si="3"/>
        <v>0.11344330979698143</v>
      </c>
      <c r="O15" s="5">
        <f t="shared" si="4"/>
        <v>4.7469589745097025</v>
      </c>
      <c r="P15" s="10">
        <f t="shared" si="5"/>
        <v>-0.98370296684814806</v>
      </c>
      <c r="Q15" s="624">
        <f t="shared" si="116"/>
        <v>88.63100019765912</v>
      </c>
      <c r="R15" s="5">
        <f t="shared" si="83"/>
        <v>4.7483143209159921</v>
      </c>
      <c r="S15" s="6">
        <f t="shared" si="84"/>
        <v>-0.98370296684814806</v>
      </c>
      <c r="T15" s="4">
        <f t="shared" si="85"/>
        <v>4.7469589745097025</v>
      </c>
      <c r="U15" s="5">
        <f t="shared" si="86"/>
        <v>-0.11344330979698594</v>
      </c>
      <c r="V15" s="8">
        <f t="shared" si="117"/>
        <v>-0.98370296684814806</v>
      </c>
      <c r="W15" s="624">
        <f t="shared" ref="W15:W78" si="227">IF(M15="","",IF(Q15-$Q$8&lt;0,360+Q15-$Q$8,Q15-$Q$8))</f>
        <v>358.63100019765909</v>
      </c>
      <c r="X15" s="5">
        <f>IF(M15="","",R15)</f>
        <v>4.7483143209159921</v>
      </c>
      <c r="Y15" s="7">
        <f>IF(M15="","",S15)</f>
        <v>-0.98370296684814806</v>
      </c>
      <c r="Z15" s="21">
        <f t="shared" si="7"/>
        <v>0.95675425831459349</v>
      </c>
      <c r="AA15" s="5">
        <f t="shared" si="8"/>
        <v>-0.25646186061116322</v>
      </c>
      <c r="AB15" s="5">
        <f t="shared" si="9"/>
        <v>-0.13729021541520198</v>
      </c>
      <c r="AC15" s="8">
        <f t="shared" si="88"/>
        <v>1</v>
      </c>
      <c r="AD15" s="9">
        <f t="shared" si="118"/>
        <v>0.95675425831459349</v>
      </c>
      <c r="AE15" s="5">
        <f t="shared" si="89"/>
        <v>-0.25646186061116322</v>
      </c>
      <c r="AF15" s="10">
        <f t="shared" si="90"/>
        <v>-0.13729021541520198</v>
      </c>
      <c r="AG15" s="622">
        <f t="shared" si="91"/>
        <v>-61.838783352789292</v>
      </c>
      <c r="AH15" s="623">
        <f t="shared" si="92"/>
        <v>16.911688848474</v>
      </c>
      <c r="AI15" s="624">
        <f t="shared" si="93"/>
        <v>-82.108927120905207</v>
      </c>
      <c r="AJ15" s="625">
        <f t="shared" si="94"/>
        <v>74.994394322768841</v>
      </c>
      <c r="AK15" s="4">
        <f t="shared" si="213"/>
        <v>0.96260836715828779</v>
      </c>
      <c r="AL15" s="5">
        <f t="shared" si="95"/>
        <v>-0.23353057236281219</v>
      </c>
      <c r="AM15" s="6">
        <f t="shared" si="96"/>
        <v>-0.13729021541520198</v>
      </c>
      <c r="AN15" s="612">
        <f>IF(M15="","",DEGREES(ATAN2(-AM15,AL15)))</f>
        <v>-59.549168628136222</v>
      </c>
      <c r="AO15" s="613">
        <f t="shared" si="98"/>
        <v>15.717644703697722</v>
      </c>
      <c r="AP15" s="624">
        <f t="shared" si="99"/>
        <v>-13.636605874890222</v>
      </c>
      <c r="AQ15" s="625">
        <f t="shared" si="10"/>
        <v>2.6100069640519998</v>
      </c>
      <c r="AS15" s="56">
        <f t="shared" si="119"/>
        <v>-1.3689998023409089</v>
      </c>
      <c r="AT15" s="77">
        <f t="shared" si="11"/>
        <v>-0.97853118981708243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1.133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0.16759228999017931</v>
      </c>
      <c r="C16" s="771">
        <v>5.2027171198603801</v>
      </c>
      <c r="D16" s="772">
        <v>-1.6148048702514888</v>
      </c>
      <c r="E16" s="773">
        <v>-0.94742408426392832</v>
      </c>
      <c r="F16" s="771">
        <v>0.30281165927808201</v>
      </c>
      <c r="G16" s="774">
        <v>0.10340552964862038</v>
      </c>
      <c r="H16" s="773">
        <v>0.314</v>
      </c>
      <c r="I16" s="771">
        <v>0.52</v>
      </c>
      <c r="J16" s="601">
        <v>1.1419999999999999</v>
      </c>
      <c r="K16" s="426" t="str">
        <f t="shared" si="225"/>
        <v>1613</v>
      </c>
      <c r="L16" s="327"/>
      <c r="M16" s="173">
        <f t="shared" si="2"/>
        <v>1.1419999999999999</v>
      </c>
      <c r="N16" s="21">
        <f t="shared" si="3"/>
        <v>0.16759228999017931</v>
      </c>
      <c r="O16" s="5">
        <f t="shared" si="4"/>
        <v>5.2027171198603801</v>
      </c>
      <c r="P16" s="10">
        <f t="shared" si="5"/>
        <v>-1.6148048702514888</v>
      </c>
      <c r="Q16" s="624">
        <f>IF(M16="","",IF(DEGREES(ATAN2(N16,O16))&lt;0,DEGREES(ATAN2(N16,O16))+360,IF(DEGREES(ATAN2(N16,O16))&gt;360,DEGREES(ATAN2(N16,O16))-360,DEGREES(ATAN2(N16,O16)))))</f>
        <v>88.155000266385002</v>
      </c>
      <c r="R16" s="5">
        <f t="shared" si="83"/>
        <v>5.2054156995337504</v>
      </c>
      <c r="S16" s="6">
        <f t="shared" si="84"/>
        <v>-1.6148048702514888</v>
      </c>
      <c r="T16" s="4">
        <f t="shared" si="85"/>
        <v>5.2027171198603801</v>
      </c>
      <c r="U16" s="5">
        <f t="shared" si="86"/>
        <v>-0.16759228999017817</v>
      </c>
      <c r="V16" s="8">
        <f t="shared" si="117"/>
        <v>-1.6148048702514888</v>
      </c>
      <c r="W16" s="624">
        <f>IF(M16="","",IF(Q16-$Q$8&lt;0,360+Q16-$Q$8,Q16-$Q$8))</f>
        <v>358.155000266385</v>
      </c>
      <c r="X16" s="5">
        <f t="shared" si="87"/>
        <v>5.2054156995337504</v>
      </c>
      <c r="Y16" s="7">
        <f t="shared" si="226"/>
        <v>-1.6148048702514888</v>
      </c>
      <c r="Z16" s="21">
        <f t="shared" si="7"/>
        <v>0.94742408426392832</v>
      </c>
      <c r="AA16" s="5">
        <f t="shared" si="8"/>
        <v>-0.30281165927808201</v>
      </c>
      <c r="AB16" s="5">
        <f t="shared" si="9"/>
        <v>-0.10340552964862038</v>
      </c>
      <c r="AC16" s="8">
        <f t="shared" si="88"/>
        <v>1</v>
      </c>
      <c r="AD16" s="9">
        <f t="shared" si="118"/>
        <v>0.94742408426392832</v>
      </c>
      <c r="AE16" s="5">
        <f t="shared" si="89"/>
        <v>-0.30281165927808201</v>
      </c>
      <c r="AF16" s="10">
        <f t="shared" si="90"/>
        <v>-0.10340552964862038</v>
      </c>
      <c r="AG16" s="622">
        <f t="shared" si="91"/>
        <v>-71.145752245672057</v>
      </c>
      <c r="AH16" s="623">
        <f t="shared" si="92"/>
        <v>18.661753566597746</v>
      </c>
      <c r="AI16" s="624">
        <f t="shared" si="93"/>
        <v>-84.064689931635726</v>
      </c>
      <c r="AJ16" s="625">
        <f t="shared" si="94"/>
        <v>72.275301485602469</v>
      </c>
      <c r="AK16" s="4">
        <f t="shared" si="213"/>
        <v>0.9566821729200562</v>
      </c>
      <c r="AL16" s="5">
        <f t="shared" si="95"/>
        <v>-0.27215164238903283</v>
      </c>
      <c r="AM16" s="6">
        <f t="shared" si="96"/>
        <v>-0.10340552964862038</v>
      </c>
      <c r="AN16" s="612">
        <f t="shared" si="97"/>
        <v>-69.195433970233992</v>
      </c>
      <c r="AO16" s="613">
        <f t="shared" si="98"/>
        <v>16.92588116298068</v>
      </c>
      <c r="AP16" s="624">
        <f t="shared" si="99"/>
        <v>-15.879698780782549</v>
      </c>
      <c r="AQ16" s="625">
        <f t="shared" si="10"/>
        <v>2.3810917854041582</v>
      </c>
      <c r="AS16" s="56">
        <f t="shared" si="119"/>
        <v>-1.8449997336149977</v>
      </c>
      <c r="AT16" s="77">
        <f t="shared" si="11"/>
        <v>-1.6078348712578321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1.1419999999999999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0.21338061865274541</v>
      </c>
      <c r="C17" s="771">
        <v>5.5318028146555056</v>
      </c>
      <c r="D17" s="772">
        <v>-2.3208069995539109</v>
      </c>
      <c r="E17" s="773">
        <v>-0.93834490574579088</v>
      </c>
      <c r="F17" s="771">
        <v>0.33948373914913238</v>
      </c>
      <c r="G17" s="774">
        <v>6.5265831138864167E-2</v>
      </c>
      <c r="H17" s="773">
        <v>0.314</v>
      </c>
      <c r="I17" s="771">
        <v>0.52</v>
      </c>
      <c r="J17" s="601">
        <v>1.151</v>
      </c>
      <c r="K17" s="426" t="str">
        <f t="shared" si="225"/>
        <v>1613</v>
      </c>
      <c r="L17" s="861" t="s">
        <v>332</v>
      </c>
      <c r="M17" s="173">
        <f t="shared" si="2"/>
        <v>1.151</v>
      </c>
      <c r="N17" s="21">
        <f t="shared" si="3"/>
        <v>0.21338061865274541</v>
      </c>
      <c r="O17" s="5">
        <f t="shared" si="4"/>
        <v>5.5318028146555056</v>
      </c>
      <c r="P17" s="10">
        <f t="shared" si="5"/>
        <v>-2.3208069995539109</v>
      </c>
      <c r="Q17" s="624">
        <f>IF(M17="","",IF(DEGREES(ATAN2(N17,O17))&lt;0,DEGREES(ATAN2(N17,O17))+360,IF(DEGREES(ATAN2(N17,O17))&gt;360,DEGREES(ATAN2(N17,O17))-360,DEGREES(ATAN2(N17,O17)))))</f>
        <v>87.791000318940107</v>
      </c>
      <c r="R17" s="5">
        <f>IF(M17="","",SQRT(N17^2+O17^2))</f>
        <v>5.5359166963247564</v>
      </c>
      <c r="S17" s="6">
        <f>IF(M17="","",P17)</f>
        <v>-2.3208069995539109</v>
      </c>
      <c r="T17" s="4">
        <f>IF(M17="","",X17*COS(RADIANS(W17)))</f>
        <v>5.5318028146555056</v>
      </c>
      <c r="U17" s="5">
        <f>IF(M17="","",X17*SIN(RADIANS(W17)))</f>
        <v>-0.21338061865274219</v>
      </c>
      <c r="V17" s="8">
        <f>IF(M17="","",Y17)</f>
        <v>-2.3208069995539109</v>
      </c>
      <c r="W17" s="624">
        <f t="shared" si="227"/>
        <v>357.79100031894012</v>
      </c>
      <c r="X17" s="5">
        <f>IF(M17="","",R17)</f>
        <v>5.5359166963247564</v>
      </c>
      <c r="Y17" s="7">
        <f t="shared" si="226"/>
        <v>-2.3208069995539109</v>
      </c>
      <c r="Z17" s="21">
        <f t="shared" si="7"/>
        <v>0.93834490574579088</v>
      </c>
      <c r="AA17" s="5">
        <f t="shared" si="8"/>
        <v>-0.33948373914913238</v>
      </c>
      <c r="AB17" s="5">
        <f t="shared" si="9"/>
        <v>-6.5265831138864167E-2</v>
      </c>
      <c r="AC17" s="8">
        <f>IF(M17="","",SQRT(Z17^2+AA17^2+AB17^2))</f>
        <v>1</v>
      </c>
      <c r="AD17" s="9">
        <f>IF(M17="","",Z17*(1/SQRT(Z17^2+AA17^2+AB17^2)))</f>
        <v>0.93834490574579088</v>
      </c>
      <c r="AE17" s="5">
        <f>IF(M17="","",AA17*(1/SQRT(Z17^2+AA17^2+AB17^2)))</f>
        <v>-0.33948373914913238</v>
      </c>
      <c r="AF17" s="10">
        <f>IF(M17="","",AB17*(1/SQRT(Z17^2+AA17^2+AB17^2)))</f>
        <v>-6.5265831138864167E-2</v>
      </c>
      <c r="AG17" s="622">
        <f>IF(M17="","",DEGREES(ATAN2(-AF17,AE17)))</f>
        <v>-79.117647226185042</v>
      </c>
      <c r="AH17" s="623">
        <f>IF(M17="","",DEGREES(ACOS(AD17)))</f>
        <v>20.224562939428861</v>
      </c>
      <c r="AI17" s="624">
        <f>IF(M17="","",DEGREES(-ACOS(-AF17)))</f>
        <v>-86.257883444779353</v>
      </c>
      <c r="AJ17" s="625">
        <f>IF(M17="","",DEGREES(ATAN2(-AE17,AD17)))</f>
        <v>70.110386247790643</v>
      </c>
      <c r="AK17" s="4">
        <f>IF(M17="","",(COS(RADIANS((90-$Q$8)-W17))*AD17)+(-SIN(RADIANS((90-$Q$8)-W17))*AE17))</f>
        <v>0.95073291917462999</v>
      </c>
      <c r="AL17" s="5">
        <f>IF(M17="","",(SIN(RADIANS((90-$Q$8)-W17))*AD17)+(COS(RADIANS((90-$Q$8)-W17))*AE17))</f>
        <v>-0.30306317440995656</v>
      </c>
      <c r="AM17" s="6">
        <f>IF(M17="","",AF17)</f>
        <v>-6.5265831138864167E-2</v>
      </c>
      <c r="AN17" s="612">
        <f>IF(M17="","",DEGREES(ATAN2(-AM17,AL17)))</f>
        <v>-77.846741132511085</v>
      </c>
      <c r="AO17" s="613">
        <f t="shared" si="98"/>
        <v>18.059902760771305</v>
      </c>
      <c r="AP17" s="624">
        <f>IF(M17="","",DEGREES(ATAN2(AK17,AL17)))</f>
        <v>-17.680614071149492</v>
      </c>
      <c r="AQ17" s="625">
        <f t="shared" si="10"/>
        <v>2.2390869670649183</v>
      </c>
      <c r="AS17" s="56">
        <f t="shared" si="119"/>
        <v>-2.2089996810598791</v>
      </c>
      <c r="AT17" s="77">
        <f t="shared" si="11"/>
        <v>-2.3124618896476847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1.151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0.24518032472421658</v>
      </c>
      <c r="C18" s="771">
        <v>5.7396830660454476</v>
      </c>
      <c r="D18" s="772">
        <v>-3.0721092654815445</v>
      </c>
      <c r="E18" s="773">
        <v>-0.91078749995209174</v>
      </c>
      <c r="F18" s="771">
        <v>0.4104676657584953</v>
      </c>
      <c r="G18" s="774">
        <v>4.452443483965457E-2</v>
      </c>
      <c r="H18" s="773">
        <v>0.314</v>
      </c>
      <c r="I18" s="771">
        <v>0.52</v>
      </c>
      <c r="J18" s="601">
        <v>1.1599999999999999</v>
      </c>
      <c r="K18" s="426" t="str">
        <f t="shared" si="225"/>
        <v>1613</v>
      </c>
      <c r="L18" s="857" t="s">
        <v>376</v>
      </c>
      <c r="M18" s="173">
        <f t="shared" si="2"/>
        <v>1.1599999999999999</v>
      </c>
      <c r="N18" s="21">
        <f t="shared" si="3"/>
        <v>0.24518032472421658</v>
      </c>
      <c r="O18" s="5">
        <f t="shared" si="4"/>
        <v>5.7396830660454476</v>
      </c>
      <c r="P18" s="10">
        <f t="shared" si="5"/>
        <v>-3.0721092654815445</v>
      </c>
      <c r="Q18" s="624">
        <f t="shared" si="116"/>
        <v>87.554000353158656</v>
      </c>
      <c r="R18" s="5">
        <f>IF(M18="","",SQRT(N18^2+O18^2))</f>
        <v>5.7449173266706586</v>
      </c>
      <c r="S18" s="6">
        <f>IF(M18="","",P18)</f>
        <v>-3.0721092654815445</v>
      </c>
      <c r="T18" s="4">
        <f>IF(M18="","",X18*COS(RADIANS(W18)))</f>
        <v>5.7396830660454476</v>
      </c>
      <c r="U18" s="5">
        <f>IF(M18="","",X18*SIN(RADIANS(W18)))</f>
        <v>-0.24518032472421797</v>
      </c>
      <c r="V18" s="8">
        <f>IF(M18="","",Y18)</f>
        <v>-3.0721092654815445</v>
      </c>
      <c r="W18" s="624">
        <f t="shared" si="227"/>
        <v>357.55400035315864</v>
      </c>
      <c r="X18" s="5">
        <f>IF(M18="","",R18)</f>
        <v>5.7449173266706586</v>
      </c>
      <c r="Y18" s="7">
        <f t="shared" si="226"/>
        <v>-3.0721092654815445</v>
      </c>
      <c r="Z18" s="21">
        <f t="shared" si="7"/>
        <v>0.91078749995209174</v>
      </c>
      <c r="AA18" s="5">
        <f t="shared" si="8"/>
        <v>-0.4104676657584953</v>
      </c>
      <c r="AB18" s="5">
        <f t="shared" si="9"/>
        <v>-4.452443483965457E-2</v>
      </c>
      <c r="AC18" s="8">
        <f>IF(M18="","",SQRT(Z18^2+AA18^2+AB18^2))</f>
        <v>1</v>
      </c>
      <c r="AD18" s="9">
        <f>IF(M18="","",Z18*(1/SQRT(Z18^2+AA18^2+AB18^2)))</f>
        <v>0.91078749995209174</v>
      </c>
      <c r="AE18" s="5">
        <f>IF(M18="","",AA18*(1/SQRT(Z18^2+AA18^2+AB18^2)))</f>
        <v>-0.4104676657584953</v>
      </c>
      <c r="AF18" s="10">
        <f>IF(M18="","",AB18*(1/SQRT(Z18^2+AA18^2+AB18^2)))</f>
        <v>-4.452443483965457E-2</v>
      </c>
      <c r="AG18" s="622">
        <f>IF(M18="","",DEGREES(ATAN2(-AF18,AE18)))</f>
        <v>-83.809191409198789</v>
      </c>
      <c r="AH18" s="623">
        <f>IF(M18="","",DEGREES(ACOS(AD18)))</f>
        <v>24.385593971507895</v>
      </c>
      <c r="AI18" s="624">
        <f>IF(M18="","",DEGREES(-ACOS(-AF18)))</f>
        <v>-87.448094163959141</v>
      </c>
      <c r="AJ18" s="625">
        <f>IF(M18="","",DEGREES(ATAN2(-AE18,AD18)))</f>
        <v>65.74017888523116</v>
      </c>
      <c r="AK18" s="4">
        <f>IF(M18="","",(COS(RADIANS((90-$Q$8)-W18))*AD18)+(-SIN(RADIANS((90-$Q$8)-W18))*AE18))</f>
        <v>0.92747552015830881</v>
      </c>
      <c r="AL18" s="5">
        <f>IF(M18="","",(SIN(RADIANS((90-$Q$8)-W18))*AD18)+(COS(RADIANS((90-$Q$8)-W18))*AE18))</f>
        <v>-0.37122329427082545</v>
      </c>
      <c r="AM18" s="6">
        <f>IF(M18="","",AF18)</f>
        <v>-4.452443483965457E-2</v>
      </c>
      <c r="AN18" s="612">
        <f>IF(M18="","",DEGREES(ATAN2(-AM18,AL18)))</f>
        <v>-83.160628806236303</v>
      </c>
      <c r="AO18" s="613">
        <f t="shared" si="98"/>
        <v>21.955346909391348</v>
      </c>
      <c r="AP18" s="624">
        <f>IF(M18="","",DEGREES(ATAN2(AK18,AL18)))</f>
        <v>-21.813821467927479</v>
      </c>
      <c r="AQ18" s="625">
        <f t="shared" si="10"/>
        <v>2.157707219214918</v>
      </c>
      <c r="AS18" s="56">
        <f t="shared" si="119"/>
        <v>-2.4459996468413578</v>
      </c>
      <c r="AT18" s="77">
        <f t="shared" si="11"/>
        <v>-3.062868822371255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1.1599999999999999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0.25989500332269688</v>
      </c>
      <c r="C19" s="771">
        <v>5.8311286818941079</v>
      </c>
      <c r="D19" s="772">
        <v>-3.8465116010789888</v>
      </c>
      <c r="E19" s="773">
        <v>-0.87979785171113178</v>
      </c>
      <c r="F19" s="771">
        <v>0.47526359868465096</v>
      </c>
      <c r="G19" s="774">
        <v>8.9583419108902624E-3</v>
      </c>
      <c r="H19" s="773">
        <v>0.314</v>
      </c>
      <c r="I19" s="771">
        <v>0.52</v>
      </c>
      <c r="J19" s="601">
        <v>1.169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40</v>
      </c>
      <c r="M19" s="173">
        <f t="shared" si="2"/>
        <v>1.169</v>
      </c>
      <c r="N19" s="21">
        <f t="shared" si="3"/>
        <v>0.25989500332269688</v>
      </c>
      <c r="O19" s="5">
        <f t="shared" si="4"/>
        <v>5.8311286818941079</v>
      </c>
      <c r="P19" s="10">
        <f t="shared" si="5"/>
        <v>-3.8465116010789888</v>
      </c>
      <c r="Q19" s="624">
        <f t="shared" si="116"/>
        <v>87.448000368463155</v>
      </c>
      <c r="R19" s="5">
        <f>IF(M19="","",SQRT(N19^2+O19^2))</f>
        <v>5.8369176041434931</v>
      </c>
      <c r="S19" s="6">
        <f>IF(M19="","",P19)</f>
        <v>-3.8465116010789888</v>
      </c>
      <c r="T19" s="4">
        <f>IF(M19="","",X19*COS(RADIANS(W19)))</f>
        <v>5.831128681894107</v>
      </c>
      <c r="U19" s="5">
        <f>IF(M19="","",X19*SIN(RADIANS(W19)))</f>
        <v>-0.25989500332269666</v>
      </c>
      <c r="V19" s="8">
        <f>IF(M19="","",Y19)</f>
        <v>-3.8465116010789888</v>
      </c>
      <c r="W19" s="624">
        <f t="shared" si="227"/>
        <v>357.44800036846317</v>
      </c>
      <c r="X19" s="5">
        <f>IF(M19="","",R19)</f>
        <v>5.8369176041434931</v>
      </c>
      <c r="Y19" s="7">
        <f t="shared" si="226"/>
        <v>-3.8465116010789888</v>
      </c>
      <c r="Z19" s="21">
        <f t="shared" si="7"/>
        <v>0.87979785171113178</v>
      </c>
      <c r="AA19" s="5">
        <f t="shared" si="8"/>
        <v>-0.47526359868465096</v>
      </c>
      <c r="AB19" s="5">
        <f t="shared" si="9"/>
        <v>-8.9583419108902624E-3</v>
      </c>
      <c r="AC19" s="8">
        <f>IF(M19="","",SQRT(Z19^2+AA19^2+AB19^2))</f>
        <v>1</v>
      </c>
      <c r="AD19" s="9">
        <f>IF(M19="","",Z19*(1/SQRT(Z19^2+AA19^2+AB19^2)))</f>
        <v>0.87979785171113178</v>
      </c>
      <c r="AE19" s="5">
        <f>IF(M19="","",AA19*(1/SQRT(Z19^2+AA19^2+AB19^2)))</f>
        <v>-0.47526359868465096</v>
      </c>
      <c r="AF19" s="10">
        <f>IF(M19="","",AB19*(1/SQRT(Z19^2+AA19^2+AB19^2)))</f>
        <v>-8.9583419108902624E-3</v>
      </c>
      <c r="AG19" s="622">
        <f>IF(M19="","",DEGREES(ATAN2(-AF19,AE19)))</f>
        <v>-88.92014787229715</v>
      </c>
      <c r="AH19" s="623">
        <f>IF(M19="","",DEGREES(ACOS(AD19)))</f>
        <v>28.382011992717466</v>
      </c>
      <c r="AI19" s="624">
        <f>IF(M19="","",DEGREES(-ACOS(-AF19)))</f>
        <v>-89.486717951605655</v>
      </c>
      <c r="AJ19" s="625">
        <f>IF(M19="","",DEGREES(ATAN2(-AE19,AD19)))</f>
        <v>61.622243747476872</v>
      </c>
      <c r="AK19" s="4">
        <f>IF(M19="","",(COS(RADIANS((90-$Q$8)-W19))*AD19)+(-SIN(RADIANS((90-$Q$8)-W19))*AE19))</f>
        <v>0.90008690857849338</v>
      </c>
      <c r="AL19" s="5">
        <f>IF(M19="","",(SIN(RADIANS((90-$Q$8)-W19))*AD19)+(COS(RADIANS((90-$Q$8)-W19))*AE19))</f>
        <v>-0.43561830209005031</v>
      </c>
      <c r="AM19" s="6">
        <f>IF(M19="","",AF19)</f>
        <v>-8.9583419108902624E-3</v>
      </c>
      <c r="AN19" s="612">
        <f>IF(M19="","",DEGREES(ATAN2(-AM19,AL19)))</f>
        <v>-88.821897878857229</v>
      </c>
      <c r="AO19" s="613">
        <f t="shared" si="98"/>
        <v>25.830506666277376</v>
      </c>
      <c r="AP19" s="624">
        <f>IF(M19="","",DEGREES(ATAN2(AK19,AL19)))</f>
        <v>-25.82575662098629</v>
      </c>
      <c r="AQ19" s="625">
        <f t="shared" si="10"/>
        <v>2.1237292787608304</v>
      </c>
      <c r="AS19" s="56">
        <f t="shared" si="119"/>
        <v>-2.5519996315368303</v>
      </c>
      <c r="AT19" s="77">
        <f t="shared" si="11"/>
        <v>-3.8368707135820719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1.169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0.26636691431645199</v>
      </c>
      <c r="C20" s="771">
        <v>5.8703776646301131</v>
      </c>
      <c r="D20" s="772">
        <v>-4.625113949343671</v>
      </c>
      <c r="E20" s="773">
        <v>-0.84247124739708457</v>
      </c>
      <c r="F20" s="771">
        <v>0.53874130833748735</v>
      </c>
      <c r="G20" s="774">
        <v>1.1339743349360866E-7</v>
      </c>
      <c r="H20" s="773">
        <v>0.314</v>
      </c>
      <c r="I20" s="771">
        <v>0.52</v>
      </c>
      <c r="J20" s="601">
        <v>1.1779999999999999</v>
      </c>
      <c r="K20" s="426" t="str">
        <f t="shared" si="225"/>
        <v>1613</v>
      </c>
      <c r="L20" s="858" t="s">
        <v>377</v>
      </c>
      <c r="M20" s="173">
        <f t="shared" si="2"/>
        <v>1.1779999999999999</v>
      </c>
      <c r="N20" s="21">
        <f t="shared" si="3"/>
        <v>0.26636691431645199</v>
      </c>
      <c r="O20" s="5">
        <f t="shared" si="4"/>
        <v>5.8703776646301131</v>
      </c>
      <c r="P20" s="10">
        <f t="shared" si="5"/>
        <v>-4.625113949343671</v>
      </c>
      <c r="Q20" s="624">
        <f t="shared" si="116"/>
        <v>87.402000375104734</v>
      </c>
      <c r="R20" s="5">
        <f>IF(M20="","",SQRT(N20^2+O20^2))</f>
        <v>5.8764177232758534</v>
      </c>
      <c r="S20" s="6">
        <f>IF(M20="","",P20)</f>
        <v>-4.625113949343671</v>
      </c>
      <c r="T20" s="4">
        <f>IF(M20="","",X20*COS(RADIANS(W20)))</f>
        <v>5.8703776646301131</v>
      </c>
      <c r="U20" s="5">
        <f>IF(M20="","",X20*SIN(RADIANS(W20)))</f>
        <v>-0.26636691431644932</v>
      </c>
      <c r="V20" s="8">
        <f>IF(M20="","",Y20)</f>
        <v>-4.625113949343671</v>
      </c>
      <c r="W20" s="624">
        <f t="shared" si="227"/>
        <v>357.40200037510476</v>
      </c>
      <c r="X20" s="5">
        <f>IF(M20="","",R20)</f>
        <v>5.8764177232758534</v>
      </c>
      <c r="Y20" s="7">
        <f t="shared" si="226"/>
        <v>-4.625113949343671</v>
      </c>
      <c r="Z20" s="21">
        <f t="shared" si="7"/>
        <v>0.84247124739708457</v>
      </c>
      <c r="AA20" s="5">
        <f t="shared" si="8"/>
        <v>-0.53874130833748735</v>
      </c>
      <c r="AB20" s="5">
        <f t="shared" si="9"/>
        <v>-1.1339743349360866E-7</v>
      </c>
      <c r="AC20" s="8">
        <f>IF(M20="","",SQRT(Z20^2+AA20^2+AB20^2))</f>
        <v>1</v>
      </c>
      <c r="AD20" s="9">
        <f>IF(M20="","",Z20*(1/SQRT(Z20^2+AA20^2+AB20^2)))</f>
        <v>0.84247124739708457</v>
      </c>
      <c r="AE20" s="5">
        <f>IF(M20="","",AA20*(1/SQRT(Z20^2+AA20^2+AB20^2)))</f>
        <v>-0.53874130833748735</v>
      </c>
      <c r="AF20" s="10">
        <f>IF(M20="","",AB20*(1/SQRT(Z20^2+AA20^2+AB20^2)))</f>
        <v>-1.1339743349360866E-7</v>
      </c>
      <c r="AG20" s="622">
        <f>IF(M20="","",DEGREES(ATAN2(-AF20,AE20)))</f>
        <v>-89.999987940047944</v>
      </c>
      <c r="AH20" s="623">
        <f>IF(M20="","",DEGREES(ACOS(AD20)))</f>
        <v>32.597995293431737</v>
      </c>
      <c r="AI20" s="624">
        <f>IF(M20="","",DEGREES(-ACOS(-AF20)))</f>
        <v>-89.999993502805651</v>
      </c>
      <c r="AJ20" s="625">
        <f>IF(M20="","",DEGREES(ATAN2(-AE20,AD20)))</f>
        <v>57.402004706568839</v>
      </c>
      <c r="AK20" s="4">
        <f>IF(M20="","",(COS(RADIANS((90-$Q$8)-W20))*AD20)+(-SIN(RADIANS((90-$Q$8)-W20))*AE20))</f>
        <v>0.8660254415835853</v>
      </c>
      <c r="AL20" s="5">
        <f>IF(M20="","",(SIN(RADIANS((90-$Q$8)-W20))*AD20)+(COS(RADIANS((90-$Q$8)-W20))*AE20))</f>
        <v>-0.49999993452993879</v>
      </c>
      <c r="AM20" s="6">
        <f>IF(M20="","",AF20)</f>
        <v>-1.1339743349360866E-7</v>
      </c>
      <c r="AN20" s="612">
        <f>IF(M20="","",DEGREES(ATAN2(-AM20,AL20)))</f>
        <v>-89.999987005609611</v>
      </c>
      <c r="AO20" s="613">
        <f t="shared" si="98"/>
        <v>29.999995668536574</v>
      </c>
      <c r="AP20" s="624">
        <f>IF(M20="","",DEGREES(ATAN2(AK20,AL20)))</f>
        <v>-29.999995668535924</v>
      </c>
      <c r="AQ20" s="625">
        <f t="shared" si="10"/>
        <v>2.1094669302611715</v>
      </c>
      <c r="AS20" s="56">
        <f t="shared" si="119"/>
        <v>-2.5979996248952375</v>
      </c>
      <c r="AT20" s="77">
        <f t="shared" si="11"/>
        <v>-4.6152992840940668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1.1779999999999999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</v>
      </c>
      <c r="B21" s="770">
        <v>0.99976649126884032</v>
      </c>
      <c r="C21" s="771">
        <v>1.5461257554331407</v>
      </c>
      <c r="D21" s="772">
        <v>-0.25280076244709959</v>
      </c>
      <c r="E21" s="773">
        <v>-1.904477370598836E-7</v>
      </c>
      <c r="F21" s="771">
        <v>1.231486282285686E-7</v>
      </c>
      <c r="G21" s="774">
        <v>0.99999999999997435</v>
      </c>
      <c r="H21" s="773">
        <v>0.25700000000000001</v>
      </c>
      <c r="I21" s="771">
        <v>0.41499999999999992</v>
      </c>
      <c r="J21" s="601">
        <v>1.2070000000000001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Knuckle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1.2070000000000001</v>
      </c>
      <c r="N21" s="21">
        <f t="shared" si="3"/>
        <v>0.99976649126884032</v>
      </c>
      <c r="O21" s="5">
        <f t="shared" si="4"/>
        <v>1.5461257554331407</v>
      </c>
      <c r="P21" s="10">
        <f t="shared" si="5"/>
        <v>-0.25280076244709959</v>
      </c>
      <c r="Q21" s="624">
        <f t="shared" si="116"/>
        <v>57.112204748410143</v>
      </c>
      <c r="R21" s="5">
        <f>IF(M21="","",SQRT(N21^2+O21^2))</f>
        <v>1.8412055530759481</v>
      </c>
      <c r="S21" s="6">
        <f>IF(M21="","",P21)</f>
        <v>-0.25280076244709959</v>
      </c>
      <c r="T21" s="4">
        <f>IF(M21="","",X21*COS(RADIANS(W21)))</f>
        <v>1.5461257554331405</v>
      </c>
      <c r="U21" s="5">
        <f>IF(M21="","",X21*SIN(RADIANS(W21)))</f>
        <v>-0.99976649126884065</v>
      </c>
      <c r="V21" s="8">
        <f>IF(M21="","",Y21)</f>
        <v>-0.25280076244709959</v>
      </c>
      <c r="W21" s="624">
        <f t="shared" si="227"/>
        <v>327.11220474841014</v>
      </c>
      <c r="X21" s="5">
        <f>IF(M21="","",R21)</f>
        <v>1.8412055530759481</v>
      </c>
      <c r="Y21" s="7">
        <f t="shared" si="226"/>
        <v>-0.25280076244709959</v>
      </c>
      <c r="Z21" s="21">
        <f t="shared" si="7"/>
        <v>1.904477370598836E-7</v>
      </c>
      <c r="AA21" s="5">
        <f t="shared" si="8"/>
        <v>-1.231486282285686E-7</v>
      </c>
      <c r="AB21" s="5">
        <f t="shared" si="9"/>
        <v>-0.99999999999997435</v>
      </c>
      <c r="AC21" s="8">
        <f>IF(M21="","",SQRT(Z21^2+AA21^2+AB21^2))</f>
        <v>1</v>
      </c>
      <c r="AD21" s="9">
        <f>IF(M21="","",Z21*(1/SQRT(Z21^2+AA21^2+AB21^2)))</f>
        <v>1.904477370598836E-7</v>
      </c>
      <c r="AE21" s="5">
        <f>IF(M21="","",AA21*(1/SQRT(Z21^2+AA21^2+AB21^2)))</f>
        <v>-1.231486282285686E-7</v>
      </c>
      <c r="AF21" s="10">
        <f>IF(M21="","",AB21*(1/SQRT(Z21^2+AA21^2+AB21^2)))</f>
        <v>-0.99999999999997435</v>
      </c>
      <c r="AG21" s="622">
        <f>IF(M21="","",DEGREES(ATAN2(-AF21,AE21)))</f>
        <v>-7.055896650322756E-6</v>
      </c>
      <c r="AH21" s="623">
        <f>IF(M21="","",DEGREES(ACOS(AD21)))</f>
        <v>89.999989088148439</v>
      </c>
      <c r="AI21" s="624">
        <f>IF(M21="","",DEGREES(-ACOS(-AF21)))</f>
        <v>-1.2976235990044085E-5</v>
      </c>
      <c r="AJ21" s="625">
        <f>IF(M21="","",DEGREES(ATAN2(-AE21,AD21)))</f>
        <v>57.112204748410129</v>
      </c>
      <c r="AK21" s="4">
        <f>IF(M21="","",(COS(RADIANS((90-$Q$8)-W21))*AD21)+(-SIN(RADIANS((90-$Q$8)-W21))*AE21))</f>
        <v>2.2679489673669635E-7</v>
      </c>
      <c r="AL21" s="5">
        <f>IF(M21="","",(SIN(RADIANS((90-$Q$8)-W21))*AD21)+(COS(RADIANS((90-$Q$8)-W21))*AE21))</f>
        <v>0</v>
      </c>
      <c r="AM21" s="6">
        <f>IF(M21="","",AF21)</f>
        <v>-0.99999999999997435</v>
      </c>
      <c r="AN21" s="612">
        <f>IF(M21="","",DEGREES(ATAN2(-AM21,AL21)))</f>
        <v>0</v>
      </c>
      <c r="AO21" s="613">
        <f>IF(ROUND(IF(M21="",0,DEGREES(ACOS(AK21))),4)=90,0,IF(M21="","",DEGREES(ACOS(AK21))))</f>
        <v>0</v>
      </c>
      <c r="AP21" s="624">
        <f>IF(M21="","",DEGREES(ATAN2(AK21,AL21)))</f>
        <v>0</v>
      </c>
      <c r="AQ21" s="625">
        <f t="shared" si="10"/>
        <v>6.7048737117179487</v>
      </c>
      <c r="AS21" s="56">
        <f t="shared" si="119"/>
        <v>-32.887795251589864</v>
      </c>
      <c r="AT21" s="77">
        <f t="shared" si="11"/>
        <v>-0.1285579803855379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1.2070000000000001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1.107</v>
      </c>
      <c r="II21" s="800" cm="1">
        <f t="array" ref="II21">IFERROR(IF($IH21&lt;1,$IH21+LARGE((IF($M$9:$M$150="",0,$M$9:$M$150)-MOD(IF($M$9:$M$150="",0,$M$9:$M$150),1)),1),$IH21),"")</f>
        <v>1.107</v>
      </c>
      <c r="IJ21" s="839" t="str">
        <f t="shared" si="68"/>
        <v>1613</v>
      </c>
      <c r="IK21" s="839" t="str">
        <f t="shared" si="69"/>
        <v>Knuckle</v>
      </c>
      <c r="IL21" s="791">
        <f t="shared" si="228"/>
        <v>32.887795251589864</v>
      </c>
      <c r="IM21" s="830">
        <v>1.11161889348494E-2</v>
      </c>
      <c r="IN21" s="5">
        <f t="shared" si="229"/>
        <v>0.12</v>
      </c>
      <c r="IO21" s="852">
        <v>60</v>
      </c>
      <c r="IP21" s="9">
        <f t="shared" si="230"/>
        <v>-1.8533055895696582</v>
      </c>
      <c r="IQ21" s="5">
        <f t="shared" si="231"/>
        <v>-0.28590086227700062</v>
      </c>
      <c r="IR21" s="5">
        <f t="shared" si="74"/>
        <v>0.314</v>
      </c>
      <c r="IS21" s="5">
        <f t="shared" si="232"/>
        <v>0.30330071252667312</v>
      </c>
      <c r="IT21" s="791">
        <f t="shared" si="233"/>
        <v>-14.999997834268271</v>
      </c>
      <c r="IU21" s="9">
        <f t="shared" si="234"/>
        <v>-1.8412055530759481</v>
      </c>
      <c r="IV21" s="5">
        <f t="shared" si="235"/>
        <v>-0.25280076244709959</v>
      </c>
      <c r="IW21" s="5">
        <f t="shared" si="79"/>
        <v>0.25700000000000001</v>
      </c>
      <c r="IX21" s="5">
        <f t="shared" si="236"/>
        <v>0.25700000000000001</v>
      </c>
      <c r="IY21" s="833">
        <f t="shared" si="237"/>
        <v>0</v>
      </c>
    </row>
    <row r="22" spans="1:259" ht="15" customHeight="1" x14ac:dyDescent="0.25">
      <c r="A22" s="84">
        <f t="shared" si="82"/>
        <v>0</v>
      </c>
      <c r="B22" s="770">
        <v>1.006411828945073</v>
      </c>
      <c r="C22" s="771">
        <v>2.3879970053912913</v>
      </c>
      <c r="D22" s="772">
        <v>-6.1600185786160333E-2</v>
      </c>
      <c r="E22" s="773">
        <v>-2.0899278410269971E-7</v>
      </c>
      <c r="F22" s="771">
        <v>8.8079176683351143E-8</v>
      </c>
      <c r="G22" s="774">
        <v>0.99999999999997435</v>
      </c>
      <c r="H22" s="773">
        <v>0.25700000000000001</v>
      </c>
      <c r="I22" s="771">
        <v>0.41499999999999992</v>
      </c>
      <c r="J22" s="601">
        <v>1.2110000000000001</v>
      </c>
      <c r="K22" s="426" t="str">
        <f t="shared" si="225"/>
        <v>Knuckle</v>
      </c>
      <c r="L22" s="327"/>
      <c r="M22" s="173">
        <f t="shared" si="2"/>
        <v>1.2110000000000001</v>
      </c>
      <c r="N22" s="21">
        <f t="shared" si="3"/>
        <v>1.006411828945073</v>
      </c>
      <c r="O22" s="5">
        <f t="shared" si="4"/>
        <v>2.3879970053912913</v>
      </c>
      <c r="P22" s="10">
        <f t="shared" si="5"/>
        <v>-6.1600185786160333E-2</v>
      </c>
      <c r="Q22" s="624">
        <f t="shared" si="116"/>
        <v>67.147203299535619</v>
      </c>
      <c r="R22" s="5">
        <f t="shared" si="83"/>
        <v>2.5914078156859723</v>
      </c>
      <c r="S22" s="6">
        <f t="shared" si="84"/>
        <v>-6.1600185786160333E-2</v>
      </c>
      <c r="T22" s="4">
        <f t="shared" si="85"/>
        <v>2.3879970053912909</v>
      </c>
      <c r="U22" s="5">
        <f t="shared" si="86"/>
        <v>-1.0064118289450743</v>
      </c>
      <c r="V22" s="8">
        <f t="shared" si="117"/>
        <v>-6.1600185786160333E-2</v>
      </c>
      <c r="W22" s="624">
        <f t="shared" si="227"/>
        <v>337.14720329953559</v>
      </c>
      <c r="X22" s="5">
        <f t="shared" si="87"/>
        <v>2.5914078156859723</v>
      </c>
      <c r="Y22" s="7">
        <f t="shared" si="226"/>
        <v>-6.1600185786160333E-2</v>
      </c>
      <c r="Z22" s="21">
        <f t="shared" si="7"/>
        <v>2.0899278410269971E-7</v>
      </c>
      <c r="AA22" s="5">
        <f t="shared" si="8"/>
        <v>-8.8079176683351143E-8</v>
      </c>
      <c r="AB22" s="5">
        <f t="shared" si="9"/>
        <v>-0.99999999999997435</v>
      </c>
      <c r="AC22" s="8">
        <f t="shared" si="88"/>
        <v>1</v>
      </c>
      <c r="AD22" s="9">
        <f t="shared" si="118"/>
        <v>2.0899278410269971E-7</v>
      </c>
      <c r="AE22" s="5">
        <f t="shared" si="89"/>
        <v>-8.8079176683351143E-8</v>
      </c>
      <c r="AF22" s="10">
        <f t="shared" si="90"/>
        <v>-0.99999999999997435</v>
      </c>
      <c r="AG22" s="622">
        <f t="shared" si="91"/>
        <v>-5.0465650869432253E-6</v>
      </c>
      <c r="AH22" s="623">
        <f t="shared" si="92"/>
        <v>89.999988025595513</v>
      </c>
      <c r="AI22" s="624">
        <f t="shared" si="93"/>
        <v>-1.2976235990044085E-5</v>
      </c>
      <c r="AJ22" s="625">
        <f t="shared" si="94"/>
        <v>67.14720329251135</v>
      </c>
      <c r="AK22" s="4">
        <f t="shared" si="213"/>
        <v>2.2679489670672626E-7</v>
      </c>
      <c r="AL22" s="5">
        <f t="shared" si="95"/>
        <v>-2.7804147661198027E-17</v>
      </c>
      <c r="AM22" s="6">
        <f t="shared" si="96"/>
        <v>-0.99999999999997435</v>
      </c>
      <c r="AN22" s="612">
        <f t="shared" si="97"/>
        <v>-1.5930603139452267E-15</v>
      </c>
      <c r="AO22" s="613">
        <f t="shared" si="98"/>
        <v>0</v>
      </c>
      <c r="AP22" s="624">
        <f t="shared" si="99"/>
        <v>-7.0242335126491365E-9</v>
      </c>
      <c r="AQ22" s="625">
        <f t="shared" si="10"/>
        <v>4.7746217919899054</v>
      </c>
      <c r="AS22" s="56">
        <f t="shared" si="119"/>
        <v>-22.85279670046441</v>
      </c>
      <c r="AT22" s="77">
        <f t="shared" si="11"/>
        <v>2.4732601748927441E-2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>
        <f>IFERROR(IF($IU22="","",IF($IU22&lt;(((Settings!$C$19/2)*-1)*$IE$8),"",1)),"")</f>
        <v>1</v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1.2110000000000001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1.111</v>
      </c>
      <c r="II22" s="800" cm="1">
        <f t="array" ref="II22">IFERROR(IF($IH22&lt;1,$IH22+LARGE((IF($M$9:$M$150="",0,$M$9:$M$150)-MOD(IF($M$9:$M$150="",0,$M$9:$M$150),1)),1),$IH22),"")</f>
        <v>1.111</v>
      </c>
      <c r="IJ22" s="839" t="str">
        <f t="shared" si="68"/>
        <v>1613</v>
      </c>
      <c r="IK22" s="839" t="str">
        <f t="shared" si="69"/>
        <v>Knuckle</v>
      </c>
      <c r="IL22" s="791">
        <f t="shared" si="228"/>
        <v>22.85279670046441</v>
      </c>
      <c r="IM22" s="830">
        <v>8.3028091361162706E-3</v>
      </c>
      <c r="IN22" s="5">
        <f t="shared" si="229"/>
        <v>0.12</v>
      </c>
      <c r="IO22" s="852">
        <v>60</v>
      </c>
      <c r="IP22" s="9">
        <f t="shared" si="230"/>
        <v>-2.5987078377028388</v>
      </c>
      <c r="IQ22" s="5">
        <f t="shared" si="231"/>
        <v>-9.8900298283299631E-2</v>
      </c>
      <c r="IR22" s="5">
        <f t="shared" si="74"/>
        <v>0.314</v>
      </c>
      <c r="IS22" s="5">
        <f t="shared" si="232"/>
        <v>0.30330071252667312</v>
      </c>
      <c r="IT22" s="791">
        <f t="shared" si="233"/>
        <v>-8.9999987005609672</v>
      </c>
      <c r="IU22" s="9">
        <f t="shared" si="234"/>
        <v>-2.5914078156859723</v>
      </c>
      <c r="IV22" s="5">
        <f t="shared" si="235"/>
        <v>-6.1600185786160333E-2</v>
      </c>
      <c r="IW22" s="5">
        <f t="shared" si="79"/>
        <v>0.25700000000000001</v>
      </c>
      <c r="IX22" s="5">
        <f t="shared" si="236"/>
        <v>0.25700000000000001</v>
      </c>
      <c r="IY22" s="833">
        <f t="shared" si="237"/>
        <v>1.5930603139452267E-15</v>
      </c>
    </row>
    <row r="23" spans="1:259" ht="15" customHeight="1" x14ac:dyDescent="0.25">
      <c r="A23" s="84">
        <f t="shared" si="82"/>
        <v>0.02</v>
      </c>
      <c r="B23" s="770">
        <v>2.0922410461322301</v>
      </c>
      <c r="C23" s="771">
        <v>3.5157567902877283</v>
      </c>
      <c r="D23" s="772">
        <v>-0.42170127185103584</v>
      </c>
      <c r="E23" s="773">
        <v>-0.73065801293631627</v>
      </c>
      <c r="F23" s="771">
        <v>0.65755491360565455</v>
      </c>
      <c r="G23" s="774">
        <v>0.18374004387997248</v>
      </c>
      <c r="H23" s="773">
        <v>0.314</v>
      </c>
      <c r="I23" s="771">
        <v>0.52</v>
      </c>
      <c r="J23" s="601">
        <v>2.1230000000000002</v>
      </c>
      <c r="K23" s="426" t="str">
        <f t="shared" si="225"/>
        <v>1613</v>
      </c>
      <c r="L23" s="327"/>
      <c r="M23" s="173">
        <f t="shared" si="2"/>
        <v>2.1230000000000002</v>
      </c>
      <c r="N23" s="21">
        <f t="shared" si="3"/>
        <v>2.0922410461322301</v>
      </c>
      <c r="O23" s="5">
        <f t="shared" si="4"/>
        <v>3.5157567902877283</v>
      </c>
      <c r="P23" s="10">
        <f t="shared" si="5"/>
        <v>-0.42170127185103584</v>
      </c>
      <c r="Q23" s="624">
        <f t="shared" si="116"/>
        <v>59.242952463199138</v>
      </c>
      <c r="R23" s="5">
        <f t="shared" si="83"/>
        <v>4.0912123390964146</v>
      </c>
      <c r="S23" s="6">
        <f t="shared" si="84"/>
        <v>-0.42170127185103584</v>
      </c>
      <c r="T23" s="4">
        <f t="shared" si="85"/>
        <v>3.5157567902877278</v>
      </c>
      <c r="U23" s="5">
        <f t="shared" si="86"/>
        <v>-2.0922410461322305</v>
      </c>
      <c r="V23" s="8">
        <f t="shared" si="117"/>
        <v>-0.42170127185103584</v>
      </c>
      <c r="W23" s="624">
        <f t="shared" si="227"/>
        <v>329.24295246319912</v>
      </c>
      <c r="X23" s="5">
        <f t="shared" si="87"/>
        <v>4.0912123390964146</v>
      </c>
      <c r="Y23" s="7">
        <f t="shared" si="226"/>
        <v>-0.42170127185103584</v>
      </c>
      <c r="Z23" s="21">
        <f t="shared" si="7"/>
        <v>0.73065801293631627</v>
      </c>
      <c r="AA23" s="5">
        <f t="shared" si="8"/>
        <v>-0.65755491360565455</v>
      </c>
      <c r="AB23" s="5">
        <f t="shared" si="9"/>
        <v>-0.18374004387997248</v>
      </c>
      <c r="AC23" s="8">
        <f t="shared" si="88"/>
        <v>1</v>
      </c>
      <c r="AD23" s="9">
        <f t="shared" si="118"/>
        <v>0.73065801293631627</v>
      </c>
      <c r="AE23" s="5">
        <f t="shared" si="89"/>
        <v>-0.65755491360565455</v>
      </c>
      <c r="AF23" s="10">
        <f t="shared" si="90"/>
        <v>-0.18374004387997248</v>
      </c>
      <c r="AG23" s="622">
        <f t="shared" si="91"/>
        <v>-74.388084810764937</v>
      </c>
      <c r="AH23" s="623">
        <f t="shared" si="92"/>
        <v>43.058414003728721</v>
      </c>
      <c r="AI23" s="624">
        <f t="shared" si="93"/>
        <v>-79.41231692454798</v>
      </c>
      <c r="AJ23" s="625">
        <f t="shared" si="94"/>
        <v>48.014403450412331</v>
      </c>
      <c r="AK23" s="4">
        <f t="shared" si="213"/>
        <v>0.96415901296432727</v>
      </c>
      <c r="AL23" s="5">
        <f t="shared" si="95"/>
        <v>-0.19140792563172571</v>
      </c>
      <c r="AM23" s="6">
        <f t="shared" si="96"/>
        <v>-0.18374004387997248</v>
      </c>
      <c r="AN23" s="612">
        <f t="shared" si="97"/>
        <v>-46.170940885708205</v>
      </c>
      <c r="AO23" s="613">
        <f t="shared" si="98"/>
        <v>15.38626995348087</v>
      </c>
      <c r="AP23" s="624">
        <f t="shared" si="99"/>
        <v>-11.228549012786795</v>
      </c>
      <c r="AQ23" s="625">
        <f t="shared" si="10"/>
        <v>3.0284815722501044</v>
      </c>
      <c r="AS23" s="56">
        <f t="shared" si="119"/>
        <v>-30.757047536800883</v>
      </c>
      <c r="AT23" s="77">
        <f t="shared" si="11"/>
        <v>-0.30550798115645472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2.1230000000000002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0.02</v>
      </c>
      <c r="B24" s="770">
        <v>2.4370468243871284</v>
      </c>
      <c r="C24" s="771">
        <v>4.0066549132897462</v>
      </c>
      <c r="D24" s="772">
        <v>-0.91980277412516676</v>
      </c>
      <c r="E24" s="773">
        <v>-0.70303574078018849</v>
      </c>
      <c r="F24" s="771">
        <v>0.69680993349409337</v>
      </c>
      <c r="G24" s="774">
        <v>0.14211496673330598</v>
      </c>
      <c r="H24" s="773">
        <v>0.314</v>
      </c>
      <c r="I24" s="771">
        <v>0.52</v>
      </c>
      <c r="J24" s="601">
        <v>2.1320000000000001</v>
      </c>
      <c r="K24" s="426" t="str">
        <f t="shared" si="225"/>
        <v>1613</v>
      </c>
      <c r="L24" s="327"/>
      <c r="M24" s="173">
        <f t="shared" si="2"/>
        <v>2.1320000000000001</v>
      </c>
      <c r="N24" s="21">
        <f t="shared" si="3"/>
        <v>2.4370468243871284</v>
      </c>
      <c r="O24" s="5">
        <f t="shared" si="4"/>
        <v>4.0066549132897462</v>
      </c>
      <c r="P24" s="10">
        <f t="shared" si="5"/>
        <v>-0.91980277412516676</v>
      </c>
      <c r="Q24" s="624">
        <f t="shared" si="116"/>
        <v>58.689952543042438</v>
      </c>
      <c r="R24" s="5">
        <f t="shared" si="83"/>
        <v>4.6896141438762582</v>
      </c>
      <c r="S24" s="6">
        <f t="shared" si="84"/>
        <v>-0.91980277412516676</v>
      </c>
      <c r="T24" s="4">
        <f t="shared" si="85"/>
        <v>4.0066549132897462</v>
      </c>
      <c r="U24" s="5">
        <f t="shared" si="86"/>
        <v>-2.4370468243871288</v>
      </c>
      <c r="V24" s="8">
        <f t="shared" si="117"/>
        <v>-0.91980277412516676</v>
      </c>
      <c r="W24" s="624">
        <f t="shared" si="227"/>
        <v>328.68995254304241</v>
      </c>
      <c r="X24" s="5">
        <f t="shared" si="87"/>
        <v>4.6896141438762582</v>
      </c>
      <c r="Y24" s="7">
        <f t="shared" si="226"/>
        <v>-0.91980277412516676</v>
      </c>
      <c r="Z24" s="21">
        <f t="shared" si="7"/>
        <v>0.70303574078018849</v>
      </c>
      <c r="AA24" s="5">
        <f t="shared" si="8"/>
        <v>-0.69680993349409337</v>
      </c>
      <c r="AB24" s="5">
        <f t="shared" si="9"/>
        <v>-0.14211496673330598</v>
      </c>
      <c r="AC24" s="8">
        <f t="shared" si="88"/>
        <v>1</v>
      </c>
      <c r="AD24" s="9">
        <f t="shared" si="118"/>
        <v>0.70303574078018849</v>
      </c>
      <c r="AE24" s="5">
        <f t="shared" si="89"/>
        <v>-0.69680993349409337</v>
      </c>
      <c r="AF24" s="10">
        <f t="shared" si="90"/>
        <v>-0.14211496673330598</v>
      </c>
      <c r="AG24" s="622">
        <f t="shared" si="91"/>
        <v>-78.472574119928282</v>
      </c>
      <c r="AH24" s="623">
        <f t="shared" si="92"/>
        <v>45.328927812061792</v>
      </c>
      <c r="AI24" s="624">
        <f t="shared" si="93"/>
        <v>-81.829751207412457</v>
      </c>
      <c r="AJ24" s="625">
        <f t="shared" si="94"/>
        <v>45.254821039339163</v>
      </c>
      <c r="AK24" s="4">
        <f>IF(M24="","",(COS(RADIANS((90-$Q$8)-W24))*AD24)+(-SIN(RADIANS((90-$Q$8)-W24))*AE24))</f>
        <v>0.96276151984361613</v>
      </c>
      <c r="AL24" s="5">
        <f t="shared" si="95"/>
        <v>-0.22998606944508954</v>
      </c>
      <c r="AM24" s="6">
        <f t="shared" si="96"/>
        <v>-0.14211496673330598</v>
      </c>
      <c r="AN24" s="612">
        <f t="shared" si="97"/>
        <v>-58.286895744551977</v>
      </c>
      <c r="AO24" s="613">
        <f t="shared" si="98"/>
        <v>15.685219693076647</v>
      </c>
      <c r="AP24" s="624">
        <f t="shared" si="99"/>
        <v>-13.435131503703275</v>
      </c>
      <c r="AQ24" s="625">
        <f t="shared" si="10"/>
        <v>2.6426305486801476</v>
      </c>
      <c r="AS24" s="56">
        <f t="shared" si="119"/>
        <v>-31.310047456957591</v>
      </c>
      <c r="AT24" s="77">
        <f t="shared" si="11"/>
        <v>-0.80152037262110476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2.1320000000000001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8"/>
        <v/>
      </c>
      <c r="IK24" s="839" t="str">
        <f t="shared" si="69"/>
        <v/>
      </c>
      <c r="IL24" s="791" t="str">
        <f t="shared" si="228"/>
        <v/>
      </c>
      <c r="IM24" s="830"/>
      <c r="IN24" s="5" t="str">
        <f t="shared" si="229"/>
        <v/>
      </c>
      <c r="IO24" s="852"/>
      <c r="IP24" s="9" t="str">
        <f t="shared" si="230"/>
        <v/>
      </c>
      <c r="IQ24" s="5" t="str">
        <f t="shared" si="231"/>
        <v/>
      </c>
      <c r="IR24" s="5" t="str">
        <f t="shared" si="74"/>
        <v/>
      </c>
      <c r="IS24" s="5" t="str">
        <f t="shared" si="232"/>
        <v/>
      </c>
      <c r="IT24" s="791" t="str">
        <f t="shared" si="233"/>
        <v/>
      </c>
      <c r="IU24" s="9" t="str">
        <f t="shared" si="234"/>
        <v/>
      </c>
      <c r="IV24" s="5" t="str">
        <f t="shared" si="235"/>
        <v/>
      </c>
      <c r="IW24" s="5" t="str">
        <f t="shared" si="79"/>
        <v/>
      </c>
      <c r="IX24" s="5" t="str">
        <f t="shared" si="236"/>
        <v/>
      </c>
      <c r="IY24" s="833" t="str">
        <f t="shared" si="237"/>
        <v/>
      </c>
    </row>
    <row r="25" spans="1:259" ht="15" customHeight="1" x14ac:dyDescent="0.25">
      <c r="A25" s="84">
        <f t="shared" si="82"/>
        <v>0.02</v>
      </c>
      <c r="B25" s="770">
        <v>2.7193483290699483</v>
      </c>
      <c r="C25" s="771">
        <v>4.3863645696134999</v>
      </c>
      <c r="D25" s="772">
        <v>-1.540304645558811</v>
      </c>
      <c r="E25" s="773">
        <v>-0.67114261700474631</v>
      </c>
      <c r="F25" s="771">
        <v>0.73332222558202109</v>
      </c>
      <c r="G25" s="774">
        <v>0.10865588390626629</v>
      </c>
      <c r="H25" s="773">
        <v>0.314</v>
      </c>
      <c r="I25" s="771">
        <v>0.52</v>
      </c>
      <c r="J25" s="601">
        <v>2.141</v>
      </c>
      <c r="K25" s="426" t="str">
        <f t="shared" si="225"/>
        <v>1613</v>
      </c>
      <c r="L25" s="327"/>
      <c r="M25" s="173">
        <f t="shared" si="2"/>
        <v>2.141</v>
      </c>
      <c r="N25" s="21">
        <f t="shared" si="3"/>
        <v>2.7193483290699483</v>
      </c>
      <c r="O25" s="5">
        <f t="shared" si="4"/>
        <v>4.3863645696134999</v>
      </c>
      <c r="P25" s="10">
        <f t="shared" si="5"/>
        <v>-1.540304645558811</v>
      </c>
      <c r="Q25" s="624">
        <f t="shared" si="116"/>
        <v>58.202952613356537</v>
      </c>
      <c r="R25" s="5">
        <f>IF(M25="","",SQRT(N25^2+O25^2))</f>
        <v>5.1609155653213454</v>
      </c>
      <c r="S25" s="6">
        <f>IF(M25="","",P25)</f>
        <v>-1.540304645558811</v>
      </c>
      <c r="T25" s="4">
        <f>IF(M25="","",X25*COS(RADIANS(W25)))</f>
        <v>4.3863645696134999</v>
      </c>
      <c r="U25" s="5">
        <f>IF(M25="","",X25*SIN(RADIANS(W25)))</f>
        <v>-2.7193483290699483</v>
      </c>
      <c r="V25" s="8">
        <f>IF(M25="","",Y25)</f>
        <v>-1.540304645558811</v>
      </c>
      <c r="W25" s="624">
        <f t="shared" si="227"/>
        <v>328.20295261335656</v>
      </c>
      <c r="X25" s="5">
        <f>IF(M25="","",R25)</f>
        <v>5.1609155653213454</v>
      </c>
      <c r="Y25" s="7">
        <f t="shared" si="226"/>
        <v>-1.540304645558811</v>
      </c>
      <c r="Z25" s="21">
        <f t="shared" si="7"/>
        <v>0.67114261700474631</v>
      </c>
      <c r="AA25" s="5">
        <f t="shared" si="8"/>
        <v>-0.73332222558202109</v>
      </c>
      <c r="AB25" s="5">
        <f t="shared" si="9"/>
        <v>-0.10865588390626629</v>
      </c>
      <c r="AC25" s="8">
        <f>IF(M25="","",SQRT(Z25^2+AA25^2+AB25^2))</f>
        <v>1</v>
      </c>
      <c r="AD25" s="9">
        <f>IF(M25="","",Z25*(1/SQRT(Z25^2+AA25^2+AB25^2)))</f>
        <v>0.67114261700474631</v>
      </c>
      <c r="AE25" s="5">
        <f>IF(M25="","",AA25*(1/SQRT(Z25^2+AA25^2+AB25^2)))</f>
        <v>-0.73332222558202109</v>
      </c>
      <c r="AF25" s="10">
        <f>IF(M25="","",AB25*(1/SQRT(Z25^2+AA25^2+AB25^2)))</f>
        <v>-0.10865588390626629</v>
      </c>
      <c r="AG25" s="622">
        <f>IF(M25="","",DEGREES(ATAN2(-AF25,AE25)))</f>
        <v>-81.571841805311607</v>
      </c>
      <c r="AH25" s="623">
        <f>IF(M25="","",DEGREES(ACOS(AD25)))</f>
        <v>47.844686105855246</v>
      </c>
      <c r="AI25" s="624">
        <f>IF(M25="","",DEGREES(-ACOS(-AF25)))</f>
        <v>-83.762161031349493</v>
      </c>
      <c r="AJ25" s="625">
        <f>IF(M25="","",DEGREES(ATAN2(-AE25,AD25)))</f>
        <v>42.465010096887369</v>
      </c>
      <c r="AK25" s="4">
        <f>IF(M25="","",(COS(RADIANS((90-$Q$8)-W25))*AD25)+(-SIN(RADIANS((90-$Q$8)-W25))*AE25))</f>
        <v>0.95681370925241227</v>
      </c>
      <c r="AL25" s="5">
        <f>IF(M25="","",(SIN(RADIANS((90-$Q$8)-W25))*AD25)+(COS(RADIANS((90-$Q$8)-W25))*AE25))</f>
        <v>-0.26963201716262958</v>
      </c>
      <c r="AM25" s="6">
        <f>IF(M25="","",AF25)</f>
        <v>-0.10865588390626629</v>
      </c>
      <c r="AN25" s="612">
        <f>IF(M25="","",DEGREES(ATAN2(-AM25,AL25)))</f>
        <v>-68.051628995074751</v>
      </c>
      <c r="AO25" s="613">
        <f>IF(ROUND(IF(M25="",0,DEGREES(ACOS(AK25))),4)=90,0,IF(M25="","",DEGREES(ACOS(AK25))))</f>
        <v>16.899975324785377</v>
      </c>
      <c r="AP25" s="624">
        <f>IF(M25="","",DEGREES(ATAN2(AK25,AL25)))</f>
        <v>-15.737942516469177</v>
      </c>
      <c r="AQ25" s="625">
        <f t="shared" si="10"/>
        <v>2.4015988770248686</v>
      </c>
      <c r="AS25" s="56">
        <f t="shared" si="119"/>
        <v>-31.797047386643442</v>
      </c>
      <c r="AT25" s="77">
        <f t="shared" si="11"/>
        <v>-1.4201824665426024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2.141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8"/>
        <v/>
      </c>
      <c r="IK25" s="839" t="str">
        <f t="shared" si="69"/>
        <v/>
      </c>
      <c r="IL25" s="791" t="str">
        <f t="shared" si="228"/>
        <v/>
      </c>
      <c r="IM25" s="830"/>
      <c r="IN25" s="5" t="str">
        <f t="shared" si="229"/>
        <v/>
      </c>
      <c r="IO25" s="852"/>
      <c r="IP25" s="9" t="str">
        <f t="shared" si="230"/>
        <v/>
      </c>
      <c r="IQ25" s="5" t="str">
        <f t="shared" si="231"/>
        <v/>
      </c>
      <c r="IR25" s="5" t="str">
        <f t="shared" si="74"/>
        <v/>
      </c>
      <c r="IS25" s="5" t="str">
        <f t="shared" si="232"/>
        <v/>
      </c>
      <c r="IT25" s="791" t="str">
        <f t="shared" si="233"/>
        <v/>
      </c>
      <c r="IU25" s="9" t="str">
        <f t="shared" si="234"/>
        <v/>
      </c>
      <c r="IV25" s="5" t="str">
        <f t="shared" si="235"/>
        <v/>
      </c>
      <c r="IW25" s="5" t="str">
        <f t="shared" si="79"/>
        <v/>
      </c>
      <c r="IX25" s="5" t="str">
        <f t="shared" si="236"/>
        <v/>
      </c>
      <c r="IY25" s="833" t="str">
        <f t="shared" si="237"/>
        <v/>
      </c>
    </row>
    <row r="26" spans="1:259" ht="15" customHeight="1" x14ac:dyDescent="0.25">
      <c r="A26" s="84">
        <f t="shared" si="82"/>
        <v>0.02</v>
      </c>
      <c r="B26" s="770">
        <v>2.9316235000235067</v>
      </c>
      <c r="C26" s="771">
        <v>4.6598384698154556</v>
      </c>
      <c r="D26" s="772">
        <v>-2.2397067549555731</v>
      </c>
      <c r="E26" s="773">
        <v>-0.64423662712002849</v>
      </c>
      <c r="F26" s="771">
        <v>0.76155394820739053</v>
      </c>
      <c r="G26" s="774">
        <v>7.067356115793641E-2</v>
      </c>
      <c r="H26" s="773">
        <v>0.314</v>
      </c>
      <c r="I26" s="771">
        <v>0.52</v>
      </c>
      <c r="J26" s="601">
        <v>2.15</v>
      </c>
      <c r="K26" s="426" t="str">
        <f t="shared" si="225"/>
        <v>1613</v>
      </c>
      <c r="L26" s="327"/>
      <c r="M26" s="173">
        <f t="shared" si="2"/>
        <v>2.15</v>
      </c>
      <c r="N26" s="21">
        <f t="shared" si="3"/>
        <v>2.9316235000235067</v>
      </c>
      <c r="O26" s="5">
        <f t="shared" si="4"/>
        <v>4.6598384698154556</v>
      </c>
      <c r="P26" s="10">
        <f t="shared" si="5"/>
        <v>-2.2397067549555731</v>
      </c>
      <c r="Q26" s="624">
        <f t="shared" si="116"/>
        <v>57.824952667932976</v>
      </c>
      <c r="R26" s="5">
        <f>IF(M26="","",SQRT(N26^2+O26^2))</f>
        <v>5.5053166040348778</v>
      </c>
      <c r="S26" s="6">
        <f>IF(M26="","",P26)</f>
        <v>-2.2397067549555731</v>
      </c>
      <c r="T26" s="4">
        <f>IF(M26="","",X26*COS(RADIANS(W26)))</f>
        <v>4.6598384698154547</v>
      </c>
      <c r="U26" s="5">
        <f>IF(M26="","",X26*SIN(RADIANS(W26)))</f>
        <v>-2.931623500023508</v>
      </c>
      <c r="V26" s="8">
        <f>IF(M26="","",Y26)</f>
        <v>-2.2397067549555731</v>
      </c>
      <c r="W26" s="624">
        <f t="shared" si="227"/>
        <v>327.82495266793296</v>
      </c>
      <c r="X26" s="5">
        <f>IF(M26="","",R26)</f>
        <v>5.5053166040348778</v>
      </c>
      <c r="Y26" s="7">
        <f t="shared" si="226"/>
        <v>-2.2397067549555731</v>
      </c>
      <c r="Z26" s="21">
        <f t="shared" si="7"/>
        <v>0.64423662712002849</v>
      </c>
      <c r="AA26" s="5">
        <f t="shared" si="8"/>
        <v>-0.76155394820739053</v>
      </c>
      <c r="AB26" s="5">
        <f t="shared" si="9"/>
        <v>-7.067356115793641E-2</v>
      </c>
      <c r="AC26" s="8">
        <f>IF(M26="","",SQRT(Z26^2+AA26^2+AB26^2))</f>
        <v>1</v>
      </c>
      <c r="AD26" s="9">
        <f>IF(M26="","",Z26*(1/SQRT(Z26^2+AA26^2+AB26^2)))</f>
        <v>0.64423662712002849</v>
      </c>
      <c r="AE26" s="5">
        <f>IF(M26="","",AA26*(1/SQRT(Z26^2+AA26^2+AB26^2)))</f>
        <v>-0.76155394820739053</v>
      </c>
      <c r="AF26" s="10">
        <f>IF(M26="","",AB26*(1/SQRT(Z26^2+AA26^2+AB26^2)))</f>
        <v>-7.067356115793641E-2</v>
      </c>
      <c r="AG26" s="622">
        <f>IF(M26="","",DEGREES(ATAN2(-AF26,AE26)))</f>
        <v>-84.698035410582975</v>
      </c>
      <c r="AH26" s="623">
        <f>IF(M26="","",DEGREES(ACOS(AD26)))</f>
        <v>49.891535503521517</v>
      </c>
      <c r="AI26" s="624">
        <f>IF(M26="","",DEGREES(-ACOS(-AF26)))</f>
        <v>-85.947324751022819</v>
      </c>
      <c r="AJ26" s="625">
        <f>IF(M26="","",DEGREES(ATAN2(-AE26,AD26)))</f>
        <v>40.229554116004721</v>
      </c>
      <c r="AK26" s="4">
        <f>IF(M26="","",(COS(RADIANS((90-$Q$8)-W26))*AD26)+(-SIN(RADIANS((90-$Q$8)-W26))*AE26))</f>
        <v>0.95083143192564923</v>
      </c>
      <c r="AL26" s="5">
        <f>IF(M26="","",(SIN(RADIANS((90-$Q$8)-W26))*AD26)+(COS(RADIANS((90-$Q$8)-W26))*AE26))</f>
        <v>-0.301537453420757</v>
      </c>
      <c r="AM26" s="6">
        <f>IF(M26="","",AF26)</f>
        <v>-7.067356115793641E-2</v>
      </c>
      <c r="AN26" s="612">
        <f>IF(M26="","",DEGREES(ATAN2(-AM26,AL26)))</f>
        <v>-76.809259510620535</v>
      </c>
      <c r="AO26" s="613">
        <f t="shared" si="98"/>
        <v>18.04168690675203</v>
      </c>
      <c r="AP26" s="624">
        <f>IF(M26="","",DEGREES(ATAN2(AK26,AL26)))</f>
        <v>-17.595398551928241</v>
      </c>
      <c r="AQ26" s="625">
        <f t="shared" si="10"/>
        <v>2.2515196668455779</v>
      </c>
      <c r="AS26" s="56">
        <f t="shared" si="119"/>
        <v>-32.175047332067038</v>
      </c>
      <c r="AT26" s="77">
        <f t="shared" si="11"/>
        <v>-2.1181565761455423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2.15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8"/>
        <v/>
      </c>
      <c r="IK26" s="839" t="str">
        <f t="shared" si="69"/>
        <v/>
      </c>
      <c r="IL26" s="791" t="str">
        <f t="shared" si="228"/>
        <v/>
      </c>
      <c r="IM26" s="830"/>
      <c r="IN26" s="5" t="str">
        <f t="shared" si="229"/>
        <v/>
      </c>
      <c r="IO26" s="852"/>
      <c r="IP26" s="9" t="str">
        <f t="shared" si="230"/>
        <v/>
      </c>
      <c r="IQ26" s="5" t="str">
        <f t="shared" si="231"/>
        <v/>
      </c>
      <c r="IR26" s="5" t="str">
        <f t="shared" si="74"/>
        <v/>
      </c>
      <c r="IS26" s="5" t="str">
        <f t="shared" si="232"/>
        <v/>
      </c>
      <c r="IT26" s="791" t="str">
        <f t="shared" si="233"/>
        <v/>
      </c>
      <c r="IU26" s="9" t="str">
        <f t="shared" si="234"/>
        <v/>
      </c>
      <c r="IV26" s="5" t="str">
        <f t="shared" si="235"/>
        <v/>
      </c>
      <c r="IW26" s="5" t="str">
        <f t="shared" si="79"/>
        <v/>
      </c>
      <c r="IX26" s="5" t="str">
        <f t="shared" si="236"/>
        <v/>
      </c>
      <c r="IY26" s="833" t="str">
        <f t="shared" si="237"/>
        <v/>
      </c>
    </row>
    <row r="27" spans="1:259" ht="15" customHeight="1" x14ac:dyDescent="0.25">
      <c r="A27" s="84">
        <f t="shared" si="82"/>
        <v>0.02</v>
      </c>
      <c r="B27" s="770">
        <v>3.0712089831817164</v>
      </c>
      <c r="C27" s="771">
        <v>4.8345915054637842</v>
      </c>
      <c r="D27" s="772">
        <v>-2.9871090091207715</v>
      </c>
      <c r="E27" s="773">
        <v>-0.59735220304021241</v>
      </c>
      <c r="F27" s="771">
        <v>0.80078627263179014</v>
      </c>
      <c r="G27" s="774">
        <v>4.372288974312339E-2</v>
      </c>
      <c r="H27" s="773">
        <v>0.314</v>
      </c>
      <c r="I27" s="771">
        <v>0.52</v>
      </c>
      <c r="J27" s="601">
        <v>2.1589999999999998</v>
      </c>
      <c r="K27" s="426" t="str">
        <f t="shared" si="225"/>
        <v>1613</v>
      </c>
      <c r="L27" s="327"/>
      <c r="M27" s="173">
        <f t="shared" si="2"/>
        <v>2.1589999999999998</v>
      </c>
      <c r="N27" s="21">
        <f t="shared" si="3"/>
        <v>3.0712089831817164</v>
      </c>
      <c r="O27" s="5">
        <f t="shared" si="4"/>
        <v>4.8345915054637842</v>
      </c>
      <c r="P27" s="10">
        <f t="shared" si="5"/>
        <v>-2.9871090091207715</v>
      </c>
      <c r="Q27" s="624">
        <f t="shared" si="116"/>
        <v>57.573952704172896</v>
      </c>
      <c r="R27" s="5">
        <f t="shared" si="83"/>
        <v>5.7276172744937011</v>
      </c>
      <c r="S27" s="6">
        <f t="shared" si="84"/>
        <v>-2.9871090091207715</v>
      </c>
      <c r="T27" s="4">
        <f t="shared" si="85"/>
        <v>4.8345915054637842</v>
      </c>
      <c r="U27" s="5">
        <f t="shared" si="86"/>
        <v>-3.071208983181716</v>
      </c>
      <c r="V27" s="8">
        <f t="shared" si="117"/>
        <v>-2.9871090091207715</v>
      </c>
      <c r="W27" s="624">
        <f t="shared" si="227"/>
        <v>327.57395270417288</v>
      </c>
      <c r="X27" s="5">
        <f t="shared" si="87"/>
        <v>5.7276172744937011</v>
      </c>
      <c r="Y27" s="7">
        <f t="shared" si="226"/>
        <v>-2.9871090091207715</v>
      </c>
      <c r="Z27" s="21">
        <f t="shared" si="7"/>
        <v>0.59735220304021241</v>
      </c>
      <c r="AA27" s="5">
        <f t="shared" si="8"/>
        <v>-0.80078627263179014</v>
      </c>
      <c r="AB27" s="5">
        <f t="shared" si="9"/>
        <v>-4.372288974312339E-2</v>
      </c>
      <c r="AC27" s="8">
        <f t="shared" si="88"/>
        <v>1</v>
      </c>
      <c r="AD27" s="9">
        <f t="shared" si="118"/>
        <v>0.59735220304021241</v>
      </c>
      <c r="AE27" s="5">
        <f t="shared" si="89"/>
        <v>-0.80078627263179014</v>
      </c>
      <c r="AF27" s="10">
        <f t="shared" si="90"/>
        <v>-4.372288974312339E-2</v>
      </c>
      <c r="AG27" s="622">
        <f t="shared" si="91"/>
        <v>-86.874756499841666</v>
      </c>
      <c r="AH27" s="623">
        <f t="shared" si="92"/>
        <v>53.319502403644115</v>
      </c>
      <c r="AI27" s="624">
        <f t="shared" si="93"/>
        <v>-87.494064087486919</v>
      </c>
      <c r="AJ27" s="625">
        <f t="shared" si="94"/>
        <v>36.721359297325812</v>
      </c>
      <c r="AK27" s="4">
        <f t="shared" si="213"/>
        <v>0.93360565562166142</v>
      </c>
      <c r="AL27" s="5">
        <f t="shared" si="95"/>
        <v>-0.35562450520704919</v>
      </c>
      <c r="AM27" s="6">
        <f t="shared" si="96"/>
        <v>-4.372288974312339E-2</v>
      </c>
      <c r="AN27" s="612">
        <f t="shared" si="97"/>
        <v>-82.990843445139831</v>
      </c>
      <c r="AO27" s="613">
        <f t="shared" si="98"/>
        <v>20.995966003843389</v>
      </c>
      <c r="AP27" s="624">
        <f t="shared" si="99"/>
        <v>-20.852593406847085</v>
      </c>
      <c r="AQ27" s="625">
        <f t="shared" si="10"/>
        <v>2.1642183045185761</v>
      </c>
      <c r="AS27" s="56">
        <f t="shared" si="119"/>
        <v>-32.426047295827118</v>
      </c>
      <c r="AT27" s="77">
        <f t="shared" si="11"/>
        <v>-2.8646106082254246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2.1589999999999998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3.1377937773535454</v>
      </c>
      <c r="C28" s="771">
        <v>4.9164362257237393</v>
      </c>
      <c r="D28" s="772">
        <v>-3.7599113398926014</v>
      </c>
      <c r="E28" s="773">
        <v>-0.52450079723789289</v>
      </c>
      <c r="F28" s="771">
        <v>0.85126508129730583</v>
      </c>
      <c r="G28" s="774">
        <v>1.5705892547257027E-2</v>
      </c>
      <c r="H28" s="773">
        <v>0.314</v>
      </c>
      <c r="I28" s="771">
        <v>0.52</v>
      </c>
      <c r="J28" s="601">
        <v>2.1680000000000001</v>
      </c>
      <c r="K28" s="426" t="str">
        <f t="shared" si="225"/>
        <v>1613</v>
      </c>
      <c r="L28" s="327"/>
      <c r="M28" s="173">
        <f t="shared" si="2"/>
        <v>2.1680000000000001</v>
      </c>
      <c r="N28" s="21">
        <f t="shared" si="3"/>
        <v>3.1377937773535454</v>
      </c>
      <c r="O28" s="5">
        <f t="shared" si="4"/>
        <v>4.9164362257237393</v>
      </c>
      <c r="P28" s="10">
        <f t="shared" si="5"/>
        <v>-3.7599113398926014</v>
      </c>
      <c r="Q28" s="624">
        <f t="shared" si="116"/>
        <v>57.452952721643122</v>
      </c>
      <c r="R28" s="5">
        <f t="shared" si="83"/>
        <v>5.8324175905714535</v>
      </c>
      <c r="S28" s="6">
        <f t="shared" si="84"/>
        <v>-3.7599113398926014</v>
      </c>
      <c r="T28" s="4">
        <f t="shared" si="85"/>
        <v>4.9164362257237393</v>
      </c>
      <c r="U28" s="5">
        <f t="shared" si="86"/>
        <v>-3.1377937773535454</v>
      </c>
      <c r="V28" s="8">
        <f t="shared" si="117"/>
        <v>-3.7599113398926014</v>
      </c>
      <c r="W28" s="624">
        <f t="shared" si="227"/>
        <v>327.4529527216431</v>
      </c>
      <c r="X28" s="5">
        <f t="shared" si="87"/>
        <v>5.8324175905714535</v>
      </c>
      <c r="Y28" s="7">
        <f t="shared" si="226"/>
        <v>-3.7599113398926014</v>
      </c>
      <c r="Z28" s="21">
        <f t="shared" si="7"/>
        <v>0.52450079723789289</v>
      </c>
      <c r="AA28" s="5">
        <f t="shared" si="8"/>
        <v>-0.85126508129730583</v>
      </c>
      <c r="AB28" s="5">
        <f t="shared" si="9"/>
        <v>-1.5705892547257027E-2</v>
      </c>
      <c r="AC28" s="8">
        <f t="shared" si="88"/>
        <v>1</v>
      </c>
      <c r="AD28" s="9">
        <f t="shared" si="118"/>
        <v>0.52450079723789289</v>
      </c>
      <c r="AE28" s="5">
        <f t="shared" si="89"/>
        <v>-0.85126508129730583</v>
      </c>
      <c r="AF28" s="10">
        <f t="shared" si="90"/>
        <v>-1.5705892547257027E-2</v>
      </c>
      <c r="AG28" s="622">
        <f t="shared" si="91"/>
        <v>-88.943009305678316</v>
      </c>
      <c r="AH28" s="623">
        <f t="shared" si="92"/>
        <v>58.365356753387772</v>
      </c>
      <c r="AI28" s="624">
        <f t="shared" si="93"/>
        <v>-89.100081643067497</v>
      </c>
      <c r="AJ28" s="625">
        <f t="shared" si="94"/>
        <v>31.638997521387832</v>
      </c>
      <c r="AK28" s="4">
        <f t="shared" si="213"/>
        <v>0.90010170112322807</v>
      </c>
      <c r="AL28" s="5">
        <f t="shared" si="95"/>
        <v>-0.43539666118881154</v>
      </c>
      <c r="AM28" s="6">
        <f t="shared" si="96"/>
        <v>-1.5705892547257027E-2</v>
      </c>
      <c r="AN28" s="612">
        <f t="shared" si="97"/>
        <v>-87.934087643172916</v>
      </c>
      <c r="AO28" s="613">
        <f t="shared" si="98"/>
        <v>25.828561383136634</v>
      </c>
      <c r="AP28" s="624">
        <f t="shared" si="99"/>
        <v>-25.813955200255283</v>
      </c>
      <c r="AQ28" s="625">
        <f t="shared" si="10"/>
        <v>2.1253663442411006</v>
      </c>
      <c r="AS28" s="56">
        <f t="shared" si="119"/>
        <v>-32.547047278356899</v>
      </c>
      <c r="AT28" s="77">
        <f t="shared" si="11"/>
        <v>-3.6369558279521419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2.1680000000000001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3.165873463759751</v>
      </c>
      <c r="C29" s="771">
        <v>4.9507100975407967</v>
      </c>
      <c r="D29" s="772">
        <v>-4.5382136872524814</v>
      </c>
      <c r="E29" s="773">
        <v>-0.46023010975766604</v>
      </c>
      <c r="F29" s="771">
        <v>0.88779966550592593</v>
      </c>
      <c r="G29" s="774">
        <v>1.1339743421318912E-7</v>
      </c>
      <c r="H29" s="773">
        <v>0.314</v>
      </c>
      <c r="I29" s="771">
        <v>0.52</v>
      </c>
      <c r="J29" s="601">
        <v>2.177</v>
      </c>
      <c r="K29" s="426" t="str">
        <f t="shared" si="225"/>
        <v>1613</v>
      </c>
      <c r="L29" s="327"/>
      <c r="M29" s="173">
        <f t="shared" si="2"/>
        <v>2.177</v>
      </c>
      <c r="N29" s="21">
        <f t="shared" si="3"/>
        <v>3.165873463759751</v>
      </c>
      <c r="O29" s="5">
        <f t="shared" si="4"/>
        <v>4.9507100975407967</v>
      </c>
      <c r="P29" s="10">
        <f t="shared" si="5"/>
        <v>-4.5382136872524814</v>
      </c>
      <c r="Q29" s="624">
        <f t="shared" si="116"/>
        <v>57.401952729006616</v>
      </c>
      <c r="R29" s="5">
        <f>IF(M29="","",SQRT(N29^2+O29^2))</f>
        <v>5.8764177232758534</v>
      </c>
      <c r="S29" s="6">
        <f>IF(M29="","",P29)</f>
        <v>-4.5382136872524814</v>
      </c>
      <c r="T29" s="4">
        <f>IF(M29="","",X29*COS(RADIANS(W29)))</f>
        <v>4.9507100975407958</v>
      </c>
      <c r="U29" s="5">
        <f>IF(M29="","",X29*SIN(RADIANS(W29)))</f>
        <v>-3.1658734637597514</v>
      </c>
      <c r="V29" s="8">
        <f>IF(M29="","",Y29)</f>
        <v>-4.5382136872524814</v>
      </c>
      <c r="W29" s="624">
        <f t="shared" si="227"/>
        <v>327.40195272900661</v>
      </c>
      <c r="X29" s="5">
        <f>IF(M29="","",R29)</f>
        <v>5.8764177232758534</v>
      </c>
      <c r="Y29" s="7">
        <f t="shared" si="226"/>
        <v>-4.5382136872524814</v>
      </c>
      <c r="Z29" s="21">
        <f t="shared" si="7"/>
        <v>0.46023010975766604</v>
      </c>
      <c r="AA29" s="5">
        <f t="shared" si="8"/>
        <v>-0.88779966550592593</v>
      </c>
      <c r="AB29" s="5">
        <f t="shared" si="9"/>
        <v>-1.1339743421318912E-7</v>
      </c>
      <c r="AC29" s="8">
        <f>IF(M29="","",SQRT(Z29^2+AA29^2+AB29^2))</f>
        <v>1</v>
      </c>
      <c r="AD29" s="9">
        <f>IF(M29="","",Z29*(1/SQRT(Z29^2+AA29^2+AB29^2)))</f>
        <v>0.46023010975766604</v>
      </c>
      <c r="AE29" s="5">
        <f>IF(M29="","",AA29*(1/SQRT(Z29^2+AA29^2+AB29^2)))</f>
        <v>-0.88779966550592593</v>
      </c>
      <c r="AF29" s="10">
        <f>IF(M29="","",AB29*(1/SQRT(Z29^2+AA29^2+AB29^2)))</f>
        <v>-1.1339743421318912E-7</v>
      </c>
      <c r="AG29" s="622">
        <f>IF(M29="","",DEGREES(ATAN2(-AF29,AE29)))</f>
        <v>-89.999992681688639</v>
      </c>
      <c r="AH29" s="623">
        <f>IF(M29="","",DEGREES(ACOS(AD29)))</f>
        <v>62.598042939529471</v>
      </c>
      <c r="AI29" s="624">
        <f>IF(M29="","",DEGREES(-ACOS(-AF29)))</f>
        <v>-89.999993502805623</v>
      </c>
      <c r="AJ29" s="625">
        <f>IF(M29="","",DEGREES(ATAN2(-AE29,AD29)))</f>
        <v>27.401957060470714</v>
      </c>
      <c r="AK29" s="4">
        <f>IF(M29="","",(COS(RADIANS((90-$Q$8)-W29))*AD29)+(-SIN(RADIANS((90-$Q$8)-W29))*AE29))</f>
        <v>0.86602544158358574</v>
      </c>
      <c r="AL29" s="5">
        <f>IF(M29="","",(SIN(RADIANS((90-$Q$8)-W29))*AD29)+(COS(RADIANS((90-$Q$8)-W29))*AE29))</f>
        <v>-0.49999993452993829</v>
      </c>
      <c r="AM29" s="6">
        <f>IF(M29="","",AF29)</f>
        <v>-1.1339743421318912E-7</v>
      </c>
      <c r="AN29" s="612">
        <f>IF(M29="","",DEGREES(ATAN2(-AM29,AL29)))</f>
        <v>-89.999987005609526</v>
      </c>
      <c r="AO29" s="613">
        <f t="shared" si="98"/>
        <v>29.99999566853651</v>
      </c>
      <c r="AP29" s="624">
        <f>IF(M29="","",DEGREES(ATAN2(AK29,AL29)))</f>
        <v>-29.999995668535888</v>
      </c>
      <c r="AQ29" s="625">
        <f t="shared" si="10"/>
        <v>2.1094669302611715</v>
      </c>
      <c r="AS29" s="56">
        <f t="shared" si="119"/>
        <v>-32.598047270993391</v>
      </c>
      <c r="AT29" s="77">
        <f t="shared" si="11"/>
        <v>-4.4150655086731732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2.177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2.3218001475448626</v>
      </c>
      <c r="C30" s="771">
        <v>0.84506422211473098</v>
      </c>
      <c r="D30" s="772">
        <v>-0.12280037036591702</v>
      </c>
      <c r="E30" s="773">
        <v>-0.38093170313310182</v>
      </c>
      <c r="F30" s="771">
        <v>0.88926904522751593</v>
      </c>
      <c r="G30" s="774">
        <v>0.2531631939051503</v>
      </c>
      <c r="H30" s="773">
        <v>0.314</v>
      </c>
      <c r="I30" s="771">
        <v>0.52</v>
      </c>
      <c r="J30" s="601">
        <v>3.11</v>
      </c>
      <c r="K30" s="426" t="str">
        <f t="shared" si="225"/>
        <v>1613</v>
      </c>
      <c r="L30" s="327"/>
      <c r="M30" s="173">
        <f t="shared" si="2"/>
        <v>3.11</v>
      </c>
      <c r="N30" s="21">
        <f t="shared" si="3"/>
        <v>2.3218001475448626</v>
      </c>
      <c r="O30" s="5">
        <f t="shared" si="4"/>
        <v>0.84506422211473098</v>
      </c>
      <c r="P30" s="10">
        <f t="shared" si="5"/>
        <v>-0.12280037036591702</v>
      </c>
      <c r="Q30" s="624">
        <f t="shared" si="116"/>
        <v>19.999958129186496</v>
      </c>
      <c r="R30" s="5">
        <f>IF(M30="","",SQRT(N30^2+O30^2))</f>
        <v>2.4708074519552756</v>
      </c>
      <c r="S30" s="6">
        <f>IF(M30="","",P30)</f>
        <v>-0.12280037036591702</v>
      </c>
      <c r="T30" s="4">
        <f>IF(M30="","",X30*COS(RADIANS(W30)))</f>
        <v>0.84506422211473109</v>
      </c>
      <c r="U30" s="5">
        <f>IF(M30="","",X30*SIN(RADIANS(W30)))</f>
        <v>-2.3218001475448626</v>
      </c>
      <c r="V30" s="8">
        <f>IF(M30="","",Y30)</f>
        <v>-0.12280037036591702</v>
      </c>
      <c r="W30" s="624">
        <f t="shared" si="227"/>
        <v>289.9999581291865</v>
      </c>
      <c r="X30" s="5">
        <f>IF(M30="","",R30)</f>
        <v>2.4708074519552756</v>
      </c>
      <c r="Y30" s="7">
        <f t="shared" si="226"/>
        <v>-0.12280037036591702</v>
      </c>
      <c r="Z30" s="21">
        <f t="shared" si="7"/>
        <v>0.38093170313310182</v>
      </c>
      <c r="AA30" s="5">
        <f t="shared" si="8"/>
        <v>-0.88926904522751593</v>
      </c>
      <c r="AB30" s="5">
        <f t="shared" si="9"/>
        <v>-0.2531631939051503</v>
      </c>
      <c r="AC30" s="8">
        <f>IF(M30="","",SQRT(Z30^2+AA30^2+AB30^2))</f>
        <v>1</v>
      </c>
      <c r="AD30" s="9">
        <f>IF(M30="","",Z30*(1/SQRT(Z30^2+AA30^2+AB30^2)))</f>
        <v>0.38093170313310182</v>
      </c>
      <c r="AE30" s="5">
        <f>IF(M30="","",AA30*(1/SQRT(Z30^2+AA30^2+AB30^2)))</f>
        <v>-0.88926904522751593</v>
      </c>
      <c r="AF30" s="10">
        <f>IF(M30="","",AB30*(1/SQRT(Z30^2+AA30^2+AB30^2)))</f>
        <v>-0.2531631939051503</v>
      </c>
      <c r="AG30" s="622">
        <f>IF(M30="","",DEGREES(ATAN2(-AF30,AE30)))</f>
        <v>-74.109044299341988</v>
      </c>
      <c r="AH30" s="623">
        <f>IF(M30="","",DEGREES(ACOS(AD30)))</f>
        <v>67.608593562930324</v>
      </c>
      <c r="AI30" s="624">
        <f>IF(M30="","",DEGREES(-ACOS(-AF30)))</f>
        <v>-75.33522701738265</v>
      </c>
      <c r="AJ30" s="625">
        <f>IF(M30="","",DEGREES(ATAN2(-AE30,AD30)))</f>
        <v>23.188595869651738</v>
      </c>
      <c r="AK30" s="4">
        <f>IF(M30="","",(COS(RADIANS((90-$Q$8)-W30))*AD30)+(-SIN(RADIANS((90-$Q$8)-W30))*AE30))</f>
        <v>0.96592583607220739</v>
      </c>
      <c r="AL30" s="5">
        <f>IF(M30="","",(SIN(RADIANS((90-$Q$8)-W30))*AD30)+(COS(RADIANS((90-$Q$8)-W30))*AE30))</f>
        <v>5.3811490036520193E-2</v>
      </c>
      <c r="AM30" s="6">
        <f>IF(M30="","",AF30)</f>
        <v>-0.2531631939051503</v>
      </c>
      <c r="AN30" s="612">
        <f>IF(M30="","",DEGREES(ATAN2(-AM30,AL30)))</f>
        <v>11.999998267414606</v>
      </c>
      <c r="AO30" s="613">
        <f>IF(ROUND(IF(M30="",0,DEGREES(ACOS(AK30))),4)=90,0,IF(M30="","",DEGREES(ACOS(AK30))))</f>
        <v>14.999997834268255</v>
      </c>
      <c r="AP30" s="624">
        <f>IF(M30="","",DEGREES(ATAN2(AK30,AL30)))</f>
        <v>3.1886377404652348</v>
      </c>
      <c r="AQ30" s="625">
        <f t="shared" si="10"/>
        <v>5.0065144578679268</v>
      </c>
      <c r="AS30" s="56">
        <f t="shared" si="119"/>
        <v>-70.000041870813504</v>
      </c>
      <c r="AT30" s="77">
        <f t="shared" si="11"/>
        <v>0.14164423225715622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3.11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3.0543046394970848</v>
      </c>
      <c r="C31" s="771">
        <v>1.1013614288826459</v>
      </c>
      <c r="D31" s="772">
        <v>-9.8400296775295076E-2</v>
      </c>
      <c r="E31" s="773">
        <v>-0.27011252387196422</v>
      </c>
      <c r="F31" s="771">
        <v>0.92899508205796166</v>
      </c>
      <c r="G31" s="774">
        <v>0.25299676274537319</v>
      </c>
      <c r="H31" s="773">
        <v>0.314</v>
      </c>
      <c r="I31" s="771">
        <v>0.52</v>
      </c>
      <c r="J31" s="601">
        <v>3.1160000000000001</v>
      </c>
      <c r="K31" s="426" t="str">
        <f t="shared" si="225"/>
        <v>1613</v>
      </c>
      <c r="L31" s="327"/>
      <c r="M31" s="173">
        <f t="shared" si="2"/>
        <v>3.1160000000000001</v>
      </c>
      <c r="N31" s="21">
        <f t="shared" si="3"/>
        <v>3.0543046394970848</v>
      </c>
      <c r="O31" s="5">
        <f t="shared" si="4"/>
        <v>1.1013614288826459</v>
      </c>
      <c r="P31" s="10">
        <f t="shared" si="5"/>
        <v>-9.8400296775295076E-2</v>
      </c>
      <c r="Q31" s="624">
        <f t="shared" si="116"/>
        <v>19.828958153875845</v>
      </c>
      <c r="R31" s="5">
        <f>IF(M31="","",SQRT(N31^2+O31^2))</f>
        <v>3.2468097923783339</v>
      </c>
      <c r="S31" s="6">
        <f>IF(M31="","",P31)</f>
        <v>-9.8400296775295076E-2</v>
      </c>
      <c r="T31" s="4">
        <f>IF(M31="","",X31*COS(RADIANS(W31)))</f>
        <v>1.1013614288826474</v>
      </c>
      <c r="U31" s="5">
        <f>IF(M31="","",X31*SIN(RADIANS(W31)))</f>
        <v>-3.0543046394970843</v>
      </c>
      <c r="V31" s="8">
        <f>IF(M31="","",Y31)</f>
        <v>-9.8400296775295076E-2</v>
      </c>
      <c r="W31" s="624">
        <f t="shared" si="227"/>
        <v>289.82895815387587</v>
      </c>
      <c r="X31" s="5">
        <f>IF(M31="","",R31)</f>
        <v>3.2468097923783339</v>
      </c>
      <c r="Y31" s="7">
        <f t="shared" si="226"/>
        <v>-9.8400296775295076E-2</v>
      </c>
      <c r="Z31" s="21">
        <f t="shared" si="7"/>
        <v>0.27011252387196422</v>
      </c>
      <c r="AA31" s="5">
        <f t="shared" si="8"/>
        <v>-0.92899508205796166</v>
      </c>
      <c r="AB31" s="5">
        <f t="shared" si="9"/>
        <v>-0.25299676274537319</v>
      </c>
      <c r="AC31" s="8">
        <f>IF(M31="","",SQRT(Z31^2+AA31^2+AB31^2))</f>
        <v>1</v>
      </c>
      <c r="AD31" s="9">
        <f>IF(M31="","",Z31*(1/SQRT(Z31^2+AA31^2+AB31^2)))</f>
        <v>0.27011252387196422</v>
      </c>
      <c r="AE31" s="5">
        <f>IF(M31="","",AA31*(1/SQRT(Z31^2+AA31^2+AB31^2)))</f>
        <v>-0.92899508205796166</v>
      </c>
      <c r="AF31" s="10">
        <f>IF(M31="","",AB31*(1/SQRT(Z31^2+AA31^2+AB31^2)))</f>
        <v>-0.25299676274537319</v>
      </c>
      <c r="AG31" s="622">
        <f>IF(M31="","",DEGREES(ATAN2(-AF31,AE31)))</f>
        <v>-74.765866850426733</v>
      </c>
      <c r="AH31" s="623">
        <f>IF(M31="","",DEGREES(ACOS(AD31)))</f>
        <v>74.329037215202391</v>
      </c>
      <c r="AI31" s="624">
        <f>IF(M31="","",DEGREES(-ACOS(-AF31)))</f>
        <v>-75.34508370122569</v>
      </c>
      <c r="AJ31" s="625">
        <f>IF(M31="","",DEGREES(ATAN2(-AE31,AD31)))</f>
        <v>16.212198976133845</v>
      </c>
      <c r="AK31" s="4">
        <f>IF(M31="","",(COS(RADIANS((90-$Q$8)-W31))*AD31)+(-SIN(RADIANS((90-$Q$8)-W31))*AE31))</f>
        <v>0.96554023947117473</v>
      </c>
      <c r="AL31" s="5">
        <f>IF(M31="","",(SIN(RADIANS((90-$Q$8)-W31))*AD31)+(COS(RADIANS((90-$Q$8)-W31))*AE31))</f>
        <v>-6.1030189269803692E-2</v>
      </c>
      <c r="AM31" s="6">
        <f>IF(M31="","",AF31)</f>
        <v>-0.25299676274537319</v>
      </c>
      <c r="AN31" s="612">
        <f>IF(M31="","",DEGREES(ATAN2(-AM31,AL31)))</f>
        <v>-13.562303212852637</v>
      </c>
      <c r="AO31" s="613">
        <f t="shared" si="98"/>
        <v>15.085122899386505</v>
      </c>
      <c r="AP31" s="624">
        <f>IF(M31="","",DEGREES(ATAN2(AK31,AL31)))</f>
        <v>-3.6167591777420283</v>
      </c>
      <c r="AQ31" s="625">
        <f t="shared" si="10"/>
        <v>3.8140174978614585</v>
      </c>
      <c r="AS31" s="56">
        <f t="shared" si="119"/>
        <v>-70.171041846124126</v>
      </c>
      <c r="AT31" s="77">
        <f t="shared" si="11"/>
        <v>0.16669030575450719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3.1160000000000001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3.7553240941977917</v>
      </c>
      <c r="C32" s="771">
        <v>1.3177422083472377</v>
      </c>
      <c r="D32" s="772">
        <v>-0.35440106887362371</v>
      </c>
      <c r="E32" s="773">
        <v>-0.15290223529332128</v>
      </c>
      <c r="F32" s="771">
        <v>0.96834437648359173</v>
      </c>
      <c r="G32" s="774">
        <v>0.19730705759021885</v>
      </c>
      <c r="H32" s="773">
        <v>0.314</v>
      </c>
      <c r="I32" s="771">
        <v>0.52</v>
      </c>
      <c r="J32" s="601">
        <v>3.1219999999999999</v>
      </c>
      <c r="K32" s="426" t="str">
        <f t="shared" si="225"/>
        <v>1613</v>
      </c>
      <c r="L32" s="327"/>
      <c r="M32" s="173">
        <f t="shared" si="2"/>
        <v>3.1219999999999999</v>
      </c>
      <c r="N32" s="21">
        <f t="shared" si="3"/>
        <v>3.7553240941977917</v>
      </c>
      <c r="O32" s="5">
        <f t="shared" si="4"/>
        <v>1.3177422083472377</v>
      </c>
      <c r="P32" s="10">
        <f t="shared" si="5"/>
        <v>-0.35440106887362371</v>
      </c>
      <c r="Q32" s="624">
        <f t="shared" si="116"/>
        <v>19.335958225056228</v>
      </c>
      <c r="R32" s="5">
        <f t="shared" si="83"/>
        <v>3.9798120031130013</v>
      </c>
      <c r="S32" s="6">
        <f t="shared" si="84"/>
        <v>-0.35440106887362371</v>
      </c>
      <c r="T32" s="4">
        <f t="shared" si="85"/>
        <v>1.3177422083472363</v>
      </c>
      <c r="U32" s="5">
        <f t="shared" si="86"/>
        <v>-3.7553240941977926</v>
      </c>
      <c r="V32" s="8">
        <f t="shared" si="117"/>
        <v>-0.35440106887362371</v>
      </c>
      <c r="W32" s="624">
        <f t="shared" si="227"/>
        <v>289.33595822505623</v>
      </c>
      <c r="X32" s="5">
        <f t="shared" si="87"/>
        <v>3.9798120031130013</v>
      </c>
      <c r="Y32" s="7">
        <f t="shared" si="226"/>
        <v>-0.35440106887362371</v>
      </c>
      <c r="Z32" s="21">
        <f t="shared" si="7"/>
        <v>0.15290223529332128</v>
      </c>
      <c r="AA32" s="5">
        <f t="shared" si="8"/>
        <v>-0.96834437648359173</v>
      </c>
      <c r="AB32" s="5">
        <f t="shared" si="9"/>
        <v>-0.19730705759021885</v>
      </c>
      <c r="AC32" s="8">
        <f t="shared" si="88"/>
        <v>1</v>
      </c>
      <c r="AD32" s="9">
        <f t="shared" si="118"/>
        <v>0.15290223529332128</v>
      </c>
      <c r="AE32" s="5">
        <f t="shared" si="89"/>
        <v>-0.96834437648359173</v>
      </c>
      <c r="AF32" s="10">
        <f t="shared" si="90"/>
        <v>-0.19730705759021885</v>
      </c>
      <c r="AG32" s="622">
        <f t="shared" si="91"/>
        <v>-78.483230467213772</v>
      </c>
      <c r="AH32" s="623">
        <f t="shared" si="92"/>
        <v>81.204847009721377</v>
      </c>
      <c r="AI32" s="624">
        <f t="shared" si="93"/>
        <v>-78.6204729093525</v>
      </c>
      <c r="AJ32" s="625">
        <f t="shared" si="94"/>
        <v>8.9729588364495605</v>
      </c>
      <c r="AK32" s="4">
        <f t="shared" si="213"/>
        <v>0.96435024937971858</v>
      </c>
      <c r="AL32" s="5">
        <f t="shared" si="95"/>
        <v>-0.17634772906494967</v>
      </c>
      <c r="AM32" s="6">
        <f t="shared" si="96"/>
        <v>-0.19730705759021885</v>
      </c>
      <c r="AN32" s="612">
        <f t="shared" si="97"/>
        <v>-41.789485915988195</v>
      </c>
      <c r="AO32" s="613">
        <f t="shared" si="98"/>
        <v>15.3449190667876</v>
      </c>
      <c r="AP32" s="624">
        <f t="shared" si="99"/>
        <v>-10.362999388606644</v>
      </c>
      <c r="AQ32" s="625">
        <f t="shared" si="10"/>
        <v>3.1130884026484824</v>
      </c>
      <c r="AS32" s="56">
        <f t="shared" si="119"/>
        <v>-70.664041774943769</v>
      </c>
      <c r="AT32" s="77">
        <f t="shared" si="11"/>
        <v>-8.744802216828057E-2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3.1219999999999999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4.3836639228140317</v>
      </c>
      <c r="C33" s="771">
        <v>1.4879645058561852</v>
      </c>
      <c r="D33" s="772">
        <v>-0.85750258622780007</v>
      </c>
      <c r="E33" s="773">
        <v>-9.5226395912347953E-2</v>
      </c>
      <c r="F33" s="771">
        <v>0.98455143154099756</v>
      </c>
      <c r="G33" s="774">
        <v>0.14693676249365645</v>
      </c>
      <c r="H33" s="773">
        <v>0.314</v>
      </c>
      <c r="I33" s="771">
        <v>0.52</v>
      </c>
      <c r="J33" s="601">
        <v>3.1309999999999998</v>
      </c>
      <c r="K33" s="426" t="str">
        <f t="shared" si="225"/>
        <v>1613</v>
      </c>
      <c r="L33" s="327"/>
      <c r="M33" s="173">
        <f t="shared" si="2"/>
        <v>3.1309999999999998</v>
      </c>
      <c r="N33" s="21">
        <f t="shared" si="3"/>
        <v>4.3836639228140317</v>
      </c>
      <c r="O33" s="5">
        <f t="shared" si="4"/>
        <v>1.4879645058561852</v>
      </c>
      <c r="P33" s="10">
        <f t="shared" si="5"/>
        <v>-0.85750258622780007</v>
      </c>
      <c r="Q33" s="624">
        <f t="shared" si="116"/>
        <v>18.748958309808529</v>
      </c>
      <c r="R33" s="5">
        <f t="shared" si="83"/>
        <v>4.6293139620109098</v>
      </c>
      <c r="S33" s="6">
        <f t="shared" si="84"/>
        <v>-0.85750258622780007</v>
      </c>
      <c r="T33" s="4">
        <f t="shared" si="85"/>
        <v>1.4879645058561841</v>
      </c>
      <c r="U33" s="5">
        <f t="shared" si="86"/>
        <v>-4.3836639228140326</v>
      </c>
      <c r="V33" s="8">
        <f t="shared" si="117"/>
        <v>-0.85750258622780007</v>
      </c>
      <c r="W33" s="624">
        <f t="shared" si="227"/>
        <v>288.74895830980853</v>
      </c>
      <c r="X33" s="5">
        <f t="shared" si="87"/>
        <v>4.6293139620109098</v>
      </c>
      <c r="Y33" s="7">
        <f t="shared" si="226"/>
        <v>-0.85750258622780007</v>
      </c>
      <c r="Z33" s="21">
        <f t="shared" si="7"/>
        <v>9.5226395912347953E-2</v>
      </c>
      <c r="AA33" s="5">
        <f t="shared" si="8"/>
        <v>-0.98455143154099756</v>
      </c>
      <c r="AB33" s="5">
        <f t="shared" si="9"/>
        <v>-0.14693676249365645</v>
      </c>
      <c r="AC33" s="8">
        <f t="shared" si="88"/>
        <v>1</v>
      </c>
      <c r="AD33" s="9">
        <f t="shared" si="118"/>
        <v>9.5226395912347953E-2</v>
      </c>
      <c r="AE33" s="5">
        <f t="shared" si="89"/>
        <v>-0.98455143154099756</v>
      </c>
      <c r="AF33" s="10">
        <f t="shared" si="90"/>
        <v>-0.14693676249365645</v>
      </c>
      <c r="AG33" s="622">
        <f t="shared" si="91"/>
        <v>-81.511694403045396</v>
      </c>
      <c r="AH33" s="623">
        <f t="shared" si="92"/>
        <v>84.535649582550931</v>
      </c>
      <c r="AI33" s="624">
        <f t="shared" si="93"/>
        <v>-81.550551053834909</v>
      </c>
      <c r="AJ33" s="625">
        <f t="shared" si="94"/>
        <v>5.5244974079004949</v>
      </c>
      <c r="AK33" s="4">
        <f t="shared" si="213"/>
        <v>0.9629150505495262</v>
      </c>
      <c r="AL33" s="5">
        <f t="shared" si="95"/>
        <v>-0.2262834356577747</v>
      </c>
      <c r="AM33" s="6">
        <f t="shared" si="96"/>
        <v>-0.14693676249365645</v>
      </c>
      <c r="AN33" s="612">
        <f t="shared" si="97"/>
        <v>-57.002389897773249</v>
      </c>
      <c r="AO33" s="613">
        <f t="shared" si="98"/>
        <v>15.652648926899554</v>
      </c>
      <c r="AP33" s="624">
        <f t="shared" si="99"/>
        <v>-13.224460901908017</v>
      </c>
      <c r="AQ33" s="625">
        <f t="shared" si="10"/>
        <v>2.6770029813632559</v>
      </c>
      <c r="AS33" s="56">
        <f t="shared" si="119"/>
        <v>-71.251041690191471</v>
      </c>
      <c r="AT33" s="77">
        <f t="shared" si="11"/>
        <v>-0.58833198428707667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3.1309999999999998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4.8575759583139053</v>
      </c>
      <c r="C34" s="771">
        <v>1.6019724187161264</v>
      </c>
      <c r="D34" s="772">
        <v>-1.4668044238821427</v>
      </c>
      <c r="E34" s="773">
        <v>-4.6144894750260443E-2</v>
      </c>
      <c r="F34" s="771">
        <v>0.99242621811471254</v>
      </c>
      <c r="G34" s="774">
        <v>0.11384573020986077</v>
      </c>
      <c r="H34" s="773">
        <v>0.314</v>
      </c>
      <c r="I34" s="771">
        <v>0.52</v>
      </c>
      <c r="J34" s="601">
        <v>3.14</v>
      </c>
      <c r="K34" s="426" t="str">
        <f t="shared" si="225"/>
        <v>1613</v>
      </c>
      <c r="L34" s="327"/>
      <c r="M34" s="173">
        <f t="shared" si="2"/>
        <v>3.14</v>
      </c>
      <c r="N34" s="21">
        <f t="shared" si="3"/>
        <v>4.8575759583139053</v>
      </c>
      <c r="O34" s="5">
        <f t="shared" si="4"/>
        <v>1.6019724187161264</v>
      </c>
      <c r="P34" s="10">
        <f t="shared" si="5"/>
        <v>-1.4668044238821427</v>
      </c>
      <c r="Q34" s="624">
        <f t="shared" si="116"/>
        <v>18.251958381566443</v>
      </c>
      <c r="R34" s="5">
        <f>IF(M34="","",SQRT(N34^2+O34^2))</f>
        <v>5.1149154265849255</v>
      </c>
      <c r="S34" s="6">
        <f>IF(M34="","",P34)</f>
        <v>-1.4668044238821427</v>
      </c>
      <c r="T34" s="4">
        <f>IF(M34="","",X34*COS(RADIANS(W34)))</f>
        <v>1.6019724187161266</v>
      </c>
      <c r="U34" s="5">
        <f>IF(M34="","",X34*SIN(RADIANS(W34)))</f>
        <v>-4.8575759583139044</v>
      </c>
      <c r="V34" s="8">
        <f>IF(M34="","",Y34)</f>
        <v>-1.4668044238821427</v>
      </c>
      <c r="W34" s="624">
        <f t="shared" si="227"/>
        <v>288.25195838156645</v>
      </c>
      <c r="X34" s="5">
        <f>IF(M34="","",R34)</f>
        <v>5.1149154265849255</v>
      </c>
      <c r="Y34" s="7">
        <f t="shared" si="226"/>
        <v>-1.4668044238821427</v>
      </c>
      <c r="Z34" s="21">
        <f t="shared" si="7"/>
        <v>4.6144894750260443E-2</v>
      </c>
      <c r="AA34" s="5">
        <f t="shared" si="8"/>
        <v>-0.99242621811471254</v>
      </c>
      <c r="AB34" s="5">
        <f t="shared" si="9"/>
        <v>-0.11384573020986077</v>
      </c>
      <c r="AC34" s="8">
        <f>IF(M34="","",SQRT(Z34^2+AA34^2+AB34^2))</f>
        <v>1</v>
      </c>
      <c r="AD34" s="9">
        <f>IF(M34="","",Z34*(1/SQRT(Z34^2+AA34^2+AB34^2)))</f>
        <v>4.6144894750260443E-2</v>
      </c>
      <c r="AE34" s="5">
        <f>IF(M34="","",AA34*(1/SQRT(Z34^2+AA34^2+AB34^2)))</f>
        <v>-0.99242621811471254</v>
      </c>
      <c r="AF34" s="10">
        <f>IF(M34="","",AB34*(1/SQRT(Z34^2+AA34^2+AB34^2)))</f>
        <v>-0.11384573020986077</v>
      </c>
      <c r="AG34" s="622">
        <f>IF(M34="","",DEGREES(ATAN2(-AF34,AE34)))</f>
        <v>-83.455945547669501</v>
      </c>
      <c r="AH34" s="623">
        <f>IF(M34="","",DEGREES(ACOS(AD34)))</f>
        <v>87.355153083111972</v>
      </c>
      <c r="AI34" s="624">
        <f>IF(M34="","",DEGREES(-ACOS(-AF34)))</f>
        <v>-83.462946978580334</v>
      </c>
      <c r="AJ34" s="625">
        <f>IF(M34="","",DEGREES(ATAN2(-AE34,AD34)))</f>
        <v>2.6621675040942789</v>
      </c>
      <c r="AK34" s="4">
        <f>IF(M34="","",(COS(RADIANS((90-$Q$8)-W34))*AD34)+(-SIN(RADIANS((90-$Q$8)-W34))*AE34))</f>
        <v>0.95694809746579601</v>
      </c>
      <c r="AL34" s="5">
        <f>IF(M34="","",(SIN(RADIANS((90-$Q$8)-W34))*AD34)+(COS(RADIANS((90-$Q$8)-W34))*AE34))</f>
        <v>-0.26700091473546839</v>
      </c>
      <c r="AM34" s="6">
        <f>IF(M34="","",AF34)</f>
        <v>-0.11384573020986077</v>
      </c>
      <c r="AN34" s="612">
        <f>IF(M34="","",DEGREES(ATAN2(-AM34,AL34)))</f>
        <v>-66.907228416975016</v>
      </c>
      <c r="AO34" s="613">
        <f t="shared" si="98"/>
        <v>16.873467937812578</v>
      </c>
      <c r="AP34" s="624">
        <f>IF(M34="","",DEGREES(ATAN2(AK34,AL34)))</f>
        <v>-15.589790877472163</v>
      </c>
      <c r="AQ34" s="625">
        <f t="shared" si="10"/>
        <v>2.4231716251850495</v>
      </c>
      <c r="AS34" s="56">
        <f t="shared" si="119"/>
        <v>-71.748041618433547</v>
      </c>
      <c r="AT34" s="77">
        <f t="shared" si="11"/>
        <v>-1.1957562666569492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3.14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5.2094272677216189</v>
      </c>
      <c r="C35" s="771">
        <v>1.6786799805903292</v>
      </c>
      <c r="D35" s="772">
        <v>-2.1591065118652395</v>
      </c>
      <c r="E35" s="773">
        <v>-6.2268381827196061E-3</v>
      </c>
      <c r="F35" s="771">
        <v>0.99707835071326978</v>
      </c>
      <c r="G35" s="774">
        <v>7.6131393164398029E-2</v>
      </c>
      <c r="H35" s="773">
        <v>0.314</v>
      </c>
      <c r="I35" s="771">
        <v>0.52</v>
      </c>
      <c r="J35" s="601">
        <v>3.149</v>
      </c>
      <c r="K35" s="426" t="str">
        <f t="shared" si="225"/>
        <v>1613</v>
      </c>
      <c r="L35" s="327"/>
      <c r="M35" s="173">
        <f t="shared" si="2"/>
        <v>3.149</v>
      </c>
      <c r="N35" s="21">
        <f t="shared" si="3"/>
        <v>5.2094272677216189</v>
      </c>
      <c r="O35" s="5">
        <f t="shared" si="4"/>
        <v>1.6786799805903292</v>
      </c>
      <c r="P35" s="10">
        <f t="shared" si="5"/>
        <v>-2.1591065118652395</v>
      </c>
      <c r="Q35" s="624">
        <f t="shared" si="116"/>
        <v>17.86095843801985</v>
      </c>
      <c r="R35" s="5">
        <f>IF(M35="","",SQRT(N35^2+O35^2))</f>
        <v>5.4732165072209851</v>
      </c>
      <c r="S35" s="6">
        <f>IF(M35="","",P35)</f>
        <v>-2.1591065118652395</v>
      </c>
      <c r="T35" s="4">
        <f>IF(M35="","",X35*COS(RADIANS(W35)))</f>
        <v>1.6786799805903299</v>
      </c>
      <c r="U35" s="5">
        <f>IF(M35="","",X35*SIN(RADIANS(W35)))</f>
        <v>-5.2094272677216189</v>
      </c>
      <c r="V35" s="8">
        <f>IF(M35="","",Y35)</f>
        <v>-2.1591065118652395</v>
      </c>
      <c r="W35" s="624">
        <f t="shared" si="227"/>
        <v>287.86095843801985</v>
      </c>
      <c r="X35" s="5">
        <f>IF(M35="","",R35)</f>
        <v>5.4732165072209851</v>
      </c>
      <c r="Y35" s="7">
        <f t="shared" si="226"/>
        <v>-2.1591065118652395</v>
      </c>
      <c r="Z35" s="21">
        <f t="shared" si="7"/>
        <v>6.2268381827196061E-3</v>
      </c>
      <c r="AA35" s="5">
        <f t="shared" si="8"/>
        <v>-0.99707835071326978</v>
      </c>
      <c r="AB35" s="5">
        <f t="shared" si="9"/>
        <v>-7.6131393164398029E-2</v>
      </c>
      <c r="AC35" s="8">
        <f>IF(M35="","",SQRT(Z35^2+AA35^2+AB35^2))</f>
        <v>1</v>
      </c>
      <c r="AD35" s="9">
        <f>IF(M35="","",Z35*(1/SQRT(Z35^2+AA35^2+AB35^2)))</f>
        <v>6.2268381827196061E-3</v>
      </c>
      <c r="AE35" s="5">
        <f>IF(M35="","",AA35*(1/SQRT(Z35^2+AA35^2+AB35^2)))</f>
        <v>-0.99707835071326978</v>
      </c>
      <c r="AF35" s="10">
        <f>IF(M35="","",AB35*(1/SQRT(Z35^2+AA35^2+AB35^2)))</f>
        <v>-7.6131393164398029E-2</v>
      </c>
      <c r="AG35" s="622">
        <f>IF(M35="","",DEGREES(ATAN2(-AF35,AE35)))</f>
        <v>-85.633682949961198</v>
      </c>
      <c r="AH35" s="623">
        <f>IF(M35="","",DEGREES(ACOS(AD35)))</f>
        <v>89.643226146831282</v>
      </c>
      <c r="AI35" s="624">
        <f>IF(M35="","",DEGREES(-ACOS(-AF35)))</f>
        <v>-85.633767763751536</v>
      </c>
      <c r="AJ35" s="625">
        <f>IF(M35="","",DEGREES(ATAN2(-AE35,AD35)))</f>
        <v>0.35781231161624127</v>
      </c>
      <c r="AK35" s="4">
        <f>IF(M35="","",(COS(RADIANS((90-$Q$8)-W35))*AD35)+(-SIN(RADIANS((90-$Q$8)-W35))*AE35))</f>
        <v>0.95093260242741062</v>
      </c>
      <c r="AL35" s="5">
        <f>IF(M35="","",(SIN(RADIANS((90-$Q$8)-W35))*AD35)+(COS(RADIANS((90-$Q$8)-W35))*AE35))</f>
        <v>-0.29988530576785566</v>
      </c>
      <c r="AM35" s="6">
        <f>IF(M35="","",AF35)</f>
        <v>-7.6131393164398029E-2</v>
      </c>
      <c r="AN35" s="612">
        <f>IF(M35="","",DEGREES(ATAN2(-AM35,AL35)))</f>
        <v>-75.755343705289746</v>
      </c>
      <c r="AO35" s="613">
        <f t="shared" si="98"/>
        <v>18.022961087428808</v>
      </c>
      <c r="AP35" s="624">
        <f>IF(M35="","",DEGREES(ATAN2(AK35,AL35)))</f>
        <v>-17.50314612640361</v>
      </c>
      <c r="AQ35" s="625">
        <f t="shared" si="10"/>
        <v>2.2647109892077442</v>
      </c>
      <c r="AS35" s="56">
        <f t="shared" si="119"/>
        <v>-72.13904156198015</v>
      </c>
      <c r="AT35" s="77">
        <f t="shared" si="11"/>
        <v>-1.8865812437422034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3.149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0.02</v>
      </c>
      <c r="B36" s="770">
        <v>5.4416478411909699</v>
      </c>
      <c r="C36" s="771">
        <v>1.7256653910133646</v>
      </c>
      <c r="D36" s="772">
        <v>-2.9024087536648011</v>
      </c>
      <c r="E36" s="773">
        <v>5.5857828676615505E-2</v>
      </c>
      <c r="F36" s="771">
        <v>0.99720396826093627</v>
      </c>
      <c r="G36" s="774">
        <v>4.9640191983670076E-2</v>
      </c>
      <c r="H36" s="773">
        <v>0.314</v>
      </c>
      <c r="I36" s="771">
        <v>0.52</v>
      </c>
      <c r="J36" s="601">
        <v>3.1579999999999999</v>
      </c>
      <c r="K36" s="426" t="str">
        <f t="shared" si="225"/>
        <v>1613</v>
      </c>
      <c r="L36" s="327"/>
      <c r="M36" s="173">
        <f t="shared" si="2"/>
        <v>3.1579999999999999</v>
      </c>
      <c r="N36" s="21">
        <f t="shared" si="3"/>
        <v>5.4416478411909699</v>
      </c>
      <c r="O36" s="5">
        <f t="shared" si="4"/>
        <v>1.7256653910133646</v>
      </c>
      <c r="P36" s="10">
        <f t="shared" si="5"/>
        <v>-2.9024087536648011</v>
      </c>
      <c r="Q36" s="624">
        <f t="shared" si="116"/>
        <v>17.594958476425489</v>
      </c>
      <c r="R36" s="5">
        <f>IF(M36="","",SQRT(N36^2+O36^2))</f>
        <v>5.7087172174911283</v>
      </c>
      <c r="S36" s="6">
        <f>IF(M36="","",P36)</f>
        <v>-2.9024087536648011</v>
      </c>
      <c r="T36" s="4">
        <f>IF(M36="","",X36*COS(RADIANS(W36)))</f>
        <v>1.7256653910133644</v>
      </c>
      <c r="U36" s="5">
        <f>IF(M36="","",X36*SIN(RADIANS(W36)))</f>
        <v>-5.4416478411909699</v>
      </c>
      <c r="V36" s="8">
        <f>IF(M36="","",Y36)</f>
        <v>-2.9024087536648011</v>
      </c>
      <c r="W36" s="624">
        <f t="shared" si="227"/>
        <v>287.59495847642552</v>
      </c>
      <c r="X36" s="5">
        <f>IF(M36="","",R36)</f>
        <v>5.7087172174911283</v>
      </c>
      <c r="Y36" s="7">
        <f t="shared" si="226"/>
        <v>-2.9024087536648011</v>
      </c>
      <c r="Z36" s="21">
        <f t="shared" si="7"/>
        <v>-5.5857828676615505E-2</v>
      </c>
      <c r="AA36" s="5">
        <f t="shared" si="8"/>
        <v>-0.99720396826093627</v>
      </c>
      <c r="AB36" s="5">
        <f t="shared" si="9"/>
        <v>-4.9640191983670076E-2</v>
      </c>
      <c r="AC36" s="8">
        <f>IF(M36="","",SQRT(Z36^2+AA36^2+AB36^2))</f>
        <v>1</v>
      </c>
      <c r="AD36" s="9">
        <f>IF(M36="","",Z36*(1/SQRT(Z36^2+AA36^2+AB36^2)))</f>
        <v>-5.5857828676615505E-2</v>
      </c>
      <c r="AE36" s="5">
        <f>IF(M36="","",AA36*(1/SQRT(Z36^2+AA36^2+AB36^2)))</f>
        <v>-0.99720396826093627</v>
      </c>
      <c r="AF36" s="10">
        <f>IF(M36="","",AB36*(1/SQRT(Z36^2+AA36^2+AB36^2)))</f>
        <v>-4.9640191983670076E-2</v>
      </c>
      <c r="AG36" s="622">
        <f>IF(M36="","",DEGREES(ATAN2(-AF36,AE36)))</f>
        <v>-87.150204173184321</v>
      </c>
      <c r="AH36" s="623">
        <f>IF(M36="","",DEGREES(ACOS(AD36)))</f>
        <v>93.202084446018063</v>
      </c>
      <c r="AI36" s="624">
        <f>IF(M36="","",DEGREES(-ACOS(-AF36)))</f>
        <v>-87.154657130253071</v>
      </c>
      <c r="AJ36" s="625">
        <f>IF(M36="","",DEGREES(ATAN2(-AE36,AD36)))</f>
        <v>-3.2060410860685864</v>
      </c>
      <c r="AK36" s="4">
        <f>IF(M36="","",(COS(RADIANS((90-$Q$8)-W36))*AD36)+(-SIN(RADIANS((90-$Q$8)-W36))*AE36))</f>
        <v>0.93366700368673261</v>
      </c>
      <c r="AL36" s="5">
        <f>IF(M36="","",(SIN(RADIANS((90-$Q$8)-W36))*AD36)+(COS(RADIANS((90-$Q$8)-W36))*AE36))</f>
        <v>-0.35468546286317321</v>
      </c>
      <c r="AM36" s="6">
        <f>IF(M36="","",AF36)</f>
        <v>-4.9640191983670076E-2</v>
      </c>
      <c r="AN36" s="612">
        <f>IF(M36="","",DEGREES(ATAN2(-AM36,AL36)))</f>
        <v>-82.032888577377392</v>
      </c>
      <c r="AO36" s="613">
        <f t="shared" si="98"/>
        <v>20.986153701622904</v>
      </c>
      <c r="AP36" s="624">
        <f>IF(M36="","",DEGREES(ATAN2(AK36,AL36)))</f>
        <v>-20.800999562494077</v>
      </c>
      <c r="AQ36" s="625">
        <f t="shared" si="10"/>
        <v>2.1713766132119483</v>
      </c>
      <c r="AS36" s="56">
        <f t="shared" si="119"/>
        <v>-72.405041523574482</v>
      </c>
      <c r="AT36" s="77">
        <f t="shared" si="11"/>
        <v>-2.6288785967979642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3.1579999999999999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8"/>
        <v/>
      </c>
      <c r="IK36" s="839" t="str">
        <f t="shared" si="69"/>
        <v/>
      </c>
      <c r="IL36" s="791" t="str">
        <f t="shared" si="228"/>
        <v/>
      </c>
      <c r="IM36" s="830"/>
      <c r="IN36" s="5" t="str">
        <f t="shared" si="229"/>
        <v/>
      </c>
      <c r="IO36" s="852"/>
      <c r="IP36" s="9" t="str">
        <f t="shared" si="230"/>
        <v/>
      </c>
      <c r="IQ36" s="5" t="str">
        <f t="shared" si="231"/>
        <v/>
      </c>
      <c r="IR36" s="5" t="str">
        <f t="shared" si="74"/>
        <v/>
      </c>
      <c r="IS36" s="5" t="str">
        <f t="shared" si="232"/>
        <v/>
      </c>
      <c r="IT36" s="791" t="str">
        <f t="shared" si="233"/>
        <v/>
      </c>
      <c r="IU36" s="9" t="str">
        <f t="shared" si="234"/>
        <v/>
      </c>
      <c r="IV36" s="5" t="str">
        <f t="shared" si="235"/>
        <v/>
      </c>
      <c r="IW36" s="5" t="str">
        <f t="shared" si="79"/>
        <v/>
      </c>
      <c r="IX36" s="5" t="str">
        <f t="shared" si="236"/>
        <v/>
      </c>
      <c r="IY36" s="833" t="str">
        <f t="shared" si="237"/>
        <v/>
      </c>
    </row>
    <row r="37" spans="1:259" ht="15" customHeight="1" x14ac:dyDescent="0.25">
      <c r="A37" s="84">
        <f t="shared" si="82"/>
        <v>0.02</v>
      </c>
      <c r="B37" s="770">
        <v>5.5579762660526066</v>
      </c>
      <c r="C37" s="771">
        <v>1.7481537560655351</v>
      </c>
      <c r="D37" s="772">
        <v>-3.6733110787062135</v>
      </c>
      <c r="E37" s="773">
        <v>0.12851072318647103</v>
      </c>
      <c r="F37" s="771">
        <v>0.99155246598312452</v>
      </c>
      <c r="G37" s="774">
        <v>1.7569895528291187E-2</v>
      </c>
      <c r="H37" s="773">
        <v>0.314</v>
      </c>
      <c r="I37" s="771">
        <v>0.52</v>
      </c>
      <c r="J37" s="601">
        <v>3.1669999999999998</v>
      </c>
      <c r="K37" s="426" t="str">
        <f t="shared" si="225"/>
        <v>1613</v>
      </c>
      <c r="L37" s="327"/>
      <c r="M37" s="173">
        <f t="shared" si="2"/>
        <v>3.1669999999999998</v>
      </c>
      <c r="N37" s="21">
        <f t="shared" si="3"/>
        <v>5.5579762660526066</v>
      </c>
      <c r="O37" s="5">
        <f t="shared" si="4"/>
        <v>1.7481537560655351</v>
      </c>
      <c r="P37" s="10">
        <f t="shared" si="5"/>
        <v>-3.6733110787062135</v>
      </c>
      <c r="Q37" s="624">
        <f t="shared" si="116"/>
        <v>17.459958495917075</v>
      </c>
      <c r="R37" s="5">
        <f t="shared" si="83"/>
        <v>5.8264175724753979</v>
      </c>
      <c r="S37" s="6">
        <f t="shared" si="84"/>
        <v>-3.6733110787062135</v>
      </c>
      <c r="T37" s="4">
        <f t="shared" si="85"/>
        <v>1.748153756065536</v>
      </c>
      <c r="U37" s="5">
        <f t="shared" si="86"/>
        <v>-5.5579762660526058</v>
      </c>
      <c r="V37" s="8">
        <f t="shared" si="117"/>
        <v>-3.6733110787062135</v>
      </c>
      <c r="W37" s="624">
        <f t="shared" si="227"/>
        <v>287.45995849591708</v>
      </c>
      <c r="X37" s="5">
        <f t="shared" si="87"/>
        <v>5.8264175724753979</v>
      </c>
      <c r="Y37" s="7">
        <f t="shared" si="226"/>
        <v>-3.6733110787062135</v>
      </c>
      <c r="Z37" s="21">
        <f t="shared" si="7"/>
        <v>-0.12851072318647103</v>
      </c>
      <c r="AA37" s="5">
        <f t="shared" si="8"/>
        <v>-0.99155246598312452</v>
      </c>
      <c r="AB37" s="5">
        <f t="shared" si="9"/>
        <v>-1.7569895528291187E-2</v>
      </c>
      <c r="AC37" s="8">
        <f t="shared" si="88"/>
        <v>1</v>
      </c>
      <c r="AD37" s="9">
        <f t="shared" si="118"/>
        <v>-0.12851072318647103</v>
      </c>
      <c r="AE37" s="5">
        <f t="shared" si="89"/>
        <v>-0.99155246598312452</v>
      </c>
      <c r="AF37" s="10">
        <f t="shared" si="90"/>
        <v>-1.7569895528291187E-2</v>
      </c>
      <c r="AG37" s="622">
        <f t="shared" si="91"/>
        <v>-88.984848957359588</v>
      </c>
      <c r="AH37" s="623">
        <f t="shared" si="92"/>
        <v>97.383541178388768</v>
      </c>
      <c r="AI37" s="624">
        <f t="shared" si="93"/>
        <v>-88.993267338610394</v>
      </c>
      <c r="AJ37" s="625">
        <f t="shared" si="94"/>
        <v>-7.3846874502233417</v>
      </c>
      <c r="AK37" s="4">
        <f t="shared" si="213"/>
        <v>0.90731028171073191</v>
      </c>
      <c r="AL37" s="5">
        <f t="shared" si="95"/>
        <v>-0.42009445541820395</v>
      </c>
      <c r="AM37" s="6">
        <f t="shared" si="96"/>
        <v>-1.7569895528291187E-2</v>
      </c>
      <c r="AN37" s="612">
        <f t="shared" si="97"/>
        <v>-87.605075492532336</v>
      </c>
      <c r="AO37" s="613">
        <f t="shared" si="98"/>
        <v>24.863740835009846</v>
      </c>
      <c r="AP37" s="624">
        <f t="shared" si="99"/>
        <v>-24.844645946140428</v>
      </c>
      <c r="AQ37" s="625">
        <f t="shared" si="10"/>
        <v>2.1275530264310745</v>
      </c>
      <c r="AS37" s="56">
        <f t="shared" si="119"/>
        <v>-72.540041504082922</v>
      </c>
      <c r="AT37" s="77">
        <f t="shared" si="11"/>
        <v>-3.3992709219130113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3.1669999999999998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5.6074547072302527</v>
      </c>
      <c r="C38" s="771">
        <v>1.7574802885926917</v>
      </c>
      <c r="D38" s="772">
        <v>-4.45131342516129</v>
      </c>
      <c r="E38" s="773">
        <v>0.21810980836421756</v>
      </c>
      <c r="F38" s="771">
        <v>0.97592423450558474</v>
      </c>
      <c r="G38" s="774">
        <v>1.133974335264224E-7</v>
      </c>
      <c r="H38" s="773">
        <v>0.314</v>
      </c>
      <c r="I38" s="771">
        <v>0.52</v>
      </c>
      <c r="J38" s="601">
        <v>3.1760000000000002</v>
      </c>
      <c r="K38" s="426" t="str">
        <f t="shared" si="225"/>
        <v>1613</v>
      </c>
      <c r="L38" s="327"/>
      <c r="M38" s="173">
        <f t="shared" si="2"/>
        <v>3.1760000000000002</v>
      </c>
      <c r="N38" s="21">
        <f t="shared" si="3"/>
        <v>5.6074547072302527</v>
      </c>
      <c r="O38" s="5">
        <f t="shared" si="4"/>
        <v>1.7574802885926917</v>
      </c>
      <c r="P38" s="10">
        <f t="shared" si="5"/>
        <v>-4.45131342516129</v>
      </c>
      <c r="Q38" s="624">
        <f t="shared" si="116"/>
        <v>17.401958504291237</v>
      </c>
      <c r="R38" s="5">
        <f t="shared" si="83"/>
        <v>5.8764177232758534</v>
      </c>
      <c r="S38" s="6">
        <f t="shared" si="84"/>
        <v>-4.45131342516129</v>
      </c>
      <c r="T38" s="4">
        <f t="shared" si="85"/>
        <v>1.7574802885926952</v>
      </c>
      <c r="U38" s="5">
        <f t="shared" si="86"/>
        <v>-5.607454707230251</v>
      </c>
      <c r="V38" s="8">
        <f t="shared" si="117"/>
        <v>-4.45131342516129</v>
      </c>
      <c r="W38" s="624">
        <f t="shared" si="227"/>
        <v>287.40195850429126</v>
      </c>
      <c r="X38" s="5">
        <f t="shared" si="87"/>
        <v>5.8764177232758534</v>
      </c>
      <c r="Y38" s="7">
        <f t="shared" si="226"/>
        <v>-4.45131342516129</v>
      </c>
      <c r="Z38" s="21">
        <f t="shared" si="7"/>
        <v>-0.21810980836421756</v>
      </c>
      <c r="AA38" s="5">
        <f t="shared" si="8"/>
        <v>-0.97592423450558474</v>
      </c>
      <c r="AB38" s="5">
        <f t="shared" si="9"/>
        <v>-1.133974335264224E-7</v>
      </c>
      <c r="AC38" s="8">
        <f t="shared" si="88"/>
        <v>1</v>
      </c>
      <c r="AD38" s="9">
        <f t="shared" si="118"/>
        <v>-0.21810980836421756</v>
      </c>
      <c r="AE38" s="5">
        <f t="shared" si="89"/>
        <v>-0.97592423450558474</v>
      </c>
      <c r="AF38" s="10">
        <f t="shared" si="90"/>
        <v>-1.133974335264224E-7</v>
      </c>
      <c r="AG38" s="622">
        <f t="shared" si="91"/>
        <v>-89.999993342521762</v>
      </c>
      <c r="AH38" s="623">
        <f t="shared" si="92"/>
        <v>102.59803716424459</v>
      </c>
      <c r="AI38" s="624">
        <f t="shared" si="93"/>
        <v>-89.999993502805651</v>
      </c>
      <c r="AJ38" s="625">
        <f t="shared" si="94"/>
        <v>-12.59803716424466</v>
      </c>
      <c r="AK38" s="4">
        <f t="shared" si="213"/>
        <v>0.8660254415835853</v>
      </c>
      <c r="AL38" s="5">
        <f t="shared" si="95"/>
        <v>-0.49999993452993907</v>
      </c>
      <c r="AM38" s="6">
        <f t="shared" si="96"/>
        <v>-1.133974335264224E-7</v>
      </c>
      <c r="AN38" s="612">
        <f t="shared" si="97"/>
        <v>-89.999987005609611</v>
      </c>
      <c r="AO38" s="613">
        <f t="shared" si="98"/>
        <v>29.999995668536574</v>
      </c>
      <c r="AP38" s="624">
        <f t="shared" si="99"/>
        <v>-29.999995668535945</v>
      </c>
      <c r="AQ38" s="625">
        <f t="shared" si="10"/>
        <v>2.1094669302611715</v>
      </c>
      <c r="AS38" s="56">
        <f t="shared" si="119"/>
        <v>-72.598041495708742</v>
      </c>
      <c r="AT38" s="77">
        <f t="shared" si="11"/>
        <v>-4.1770541572886124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3.1760000000000002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</v>
      </c>
      <c r="B39" s="770">
        <v>3.9963034282497762</v>
      </c>
      <c r="C39" s="771">
        <v>0.22641299020036443</v>
      </c>
      <c r="D39" s="772">
        <v>-0.32030096602771352</v>
      </c>
      <c r="E39" s="773">
        <v>0.48905465270336013</v>
      </c>
      <c r="F39" s="771">
        <v>2.7707914594746998E-2</v>
      </c>
      <c r="G39" s="774">
        <v>0.8718129490538703</v>
      </c>
      <c r="H39" s="773">
        <v>0.25700000000000001</v>
      </c>
      <c r="I39" s="771">
        <v>0.41499999999999992</v>
      </c>
      <c r="J39" s="601">
        <v>3.222</v>
      </c>
      <c r="K39" s="426" t="str">
        <f t="shared" si="225"/>
        <v>Knuckle</v>
      </c>
      <c r="L39" s="327"/>
      <c r="M39" s="173">
        <f t="shared" si="2"/>
        <v>3.222</v>
      </c>
      <c r="N39" s="21">
        <f t="shared" si="3"/>
        <v>3.9963034282497762</v>
      </c>
      <c r="O39" s="5">
        <f t="shared" si="4"/>
        <v>0.22641299020036443</v>
      </c>
      <c r="P39" s="10">
        <f t="shared" si="5"/>
        <v>-0.32030096602771352</v>
      </c>
      <c r="Q39" s="624">
        <f t="shared" si="116"/>
        <v>3.2426605486409246</v>
      </c>
      <c r="R39" s="5">
        <f t="shared" si="83"/>
        <v>4.0027120721796097</v>
      </c>
      <c r="S39" s="6">
        <f t="shared" si="84"/>
        <v>-0.32030096602771352</v>
      </c>
      <c r="T39" s="4">
        <f t="shared" si="85"/>
        <v>0.22641299020036448</v>
      </c>
      <c r="U39" s="5">
        <f t="shared" si="86"/>
        <v>-3.9963034282497762</v>
      </c>
      <c r="V39" s="8">
        <f t="shared" si="117"/>
        <v>-0.32030096602771352</v>
      </c>
      <c r="W39" s="624">
        <f t="shared" si="227"/>
        <v>273.24266054864091</v>
      </c>
      <c r="X39" s="5">
        <f t="shared" si="87"/>
        <v>4.0027120721796097</v>
      </c>
      <c r="Y39" s="7">
        <f t="shared" si="226"/>
        <v>-0.32030096602771352</v>
      </c>
      <c r="Z39" s="21">
        <f t="shared" si="7"/>
        <v>-0.48905465270336013</v>
      </c>
      <c r="AA39" s="5">
        <f t="shared" si="8"/>
        <v>-2.7707914594746998E-2</v>
      </c>
      <c r="AB39" s="5">
        <f t="shared" si="9"/>
        <v>-0.8718129490538703</v>
      </c>
      <c r="AC39" s="8">
        <f t="shared" si="88"/>
        <v>1</v>
      </c>
      <c r="AD39" s="9">
        <f t="shared" si="118"/>
        <v>-0.48905465270336013</v>
      </c>
      <c r="AE39" s="5">
        <f t="shared" si="89"/>
        <v>-2.7707914594746998E-2</v>
      </c>
      <c r="AF39" s="10">
        <f t="shared" si="90"/>
        <v>-0.8718129490538703</v>
      </c>
      <c r="AG39" s="622">
        <f t="shared" si="91"/>
        <v>-1.8203587913968471</v>
      </c>
      <c r="AH39" s="623">
        <f t="shared" si="92"/>
        <v>119.27846556182487</v>
      </c>
      <c r="AI39" s="624">
        <f t="shared" si="93"/>
        <v>-29.329995765275147</v>
      </c>
      <c r="AJ39" s="625">
        <f t="shared" si="94"/>
        <v>-86.757312923475169</v>
      </c>
      <c r="AK39" s="4">
        <f t="shared" si="213"/>
        <v>2.2679489669608088E-7</v>
      </c>
      <c r="AL39" s="5">
        <f t="shared" si="95"/>
        <v>-0.48983893461212591</v>
      </c>
      <c r="AM39" s="6">
        <f t="shared" si="96"/>
        <v>-0.8718129490538703</v>
      </c>
      <c r="AN39" s="612">
        <f t="shared" si="97"/>
        <v>-29.329995765272539</v>
      </c>
      <c r="AO39" s="613">
        <f t="shared" si="98"/>
        <v>0</v>
      </c>
      <c r="AP39" s="624">
        <f t="shared" si="99"/>
        <v>-89.999973472116082</v>
      </c>
      <c r="AQ39" s="625">
        <f t="shared" si="10"/>
        <v>3.0953127261235585</v>
      </c>
      <c r="AS39" s="56">
        <f t="shared" si="119"/>
        <v>-86.757339451359087</v>
      </c>
      <c r="AT39" s="77">
        <f t="shared" si="11"/>
        <v>7.4489830107541399E-3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>
        <f>IFERROR(IF($IU39="","",IF($IU39&lt;(((Settings!$C$19/2)*-1)*$IE$8),"",1)),"")</f>
        <v>1</v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3.222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3.1219999999999999</v>
      </c>
      <c r="II39" s="800" cm="1">
        <f t="array" ref="II39">IFERROR(IF($IH39&lt;1,$IH39+LARGE((IF($M$9:$M$150="",0,$M$9:$M$150)-MOD(IF($M$9:$M$150="",0,$M$9:$M$150),1)),1),$IH39),"")</f>
        <v>3.1219999999999999</v>
      </c>
      <c r="IJ39" s="839" t="str">
        <f t="shared" si="68"/>
        <v>1613</v>
      </c>
      <c r="IK39" s="839" t="str">
        <f t="shared" si="69"/>
        <v>Knuckle</v>
      </c>
      <c r="IL39" s="791">
        <f t="shared" si="228"/>
        <v>16.093297676415318</v>
      </c>
      <c r="IM39" s="830">
        <v>4.8752127325054602E-3</v>
      </c>
      <c r="IN39" s="5">
        <f t="shared" si="229"/>
        <v>0.1</v>
      </c>
      <c r="IO39" s="852">
        <v>50</v>
      </c>
      <c r="IP39" s="9">
        <f t="shared" si="230"/>
        <v>-3.9798120031130013</v>
      </c>
      <c r="IQ39" s="5">
        <f t="shared" si="231"/>
        <v>-0.35440106887362371</v>
      </c>
      <c r="IR39" s="5">
        <f t="shared" si="74"/>
        <v>0.314</v>
      </c>
      <c r="IS39" s="5">
        <f t="shared" si="232"/>
        <v>0.30280597830523165</v>
      </c>
      <c r="IT39" s="791">
        <f t="shared" si="233"/>
        <v>41.789485915988195</v>
      </c>
      <c r="IU39" s="9">
        <f t="shared" si="234"/>
        <v>-4.0027120721796097</v>
      </c>
      <c r="IV39" s="5">
        <f t="shared" si="235"/>
        <v>-0.32030096602771352</v>
      </c>
      <c r="IW39" s="5">
        <f t="shared" si="79"/>
        <v>0.25700000000000001</v>
      </c>
      <c r="IX39" s="5">
        <f t="shared" si="236"/>
        <v>0.25700000000000001</v>
      </c>
      <c r="IY39" s="833">
        <f t="shared" si="237"/>
        <v>29.329995765272539</v>
      </c>
    </row>
    <row r="40" spans="1:259" ht="15" customHeight="1" x14ac:dyDescent="0.25">
      <c r="A40" s="84">
        <f t="shared" si="82"/>
        <v>0.02</v>
      </c>
      <c r="B40" s="770">
        <v>4.6575130486479788</v>
      </c>
      <c r="C40" s="771">
        <v>0.23847086453141567</v>
      </c>
      <c r="D40" s="772">
        <v>-0.82110247644506906</v>
      </c>
      <c r="E40" s="773">
        <v>0.23133078763628653</v>
      </c>
      <c r="F40" s="771">
        <v>0.94983516024854775</v>
      </c>
      <c r="G40" s="774">
        <v>0.21047383459040925</v>
      </c>
      <c r="H40" s="773">
        <v>0.26600000000000001</v>
      </c>
      <c r="I40" s="771">
        <v>0.52</v>
      </c>
      <c r="J40" s="601">
        <v>3.2309999999999999</v>
      </c>
      <c r="K40" s="426" t="str">
        <f t="shared" si="225"/>
        <v>1313</v>
      </c>
      <c r="L40" s="327"/>
      <c r="M40" s="173">
        <f t="shared" si="2"/>
        <v>3.2309999999999999</v>
      </c>
      <c r="N40" s="21">
        <f t="shared" si="3"/>
        <v>4.6575130486479788</v>
      </c>
      <c r="O40" s="5">
        <f t="shared" si="4"/>
        <v>0.23847086453141567</v>
      </c>
      <c r="P40" s="10">
        <f t="shared" si="5"/>
        <v>-0.82110247644506906</v>
      </c>
      <c r="Q40" s="624">
        <f t="shared" si="116"/>
        <v>2.9310605936303937</v>
      </c>
      <c r="R40" s="5">
        <f t="shared" si="83"/>
        <v>4.6636140654600213</v>
      </c>
      <c r="S40" s="6">
        <f t="shared" si="84"/>
        <v>-0.82110247644506906</v>
      </c>
      <c r="T40" s="4">
        <f t="shared" si="85"/>
        <v>0.23847086453141275</v>
      </c>
      <c r="U40" s="5">
        <f t="shared" si="86"/>
        <v>-4.6575130486479788</v>
      </c>
      <c r="V40" s="8">
        <f t="shared" si="117"/>
        <v>-0.82110247644506906</v>
      </c>
      <c r="W40" s="624">
        <f t="shared" si="227"/>
        <v>272.93106059363038</v>
      </c>
      <c r="X40" s="5">
        <f t="shared" si="87"/>
        <v>4.6636140654600213</v>
      </c>
      <c r="Y40" s="7">
        <f t="shared" si="226"/>
        <v>-0.82110247644506906</v>
      </c>
      <c r="Z40" s="21">
        <f t="shared" si="7"/>
        <v>-0.23133078763628653</v>
      </c>
      <c r="AA40" s="5">
        <f t="shared" si="8"/>
        <v>-0.94983516024854775</v>
      </c>
      <c r="AB40" s="5">
        <f t="shared" si="9"/>
        <v>-0.21047383459040925</v>
      </c>
      <c r="AC40" s="8">
        <f t="shared" si="88"/>
        <v>1</v>
      </c>
      <c r="AD40" s="9">
        <f t="shared" si="118"/>
        <v>-0.23133078763628653</v>
      </c>
      <c r="AE40" s="5">
        <f t="shared" si="89"/>
        <v>-0.94983516024854775</v>
      </c>
      <c r="AF40" s="10">
        <f t="shared" si="90"/>
        <v>-0.21047383459040925</v>
      </c>
      <c r="AG40" s="622">
        <f t="shared" si="91"/>
        <v>-77.505723898279385</v>
      </c>
      <c r="AH40" s="623">
        <f t="shared" si="92"/>
        <v>103.37543343852188</v>
      </c>
      <c r="AI40" s="624">
        <f t="shared" si="93"/>
        <v>-77.849878400626196</v>
      </c>
      <c r="AJ40" s="625">
        <f t="shared" si="94"/>
        <v>-13.687810851872012</v>
      </c>
      <c r="AK40" s="4">
        <f t="shared" si="213"/>
        <v>0.93676362123480428</v>
      </c>
      <c r="AL40" s="5">
        <f t="shared" si="95"/>
        <v>-0.27959735850659473</v>
      </c>
      <c r="AM40" s="6">
        <f t="shared" si="96"/>
        <v>-0.21047383459040925</v>
      </c>
      <c r="AN40" s="612">
        <f t="shared" si="97"/>
        <v>-53.028489275105464</v>
      </c>
      <c r="AO40" s="613">
        <f t="shared" si="98"/>
        <v>20.485036016932636</v>
      </c>
      <c r="AP40" s="624">
        <f t="shared" si="99"/>
        <v>-16.618871445502371</v>
      </c>
      <c r="AQ40" s="625">
        <f t="shared" si="10"/>
        <v>2.6573423976978869</v>
      </c>
      <c r="AS40" s="56">
        <f t="shared" si="119"/>
        <v>-87.068939406369623</v>
      </c>
      <c r="AT40" s="77">
        <f t="shared" si="11"/>
        <v>-0.49217537202100603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3.2309999999999999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3.1309999999999998</v>
      </c>
      <c r="II40" s="800" cm="1">
        <f t="array" ref="II40">IFERROR(IF($IH40&lt;1,$IH40+LARGE((IF($M$9:$M$150="",0,$M$9:$M$150)-MOD(IF($M$9:$M$150="",0,$M$9:$M$150),1)),1),$IH40),"")</f>
        <v>3.1309999999999998</v>
      </c>
      <c r="IJ40" s="839" t="str">
        <f t="shared" si="68"/>
        <v>1613</v>
      </c>
      <c r="IK40" s="839" t="str">
        <f t="shared" si="69"/>
        <v>1313</v>
      </c>
      <c r="IL40" s="791">
        <f t="shared" si="228"/>
        <v>15.817897716178152</v>
      </c>
      <c r="IM40" s="830">
        <v>3.34081967001456E-3</v>
      </c>
      <c r="IN40" s="5">
        <f t="shared" si="229"/>
        <v>0.06</v>
      </c>
      <c r="IO40" s="852">
        <v>30</v>
      </c>
      <c r="IP40" s="9">
        <f t="shared" si="230"/>
        <v>-4.6293139620109098</v>
      </c>
      <c r="IQ40" s="5">
        <f t="shared" si="231"/>
        <v>-0.85750258622780007</v>
      </c>
      <c r="IR40" s="5">
        <f t="shared" si="74"/>
        <v>0.314</v>
      </c>
      <c r="IS40" s="5">
        <f t="shared" si="232"/>
        <v>0.30235532587255121</v>
      </c>
      <c r="IT40" s="791">
        <f t="shared" si="233"/>
        <v>57.002389897773249</v>
      </c>
      <c r="IU40" s="9">
        <f t="shared" si="234"/>
        <v>-4.6636140654600213</v>
      </c>
      <c r="IV40" s="5">
        <f t="shared" si="235"/>
        <v>-0.82110247644506906</v>
      </c>
      <c r="IW40" s="5">
        <f t="shared" si="79"/>
        <v>0.26600000000000001</v>
      </c>
      <c r="IX40" s="5">
        <f t="shared" si="236"/>
        <v>0.24917912324845795</v>
      </c>
      <c r="IY40" s="833">
        <f t="shared" si="237"/>
        <v>53.028489275105464</v>
      </c>
    </row>
    <row r="41" spans="1:259" ht="15" customHeight="1" x14ac:dyDescent="0.25">
      <c r="A41" s="84">
        <f t="shared" si="82"/>
        <v>0.02</v>
      </c>
      <c r="B41" s="770">
        <v>5.1423396047651106</v>
      </c>
      <c r="C41" s="771">
        <v>0.35553455476657786</v>
      </c>
      <c r="D41" s="772">
        <v>-1.4349043276714524</v>
      </c>
      <c r="E41" s="773">
        <v>0.26320506831016555</v>
      </c>
      <c r="F41" s="771">
        <v>0.94980737327490217</v>
      </c>
      <c r="G41" s="774">
        <v>0.16908295505009288</v>
      </c>
      <c r="H41" s="773">
        <v>0.26600000000000001</v>
      </c>
      <c r="I41" s="771">
        <v>0.52</v>
      </c>
      <c r="J41" s="601">
        <v>3.24</v>
      </c>
      <c r="K41" s="426" t="str">
        <f t="shared" si="225"/>
        <v>1313</v>
      </c>
      <c r="L41" s="327"/>
      <c r="M41" s="173">
        <f t="shared" ref="M41:M72" si="242">IF(J41="","",VALUE(J41))</f>
        <v>3.24</v>
      </c>
      <c r="N41" s="21">
        <f t="shared" ref="N41:N72" si="243">IF(M41="","",B41)</f>
        <v>5.1423396047651106</v>
      </c>
      <c r="O41" s="5">
        <f t="shared" ref="O41:O72" si="244">IF(M41="","",C41)</f>
        <v>0.35553455476657786</v>
      </c>
      <c r="P41" s="10">
        <f t="shared" ref="P41:P72" si="245">IF(M41="","",D41)</f>
        <v>-1.4349043276714524</v>
      </c>
      <c r="Q41" s="624">
        <f t="shared" si="116"/>
        <v>3.9550604457831082</v>
      </c>
      <c r="R41" s="5">
        <f t="shared" si="83"/>
        <v>5.1546155463204881</v>
      </c>
      <c r="S41" s="6">
        <f t="shared" si="84"/>
        <v>-1.4349043276714524</v>
      </c>
      <c r="T41" s="4">
        <f t="shared" si="85"/>
        <v>0.35553455476657625</v>
      </c>
      <c r="U41" s="5">
        <f t="shared" si="86"/>
        <v>-5.1423396047651106</v>
      </c>
      <c r="V41" s="8">
        <f t="shared" si="117"/>
        <v>-1.4349043276714524</v>
      </c>
      <c r="W41" s="624">
        <f t="shared" si="227"/>
        <v>273.95506044578309</v>
      </c>
      <c r="X41" s="5">
        <f t="shared" si="87"/>
        <v>5.1546155463204881</v>
      </c>
      <c r="Y41" s="7">
        <f t="shared" si="226"/>
        <v>-1.4349043276714524</v>
      </c>
      <c r="Z41" s="21">
        <f t="shared" ref="Z41:Z72" si="246">IF(M41="","",-E41)</f>
        <v>-0.26320506831016555</v>
      </c>
      <c r="AA41" s="5">
        <f t="shared" ref="AA41:AA72" si="247">IF(M41="","",-F41)</f>
        <v>-0.94980737327490217</v>
      </c>
      <c r="AB41" s="5">
        <f t="shared" ref="AB41:AB72" si="248">IF(M41="","",-G41)</f>
        <v>-0.16908295505009288</v>
      </c>
      <c r="AC41" s="8">
        <f t="shared" si="88"/>
        <v>1</v>
      </c>
      <c r="AD41" s="9">
        <f t="shared" si="118"/>
        <v>-0.26320506831016555</v>
      </c>
      <c r="AE41" s="5">
        <f t="shared" si="89"/>
        <v>-0.94980737327490217</v>
      </c>
      <c r="AF41" s="10">
        <f t="shared" si="90"/>
        <v>-0.16908295505009288</v>
      </c>
      <c r="AG41" s="622">
        <f t="shared" si="91"/>
        <v>-79.906051978973352</v>
      </c>
      <c r="AH41" s="623">
        <f t="shared" si="92"/>
        <v>105.26032490424203</v>
      </c>
      <c r="AI41" s="624">
        <f t="shared" si="93"/>
        <v>-80.265495583845222</v>
      </c>
      <c r="AJ41" s="625">
        <f t="shared" si="94"/>
        <v>-15.488805906628611</v>
      </c>
      <c r="AK41" s="4">
        <f t="shared" si="213"/>
        <v>0.92939105403024536</v>
      </c>
      <c r="AL41" s="5">
        <f t="shared" si="95"/>
        <v>-0.32809026654272722</v>
      </c>
      <c r="AM41" s="6">
        <f t="shared" si="96"/>
        <v>-0.16908295505009288</v>
      </c>
      <c r="AN41" s="612">
        <f t="shared" si="97"/>
        <v>-62.735459291482684</v>
      </c>
      <c r="AO41" s="613">
        <f t="shared" si="98"/>
        <v>21.659910429691401</v>
      </c>
      <c r="AP41" s="624">
        <f t="shared" si="99"/>
        <v>-19.443866352411703</v>
      </c>
      <c r="AQ41" s="625">
        <f t="shared" ref="AQ41:AQ72" si="249">IF(M41="","",DEGREES(ATAN(($AS$5*SIN(RADIANS(90)))/(($X41*2*PI())-($AS$5*COS(RADIANS(90)))))))</f>
        <v>2.4045306903573085</v>
      </c>
      <c r="AS41" s="56">
        <f t="shared" si="119"/>
        <v>-86.04493955421691</v>
      </c>
      <c r="AT41" s="77">
        <f t="shared" ref="AT41:AT72" si="250">IF(M41="","",Y41+(((AS41-$AS$9)*$AS$6)*-1))</f>
        <v>-1.1098456671332997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3.24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3.14</v>
      </c>
      <c r="II41" s="800" cm="1">
        <f t="array" ref="II41">IFERROR(IF($IH41&lt;1,$IH41+LARGE((IF($M$9:$M$150="",0,$M$9:$M$150)-MOD(IF($M$9:$M$150="",0,$M$9:$M$150),1)),1),$IH41),"")</f>
        <v>3.14</v>
      </c>
      <c r="IJ41" s="839" t="str">
        <f t="shared" ref="IJ41:IJ72" si="386">IF(ISNUMBER($II41),INDEX($K$9:$K$150,MATCH($II41,$M$9:$M$150,0)),"")</f>
        <v>1613</v>
      </c>
      <c r="IK41" s="839" t="str">
        <f t="shared" ref="IK41:IK72" si="387">IF(ISNUMBER($II41),INDEX($K$9:$K$150,MATCH($IG41,$M$9:$M$150,0)),"")</f>
        <v>1313</v>
      </c>
      <c r="IL41" s="791">
        <f t="shared" si="228"/>
        <v>14.296897935783363</v>
      </c>
      <c r="IM41" s="830">
        <v>2.5684008681637199E-3</v>
      </c>
      <c r="IN41" s="5">
        <f t="shared" si="229"/>
        <v>0.04</v>
      </c>
      <c r="IO41" s="852">
        <v>20</v>
      </c>
      <c r="IP41" s="9">
        <f t="shared" si="230"/>
        <v>-5.1149154265849255</v>
      </c>
      <c r="IQ41" s="5">
        <f t="shared" si="231"/>
        <v>-1.4668044238821427</v>
      </c>
      <c r="IR41" s="5">
        <f t="shared" ref="IR41:IR72" si="388">IF(ISNUMBER($II41),INDEX($H$9:$H$150,MATCH($II41,$M$9:$M$150,0)),"")</f>
        <v>0.314</v>
      </c>
      <c r="IS41" s="5">
        <f t="shared" si="232"/>
        <v>0.30048170260425994</v>
      </c>
      <c r="IT41" s="791">
        <f t="shared" si="233"/>
        <v>66.907228416975016</v>
      </c>
      <c r="IU41" s="9">
        <f t="shared" si="234"/>
        <v>-5.1546155463204881</v>
      </c>
      <c r="IV41" s="5">
        <f t="shared" si="235"/>
        <v>-1.4349043276714524</v>
      </c>
      <c r="IW41" s="5">
        <f t="shared" ref="IW41:IW72" si="389">IF(ISNUMBER($II41),$H41,"")</f>
        <v>0.26600000000000001</v>
      </c>
      <c r="IX41" s="5">
        <f t="shared" si="236"/>
        <v>0.24721802037204527</v>
      </c>
      <c r="IY41" s="833">
        <f t="shared" si="237"/>
        <v>62.735459291482684</v>
      </c>
    </row>
    <row r="42" spans="1:259" ht="15" customHeight="1" x14ac:dyDescent="0.25">
      <c r="A42" s="84">
        <f t="shared" si="82"/>
        <v>0.02</v>
      </c>
      <c r="B42" s="770">
        <v>5.5006876230480923</v>
      </c>
      <c r="C42" s="771">
        <v>0.43061067739152048</v>
      </c>
      <c r="D42" s="772">
        <v>-2.132606431940999</v>
      </c>
      <c r="E42" s="773">
        <v>0.29440219480323365</v>
      </c>
      <c r="F42" s="771">
        <v>0.94784273243151129</v>
      </c>
      <c r="G42" s="774">
        <v>0.12215360114137219</v>
      </c>
      <c r="H42" s="773">
        <v>0.26600000000000001</v>
      </c>
      <c r="I42" s="771">
        <v>0.52</v>
      </c>
      <c r="J42" s="601">
        <v>3.2490000000000001</v>
      </c>
      <c r="K42" s="426" t="str">
        <f t="shared" si="225"/>
        <v>1313</v>
      </c>
      <c r="L42" s="327"/>
      <c r="M42" s="173">
        <f t="shared" si="242"/>
        <v>3.2490000000000001</v>
      </c>
      <c r="N42" s="21">
        <f t="shared" si="243"/>
        <v>5.5006876230480923</v>
      </c>
      <c r="O42" s="5">
        <f t="shared" si="244"/>
        <v>0.43061067739152048</v>
      </c>
      <c r="P42" s="10">
        <f t="shared" si="245"/>
        <v>-2.132606431940999</v>
      </c>
      <c r="Q42" s="624">
        <f t="shared" si="116"/>
        <v>4.4761603705455864</v>
      </c>
      <c r="R42" s="5">
        <f t="shared" ref="R42:R47" si="390">IF(M42="","",SQRT(N42^2+O42^2))</f>
        <v>5.5175166408301894</v>
      </c>
      <c r="S42" s="6">
        <f t="shared" ref="S42:S47" si="391">IF(M42="","",P42)</f>
        <v>-2.132606431940999</v>
      </c>
      <c r="T42" s="4">
        <f t="shared" ref="T42:T47" si="392">IF(M42="","",X42*COS(RADIANS(W42)))</f>
        <v>0.43061067739151787</v>
      </c>
      <c r="U42" s="5">
        <f t="shared" ref="U42:U47" si="393">IF(M42="","",X42*SIN(RADIANS(W42)))</f>
        <v>-5.5006876230480923</v>
      </c>
      <c r="V42" s="8">
        <f t="shared" ref="V42:V47" si="394">IF(M42="","",Y42)</f>
        <v>-2.132606431940999</v>
      </c>
      <c r="W42" s="624">
        <f t="shared" si="227"/>
        <v>274.47616037054559</v>
      </c>
      <c r="X42" s="5">
        <f t="shared" ref="X42:X47" si="395">IF(M42="","",R42)</f>
        <v>5.5175166408301894</v>
      </c>
      <c r="Y42" s="7">
        <f t="shared" si="226"/>
        <v>-2.132606431940999</v>
      </c>
      <c r="Z42" s="21">
        <f t="shared" si="246"/>
        <v>-0.29440219480323365</v>
      </c>
      <c r="AA42" s="5">
        <f t="shared" si="247"/>
        <v>-0.94784273243151129</v>
      </c>
      <c r="AB42" s="5">
        <f t="shared" si="248"/>
        <v>-0.12215360114137219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-0.29440219480323365</v>
      </c>
      <c r="AE42" s="5">
        <f t="shared" ref="AE42:AE47" si="398">IF(M42="","",AA42*(1/SQRT(Z42^2+AA42^2+AB42^2)))</f>
        <v>-0.94784273243151129</v>
      </c>
      <c r="AF42" s="10">
        <f t="shared" ref="AF42:AF47" si="399">IF(M42="","",AB42*(1/SQRT(Z42^2+AA42^2+AB42^2)))</f>
        <v>-0.12215360114137219</v>
      </c>
      <c r="AG42" s="622">
        <f t="shared" ref="AG42:AG47" si="400">IF(M42="","",DEGREES(ATAN2(-AF42,AE42)))</f>
        <v>-82.656461541849211</v>
      </c>
      <c r="AH42" s="623">
        <f t="shared" ref="AH42:AH47" si="401">IF(M42="","",DEGREES(ACOS(AD42)))</f>
        <v>107.12169382589377</v>
      </c>
      <c r="AI42" s="624">
        <f t="shared" ref="AI42:AI47" si="402">IF(M42="","",DEGREES(-ACOS(-AF42)))</f>
        <v>-82.983590631887452</v>
      </c>
      <c r="AJ42" s="625">
        <f t="shared" ref="AJ42:AJ47" si="403">IF(M42="","",DEGREES(ATAN2(-AE42,AD42)))</f>
        <v>-17.25491791541825</v>
      </c>
      <c r="AK42" s="4">
        <f t="shared" ref="AK42:AK47" si="404">IF(M42="","",(COS(RADIANS((90-$Q$8)-W42))*AD42)+(-SIN(RADIANS((90-$Q$8)-W42))*AE42))</f>
        <v>0.92197529966795255</v>
      </c>
      <c r="AL42" s="5">
        <f t="shared" ref="AL42:AL47" si="405">IF(M42="","",(SIN(RADIANS((90-$Q$8)-W42))*AD42)+(COS(RADIANS((90-$Q$8)-W42))*AE42))</f>
        <v>-0.36747795108058334</v>
      </c>
      <c r="AM42" s="6">
        <f t="shared" ref="AM42:AM47" si="406">IF(M42="","",AF42)</f>
        <v>-0.12215360114137219</v>
      </c>
      <c r="AN42" s="612">
        <f t="shared" ref="AN42:AN47" si="407">IF(M42="","",DEGREES(ATAN2(-AM42,AL42)))</f>
        <v>-71.612641289361477</v>
      </c>
      <c r="AO42" s="613">
        <f t="shared" si="98"/>
        <v>22.78341273134205</v>
      </c>
      <c r="AP42" s="624">
        <f t="shared" ref="AP42:AP47" si="408">IF(M42="","",DEGREES(ATAN2(AK42,AL42)))</f>
        <v>-21.731078285963807</v>
      </c>
      <c r="AQ42" s="625">
        <f t="shared" si="249"/>
        <v>2.2465463339730047</v>
      </c>
      <c r="AS42" s="56">
        <f t="shared" si="119"/>
        <v>-85.523839629454415</v>
      </c>
      <c r="AT42" s="77">
        <f t="shared" si="250"/>
        <v>-1.8095163711186157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3.2490000000000001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3.149</v>
      </c>
      <c r="II42" s="800" cm="1">
        <f t="array" ref="II42">IFERROR(IF($IH42&lt;1,$IH42+LARGE((IF($M$9:$M$150="",0,$M$9:$M$150)-MOD(IF($M$9:$M$150="",0,$M$9:$M$150),1)),1),$IH42),"")</f>
        <v>3.149</v>
      </c>
      <c r="IJ42" s="839" t="str">
        <f t="shared" si="386"/>
        <v>1613</v>
      </c>
      <c r="IK42" s="839" t="str">
        <f t="shared" si="387"/>
        <v>1313</v>
      </c>
      <c r="IL42" s="791">
        <f t="shared" si="228"/>
        <v>13.384798067474264</v>
      </c>
      <c r="IM42" s="830">
        <v>2.0110003926061101E-3</v>
      </c>
      <c r="IN42" s="5">
        <f t="shared" si="229"/>
        <v>0.02</v>
      </c>
      <c r="IO42" s="852">
        <v>10</v>
      </c>
      <c r="IP42" s="9">
        <f t="shared" si="230"/>
        <v>-5.4732165072209851</v>
      </c>
      <c r="IQ42" s="5">
        <f t="shared" si="231"/>
        <v>-2.1591065118652395</v>
      </c>
      <c r="IR42" s="5">
        <f t="shared" si="388"/>
        <v>0.314</v>
      </c>
      <c r="IS42" s="5">
        <f t="shared" si="232"/>
        <v>0.29859283716220691</v>
      </c>
      <c r="IT42" s="791">
        <f t="shared" si="233"/>
        <v>75.755343705289746</v>
      </c>
      <c r="IU42" s="9">
        <f t="shared" si="234"/>
        <v>-5.5175166408301894</v>
      </c>
      <c r="IV42" s="5">
        <f t="shared" si="235"/>
        <v>-2.132606431940999</v>
      </c>
      <c r="IW42" s="5">
        <f t="shared" si="389"/>
        <v>0.26600000000000001</v>
      </c>
      <c r="IX42" s="5">
        <f t="shared" si="236"/>
        <v>0.2452454297116754</v>
      </c>
      <c r="IY42" s="833">
        <f t="shared" si="237"/>
        <v>71.612641289361477</v>
      </c>
    </row>
    <row r="43" spans="1:259" ht="15" customHeight="1" x14ac:dyDescent="0.25">
      <c r="A43" s="84">
        <f t="shared" si="82"/>
        <v>0.02</v>
      </c>
      <c r="B43" s="770">
        <v>5.7385460832698678</v>
      </c>
      <c r="C43" s="771">
        <v>0.46080122608784979</v>
      </c>
      <c r="D43" s="772">
        <v>-2.8821086924398163</v>
      </c>
      <c r="E43" s="773">
        <v>0.35298842069687486</v>
      </c>
      <c r="F43" s="771">
        <v>0.93173950184186105</v>
      </c>
      <c r="G43" s="774">
        <v>8.5209597824462871E-2</v>
      </c>
      <c r="H43" s="773">
        <v>0.26600000000000001</v>
      </c>
      <c r="I43" s="771">
        <v>0.52</v>
      </c>
      <c r="J43" s="601">
        <v>3.258</v>
      </c>
      <c r="K43" s="426" t="str">
        <f t="shared" si="225"/>
        <v>1313</v>
      </c>
      <c r="L43" s="327"/>
      <c r="M43" s="173">
        <f t="shared" si="242"/>
        <v>3.258</v>
      </c>
      <c r="N43" s="21">
        <f t="shared" si="243"/>
        <v>5.7385460832698678</v>
      </c>
      <c r="O43" s="5">
        <f t="shared" si="244"/>
        <v>0.46080122608784979</v>
      </c>
      <c r="P43" s="10">
        <f t="shared" si="245"/>
        <v>-2.8821086924398163</v>
      </c>
      <c r="Q43" s="624">
        <f t="shared" si="116"/>
        <v>4.5909603539705168</v>
      </c>
      <c r="R43" s="5">
        <f t="shared" si="390"/>
        <v>5.7570173631643673</v>
      </c>
      <c r="S43" s="6">
        <f t="shared" si="391"/>
        <v>-2.8821086924398163</v>
      </c>
      <c r="T43" s="4">
        <f t="shared" si="392"/>
        <v>0.46080122608784646</v>
      </c>
      <c r="U43" s="5">
        <f t="shared" si="393"/>
        <v>-5.7385460832698678</v>
      </c>
      <c r="V43" s="8">
        <f t="shared" si="394"/>
        <v>-2.8821086924398163</v>
      </c>
      <c r="W43" s="624">
        <f t="shared" si="227"/>
        <v>274.5909603539705</v>
      </c>
      <c r="X43" s="5">
        <f t="shared" si="395"/>
        <v>5.7570173631643673</v>
      </c>
      <c r="Y43" s="7">
        <f t="shared" si="226"/>
        <v>-2.8821086924398163</v>
      </c>
      <c r="Z43" s="21">
        <f t="shared" si="246"/>
        <v>-0.35298842069687486</v>
      </c>
      <c r="AA43" s="5">
        <f t="shared" si="247"/>
        <v>-0.93173950184186105</v>
      </c>
      <c r="AB43" s="5">
        <f t="shared" si="248"/>
        <v>-8.5209597824462871E-2</v>
      </c>
      <c r="AC43" s="8">
        <f t="shared" si="396"/>
        <v>1</v>
      </c>
      <c r="AD43" s="9">
        <f t="shared" si="397"/>
        <v>-0.35298842069687486</v>
      </c>
      <c r="AE43" s="5">
        <f t="shared" si="398"/>
        <v>-0.93173950184186105</v>
      </c>
      <c r="AF43" s="10">
        <f t="shared" si="399"/>
        <v>-8.5209597824462871E-2</v>
      </c>
      <c r="AG43" s="622">
        <f t="shared" si="400"/>
        <v>-84.774711607890069</v>
      </c>
      <c r="AH43" s="623">
        <f t="shared" si="401"/>
        <v>110.67020959834338</v>
      </c>
      <c r="AI43" s="624">
        <f t="shared" si="402"/>
        <v>-85.111922332140963</v>
      </c>
      <c r="AJ43" s="625">
        <f t="shared" si="403"/>
        <v>-20.749134295259616</v>
      </c>
      <c r="AK43" s="4">
        <f t="shared" si="404"/>
        <v>0.90049625436964043</v>
      </c>
      <c r="AL43" s="5">
        <f t="shared" si="405"/>
        <v>-0.4264338404780289</v>
      </c>
      <c r="AM43" s="6">
        <f t="shared" si="406"/>
        <v>-8.5209597824462871E-2</v>
      </c>
      <c r="AN43" s="612">
        <f t="shared" si="407"/>
        <v>-78.700037700663771</v>
      </c>
      <c r="AO43" s="613">
        <f t="shared" si="98"/>
        <v>25.77662548022769</v>
      </c>
      <c r="AP43" s="624">
        <f t="shared" si="408"/>
        <v>-25.340094649230103</v>
      </c>
      <c r="AQ43" s="625">
        <f t="shared" si="249"/>
        <v>2.1531764466954382</v>
      </c>
      <c r="AS43" s="56">
        <f t="shared" ref="AS43:AS74" si="411">IF(G43="","",IF(AND(W43&lt;(AS42+180),W43&gt;(AS42-180)),W43,IF(W43&gt;(AS42+180),W43-360,IF(W43&lt;(AS42-180),W43+360,"Error"))))</f>
        <v>-85.409039646029498</v>
      </c>
      <c r="AT43" s="77">
        <f t="shared" si="250"/>
        <v>-2.5594523204437047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3.258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3.1579999999999999</v>
      </c>
      <c r="II43" s="800" cm="1">
        <f t="array" ref="II43">IFERROR(IF($IH43&lt;1,$IH43+LARGE((IF($M$9:$M$150="",0,$M$9:$M$150)-MOD(IF($M$9:$M$150="",0,$M$9:$M$150),1)),1),$IH43),"")</f>
        <v>3.1579999999999999</v>
      </c>
      <c r="IJ43" s="839" t="str">
        <f t="shared" si="386"/>
        <v>1613</v>
      </c>
      <c r="IK43" s="839" t="str">
        <f t="shared" si="387"/>
        <v>1313</v>
      </c>
      <c r="IL43" s="791">
        <f t="shared" si="228"/>
        <v>13.003998122455016</v>
      </c>
      <c r="IM43" s="830">
        <v>1.5596643720389601E-3</v>
      </c>
      <c r="IN43" s="5">
        <f t="shared" si="229"/>
        <v>0</v>
      </c>
      <c r="IO43" s="852">
        <v>0</v>
      </c>
      <c r="IP43" s="9">
        <f t="shared" si="230"/>
        <v>-5.7087172174911283</v>
      </c>
      <c r="IQ43" s="5">
        <f t="shared" si="231"/>
        <v>-2.9024087536648011</v>
      </c>
      <c r="IR43" s="5">
        <f t="shared" si="388"/>
        <v>0.314</v>
      </c>
      <c r="IS43" s="5">
        <f t="shared" si="232"/>
        <v>0.29317143915763405</v>
      </c>
      <c r="IT43" s="791">
        <f t="shared" si="233"/>
        <v>82.032888577377392</v>
      </c>
      <c r="IU43" s="9">
        <f t="shared" si="234"/>
        <v>-5.7570173631643673</v>
      </c>
      <c r="IV43" s="5">
        <f t="shared" si="235"/>
        <v>-2.8821086924398163</v>
      </c>
      <c r="IW43" s="5">
        <f t="shared" si="389"/>
        <v>0.26600000000000001</v>
      </c>
      <c r="IX43" s="5">
        <f t="shared" si="236"/>
        <v>0.23953200366232436</v>
      </c>
      <c r="IY43" s="833">
        <f t="shared" si="237"/>
        <v>78.700037700663771</v>
      </c>
    </row>
    <row r="44" spans="1:259" ht="15" customHeight="1" x14ac:dyDescent="0.25">
      <c r="A44" s="84">
        <f t="shared" si="82"/>
        <v>0.02</v>
      </c>
      <c r="B44" s="770">
        <v>5.8601936782748183</v>
      </c>
      <c r="C44" s="771">
        <v>0.45353691548735814</v>
      </c>
      <c r="D44" s="772">
        <v>-3.6597110376884898</v>
      </c>
      <c r="E44" s="773">
        <v>0.42512898484413458</v>
      </c>
      <c r="F44" s="771">
        <v>0.9041497230151464</v>
      </c>
      <c r="G44" s="774">
        <v>4.2173743218141151E-2</v>
      </c>
      <c r="H44" s="773">
        <v>0.26600000000000001</v>
      </c>
      <c r="I44" s="771">
        <v>0.52</v>
      </c>
      <c r="J44" s="601">
        <v>3.2669999999999999</v>
      </c>
      <c r="K44" s="426" t="str">
        <f t="shared" si="225"/>
        <v>1313</v>
      </c>
      <c r="L44" s="327"/>
      <c r="M44" s="173">
        <f t="shared" si="242"/>
        <v>3.2669999999999999</v>
      </c>
      <c r="N44" s="21">
        <f t="shared" si="243"/>
        <v>5.8601936782748183</v>
      </c>
      <c r="O44" s="5">
        <f t="shared" si="244"/>
        <v>0.45353691548735814</v>
      </c>
      <c r="P44" s="10">
        <f t="shared" si="245"/>
        <v>-3.6597110376884898</v>
      </c>
      <c r="Q44" s="624">
        <f t="shared" si="116"/>
        <v>4.4254603778657557</v>
      </c>
      <c r="R44" s="5">
        <f t="shared" si="390"/>
        <v>5.8777177271966652</v>
      </c>
      <c r="S44" s="6">
        <f t="shared" si="391"/>
        <v>-3.6597110376884898</v>
      </c>
      <c r="T44" s="4">
        <f t="shared" si="392"/>
        <v>0.45353691548735808</v>
      </c>
      <c r="U44" s="5">
        <f t="shared" si="393"/>
        <v>-5.8601936782748183</v>
      </c>
      <c r="V44" s="8">
        <f t="shared" si="394"/>
        <v>-3.6597110376884898</v>
      </c>
      <c r="W44" s="624">
        <f t="shared" si="227"/>
        <v>274.42546037786576</v>
      </c>
      <c r="X44" s="5">
        <f t="shared" si="395"/>
        <v>5.8777177271966652</v>
      </c>
      <c r="Y44" s="7">
        <f t="shared" si="226"/>
        <v>-3.6597110376884898</v>
      </c>
      <c r="Z44" s="21">
        <f t="shared" si="246"/>
        <v>-0.42512898484413458</v>
      </c>
      <c r="AA44" s="5">
        <f t="shared" si="247"/>
        <v>-0.9041497230151464</v>
      </c>
      <c r="AB44" s="5">
        <f t="shared" si="248"/>
        <v>-4.2173743218141151E-2</v>
      </c>
      <c r="AC44" s="8">
        <f t="shared" si="396"/>
        <v>1</v>
      </c>
      <c r="AD44" s="9">
        <f t="shared" si="397"/>
        <v>-0.42512898484413458</v>
      </c>
      <c r="AE44" s="5">
        <f t="shared" si="398"/>
        <v>-0.9041497230151464</v>
      </c>
      <c r="AF44" s="10">
        <f t="shared" si="399"/>
        <v>-4.2173743218141151E-2</v>
      </c>
      <c r="AG44" s="622">
        <f t="shared" si="400"/>
        <v>-87.329394391896514</v>
      </c>
      <c r="AH44" s="623">
        <f t="shared" si="401"/>
        <v>115.15882800461833</v>
      </c>
      <c r="AI44" s="624">
        <f t="shared" si="402"/>
        <v>-87.582905628658807</v>
      </c>
      <c r="AJ44" s="625">
        <f t="shared" si="403"/>
        <v>-25.18279468278757</v>
      </c>
      <c r="AK44" s="4">
        <f t="shared" si="404"/>
        <v>0.86865022097478739</v>
      </c>
      <c r="AL44" s="5">
        <f t="shared" si="405"/>
        <v>-0.49362756100467425</v>
      </c>
      <c r="AM44" s="6">
        <f t="shared" si="406"/>
        <v>-4.2173743218141151E-2</v>
      </c>
      <c r="AN44" s="612">
        <f t="shared" si="407"/>
        <v>-85.116715611475172</v>
      </c>
      <c r="AO44" s="613">
        <f t="shared" si="98"/>
        <v>29.697836669049629</v>
      </c>
      <c r="AP44" s="624">
        <f t="shared" si="408"/>
        <v>-29.608255060653327</v>
      </c>
      <c r="AQ44" s="625">
        <f t="shared" si="249"/>
        <v>2.1090007903821584</v>
      </c>
      <c r="AS44" s="56">
        <f t="shared" si="411"/>
        <v>-85.574539622134239</v>
      </c>
      <c r="AT44" s="77">
        <f t="shared" si="250"/>
        <v>-3.3364294435604274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>
        <f>IFERROR(IF((((($IW44*COS(RADIANS(180-$IY44)))*COS(RADIANS($IY44)))-(($IX44*SIN(RADIANS(180-$IY44)))*SIN(RADIANS($IY44))))+$IU44)&lt;(((Settings!$C$19/2)*-1)+$IF$8),1,""),"")</f>
        <v>1</v>
      </c>
      <c r="IG44" s="836">
        <f t="shared" si="385"/>
        <v>3.2669999999999999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3.1669999999999998</v>
      </c>
      <c r="II44" s="800" cm="1">
        <f t="array" ref="II44">IFERROR(IF($IH44&lt;1,$IH44+LARGE((IF($M$9:$M$150="",0,$M$9:$M$150)-MOD(IF($M$9:$M$150="",0,$M$9:$M$150),1)),1),$IH44),"")</f>
        <v>3.1669999999999998</v>
      </c>
      <c r="IJ44" s="839" t="str">
        <f t="shared" si="386"/>
        <v>1613</v>
      </c>
      <c r="IK44" s="839" t="str">
        <f t="shared" si="387"/>
        <v>1313</v>
      </c>
      <c r="IL44" s="791">
        <f t="shared" si="228"/>
        <v>13.034498118051317</v>
      </c>
      <c r="IM44" s="830">
        <v>1.0699930002782299E-3</v>
      </c>
      <c r="IN44" s="5">
        <f t="shared" si="229"/>
        <v>0</v>
      </c>
      <c r="IO44" s="852">
        <v>0</v>
      </c>
      <c r="IP44" s="9">
        <f t="shared" si="230"/>
        <v>-5.8264175724753979</v>
      </c>
      <c r="IQ44" s="5">
        <f t="shared" si="231"/>
        <v>-3.6733110787062135</v>
      </c>
      <c r="IR44" s="5">
        <f t="shared" si="388"/>
        <v>0.314</v>
      </c>
      <c r="IS44" s="5">
        <f t="shared" si="232"/>
        <v>0.28489542845716981</v>
      </c>
      <c r="IT44" s="791">
        <f t="shared" si="233"/>
        <v>87.605075492532336</v>
      </c>
      <c r="IU44" s="9">
        <f t="shared" si="234"/>
        <v>-5.8777177271966652</v>
      </c>
      <c r="IV44" s="5">
        <f t="shared" si="235"/>
        <v>-3.6597110376884898</v>
      </c>
      <c r="IW44" s="5">
        <f t="shared" si="389"/>
        <v>0.26600000000000001</v>
      </c>
      <c r="IX44" s="5">
        <f t="shared" si="236"/>
        <v>0.23106095877929345</v>
      </c>
      <c r="IY44" s="833">
        <f t="shared" si="237"/>
        <v>85.116715611475172</v>
      </c>
    </row>
    <row r="45" spans="1:259" ht="15" customHeight="1" x14ac:dyDescent="0.25">
      <c r="A45" s="84">
        <f t="shared" si="82"/>
        <v>0.02</v>
      </c>
      <c r="B45" s="770">
        <v>0.74123311983971896</v>
      </c>
      <c r="C45" s="771">
        <v>-0.42795173898887473</v>
      </c>
      <c r="D45" s="772">
        <v>-0.55310166815463124</v>
      </c>
      <c r="E45" s="773">
        <v>0.42495075868149651</v>
      </c>
      <c r="F45" s="771">
        <v>0.87000969481008184</v>
      </c>
      <c r="G45" s="774">
        <v>0.24999996726497567</v>
      </c>
      <c r="H45" s="773">
        <v>0.314</v>
      </c>
      <c r="I45" s="771">
        <v>0.52</v>
      </c>
      <c r="J45" s="601">
        <v>4.1029999999999998</v>
      </c>
      <c r="K45" s="426" t="str">
        <f t="shared" si="225"/>
        <v>1613</v>
      </c>
      <c r="L45" s="327"/>
      <c r="M45" s="173">
        <f t="shared" si="242"/>
        <v>4.1029999999999998</v>
      </c>
      <c r="N45" s="21">
        <f t="shared" si="243"/>
        <v>0.74123311983971896</v>
      </c>
      <c r="O45" s="5">
        <f t="shared" si="244"/>
        <v>-0.42795173898887473</v>
      </c>
      <c r="P45" s="10">
        <f t="shared" si="245"/>
        <v>-0.55310166815463124</v>
      </c>
      <c r="Q45" s="624">
        <f t="shared" si="116"/>
        <v>329.99996534829228</v>
      </c>
      <c r="R45" s="5">
        <f t="shared" si="390"/>
        <v>0.85590258140218567</v>
      </c>
      <c r="S45" s="6">
        <f t="shared" si="391"/>
        <v>-0.55310166815463124</v>
      </c>
      <c r="T45" s="4">
        <f t="shared" si="392"/>
        <v>-0.42795173898887473</v>
      </c>
      <c r="U45" s="5">
        <f t="shared" si="393"/>
        <v>-0.74123311983971896</v>
      </c>
      <c r="V45" s="8">
        <f t="shared" si="394"/>
        <v>-0.55310166815463124</v>
      </c>
      <c r="W45" s="624">
        <f t="shared" si="227"/>
        <v>239.99996534829228</v>
      </c>
      <c r="X45" s="5">
        <f t="shared" si="395"/>
        <v>0.85590258140218567</v>
      </c>
      <c r="Y45" s="7">
        <f t="shared" si="226"/>
        <v>-0.55310166815463124</v>
      </c>
      <c r="Z45" s="21">
        <f t="shared" si="246"/>
        <v>-0.42495075868149651</v>
      </c>
      <c r="AA45" s="5">
        <f t="shared" si="247"/>
        <v>-0.87000969481008184</v>
      </c>
      <c r="AB45" s="5">
        <f t="shared" si="248"/>
        <v>-0.24999996726497567</v>
      </c>
      <c r="AC45" s="8">
        <f t="shared" si="396"/>
        <v>1</v>
      </c>
      <c r="AD45" s="9">
        <f t="shared" si="397"/>
        <v>-0.42495075868149651</v>
      </c>
      <c r="AE45" s="5">
        <f t="shared" si="398"/>
        <v>-0.87000969481008184</v>
      </c>
      <c r="AF45" s="10">
        <f t="shared" si="399"/>
        <v>-0.24999996726497567</v>
      </c>
      <c r="AG45" s="622">
        <f t="shared" si="400"/>
        <v>-73.967832110835701</v>
      </c>
      <c r="AH45" s="623">
        <f t="shared" si="401"/>
        <v>115.14754663787646</v>
      </c>
      <c r="AI45" s="624">
        <f t="shared" si="402"/>
        <v>-75.522489751159455</v>
      </c>
      <c r="AJ45" s="625">
        <f t="shared" si="403"/>
        <v>-26.032905006621153</v>
      </c>
      <c r="AK45" s="4">
        <f t="shared" si="404"/>
        <v>0.9659258360722075</v>
      </c>
      <c r="AL45" s="5">
        <f t="shared" si="405"/>
        <v>6.698727920820724E-2</v>
      </c>
      <c r="AM45" s="6">
        <f t="shared" si="406"/>
        <v>-0.24999996726497567</v>
      </c>
      <c r="AN45" s="612">
        <f t="shared" si="407"/>
        <v>14.999997834268274</v>
      </c>
      <c r="AO45" s="613">
        <f t="shared" si="98"/>
        <v>14.99999783426823</v>
      </c>
      <c r="AP45" s="624">
        <f t="shared" si="408"/>
        <v>3.9671296450865734</v>
      </c>
      <c r="AQ45" s="625">
        <f t="shared" si="249"/>
        <v>14.192077262020977</v>
      </c>
      <c r="AS45" s="56">
        <f t="shared" si="411"/>
        <v>-120.00003465170772</v>
      </c>
      <c r="AT45" s="77">
        <f t="shared" si="250"/>
        <v>-9.9768203914846476E-2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4.1029999999999998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1.3906673020663871</v>
      </c>
      <c r="C46" s="771">
        <v>-0.80290326261050937</v>
      </c>
      <c r="D46" s="772">
        <v>-0.35220106223840369</v>
      </c>
      <c r="E46" s="773">
        <v>0.42495075868149634</v>
      </c>
      <c r="F46" s="771">
        <v>0.87000969481008184</v>
      </c>
      <c r="G46" s="774">
        <v>0.24999996726497559</v>
      </c>
      <c r="H46" s="773">
        <v>0.314</v>
      </c>
      <c r="I46" s="771">
        <v>0.52</v>
      </c>
      <c r="J46" s="601">
        <v>4.1059999999999999</v>
      </c>
      <c r="K46" s="426" t="str">
        <f t="shared" si="225"/>
        <v>1613</v>
      </c>
      <c r="L46" s="327"/>
      <c r="M46" s="173">
        <f t="shared" si="242"/>
        <v>4.1059999999999999</v>
      </c>
      <c r="N46" s="21">
        <f t="shared" si="243"/>
        <v>1.3906673020663871</v>
      </c>
      <c r="O46" s="5">
        <f t="shared" si="244"/>
        <v>-0.80290326261050937</v>
      </c>
      <c r="P46" s="10">
        <f t="shared" si="245"/>
        <v>-0.35220106223840369</v>
      </c>
      <c r="Q46" s="624">
        <f t="shared" si="116"/>
        <v>329.99996534829228</v>
      </c>
      <c r="R46" s="5">
        <f t="shared" si="390"/>
        <v>1.605804843107407</v>
      </c>
      <c r="S46" s="6">
        <f t="shared" si="391"/>
        <v>-0.35220106223840369</v>
      </c>
      <c r="T46" s="4">
        <f t="shared" si="392"/>
        <v>-0.80290326261050937</v>
      </c>
      <c r="U46" s="5">
        <f t="shared" si="393"/>
        <v>-1.3906673020663869</v>
      </c>
      <c r="V46" s="8">
        <f t="shared" si="394"/>
        <v>-0.35220106223840369</v>
      </c>
      <c r="W46" s="624">
        <f t="shared" si="227"/>
        <v>239.99996534829228</v>
      </c>
      <c r="X46" s="5">
        <f t="shared" si="395"/>
        <v>1.605804843107407</v>
      </c>
      <c r="Y46" s="7">
        <f t="shared" si="226"/>
        <v>-0.35220106223840369</v>
      </c>
      <c r="Z46" s="21">
        <f t="shared" si="246"/>
        <v>-0.42495075868149634</v>
      </c>
      <c r="AA46" s="5">
        <f t="shared" si="247"/>
        <v>-0.87000969481008184</v>
      </c>
      <c r="AB46" s="5">
        <f t="shared" si="248"/>
        <v>-0.24999996726497559</v>
      </c>
      <c r="AC46" s="8">
        <f t="shared" si="396"/>
        <v>1</v>
      </c>
      <c r="AD46" s="9">
        <f t="shared" si="397"/>
        <v>-0.42495075868149634</v>
      </c>
      <c r="AE46" s="5">
        <f t="shared" si="398"/>
        <v>-0.87000969481008184</v>
      </c>
      <c r="AF46" s="10">
        <f t="shared" si="399"/>
        <v>-0.24999996726497559</v>
      </c>
      <c r="AG46" s="622">
        <f t="shared" si="400"/>
        <v>-73.967832110835715</v>
      </c>
      <c r="AH46" s="623">
        <f t="shared" si="401"/>
        <v>115.14754663787646</v>
      </c>
      <c r="AI46" s="624">
        <f t="shared" si="402"/>
        <v>-75.522489751159469</v>
      </c>
      <c r="AJ46" s="625">
        <f t="shared" si="403"/>
        <v>-26.032905006621146</v>
      </c>
      <c r="AK46" s="4">
        <f t="shared" si="404"/>
        <v>0.96592583607220739</v>
      </c>
      <c r="AL46" s="5">
        <f t="shared" si="405"/>
        <v>6.6987279208207351E-2</v>
      </c>
      <c r="AM46" s="6">
        <f t="shared" si="406"/>
        <v>-0.24999996726497559</v>
      </c>
      <c r="AN46" s="612">
        <f t="shared" si="407"/>
        <v>14.999997834268306</v>
      </c>
      <c r="AO46" s="613">
        <f t="shared" si="98"/>
        <v>14.999997834268255</v>
      </c>
      <c r="AP46" s="624">
        <f t="shared" si="408"/>
        <v>3.9671296450865805</v>
      </c>
      <c r="AQ46" s="625">
        <f t="shared" si="249"/>
        <v>7.6767809482097178</v>
      </c>
      <c r="AS46" s="56">
        <f t="shared" si="411"/>
        <v>-120.00003465170772</v>
      </c>
      <c r="AT46" s="77">
        <f t="shared" si="250"/>
        <v>0.10113240200138107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4.1059999999999999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0.02</v>
      </c>
      <c r="B47" s="770">
        <v>2.0336928792144078</v>
      </c>
      <c r="C47" s="771">
        <v>-1.1741547711970726</v>
      </c>
      <c r="D47" s="772">
        <v>-0.15320046205259358</v>
      </c>
      <c r="E47" s="773">
        <v>0.42495075868149651</v>
      </c>
      <c r="F47" s="771">
        <v>0.87000969481008184</v>
      </c>
      <c r="G47" s="774">
        <v>0.24999996726497564</v>
      </c>
      <c r="H47" s="773">
        <v>0.314</v>
      </c>
      <c r="I47" s="771">
        <v>0.52</v>
      </c>
      <c r="J47" s="601">
        <v>4.109</v>
      </c>
      <c r="K47" s="426" t="str">
        <f t="shared" si="225"/>
        <v>1613</v>
      </c>
      <c r="L47" s="327"/>
      <c r="M47" s="173">
        <f t="shared" si="242"/>
        <v>4.109</v>
      </c>
      <c r="N47" s="21">
        <f t="shared" si="243"/>
        <v>2.0336928792144078</v>
      </c>
      <c r="O47" s="5">
        <f t="shared" si="244"/>
        <v>-1.1741547711970726</v>
      </c>
      <c r="P47" s="10">
        <f t="shared" si="245"/>
        <v>-0.15320046205259358</v>
      </c>
      <c r="Q47" s="624">
        <f t="shared" si="116"/>
        <v>329.99996534829228</v>
      </c>
      <c r="R47" s="5">
        <f t="shared" si="390"/>
        <v>2.348307082494161</v>
      </c>
      <c r="S47" s="6">
        <f t="shared" si="391"/>
        <v>-0.15320046205259358</v>
      </c>
      <c r="T47" s="4">
        <f t="shared" si="392"/>
        <v>-1.1741547711970726</v>
      </c>
      <c r="U47" s="5">
        <f t="shared" si="393"/>
        <v>-2.0336928792144082</v>
      </c>
      <c r="V47" s="8">
        <f t="shared" si="394"/>
        <v>-0.15320046205259358</v>
      </c>
      <c r="W47" s="624">
        <f t="shared" si="227"/>
        <v>239.99996534829228</v>
      </c>
      <c r="X47" s="5">
        <f t="shared" si="395"/>
        <v>2.348307082494161</v>
      </c>
      <c r="Y47" s="7">
        <f t="shared" si="226"/>
        <v>-0.15320046205259358</v>
      </c>
      <c r="Z47" s="21">
        <f t="shared" si="246"/>
        <v>-0.42495075868149651</v>
      </c>
      <c r="AA47" s="5">
        <f t="shared" si="247"/>
        <v>-0.87000969481008184</v>
      </c>
      <c r="AB47" s="5">
        <f t="shared" si="248"/>
        <v>-0.24999996726497564</v>
      </c>
      <c r="AC47" s="8">
        <f t="shared" si="396"/>
        <v>1</v>
      </c>
      <c r="AD47" s="9">
        <f t="shared" si="397"/>
        <v>-0.42495075868149651</v>
      </c>
      <c r="AE47" s="5">
        <f t="shared" si="398"/>
        <v>-0.87000969481008184</v>
      </c>
      <c r="AF47" s="10">
        <f t="shared" si="399"/>
        <v>-0.24999996726497564</v>
      </c>
      <c r="AG47" s="622">
        <f t="shared" si="400"/>
        <v>-73.967832110835701</v>
      </c>
      <c r="AH47" s="623">
        <f t="shared" si="401"/>
        <v>115.14754663787646</v>
      </c>
      <c r="AI47" s="624">
        <f t="shared" si="402"/>
        <v>-75.522489751159469</v>
      </c>
      <c r="AJ47" s="625">
        <f t="shared" si="403"/>
        <v>-26.032905006621153</v>
      </c>
      <c r="AK47" s="4">
        <f t="shared" si="404"/>
        <v>0.9659258360722075</v>
      </c>
      <c r="AL47" s="5">
        <f t="shared" si="405"/>
        <v>6.698727920820724E-2</v>
      </c>
      <c r="AM47" s="6">
        <f t="shared" si="406"/>
        <v>-0.24999996726497564</v>
      </c>
      <c r="AN47" s="612">
        <f t="shared" si="407"/>
        <v>14.999997834268278</v>
      </c>
      <c r="AO47" s="613">
        <f t="shared" si="98"/>
        <v>14.99999783426823</v>
      </c>
      <c r="AP47" s="624">
        <f t="shared" si="408"/>
        <v>3.9671296450865734</v>
      </c>
      <c r="AQ47" s="625">
        <f t="shared" si="249"/>
        <v>5.2662489383104303</v>
      </c>
      <c r="AS47" s="56">
        <f t="shared" si="411"/>
        <v>-120.00003465170772</v>
      </c>
      <c r="AT47" s="77">
        <f t="shared" si="250"/>
        <v>0.30013300218719119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4.109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0.02</v>
      </c>
      <c r="B48" s="770">
        <v>2.6968757371591234</v>
      </c>
      <c r="C48" s="771">
        <v>-1.5640810868327706</v>
      </c>
      <c r="D48" s="772">
        <v>-8.2600249122351366E-2</v>
      </c>
      <c r="E48" s="773">
        <v>0.51847497844492241</v>
      </c>
      <c r="F48" s="771">
        <v>0.81563279279613876</v>
      </c>
      <c r="G48" s="774">
        <v>0.25676223250725233</v>
      </c>
      <c r="H48" s="773">
        <v>0.314</v>
      </c>
      <c r="I48" s="771">
        <v>0.52</v>
      </c>
      <c r="J48" s="601">
        <v>4.1150000000000002</v>
      </c>
      <c r="K48" s="426" t="str">
        <f t="shared" si="225"/>
        <v>1613</v>
      </c>
      <c r="L48" s="327"/>
      <c r="M48" s="173">
        <f t="shared" si="242"/>
        <v>4.1150000000000002</v>
      </c>
      <c r="N48" s="21">
        <f t="shared" si="243"/>
        <v>2.6968757371591234</v>
      </c>
      <c r="O48" s="5">
        <f t="shared" si="244"/>
        <v>-1.5640810868327706</v>
      </c>
      <c r="P48" s="10">
        <f t="shared" si="245"/>
        <v>-8.2600249122351366E-2</v>
      </c>
      <c r="Q48" s="624">
        <f t="shared" si="116"/>
        <v>329.88796536446307</v>
      </c>
      <c r="R48" s="5">
        <f t="shared" si="83"/>
        <v>3.117609402709959</v>
      </c>
      <c r="S48" s="6">
        <f t="shared" si="84"/>
        <v>-8.2600249122351366E-2</v>
      </c>
      <c r="T48" s="4">
        <f t="shared" si="85"/>
        <v>-1.5640810868327708</v>
      </c>
      <c r="U48" s="5">
        <f t="shared" si="86"/>
        <v>-2.6968757371591234</v>
      </c>
      <c r="V48" s="8">
        <f t="shared" si="117"/>
        <v>-8.2600249122351366E-2</v>
      </c>
      <c r="W48" s="624">
        <f t="shared" si="227"/>
        <v>239.88796536446307</v>
      </c>
      <c r="X48" s="5">
        <f t="shared" si="87"/>
        <v>3.117609402709959</v>
      </c>
      <c r="Y48" s="7">
        <f t="shared" si="226"/>
        <v>-8.2600249122351366E-2</v>
      </c>
      <c r="Z48" s="21">
        <f t="shared" si="246"/>
        <v>-0.51847497844492241</v>
      </c>
      <c r="AA48" s="5">
        <f t="shared" si="247"/>
        <v>-0.81563279279613876</v>
      </c>
      <c r="AB48" s="5">
        <f t="shared" si="248"/>
        <v>-0.25676223250725233</v>
      </c>
      <c r="AC48" s="8">
        <f t="shared" si="88"/>
        <v>1</v>
      </c>
      <c r="AD48" s="9">
        <f t="shared" si="118"/>
        <v>-0.51847497844492241</v>
      </c>
      <c r="AE48" s="5">
        <f t="shared" si="89"/>
        <v>-0.81563279279613876</v>
      </c>
      <c r="AF48" s="10">
        <f t="shared" si="90"/>
        <v>-0.25676223250725233</v>
      </c>
      <c r="AG48" s="622">
        <f t="shared" si="91"/>
        <v>-72.525932245190418</v>
      </c>
      <c r="AH48" s="623">
        <f t="shared" si="92"/>
        <v>121.23001155325795</v>
      </c>
      <c r="AI48" s="624">
        <f t="shared" si="93"/>
        <v>-75.121969168233463</v>
      </c>
      <c r="AJ48" s="625">
        <f t="shared" si="94"/>
        <v>-32.442980243849526</v>
      </c>
      <c r="AK48" s="4">
        <f t="shared" si="213"/>
        <v>0.96567491568636976</v>
      </c>
      <c r="AL48" s="5">
        <f t="shared" si="95"/>
        <v>-3.9307927597554415E-2</v>
      </c>
      <c r="AM48" s="6">
        <f t="shared" si="96"/>
        <v>-0.25676223250725233</v>
      </c>
      <c r="AN48" s="612">
        <f t="shared" si="97"/>
        <v>-8.7038778023827685</v>
      </c>
      <c r="AO48" s="613">
        <f t="shared" si="98"/>
        <v>15.055444945953708</v>
      </c>
      <c r="AP48" s="624">
        <f t="shared" si="99"/>
        <v>-2.3309456083125952</v>
      </c>
      <c r="AQ48" s="625">
        <f t="shared" si="249"/>
        <v>3.9715827179378715</v>
      </c>
      <c r="AS48" s="56">
        <f t="shared" si="411"/>
        <v>-120.11203463553693</v>
      </c>
      <c r="AT48" s="77">
        <f t="shared" si="250"/>
        <v>0.37115632616745481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4.1150000000000002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0.02</v>
      </c>
      <c r="B49" s="770">
        <v>3.3276174534483718</v>
      </c>
      <c r="C49" s="771">
        <v>-1.9658342240951863</v>
      </c>
      <c r="D49" s="772">
        <v>-0.29330088459546794</v>
      </c>
      <c r="E49" s="773">
        <v>0.62761706223410019</v>
      </c>
      <c r="F49" s="771">
        <v>0.74958060272879856</v>
      </c>
      <c r="G49" s="774">
        <v>0.21029917547477228</v>
      </c>
      <c r="H49" s="773">
        <v>0.314</v>
      </c>
      <c r="I49" s="771">
        <v>0.52</v>
      </c>
      <c r="J49" s="601">
        <v>4.1210000000000004</v>
      </c>
      <c r="K49" s="426" t="str">
        <f t="shared" si="225"/>
        <v>1613</v>
      </c>
      <c r="L49" s="327"/>
      <c r="M49" s="173">
        <f t="shared" si="242"/>
        <v>4.1210000000000004</v>
      </c>
      <c r="N49" s="21">
        <f t="shared" si="243"/>
        <v>3.3276174534483718</v>
      </c>
      <c r="O49" s="5">
        <f t="shared" si="244"/>
        <v>-1.9658342240951863</v>
      </c>
      <c r="P49" s="10">
        <f t="shared" si="245"/>
        <v>-0.29330088459546794</v>
      </c>
      <c r="Q49" s="624">
        <f t="shared" si="116"/>
        <v>329.42696543102323</v>
      </c>
      <c r="R49" s="5">
        <f t="shared" si="83"/>
        <v>3.8649116565735562</v>
      </c>
      <c r="S49" s="6">
        <f t="shared" si="84"/>
        <v>-0.29330088459546794</v>
      </c>
      <c r="T49" s="4">
        <f t="shared" si="85"/>
        <v>-1.9658342240951865</v>
      </c>
      <c r="U49" s="5">
        <f t="shared" si="86"/>
        <v>-3.3276174534483713</v>
      </c>
      <c r="V49" s="8">
        <f t="shared" si="117"/>
        <v>-0.29330088459546794</v>
      </c>
      <c r="W49" s="624">
        <f t="shared" si="227"/>
        <v>239.42696543102323</v>
      </c>
      <c r="X49" s="5">
        <f t="shared" si="87"/>
        <v>3.8649116565735562</v>
      </c>
      <c r="Y49" s="7">
        <f t="shared" si="226"/>
        <v>-0.29330088459546794</v>
      </c>
      <c r="Z49" s="21">
        <f t="shared" si="246"/>
        <v>-0.62761706223410019</v>
      </c>
      <c r="AA49" s="5">
        <f t="shared" si="247"/>
        <v>-0.74958060272879856</v>
      </c>
      <c r="AB49" s="5">
        <f t="shared" si="248"/>
        <v>-0.21029917547477228</v>
      </c>
      <c r="AC49" s="8">
        <f t="shared" si="88"/>
        <v>1</v>
      </c>
      <c r="AD49" s="9">
        <f t="shared" si="118"/>
        <v>-0.62761706223410019</v>
      </c>
      <c r="AE49" s="5">
        <f t="shared" si="89"/>
        <v>-0.74958060272879856</v>
      </c>
      <c r="AF49" s="10">
        <f t="shared" si="90"/>
        <v>-0.21029917547477228</v>
      </c>
      <c r="AG49" s="622">
        <f t="shared" si="91"/>
        <v>-74.328228674462608</v>
      </c>
      <c r="AH49" s="623">
        <f t="shared" si="92"/>
        <v>128.87453170876825</v>
      </c>
      <c r="AI49" s="624">
        <f t="shared" si="93"/>
        <v>-77.860114737558305</v>
      </c>
      <c r="AJ49" s="625">
        <f t="shared" si="94"/>
        <v>-39.939133680033798</v>
      </c>
      <c r="AK49" s="4">
        <f t="shared" si="213"/>
        <v>0.96460383269865835</v>
      </c>
      <c r="AL49" s="5">
        <f t="shared" si="95"/>
        <v>-0.15910280556197021</v>
      </c>
      <c r="AM49" s="6">
        <f t="shared" si="96"/>
        <v>-0.21029917547477228</v>
      </c>
      <c r="AN49" s="612">
        <f t="shared" si="97"/>
        <v>-37.1094944849455</v>
      </c>
      <c r="AO49" s="613">
        <f t="shared" si="98"/>
        <v>15.289918653648321</v>
      </c>
      <c r="AP49" s="624">
        <f t="shared" si="99"/>
        <v>-9.3660991110570091</v>
      </c>
      <c r="AQ49" s="625">
        <f t="shared" si="249"/>
        <v>3.2054475038532151</v>
      </c>
      <c r="AS49" s="56">
        <f t="shared" si="411"/>
        <v>-120.57303456897677</v>
      </c>
      <c r="AT49" s="77">
        <f t="shared" si="250"/>
        <v>0.16219724599844432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4.1210000000000004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3.9072139743489718</v>
      </c>
      <c r="C50" s="771">
        <v>-2.3653641482094288</v>
      </c>
      <c r="D50" s="772">
        <v>-0.79680240315604733</v>
      </c>
      <c r="E50" s="773">
        <v>0.6890464402312918</v>
      </c>
      <c r="F50" s="771">
        <v>0.70866329806197792</v>
      </c>
      <c r="G50" s="774">
        <v>0.1516948686821841</v>
      </c>
      <c r="H50" s="773">
        <v>0.314</v>
      </c>
      <c r="I50" s="771">
        <v>0.52</v>
      </c>
      <c r="J50" s="601">
        <v>4.13</v>
      </c>
      <c r="K50" s="426" t="str">
        <f t="shared" si="225"/>
        <v>1613</v>
      </c>
      <c r="L50" s="327"/>
      <c r="M50" s="173">
        <f t="shared" si="242"/>
        <v>4.13</v>
      </c>
      <c r="N50" s="21">
        <f t="shared" si="243"/>
        <v>3.9072139743489718</v>
      </c>
      <c r="O50" s="5">
        <f t="shared" si="244"/>
        <v>-2.3653641482094288</v>
      </c>
      <c r="P50" s="10">
        <f t="shared" si="245"/>
        <v>-0.79680240315604733</v>
      </c>
      <c r="Q50" s="624">
        <f t="shared" si="116"/>
        <v>328.80996552010697</v>
      </c>
      <c r="R50" s="5">
        <f t="shared" si="83"/>
        <v>4.5674137753199462</v>
      </c>
      <c r="S50" s="6">
        <f t="shared" si="84"/>
        <v>-0.79680240315604733</v>
      </c>
      <c r="T50" s="4">
        <f t="shared" si="85"/>
        <v>-2.3653641482094292</v>
      </c>
      <c r="U50" s="5">
        <f t="shared" si="86"/>
        <v>-3.9072139743489713</v>
      </c>
      <c r="V50" s="8">
        <f t="shared" si="117"/>
        <v>-0.79680240315604733</v>
      </c>
      <c r="W50" s="624">
        <f t="shared" si="227"/>
        <v>238.80996552010697</v>
      </c>
      <c r="X50" s="5">
        <f t="shared" si="87"/>
        <v>4.5674137753199462</v>
      </c>
      <c r="Y50" s="7">
        <f t="shared" si="226"/>
        <v>-0.79680240315604733</v>
      </c>
      <c r="Z50" s="21">
        <f t="shared" si="246"/>
        <v>-0.6890464402312918</v>
      </c>
      <c r="AA50" s="5">
        <f t="shared" si="247"/>
        <v>-0.70866329806197792</v>
      </c>
      <c r="AB50" s="5">
        <f t="shared" si="248"/>
        <v>-0.1516948686821841</v>
      </c>
      <c r="AC50" s="8">
        <f t="shared" si="88"/>
        <v>1</v>
      </c>
      <c r="AD50" s="9">
        <f t="shared" si="118"/>
        <v>-0.6890464402312918</v>
      </c>
      <c r="AE50" s="5">
        <f t="shared" si="89"/>
        <v>-0.70866329806197792</v>
      </c>
      <c r="AF50" s="10">
        <f t="shared" si="90"/>
        <v>-0.1516948686821841</v>
      </c>
      <c r="AG50" s="622">
        <f t="shared" si="91"/>
        <v>-77.917731656775629</v>
      </c>
      <c r="AH50" s="623">
        <f t="shared" si="92"/>
        <v>133.55467367178247</v>
      </c>
      <c r="AI50" s="624">
        <f t="shared" si="93"/>
        <v>-81.274840532534313</v>
      </c>
      <c r="AJ50" s="625">
        <f t="shared" si="94"/>
        <v>-44.195906461088704</v>
      </c>
      <c r="AK50" s="4">
        <f t="shared" si="213"/>
        <v>0.96307124860004345</v>
      </c>
      <c r="AL50" s="5">
        <f t="shared" si="95"/>
        <v>-0.22244648105881104</v>
      </c>
      <c r="AM50" s="6">
        <f t="shared" si="96"/>
        <v>-0.1516948686821841</v>
      </c>
      <c r="AN50" s="612">
        <f t="shared" si="97"/>
        <v>-55.708408649366802</v>
      </c>
      <c r="AO50" s="613">
        <f t="shared" si="98"/>
        <v>15.619444344240655</v>
      </c>
      <c r="AP50" s="624">
        <f t="shared" si="99"/>
        <v>-13.005871981195687</v>
      </c>
      <c r="AQ50" s="625">
        <f t="shared" si="249"/>
        <v>2.7132293943540939</v>
      </c>
      <c r="AS50" s="56">
        <f t="shared" si="411"/>
        <v>-121.19003447989303</v>
      </c>
      <c r="AT50" s="77">
        <f t="shared" si="250"/>
        <v>-0.33897338400978477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4.13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4.3114194830530224</v>
      </c>
      <c r="C51" s="771">
        <v>-2.6625826219496371</v>
      </c>
      <c r="D51" s="772">
        <v>-1.3943042052214831</v>
      </c>
      <c r="E51" s="773">
        <v>0.72769811535316775</v>
      </c>
      <c r="F51" s="771">
        <v>0.6754841869493583</v>
      </c>
      <c r="G51" s="774">
        <v>0.11906538578786136</v>
      </c>
      <c r="H51" s="773">
        <v>0.314</v>
      </c>
      <c r="I51" s="771">
        <v>0.52</v>
      </c>
      <c r="J51" s="601">
        <v>4.1390000000000002</v>
      </c>
      <c r="K51" s="426" t="str">
        <f t="shared" si="225"/>
        <v>1613</v>
      </c>
      <c r="L51" s="327"/>
      <c r="M51" s="173">
        <f t="shared" si="242"/>
        <v>4.1390000000000002</v>
      </c>
      <c r="N51" s="21">
        <f t="shared" si="243"/>
        <v>4.3114194830530224</v>
      </c>
      <c r="O51" s="5">
        <f t="shared" si="244"/>
        <v>-2.6625826219496371</v>
      </c>
      <c r="P51" s="10">
        <f t="shared" si="245"/>
        <v>-1.3943042052214831</v>
      </c>
      <c r="Q51" s="624">
        <f t="shared" si="116"/>
        <v>328.30196559345313</v>
      </c>
      <c r="R51" s="5">
        <f t="shared" si="83"/>
        <v>5.0673152830228947</v>
      </c>
      <c r="S51" s="6">
        <f t="shared" si="84"/>
        <v>-1.3943042052214831</v>
      </c>
      <c r="T51" s="4">
        <f t="shared" si="85"/>
        <v>-2.6625826219496367</v>
      </c>
      <c r="U51" s="5">
        <f t="shared" si="86"/>
        <v>-4.3114194830530232</v>
      </c>
      <c r="V51" s="8">
        <f t="shared" si="117"/>
        <v>-1.3943042052214831</v>
      </c>
      <c r="W51" s="624">
        <f t="shared" si="227"/>
        <v>238.30196559345313</v>
      </c>
      <c r="X51" s="5">
        <f t="shared" si="87"/>
        <v>5.0673152830228947</v>
      </c>
      <c r="Y51" s="7">
        <f t="shared" si="226"/>
        <v>-1.3943042052214831</v>
      </c>
      <c r="Z51" s="21">
        <f t="shared" si="246"/>
        <v>-0.72769811535316775</v>
      </c>
      <c r="AA51" s="5">
        <f t="shared" si="247"/>
        <v>-0.6754841869493583</v>
      </c>
      <c r="AB51" s="5">
        <f t="shared" si="248"/>
        <v>-0.11906538578786136</v>
      </c>
      <c r="AC51" s="8">
        <f t="shared" si="88"/>
        <v>1</v>
      </c>
      <c r="AD51" s="9">
        <f t="shared" si="118"/>
        <v>-0.72769811535316775</v>
      </c>
      <c r="AE51" s="5">
        <f t="shared" si="89"/>
        <v>-0.6754841869493583</v>
      </c>
      <c r="AF51" s="10">
        <f t="shared" si="90"/>
        <v>-0.11906538578786136</v>
      </c>
      <c r="AG51" s="622">
        <f t="shared" si="91"/>
        <v>-80.003348299725999</v>
      </c>
      <c r="AH51" s="623">
        <f t="shared" si="92"/>
        <v>136.69376446832356</v>
      </c>
      <c r="AI51" s="624">
        <f t="shared" si="93"/>
        <v>-83.161833580512194</v>
      </c>
      <c r="AJ51" s="625">
        <f t="shared" si="94"/>
        <v>-47.131054579055963</v>
      </c>
      <c r="AK51" s="4">
        <f t="shared" si="213"/>
        <v>0.95708511691014686</v>
      </c>
      <c r="AL51" s="5">
        <f t="shared" si="95"/>
        <v>-0.26421868385161296</v>
      </c>
      <c r="AM51" s="6">
        <f t="shared" si="96"/>
        <v>-0.11906538578786136</v>
      </c>
      <c r="AN51" s="612">
        <f t="shared" si="97"/>
        <v>-65.742150233035403</v>
      </c>
      <c r="AO51" s="613">
        <f t="shared" si="98"/>
        <v>16.846399862979247</v>
      </c>
      <c r="AP51" s="624">
        <f t="shared" si="99"/>
        <v>-15.43302017250908</v>
      </c>
      <c r="AQ51" s="625">
        <f t="shared" si="249"/>
        <v>2.4459063241301018</v>
      </c>
      <c r="AS51" s="56">
        <f t="shared" si="411"/>
        <v>-121.69803440654687</v>
      </c>
      <c r="AT51" s="77">
        <f t="shared" si="250"/>
        <v>-0.93455607524119499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4.1390000000000002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4.6078814056353972</v>
      </c>
      <c r="C52" s="771">
        <v>-2.8906344767523997</v>
      </c>
      <c r="D52" s="772">
        <v>-2.0792062708861132</v>
      </c>
      <c r="E52" s="773">
        <v>0.75793769974703162</v>
      </c>
      <c r="F52" s="771">
        <v>0.64720988562713133</v>
      </c>
      <c r="G52" s="774">
        <v>8.1546350308852017E-2</v>
      </c>
      <c r="H52" s="773">
        <v>0.314</v>
      </c>
      <c r="I52" s="771">
        <v>0.52</v>
      </c>
      <c r="J52" s="601">
        <v>4.1479999999999997</v>
      </c>
      <c r="K52" s="426" t="str">
        <f t="shared" si="225"/>
        <v>1613</v>
      </c>
      <c r="L52" s="327"/>
      <c r="M52" s="173">
        <f t="shared" si="242"/>
        <v>4.1479999999999997</v>
      </c>
      <c r="N52" s="21">
        <f t="shared" si="243"/>
        <v>4.6078814056353972</v>
      </c>
      <c r="O52" s="5">
        <f t="shared" si="244"/>
        <v>-2.8906344767523997</v>
      </c>
      <c r="P52" s="10">
        <f t="shared" si="245"/>
        <v>-2.0792062708861132</v>
      </c>
      <c r="Q52" s="624">
        <f t="shared" si="116"/>
        <v>327.89896565163912</v>
      </c>
      <c r="R52" s="5">
        <f t="shared" si="83"/>
        <v>5.4395164055814806</v>
      </c>
      <c r="S52" s="6">
        <f t="shared" si="84"/>
        <v>-2.0792062708861132</v>
      </c>
      <c r="T52" s="4">
        <f t="shared" si="85"/>
        <v>-2.8906344767523984</v>
      </c>
      <c r="U52" s="5">
        <f t="shared" si="86"/>
        <v>-4.6078814056353989</v>
      </c>
      <c r="V52" s="8">
        <f t="shared" si="117"/>
        <v>-2.0792062708861132</v>
      </c>
      <c r="W52" s="624">
        <f t="shared" si="227"/>
        <v>237.89896565163912</v>
      </c>
      <c r="X52" s="5">
        <f t="shared" si="87"/>
        <v>5.4395164055814806</v>
      </c>
      <c r="Y52" s="7">
        <f t="shared" si="226"/>
        <v>-2.0792062708861132</v>
      </c>
      <c r="Z52" s="21">
        <f t="shared" si="246"/>
        <v>-0.75793769974703162</v>
      </c>
      <c r="AA52" s="5">
        <f t="shared" si="247"/>
        <v>-0.64720988562713133</v>
      </c>
      <c r="AB52" s="5">
        <f t="shared" si="248"/>
        <v>-8.1546350308852017E-2</v>
      </c>
      <c r="AC52" s="8">
        <f t="shared" si="88"/>
        <v>1</v>
      </c>
      <c r="AD52" s="9">
        <f t="shared" si="118"/>
        <v>-0.75793769974703162</v>
      </c>
      <c r="AE52" s="5">
        <f t="shared" si="89"/>
        <v>-0.64720988562713133</v>
      </c>
      <c r="AF52" s="10">
        <f t="shared" si="90"/>
        <v>-8.1546350308852017E-2</v>
      </c>
      <c r="AG52" s="622">
        <f t="shared" si="91"/>
        <v>-82.818758896658281</v>
      </c>
      <c r="AH52" s="623">
        <f t="shared" si="92"/>
        <v>139.28272582077173</v>
      </c>
      <c r="AI52" s="624">
        <f t="shared" si="93"/>
        <v>-85.322544462165169</v>
      </c>
      <c r="AJ52" s="625">
        <f t="shared" si="94"/>
        <v>-49.505685593057962</v>
      </c>
      <c r="AK52" s="4">
        <f t="shared" si="213"/>
        <v>0.95103808094698428</v>
      </c>
      <c r="AL52" s="5">
        <f t="shared" si="95"/>
        <v>-0.29812205778838868</v>
      </c>
      <c r="AM52" s="6">
        <f t="shared" si="96"/>
        <v>-8.1546350308852017E-2</v>
      </c>
      <c r="AN52" s="612">
        <f t="shared" si="97"/>
        <v>-74.701898190534891</v>
      </c>
      <c r="AO52" s="613">
        <f t="shared" si="98"/>
        <v>18.003417840156725</v>
      </c>
      <c r="AP52" s="624">
        <f t="shared" si="99"/>
        <v>-17.404651244697085</v>
      </c>
      <c r="AQ52" s="625">
        <f t="shared" si="249"/>
        <v>2.2787270849051184</v>
      </c>
      <c r="AS52" s="56">
        <f t="shared" si="411"/>
        <v>-122.10103434836088</v>
      </c>
      <c r="AT52" s="77">
        <f t="shared" si="250"/>
        <v>-1.6179356966811942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4.1479999999999997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4.8039825766463693</v>
      </c>
      <c r="C53" s="771">
        <v>-3.046469898726015</v>
      </c>
      <c r="D53" s="772">
        <v>-2.8181084994152341</v>
      </c>
      <c r="E53" s="773">
        <v>0.78952185984940282</v>
      </c>
      <c r="F53" s="771">
        <v>0.61183094479568068</v>
      </c>
      <c r="G53" s="774">
        <v>4.8146939781931158E-2</v>
      </c>
      <c r="H53" s="773">
        <v>0.314</v>
      </c>
      <c r="I53" s="771">
        <v>0.52</v>
      </c>
      <c r="J53" s="601">
        <v>4.157</v>
      </c>
      <c r="K53" s="426" t="str">
        <f t="shared" si="225"/>
        <v>1613</v>
      </c>
      <c r="L53" s="327"/>
      <c r="M53" s="173">
        <f t="shared" si="242"/>
        <v>4.157</v>
      </c>
      <c r="N53" s="21">
        <f t="shared" si="243"/>
        <v>4.8039825766463693</v>
      </c>
      <c r="O53" s="5">
        <f t="shared" si="244"/>
        <v>-3.046469898726015</v>
      </c>
      <c r="P53" s="10">
        <f t="shared" si="245"/>
        <v>-2.8181084994152341</v>
      </c>
      <c r="Q53" s="624">
        <f t="shared" si="116"/>
        <v>327.61896569206607</v>
      </c>
      <c r="R53" s="5">
        <f t="shared" ref="R53:R58" si="415">IF(M53="","",SQRT(N53^2+O53^2))</f>
        <v>5.6885171565677446</v>
      </c>
      <c r="S53" s="6">
        <f t="shared" ref="S53:S58" si="416">IF(M53="","",P53)</f>
        <v>-2.8181084994152341</v>
      </c>
      <c r="T53" s="4">
        <f t="shared" ref="T53:T58" si="417">IF(M53="","",X53*COS(RADIANS(W53)))</f>
        <v>-3.0464698987260159</v>
      </c>
      <c r="U53" s="5">
        <f t="shared" ref="U53:U58" si="418">IF(M53="","",X53*SIN(RADIANS(W53)))</f>
        <v>-4.8039825766463684</v>
      </c>
      <c r="V53" s="8">
        <f t="shared" ref="V53:V58" si="419">IF(M53="","",Y53)</f>
        <v>-2.8181084994152341</v>
      </c>
      <c r="W53" s="624">
        <f t="shared" si="227"/>
        <v>237.61896569206607</v>
      </c>
      <c r="X53" s="5">
        <f t="shared" ref="X53:X58" si="420">IF(M53="","",R53)</f>
        <v>5.6885171565677446</v>
      </c>
      <c r="Y53" s="7">
        <f t="shared" si="226"/>
        <v>-2.8181084994152341</v>
      </c>
      <c r="Z53" s="21">
        <f t="shared" si="246"/>
        <v>-0.78952185984940282</v>
      </c>
      <c r="AA53" s="5">
        <f t="shared" si="247"/>
        <v>-0.61183094479568068</v>
      </c>
      <c r="AB53" s="5">
        <f t="shared" si="248"/>
        <v>-4.8146939781931158E-2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-0.78952185984940282</v>
      </c>
      <c r="AE53" s="5">
        <f t="shared" ref="AE53:AE58" si="423">IF(M53="","",AA53*(1/SQRT(Z53^2+AA53^2+AB53^2)))</f>
        <v>-0.61183094479568068</v>
      </c>
      <c r="AF53" s="10">
        <f t="shared" ref="AF53:AF58" si="424">IF(M53="","",AB53*(1/SQRT(Z53^2+AA53^2+AB53^2)))</f>
        <v>-4.8146939781931158E-2</v>
      </c>
      <c r="AG53" s="622">
        <f t="shared" ref="AG53:AG58" si="425">IF(M53="","",DEGREES(ATAN2(-AF53,AE53)))</f>
        <v>-85.500483951190148</v>
      </c>
      <c r="AH53" s="623">
        <f t="shared" ref="AH53:AH58" si="426">IF(M53="","",DEGREES(ACOS(AD53)))</f>
        <v>142.14085098308294</v>
      </c>
      <c r="AI53" s="624">
        <f t="shared" ref="AI53:AI58" si="427">IF(M53="","",DEGREES(-ACOS(-AF53)))</f>
        <v>-87.240316636436319</v>
      </c>
      <c r="AJ53" s="625">
        <f t="shared" ref="AJ53:AJ58" si="428">IF(M53="","",DEGREES(ATAN2(-AE53,AD53)))</f>
        <v>-52.226514530736068</v>
      </c>
      <c r="AK53" s="4">
        <f t="shared" ref="AK53:AK58" si="429">IF(M53="","",(COS(RADIANS((90-$Q$8)-W53))*AD53)+(-SIN(RADIANS((90-$Q$8)-W53))*AE53))</f>
        <v>0.93952072780485318</v>
      </c>
      <c r="AL53" s="5">
        <f t="shared" ref="AL53:AL58" si="430">IF(M53="","",(SIN(RADIANS((90-$Q$8)-W53))*AD53)+(COS(RADIANS((90-$Q$8)-W53))*AE53))</f>
        <v>-0.33909095271722339</v>
      </c>
      <c r="AM53" s="6">
        <f t="shared" ref="AM53:AM58" si="431">IF(M53="","",AF53)</f>
        <v>-4.8146939781931158E-2</v>
      </c>
      <c r="AN53" s="612">
        <f t="shared" ref="AN53:AN58" si="432">IF(M53="","",DEGREES(ATAN2(-AM53,AL53)))</f>
        <v>-81.918690325316447</v>
      </c>
      <c r="AO53" s="613">
        <f t="shared" si="98"/>
        <v>20.028775943743465</v>
      </c>
      <c r="AP53" s="624">
        <f t="shared" ref="AP53:AP58" si="433">IF(M53="","",DEGREES(ATAN2(AK53,AL53)))</f>
        <v>-19.845480222802145</v>
      </c>
      <c r="AQ53" s="625">
        <f t="shared" si="249"/>
        <v>2.1790798036504895</v>
      </c>
      <c r="AS53" s="56">
        <f t="shared" si="411"/>
        <v>-122.38103430793393</v>
      </c>
      <c r="AT53" s="77">
        <f t="shared" si="250"/>
        <v>-2.3557801475852616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4.157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4.9060997148126688</v>
      </c>
      <c r="C54" s="771">
        <v>-3.1292674309444299</v>
      </c>
      <c r="D54" s="772">
        <v>-3.586910818123028</v>
      </c>
      <c r="E54" s="773">
        <v>0.841786404117292</v>
      </c>
      <c r="F54" s="771">
        <v>0.53926970636835858</v>
      </c>
      <c r="G54" s="774">
        <v>2.4162649620100229E-2</v>
      </c>
      <c r="H54" s="773">
        <v>0.314</v>
      </c>
      <c r="I54" s="771">
        <v>0.52</v>
      </c>
      <c r="J54" s="601">
        <v>4.1660000000000004</v>
      </c>
      <c r="K54" s="426" t="str">
        <f t="shared" si="225"/>
        <v>1613</v>
      </c>
      <c r="L54" s="327"/>
      <c r="M54" s="173">
        <f t="shared" si="242"/>
        <v>4.1660000000000004</v>
      </c>
      <c r="N54" s="21">
        <f t="shared" si="243"/>
        <v>4.9060997148126688</v>
      </c>
      <c r="O54" s="5">
        <f t="shared" si="244"/>
        <v>-3.1292674309444299</v>
      </c>
      <c r="P54" s="10">
        <f t="shared" si="245"/>
        <v>-3.586910818123028</v>
      </c>
      <c r="Q54" s="624">
        <f t="shared" si="116"/>
        <v>327.46896571372338</v>
      </c>
      <c r="R54" s="5">
        <f t="shared" si="415"/>
        <v>5.8191175504585324</v>
      </c>
      <c r="S54" s="6">
        <f t="shared" si="416"/>
        <v>-3.586910818123028</v>
      </c>
      <c r="T54" s="4">
        <f t="shared" si="417"/>
        <v>-3.129267430944433</v>
      </c>
      <c r="U54" s="5">
        <f t="shared" si="418"/>
        <v>-4.9060997148126679</v>
      </c>
      <c r="V54" s="8">
        <f t="shared" si="419"/>
        <v>-3.586910818123028</v>
      </c>
      <c r="W54" s="624">
        <f t="shared" si="227"/>
        <v>237.46896571372338</v>
      </c>
      <c r="X54" s="5">
        <f t="shared" si="420"/>
        <v>5.8191175504585324</v>
      </c>
      <c r="Y54" s="7">
        <f t="shared" si="226"/>
        <v>-3.586910818123028</v>
      </c>
      <c r="Z54" s="21">
        <f t="shared" si="246"/>
        <v>-0.841786404117292</v>
      </c>
      <c r="AA54" s="5">
        <f t="shared" si="247"/>
        <v>-0.53926970636835858</v>
      </c>
      <c r="AB54" s="5">
        <f t="shared" si="248"/>
        <v>-2.4162649620100229E-2</v>
      </c>
      <c r="AC54" s="8">
        <f t="shared" si="421"/>
        <v>1</v>
      </c>
      <c r="AD54" s="9">
        <f t="shared" si="422"/>
        <v>-0.841786404117292</v>
      </c>
      <c r="AE54" s="5">
        <f t="shared" si="423"/>
        <v>-0.53926970636835858</v>
      </c>
      <c r="AF54" s="10">
        <f t="shared" si="424"/>
        <v>-2.4162649620100229E-2</v>
      </c>
      <c r="AG54" s="622">
        <f t="shared" si="425"/>
        <v>-87.434507277236207</v>
      </c>
      <c r="AH54" s="623">
        <f t="shared" si="426"/>
        <v>147.32924303716615</v>
      </c>
      <c r="AI54" s="624">
        <f t="shared" si="427"/>
        <v>-88.615447407892916</v>
      </c>
      <c r="AJ54" s="625">
        <f t="shared" si="428"/>
        <v>-57.355345810582904</v>
      </c>
      <c r="AK54" s="4">
        <f t="shared" si="429"/>
        <v>0.90733443431142646</v>
      </c>
      <c r="AL54" s="5">
        <f t="shared" si="430"/>
        <v>-0.41971465387343865</v>
      </c>
      <c r="AM54" s="6">
        <f t="shared" si="431"/>
        <v>-2.4162649620100229E-2</v>
      </c>
      <c r="AN54" s="612">
        <f t="shared" si="432"/>
        <v>-86.705162790052185</v>
      </c>
      <c r="AO54" s="613">
        <f t="shared" si="98"/>
        <v>24.860449387018441</v>
      </c>
      <c r="AP54" s="624">
        <f t="shared" si="433"/>
        <v>-24.824311524306278</v>
      </c>
      <c r="AQ54" s="625">
        <f t="shared" si="249"/>
        <v>2.1302195620638846</v>
      </c>
      <c r="AS54" s="56">
        <f t="shared" si="411"/>
        <v>-122.53103428627662</v>
      </c>
      <c r="AT54" s="77">
        <f t="shared" si="250"/>
        <v>-3.1240157997082054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4.1660000000000004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0.02</v>
      </c>
      <c r="B55" s="770">
        <v>4.9507108155446149</v>
      </c>
      <c r="C55" s="771">
        <v>-3.1658723409638845</v>
      </c>
      <c r="D55" s="772">
        <v>-4.3644131630700995</v>
      </c>
      <c r="E55" s="773">
        <v>0.88779956112806291</v>
      </c>
      <c r="F55" s="771">
        <v>0.46023031110608759</v>
      </c>
      <c r="G55" s="774">
        <v>1.1339743318938216E-7</v>
      </c>
      <c r="H55" s="773">
        <v>0.314</v>
      </c>
      <c r="I55" s="771">
        <v>0.52</v>
      </c>
      <c r="J55" s="601">
        <v>4.1749999999999998</v>
      </c>
      <c r="K55" s="426" t="str">
        <f t="shared" si="225"/>
        <v>1613</v>
      </c>
      <c r="L55" s="327"/>
      <c r="M55" s="173">
        <f t="shared" si="242"/>
        <v>4.1749999999999998</v>
      </c>
      <c r="N55" s="21">
        <f t="shared" si="243"/>
        <v>4.9507108155446149</v>
      </c>
      <c r="O55" s="5">
        <f t="shared" si="244"/>
        <v>-3.1658723409638845</v>
      </c>
      <c r="P55" s="10">
        <f t="shared" si="245"/>
        <v>-4.3644131630700995</v>
      </c>
      <c r="Q55" s="624">
        <f t="shared" si="116"/>
        <v>327.40196572339698</v>
      </c>
      <c r="R55" s="5">
        <f t="shared" si="415"/>
        <v>5.8764177232758534</v>
      </c>
      <c r="S55" s="6">
        <f t="shared" si="416"/>
        <v>-4.3644131630700995</v>
      </c>
      <c r="T55" s="4">
        <f t="shared" si="417"/>
        <v>-3.1658723409638849</v>
      </c>
      <c r="U55" s="5">
        <f t="shared" si="418"/>
        <v>-4.950710815544614</v>
      </c>
      <c r="V55" s="8">
        <f t="shared" si="419"/>
        <v>-4.3644131630700995</v>
      </c>
      <c r="W55" s="624">
        <f t="shared" si="227"/>
        <v>237.40196572339698</v>
      </c>
      <c r="X55" s="5">
        <f t="shared" si="420"/>
        <v>5.8764177232758534</v>
      </c>
      <c r="Y55" s="7">
        <f t="shared" si="226"/>
        <v>-4.3644131630700995</v>
      </c>
      <c r="Z55" s="21">
        <f t="shared" si="246"/>
        <v>-0.88779956112806291</v>
      </c>
      <c r="AA55" s="5">
        <f t="shared" si="247"/>
        <v>-0.46023031110608759</v>
      </c>
      <c r="AB55" s="5">
        <f t="shared" si="248"/>
        <v>-1.1339743318938216E-7</v>
      </c>
      <c r="AC55" s="8">
        <f t="shared" si="421"/>
        <v>1</v>
      </c>
      <c r="AD55" s="9">
        <f t="shared" si="422"/>
        <v>-0.88779956112806291</v>
      </c>
      <c r="AE55" s="5">
        <f t="shared" si="423"/>
        <v>-0.46023031110608759</v>
      </c>
      <c r="AF55" s="10">
        <f t="shared" si="424"/>
        <v>-1.1339743318938216E-7</v>
      </c>
      <c r="AG55" s="622">
        <f t="shared" si="425"/>
        <v>-89.999985882732688</v>
      </c>
      <c r="AH55" s="623">
        <f t="shared" si="426"/>
        <v>152.59802994513819</v>
      </c>
      <c r="AI55" s="624">
        <f t="shared" si="427"/>
        <v>-89.999993502805665</v>
      </c>
      <c r="AJ55" s="625">
        <f t="shared" si="428"/>
        <v>-62.598029945138897</v>
      </c>
      <c r="AK55" s="4">
        <f t="shared" si="429"/>
        <v>0.86602544158358574</v>
      </c>
      <c r="AL55" s="5">
        <f t="shared" si="430"/>
        <v>-0.49999993452993841</v>
      </c>
      <c r="AM55" s="6">
        <f t="shared" si="431"/>
        <v>-1.1339743318938216E-7</v>
      </c>
      <c r="AN55" s="612">
        <f t="shared" si="432"/>
        <v>-89.99998700560964</v>
      </c>
      <c r="AO55" s="613">
        <f>IF(ROUND(IF(M55="",0,DEGREES(ACOS(AK55))),4)=90,0,IF(M55="","",DEGREES(ACOS(AK55))))</f>
        <v>29.99999566853651</v>
      </c>
      <c r="AP55" s="624">
        <f t="shared" si="433"/>
        <v>-29.999995668535892</v>
      </c>
      <c r="AQ55" s="625">
        <f t="shared" si="249"/>
        <v>2.1094669302611715</v>
      </c>
      <c r="AS55" s="56">
        <f t="shared" si="411"/>
        <v>-122.59803427660302</v>
      </c>
      <c r="AT55" s="77">
        <f t="shared" si="250"/>
        <v>-3.9012650335807102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4.1749999999999998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</v>
      </c>
      <c r="B56" s="770">
        <v>1.3198990387926</v>
      </c>
      <c r="C56" s="771">
        <v>-1.927622859684051</v>
      </c>
      <c r="D56" s="772">
        <v>-0.11700035287306428</v>
      </c>
      <c r="E56" s="773">
        <v>1.8713025805525825E-7</v>
      </c>
      <c r="F56" s="771">
        <v>1.2813349172287272E-7</v>
      </c>
      <c r="G56" s="774">
        <v>0.99999999999997435</v>
      </c>
      <c r="H56" s="773">
        <v>0.25700000000000001</v>
      </c>
      <c r="I56" s="771">
        <v>0.41499999999999992</v>
      </c>
      <c r="J56" s="601">
        <v>4.2089999999999996</v>
      </c>
      <c r="K56" s="426" t="str">
        <f t="shared" si="225"/>
        <v>Knuckle</v>
      </c>
      <c r="L56" s="327"/>
      <c r="M56" s="173">
        <f t="shared" si="242"/>
        <v>4.2089999999999996</v>
      </c>
      <c r="N56" s="21">
        <f t="shared" si="243"/>
        <v>1.3198990387926</v>
      </c>
      <c r="O56" s="5">
        <f t="shared" si="244"/>
        <v>-1.927622859684051</v>
      </c>
      <c r="P56" s="10">
        <f t="shared" si="245"/>
        <v>-0.11700035287306428</v>
      </c>
      <c r="Q56" s="624">
        <f t="shared" si="116"/>
        <v>304.40056904438779</v>
      </c>
      <c r="R56" s="5">
        <f t="shared" si="415"/>
        <v>2.33620704600045</v>
      </c>
      <c r="S56" s="6">
        <f t="shared" si="416"/>
        <v>-0.11700035287306428</v>
      </c>
      <c r="T56" s="4">
        <f t="shared" si="417"/>
        <v>-1.9276228596840514</v>
      </c>
      <c r="U56" s="5">
        <f t="shared" si="418"/>
        <v>-1.3198990387925995</v>
      </c>
      <c r="V56" s="8">
        <f t="shared" si="419"/>
        <v>-0.11700035287306428</v>
      </c>
      <c r="W56" s="624">
        <f t="shared" si="227"/>
        <v>214.40056904438779</v>
      </c>
      <c r="X56" s="5">
        <f t="shared" si="420"/>
        <v>2.33620704600045</v>
      </c>
      <c r="Y56" s="7">
        <f t="shared" si="226"/>
        <v>-0.11700035287306428</v>
      </c>
      <c r="Z56" s="21">
        <f t="shared" si="246"/>
        <v>-1.8713025805525825E-7</v>
      </c>
      <c r="AA56" s="5">
        <f t="shared" si="247"/>
        <v>-1.2813349172287272E-7</v>
      </c>
      <c r="AB56" s="5">
        <f t="shared" si="248"/>
        <v>-0.99999999999997435</v>
      </c>
      <c r="AC56" s="8">
        <f t="shared" si="421"/>
        <v>1</v>
      </c>
      <c r="AD56" s="9">
        <f t="shared" si="422"/>
        <v>-1.8713025805525825E-7</v>
      </c>
      <c r="AE56" s="5">
        <f t="shared" si="423"/>
        <v>-1.2813349172287272E-7</v>
      </c>
      <c r="AF56" s="10">
        <f t="shared" si="424"/>
        <v>-0.99999999999997435</v>
      </c>
      <c r="AG56" s="622">
        <f t="shared" si="425"/>
        <v>-7.3415082899952229E-6</v>
      </c>
      <c r="AH56" s="623">
        <f t="shared" si="426"/>
        <v>90.000010721774004</v>
      </c>
      <c r="AI56" s="624">
        <f t="shared" si="427"/>
        <v>-1.2976235990044085E-5</v>
      </c>
      <c r="AJ56" s="625">
        <f t="shared" si="428"/>
        <v>-55.599430955612192</v>
      </c>
      <c r="AK56" s="4">
        <f t="shared" si="429"/>
        <v>2.2679489672592508E-7</v>
      </c>
      <c r="AL56" s="5">
        <f t="shared" si="430"/>
        <v>7.9409338805090657E-23</v>
      </c>
      <c r="AM56" s="6">
        <f t="shared" si="431"/>
        <v>-0.99999999999997435</v>
      </c>
      <c r="AN56" s="612">
        <f t="shared" si="432"/>
        <v>4.549819967456243E-21</v>
      </c>
      <c r="AO56" s="613">
        <f t="shared" ref="AO56:AO119" si="466">IF(ROUND(IF(M56="",0,DEGREES(ACOS(AK56))),4)=90,0,IF(M56="","",DEGREES(ACOS(AK56))))</f>
        <v>0</v>
      </c>
      <c r="AP56" s="624">
        <f t="shared" si="433"/>
        <v>2.0061386006204755E-14</v>
      </c>
      <c r="AQ56" s="625">
        <f t="shared" si="249"/>
        <v>5.2933701460996812</v>
      </c>
      <c r="AS56" s="56">
        <f t="shared" si="411"/>
        <v>-145.59943095561221</v>
      </c>
      <c r="AT56" s="77">
        <f t="shared" si="250"/>
        <v>0.43304194184813743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>
        <f>IFERROR(IF($IU56="","",IF($IU56&lt;(((Settings!$C$19/2)*-1)*$IE$8),"",1)),"")</f>
        <v>1</v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4.2089999999999996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4.109</v>
      </c>
      <c r="II56" s="800" cm="1">
        <f t="array" ref="II56">IFERROR(IF($IH56&lt;1,$IH56+LARGE((IF($M$9:$M$150="",0,$M$9:$M$150)-MOD(IF($M$9:$M$150="",0,$M$9:$M$150),1)),1),$IH56),"")</f>
        <v>4.109</v>
      </c>
      <c r="IJ56" s="839" t="str">
        <f t="shared" si="386"/>
        <v>1613</v>
      </c>
      <c r="IK56" s="839" t="str">
        <f t="shared" si="387"/>
        <v>Knuckle</v>
      </c>
      <c r="IL56" s="791">
        <f t="shared" si="228"/>
        <v>25.599396303904484</v>
      </c>
      <c r="IM56" s="830">
        <v>8.1600309264232302E-3</v>
      </c>
      <c r="IN56" s="5">
        <f t="shared" si="229"/>
        <v>0.1</v>
      </c>
      <c r="IO56" s="852">
        <v>50</v>
      </c>
      <c r="IP56" s="9">
        <f t="shared" si="230"/>
        <v>-2.348307082494161</v>
      </c>
      <c r="IQ56" s="5">
        <f t="shared" si="231"/>
        <v>-0.15320046205259358</v>
      </c>
      <c r="IR56" s="5">
        <f t="shared" si="388"/>
        <v>0.314</v>
      </c>
      <c r="IS56" s="5">
        <f t="shared" si="232"/>
        <v>0.30330071252667318</v>
      </c>
      <c r="IT56" s="791">
        <f t="shared" si="233"/>
        <v>-14.999997834268278</v>
      </c>
      <c r="IU56" s="9">
        <f t="shared" si="234"/>
        <v>-2.33620704600045</v>
      </c>
      <c r="IV56" s="5">
        <f t="shared" si="235"/>
        <v>-0.11700035287306428</v>
      </c>
      <c r="IW56" s="5">
        <f t="shared" si="389"/>
        <v>0.25700000000000001</v>
      </c>
      <c r="IX56" s="5">
        <f t="shared" si="236"/>
        <v>0.25700000000000001</v>
      </c>
      <c r="IY56" s="833">
        <f t="shared" si="237"/>
        <v>-4.549819967456243E-21</v>
      </c>
    </row>
    <row r="57" spans="1:259" ht="15" customHeight="1" x14ac:dyDescent="0.25">
      <c r="A57" s="84">
        <f t="shared" si="82"/>
        <v>0</v>
      </c>
      <c r="B57" s="770">
        <v>2.0342575724813812</v>
      </c>
      <c r="C57" s="771">
        <v>-2.3664317504535557</v>
      </c>
      <c r="D57" s="772">
        <v>-4.3800132101198416E-2</v>
      </c>
      <c r="E57" s="773">
        <v>4.1726760673592718E-2</v>
      </c>
      <c r="F57" s="771">
        <v>-4.8539980825943803E-2</v>
      </c>
      <c r="G57" s="774">
        <v>0.99794927110805876</v>
      </c>
      <c r="H57" s="773">
        <v>0.25700000000000001</v>
      </c>
      <c r="I57" s="771">
        <v>0.41499999999999992</v>
      </c>
      <c r="J57" s="601">
        <v>4.2149999999999999</v>
      </c>
      <c r="K57" s="426" t="str">
        <f t="shared" si="225"/>
        <v>Knuckle</v>
      </c>
      <c r="L57" s="327"/>
      <c r="M57" s="173">
        <f t="shared" si="242"/>
        <v>4.2149999999999999</v>
      </c>
      <c r="N57" s="21">
        <f t="shared" si="243"/>
        <v>2.0342575724813812</v>
      </c>
      <c r="O57" s="5">
        <f t="shared" si="244"/>
        <v>-2.3664317504535557</v>
      </c>
      <c r="P57" s="10">
        <f t="shared" si="245"/>
        <v>-4.3800132101198416E-2</v>
      </c>
      <c r="Q57" s="624">
        <f t="shared" si="116"/>
        <v>310.68336813726387</v>
      </c>
      <c r="R57" s="5">
        <f t="shared" si="415"/>
        <v>3.1206094117579859</v>
      </c>
      <c r="S57" s="6">
        <f t="shared" si="416"/>
        <v>-4.3800132101198416E-2</v>
      </c>
      <c r="T57" s="4">
        <f t="shared" si="417"/>
        <v>-2.3664317504535548</v>
      </c>
      <c r="U57" s="5">
        <f t="shared" si="418"/>
        <v>-2.0342575724813825</v>
      </c>
      <c r="V57" s="8">
        <f t="shared" si="419"/>
        <v>-4.3800132101198416E-2</v>
      </c>
      <c r="W57" s="624">
        <f t="shared" si="227"/>
        <v>220.68336813726387</v>
      </c>
      <c r="X57" s="5">
        <f t="shared" si="420"/>
        <v>3.1206094117579859</v>
      </c>
      <c r="Y57" s="7">
        <f t="shared" si="226"/>
        <v>-4.3800132101198416E-2</v>
      </c>
      <c r="Z57" s="21">
        <f t="shared" si="246"/>
        <v>-4.1726760673592718E-2</v>
      </c>
      <c r="AA57" s="5">
        <f t="shared" si="247"/>
        <v>4.8539980825943803E-2</v>
      </c>
      <c r="AB57" s="5">
        <f t="shared" si="248"/>
        <v>-0.99794927110805876</v>
      </c>
      <c r="AC57" s="8">
        <f t="shared" si="421"/>
        <v>1</v>
      </c>
      <c r="AD57" s="9">
        <f t="shared" si="422"/>
        <v>-4.1726760673592718E-2</v>
      </c>
      <c r="AE57" s="5">
        <f t="shared" si="423"/>
        <v>4.8539980825943803E-2</v>
      </c>
      <c r="AF57" s="10">
        <f t="shared" si="424"/>
        <v>-0.99794927110805876</v>
      </c>
      <c r="AG57" s="622">
        <f t="shared" si="425"/>
        <v>2.7846564972170862</v>
      </c>
      <c r="AH57" s="623">
        <f t="shared" si="426"/>
        <v>92.391461593291723</v>
      </c>
      <c r="AI57" s="624">
        <f t="shared" si="427"/>
        <v>-3.6699994701405951</v>
      </c>
      <c r="AJ57" s="625">
        <f t="shared" si="428"/>
        <v>-139.31642885641696</v>
      </c>
      <c r="AK57" s="4">
        <f t="shared" si="429"/>
        <v>2.2679489672383646E-7</v>
      </c>
      <c r="AL57" s="5">
        <f t="shared" si="430"/>
        <v>-6.4009782805777737E-2</v>
      </c>
      <c r="AM57" s="6">
        <f t="shared" si="431"/>
        <v>-0.99794927110805876</v>
      </c>
      <c r="AN57" s="612">
        <f t="shared" si="432"/>
        <v>-3.6699994701176322</v>
      </c>
      <c r="AO57" s="613">
        <f t="shared" si="466"/>
        <v>0</v>
      </c>
      <c r="AP57" s="624">
        <f t="shared" si="433"/>
        <v>-89.999796993680846</v>
      </c>
      <c r="AQ57" s="625">
        <f t="shared" si="249"/>
        <v>3.9677768236664108</v>
      </c>
      <c r="AS57" s="56">
        <f t="shared" si="411"/>
        <v>-139.31663186273613</v>
      </c>
      <c r="AT57" s="77">
        <f t="shared" si="250"/>
        <v>0.48250714382469367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>
        <f>IFERROR(IF($IU57="","",IF($IU57&lt;(((Settings!$C$19/2)*-1)*$IE$8),"",1)),"")</f>
        <v>1</v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4.2149999999999999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4.1150000000000002</v>
      </c>
      <c r="II57" s="800" cm="1">
        <f t="array" ref="II57">IFERROR(IF($IH57&lt;1,$IH57+LARGE((IF($M$9:$M$150="",0,$M$9:$M$150)-MOD(IF($M$9:$M$150="",0,$M$9:$M$150),1)),1),$IH57),"")</f>
        <v>4.1150000000000002</v>
      </c>
      <c r="IJ57" s="839" t="str">
        <f t="shared" si="386"/>
        <v>1613</v>
      </c>
      <c r="IK57" s="839" t="str">
        <f t="shared" si="387"/>
        <v>Knuckle</v>
      </c>
      <c r="IL57" s="791">
        <f t="shared" si="228"/>
        <v>19.204597227199201</v>
      </c>
      <c r="IM57" s="830">
        <v>7.3498922451161602E-3</v>
      </c>
      <c r="IN57" s="5">
        <f t="shared" si="229"/>
        <v>0.12</v>
      </c>
      <c r="IO57" s="852">
        <v>60</v>
      </c>
      <c r="IP57" s="9">
        <f t="shared" si="230"/>
        <v>-3.117609402709959</v>
      </c>
      <c r="IQ57" s="5">
        <f t="shared" si="231"/>
        <v>-8.2600249122351366E-2</v>
      </c>
      <c r="IR57" s="5">
        <f t="shared" si="388"/>
        <v>0.314</v>
      </c>
      <c r="IS57" s="5">
        <f t="shared" si="232"/>
        <v>0.30322192352552013</v>
      </c>
      <c r="IT57" s="791">
        <f t="shared" si="233"/>
        <v>8.7038778023827685</v>
      </c>
      <c r="IU57" s="9">
        <f t="shared" si="234"/>
        <v>-3.1206094117579859</v>
      </c>
      <c r="IV57" s="5">
        <f t="shared" si="235"/>
        <v>-4.3800132101198416E-2</v>
      </c>
      <c r="IW57" s="5">
        <f t="shared" si="389"/>
        <v>0.25700000000000001</v>
      </c>
      <c r="IX57" s="5">
        <f t="shared" si="236"/>
        <v>0.25700000000000001</v>
      </c>
      <c r="IY57" s="833">
        <f t="shared" si="237"/>
        <v>3.6699994701176322</v>
      </c>
    </row>
    <row r="58" spans="1:259" ht="15" customHeight="1" x14ac:dyDescent="0.25">
      <c r="A58" s="84">
        <f t="shared" si="82"/>
        <v>0.02</v>
      </c>
      <c r="B58" s="770">
        <v>2.1745951578568659</v>
      </c>
      <c r="C58" s="771">
        <v>-3.9441568769248989</v>
      </c>
      <c r="D58" s="772">
        <v>-0.73760222460830949</v>
      </c>
      <c r="E58" s="773">
        <v>0.94898728089373252</v>
      </c>
      <c r="F58" s="771">
        <v>0.2737690185198175</v>
      </c>
      <c r="G58" s="774">
        <v>0.15644061237612186</v>
      </c>
      <c r="H58" s="773">
        <v>0.314</v>
      </c>
      <c r="I58" s="771">
        <v>0.52</v>
      </c>
      <c r="J58" s="601">
        <v>5.1289999999999996</v>
      </c>
      <c r="K58" s="426" t="str">
        <f t="shared" si="225"/>
        <v>1613</v>
      </c>
      <c r="L58" s="327"/>
      <c r="M58" s="173">
        <f t="shared" si="242"/>
        <v>5.1289999999999996</v>
      </c>
      <c r="N58" s="21">
        <f t="shared" si="243"/>
        <v>2.1745951578568659</v>
      </c>
      <c r="O58" s="5">
        <f t="shared" si="244"/>
        <v>-3.9441568769248989</v>
      </c>
      <c r="P58" s="10">
        <f t="shared" si="245"/>
        <v>-0.73760222460830949</v>
      </c>
      <c r="Q58" s="624">
        <f t="shared" si="116"/>
        <v>298.86996984290749</v>
      </c>
      <c r="R58" s="5">
        <f t="shared" si="415"/>
        <v>4.5039135838033681</v>
      </c>
      <c r="S58" s="6">
        <f t="shared" si="416"/>
        <v>-0.73760222460830949</v>
      </c>
      <c r="T58" s="4">
        <f t="shared" si="417"/>
        <v>-3.9441568769249007</v>
      </c>
      <c r="U58" s="5">
        <f t="shared" si="418"/>
        <v>-2.1745951578568623</v>
      </c>
      <c r="V58" s="8">
        <f t="shared" si="419"/>
        <v>-0.73760222460830949</v>
      </c>
      <c r="W58" s="624">
        <f t="shared" si="227"/>
        <v>208.86996984290749</v>
      </c>
      <c r="X58" s="5">
        <f t="shared" si="420"/>
        <v>4.5039135838033681</v>
      </c>
      <c r="Y58" s="7">
        <f t="shared" si="226"/>
        <v>-0.73760222460830949</v>
      </c>
      <c r="Z58" s="21">
        <f t="shared" si="246"/>
        <v>-0.94898728089373252</v>
      </c>
      <c r="AA58" s="5">
        <f t="shared" si="247"/>
        <v>-0.2737690185198175</v>
      </c>
      <c r="AB58" s="5">
        <f t="shared" si="248"/>
        <v>-0.15644061237612186</v>
      </c>
      <c r="AC58" s="8">
        <f t="shared" si="421"/>
        <v>1</v>
      </c>
      <c r="AD58" s="9">
        <f t="shared" si="422"/>
        <v>-0.94898728089373252</v>
      </c>
      <c r="AE58" s="5">
        <f t="shared" si="423"/>
        <v>-0.2737690185198175</v>
      </c>
      <c r="AF58" s="10">
        <f t="shared" si="424"/>
        <v>-0.15644061237612186</v>
      </c>
      <c r="AG58" s="622">
        <f t="shared" si="425"/>
        <v>-60.254933605609708</v>
      </c>
      <c r="AH58" s="623">
        <f t="shared" si="426"/>
        <v>161.62020801337891</v>
      </c>
      <c r="AI58" s="624">
        <f t="shared" si="427"/>
        <v>-80.999643393000667</v>
      </c>
      <c r="AJ58" s="625">
        <f t="shared" si="428"/>
        <v>-73.907919109039952</v>
      </c>
      <c r="AK58" s="4">
        <f t="shared" si="429"/>
        <v>0.96322707160650967</v>
      </c>
      <c r="AL58" s="5">
        <f t="shared" si="430"/>
        <v>-0.21844894901036271</v>
      </c>
      <c r="AM58" s="6">
        <f t="shared" si="431"/>
        <v>-0.15644061237612186</v>
      </c>
      <c r="AN58" s="612">
        <f t="shared" si="432"/>
        <v>-54.391933055010838</v>
      </c>
      <c r="AO58" s="613">
        <f t="shared" si="466"/>
        <v>15.586250763293522</v>
      </c>
      <c r="AP58" s="624">
        <f t="shared" si="433"/>
        <v>-12.777888951947425</v>
      </c>
      <c r="AQ58" s="625">
        <f t="shared" si="249"/>
        <v>2.751424547635767</v>
      </c>
      <c r="AS58" s="56">
        <f t="shared" si="411"/>
        <v>-151.13003015709251</v>
      </c>
      <c r="AT58" s="77">
        <f t="shared" si="250"/>
        <v>-0.16666655512595996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5.1289999999999996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2.3831900253915896</v>
      </c>
      <c r="C59" s="771">
        <v>-4.4160938404125138</v>
      </c>
      <c r="D59" s="772">
        <v>-1.3229039898784336</v>
      </c>
      <c r="E59" s="773">
        <v>0.96484793923344681</v>
      </c>
      <c r="F59" s="771">
        <v>0.23745934527418544</v>
      </c>
      <c r="G59" s="774">
        <v>0.11261222624087641</v>
      </c>
      <c r="H59" s="773">
        <v>0.314</v>
      </c>
      <c r="I59" s="771">
        <v>0.52</v>
      </c>
      <c r="J59" s="601">
        <v>5.1379999999999999</v>
      </c>
      <c r="K59" s="426" t="str">
        <f t="shared" si="225"/>
        <v>1613</v>
      </c>
      <c r="L59" s="327"/>
      <c r="M59" s="173">
        <f t="shared" si="242"/>
        <v>5.1379999999999999</v>
      </c>
      <c r="N59" s="21">
        <f t="shared" si="243"/>
        <v>2.3831900253915896</v>
      </c>
      <c r="O59" s="5">
        <f t="shared" si="244"/>
        <v>-4.4160938404125138</v>
      </c>
      <c r="P59" s="10">
        <f t="shared" si="245"/>
        <v>-1.3229039898784336</v>
      </c>
      <c r="Q59" s="624">
        <f t="shared" si="116"/>
        <v>298.35396991740868</v>
      </c>
      <c r="R59" s="5">
        <f t="shared" si="83"/>
        <v>5.0181151346352459</v>
      </c>
      <c r="S59" s="6">
        <f t="shared" si="84"/>
        <v>-1.3229039898784336</v>
      </c>
      <c r="T59" s="4">
        <f t="shared" si="85"/>
        <v>-4.4160938404125156</v>
      </c>
      <c r="U59" s="5">
        <f t="shared" si="86"/>
        <v>-2.3831900253915861</v>
      </c>
      <c r="V59" s="8">
        <f t="shared" si="117"/>
        <v>-1.3229039898784336</v>
      </c>
      <c r="W59" s="624">
        <f t="shared" si="227"/>
        <v>208.35396991740868</v>
      </c>
      <c r="X59" s="5">
        <f t="shared" si="87"/>
        <v>5.0181151346352459</v>
      </c>
      <c r="Y59" s="7">
        <f t="shared" si="226"/>
        <v>-1.3229039898784336</v>
      </c>
      <c r="Z59" s="21">
        <f t="shared" si="246"/>
        <v>-0.96484793923344681</v>
      </c>
      <c r="AA59" s="5">
        <f t="shared" si="247"/>
        <v>-0.23745934527418544</v>
      </c>
      <c r="AB59" s="5">
        <f t="shared" si="248"/>
        <v>-0.11261222624087641</v>
      </c>
      <c r="AC59" s="8">
        <f t="shared" si="88"/>
        <v>1</v>
      </c>
      <c r="AD59" s="9">
        <f t="shared" si="118"/>
        <v>-0.96484793923344681</v>
      </c>
      <c r="AE59" s="5">
        <f t="shared" si="89"/>
        <v>-0.23745934527418544</v>
      </c>
      <c r="AF59" s="10">
        <f t="shared" si="90"/>
        <v>-0.11261222624087641</v>
      </c>
      <c r="AG59" s="622">
        <f t="shared" si="91"/>
        <v>-64.627918240482344</v>
      </c>
      <c r="AH59" s="623">
        <f t="shared" si="92"/>
        <v>164.76320936744585</v>
      </c>
      <c r="AI59" s="624">
        <f t="shared" si="93"/>
        <v>-83.534079010530149</v>
      </c>
      <c r="AJ59" s="625">
        <f t="shared" si="94"/>
        <v>-76.173683073078635</v>
      </c>
      <c r="AK59" s="4">
        <f t="shared" si="213"/>
        <v>0.96186907932072285</v>
      </c>
      <c r="AL59" s="5">
        <f t="shared" si="95"/>
        <v>-0.24925160129431231</v>
      </c>
      <c r="AM59" s="6">
        <f t="shared" si="96"/>
        <v>-0.11261222624087641</v>
      </c>
      <c r="AN59" s="612">
        <f t="shared" si="97"/>
        <v>-65.686480139762054</v>
      </c>
      <c r="AO59" s="613">
        <f t="shared" si="466"/>
        <v>15.873256342070009</v>
      </c>
      <c r="AP59" s="624">
        <f t="shared" si="99"/>
        <v>-14.527652990487301</v>
      </c>
      <c r="AQ59" s="625">
        <f t="shared" si="249"/>
        <v>2.4698576784316351</v>
      </c>
      <c r="AS59" s="56">
        <f t="shared" si="411"/>
        <v>-151.64603008259132</v>
      </c>
      <c r="AT59" s="77">
        <f t="shared" si="250"/>
        <v>-0.75001898734419969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5.1379999999999999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2.5320053259707613</v>
      </c>
      <c r="C60" s="771">
        <v>-4.7744720853106184</v>
      </c>
      <c r="D60" s="772">
        <v>-1.9999060317165918</v>
      </c>
      <c r="E60" s="773">
        <v>0.97712648503250465</v>
      </c>
      <c r="F60" s="771">
        <v>0.19813716242735657</v>
      </c>
      <c r="G60" s="774">
        <v>7.7236630644130139E-2</v>
      </c>
      <c r="H60" s="773">
        <v>0.314</v>
      </c>
      <c r="I60" s="771">
        <v>0.52</v>
      </c>
      <c r="J60" s="601">
        <v>5.1470000000000002</v>
      </c>
      <c r="K60" s="426" t="str">
        <f t="shared" si="225"/>
        <v>1613</v>
      </c>
      <c r="L60" s="327"/>
      <c r="M60" s="173">
        <f t="shared" si="242"/>
        <v>5.1470000000000002</v>
      </c>
      <c r="N60" s="21">
        <f t="shared" si="243"/>
        <v>2.5320053259707613</v>
      </c>
      <c r="O60" s="5">
        <f t="shared" si="244"/>
        <v>-4.7744720853106184</v>
      </c>
      <c r="P60" s="10">
        <f t="shared" si="245"/>
        <v>-1.9999060317165918</v>
      </c>
      <c r="Q60" s="624">
        <f t="shared" si="116"/>
        <v>297.93796997747165</v>
      </c>
      <c r="R60" s="5">
        <f t="shared" si="83"/>
        <v>5.4043162994179594</v>
      </c>
      <c r="S60" s="6">
        <f t="shared" si="84"/>
        <v>-1.9999060317165918</v>
      </c>
      <c r="T60" s="4">
        <f t="shared" si="85"/>
        <v>-4.7744720853106193</v>
      </c>
      <c r="U60" s="5">
        <f t="shared" si="86"/>
        <v>-2.53200532597076</v>
      </c>
      <c r="V60" s="8">
        <f t="shared" si="117"/>
        <v>-1.9999060317165918</v>
      </c>
      <c r="W60" s="624">
        <f t="shared" si="227"/>
        <v>207.93796997747165</v>
      </c>
      <c r="X60" s="5">
        <f t="shared" si="87"/>
        <v>5.4043162994179594</v>
      </c>
      <c r="Y60" s="7">
        <f t="shared" si="226"/>
        <v>-1.9999060317165918</v>
      </c>
      <c r="Z60" s="21">
        <f t="shared" si="246"/>
        <v>-0.97712648503250465</v>
      </c>
      <c r="AA60" s="5">
        <f t="shared" si="247"/>
        <v>-0.19813716242735657</v>
      </c>
      <c r="AB60" s="5">
        <f t="shared" si="248"/>
        <v>-7.7236630644130139E-2</v>
      </c>
      <c r="AC60" s="8">
        <f t="shared" si="88"/>
        <v>1</v>
      </c>
      <c r="AD60" s="9">
        <f t="shared" si="118"/>
        <v>-0.97712648503250465</v>
      </c>
      <c r="AE60" s="5">
        <f t="shared" si="89"/>
        <v>-0.19813716242735657</v>
      </c>
      <c r="AF60" s="10">
        <f t="shared" si="90"/>
        <v>-7.7236630644130139E-2</v>
      </c>
      <c r="AG60" s="622">
        <f t="shared" si="91"/>
        <v>-68.703469349676283</v>
      </c>
      <c r="AH60" s="623">
        <f t="shared" si="92"/>
        <v>167.72178036989018</v>
      </c>
      <c r="AI60" s="624">
        <f t="shared" si="93"/>
        <v>-85.570255301626531</v>
      </c>
      <c r="AJ60" s="625">
        <f t="shared" si="94"/>
        <v>-78.537249747655238</v>
      </c>
      <c r="AK60" s="4">
        <f t="shared" si="213"/>
        <v>0.95607791825594202</v>
      </c>
      <c r="AL60" s="5">
        <f t="shared" si="95"/>
        <v>-0.28275345640703786</v>
      </c>
      <c r="AM60" s="6">
        <f t="shared" si="96"/>
        <v>-7.7236630644130139E-2</v>
      </c>
      <c r="AN60" s="612">
        <f t="shared" si="97"/>
        <v>-74.721864086814236</v>
      </c>
      <c r="AO60" s="613">
        <f t="shared" si="466"/>
        <v>17.04439689267922</v>
      </c>
      <c r="AP60" s="624">
        <f t="shared" si="99"/>
        <v>-16.475219725126884</v>
      </c>
      <c r="AQ60" s="625">
        <f t="shared" si="249"/>
        <v>2.2935533917891866</v>
      </c>
      <c r="AS60" s="56">
        <f t="shared" si="411"/>
        <v>-152.06203002252835</v>
      </c>
      <c r="AT60" s="77">
        <f t="shared" si="250"/>
        <v>-1.4254494738537069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5.1470000000000002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0.02</v>
      </c>
      <c r="B61" s="770">
        <v>2.629133061329664</v>
      </c>
      <c r="C61" s="771">
        <v>-5.0198946137544143</v>
      </c>
      <c r="D61" s="772">
        <v>-2.7341082460704702</v>
      </c>
      <c r="E61" s="773">
        <v>0.98917553652252876</v>
      </c>
      <c r="F61" s="771">
        <v>0.13648592964639283</v>
      </c>
      <c r="G61" s="774">
        <v>5.3882733356124986E-2</v>
      </c>
      <c r="H61" s="773">
        <v>0.314</v>
      </c>
      <c r="I61" s="771">
        <v>0.52</v>
      </c>
      <c r="J61" s="601">
        <v>5.1559999999999997</v>
      </c>
      <c r="K61" s="426" t="str">
        <f t="shared" si="225"/>
        <v>1613</v>
      </c>
      <c r="L61" s="327"/>
      <c r="M61" s="173">
        <f t="shared" si="242"/>
        <v>5.1559999999999997</v>
      </c>
      <c r="N61" s="21">
        <f t="shared" si="243"/>
        <v>2.629133061329664</v>
      </c>
      <c r="O61" s="5">
        <f t="shared" si="244"/>
        <v>-5.0198946137544143</v>
      </c>
      <c r="P61" s="10">
        <f t="shared" si="245"/>
        <v>-2.7341082460704702</v>
      </c>
      <c r="Q61" s="624">
        <f t="shared" si="116"/>
        <v>297.64297002006441</v>
      </c>
      <c r="R61" s="5">
        <f t="shared" si="83"/>
        <v>5.6667170908187456</v>
      </c>
      <c r="S61" s="6">
        <f t="shared" si="84"/>
        <v>-2.7341082460704702</v>
      </c>
      <c r="T61" s="4">
        <f t="shared" si="85"/>
        <v>-5.0198946137544134</v>
      </c>
      <c r="U61" s="5">
        <f t="shared" si="86"/>
        <v>-2.6291330613296653</v>
      </c>
      <c r="V61" s="8">
        <f t="shared" si="117"/>
        <v>-2.7341082460704702</v>
      </c>
      <c r="W61" s="624">
        <f t="shared" si="227"/>
        <v>207.64297002006441</v>
      </c>
      <c r="X61" s="5">
        <f t="shared" si="87"/>
        <v>5.6667170908187456</v>
      </c>
      <c r="Y61" s="7">
        <f t="shared" si="226"/>
        <v>-2.7341082460704702</v>
      </c>
      <c r="Z61" s="21">
        <f t="shared" si="246"/>
        <v>-0.98917553652252876</v>
      </c>
      <c r="AA61" s="5">
        <f t="shared" si="247"/>
        <v>-0.13648592964639283</v>
      </c>
      <c r="AB61" s="5">
        <f t="shared" si="248"/>
        <v>-5.3882733356124986E-2</v>
      </c>
      <c r="AC61" s="8">
        <f t="shared" si="88"/>
        <v>1</v>
      </c>
      <c r="AD61" s="9">
        <f t="shared" si="118"/>
        <v>-0.98917553652252876</v>
      </c>
      <c r="AE61" s="5">
        <f t="shared" si="89"/>
        <v>-0.13648592964639283</v>
      </c>
      <c r="AF61" s="10">
        <f t="shared" si="90"/>
        <v>-5.3882733356124986E-2</v>
      </c>
      <c r="AG61" s="622">
        <f t="shared" si="91"/>
        <v>-68.456587598029671</v>
      </c>
      <c r="AH61" s="623">
        <f t="shared" si="92"/>
        <v>171.56211989569186</v>
      </c>
      <c r="AI61" s="624">
        <f t="shared" si="93"/>
        <v>-86.911250939337549</v>
      </c>
      <c r="AJ61" s="625">
        <f t="shared" si="94"/>
        <v>-82.143962616080017</v>
      </c>
      <c r="AK61" s="4">
        <f t="shared" si="213"/>
        <v>0.93959104231854884</v>
      </c>
      <c r="AL61" s="5">
        <f t="shared" si="95"/>
        <v>-0.33803154326307427</v>
      </c>
      <c r="AM61" s="6">
        <f t="shared" si="96"/>
        <v>-5.3882733356124986E-2</v>
      </c>
      <c r="AN61" s="612">
        <f t="shared" si="97"/>
        <v>-80.943162049815641</v>
      </c>
      <c r="AO61" s="613">
        <f t="shared" si="466"/>
        <v>20.017009655921271</v>
      </c>
      <c r="AP61" s="624">
        <f t="shared" si="99"/>
        <v>-19.786932636144424</v>
      </c>
      <c r="AQ61" s="625">
        <f t="shared" si="249"/>
        <v>2.1874546745426846</v>
      </c>
      <c r="AS61" s="56">
        <f t="shared" si="411"/>
        <v>-152.35702997993559</v>
      </c>
      <c r="AT61" s="77">
        <f t="shared" si="250"/>
        <v>-2.1585372439240471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5.1559999999999997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2.6810142121445639</v>
      </c>
      <c r="C62" s="771">
        <v>-5.1547989798849994</v>
      </c>
      <c r="D62" s="772">
        <v>-3.5006105578414437</v>
      </c>
      <c r="E62" s="773">
        <v>0.99768013403110611</v>
      </c>
      <c r="F62" s="771">
        <v>6.3179378912399081E-2</v>
      </c>
      <c r="G62" s="774">
        <v>2.5351848846142604E-2</v>
      </c>
      <c r="H62" s="773">
        <v>0.314</v>
      </c>
      <c r="I62" s="771">
        <v>0.52</v>
      </c>
      <c r="J62" s="601">
        <v>5.165</v>
      </c>
      <c r="K62" s="426" t="str">
        <f t="shared" si="225"/>
        <v>1613</v>
      </c>
      <c r="L62" s="327"/>
      <c r="M62" s="173">
        <f t="shared" si="242"/>
        <v>5.165</v>
      </c>
      <c r="N62" s="21">
        <f t="shared" si="243"/>
        <v>2.6810142121445639</v>
      </c>
      <c r="O62" s="5">
        <f t="shared" si="244"/>
        <v>-5.1547989798849994</v>
      </c>
      <c r="P62" s="10">
        <f t="shared" si="245"/>
        <v>-3.5006105578414437</v>
      </c>
      <c r="Q62" s="624">
        <f t="shared" si="116"/>
        <v>297.47897004374306</v>
      </c>
      <c r="R62" s="5">
        <f t="shared" si="83"/>
        <v>5.8103175239176528</v>
      </c>
      <c r="S62" s="6">
        <f t="shared" si="84"/>
        <v>-3.5006105578414437</v>
      </c>
      <c r="T62" s="4">
        <f t="shared" si="85"/>
        <v>-5.1547989798849994</v>
      </c>
      <c r="U62" s="5">
        <f t="shared" si="86"/>
        <v>-2.6810142121445635</v>
      </c>
      <c r="V62" s="8">
        <f t="shared" si="117"/>
        <v>-3.5006105578414437</v>
      </c>
      <c r="W62" s="624">
        <f t="shared" si="227"/>
        <v>207.47897004374306</v>
      </c>
      <c r="X62" s="5">
        <f t="shared" si="87"/>
        <v>5.8103175239176528</v>
      </c>
      <c r="Y62" s="7">
        <f t="shared" si="226"/>
        <v>-3.5006105578414437</v>
      </c>
      <c r="Z62" s="21">
        <f t="shared" si="246"/>
        <v>-0.99768013403110611</v>
      </c>
      <c r="AA62" s="5">
        <f t="shared" si="247"/>
        <v>-6.3179378912399081E-2</v>
      </c>
      <c r="AB62" s="5">
        <f t="shared" si="248"/>
        <v>-2.5351848846142604E-2</v>
      </c>
      <c r="AC62" s="8">
        <f t="shared" si="88"/>
        <v>1</v>
      </c>
      <c r="AD62" s="9">
        <f t="shared" si="118"/>
        <v>-0.99768013403110611</v>
      </c>
      <c r="AE62" s="5">
        <f t="shared" si="89"/>
        <v>-6.3179378912399081E-2</v>
      </c>
      <c r="AF62" s="10">
        <f t="shared" si="90"/>
        <v>-2.5351848846142604E-2</v>
      </c>
      <c r="AG62" s="622">
        <f t="shared" si="91"/>
        <v>-68.135998766204096</v>
      </c>
      <c r="AH62" s="623">
        <f t="shared" si="92"/>
        <v>176.09650999419543</v>
      </c>
      <c r="AI62" s="624">
        <f t="shared" si="93"/>
        <v>-88.547290416575223</v>
      </c>
      <c r="AJ62" s="625">
        <f t="shared" si="94"/>
        <v>-86.376509493270447</v>
      </c>
      <c r="AK62" s="4">
        <f t="shared" si="213"/>
        <v>0.91427453457859797</v>
      </c>
      <c r="AL62" s="5">
        <f t="shared" si="95"/>
        <v>-0.40430107491963269</v>
      </c>
      <c r="AM62" s="6">
        <f t="shared" si="96"/>
        <v>-2.5351848846142604E-2</v>
      </c>
      <c r="AN62" s="612">
        <f t="shared" si="97"/>
        <v>-86.411944676458731</v>
      </c>
      <c r="AO62" s="613">
        <f t="shared" si="466"/>
        <v>23.897089468963966</v>
      </c>
      <c r="AP62" s="624">
        <f t="shared" si="99"/>
        <v>-23.85547953701348</v>
      </c>
      <c r="AQ62" s="625">
        <f t="shared" si="249"/>
        <v>2.1334429107141046</v>
      </c>
      <c r="AS62" s="56">
        <f t="shared" si="411"/>
        <v>-152.52102995625694</v>
      </c>
      <c r="AT62" s="77">
        <f t="shared" si="250"/>
        <v>-2.9244200002289173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5.165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0.02</v>
      </c>
      <c r="B63" s="770">
        <v>2.7045055569725331</v>
      </c>
      <c r="C63" s="771">
        <v>-5.2170810757295376</v>
      </c>
      <c r="D63" s="772">
        <v>-4.277512900978909</v>
      </c>
      <c r="E63" s="773">
        <v>0.99897213238538718</v>
      </c>
      <c r="F63" s="771">
        <v>-4.5328564033950303E-2</v>
      </c>
      <c r="G63" s="774">
        <v>1.1339743370678741E-7</v>
      </c>
      <c r="H63" s="773">
        <v>0.314</v>
      </c>
      <c r="I63" s="771">
        <v>0.52</v>
      </c>
      <c r="J63" s="601">
        <v>5.1740000000000004</v>
      </c>
      <c r="K63" s="426" t="str">
        <f t="shared" si="225"/>
        <v>1613</v>
      </c>
      <c r="L63" s="327"/>
      <c r="M63" s="173">
        <f t="shared" si="242"/>
        <v>5.1740000000000004</v>
      </c>
      <c r="N63" s="21">
        <f t="shared" si="243"/>
        <v>2.7045055569725331</v>
      </c>
      <c r="O63" s="5">
        <f t="shared" si="244"/>
        <v>-5.2170810757295376</v>
      </c>
      <c r="P63" s="10">
        <f t="shared" si="245"/>
        <v>-4.277512900978909</v>
      </c>
      <c r="Q63" s="624">
        <f t="shared" si="116"/>
        <v>297.4019700548605</v>
      </c>
      <c r="R63" s="5">
        <f t="shared" si="83"/>
        <v>5.8764177232758552</v>
      </c>
      <c r="S63" s="6">
        <f t="shared" si="84"/>
        <v>-4.277512900978909</v>
      </c>
      <c r="T63" s="4">
        <f t="shared" si="85"/>
        <v>-5.2170810757295367</v>
      </c>
      <c r="U63" s="5">
        <f t="shared" si="86"/>
        <v>-2.7045055569725349</v>
      </c>
      <c r="V63" s="8">
        <f t="shared" si="117"/>
        <v>-4.277512900978909</v>
      </c>
      <c r="W63" s="624">
        <f t="shared" si="227"/>
        <v>207.4019700548605</v>
      </c>
      <c r="X63" s="5">
        <f t="shared" si="87"/>
        <v>5.8764177232758552</v>
      </c>
      <c r="Y63" s="7">
        <f t="shared" si="226"/>
        <v>-4.277512900978909</v>
      </c>
      <c r="Z63" s="21">
        <f t="shared" si="246"/>
        <v>-0.99897213238538718</v>
      </c>
      <c r="AA63" s="5">
        <f t="shared" si="247"/>
        <v>4.5328564033950303E-2</v>
      </c>
      <c r="AB63" s="5">
        <f t="shared" si="248"/>
        <v>-1.1339743370678741E-7</v>
      </c>
      <c r="AC63" s="8">
        <f t="shared" si="88"/>
        <v>1</v>
      </c>
      <c r="AD63" s="9">
        <f t="shared" si="118"/>
        <v>-0.99897213238538718</v>
      </c>
      <c r="AE63" s="5">
        <f t="shared" si="89"/>
        <v>4.5328564033950303E-2</v>
      </c>
      <c r="AF63" s="10">
        <f t="shared" si="90"/>
        <v>-1.1339743370678741E-7</v>
      </c>
      <c r="AG63" s="622">
        <f t="shared" si="91"/>
        <v>89.999856664456559</v>
      </c>
      <c r="AH63" s="623">
        <f t="shared" si="92"/>
        <v>177.40197438631682</v>
      </c>
      <c r="AI63" s="624">
        <f t="shared" si="93"/>
        <v>-89.999993502805637</v>
      </c>
      <c r="AJ63" s="625">
        <f t="shared" si="94"/>
        <v>-92.598025613675418</v>
      </c>
      <c r="AK63" s="4">
        <f t="shared" si="213"/>
        <v>0.86602544158358552</v>
      </c>
      <c r="AL63" s="5">
        <f t="shared" si="95"/>
        <v>-0.49999993452993874</v>
      </c>
      <c r="AM63" s="6">
        <f t="shared" si="96"/>
        <v>-1.1339743370678741E-7</v>
      </c>
      <c r="AN63" s="612">
        <f t="shared" si="97"/>
        <v>-89.999987005609583</v>
      </c>
      <c r="AO63" s="613">
        <f t="shared" si="466"/>
        <v>29.999995668536549</v>
      </c>
      <c r="AP63" s="624">
        <f t="shared" si="99"/>
        <v>-29.99999566853592</v>
      </c>
      <c r="AQ63" s="625">
        <f t="shared" si="249"/>
        <v>2.1094669302611706</v>
      </c>
      <c r="AS63" s="56">
        <f t="shared" si="411"/>
        <v>-152.5980299451395</v>
      </c>
      <c r="AT63" s="77">
        <f t="shared" si="250"/>
        <v>-3.7010314545194931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5.1740000000000004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0.02</v>
      </c>
      <c r="B64" s="770">
        <v>-0.52206389251554186</v>
      </c>
      <c r="C64" s="771">
        <v>-2.9418449958708792</v>
      </c>
      <c r="D64" s="772">
        <v>-7.480022559748041E-2</v>
      </c>
      <c r="E64" s="773">
        <v>0.94793522716841128</v>
      </c>
      <c r="F64" s="771">
        <v>-0.18561024058570713</v>
      </c>
      <c r="G64" s="774">
        <v>0.25878107288379609</v>
      </c>
      <c r="H64" s="773">
        <v>0.314</v>
      </c>
      <c r="I64" s="771">
        <v>0.52</v>
      </c>
      <c r="J64" s="601">
        <v>6.1139999999999999</v>
      </c>
      <c r="K64" s="426" t="str">
        <f t="shared" si="225"/>
        <v>1613</v>
      </c>
      <c r="L64" s="327"/>
      <c r="M64" s="173">
        <f t="shared" si="242"/>
        <v>6.1139999999999999</v>
      </c>
      <c r="N64" s="21">
        <f t="shared" si="243"/>
        <v>-0.52206389251554186</v>
      </c>
      <c r="O64" s="5">
        <f t="shared" si="244"/>
        <v>-2.9418449958708792</v>
      </c>
      <c r="P64" s="10">
        <f t="shared" si="245"/>
        <v>-7.480022559748041E-2</v>
      </c>
      <c r="Q64" s="624">
        <f t="shared" si="116"/>
        <v>259.93697546413642</v>
      </c>
      <c r="R64" s="5">
        <f t="shared" si="83"/>
        <v>2.9878090112319784</v>
      </c>
      <c r="S64" s="6">
        <f t="shared" si="84"/>
        <v>-7.480022559748041E-2</v>
      </c>
      <c r="T64" s="4">
        <f t="shared" si="85"/>
        <v>-2.9418449958708792</v>
      </c>
      <c r="U64" s="5">
        <f t="shared" si="86"/>
        <v>0.52206389251554275</v>
      </c>
      <c r="V64" s="8">
        <f t="shared" si="117"/>
        <v>-7.480022559748041E-2</v>
      </c>
      <c r="W64" s="624">
        <f t="shared" si="227"/>
        <v>169.93697546413642</v>
      </c>
      <c r="X64" s="5">
        <f t="shared" si="87"/>
        <v>2.9878090112319784</v>
      </c>
      <c r="Y64" s="7">
        <f t="shared" si="226"/>
        <v>-7.480022559748041E-2</v>
      </c>
      <c r="Z64" s="21">
        <f t="shared" si="246"/>
        <v>-0.94793522716841128</v>
      </c>
      <c r="AA64" s="5">
        <f t="shared" si="247"/>
        <v>0.18561024058570713</v>
      </c>
      <c r="AB64" s="5">
        <f t="shared" si="248"/>
        <v>-0.25878107288379609</v>
      </c>
      <c r="AC64" s="8">
        <f t="shared" si="88"/>
        <v>1</v>
      </c>
      <c r="AD64" s="9">
        <f t="shared" si="118"/>
        <v>-0.94793522716841128</v>
      </c>
      <c r="AE64" s="5">
        <f t="shared" si="89"/>
        <v>0.18561024058570713</v>
      </c>
      <c r="AF64" s="10">
        <f t="shared" si="90"/>
        <v>-0.25878107288379609</v>
      </c>
      <c r="AG64" s="622">
        <f t="shared" si="91"/>
        <v>35.649911767418338</v>
      </c>
      <c r="AH64" s="623">
        <f t="shared" si="92"/>
        <v>161.4299892736864</v>
      </c>
      <c r="AI64" s="624">
        <f t="shared" si="93"/>
        <v>-75.002252384556343</v>
      </c>
      <c r="AJ64" s="625">
        <f t="shared" si="94"/>
        <v>-101.07862318716225</v>
      </c>
      <c r="AK64" s="4">
        <f t="shared" si="213"/>
        <v>0.9657842580628041</v>
      </c>
      <c r="AL64" s="5">
        <f t="shared" si="95"/>
        <v>-1.712084096038452E-2</v>
      </c>
      <c r="AM64" s="6">
        <f t="shared" si="96"/>
        <v>-0.25878107288379609</v>
      </c>
      <c r="AN64" s="612">
        <f t="shared" si="97"/>
        <v>-3.7851471424536554</v>
      </c>
      <c r="AO64" s="613">
        <f t="shared" si="466"/>
        <v>15.031307588587504</v>
      </c>
      <c r="AP64" s="624">
        <f t="shared" si="99"/>
        <v>-1.015598651298681</v>
      </c>
      <c r="AQ64" s="625">
        <f t="shared" si="249"/>
        <v>4.1435330157084671</v>
      </c>
      <c r="AS64" s="56">
        <f t="shared" si="411"/>
        <v>-190.06302453586358</v>
      </c>
      <c r="AT64" s="77">
        <f t="shared" si="250"/>
        <v>0.64321564487133753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6.1139999999999999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0.02</v>
      </c>
      <c r="B65" s="770">
        <v>-0.68167419532815743</v>
      </c>
      <c r="C65" s="771">
        <v>-3.6840760745484737</v>
      </c>
      <c r="D65" s="772">
        <v>-0.23930072173097627</v>
      </c>
      <c r="E65" s="773">
        <v>0.92301066469950177</v>
      </c>
      <c r="F65" s="771">
        <v>-0.31444879558872602</v>
      </c>
      <c r="G65" s="774">
        <v>0.22175046291672937</v>
      </c>
      <c r="H65" s="773">
        <v>0.314</v>
      </c>
      <c r="I65" s="771">
        <v>0.52</v>
      </c>
      <c r="J65" s="601">
        <v>6.12</v>
      </c>
      <c r="K65" s="426" t="str">
        <f t="shared" si="225"/>
        <v>1613</v>
      </c>
      <c r="L65" s="327"/>
      <c r="M65" s="173">
        <f t="shared" si="242"/>
        <v>6.12</v>
      </c>
      <c r="N65" s="21">
        <f t="shared" si="243"/>
        <v>-0.68167419532815743</v>
      </c>
      <c r="O65" s="5">
        <f t="shared" si="244"/>
        <v>-3.6840760745484737</v>
      </c>
      <c r="P65" s="10">
        <f t="shared" si="245"/>
        <v>-0.23930072173097627</v>
      </c>
      <c r="Q65" s="624">
        <f t="shared" si="116"/>
        <v>259.51697552477691</v>
      </c>
      <c r="R65" s="5">
        <f t="shared" si="83"/>
        <v>3.7466112997796799</v>
      </c>
      <c r="S65" s="6">
        <f t="shared" si="84"/>
        <v>-0.23930072173097627</v>
      </c>
      <c r="T65" s="4">
        <f t="shared" si="85"/>
        <v>-3.6840760745484733</v>
      </c>
      <c r="U65" s="5">
        <f t="shared" si="86"/>
        <v>0.68167419532815898</v>
      </c>
      <c r="V65" s="8">
        <f t="shared" si="117"/>
        <v>-0.23930072173097627</v>
      </c>
      <c r="W65" s="624">
        <f t="shared" si="227"/>
        <v>169.51697552477691</v>
      </c>
      <c r="X65" s="5">
        <f t="shared" si="87"/>
        <v>3.7466112997796799</v>
      </c>
      <c r="Y65" s="7">
        <f t="shared" si="226"/>
        <v>-0.23930072173097627</v>
      </c>
      <c r="Z65" s="21">
        <f t="shared" si="246"/>
        <v>-0.92301066469950177</v>
      </c>
      <c r="AA65" s="5">
        <f t="shared" si="247"/>
        <v>0.31444879558872602</v>
      </c>
      <c r="AB65" s="5">
        <f t="shared" si="248"/>
        <v>-0.22175046291672937</v>
      </c>
      <c r="AC65" s="8">
        <f t="shared" si="88"/>
        <v>1</v>
      </c>
      <c r="AD65" s="9">
        <f t="shared" si="118"/>
        <v>-0.92301066469950177</v>
      </c>
      <c r="AE65" s="5">
        <f t="shared" si="89"/>
        <v>0.31444879558872602</v>
      </c>
      <c r="AF65" s="10">
        <f t="shared" si="90"/>
        <v>-0.22175046291672937</v>
      </c>
      <c r="AG65" s="622">
        <f t="shared" si="91"/>
        <v>54.808366825497984</v>
      </c>
      <c r="AH65" s="623">
        <f t="shared" si="92"/>
        <v>157.37026664554935</v>
      </c>
      <c r="AI65" s="624">
        <f t="shared" si="93"/>
        <v>-77.188133067577112</v>
      </c>
      <c r="AJ65" s="625">
        <f t="shared" si="94"/>
        <v>-108.81281209986001</v>
      </c>
      <c r="AK65" s="4">
        <f t="shared" si="213"/>
        <v>0.96481669616753141</v>
      </c>
      <c r="AL65" s="5">
        <f t="shared" si="95"/>
        <v>-0.14126384885237236</v>
      </c>
      <c r="AM65" s="6">
        <f t="shared" si="96"/>
        <v>-0.22175046291672937</v>
      </c>
      <c r="AN65" s="612">
        <f t="shared" si="97"/>
        <v>-32.49875456511311</v>
      </c>
      <c r="AO65" s="613">
        <f t="shared" si="466"/>
        <v>15.24360054719024</v>
      </c>
      <c r="AP65" s="624">
        <f t="shared" si="99"/>
        <v>-8.3297876246369214</v>
      </c>
      <c r="AQ65" s="625">
        <f t="shared" si="249"/>
        <v>3.3064393196210831</v>
      </c>
      <c r="AS65" s="56">
        <f t="shared" si="411"/>
        <v>-190.48302447522309</v>
      </c>
      <c r="AT65" s="77">
        <f t="shared" si="250"/>
        <v>0.48030181517542214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6.12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0.02</v>
      </c>
      <c r="B66" s="770">
        <v>-0.85215727748464409</v>
      </c>
      <c r="C66" s="771">
        <v>-4.3563493935277489</v>
      </c>
      <c r="D66" s="772">
        <v>-0.68020205148938739</v>
      </c>
      <c r="E66" s="773">
        <v>0.90431837985240726</v>
      </c>
      <c r="F66" s="771">
        <v>-0.39528939134776553</v>
      </c>
      <c r="G66" s="774">
        <v>0.16110420524936772</v>
      </c>
      <c r="H66" s="773">
        <v>0.314</v>
      </c>
      <c r="I66" s="771">
        <v>0.52</v>
      </c>
      <c r="J66" s="601">
        <v>6.1280000000000001</v>
      </c>
      <c r="K66" s="426" t="str">
        <f t="shared" si="225"/>
        <v>1613</v>
      </c>
      <c r="L66" s="327"/>
      <c r="M66" s="173">
        <f t="shared" si="242"/>
        <v>6.1280000000000001</v>
      </c>
      <c r="N66" s="21">
        <f t="shared" si="243"/>
        <v>-0.85215727748464409</v>
      </c>
      <c r="O66" s="5">
        <f t="shared" si="244"/>
        <v>-4.3563493935277489</v>
      </c>
      <c r="P66" s="10">
        <f t="shared" si="245"/>
        <v>-0.68020205148938739</v>
      </c>
      <c r="Q66" s="624">
        <f t="shared" si="116"/>
        <v>258.93197560924045</v>
      </c>
      <c r="R66" s="5">
        <f t="shared" si="83"/>
        <v>4.4389133877627778</v>
      </c>
      <c r="S66" s="6">
        <f t="shared" si="84"/>
        <v>-0.68020205148938739</v>
      </c>
      <c r="T66" s="4">
        <f t="shared" si="85"/>
        <v>-4.356349393527748</v>
      </c>
      <c r="U66" s="5">
        <f t="shared" si="86"/>
        <v>0.85215727748464432</v>
      </c>
      <c r="V66" s="8">
        <f t="shared" si="117"/>
        <v>-0.68020205148938739</v>
      </c>
      <c r="W66" s="624">
        <f t="shared" si="227"/>
        <v>168.93197560924045</v>
      </c>
      <c r="X66" s="5">
        <f t="shared" si="87"/>
        <v>4.4389133877627778</v>
      </c>
      <c r="Y66" s="7">
        <f t="shared" si="226"/>
        <v>-0.68020205148938739</v>
      </c>
      <c r="Z66" s="21">
        <f t="shared" si="246"/>
        <v>-0.90431837985240726</v>
      </c>
      <c r="AA66" s="5">
        <f t="shared" si="247"/>
        <v>0.39528939134776553</v>
      </c>
      <c r="AB66" s="5">
        <f t="shared" si="248"/>
        <v>-0.16110420524936772</v>
      </c>
      <c r="AC66" s="8">
        <f t="shared" si="88"/>
        <v>1</v>
      </c>
      <c r="AD66" s="9">
        <f t="shared" si="118"/>
        <v>-0.90431837985240726</v>
      </c>
      <c r="AE66" s="5">
        <f t="shared" si="89"/>
        <v>0.39528939134776553</v>
      </c>
      <c r="AF66" s="10">
        <f t="shared" si="90"/>
        <v>-0.16110420524936772</v>
      </c>
      <c r="AG66" s="622">
        <f t="shared" si="91"/>
        <v>67.826148674067596</v>
      </c>
      <c r="AH66" s="623">
        <f t="shared" si="92"/>
        <v>154.7316361831777</v>
      </c>
      <c r="AI66" s="624">
        <f t="shared" si="93"/>
        <v>-80.729005957044194</v>
      </c>
      <c r="AJ66" s="625">
        <f t="shared" si="94"/>
        <v>-113.61076771080721</v>
      </c>
      <c r="AK66" s="4">
        <f t="shared" si="213"/>
        <v>0.96338341923152671</v>
      </c>
      <c r="AL66" s="5">
        <f t="shared" si="95"/>
        <v>-0.2143311050705014</v>
      </c>
      <c r="AM66" s="6">
        <f t="shared" si="96"/>
        <v>-0.16110420524936772</v>
      </c>
      <c r="AN66" s="612">
        <f t="shared" si="97"/>
        <v>-53.069264975503486</v>
      </c>
      <c r="AO66" s="613">
        <f t="shared" si="466"/>
        <v>15.552875995161585</v>
      </c>
      <c r="AP66" s="624">
        <f t="shared" si="99"/>
        <v>-12.542743320047663</v>
      </c>
      <c r="AQ66" s="625">
        <f t="shared" si="249"/>
        <v>2.7916511174025889</v>
      </c>
      <c r="AS66" s="56">
        <f t="shared" si="411"/>
        <v>-191.06802439075955</v>
      </c>
      <c r="AT66" s="77">
        <f t="shared" si="250"/>
        <v>4.161048509792642E-2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6.1280000000000001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0.02</v>
      </c>
      <c r="B67" s="770">
        <v>-0.99822495089399921</v>
      </c>
      <c r="C67" s="771">
        <v>-4.8659803813899574</v>
      </c>
      <c r="D67" s="772">
        <v>-1.2525037775513932</v>
      </c>
      <c r="E67" s="773">
        <v>0.89287740043215058</v>
      </c>
      <c r="F67" s="771">
        <v>-0.43466858916681844</v>
      </c>
      <c r="G67" s="774">
        <v>0.11761447780461647</v>
      </c>
      <c r="H67" s="773">
        <v>0.314</v>
      </c>
      <c r="I67" s="771">
        <v>0.52</v>
      </c>
      <c r="J67" s="601">
        <v>6.1369999999999996</v>
      </c>
      <c r="K67" s="426" t="str">
        <f t="shared" si="225"/>
        <v>1613</v>
      </c>
      <c r="L67" s="327"/>
      <c r="M67" s="173">
        <f t="shared" si="242"/>
        <v>6.1369999999999996</v>
      </c>
      <c r="N67" s="21">
        <f t="shared" si="243"/>
        <v>-0.99822495089399921</v>
      </c>
      <c r="O67" s="5">
        <f t="shared" si="244"/>
        <v>-4.8659803813899574</v>
      </c>
      <c r="P67" s="10">
        <f t="shared" si="245"/>
        <v>-1.2525037775513932</v>
      </c>
      <c r="Q67" s="624">
        <f t="shared" si="116"/>
        <v>258.40697568504106</v>
      </c>
      <c r="R67" s="5">
        <f>IF(M67="","",SQRT(N67^2+O67^2))</f>
        <v>4.9673149814219837</v>
      </c>
      <c r="S67" s="6">
        <f>IF(M67="","",P67)</f>
        <v>-1.2525037775513932</v>
      </c>
      <c r="T67" s="4">
        <f>IF(M67="","",X67*COS(RADIANS(W67)))</f>
        <v>-4.8659803813899565</v>
      </c>
      <c r="U67" s="5">
        <f>IF(M67="","",X67*SIN(RADIANS(W67)))</f>
        <v>0.99822495089400132</v>
      </c>
      <c r="V67" s="8">
        <f>IF(M67="","",Y67)</f>
        <v>-1.2525037775513932</v>
      </c>
      <c r="W67" s="624">
        <f t="shared" si="227"/>
        <v>168.40697568504106</v>
      </c>
      <c r="X67" s="5">
        <f>IF(M67="","",R67)</f>
        <v>4.9673149814219837</v>
      </c>
      <c r="Y67" s="7">
        <f t="shared" si="226"/>
        <v>-1.2525037775513932</v>
      </c>
      <c r="Z67" s="21">
        <f t="shared" si="246"/>
        <v>-0.89287740043215058</v>
      </c>
      <c r="AA67" s="5">
        <f t="shared" si="247"/>
        <v>0.43466858916681844</v>
      </c>
      <c r="AB67" s="5">
        <f t="shared" si="248"/>
        <v>-0.11761447780461647</v>
      </c>
      <c r="AC67" s="8">
        <f>IF(M67="","",SQRT(Z67^2+AA67^2+AB67^2))</f>
        <v>1</v>
      </c>
      <c r="AD67" s="9">
        <f>IF(M67="","",Z67*(1/SQRT(Z67^2+AA67^2+AB67^2)))</f>
        <v>-0.89287740043215058</v>
      </c>
      <c r="AE67" s="5">
        <f>IF(M67="","",AA67*(1/SQRT(Z67^2+AA67^2+AB67^2)))</f>
        <v>0.43466858916681844</v>
      </c>
      <c r="AF67" s="10">
        <f>IF(M67="","",AB67*(1/SQRT(Z67^2+AA67^2+AB67^2)))</f>
        <v>-0.11761447780461647</v>
      </c>
      <c r="AG67" s="622">
        <f>IF(M67="","",DEGREES(ATAN2(-AF67,AE67)))</f>
        <v>74.859228484686525</v>
      </c>
      <c r="AH67" s="623">
        <f>IF(M67="","",DEGREES(ACOS(AD67)))</f>
        <v>153.23707686538418</v>
      </c>
      <c r="AI67" s="624">
        <f>IF(M67="","",DEGREES(-ACOS(-AF67)))</f>
        <v>-83.245552775024137</v>
      </c>
      <c r="AJ67" s="625">
        <f>IF(M67="","",DEGREES(ATAN2(-AE67,AD67)))</f>
        <v>-115.95764231393362</v>
      </c>
      <c r="AK67" s="4">
        <f>IF(M67="","",(COS(RADIANS((90-$Q$8)-W67))*AD67)+(-SIN(RADIANS((90-$Q$8)-W67))*AE67))</f>
        <v>0.96201287062282381</v>
      </c>
      <c r="AL67" s="5">
        <f>IF(M67="","",(SIN(RADIANS((90-$Q$8)-W67))*AD67)+(COS(RADIANS((90-$Q$8)-W67))*AE67))</f>
        <v>-0.24636978582362998</v>
      </c>
      <c r="AM67" s="6">
        <f>IF(M67="","",AF67)</f>
        <v>-0.11761447780461647</v>
      </c>
      <c r="AN67" s="612">
        <f>IF(M67="","",DEGREES(ATAN2(-AM67,AL67)))</f>
        <v>-64.480656106121472</v>
      </c>
      <c r="AO67" s="613">
        <f t="shared" si="466"/>
        <v>15.84310659715274</v>
      </c>
      <c r="AP67" s="624">
        <f>IF(M67="","",DEGREES(ATAN2(AK67,AL67)))</f>
        <v>-14.364617998974662</v>
      </c>
      <c r="AQ67" s="625">
        <f t="shared" si="249"/>
        <v>2.4950848656148139</v>
      </c>
      <c r="AS67" s="56">
        <f t="shared" si="411"/>
        <v>-191.59302431495894</v>
      </c>
      <c r="AT67" s="77">
        <f t="shared" si="250"/>
        <v>-0.52870790791710387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6.1369999999999996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0.02</v>
      </c>
      <c r="B68" s="770">
        <v>-1.1180082758969199</v>
      </c>
      <c r="C68" s="771">
        <v>-5.2498915269314805</v>
      </c>
      <c r="D68" s="772">
        <v>-1.921305794658277</v>
      </c>
      <c r="E68" s="773">
        <v>0.87671150555391986</v>
      </c>
      <c r="F68" s="771">
        <v>-0.47389880305674154</v>
      </c>
      <c r="G68" s="774">
        <v>8.244307424379041E-2</v>
      </c>
      <c r="H68" s="773">
        <v>0.314</v>
      </c>
      <c r="I68" s="771">
        <v>0.52</v>
      </c>
      <c r="J68" s="601">
        <v>6.1459999999999999</v>
      </c>
      <c r="K68" s="426" t="str">
        <f t="shared" si="225"/>
        <v>1613</v>
      </c>
      <c r="L68" s="327"/>
      <c r="M68" s="173">
        <f t="shared" si="242"/>
        <v>6.1459999999999999</v>
      </c>
      <c r="N68" s="21">
        <f t="shared" si="243"/>
        <v>-1.1180082758969199</v>
      </c>
      <c r="O68" s="5">
        <f t="shared" si="244"/>
        <v>-5.2498915269314805</v>
      </c>
      <c r="P68" s="10">
        <f t="shared" si="245"/>
        <v>-1.921305794658277</v>
      </c>
      <c r="Q68" s="624">
        <f t="shared" si="116"/>
        <v>257.97797574698097</v>
      </c>
      <c r="R68" s="5">
        <f>IF(M68="","",SQRT(N68^2+O68^2))</f>
        <v>5.3676161887304268</v>
      </c>
      <c r="S68" s="6">
        <f>IF(M68="","",P68)</f>
        <v>-1.921305794658277</v>
      </c>
      <c r="T68" s="4">
        <f>IF(M68="","",X68*COS(RADIANS(W68)))</f>
        <v>-5.2498915269314796</v>
      </c>
      <c r="U68" s="5">
        <f>IF(M68="","",X68*SIN(RADIANS(W68)))</f>
        <v>1.1180082758969232</v>
      </c>
      <c r="V68" s="8">
        <f>IF(M68="","",Y68)</f>
        <v>-1.921305794658277</v>
      </c>
      <c r="W68" s="624">
        <f t="shared" si="227"/>
        <v>167.97797574698097</v>
      </c>
      <c r="X68" s="5">
        <f>IF(M68="","",R68)</f>
        <v>5.3676161887304268</v>
      </c>
      <c r="Y68" s="7">
        <f t="shared" si="226"/>
        <v>-1.921305794658277</v>
      </c>
      <c r="Z68" s="21">
        <f t="shared" si="246"/>
        <v>-0.87671150555391986</v>
      </c>
      <c r="AA68" s="5">
        <f t="shared" si="247"/>
        <v>0.47389880305674154</v>
      </c>
      <c r="AB68" s="5">
        <f t="shared" si="248"/>
        <v>-8.244307424379041E-2</v>
      </c>
      <c r="AC68" s="8">
        <f>IF(M68="","",SQRT(Z68^2+AA68^2+AB68^2))</f>
        <v>1</v>
      </c>
      <c r="AD68" s="9">
        <f>IF(M68="","",Z68*(1/SQRT(Z68^2+AA68^2+AB68^2)))</f>
        <v>-0.87671150555391986</v>
      </c>
      <c r="AE68" s="5">
        <f>IF(M68="","",AA68*(1/SQRT(Z68^2+AA68^2+AB68^2)))</f>
        <v>0.47389880305674154</v>
      </c>
      <c r="AF68" s="10">
        <f>IF(M68="","",AB68*(1/SQRT(Z68^2+AA68^2+AB68^2)))</f>
        <v>-8.244307424379041E-2</v>
      </c>
      <c r="AG68" s="622">
        <f>IF(M68="","",DEGREES(ATAN2(-AF68,AE68)))</f>
        <v>80.131154672322197</v>
      </c>
      <c r="AH68" s="623">
        <f>IF(M68="","",DEGREES(ACOS(AD68)))</f>
        <v>151.24818344159556</v>
      </c>
      <c r="AI68" s="624">
        <f>IF(M68="","",DEGREES(-ACOS(-AF68)))</f>
        <v>-85.270992375517309</v>
      </c>
      <c r="AJ68" s="625">
        <f>IF(M68="","",DEGREES(ATAN2(-AE68,AD68)))</f>
        <v>-118.39305441702169</v>
      </c>
      <c r="AK68" s="4">
        <f>IF(M68="","",(COS(RADIANS((90-$Q$8)-W68))*AD68)+(-SIN(RADIANS((90-$Q$8)-W68))*AE68))</f>
        <v>0.95619040331195915</v>
      </c>
      <c r="AL68" s="5">
        <f>IF(M68="","",(SIN(RADIANS((90-$Q$8)-W68))*AD68)+(COS(RADIANS((90-$Q$8)-W68))*AE68))</f>
        <v>-0.28089687097464444</v>
      </c>
      <c r="AM68" s="6">
        <f>IF(M68="","",AF68)</f>
        <v>-8.244307424379041E-2</v>
      </c>
      <c r="AN68" s="612">
        <f>IF(M68="","",DEGREES(ATAN2(-AM68,AL68)))</f>
        <v>-73.643065674459265</v>
      </c>
      <c r="AO68" s="613">
        <f t="shared" si="466"/>
        <v>17.022395254955313</v>
      </c>
      <c r="AP68" s="624">
        <f>IF(M68="","",DEGREES(ATAN2(AK68,AL68)))</f>
        <v>-16.371030164002665</v>
      </c>
      <c r="AQ68" s="625">
        <f t="shared" si="249"/>
        <v>2.3092182318492953</v>
      </c>
      <c r="AS68" s="56">
        <f t="shared" si="411"/>
        <v>-192.02202425301903</v>
      </c>
      <c r="AT68" s="77">
        <f t="shared" si="250"/>
        <v>-1.1958892585913161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6.1459999999999999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0.02</v>
      </c>
      <c r="B69" s="770">
        <v>-1.2051298851435501</v>
      </c>
      <c r="C69" s="771">
        <v>-5.5133425727527108</v>
      </c>
      <c r="D69" s="772">
        <v>-2.6506079942337109</v>
      </c>
      <c r="E69" s="773">
        <v>0.85451068357620241</v>
      </c>
      <c r="F69" s="771">
        <v>-0.51685172306228755</v>
      </c>
      <c r="G69" s="774">
        <v>5.1728019696057947E-2</v>
      </c>
      <c r="H69" s="773">
        <v>0.314</v>
      </c>
      <c r="I69" s="771">
        <v>0.52</v>
      </c>
      <c r="J69" s="601">
        <v>6.1550000000000002</v>
      </c>
      <c r="K69" s="426" t="str">
        <f t="shared" si="225"/>
        <v>1613</v>
      </c>
      <c r="L69" s="327"/>
      <c r="M69" s="173">
        <f t="shared" si="242"/>
        <v>6.1550000000000002</v>
      </c>
      <c r="N69" s="21">
        <f t="shared" si="243"/>
        <v>-1.2051298851435501</v>
      </c>
      <c r="O69" s="5">
        <f t="shared" si="244"/>
        <v>-5.5133425727527108</v>
      </c>
      <c r="P69" s="10">
        <f t="shared" si="245"/>
        <v>-2.6506079942337109</v>
      </c>
      <c r="Q69" s="624">
        <f t="shared" si="116"/>
        <v>257.66997579145072</v>
      </c>
      <c r="R69" s="5">
        <f t="shared" si="83"/>
        <v>5.6435170208473355</v>
      </c>
      <c r="S69" s="6">
        <f t="shared" si="84"/>
        <v>-2.6506079942337109</v>
      </c>
      <c r="T69" s="4">
        <f t="shared" si="85"/>
        <v>-5.5133425727527117</v>
      </c>
      <c r="U69" s="5">
        <f t="shared" si="86"/>
        <v>1.2051298851435461</v>
      </c>
      <c r="V69" s="8">
        <f t="shared" si="117"/>
        <v>-2.6506079942337109</v>
      </c>
      <c r="W69" s="624">
        <f t="shared" si="227"/>
        <v>167.66997579145072</v>
      </c>
      <c r="X69" s="5">
        <f t="shared" si="87"/>
        <v>5.6435170208473355</v>
      </c>
      <c r="Y69" s="7">
        <f t="shared" si="226"/>
        <v>-2.6506079942337109</v>
      </c>
      <c r="Z69" s="21">
        <f t="shared" si="246"/>
        <v>-0.85451068357620241</v>
      </c>
      <c r="AA69" s="5">
        <f t="shared" si="247"/>
        <v>0.51685172306228755</v>
      </c>
      <c r="AB69" s="5">
        <f t="shared" si="248"/>
        <v>-5.1728019696057947E-2</v>
      </c>
      <c r="AC69" s="8">
        <f t="shared" si="88"/>
        <v>1</v>
      </c>
      <c r="AD69" s="9">
        <f t="shared" si="118"/>
        <v>-0.85451068357620241</v>
      </c>
      <c r="AE69" s="5">
        <f t="shared" si="89"/>
        <v>0.51685172306228755</v>
      </c>
      <c r="AF69" s="10">
        <f t="shared" si="90"/>
        <v>-5.1728019696057947E-2</v>
      </c>
      <c r="AG69" s="622">
        <f t="shared" si="91"/>
        <v>84.284704066985725</v>
      </c>
      <c r="AH69" s="623">
        <f t="shared" si="92"/>
        <v>148.70571918779152</v>
      </c>
      <c r="AI69" s="624">
        <f t="shared" si="93"/>
        <v>-87.034879445936866</v>
      </c>
      <c r="AJ69" s="625">
        <f t="shared" si="94"/>
        <v>-121.16769222065857</v>
      </c>
      <c r="AK69" s="4">
        <f t="shared" si="213"/>
        <v>0.94517010732469109</v>
      </c>
      <c r="AL69" s="5">
        <f t="shared" si="95"/>
        <v>-0.32245570269132529</v>
      </c>
      <c r="AM69" s="6">
        <f t="shared" si="96"/>
        <v>-5.1728019696057947E-2</v>
      </c>
      <c r="AN69" s="612">
        <f t="shared" si="97"/>
        <v>-80.886317205808368</v>
      </c>
      <c r="AO69" s="613">
        <f t="shared" si="466"/>
        <v>19.061230895425862</v>
      </c>
      <c r="AP69" s="624">
        <f t="shared" si="99"/>
        <v>-18.837668012109294</v>
      </c>
      <c r="AQ69" s="625">
        <f t="shared" si="249"/>
        <v>2.1964383451272442</v>
      </c>
      <c r="AS69" s="56">
        <f t="shared" si="411"/>
        <v>-192.33002420854928</v>
      </c>
      <c r="AT69" s="77">
        <f t="shared" si="250"/>
        <v>-1.9240279027791913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6.1550000000000002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0.02</v>
      </c>
      <c r="B70" s="770">
        <v>-1.2562670495377146</v>
      </c>
      <c r="C70" s="771">
        <v>-5.6624337554307003</v>
      </c>
      <c r="D70" s="772">
        <v>-3.4145102981630591</v>
      </c>
      <c r="E70" s="773">
        <v>0.80515015618755792</v>
      </c>
      <c r="F70" s="771">
        <v>-0.59221871493241196</v>
      </c>
      <c r="G70" s="774">
        <v>3.1783953104572903E-2</v>
      </c>
      <c r="H70" s="773">
        <v>0.314</v>
      </c>
      <c r="I70" s="771">
        <v>0.52</v>
      </c>
      <c r="J70" s="601">
        <v>6.1639999999999997</v>
      </c>
      <c r="K70" s="426" t="str">
        <f t="shared" si="225"/>
        <v>1613</v>
      </c>
      <c r="L70" s="327"/>
      <c r="M70" s="173">
        <f t="shared" si="242"/>
        <v>6.1639999999999997</v>
      </c>
      <c r="N70" s="21">
        <f t="shared" si="243"/>
        <v>-1.2562670495377146</v>
      </c>
      <c r="O70" s="5">
        <f t="shared" si="244"/>
        <v>-5.6624337554307003</v>
      </c>
      <c r="P70" s="10">
        <f t="shared" si="245"/>
        <v>-3.4145102981630591</v>
      </c>
      <c r="Q70" s="624">
        <f t="shared" si="116"/>
        <v>257.49097581729507</v>
      </c>
      <c r="R70" s="5">
        <f t="shared" si="83"/>
        <v>5.8001174931543602</v>
      </c>
      <c r="S70" s="6">
        <f t="shared" si="84"/>
        <v>-3.4145102981630591</v>
      </c>
      <c r="T70" s="4">
        <f t="shared" si="85"/>
        <v>-5.6624337554306994</v>
      </c>
      <c r="U70" s="5">
        <f t="shared" si="86"/>
        <v>1.2562670495377164</v>
      </c>
      <c r="V70" s="8">
        <f t="shared" si="117"/>
        <v>-3.4145102981630591</v>
      </c>
      <c r="W70" s="624">
        <f t="shared" si="227"/>
        <v>167.49097581729507</v>
      </c>
      <c r="X70" s="5">
        <f t="shared" si="87"/>
        <v>5.8001174931543602</v>
      </c>
      <c r="Y70" s="7">
        <f t="shared" si="226"/>
        <v>-3.4145102981630591</v>
      </c>
      <c r="Z70" s="21">
        <f t="shared" si="246"/>
        <v>-0.80515015618755792</v>
      </c>
      <c r="AA70" s="5">
        <f t="shared" si="247"/>
        <v>0.59221871493241196</v>
      </c>
      <c r="AB70" s="5">
        <f t="shared" si="248"/>
        <v>-3.1783953104572903E-2</v>
      </c>
      <c r="AC70" s="8">
        <f t="shared" si="88"/>
        <v>1</v>
      </c>
      <c r="AD70" s="9">
        <f t="shared" si="118"/>
        <v>-0.80515015618755792</v>
      </c>
      <c r="AE70" s="5">
        <f t="shared" si="89"/>
        <v>0.59221871493241196</v>
      </c>
      <c r="AF70" s="10">
        <f t="shared" si="90"/>
        <v>-3.1783953104572903E-2</v>
      </c>
      <c r="AG70" s="622">
        <f t="shared" si="91"/>
        <v>86.92792399482056</v>
      </c>
      <c r="AH70" s="623">
        <f t="shared" si="92"/>
        <v>143.62475921434361</v>
      </c>
      <c r="AI70" s="624">
        <f t="shared" si="93"/>
        <v>-88.178606875181671</v>
      </c>
      <c r="AJ70" s="625">
        <f t="shared" si="94"/>
        <v>-126.33590296216425</v>
      </c>
      <c r="AK70" s="4">
        <f t="shared" si="213"/>
        <v>0.91430807850615292</v>
      </c>
      <c r="AL70" s="5">
        <f t="shared" si="95"/>
        <v>-0.40377037769434365</v>
      </c>
      <c r="AM70" s="6">
        <f t="shared" si="96"/>
        <v>-3.1783953104572903E-2</v>
      </c>
      <c r="AN70" s="612">
        <f t="shared" si="97"/>
        <v>-85.499078350503652</v>
      </c>
      <c r="AO70" s="613">
        <f t="shared" si="466"/>
        <v>23.892344645103773</v>
      </c>
      <c r="AP70" s="624">
        <f t="shared" si="99"/>
        <v>-23.826878779459321</v>
      </c>
      <c r="AQ70" s="625">
        <f t="shared" si="249"/>
        <v>2.1371912867534717</v>
      </c>
      <c r="AS70" s="56">
        <f t="shared" si="411"/>
        <v>-192.50902418270493</v>
      </c>
      <c r="AT70" s="77">
        <f t="shared" si="250"/>
        <v>-2.6872539845839514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6.1639999999999997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0.02</v>
      </c>
      <c r="B71" s="770">
        <v>-1.2817030428370495</v>
      </c>
      <c r="C71" s="771">
        <v>-5.7349387589069174</v>
      </c>
      <c r="D71" s="772">
        <v>-4.1906126388877185</v>
      </c>
      <c r="E71" s="773">
        <v>0.7361204797436377</v>
      </c>
      <c r="F71" s="771">
        <v>-0.6768505295129672</v>
      </c>
      <c r="G71" s="774">
        <v>1.133974335964521E-7</v>
      </c>
      <c r="H71" s="773">
        <v>0.314</v>
      </c>
      <c r="I71" s="771">
        <v>0.52</v>
      </c>
      <c r="J71" s="601">
        <v>6.173</v>
      </c>
      <c r="K71" s="426" t="str">
        <f t="shared" si="225"/>
        <v>1613</v>
      </c>
      <c r="L71" s="327"/>
      <c r="M71" s="173">
        <f t="shared" si="242"/>
        <v>6.173</v>
      </c>
      <c r="N71" s="21">
        <f t="shared" si="243"/>
        <v>-1.2817030428370495</v>
      </c>
      <c r="O71" s="5">
        <f t="shared" si="244"/>
        <v>-5.7349387589069174</v>
      </c>
      <c r="P71" s="10">
        <f t="shared" si="245"/>
        <v>-4.1906126388877185</v>
      </c>
      <c r="Q71" s="624">
        <f t="shared" si="116"/>
        <v>257.40197583014509</v>
      </c>
      <c r="R71" s="5">
        <f t="shared" si="83"/>
        <v>5.8764177232758534</v>
      </c>
      <c r="S71" s="6">
        <f t="shared" si="84"/>
        <v>-4.1906126388877185</v>
      </c>
      <c r="T71" s="4">
        <f t="shared" si="85"/>
        <v>-5.7349387589069165</v>
      </c>
      <c r="U71" s="5">
        <f t="shared" si="86"/>
        <v>1.2817030428370506</v>
      </c>
      <c r="V71" s="8">
        <f t="shared" si="117"/>
        <v>-4.1906126388877185</v>
      </c>
      <c r="W71" s="624">
        <f t="shared" si="227"/>
        <v>167.40197583014509</v>
      </c>
      <c r="X71" s="5">
        <f t="shared" si="87"/>
        <v>5.8764177232758534</v>
      </c>
      <c r="Y71" s="7">
        <f t="shared" si="226"/>
        <v>-4.1906126388877185</v>
      </c>
      <c r="Z71" s="21">
        <f t="shared" si="246"/>
        <v>-0.7361204797436377</v>
      </c>
      <c r="AA71" s="5">
        <f t="shared" si="247"/>
        <v>0.6768505295129672</v>
      </c>
      <c r="AB71" s="5">
        <f t="shared" si="248"/>
        <v>-1.133974335964521E-7</v>
      </c>
      <c r="AC71" s="8">
        <f t="shared" si="88"/>
        <v>1</v>
      </c>
      <c r="AD71" s="9">
        <f t="shared" si="118"/>
        <v>-0.7361204797436377</v>
      </c>
      <c r="AE71" s="5">
        <f t="shared" si="89"/>
        <v>0.6768505295129672</v>
      </c>
      <c r="AF71" s="10">
        <f t="shared" si="90"/>
        <v>-1.133974335964521E-7</v>
      </c>
      <c r="AG71" s="622">
        <f t="shared" si="91"/>
        <v>89.999990400843217</v>
      </c>
      <c r="AH71" s="623">
        <f t="shared" si="92"/>
        <v>137.4019801616088</v>
      </c>
      <c r="AI71" s="624">
        <f t="shared" si="93"/>
        <v>-89.999993502805637</v>
      </c>
      <c r="AJ71" s="625">
        <f t="shared" si="94"/>
        <v>-132.59801983839077</v>
      </c>
      <c r="AK71" s="4">
        <f t="shared" si="213"/>
        <v>0.86602544158358574</v>
      </c>
      <c r="AL71" s="5">
        <f t="shared" si="95"/>
        <v>-0.49999993452993829</v>
      </c>
      <c r="AM71" s="6">
        <f t="shared" si="96"/>
        <v>-1.133974335964521E-7</v>
      </c>
      <c r="AN71" s="612">
        <f t="shared" si="97"/>
        <v>-89.999987005609597</v>
      </c>
      <c r="AO71" s="613">
        <f t="shared" si="466"/>
        <v>29.99999566853651</v>
      </c>
      <c r="AP71" s="624">
        <f t="shared" si="99"/>
        <v>-29.999995668535888</v>
      </c>
      <c r="AQ71" s="625">
        <f t="shared" si="249"/>
        <v>2.1094669302611715</v>
      </c>
      <c r="AS71" s="56">
        <f t="shared" si="411"/>
        <v>-192.59802416985491</v>
      </c>
      <c r="AT71" s="77">
        <f t="shared" si="250"/>
        <v>-3.4630201031349332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6.173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</v>
      </c>
      <c r="B72" s="770">
        <v>-1.9193088561139451</v>
      </c>
      <c r="C72" s="771">
        <v>-4.0339984115787075</v>
      </c>
      <c r="D72" s="772">
        <v>-0.64900195738990352</v>
      </c>
      <c r="E72" s="773">
        <v>-0.26082979746331719</v>
      </c>
      <c r="F72" s="771">
        <v>-0.54821192455376733</v>
      </c>
      <c r="G72" s="774">
        <v>0.79462664348252232</v>
      </c>
      <c r="H72" s="773">
        <v>0.25700000000000001</v>
      </c>
      <c r="I72" s="771">
        <v>0.41499999999999992</v>
      </c>
      <c r="J72" s="601">
        <v>6.2279999999999998</v>
      </c>
      <c r="K72" s="426" t="str">
        <f t="shared" si="225"/>
        <v>Knuckle</v>
      </c>
      <c r="L72" s="327"/>
      <c r="M72" s="173">
        <f t="shared" si="242"/>
        <v>6.2279999999999998</v>
      </c>
      <c r="N72" s="21">
        <f t="shared" si="243"/>
        <v>-1.9193088561139451</v>
      </c>
      <c r="O72" s="5">
        <f t="shared" si="244"/>
        <v>-4.0339984115787075</v>
      </c>
      <c r="P72" s="10">
        <f t="shared" si="245"/>
        <v>-0.64900195738990352</v>
      </c>
      <c r="Q72" s="624">
        <f t="shared" si="116"/>
        <v>244.55567768492108</v>
      </c>
      <c r="R72" s="5">
        <f t="shared" si="83"/>
        <v>4.4673134734174358</v>
      </c>
      <c r="S72" s="6">
        <f t="shared" si="84"/>
        <v>-0.64900195738990352</v>
      </c>
      <c r="T72" s="4">
        <f t="shared" si="85"/>
        <v>-4.0339984115787075</v>
      </c>
      <c r="U72" s="5">
        <f t="shared" si="86"/>
        <v>1.9193088561139442</v>
      </c>
      <c r="V72" s="8">
        <f t="shared" si="117"/>
        <v>-0.64900195738990352</v>
      </c>
      <c r="W72" s="624">
        <f t="shared" si="227"/>
        <v>154.55567768492108</v>
      </c>
      <c r="X72" s="5">
        <f t="shared" si="87"/>
        <v>4.4673134734174358</v>
      </c>
      <c r="Y72" s="7">
        <f t="shared" si="226"/>
        <v>-0.64900195738990352</v>
      </c>
      <c r="Z72" s="21">
        <f t="shared" si="246"/>
        <v>0.26082979746331719</v>
      </c>
      <c r="AA72" s="5">
        <f t="shared" si="247"/>
        <v>0.54821192455376733</v>
      </c>
      <c r="AB72" s="5">
        <f t="shared" si="248"/>
        <v>-0.79462664348252232</v>
      </c>
      <c r="AC72" s="8">
        <f t="shared" si="88"/>
        <v>1</v>
      </c>
      <c r="AD72" s="9">
        <f t="shared" si="118"/>
        <v>0.26082979746331719</v>
      </c>
      <c r="AE72" s="5">
        <f t="shared" si="89"/>
        <v>0.54821192455376733</v>
      </c>
      <c r="AF72" s="10">
        <f t="shared" si="90"/>
        <v>-0.79462664348252232</v>
      </c>
      <c r="AG72" s="622">
        <f t="shared" si="91"/>
        <v>34.601745110108354</v>
      </c>
      <c r="AH72" s="623">
        <f t="shared" si="92"/>
        <v>74.880694922318639</v>
      </c>
      <c r="AI72" s="624">
        <f t="shared" si="93"/>
        <v>-37.379994602998444</v>
      </c>
      <c r="AJ72" s="625">
        <f t="shared" si="94"/>
        <v>154.55569908901282</v>
      </c>
      <c r="AK72" s="4">
        <f t="shared" si="213"/>
        <v>2.2679489664056973E-7</v>
      </c>
      <c r="AL72" s="5">
        <f t="shared" si="95"/>
        <v>-0.60709842486012844</v>
      </c>
      <c r="AM72" s="6">
        <f t="shared" si="96"/>
        <v>-0.79462664348252232</v>
      </c>
      <c r="AN72" s="612">
        <f t="shared" si="97"/>
        <v>-37.379994602996526</v>
      </c>
      <c r="AO72" s="613">
        <f t="shared" si="466"/>
        <v>0</v>
      </c>
      <c r="AP72" s="624">
        <f t="shared" si="99"/>
        <v>-89.999978595908246</v>
      </c>
      <c r="AQ72" s="625">
        <f t="shared" si="249"/>
        <v>2.7739315406609544</v>
      </c>
      <c r="AS72" s="56">
        <f t="shared" si="411"/>
        <v>-205.44432231507892</v>
      </c>
      <c r="AT72" s="77">
        <f t="shared" si="250"/>
        <v>0.12712103802261687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>
        <f>IFERROR(IF($IU72="","",IF($IU72&lt;(((Settings!$C$19/2)*-1)*$IE$8),"",1)),"")</f>
        <v>1</v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6.2279999999999998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6.1280000000000001</v>
      </c>
      <c r="II72" s="800" cm="1">
        <f t="array" ref="II72">IFERROR(IF($IH72&lt;1,$IH72+LARGE((IF($M$9:$M$150="",0,$M$9:$M$150)-MOD(IF($M$9:$M$150="",0,$M$9:$M$150),1)),1),$IH72),"")</f>
        <v>6.1280000000000001</v>
      </c>
      <c r="IJ72" s="839" t="str">
        <f t="shared" si="386"/>
        <v>1613</v>
      </c>
      <c r="IK72" s="839" t="str">
        <f t="shared" si="387"/>
        <v>Knuckle</v>
      </c>
      <c r="IL72" s="791">
        <f t="shared" si="228"/>
        <v>14.376297924319374</v>
      </c>
      <c r="IM72" s="830">
        <v>3.5775796055790899E-3</v>
      </c>
      <c r="IN72" s="5">
        <f t="shared" si="229"/>
        <v>0.08</v>
      </c>
      <c r="IO72" s="852">
        <v>40</v>
      </c>
      <c r="IP72" s="9">
        <f t="shared" si="230"/>
        <v>-4.4389133877627778</v>
      </c>
      <c r="IQ72" s="5">
        <f t="shared" si="231"/>
        <v>-0.68020205148938739</v>
      </c>
      <c r="IR72" s="5">
        <f t="shared" si="388"/>
        <v>0.314</v>
      </c>
      <c r="IS72" s="5">
        <f t="shared" si="232"/>
        <v>0.30250239363869941</v>
      </c>
      <c r="IT72" s="791">
        <f t="shared" si="233"/>
        <v>53.069264975503486</v>
      </c>
      <c r="IU72" s="9">
        <f t="shared" si="234"/>
        <v>-4.4673134734174358</v>
      </c>
      <c r="IV72" s="5">
        <f t="shared" si="235"/>
        <v>-0.64900195738990352</v>
      </c>
      <c r="IW72" s="5">
        <f t="shared" si="389"/>
        <v>0.25700000000000001</v>
      </c>
      <c r="IX72" s="5">
        <f t="shared" si="236"/>
        <v>0.25700000000000001</v>
      </c>
      <c r="IY72" s="833">
        <f t="shared" si="237"/>
        <v>37.379994602996526</v>
      </c>
    </row>
    <row r="73" spans="1:259" ht="15" customHeight="1" x14ac:dyDescent="0.25">
      <c r="A73" s="84">
        <f t="shared" si="82"/>
        <v>0.02</v>
      </c>
      <c r="B73" s="770">
        <v>-2.2158825983804999</v>
      </c>
      <c r="C73" s="771">
        <v>-4.4879886881213542</v>
      </c>
      <c r="D73" s="772">
        <v>-1.2191036768166894</v>
      </c>
      <c r="E73" s="773">
        <v>0.70404904809857927</v>
      </c>
      <c r="F73" s="771">
        <v>-0.68800860137238473</v>
      </c>
      <c r="G73" s="774">
        <v>0.17595198864775391</v>
      </c>
      <c r="H73" s="773">
        <v>0.26600000000000001</v>
      </c>
      <c r="I73" s="771">
        <v>0.52</v>
      </c>
      <c r="J73" s="601">
        <v>6.2370000000000001</v>
      </c>
      <c r="K73" s="426" t="str">
        <f t="shared" si="225"/>
        <v>1313</v>
      </c>
      <c r="L73" s="327"/>
      <c r="M73" s="173">
        <f t="shared" ref="M73:M104" si="469">IF(J73="","",VALUE(J73))</f>
        <v>6.2370000000000001</v>
      </c>
      <c r="N73" s="21">
        <f t="shared" ref="N73:N104" si="470">IF(M73="","",B73)</f>
        <v>-2.2158825983804999</v>
      </c>
      <c r="O73" s="5">
        <f t="shared" ref="O73:O104" si="471">IF(M73="","",C73)</f>
        <v>-4.4879886881213542</v>
      </c>
      <c r="P73" s="10">
        <f t="shared" ref="P73:P104" si="472">IF(M73="","",D73)</f>
        <v>-1.2191036768166894</v>
      </c>
      <c r="Q73" s="624">
        <f t="shared" si="116"/>
        <v>243.72277780517692</v>
      </c>
      <c r="R73" s="5">
        <f>IF(M73="","",SQRT(N73^2+O73^2))</f>
        <v>5.0052150957287287</v>
      </c>
      <c r="S73" s="6">
        <f>IF(M73="","",P73)</f>
        <v>-1.2191036768166894</v>
      </c>
      <c r="T73" s="4">
        <f>IF(M73="","",X73*COS(RADIANS(W73)))</f>
        <v>-4.4879886881213533</v>
      </c>
      <c r="U73" s="5">
        <f>IF(M73="","",X73*SIN(RADIANS(W73)))</f>
        <v>2.2158825983805008</v>
      </c>
      <c r="V73" s="8">
        <f>IF(M73="","",Y73)</f>
        <v>-1.2191036768166894</v>
      </c>
      <c r="W73" s="624">
        <f t="shared" si="227"/>
        <v>153.72277780517692</v>
      </c>
      <c r="X73" s="5">
        <f>IF(M73="","",R73)</f>
        <v>5.0052150957287287</v>
      </c>
      <c r="Y73" s="7">
        <f t="shared" si="226"/>
        <v>-1.2191036768166894</v>
      </c>
      <c r="Z73" s="21">
        <f t="shared" ref="Z73:Z104" si="473">IF(M73="","",-E73)</f>
        <v>-0.70404904809857927</v>
      </c>
      <c r="AA73" s="5">
        <f t="shared" ref="AA73:AA104" si="474">IF(M73="","",-F73)</f>
        <v>0.68800860137238473</v>
      </c>
      <c r="AB73" s="5">
        <f t="shared" ref="AB73:AB104" si="475">IF(M73="","",-G73)</f>
        <v>-0.17595198864775391</v>
      </c>
      <c r="AC73" s="8">
        <f>IF(M73="","",SQRT(Z73^2+AA73^2+AB73^2))</f>
        <v>1</v>
      </c>
      <c r="AD73" s="9">
        <f>IF(M73="","",Z73*(1/SQRT(Z73^2+AA73^2+AB73^2)))</f>
        <v>-0.70404904809857927</v>
      </c>
      <c r="AE73" s="5">
        <f>IF(M73="","",AA73*(1/SQRT(Z73^2+AA73^2+AB73^2)))</f>
        <v>0.68800860137238473</v>
      </c>
      <c r="AF73" s="10">
        <f>IF(M73="","",AB73*(1/SQRT(Z73^2+AA73^2+AB73^2)))</f>
        <v>-0.17595198864775391</v>
      </c>
      <c r="AG73" s="622">
        <f>IF(M73="","",DEGREES(ATAN2(-AF73,AE73)))</f>
        <v>75.654592707189508</v>
      </c>
      <c r="AH73" s="623">
        <f>IF(M73="","",DEGREES(ACOS(AD73)))</f>
        <v>134.75276920229584</v>
      </c>
      <c r="AI73" s="624">
        <f>IF(M73="","",DEGREES(-ACOS(-AF73)))</f>
        <v>-79.865937284264234</v>
      </c>
      <c r="AJ73" s="625">
        <f>IF(M73="","",DEGREES(ATAN2(-AE73,AD73)))</f>
        <v>-134.33981956373347</v>
      </c>
      <c r="AK73" s="4">
        <f>IF(M73="","",(COS(RADIANS((90-$Q$8)-W73))*AD73)+(-SIN(RADIANS((90-$Q$8)-W73))*AE73))</f>
        <v>0.93588594325619034</v>
      </c>
      <c r="AL73" s="5">
        <f>IF(M73="","",(SIN(RADIANS((90-$Q$8)-W73))*AD73)+(COS(RADIANS((90-$Q$8)-W73))*AE73))</f>
        <v>-0.30521860838810494</v>
      </c>
      <c r="AM73" s="6">
        <f>IF(M73="","",AF73)</f>
        <v>-0.17595198864775391</v>
      </c>
      <c r="AN73" s="612">
        <f>IF(M73="","",DEGREES(ATAN2(-AM73,AL73)))</f>
        <v>-60.037472406278567</v>
      </c>
      <c r="AO73" s="613">
        <f t="shared" si="466"/>
        <v>20.628250202531554</v>
      </c>
      <c r="AP73" s="624">
        <f>IF(M73="","",DEGREES(ATAN2(AK73,AL73)))</f>
        <v>-18.062597368910406</v>
      </c>
      <c r="AQ73" s="625">
        <f t="shared" ref="AQ73:AQ104" si="476">IF(M73="","",DEGREES(ATAN(($AS$5*SIN(RADIANS(90)))/(($X73*2*PI())-($AS$5*COS(RADIANS(90)))))))</f>
        <v>2.4762153776470441</v>
      </c>
      <c r="AS73" s="56">
        <f t="shared" si="411"/>
        <v>-206.27722219482308</v>
      </c>
      <c r="AT73" s="77">
        <f t="shared" ref="AT73:AT104" si="477">IF(M73="","",Y73+(((AS73-$AS$9)*$AS$6)*-1))</f>
        <v>-0.43983417074735776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6.2370000000000001</v>
      </c>
      <c r="IH73" s="797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6.1369999999999996</v>
      </c>
      <c r="II73" s="800" cm="1">
        <f t="array" ref="II73">IFERROR(IF($IH73&lt;1,$IH73+LARGE((IF($M$9:$M$150="",0,$M$9:$M$150)-MOD(IF($M$9:$M$150="",0,$M$9:$M$150),1)),1),$IH73),"")</f>
        <v>6.1369999999999996</v>
      </c>
      <c r="IJ73" s="839" t="str">
        <f t="shared" ref="IJ73:IJ104" si="523">IF(ISNUMBER($II73),INDEX($K$9:$K$150,MATCH($II73,$M$9:$M$150,0)),"")</f>
        <v>1613</v>
      </c>
      <c r="IK73" s="839" t="str">
        <f t="shared" ref="IK73:IK104" si="524">IF(ISNUMBER($II73),INDEX($K$9:$K$150,MATCH($IG73,$M$9:$M$150,0)),"")</f>
        <v>1313</v>
      </c>
      <c r="IL73" s="791">
        <f t="shared" si="228"/>
        <v>14.684197879864143</v>
      </c>
      <c r="IM73" s="830">
        <v>2.8381996299172E-3</v>
      </c>
      <c r="IN73" s="5">
        <f t="shared" si="229"/>
        <v>0.06</v>
      </c>
      <c r="IO73" s="852">
        <v>30</v>
      </c>
      <c r="IP73" s="9">
        <f t="shared" si="230"/>
        <v>-4.9673149814219837</v>
      </c>
      <c r="IQ73" s="5">
        <f t="shared" si="231"/>
        <v>-1.2525037775513932</v>
      </c>
      <c r="IR73" s="5">
        <f t="shared" ref="IR73:IR104" si="525">IF(ISNUMBER($II73),INDEX($H$9:$H$150,MATCH($II73,$M$9:$M$150,0)),"")</f>
        <v>0.314</v>
      </c>
      <c r="IS73" s="5">
        <f t="shared" si="232"/>
        <v>0.3020720413755667</v>
      </c>
      <c r="IT73" s="791">
        <f t="shared" si="233"/>
        <v>64.480656106121472</v>
      </c>
      <c r="IU73" s="9">
        <f t="shared" si="234"/>
        <v>-5.0052150957287287</v>
      </c>
      <c r="IV73" s="5">
        <f t="shared" si="235"/>
        <v>-1.2191036768166894</v>
      </c>
      <c r="IW73" s="5">
        <f t="shared" ref="IW73:IW104" si="526">IF(ISNUMBER($II73),$H73,"")</f>
        <v>0.26600000000000001</v>
      </c>
      <c r="IX73" s="5">
        <f t="shared" si="236"/>
        <v>0.24894566090614664</v>
      </c>
      <c r="IY73" s="833">
        <f t="shared" si="237"/>
        <v>60.037472406278567</v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-2.3395964520134456</v>
      </c>
      <c r="C74" s="771">
        <v>-4.8784109271166942</v>
      </c>
      <c r="D74" s="772">
        <v>-1.8930057093052193</v>
      </c>
      <c r="E74" s="773">
        <v>0.68740522396033843</v>
      </c>
      <c r="F74" s="771">
        <v>-0.7142111952508855</v>
      </c>
      <c r="G74" s="774">
        <v>0.13181967474674955</v>
      </c>
      <c r="H74" s="773">
        <v>0.26600000000000001</v>
      </c>
      <c r="I74" s="771">
        <v>0.52</v>
      </c>
      <c r="J74" s="601">
        <v>6.2460000000000004</v>
      </c>
      <c r="K74" s="426" t="str">
        <f t="shared" si="225"/>
        <v>1313</v>
      </c>
      <c r="L74" s="327"/>
      <c r="M74" s="173">
        <f t="shared" si="469"/>
        <v>6.2460000000000004</v>
      </c>
      <c r="N74" s="21">
        <f t="shared" si="470"/>
        <v>-2.3395964520134456</v>
      </c>
      <c r="O74" s="5">
        <f t="shared" si="471"/>
        <v>-4.8784109271166942</v>
      </c>
      <c r="P74" s="10">
        <f t="shared" si="472"/>
        <v>-1.8930057093052193</v>
      </c>
      <c r="Q74" s="624">
        <f t="shared" ref="Q74:Q129" si="528">IF(M74="","",IF(DEGREES(ATAN2(N74,O74))&lt;0,DEGREES(ATAN2(N74,O74))+360,IF(DEGREES(ATAN2(N74,O74))&gt;360,DEGREES(ATAN2(N74,O74))-360,DEGREES(ATAN2(N74,O74)))))</f>
        <v>244.37847771050559</v>
      </c>
      <c r="R74" s="5">
        <f>IF(M74="","",SQRT(N74^2+O74^2))</f>
        <v>5.4104163178156135</v>
      </c>
      <c r="S74" s="6">
        <f>IF(M74="","",P74)</f>
        <v>-1.8930057093052193</v>
      </c>
      <c r="T74" s="4">
        <f>IF(M74="","",X74*COS(RADIANS(W74)))</f>
        <v>-4.8784109271166942</v>
      </c>
      <c r="U74" s="5">
        <f>IF(M74="","",X74*SIN(RADIANS(W74)))</f>
        <v>2.3395964520134456</v>
      </c>
      <c r="V74" s="8">
        <f>IF(M74="","",Y74)</f>
        <v>-1.8930057093052193</v>
      </c>
      <c r="W74" s="624">
        <f t="shared" si="227"/>
        <v>154.37847771050559</v>
      </c>
      <c r="X74" s="5">
        <f>IF(M74="","",R74)</f>
        <v>5.4104163178156135</v>
      </c>
      <c r="Y74" s="7">
        <f t="shared" si="226"/>
        <v>-1.8930057093052193</v>
      </c>
      <c r="Z74" s="21">
        <f t="shared" si="473"/>
        <v>-0.68740522396033843</v>
      </c>
      <c r="AA74" s="5">
        <f t="shared" si="474"/>
        <v>0.7142111952508855</v>
      </c>
      <c r="AB74" s="5">
        <f t="shared" si="475"/>
        <v>-0.13181967474674955</v>
      </c>
      <c r="AC74" s="8">
        <f>IF(M74="","",SQRT(Z74^2+AA74^2+AB74^2))</f>
        <v>1.0000000000000002</v>
      </c>
      <c r="AD74" s="9">
        <f>IF(M74="","",Z74*(1/SQRT(Z74^2+AA74^2+AB74^2)))</f>
        <v>-0.68740522396033832</v>
      </c>
      <c r="AE74" s="5">
        <f>IF(M74="","",AA74*(1/SQRT(Z74^2+AA74^2+AB74^2)))</f>
        <v>0.71421119525088539</v>
      </c>
      <c r="AF74" s="10">
        <f>IF(M74="","",AB74*(1/SQRT(Z74^2+AA74^2+AB74^2)))</f>
        <v>-0.13181967474674952</v>
      </c>
      <c r="AG74" s="622">
        <f>IF(M74="","",DEGREES(ATAN2(-AF74,AE74)))</f>
        <v>79.542782881306863</v>
      </c>
      <c r="AH74" s="623">
        <f>IF(M74="","",DEGREES(ACOS(AD74)))</f>
        <v>133.42505921206907</v>
      </c>
      <c r="AI74" s="624">
        <f>IF(M74="","",DEGREES(-ACOS(-AF74)))</f>
        <v>-82.425242966791544</v>
      </c>
      <c r="AJ74" s="625">
        <f>IF(M74="","",DEGREES(ATAN2(-AE74,AD74)))</f>
        <v>-136.09565055310583</v>
      </c>
      <c r="AK74" s="4">
        <f>IF(M74="","",(COS(RADIANS((90-$Q$8)-W74))*AD74)+(-SIN(RADIANS((90-$Q$8)-W74))*AE74))</f>
        <v>0.92865517904378359</v>
      </c>
      <c r="AL74" s="5">
        <f>IF(M74="","",(SIN(RADIANS((90-$Q$8)-W74))*AD74)+(COS(RADIANS((90-$Q$8)-W74))*AE74))</f>
        <v>-0.34673207492936065</v>
      </c>
      <c r="AM74" s="6">
        <f>IF(M74="","",AF74)</f>
        <v>-0.13181967474674952</v>
      </c>
      <c r="AN74" s="612">
        <f>IF(M74="","",DEGREES(ATAN2(-AM74,AL74)))</f>
        <v>-69.184331228055967</v>
      </c>
      <c r="AO74" s="613">
        <f t="shared" si="466"/>
        <v>21.773856911178587</v>
      </c>
      <c r="AP74" s="624">
        <f>IF(M74="","",DEGREES(ATAN2(AK74,AL74)))</f>
        <v>-20.474128263611398</v>
      </c>
      <c r="AQ74" s="625">
        <f t="shared" si="476"/>
        <v>2.2909702630221926</v>
      </c>
      <c r="AS74" s="56">
        <f t="shared" si="411"/>
        <v>-205.62152228949441</v>
      </c>
      <c r="AT74" s="77">
        <f t="shared" si="477"/>
        <v>-1.1162132917671292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6.2460000000000004</v>
      </c>
      <c r="IH74" s="797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6.1459999999999999</v>
      </c>
      <c r="II74" s="800" cm="1">
        <f t="array" ref="II74">IFERROR(IF($IH74&lt;1,$IH74+LARGE((IF($M$9:$M$150="",0,$M$9:$M$150)-MOD(IF($M$9:$M$150="",0,$M$9:$M$150),1)),1),$IH74),"")</f>
        <v>6.1459999999999999</v>
      </c>
      <c r="IJ74" s="839" t="str">
        <f t="shared" si="523"/>
        <v>1613</v>
      </c>
      <c r="IK74" s="839" t="str">
        <f t="shared" si="524"/>
        <v>1313</v>
      </c>
      <c r="IL74" s="791">
        <f t="shared" si="228"/>
        <v>13.599498036475381</v>
      </c>
      <c r="IM74" s="830">
        <v>2.1917847542577001E-3</v>
      </c>
      <c r="IN74" s="5">
        <f t="shared" si="229"/>
        <v>0.04</v>
      </c>
      <c r="IO74" s="852">
        <v>20</v>
      </c>
      <c r="IP74" s="9">
        <f t="shared" si="230"/>
        <v>-5.3676161887304268</v>
      </c>
      <c r="IQ74" s="5">
        <f t="shared" si="231"/>
        <v>-1.921305794658277</v>
      </c>
      <c r="IR74" s="5">
        <f t="shared" si="525"/>
        <v>0.314</v>
      </c>
      <c r="IS74" s="5">
        <f t="shared" si="232"/>
        <v>0.30024378663995516</v>
      </c>
      <c r="IT74" s="791">
        <f t="shared" si="233"/>
        <v>73.643065674459265</v>
      </c>
      <c r="IU74" s="9">
        <f t="shared" si="234"/>
        <v>-5.4104163178156135</v>
      </c>
      <c r="IV74" s="5">
        <f t="shared" si="235"/>
        <v>-1.8930057093052193</v>
      </c>
      <c r="IW74" s="5">
        <f t="shared" si="526"/>
        <v>0.26600000000000001</v>
      </c>
      <c r="IX74" s="5">
        <f t="shared" si="236"/>
        <v>0.24702227762564644</v>
      </c>
      <c r="IY74" s="833">
        <f t="shared" si="237"/>
        <v>69.184331228055967</v>
      </c>
    </row>
    <row r="75" spans="1:259" ht="15" customHeight="1" x14ac:dyDescent="0.25">
      <c r="A75" s="84">
        <f t="shared" si="527"/>
        <v>0.02</v>
      </c>
      <c r="B75" s="770">
        <v>-2.4371946670088147</v>
      </c>
      <c r="C75" s="771">
        <v>-5.1421851126681783</v>
      </c>
      <c r="D75" s="772">
        <v>-2.6282079266751071</v>
      </c>
      <c r="E75" s="773">
        <v>0.6581330111200322</v>
      </c>
      <c r="F75" s="771">
        <v>-0.74737004198961832</v>
      </c>
      <c r="G75" s="774">
        <v>9.1098627928832665E-2</v>
      </c>
      <c r="H75" s="773">
        <v>0.26600000000000001</v>
      </c>
      <c r="I75" s="771">
        <v>0.52</v>
      </c>
      <c r="J75" s="601">
        <v>6.2549999999999999</v>
      </c>
      <c r="K75" s="426" t="str">
        <f t="shared" si="225"/>
        <v>1313</v>
      </c>
      <c r="L75" s="327"/>
      <c r="M75" s="173">
        <f t="shared" si="469"/>
        <v>6.2549999999999999</v>
      </c>
      <c r="N75" s="21">
        <f t="shared" si="470"/>
        <v>-2.4371946670088147</v>
      </c>
      <c r="O75" s="5">
        <f t="shared" si="471"/>
        <v>-5.1421851126681783</v>
      </c>
      <c r="P75" s="10">
        <f t="shared" si="472"/>
        <v>-2.6282079266751071</v>
      </c>
      <c r="Q75" s="624">
        <f t="shared" si="528"/>
        <v>244.64087767261972</v>
      </c>
      <c r="R75" s="5">
        <f>IF(M75="","",SQRT(N75^2+O75^2))</f>
        <v>5.6905171625997628</v>
      </c>
      <c r="S75" s="6">
        <f>IF(M75="","",P75)</f>
        <v>-2.6282079266751071</v>
      </c>
      <c r="T75" s="4">
        <f>IF(M75="","",X75*COS(RADIANS(W75)))</f>
        <v>-5.1421851126681783</v>
      </c>
      <c r="U75" s="5">
        <f>IF(M75="","",X75*SIN(RADIANS(W75)))</f>
        <v>2.4371946670088147</v>
      </c>
      <c r="V75" s="8">
        <f>IF(M75="","",Y75)</f>
        <v>-2.6282079266751071</v>
      </c>
      <c r="W75" s="624">
        <f t="shared" si="227"/>
        <v>154.64087767261972</v>
      </c>
      <c r="X75" s="5">
        <f>IF(M75="","",R75)</f>
        <v>5.6905171625997628</v>
      </c>
      <c r="Y75" s="7">
        <f t="shared" si="226"/>
        <v>-2.6282079266751071</v>
      </c>
      <c r="Z75" s="21">
        <f t="shared" si="473"/>
        <v>-0.6581330111200322</v>
      </c>
      <c r="AA75" s="5">
        <f t="shared" si="474"/>
        <v>0.74737004198961832</v>
      </c>
      <c r="AB75" s="5">
        <f t="shared" si="475"/>
        <v>-9.1098627928832665E-2</v>
      </c>
      <c r="AC75" s="8">
        <f>IF(M75="","",SQRT(Z75^2+AA75^2+AB75^2))</f>
        <v>1</v>
      </c>
      <c r="AD75" s="9">
        <f>IF(M75="","",Z75*(1/SQRT(Z75^2+AA75^2+AB75^2)))</f>
        <v>-0.6581330111200322</v>
      </c>
      <c r="AE75" s="5">
        <f>IF(M75="","",AA75*(1/SQRT(Z75^2+AA75^2+AB75^2)))</f>
        <v>0.74737004198961832</v>
      </c>
      <c r="AF75" s="10">
        <f>IF(M75="","",AB75*(1/SQRT(Z75^2+AA75^2+AB75^2)))</f>
        <v>-9.1098627928832665E-2</v>
      </c>
      <c r="AG75" s="622">
        <f>IF(M75="","",DEGREES(ATAN2(-AF75,AE75)))</f>
        <v>83.050370846444025</v>
      </c>
      <c r="AH75" s="623">
        <f>IF(M75="","",DEGREES(ACOS(AD75)))</f>
        <v>131.1576405682089</v>
      </c>
      <c r="AI75" s="624">
        <f>IF(M75="","",DEGREES(-ACOS(-AF75)))</f>
        <v>-84.773186508701073</v>
      </c>
      <c r="AJ75" s="625">
        <f>IF(M75="","",DEGREES(ATAN2(-AE75,AD75)))</f>
        <v>-138.6328996538179</v>
      </c>
      <c r="AK75" s="4">
        <f>IF(M75="","",(COS(RADIANS((90-$Q$8)-W75))*AD75)+(-SIN(RADIANS((90-$Q$8)-W75))*AE75))</f>
        <v>0.91480754803274844</v>
      </c>
      <c r="AL75" s="5">
        <f>IF(M75="","",(SIN(RADIANS((90-$Q$8)-W75))*AD75)+(COS(RADIANS((90-$Q$8)-W75))*AE75))</f>
        <v>-0.39348213434893697</v>
      </c>
      <c r="AM75" s="6">
        <f>IF(M75="","",AF75)</f>
        <v>-9.1098627928832665E-2</v>
      </c>
      <c r="AN75" s="612">
        <f>IF(M75="","",DEGREES(ATAN2(-AM75,AL75)))</f>
        <v>-76.96459816056668</v>
      </c>
      <c r="AO75" s="613">
        <f t="shared" si="466"/>
        <v>23.821588907978136</v>
      </c>
      <c r="AP75" s="624">
        <f>IF(M75="","",DEGREES(ATAN2(AK75,AL75)))</f>
        <v>-23.273777326437628</v>
      </c>
      <c r="AQ75" s="625">
        <f t="shared" si="476"/>
        <v>2.1783146757205918</v>
      </c>
      <c r="AS75" s="56">
        <f t="shared" ref="AS75:AS106" si="550">IF(G75="","",IF(AND(W75&lt;(AS74+180),W75&gt;(AS74-180)),W75,IF(W75&gt;(AS74+180),W75-360,IF(W75&lt;(AS74-180),W75+360,"Error"))))</f>
        <v>-205.35912232738028</v>
      </c>
      <c r="AT75" s="77">
        <f t="shared" si="477"/>
        <v>-1.8524067978827814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6.2549999999999999</v>
      </c>
      <c r="IH75" s="797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6.1550000000000002</v>
      </c>
      <c r="II75" s="800" cm="1">
        <f t="array" ref="II75">IFERROR(IF($IH75&lt;1,$IH75+LARGE((IF($M$9:$M$150="",0,$M$9:$M$150)-MOD(IF($M$9:$M$150="",0,$M$9:$M$150),1)),1),$IH75),"")</f>
        <v>6.1550000000000002</v>
      </c>
      <c r="IJ75" s="839" t="str">
        <f t="shared" si="523"/>
        <v>1613</v>
      </c>
      <c r="IK75" s="839" t="str">
        <f t="shared" si="524"/>
        <v>1313</v>
      </c>
      <c r="IL75" s="791">
        <f t="shared" si="228"/>
        <v>13.029098118831001</v>
      </c>
      <c r="IM75" s="830">
        <v>1.6912520602874999E-3</v>
      </c>
      <c r="IN75" s="5">
        <f t="shared" si="229"/>
        <v>0.02</v>
      </c>
      <c r="IO75" s="852">
        <v>10</v>
      </c>
      <c r="IP75" s="9">
        <f t="shared" si="230"/>
        <v>-5.6435170208473355</v>
      </c>
      <c r="IQ75" s="5">
        <f t="shared" si="231"/>
        <v>-2.6506079942337109</v>
      </c>
      <c r="IR75" s="5">
        <f t="shared" si="525"/>
        <v>0.314</v>
      </c>
      <c r="IS75" s="5">
        <f t="shared" si="232"/>
        <v>0.29678341369995298</v>
      </c>
      <c r="IT75" s="791">
        <f t="shared" si="233"/>
        <v>80.886317205808368</v>
      </c>
      <c r="IU75" s="9">
        <f t="shared" si="234"/>
        <v>-5.6905171625997628</v>
      </c>
      <c r="IV75" s="5">
        <f t="shared" si="235"/>
        <v>-2.6282079266751071</v>
      </c>
      <c r="IW75" s="5">
        <f t="shared" si="526"/>
        <v>0.26600000000000001</v>
      </c>
      <c r="IX75" s="5">
        <f t="shared" si="236"/>
        <v>0.2433388077767111</v>
      </c>
      <c r="IY75" s="833">
        <f t="shared" si="237"/>
        <v>76.96459816056668</v>
      </c>
    </row>
    <row r="76" spans="1:259" ht="15" customHeight="1" x14ac:dyDescent="0.25">
      <c r="A76" s="84">
        <f t="shared" si="527"/>
        <v>0.02</v>
      </c>
      <c r="B76" s="770">
        <v>-2.5207484657818719</v>
      </c>
      <c r="C76" s="771">
        <v>-5.2797304860815792</v>
      </c>
      <c r="D76" s="772">
        <v>-3.3986102502085145</v>
      </c>
      <c r="E76" s="773">
        <v>0.58602935944796242</v>
      </c>
      <c r="F76" s="771">
        <v>-0.80806794233987089</v>
      </c>
      <c r="G76" s="774">
        <v>5.996490996923147E-2</v>
      </c>
      <c r="H76" s="773">
        <v>0.26600000000000001</v>
      </c>
      <c r="I76" s="771">
        <v>0.52</v>
      </c>
      <c r="J76" s="601">
        <v>6.2640000000000002</v>
      </c>
      <c r="K76" s="426" t="str">
        <f t="shared" si="225"/>
        <v>1313</v>
      </c>
      <c r="L76" s="327"/>
      <c r="M76" s="173">
        <f t="shared" si="469"/>
        <v>6.2640000000000002</v>
      </c>
      <c r="N76" s="21">
        <f t="shared" si="470"/>
        <v>-2.5207484657818719</v>
      </c>
      <c r="O76" s="5">
        <f t="shared" si="471"/>
        <v>-5.2797304860815792</v>
      </c>
      <c r="P76" s="10">
        <f t="shared" si="472"/>
        <v>-3.3986102502085145</v>
      </c>
      <c r="Q76" s="624">
        <f t="shared" si="528"/>
        <v>244.47837769608182</v>
      </c>
      <c r="R76" s="5">
        <f t="shared" si="83"/>
        <v>5.850617645462818</v>
      </c>
      <c r="S76" s="6">
        <f t="shared" si="84"/>
        <v>-3.3986102502085145</v>
      </c>
      <c r="T76" s="4">
        <f t="shared" si="85"/>
        <v>-5.2797304860815792</v>
      </c>
      <c r="U76" s="5">
        <f t="shared" si="86"/>
        <v>2.5207484657818711</v>
      </c>
      <c r="V76" s="8">
        <f t="shared" si="117"/>
        <v>-3.3986102502085145</v>
      </c>
      <c r="W76" s="624">
        <f t="shared" si="227"/>
        <v>154.47837769608182</v>
      </c>
      <c r="X76" s="5">
        <f t="shared" si="87"/>
        <v>5.850617645462818</v>
      </c>
      <c r="Y76" s="7">
        <f t="shared" ref="Y76:Y129" si="650">IF(M76="","",S76)</f>
        <v>-3.3986102502085145</v>
      </c>
      <c r="Z76" s="21">
        <f t="shared" si="473"/>
        <v>-0.58602935944796242</v>
      </c>
      <c r="AA76" s="5">
        <f t="shared" si="474"/>
        <v>0.80806794233987089</v>
      </c>
      <c r="AB76" s="5">
        <f t="shared" si="475"/>
        <v>-5.996490996923147E-2</v>
      </c>
      <c r="AC76" s="8">
        <f t="shared" si="88"/>
        <v>1</v>
      </c>
      <c r="AD76" s="9">
        <f t="shared" si="118"/>
        <v>-0.58602935944796242</v>
      </c>
      <c r="AE76" s="5">
        <f t="shared" si="89"/>
        <v>0.80806794233987089</v>
      </c>
      <c r="AF76" s="10">
        <f t="shared" si="90"/>
        <v>-5.996490996923147E-2</v>
      </c>
      <c r="AG76" s="622">
        <f t="shared" si="91"/>
        <v>85.755987573710286</v>
      </c>
      <c r="AH76" s="623">
        <f t="shared" si="92"/>
        <v>125.87574286844136</v>
      </c>
      <c r="AI76" s="624">
        <f t="shared" si="93"/>
        <v>-86.562201369742979</v>
      </c>
      <c r="AJ76" s="625">
        <f t="shared" si="94"/>
        <v>-144.04951866377141</v>
      </c>
      <c r="AK76" s="4">
        <f t="shared" si="213"/>
        <v>0.87700366211696223</v>
      </c>
      <c r="AL76" s="5">
        <f t="shared" si="95"/>
        <v>-0.47672716117903258</v>
      </c>
      <c r="AM76" s="6">
        <f t="shared" si="96"/>
        <v>-5.996490996923147E-2</v>
      </c>
      <c r="AN76" s="612">
        <f t="shared" si="97"/>
        <v>-82.830728263670082</v>
      </c>
      <c r="AO76" s="613">
        <f t="shared" si="466"/>
        <v>28.716997352880448</v>
      </c>
      <c r="AP76" s="624">
        <f t="shared" si="99"/>
        <v>-28.527896359853244</v>
      </c>
      <c r="AQ76" s="625">
        <f t="shared" si="476"/>
        <v>2.1187608066712942</v>
      </c>
      <c r="AS76" s="56">
        <f t="shared" si="550"/>
        <v>-205.52162230391818</v>
      </c>
      <c r="AT76" s="77">
        <f t="shared" si="477"/>
        <v>-2.6221952326159346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6.2640000000000002</v>
      </c>
      <c r="IH76" s="797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6.1639999999999997</v>
      </c>
      <c r="II76" s="800" cm="1">
        <f t="array" ref="II76">IFERROR(IF($IH76&lt;1,$IH76+LARGE((IF($M$9:$M$150="",0,$M$9:$M$150)-MOD(IF($M$9:$M$150="",0,$M$9:$M$150),1)),1),$IH76),"")</f>
        <v>6.1639999999999997</v>
      </c>
      <c r="IJ76" s="839" t="str">
        <f t="shared" si="523"/>
        <v>1613</v>
      </c>
      <c r="IK76" s="839" t="str">
        <f t="shared" si="524"/>
        <v>1313</v>
      </c>
      <c r="IL76" s="791">
        <f t="shared" si="228"/>
        <v>13.012598121213244</v>
      </c>
      <c r="IM76" s="830">
        <v>1.18229055186971E-3</v>
      </c>
      <c r="IN76" s="5">
        <f t="shared" si="229"/>
        <v>0</v>
      </c>
      <c r="IO76" s="852">
        <v>0</v>
      </c>
      <c r="IP76" s="9">
        <f t="shared" si="230"/>
        <v>-5.8001174931543602</v>
      </c>
      <c r="IQ76" s="5">
        <f t="shared" si="231"/>
        <v>-3.4145102981630591</v>
      </c>
      <c r="IR76" s="5">
        <f t="shared" si="525"/>
        <v>0.314</v>
      </c>
      <c r="IS76" s="5">
        <f t="shared" si="232"/>
        <v>0.28709273665093205</v>
      </c>
      <c r="IT76" s="791">
        <f t="shared" si="233"/>
        <v>85.499078350503652</v>
      </c>
      <c r="IU76" s="9">
        <f t="shared" si="234"/>
        <v>-5.850617645462818</v>
      </c>
      <c r="IV76" s="5">
        <f t="shared" si="235"/>
        <v>-3.3986102502085145</v>
      </c>
      <c r="IW76" s="5">
        <f t="shared" si="526"/>
        <v>0.26600000000000001</v>
      </c>
      <c r="IX76" s="5">
        <f t="shared" si="236"/>
        <v>0.23328297412311197</v>
      </c>
      <c r="IY76" s="833">
        <f t="shared" si="237"/>
        <v>82.830728263670082</v>
      </c>
    </row>
    <row r="77" spans="1:259" ht="15" customHeight="1" x14ac:dyDescent="0.25">
      <c r="A77" s="84">
        <f t="shared" si="527"/>
        <v>0.02</v>
      </c>
      <c r="B77" s="770">
        <v>-0.52030972268670661</v>
      </c>
      <c r="C77" s="771">
        <v>-0.30040074867102651</v>
      </c>
      <c r="D77" s="772">
        <v>-0.62150187444965344</v>
      </c>
      <c r="E77" s="773">
        <v>0.54097536073219554</v>
      </c>
      <c r="F77" s="771">
        <v>-0.80302283619345605</v>
      </c>
      <c r="G77" s="774">
        <v>0.24999996726497564</v>
      </c>
      <c r="H77" s="773">
        <v>0.314</v>
      </c>
      <c r="I77" s="771">
        <v>0.52</v>
      </c>
      <c r="J77" s="601">
        <v>7.1020000000000003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7.1020000000000003</v>
      </c>
      <c r="N77" s="21">
        <f t="shared" si="470"/>
        <v>-0.52030972268670661</v>
      </c>
      <c r="O77" s="5">
        <f t="shared" si="471"/>
        <v>-0.30040074867102651</v>
      </c>
      <c r="P77" s="10">
        <f t="shared" si="472"/>
        <v>-0.62150187444965344</v>
      </c>
      <c r="Q77" s="624">
        <f t="shared" si="528"/>
        <v>209.99998267414614</v>
      </c>
      <c r="R77" s="5">
        <f t="shared" si="83"/>
        <v>0.6008018120182651</v>
      </c>
      <c r="S77" s="6">
        <f t="shared" si="84"/>
        <v>-0.62150187444965344</v>
      </c>
      <c r="T77" s="4">
        <f t="shared" si="85"/>
        <v>-0.30040074867102656</v>
      </c>
      <c r="U77" s="5">
        <f t="shared" si="86"/>
        <v>0.52030972268670661</v>
      </c>
      <c r="V77" s="8">
        <f t="shared" si="117"/>
        <v>-0.62150187444965344</v>
      </c>
      <c r="W77" s="624">
        <f t="shared" si="227"/>
        <v>119.99998267414614</v>
      </c>
      <c r="X77" s="5">
        <f t="shared" si="87"/>
        <v>0.6008018120182651</v>
      </c>
      <c r="Y77" s="7">
        <f t="shared" si="650"/>
        <v>-0.62150187444965344</v>
      </c>
      <c r="Z77" s="21">
        <f t="shared" si="473"/>
        <v>-0.54097536073219554</v>
      </c>
      <c r="AA77" s="5">
        <f t="shared" si="474"/>
        <v>0.80302283619345605</v>
      </c>
      <c r="AB77" s="5">
        <f t="shared" si="475"/>
        <v>-0.24999996726497564</v>
      </c>
      <c r="AC77" s="8">
        <f t="shared" si="88"/>
        <v>1</v>
      </c>
      <c r="AD77" s="9">
        <f t="shared" si="118"/>
        <v>-0.54097536073219554</v>
      </c>
      <c r="AE77" s="5">
        <f t="shared" si="89"/>
        <v>0.80302283619345605</v>
      </c>
      <c r="AF77" s="10">
        <f t="shared" si="90"/>
        <v>-0.24999996726497564</v>
      </c>
      <c r="AG77" s="622">
        <f t="shared" si="91"/>
        <v>72.707401525173722</v>
      </c>
      <c r="AH77" s="623">
        <f t="shared" si="92"/>
        <v>122.7500605879534</v>
      </c>
      <c r="AI77" s="624">
        <f t="shared" si="93"/>
        <v>-75.522489751159469</v>
      </c>
      <c r="AJ77" s="625">
        <f t="shared" si="94"/>
        <v>-146.03288768076729</v>
      </c>
      <c r="AK77" s="4">
        <f t="shared" si="213"/>
        <v>0.96592583607220739</v>
      </c>
      <c r="AL77" s="5">
        <f t="shared" si="95"/>
        <v>6.6987279208207351E-2</v>
      </c>
      <c r="AM77" s="6">
        <f t="shared" si="96"/>
        <v>-0.24999996726497564</v>
      </c>
      <c r="AN77" s="612">
        <f t="shared" si="97"/>
        <v>14.999997834268303</v>
      </c>
      <c r="AO77" s="613">
        <f t="shared" si="466"/>
        <v>14.999997834268255</v>
      </c>
      <c r="AP77" s="624">
        <f t="shared" si="99"/>
        <v>3.9671296450865805</v>
      </c>
      <c r="AQ77" s="625">
        <f t="shared" si="476"/>
        <v>19.81255782412563</v>
      </c>
      <c r="AS77" s="56">
        <f t="shared" si="550"/>
        <v>-240.00001732585386</v>
      </c>
      <c r="AT77" s="77">
        <f t="shared" si="477"/>
        <v>0.28516485767023891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7.1020000000000003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-1.1764126619467747</v>
      </c>
      <c r="C78" s="771">
        <v>-0.67920169273422515</v>
      </c>
      <c r="D78" s="772">
        <v>-0.41850126219980682</v>
      </c>
      <c r="E78" s="773">
        <v>0.54097536073219543</v>
      </c>
      <c r="F78" s="771">
        <v>-0.80302283619345616</v>
      </c>
      <c r="G78" s="774">
        <v>0.24999996726497564</v>
      </c>
      <c r="H78" s="773">
        <v>0.314</v>
      </c>
      <c r="I78" s="771">
        <v>0.52</v>
      </c>
      <c r="J78" s="601">
        <v>7.1050000000000004</v>
      </c>
      <c r="K78" s="426" t="str">
        <f t="shared" si="651"/>
        <v>1613</v>
      </c>
      <c r="L78" s="327"/>
      <c r="M78" s="173">
        <f t="shared" si="469"/>
        <v>7.1050000000000004</v>
      </c>
      <c r="N78" s="21">
        <f t="shared" si="470"/>
        <v>-1.1764126619467747</v>
      </c>
      <c r="O78" s="5">
        <f t="shared" si="471"/>
        <v>-0.67920169273422515</v>
      </c>
      <c r="P78" s="10">
        <f t="shared" si="472"/>
        <v>-0.41850126219980682</v>
      </c>
      <c r="Q78" s="624">
        <f t="shared" si="528"/>
        <v>209.99998267414614</v>
      </c>
      <c r="R78" s="5">
        <f>IF(M78="","",SQRT(N78^2+O78^2))</f>
        <v>1.3584040969467566</v>
      </c>
      <c r="S78" s="6">
        <f>IF(M78="","",P78)</f>
        <v>-0.41850126219980682</v>
      </c>
      <c r="T78" s="4">
        <f>IF(M78="","",X78*COS(RADIANS(W78)))</f>
        <v>-0.67920169273422515</v>
      </c>
      <c r="U78" s="5">
        <f>IF(M78="","",X78*SIN(RADIANS(W78)))</f>
        <v>1.1764126619467747</v>
      </c>
      <c r="V78" s="8">
        <f>IF(M78="","",Y78)</f>
        <v>-0.41850126219980682</v>
      </c>
      <c r="W78" s="624">
        <f t="shared" si="227"/>
        <v>119.99998267414614</v>
      </c>
      <c r="X78" s="5">
        <f>IF(M78="","",R78)</f>
        <v>1.3584040969467566</v>
      </c>
      <c r="Y78" s="7">
        <f t="shared" si="650"/>
        <v>-0.41850126219980682</v>
      </c>
      <c r="Z78" s="21">
        <f t="shared" si="473"/>
        <v>-0.54097536073219543</v>
      </c>
      <c r="AA78" s="5">
        <f t="shared" si="474"/>
        <v>0.80302283619345616</v>
      </c>
      <c r="AB78" s="5">
        <f t="shared" si="475"/>
        <v>-0.24999996726497564</v>
      </c>
      <c r="AC78" s="8">
        <f>IF(M78="","",SQRT(Z78^2+AA78^2+AB78^2))</f>
        <v>1</v>
      </c>
      <c r="AD78" s="9">
        <f>IF(M78="","",Z78*(1/SQRT(Z78^2+AA78^2+AB78^2)))</f>
        <v>-0.54097536073219543</v>
      </c>
      <c r="AE78" s="5">
        <f>IF(M78="","",AA78*(1/SQRT(Z78^2+AA78^2+AB78^2)))</f>
        <v>0.80302283619345616</v>
      </c>
      <c r="AF78" s="10">
        <f>IF(M78="","",AB78*(1/SQRT(Z78^2+AA78^2+AB78^2)))</f>
        <v>-0.24999996726497564</v>
      </c>
      <c r="AG78" s="622">
        <f>IF(M78="","",DEGREES(ATAN2(-AF78,AE78)))</f>
        <v>72.707401525173722</v>
      </c>
      <c r="AH78" s="623">
        <f>IF(M78="","",DEGREES(ACOS(AD78)))</f>
        <v>122.7500605879534</v>
      </c>
      <c r="AI78" s="624">
        <f>IF(M78="","",DEGREES(-ACOS(-AF78)))</f>
        <v>-75.522489751159469</v>
      </c>
      <c r="AJ78" s="625">
        <f>IF(M78="","",DEGREES(ATAN2(-AE78,AD78)))</f>
        <v>-146.03288768076729</v>
      </c>
      <c r="AK78" s="4">
        <f>IF(M78="","",(COS(RADIANS((90-$Q$8)-W78))*AD78)+(-SIN(RADIANS((90-$Q$8)-W78))*AE78))</f>
        <v>0.9659258360722075</v>
      </c>
      <c r="AL78" s="5">
        <f>IF(M78="","",(SIN(RADIANS((90-$Q$8)-W78))*AD78)+(COS(RADIANS((90-$Q$8)-W78))*AE78))</f>
        <v>6.6987279208207184E-2</v>
      </c>
      <c r="AM78" s="6">
        <f>IF(M78="","",AF78)</f>
        <v>-0.24999996726497564</v>
      </c>
      <c r="AN78" s="612">
        <f>IF(M78="","",DEGREES(ATAN2(-AM78,AL78)))</f>
        <v>14.999997834268264</v>
      </c>
      <c r="AO78" s="613">
        <f t="shared" si="466"/>
        <v>14.99999783426823</v>
      </c>
      <c r="AP78" s="624">
        <f>IF(M78="","",DEGREES(ATAN2(AK78,AL78)))</f>
        <v>3.9671296450865703</v>
      </c>
      <c r="AQ78" s="625">
        <f t="shared" si="476"/>
        <v>9.0535093370237156</v>
      </c>
      <c r="AS78" s="56">
        <f t="shared" si="550"/>
        <v>-240.00001732585386</v>
      </c>
      <c r="AT78" s="77">
        <f t="shared" si="477"/>
        <v>0.48816546992008553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7.1050000000000004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-1.819351973069629</v>
      </c>
      <c r="C79" s="771">
        <v>-1.0504026178563457</v>
      </c>
      <c r="D79" s="772">
        <v>-0.21950066201399665</v>
      </c>
      <c r="E79" s="773">
        <v>0.54097536073219554</v>
      </c>
      <c r="F79" s="771">
        <v>-0.80302283619345605</v>
      </c>
      <c r="G79" s="774">
        <v>0.24999996726497564</v>
      </c>
      <c r="H79" s="773">
        <v>0.314</v>
      </c>
      <c r="I79" s="771">
        <v>0.52</v>
      </c>
      <c r="J79" s="601">
        <v>7.1079999999999997</v>
      </c>
      <c r="K79" s="426" t="str">
        <f t="shared" si="651"/>
        <v>1613</v>
      </c>
      <c r="L79" s="327"/>
      <c r="M79" s="173">
        <f t="shared" si="469"/>
        <v>7.1079999999999997</v>
      </c>
      <c r="N79" s="21">
        <f t="shared" si="470"/>
        <v>-1.819351973069629</v>
      </c>
      <c r="O79" s="5">
        <f t="shared" si="471"/>
        <v>-1.0504026178563457</v>
      </c>
      <c r="P79" s="10">
        <f t="shared" si="472"/>
        <v>-0.21950066201399665</v>
      </c>
      <c r="Q79" s="624">
        <f t="shared" si="528"/>
        <v>209.99998267414614</v>
      </c>
      <c r="R79" s="5">
        <f>IF(M79="","",SQRT(N79^2+O79^2))</f>
        <v>2.1008063360319094</v>
      </c>
      <c r="S79" s="6">
        <f>IF(M79="","",P79)</f>
        <v>-0.21950066201399665</v>
      </c>
      <c r="T79" s="4">
        <f>IF(M79="","",X79*COS(RADIANS(W79)))</f>
        <v>-1.0504026178563457</v>
      </c>
      <c r="U79" s="5">
        <f>IF(M79="","",X79*SIN(RADIANS(W79)))</f>
        <v>1.8193519730696288</v>
      </c>
      <c r="V79" s="8">
        <f>IF(M79="","",Y79)</f>
        <v>-0.21950066201399665</v>
      </c>
      <c r="W79" s="624">
        <f t="shared" ref="W79:W129" si="652">IF(M79="","",IF(Q79-$Q$8&lt;0,360+Q79-$Q$8,Q79-$Q$8))</f>
        <v>119.99998267414614</v>
      </c>
      <c r="X79" s="5">
        <f>IF(M79="","",R79)</f>
        <v>2.1008063360319094</v>
      </c>
      <c r="Y79" s="7">
        <f t="shared" si="650"/>
        <v>-0.21950066201399665</v>
      </c>
      <c r="Z79" s="21">
        <f t="shared" si="473"/>
        <v>-0.54097536073219554</v>
      </c>
      <c r="AA79" s="5">
        <f t="shared" si="474"/>
        <v>0.80302283619345605</v>
      </c>
      <c r="AB79" s="5">
        <f t="shared" si="475"/>
        <v>-0.24999996726497564</v>
      </c>
      <c r="AC79" s="8">
        <f>IF(M79="","",SQRT(Z79^2+AA79^2+AB79^2))</f>
        <v>1</v>
      </c>
      <c r="AD79" s="9">
        <f>IF(M79="","",Z79*(1/SQRT(Z79^2+AA79^2+AB79^2)))</f>
        <v>-0.54097536073219554</v>
      </c>
      <c r="AE79" s="5">
        <f>IF(M79="","",AA79*(1/SQRT(Z79^2+AA79^2+AB79^2)))</f>
        <v>0.80302283619345605</v>
      </c>
      <c r="AF79" s="10">
        <f>IF(M79="","",AB79*(1/SQRT(Z79^2+AA79^2+AB79^2)))</f>
        <v>-0.24999996726497564</v>
      </c>
      <c r="AG79" s="622">
        <f>IF(M79="","",DEGREES(ATAN2(-AF79,AE79)))</f>
        <v>72.707401525173722</v>
      </c>
      <c r="AH79" s="623">
        <f>IF(M79="","",DEGREES(ACOS(AD79)))</f>
        <v>122.7500605879534</v>
      </c>
      <c r="AI79" s="624">
        <f>IF(M79="","",DEGREES(-ACOS(-AF79)))</f>
        <v>-75.522489751159469</v>
      </c>
      <c r="AJ79" s="625">
        <f>IF(M79="","",DEGREES(ATAN2(-AE79,AD79)))</f>
        <v>-146.03288768076729</v>
      </c>
      <c r="AK79" s="4">
        <f>IF(M79="","",(COS(RADIANS((90-$Q$8)-W79))*AD79)+(-SIN(RADIANS((90-$Q$8)-W79))*AE79))</f>
        <v>0.96592583607220739</v>
      </c>
      <c r="AL79" s="5">
        <f>IF(M79="","",(SIN(RADIANS((90-$Q$8)-W79))*AD79)+(COS(RADIANS((90-$Q$8)-W79))*AE79))</f>
        <v>6.6987279208207351E-2</v>
      </c>
      <c r="AM79" s="6">
        <f>IF(M79="","",AF79)</f>
        <v>-0.24999996726497564</v>
      </c>
      <c r="AN79" s="612">
        <f>IF(M79="","",DEGREES(ATAN2(-AM79,AL79)))</f>
        <v>14.999997834268303</v>
      </c>
      <c r="AO79" s="613">
        <f t="shared" si="466"/>
        <v>14.999997834268255</v>
      </c>
      <c r="AP79" s="624">
        <f>IF(M79="","",DEGREES(ATAN2(AK79,AL79)))</f>
        <v>3.9671296450865805</v>
      </c>
      <c r="AQ79" s="625">
        <f t="shared" si="476"/>
        <v>5.8825537852801491</v>
      </c>
      <c r="AS79" s="56">
        <f t="shared" si="550"/>
        <v>-240.00001732585386</v>
      </c>
      <c r="AT79" s="77">
        <f t="shared" si="477"/>
        <v>0.6871660701058957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7.1079999999999997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-2.4755217490783679</v>
      </c>
      <c r="C80" s="771">
        <v>-1.4276871576381682</v>
      </c>
      <c r="D80" s="772">
        <v>-7.490022589908131E-2</v>
      </c>
      <c r="E80" s="773">
        <v>0.48457839428600746</v>
      </c>
      <c r="F80" s="771">
        <v>-0.83551475802197583</v>
      </c>
      <c r="G80" s="774">
        <v>0.2590344936850576</v>
      </c>
      <c r="H80" s="773">
        <v>0.314</v>
      </c>
      <c r="I80" s="771">
        <v>0.52</v>
      </c>
      <c r="J80" s="601">
        <v>7.1130000000000004</v>
      </c>
      <c r="K80" s="426" t="str">
        <f t="shared" si="651"/>
        <v>1613</v>
      </c>
      <c r="L80" s="327"/>
      <c r="M80" s="173">
        <f t="shared" si="469"/>
        <v>7.1130000000000004</v>
      </c>
      <c r="N80" s="21">
        <f t="shared" si="470"/>
        <v>-2.4755217490783679</v>
      </c>
      <c r="O80" s="5">
        <f t="shared" si="471"/>
        <v>-1.4276871576381682</v>
      </c>
      <c r="P80" s="10">
        <f t="shared" si="472"/>
        <v>-7.490022589908131E-2</v>
      </c>
      <c r="Q80" s="624">
        <f t="shared" si="528"/>
        <v>209.97298267804445</v>
      </c>
      <c r="R80" s="5">
        <f t="shared" si="83"/>
        <v>2.8577086188491951</v>
      </c>
      <c r="S80" s="6">
        <f t="shared" si="84"/>
        <v>-7.490022589908131E-2</v>
      </c>
      <c r="T80" s="4">
        <f t="shared" si="85"/>
        <v>-1.4276871576381678</v>
      </c>
      <c r="U80" s="5">
        <f t="shared" si="86"/>
        <v>2.4755217490783683</v>
      </c>
      <c r="V80" s="8">
        <f t="shared" si="117"/>
        <v>-7.490022589908131E-2</v>
      </c>
      <c r="W80" s="624">
        <f t="shared" si="652"/>
        <v>119.97298267804445</v>
      </c>
      <c r="X80" s="5">
        <f t="shared" si="87"/>
        <v>2.8577086188491951</v>
      </c>
      <c r="Y80" s="7">
        <f t="shared" si="650"/>
        <v>-7.490022589908131E-2</v>
      </c>
      <c r="Z80" s="21">
        <f t="shared" si="473"/>
        <v>-0.48457839428600746</v>
      </c>
      <c r="AA80" s="5">
        <f t="shared" si="474"/>
        <v>0.83551475802197583</v>
      </c>
      <c r="AB80" s="5">
        <f t="shared" si="475"/>
        <v>-0.2590344936850576</v>
      </c>
      <c r="AC80" s="8">
        <f t="shared" si="88"/>
        <v>1</v>
      </c>
      <c r="AD80" s="9">
        <f t="shared" si="118"/>
        <v>-0.48457839428600746</v>
      </c>
      <c r="AE80" s="5">
        <f t="shared" si="89"/>
        <v>0.83551475802197583</v>
      </c>
      <c r="AF80" s="10">
        <f t="shared" si="90"/>
        <v>-0.2590344936850576</v>
      </c>
      <c r="AG80" s="622">
        <f t="shared" si="91"/>
        <v>72.775004830759585</v>
      </c>
      <c r="AH80" s="623">
        <f t="shared" si="92"/>
        <v>118.98485364427654</v>
      </c>
      <c r="AI80" s="624">
        <f t="shared" si="93"/>
        <v>-74.98721986393484</v>
      </c>
      <c r="AJ80" s="625">
        <f t="shared" si="94"/>
        <v>-149.88730161636019</v>
      </c>
      <c r="AK80" s="4">
        <f t="shared" si="213"/>
        <v>0.9658651996024461</v>
      </c>
      <c r="AL80" s="5">
        <f t="shared" si="95"/>
        <v>2.3552660683994198E-3</v>
      </c>
      <c r="AM80" s="6">
        <f t="shared" si="96"/>
        <v>-0.2590344936850576</v>
      </c>
      <c r="AN80" s="612">
        <f t="shared" si="97"/>
        <v>0.52094639901540762</v>
      </c>
      <c r="AO80" s="613">
        <f t="shared" si="466"/>
        <v>15.013415304412783</v>
      </c>
      <c r="AP80" s="624">
        <f t="shared" si="99"/>
        <v>0.13971570559539098</v>
      </c>
      <c r="AQ80" s="625">
        <f t="shared" si="476"/>
        <v>4.3314696377221624</v>
      </c>
      <c r="AS80" s="56">
        <f t="shared" si="550"/>
        <v>-240.02701732195555</v>
      </c>
      <c r="AT80" s="77">
        <f t="shared" si="477"/>
        <v>0.83186850620608421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7.1130000000000004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-3.1519223555435967</v>
      </c>
      <c r="C81" s="771">
        <v>-1.7907581477146428</v>
      </c>
      <c r="D81" s="772">
        <v>-0.19270058118495287</v>
      </c>
      <c r="E81" s="773">
        <v>0.37026015414290131</v>
      </c>
      <c r="F81" s="771">
        <v>-0.89953262721210892</v>
      </c>
      <c r="G81" s="774">
        <v>0.23183716448178918</v>
      </c>
      <c r="H81" s="773">
        <v>0.314</v>
      </c>
      <c r="I81" s="771">
        <v>0.52</v>
      </c>
      <c r="J81" s="601">
        <v>7.1189999999999998</v>
      </c>
      <c r="K81" s="426" t="str">
        <f t="shared" si="651"/>
        <v>1613</v>
      </c>
      <c r="L81" s="327"/>
      <c r="M81" s="173">
        <f t="shared" si="469"/>
        <v>7.1189999999999998</v>
      </c>
      <c r="N81" s="21">
        <f t="shared" si="470"/>
        <v>-3.1519223555435967</v>
      </c>
      <c r="O81" s="5">
        <f t="shared" si="471"/>
        <v>-1.7907581477146428</v>
      </c>
      <c r="P81" s="10">
        <f t="shared" si="472"/>
        <v>-0.19270058118495287</v>
      </c>
      <c r="Q81" s="624">
        <f t="shared" si="528"/>
        <v>209.60298273146583</v>
      </c>
      <c r="R81" s="5">
        <f t="shared" si="83"/>
        <v>3.6251109333345748</v>
      </c>
      <c r="S81" s="6">
        <f t="shared" si="84"/>
        <v>-0.19270058118495287</v>
      </c>
      <c r="T81" s="4">
        <f t="shared" si="85"/>
        <v>-1.7907581477146417</v>
      </c>
      <c r="U81" s="5">
        <f t="shared" si="86"/>
        <v>3.1519223555435971</v>
      </c>
      <c r="V81" s="8">
        <f t="shared" si="117"/>
        <v>-0.19270058118495287</v>
      </c>
      <c r="W81" s="624">
        <f t="shared" si="652"/>
        <v>119.60298273146583</v>
      </c>
      <c r="X81" s="5">
        <f t="shared" si="87"/>
        <v>3.6251109333345748</v>
      </c>
      <c r="Y81" s="7">
        <f t="shared" si="650"/>
        <v>-0.19270058118495287</v>
      </c>
      <c r="Z81" s="21">
        <f t="shared" si="473"/>
        <v>-0.37026015414290131</v>
      </c>
      <c r="AA81" s="5">
        <f t="shared" si="474"/>
        <v>0.89953262721210892</v>
      </c>
      <c r="AB81" s="5">
        <f t="shared" si="475"/>
        <v>-0.23183716448178918</v>
      </c>
      <c r="AC81" s="8">
        <f t="shared" si="88"/>
        <v>1</v>
      </c>
      <c r="AD81" s="9">
        <f t="shared" si="118"/>
        <v>-0.37026015414290131</v>
      </c>
      <c r="AE81" s="5">
        <f t="shared" si="89"/>
        <v>0.89953262721210892</v>
      </c>
      <c r="AF81" s="10">
        <f t="shared" si="90"/>
        <v>-0.23183716448178918</v>
      </c>
      <c r="AG81" s="622">
        <f t="shared" si="91"/>
        <v>75.547639928029028</v>
      </c>
      <c r="AH81" s="623">
        <f t="shared" si="92"/>
        <v>111.73166255385213</v>
      </c>
      <c r="AI81" s="624">
        <f t="shared" si="93"/>
        <v>-76.594742536396396</v>
      </c>
      <c r="AJ81" s="625">
        <f t="shared" si="94"/>
        <v>-157.62725209911892</v>
      </c>
      <c r="AK81" s="4">
        <f t="shared" si="213"/>
        <v>0.96501967784976439</v>
      </c>
      <c r="AL81" s="5">
        <f t="shared" si="95"/>
        <v>-0.12242773594157796</v>
      </c>
      <c r="AM81" s="6">
        <f t="shared" si="96"/>
        <v>-0.23183716448178918</v>
      </c>
      <c r="AN81" s="612">
        <f t="shared" si="97"/>
        <v>-27.837477068544622</v>
      </c>
      <c r="AO81" s="613">
        <f t="shared" si="466"/>
        <v>15.199304326100648</v>
      </c>
      <c r="AP81" s="624">
        <f t="shared" si="99"/>
        <v>-7.2302348305847435</v>
      </c>
      <c r="AQ81" s="625">
        <f t="shared" si="476"/>
        <v>3.4170006494316003</v>
      </c>
      <c r="AS81" s="56">
        <f t="shared" si="550"/>
        <v>-240.39701726853417</v>
      </c>
      <c r="AT81" s="77">
        <f t="shared" si="477"/>
        <v>0.71546592849617618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7.1189999999999998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-3.824333872178538</v>
      </c>
      <c r="C82" s="771">
        <v>-2.119337877361128</v>
      </c>
      <c r="D82" s="772">
        <v>-0.62460188379928161</v>
      </c>
      <c r="E82" s="773">
        <v>0.28333148694706967</v>
      </c>
      <c r="F82" s="771">
        <v>-0.94458876968037386</v>
      </c>
      <c r="G82" s="774">
        <v>0.16575682398646591</v>
      </c>
      <c r="H82" s="773">
        <v>0.314</v>
      </c>
      <c r="I82" s="771">
        <v>0.52</v>
      </c>
      <c r="J82" s="601">
        <v>7.1269999999999998</v>
      </c>
      <c r="K82" s="426" t="str">
        <f t="shared" si="651"/>
        <v>1613</v>
      </c>
      <c r="L82" s="327"/>
      <c r="M82" s="173">
        <f t="shared" si="469"/>
        <v>7.1269999999999998</v>
      </c>
      <c r="N82" s="21">
        <f t="shared" si="470"/>
        <v>-3.824333872178538</v>
      </c>
      <c r="O82" s="5">
        <f t="shared" si="471"/>
        <v>-2.119337877361128</v>
      </c>
      <c r="P82" s="10">
        <f t="shared" si="472"/>
        <v>-0.62460188379928161</v>
      </c>
      <c r="Q82" s="624">
        <f t="shared" si="528"/>
        <v>208.99398281939455</v>
      </c>
      <c r="R82" s="5">
        <f t="shared" si="83"/>
        <v>4.372313186896573</v>
      </c>
      <c r="S82" s="6">
        <f t="shared" si="84"/>
        <v>-0.62460188379928161</v>
      </c>
      <c r="T82" s="4">
        <f t="shared" si="85"/>
        <v>-2.1193378773611284</v>
      </c>
      <c r="U82" s="5">
        <f t="shared" si="86"/>
        <v>3.8243338721785385</v>
      </c>
      <c r="V82" s="8">
        <f t="shared" si="117"/>
        <v>-0.62460188379928161</v>
      </c>
      <c r="W82" s="624">
        <f t="shared" si="652"/>
        <v>118.99398281939455</v>
      </c>
      <c r="X82" s="5">
        <f t="shared" si="87"/>
        <v>4.372313186896573</v>
      </c>
      <c r="Y82" s="7">
        <f t="shared" si="650"/>
        <v>-0.62460188379928161</v>
      </c>
      <c r="Z82" s="21">
        <f t="shared" si="473"/>
        <v>-0.28333148694706967</v>
      </c>
      <c r="AA82" s="5">
        <f t="shared" si="474"/>
        <v>0.94458876968037386</v>
      </c>
      <c r="AB82" s="5">
        <f t="shared" si="475"/>
        <v>-0.16575682398646591</v>
      </c>
      <c r="AC82" s="8">
        <f t="shared" si="88"/>
        <v>1</v>
      </c>
      <c r="AD82" s="9">
        <f t="shared" si="118"/>
        <v>-0.28333148694706967</v>
      </c>
      <c r="AE82" s="5">
        <f t="shared" si="89"/>
        <v>0.94458876968037386</v>
      </c>
      <c r="AF82" s="10">
        <f t="shared" si="90"/>
        <v>-0.16575682398646591</v>
      </c>
      <c r="AG82" s="622">
        <f t="shared" si="91"/>
        <v>80.047049162134641</v>
      </c>
      <c r="AH82" s="623">
        <f t="shared" si="92"/>
        <v>106.45913931779164</v>
      </c>
      <c r="AI82" s="624">
        <f t="shared" si="93"/>
        <v>-80.458797275385905</v>
      </c>
      <c r="AJ82" s="625">
        <f t="shared" si="94"/>
        <v>-163.30326799193108</v>
      </c>
      <c r="AK82" s="4">
        <f t="shared" si="213"/>
        <v>0.96353984703789175</v>
      </c>
      <c r="AL82" s="5">
        <f t="shared" si="95"/>
        <v>-0.21003723115704079</v>
      </c>
      <c r="AM82" s="6">
        <f t="shared" si="96"/>
        <v>-0.16575682398646591</v>
      </c>
      <c r="AN82" s="612">
        <f t="shared" si="97"/>
        <v>-51.720264522197553</v>
      </c>
      <c r="AO82" s="613">
        <f t="shared" si="466"/>
        <v>15.519414059676837</v>
      </c>
      <c r="AP82" s="624">
        <f t="shared" si="99"/>
        <v>-12.297250811325608</v>
      </c>
      <c r="AQ82" s="625">
        <f t="shared" si="476"/>
        <v>2.8341054572117108</v>
      </c>
      <c r="AS82" s="56">
        <f t="shared" si="550"/>
        <v>-241.00601718060545</v>
      </c>
      <c r="AT82" s="77">
        <f t="shared" si="477"/>
        <v>0.28586529221633905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7.1269999999999998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-4.3209543088349252</v>
      </c>
      <c r="C83" s="771">
        <v>-2.3423758404665369</v>
      </c>
      <c r="D83" s="772">
        <v>-1.1834035691451648</v>
      </c>
      <c r="E83" s="773">
        <v>0.2445797567579108</v>
      </c>
      <c r="F83" s="771">
        <v>-0.96185366904399017</v>
      </c>
      <c r="G83" s="774">
        <v>0.12254901848181192</v>
      </c>
      <c r="H83" s="773">
        <v>0.314</v>
      </c>
      <c r="I83" s="771">
        <v>0.52</v>
      </c>
      <c r="J83" s="601">
        <v>7.1360000000000001</v>
      </c>
      <c r="K83" s="426" t="str">
        <f t="shared" si="651"/>
        <v>1613</v>
      </c>
      <c r="L83" s="327"/>
      <c r="M83" s="173">
        <f t="shared" si="469"/>
        <v>7.1360000000000001</v>
      </c>
      <c r="N83" s="21">
        <f t="shared" si="470"/>
        <v>-4.3209543088349252</v>
      </c>
      <c r="O83" s="5">
        <f t="shared" si="471"/>
        <v>-2.3423758404665369</v>
      </c>
      <c r="P83" s="10">
        <f t="shared" si="472"/>
        <v>-1.1834035691451648</v>
      </c>
      <c r="Q83" s="624">
        <f t="shared" si="528"/>
        <v>208.46198289620582</v>
      </c>
      <c r="R83" s="5">
        <f t="shared" si="83"/>
        <v>4.9150148236847082</v>
      </c>
      <c r="S83" s="6">
        <f t="shared" si="84"/>
        <v>-1.1834035691451648</v>
      </c>
      <c r="T83" s="4">
        <f t="shared" si="85"/>
        <v>-2.3423758404665356</v>
      </c>
      <c r="U83" s="5">
        <f t="shared" si="86"/>
        <v>4.320954308834926</v>
      </c>
      <c r="V83" s="8">
        <f t="shared" si="117"/>
        <v>-1.1834035691451648</v>
      </c>
      <c r="W83" s="624">
        <f t="shared" si="652"/>
        <v>118.46198289620582</v>
      </c>
      <c r="X83" s="5">
        <f t="shared" si="87"/>
        <v>4.9150148236847082</v>
      </c>
      <c r="Y83" s="7">
        <f t="shared" si="650"/>
        <v>-1.1834035691451648</v>
      </c>
      <c r="Z83" s="21">
        <f t="shared" si="473"/>
        <v>-0.2445797567579108</v>
      </c>
      <c r="AA83" s="5">
        <f t="shared" si="474"/>
        <v>0.96185366904399017</v>
      </c>
      <c r="AB83" s="5">
        <f t="shared" si="475"/>
        <v>-0.12254901848181192</v>
      </c>
      <c r="AC83" s="8">
        <f t="shared" si="88"/>
        <v>1</v>
      </c>
      <c r="AD83" s="9">
        <f t="shared" si="118"/>
        <v>-0.2445797567579108</v>
      </c>
      <c r="AE83" s="5">
        <f t="shared" si="89"/>
        <v>0.96185366904399017</v>
      </c>
      <c r="AF83" s="10">
        <f t="shared" si="90"/>
        <v>-0.12254901848181192</v>
      </c>
      <c r="AG83" s="622">
        <f t="shared" si="91"/>
        <v>82.739110145567736</v>
      </c>
      <c r="AH83" s="623">
        <f t="shared" si="92"/>
        <v>104.15700002746247</v>
      </c>
      <c r="AI83" s="624">
        <f t="shared" si="93"/>
        <v>-82.960763382538843</v>
      </c>
      <c r="AJ83" s="625">
        <f t="shared" si="94"/>
        <v>-165.73321114769277</v>
      </c>
      <c r="AK83" s="4">
        <f t="shared" si="213"/>
        <v>0.96215853637567483</v>
      </c>
      <c r="AL83" s="5">
        <f t="shared" si="95"/>
        <v>-0.24337766731679333</v>
      </c>
      <c r="AM83" s="6">
        <f t="shared" si="96"/>
        <v>-0.12254901848181192</v>
      </c>
      <c r="AN83" s="612">
        <f t="shared" si="97"/>
        <v>-63.273174731656646</v>
      </c>
      <c r="AO83" s="613">
        <f t="shared" si="466"/>
        <v>15.812506711732549</v>
      </c>
      <c r="AP83" s="624">
        <f t="shared" si="99"/>
        <v>-14.195194043898585</v>
      </c>
      <c r="AQ83" s="625">
        <f t="shared" si="476"/>
        <v>2.5216007124902347</v>
      </c>
      <c r="AS83" s="56">
        <f t="shared" si="550"/>
        <v>-241.53801710379418</v>
      </c>
      <c r="AT83" s="77">
        <f t="shared" si="477"/>
        <v>-0.27092661564194231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7.1360000000000001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0.02</v>
      </c>
      <c r="B84" s="770">
        <v>-4.7047221853872641</v>
      </c>
      <c r="C84" s="771">
        <v>-2.5036503036578939</v>
      </c>
      <c r="D84" s="772">
        <v>-1.8435055600127692</v>
      </c>
      <c r="E84" s="773">
        <v>0.20305373282096878</v>
      </c>
      <c r="F84" s="771">
        <v>-0.97523083797458787</v>
      </c>
      <c r="G84" s="774">
        <v>8.7715416266775939E-2</v>
      </c>
      <c r="H84" s="773">
        <v>0.314</v>
      </c>
      <c r="I84" s="771">
        <v>0.52</v>
      </c>
      <c r="J84" s="601">
        <v>7.1449999999999996</v>
      </c>
      <c r="K84" s="426" t="str">
        <f t="shared" si="651"/>
        <v>1613</v>
      </c>
      <c r="L84" s="327"/>
      <c r="M84" s="173">
        <f t="shared" si="469"/>
        <v>7.1449999999999996</v>
      </c>
      <c r="N84" s="21">
        <f t="shared" si="470"/>
        <v>-4.7047221853872641</v>
      </c>
      <c r="O84" s="5">
        <f t="shared" si="471"/>
        <v>-2.5036503036578939</v>
      </c>
      <c r="P84" s="10">
        <f t="shared" si="472"/>
        <v>-1.8435055600127692</v>
      </c>
      <c r="Q84" s="624">
        <f t="shared" si="528"/>
        <v>208.01998296002273</v>
      </c>
      <c r="R84" s="5">
        <f t="shared" si="83"/>
        <v>5.3294160735188782</v>
      </c>
      <c r="S84" s="6">
        <f t="shared" si="84"/>
        <v>-1.8435055600127692</v>
      </c>
      <c r="T84" s="4">
        <f t="shared" si="85"/>
        <v>-2.5036503036578943</v>
      </c>
      <c r="U84" s="5">
        <f t="shared" si="86"/>
        <v>4.7047221853872632</v>
      </c>
      <c r="V84" s="8">
        <f t="shared" si="117"/>
        <v>-1.8435055600127692</v>
      </c>
      <c r="W84" s="624">
        <f t="shared" si="652"/>
        <v>118.01998296002273</v>
      </c>
      <c r="X84" s="5">
        <f t="shared" si="87"/>
        <v>5.3294160735188782</v>
      </c>
      <c r="Y84" s="7">
        <f t="shared" si="650"/>
        <v>-1.8435055600127692</v>
      </c>
      <c r="Z84" s="21">
        <f t="shared" si="473"/>
        <v>-0.20305373282096878</v>
      </c>
      <c r="AA84" s="5">
        <f t="shared" si="474"/>
        <v>0.97523083797458787</v>
      </c>
      <c r="AB84" s="5">
        <f t="shared" si="475"/>
        <v>-8.7715416266775939E-2</v>
      </c>
      <c r="AC84" s="8">
        <f t="shared" si="88"/>
        <v>1</v>
      </c>
      <c r="AD84" s="9">
        <f t="shared" si="118"/>
        <v>-0.20305373282096878</v>
      </c>
      <c r="AE84" s="5">
        <f t="shared" si="89"/>
        <v>0.97523083797458787</v>
      </c>
      <c r="AF84" s="10">
        <f t="shared" si="90"/>
        <v>-8.7715416266775939E-2</v>
      </c>
      <c r="AG84" s="622">
        <f t="shared" si="91"/>
        <v>84.860461730711251</v>
      </c>
      <c r="AH84" s="623">
        <f t="shared" si="92"/>
        <v>101.71559009079047</v>
      </c>
      <c r="AI84" s="624">
        <f t="shared" si="93"/>
        <v>-84.967809786162434</v>
      </c>
      <c r="AJ84" s="625">
        <f t="shared" si="94"/>
        <v>-168.2384319597837</v>
      </c>
      <c r="AK84" s="4">
        <f t="shared" si="213"/>
        <v>0.95630846397095237</v>
      </c>
      <c r="AL84" s="5">
        <f t="shared" si="95"/>
        <v>-0.27889088813846863</v>
      </c>
      <c r="AM84" s="6">
        <f t="shared" si="96"/>
        <v>-8.7715416266775939E-2</v>
      </c>
      <c r="AN84" s="612">
        <f t="shared" si="97"/>
        <v>-72.540847147455452</v>
      </c>
      <c r="AO84" s="613">
        <f t="shared" si="466"/>
        <v>16.999273330464771</v>
      </c>
      <c r="AP84" s="624">
        <f t="shared" si="99"/>
        <v>-16.258414919806423</v>
      </c>
      <c r="AQ84" s="625">
        <f t="shared" si="476"/>
        <v>2.3257521031320372</v>
      </c>
      <c r="AS84" s="56">
        <f t="shared" si="550"/>
        <v>-241.98001703997727</v>
      </c>
      <c r="AT84" s="77">
        <f t="shared" si="477"/>
        <v>-0.92935882897285504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7.1449999999999996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0.02</v>
      </c>
      <c r="B85" s="770">
        <v>-4.9749566513522163</v>
      </c>
      <c r="C85" s="771">
        <v>-2.6116872312315165</v>
      </c>
      <c r="D85" s="772">
        <v>-2.5674077433017533</v>
      </c>
      <c r="E85" s="773">
        <v>0.15490214991876053</v>
      </c>
      <c r="F85" s="771">
        <v>-0.98626711788037702</v>
      </c>
      <c r="G85" s="774">
        <v>5.7293072342828662E-2</v>
      </c>
      <c r="H85" s="773">
        <v>0.314</v>
      </c>
      <c r="I85" s="771">
        <v>0.52</v>
      </c>
      <c r="J85" s="601">
        <v>7.1539999999999999</v>
      </c>
      <c r="K85" s="426" t="str">
        <f t="shared" si="651"/>
        <v>1613</v>
      </c>
      <c r="L85" s="327"/>
      <c r="M85" s="173">
        <f t="shared" si="469"/>
        <v>7.1539999999999999</v>
      </c>
      <c r="N85" s="21">
        <f t="shared" si="470"/>
        <v>-4.9749566513522163</v>
      </c>
      <c r="O85" s="5">
        <f t="shared" si="471"/>
        <v>-2.6116872312315165</v>
      </c>
      <c r="P85" s="10">
        <f t="shared" si="472"/>
        <v>-2.5674077433017533</v>
      </c>
      <c r="Q85" s="624">
        <f t="shared" si="528"/>
        <v>207.69798300651377</v>
      </c>
      <c r="R85" s="5">
        <f t="shared" si="83"/>
        <v>5.6188169463519104</v>
      </c>
      <c r="S85" s="6">
        <f t="shared" si="84"/>
        <v>-2.5674077433017533</v>
      </c>
      <c r="T85" s="4">
        <f t="shared" si="85"/>
        <v>-2.6116872312315165</v>
      </c>
      <c r="U85" s="5">
        <f t="shared" si="86"/>
        <v>4.9749566513522172</v>
      </c>
      <c r="V85" s="8">
        <f t="shared" si="117"/>
        <v>-2.5674077433017533</v>
      </c>
      <c r="W85" s="624">
        <f t="shared" si="652"/>
        <v>117.69798300651377</v>
      </c>
      <c r="X85" s="5">
        <f t="shared" si="87"/>
        <v>5.6188169463519104</v>
      </c>
      <c r="Y85" s="7">
        <f t="shared" si="650"/>
        <v>-2.5674077433017533</v>
      </c>
      <c r="Z85" s="21">
        <f t="shared" si="473"/>
        <v>-0.15490214991876053</v>
      </c>
      <c r="AA85" s="5">
        <f t="shared" si="474"/>
        <v>0.98626711788037702</v>
      </c>
      <c r="AB85" s="5">
        <f t="shared" si="475"/>
        <v>-5.7293072342828662E-2</v>
      </c>
      <c r="AC85" s="8">
        <f t="shared" si="88"/>
        <v>1</v>
      </c>
      <c r="AD85" s="9">
        <f t="shared" si="118"/>
        <v>-0.15490214991876053</v>
      </c>
      <c r="AE85" s="5">
        <f t="shared" si="89"/>
        <v>0.98626711788037702</v>
      </c>
      <c r="AF85" s="10">
        <f t="shared" si="90"/>
        <v>-5.7293072342828662E-2</v>
      </c>
      <c r="AG85" s="622">
        <f t="shared" si="91"/>
        <v>86.675377131028483</v>
      </c>
      <c r="AH85" s="623">
        <f t="shared" si="92"/>
        <v>98.911121315232464</v>
      </c>
      <c r="AI85" s="624">
        <f t="shared" si="93"/>
        <v>-86.71555021981473</v>
      </c>
      <c r="AJ85" s="625">
        <f t="shared" si="94"/>
        <v>-171.07409754952752</v>
      </c>
      <c r="AK85" s="4">
        <f t="shared" si="213"/>
        <v>0.94525096223155303</v>
      </c>
      <c r="AL85" s="5">
        <f t="shared" si="95"/>
        <v>-0.32127577291455212</v>
      </c>
      <c r="AM85" s="6">
        <f t="shared" si="96"/>
        <v>-5.7293072342828662E-2</v>
      </c>
      <c r="AN85" s="612">
        <f t="shared" si="97"/>
        <v>-79.888740539425228</v>
      </c>
      <c r="AO85" s="613">
        <f t="shared" si="466"/>
        <v>19.047040411522019</v>
      </c>
      <c r="AP85" s="624">
        <f t="shared" si="99"/>
        <v>-18.772080556041285</v>
      </c>
      <c r="AQ85" s="625">
        <f t="shared" si="476"/>
        <v>2.2060842731779324</v>
      </c>
      <c r="AS85" s="56">
        <f t="shared" si="550"/>
        <v>-242.30201699348623</v>
      </c>
      <c r="AT85" s="77">
        <f t="shared" si="477"/>
        <v>-1.6520445679930273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7.1539999999999999</v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0.02</v>
      </c>
      <c r="B86" s="770">
        <v>-5.1342031748997057</v>
      </c>
      <c r="C86" s="771">
        <v>-2.6731506551988184</v>
      </c>
      <c r="D86" s="772">
        <v>-3.3286100390878781</v>
      </c>
      <c r="E86" s="773">
        <v>8.0931486120445401E-2</v>
      </c>
      <c r="F86" s="771">
        <v>-0.99619587995662351</v>
      </c>
      <c r="G86" s="774">
        <v>3.2308873576539693E-2</v>
      </c>
      <c r="H86" s="773">
        <v>0.314</v>
      </c>
      <c r="I86" s="771">
        <v>0.52</v>
      </c>
      <c r="J86" s="601">
        <v>7.1630000000000003</v>
      </c>
      <c r="K86" s="426" t="str">
        <f t="shared" si="651"/>
        <v>1613</v>
      </c>
      <c r="L86" s="327"/>
      <c r="M86" s="173">
        <f t="shared" si="469"/>
        <v>7.1630000000000003</v>
      </c>
      <c r="N86" s="21">
        <f t="shared" si="470"/>
        <v>-5.1342031748997057</v>
      </c>
      <c r="O86" s="5">
        <f t="shared" si="471"/>
        <v>-2.6731506551988184</v>
      </c>
      <c r="P86" s="10">
        <f t="shared" si="472"/>
        <v>-3.3286100390878781</v>
      </c>
      <c r="Q86" s="624">
        <f t="shared" si="528"/>
        <v>207.50398303452388</v>
      </c>
      <c r="R86" s="5">
        <f t="shared" si="83"/>
        <v>5.7884174578670544</v>
      </c>
      <c r="S86" s="6">
        <f t="shared" si="84"/>
        <v>-3.3286100390878781</v>
      </c>
      <c r="T86" s="4">
        <f t="shared" si="85"/>
        <v>-2.6731506551988176</v>
      </c>
      <c r="U86" s="5">
        <f t="shared" si="86"/>
        <v>5.1342031748997066</v>
      </c>
      <c r="V86" s="8">
        <f t="shared" si="117"/>
        <v>-3.3286100390878781</v>
      </c>
      <c r="W86" s="624">
        <f t="shared" si="652"/>
        <v>117.50398303452388</v>
      </c>
      <c r="X86" s="5">
        <f t="shared" si="87"/>
        <v>5.7884174578670544</v>
      </c>
      <c r="Y86" s="7">
        <f t="shared" si="650"/>
        <v>-3.3286100390878781</v>
      </c>
      <c r="Z86" s="21">
        <f t="shared" si="473"/>
        <v>-8.0931486120445401E-2</v>
      </c>
      <c r="AA86" s="5">
        <f t="shared" si="474"/>
        <v>0.99619587995662351</v>
      </c>
      <c r="AB86" s="5">
        <f t="shared" si="475"/>
        <v>-3.2308873576539693E-2</v>
      </c>
      <c r="AC86" s="8">
        <f t="shared" si="88"/>
        <v>1</v>
      </c>
      <c r="AD86" s="9">
        <f t="shared" si="118"/>
        <v>-8.0931486120445401E-2</v>
      </c>
      <c r="AE86" s="5">
        <f t="shared" si="89"/>
        <v>0.99619587995662351</v>
      </c>
      <c r="AF86" s="10">
        <f t="shared" si="90"/>
        <v>-3.2308873576539693E-2</v>
      </c>
      <c r="AG86" s="622">
        <f t="shared" si="91"/>
        <v>88.142420085736617</v>
      </c>
      <c r="AH86" s="623">
        <f t="shared" si="92"/>
        <v>94.642109583773831</v>
      </c>
      <c r="AI86" s="624">
        <f t="shared" si="93"/>
        <v>-88.148515691831633</v>
      </c>
      <c r="AJ86" s="625">
        <f t="shared" si="94"/>
        <v>-175.35546033003828</v>
      </c>
      <c r="AK86" s="4">
        <f t="shared" si="213"/>
        <v>0.920979549876623</v>
      </c>
      <c r="AL86" s="5">
        <f t="shared" si="95"/>
        <v>-0.38826898588126801</v>
      </c>
      <c r="AM86" s="6">
        <f t="shared" si="96"/>
        <v>-3.2308873576539693E-2</v>
      </c>
      <c r="AN86" s="612">
        <f t="shared" si="97"/>
        <v>-85.243227923135876</v>
      </c>
      <c r="AO86" s="613">
        <f t="shared" si="466"/>
        <v>22.930291855050886</v>
      </c>
      <c r="AP86" s="624">
        <f t="shared" si="99"/>
        <v>-22.859443364562186</v>
      </c>
      <c r="AQ86" s="625">
        <f t="shared" si="476"/>
        <v>2.1415071391530018</v>
      </c>
      <c r="AS86" s="56">
        <f t="shared" si="550"/>
        <v>-242.49601696547612</v>
      </c>
      <c r="AT86" s="77">
        <f t="shared" si="477"/>
        <v>-2.4125139749960796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7.1630000000000003</v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0.02</v>
      </c>
      <c r="B87" s="770">
        <v>-5.1846617563498052</v>
      </c>
      <c r="C87" s="771">
        <v>-2.6922949948112942</v>
      </c>
      <c r="D87" s="772">
        <v>-4.106612385542955</v>
      </c>
      <c r="E87" s="773">
        <v>2.8108366807159703E-2</v>
      </c>
      <c r="F87" s="771">
        <v>-0.9995948215106476</v>
      </c>
      <c r="G87" s="774">
        <v>-4.4846989342609252E-3</v>
      </c>
      <c r="H87" s="773">
        <v>0.314</v>
      </c>
      <c r="I87" s="771">
        <v>0.52</v>
      </c>
      <c r="J87" s="601">
        <v>7.1719999999999997</v>
      </c>
      <c r="K87" s="426" t="str">
        <f t="shared" si="651"/>
        <v>1613</v>
      </c>
      <c r="L87" s="327"/>
      <c r="M87" s="173">
        <f t="shared" si="469"/>
        <v>7.1719999999999997</v>
      </c>
      <c r="N87" s="21">
        <f t="shared" si="470"/>
        <v>-5.1846617563498052</v>
      </c>
      <c r="O87" s="5">
        <f t="shared" si="471"/>
        <v>-2.6922949948112942</v>
      </c>
      <c r="P87" s="10">
        <f t="shared" si="472"/>
        <v>-4.106612385542955</v>
      </c>
      <c r="Q87" s="624">
        <f t="shared" si="528"/>
        <v>207.4419830434756</v>
      </c>
      <c r="R87" s="5">
        <f t="shared" si="83"/>
        <v>5.8420176195251408</v>
      </c>
      <c r="S87" s="6">
        <f t="shared" si="84"/>
        <v>-4.106612385542955</v>
      </c>
      <c r="T87" s="4">
        <f t="shared" si="85"/>
        <v>-2.6922949948112951</v>
      </c>
      <c r="U87" s="5">
        <f t="shared" si="86"/>
        <v>5.1846617563498052</v>
      </c>
      <c r="V87" s="8">
        <f t="shared" si="117"/>
        <v>-4.106612385542955</v>
      </c>
      <c r="W87" s="624">
        <f t="shared" si="652"/>
        <v>117.4419830434756</v>
      </c>
      <c r="X87" s="5">
        <f t="shared" si="87"/>
        <v>5.8420176195251408</v>
      </c>
      <c r="Y87" s="7">
        <f t="shared" si="650"/>
        <v>-4.106612385542955</v>
      </c>
      <c r="Z87" s="21">
        <f t="shared" si="473"/>
        <v>-2.8108366807159703E-2</v>
      </c>
      <c r="AA87" s="5">
        <f t="shared" si="474"/>
        <v>0.9995948215106476</v>
      </c>
      <c r="AB87" s="5">
        <f t="shared" si="475"/>
        <v>4.4846989342609252E-3</v>
      </c>
      <c r="AC87" s="8">
        <f t="shared" si="88"/>
        <v>1</v>
      </c>
      <c r="AD87" s="9">
        <f t="shared" si="118"/>
        <v>-2.8108366807159703E-2</v>
      </c>
      <c r="AE87" s="5">
        <f t="shared" si="89"/>
        <v>0.9995948215106476</v>
      </c>
      <c r="AF87" s="10">
        <f t="shared" si="90"/>
        <v>4.4846989342609252E-3</v>
      </c>
      <c r="AG87" s="622">
        <f t="shared" si="91"/>
        <v>90.257056751143381</v>
      </c>
      <c r="AH87" s="623">
        <f t="shared" si="92"/>
        <v>91.610702931992932</v>
      </c>
      <c r="AI87" s="624">
        <f t="shared" si="93"/>
        <v>-90.256955182661116</v>
      </c>
      <c r="AJ87" s="625">
        <f t="shared" si="94"/>
        <v>-178.38928086584318</v>
      </c>
      <c r="AK87" s="4">
        <f t="shared" si="213"/>
        <v>0.90007209848610614</v>
      </c>
      <c r="AL87" s="5">
        <f t="shared" si="95"/>
        <v>-0.43571791907412599</v>
      </c>
      <c r="AM87" s="6">
        <f t="shared" si="96"/>
        <v>4.4846989342609252E-3</v>
      </c>
      <c r="AN87" s="612">
        <f t="shared" si="97"/>
        <v>-90.5897054879389</v>
      </c>
      <c r="AO87" s="613">
        <f t="shared" si="466"/>
        <v>25.832454120340323</v>
      </c>
      <c r="AP87" s="624">
        <f t="shared" si="99"/>
        <v>-25.83126390931881</v>
      </c>
      <c r="AQ87" s="625">
        <f t="shared" si="476"/>
        <v>2.1218769825314259</v>
      </c>
      <c r="AS87" s="56">
        <f t="shared" si="550"/>
        <v>-242.5580169565244</v>
      </c>
      <c r="AT87" s="77">
        <f t="shared" si="477"/>
        <v>-3.1902820992627516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7.1719999999999997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0.02</v>
      </c>
      <c r="B88" s="770">
        <v>-5.2170804623613449</v>
      </c>
      <c r="C88" s="771">
        <v>-2.7045067401798275</v>
      </c>
      <c r="D88" s="772">
        <v>-4.8857147353156423</v>
      </c>
      <c r="E88" s="773">
        <v>-4.5328337472167531E-2</v>
      </c>
      <c r="F88" s="771">
        <v>-0.99897214266564838</v>
      </c>
      <c r="G88" s="774">
        <v>1.1339743340386527E-7</v>
      </c>
      <c r="H88" s="773">
        <v>0.314</v>
      </c>
      <c r="I88" s="771">
        <v>0.52</v>
      </c>
      <c r="J88" s="601">
        <v>7.181</v>
      </c>
      <c r="K88" s="426" t="str">
        <f t="shared" si="651"/>
        <v>1613</v>
      </c>
      <c r="L88" s="327"/>
      <c r="M88" s="173">
        <f t="shared" si="469"/>
        <v>7.181</v>
      </c>
      <c r="N88" s="21">
        <f t="shared" si="470"/>
        <v>-5.2170804623613449</v>
      </c>
      <c r="O88" s="5">
        <f t="shared" si="471"/>
        <v>-2.7045067401798275</v>
      </c>
      <c r="P88" s="10">
        <f t="shared" si="472"/>
        <v>-4.8857147353156423</v>
      </c>
      <c r="Q88" s="624">
        <f t="shared" si="528"/>
        <v>207.40198304925087</v>
      </c>
      <c r="R88" s="5">
        <f t="shared" si="83"/>
        <v>5.8764177232758552</v>
      </c>
      <c r="S88" s="6">
        <f t="shared" si="84"/>
        <v>-4.8857147353156423</v>
      </c>
      <c r="T88" s="4">
        <f t="shared" si="85"/>
        <v>-2.7045067401798271</v>
      </c>
      <c r="U88" s="5">
        <f t="shared" si="86"/>
        <v>5.2170804623613458</v>
      </c>
      <c r="V88" s="8">
        <f t="shared" si="117"/>
        <v>-4.8857147353156423</v>
      </c>
      <c r="W88" s="624">
        <f t="shared" si="652"/>
        <v>117.40198304925087</v>
      </c>
      <c r="X88" s="5">
        <f t="shared" si="87"/>
        <v>5.8764177232758552</v>
      </c>
      <c r="Y88" s="7">
        <f t="shared" si="650"/>
        <v>-4.8857147353156423</v>
      </c>
      <c r="Z88" s="21">
        <f t="shared" si="473"/>
        <v>4.5328337472167531E-2</v>
      </c>
      <c r="AA88" s="5">
        <f t="shared" si="474"/>
        <v>0.99897214266564838</v>
      </c>
      <c r="AB88" s="5">
        <f t="shared" si="475"/>
        <v>-1.1339743340386527E-7</v>
      </c>
      <c r="AC88" s="8">
        <f t="shared" si="88"/>
        <v>1</v>
      </c>
      <c r="AD88" s="9">
        <f t="shared" si="118"/>
        <v>4.5328337472167531E-2</v>
      </c>
      <c r="AE88" s="5">
        <f t="shared" si="89"/>
        <v>0.99897214266564838</v>
      </c>
      <c r="AF88" s="10">
        <f t="shared" si="90"/>
        <v>-1.1339743340386527E-7</v>
      </c>
      <c r="AG88" s="622">
        <f t="shared" si="91"/>
        <v>89.999993496120595</v>
      </c>
      <c r="AH88" s="623">
        <f t="shared" si="92"/>
        <v>87.401987380714999</v>
      </c>
      <c r="AI88" s="624">
        <f t="shared" si="93"/>
        <v>-89.999993502805651</v>
      </c>
      <c r="AJ88" s="625">
        <f t="shared" si="94"/>
        <v>177.40198738071496</v>
      </c>
      <c r="AK88" s="4">
        <f t="shared" si="213"/>
        <v>0.86602544158358585</v>
      </c>
      <c r="AL88" s="5">
        <f t="shared" si="95"/>
        <v>-0.49999993452993829</v>
      </c>
      <c r="AM88" s="6">
        <f t="shared" si="96"/>
        <v>-1.1339743340386527E-7</v>
      </c>
      <c r="AN88" s="612">
        <f t="shared" si="97"/>
        <v>-89.999987005609626</v>
      </c>
      <c r="AO88" s="613">
        <f t="shared" si="466"/>
        <v>29.99999566853651</v>
      </c>
      <c r="AP88" s="624">
        <f t="shared" si="99"/>
        <v>-29.999995668535888</v>
      </c>
      <c r="AQ88" s="625">
        <f t="shared" si="476"/>
        <v>2.1094669302611706</v>
      </c>
      <c r="AS88" s="56">
        <f t="shared" si="550"/>
        <v>-242.59801695074913</v>
      </c>
      <c r="AT88" s="77">
        <f t="shared" si="477"/>
        <v>-3.9692333379461457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7.181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</v>
      </c>
      <c r="B89" s="770">
        <v>-2.0882446265739847</v>
      </c>
      <c r="C89" s="771">
        <v>-4.3913384240311944E-2</v>
      </c>
      <c r="D89" s="772">
        <v>-0.18460055675527917</v>
      </c>
      <c r="E89" s="773">
        <v>4.7681818381155911E-9</v>
      </c>
      <c r="F89" s="771">
        <v>-2.2674476755157521E-7</v>
      </c>
      <c r="G89" s="774">
        <v>0.99999999999997435</v>
      </c>
      <c r="H89" s="773">
        <v>0.25700000000000001</v>
      </c>
      <c r="I89" s="771">
        <v>0.41499999999999992</v>
      </c>
      <c r="J89" s="601">
        <v>7.2080000000000002</v>
      </c>
      <c r="K89" s="426" t="str">
        <f t="shared" si="651"/>
        <v>Knuckle</v>
      </c>
      <c r="L89" s="327"/>
      <c r="M89" s="173">
        <f t="shared" si="469"/>
        <v>7.2080000000000002</v>
      </c>
      <c r="N89" s="21">
        <f t="shared" si="470"/>
        <v>-2.0882446265739847</v>
      </c>
      <c r="O89" s="5">
        <f t="shared" si="471"/>
        <v>-4.3913384240311944E-2</v>
      </c>
      <c r="P89" s="10">
        <f t="shared" si="472"/>
        <v>-0.18460055675527917</v>
      </c>
      <c r="Q89" s="624">
        <f t="shared" si="528"/>
        <v>181.20468683167246</v>
      </c>
      <c r="R89" s="5">
        <f t="shared" si="83"/>
        <v>2.0887062995381993</v>
      </c>
      <c r="S89" s="6">
        <f t="shared" si="84"/>
        <v>-0.18460055675527917</v>
      </c>
      <c r="T89" s="4">
        <f t="shared" si="85"/>
        <v>-4.3913384240311722E-2</v>
      </c>
      <c r="U89" s="5">
        <f t="shared" si="86"/>
        <v>2.0882446265739847</v>
      </c>
      <c r="V89" s="8">
        <f t="shared" si="117"/>
        <v>-0.18460055675527917</v>
      </c>
      <c r="W89" s="624">
        <f t="shared" si="652"/>
        <v>91.204686831672461</v>
      </c>
      <c r="X89" s="5">
        <f t="shared" si="87"/>
        <v>2.0887062995381993</v>
      </c>
      <c r="Y89" s="7">
        <f t="shared" si="650"/>
        <v>-0.18460055675527917</v>
      </c>
      <c r="Z89" s="21">
        <f t="shared" si="473"/>
        <v>-4.7681818381155911E-9</v>
      </c>
      <c r="AA89" s="5">
        <f t="shared" si="474"/>
        <v>2.2674476755157521E-7</v>
      </c>
      <c r="AB89" s="5">
        <f t="shared" si="475"/>
        <v>-0.99999999999997435</v>
      </c>
      <c r="AC89" s="8">
        <f t="shared" si="88"/>
        <v>1</v>
      </c>
      <c r="AD89" s="9">
        <f t="shared" si="118"/>
        <v>-4.7681818381155911E-9</v>
      </c>
      <c r="AE89" s="5">
        <f t="shared" si="89"/>
        <v>2.2674476755157521E-7</v>
      </c>
      <c r="AF89" s="10">
        <f t="shared" si="90"/>
        <v>-0.99999999999997435</v>
      </c>
      <c r="AG89" s="622">
        <f t="shared" si="91"/>
        <v>1.2991518207380268E-5</v>
      </c>
      <c r="AH89" s="623">
        <f t="shared" si="92"/>
        <v>90.00000027319669</v>
      </c>
      <c r="AI89" s="624">
        <f t="shared" si="93"/>
        <v>-1.2976235990044085E-5</v>
      </c>
      <c r="AJ89" s="625">
        <f t="shared" si="94"/>
        <v>-178.79531316832754</v>
      </c>
      <c r="AK89" s="4">
        <f t="shared" si="213"/>
        <v>2.2679489670197435E-7</v>
      </c>
      <c r="AL89" s="5">
        <f t="shared" si="95"/>
        <v>2.8951321439355969E-23</v>
      </c>
      <c r="AM89" s="6">
        <f t="shared" si="96"/>
        <v>-0.99999999999997435</v>
      </c>
      <c r="AN89" s="612">
        <f t="shared" si="97"/>
        <v>1.6587885298017552E-21</v>
      </c>
      <c r="AO89" s="613">
        <f t="shared" si="466"/>
        <v>0</v>
      </c>
      <c r="AP89" s="624">
        <f t="shared" si="99"/>
        <v>7.3140469822012181E-15</v>
      </c>
      <c r="AQ89" s="625">
        <f t="shared" si="476"/>
        <v>5.9163908332351358</v>
      </c>
      <c r="AS89" s="56">
        <f t="shared" si="550"/>
        <v>-268.79531316832754</v>
      </c>
      <c r="AT89" s="77">
        <f t="shared" si="477"/>
        <v>0.8308484041028471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>
        <f>IFERROR(IF($IU89="","",IF($IU89&lt;(((Settings!$C$19/2)*-1)*$IE$8),"",1)),"")</f>
        <v>1</v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7.2080000000000002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7.1079999999999997</v>
      </c>
      <c r="II89" s="800" cm="1">
        <f t="array" ref="II89">IFERROR(IF($IH89&lt;1,$IH89+LARGE((IF($M$9:$M$150="",0,$M$9:$M$150)-MOD(IF($M$9:$M$150="",0,$M$9:$M$150),1)),1),$IH89),"")</f>
        <v>7.1079999999999997</v>
      </c>
      <c r="IJ89" s="839" t="str">
        <f t="shared" si="523"/>
        <v>1613</v>
      </c>
      <c r="IK89" s="839" t="str">
        <f t="shared" si="524"/>
        <v>Knuckle</v>
      </c>
      <c r="IL89" s="791">
        <f t="shared" si="654"/>
        <v>28.795295842473678</v>
      </c>
      <c r="IM89" s="830">
        <v>9.4003582197111895E-3</v>
      </c>
      <c r="IN89" s="5">
        <f t="shared" si="655"/>
        <v>0.12</v>
      </c>
      <c r="IO89" s="852">
        <v>60</v>
      </c>
      <c r="IP89" s="9">
        <f t="shared" si="656"/>
        <v>-2.1008063360319094</v>
      </c>
      <c r="IQ89" s="5">
        <f t="shared" si="657"/>
        <v>-0.21950066201399665</v>
      </c>
      <c r="IR89" s="5">
        <f t="shared" si="525"/>
        <v>0.314</v>
      </c>
      <c r="IS89" s="5">
        <f t="shared" si="658"/>
        <v>0.30330071252667312</v>
      </c>
      <c r="IT89" s="791">
        <f t="shared" si="659"/>
        <v>-14.999997834268303</v>
      </c>
      <c r="IU89" s="9">
        <f t="shared" si="660"/>
        <v>-2.0887062995381993</v>
      </c>
      <c r="IV89" s="5">
        <f t="shared" si="661"/>
        <v>-0.18460055675527917</v>
      </c>
      <c r="IW89" s="5">
        <f t="shared" si="526"/>
        <v>0.25700000000000001</v>
      </c>
      <c r="IX89" s="5">
        <f t="shared" si="662"/>
        <v>0.25700000000000001</v>
      </c>
      <c r="IY89" s="833">
        <f t="shared" si="663"/>
        <v>-1.6587885298017552E-21</v>
      </c>
    </row>
    <row r="90" spans="1:259" ht="15" customHeight="1" x14ac:dyDescent="0.25">
      <c r="A90" s="84">
        <f t="shared" si="527"/>
        <v>0</v>
      </c>
      <c r="B90" s="770">
        <v>-2.8217277720609513</v>
      </c>
      <c r="C90" s="771">
        <v>-0.43596857051167059</v>
      </c>
      <c r="D90" s="772">
        <v>-3.6900111290735657E-2</v>
      </c>
      <c r="E90" s="773">
        <v>3.4629850356179689E-8</v>
      </c>
      <c r="F90" s="771">
        <v>-2.2413544707255305E-7</v>
      </c>
      <c r="G90" s="774">
        <v>0.99999999999997435</v>
      </c>
      <c r="H90" s="773">
        <v>0.25700000000000001</v>
      </c>
      <c r="I90" s="771">
        <v>0.41499999999999992</v>
      </c>
      <c r="J90" s="601">
        <v>7.2130000000000001</v>
      </c>
      <c r="K90" s="426" t="str">
        <f t="shared" si="651"/>
        <v>Knuckle</v>
      </c>
      <c r="L90" s="327"/>
      <c r="M90" s="173">
        <f t="shared" si="469"/>
        <v>7.2130000000000001</v>
      </c>
      <c r="N90" s="21">
        <f t="shared" si="470"/>
        <v>-2.8217277720609513</v>
      </c>
      <c r="O90" s="5">
        <f t="shared" si="471"/>
        <v>-0.43596857051167059</v>
      </c>
      <c r="P90" s="10">
        <f t="shared" si="472"/>
        <v>-3.6900111290735657E-2</v>
      </c>
      <c r="Q90" s="624">
        <f t="shared" si="528"/>
        <v>188.78298573750149</v>
      </c>
      <c r="R90" s="5">
        <f t="shared" si="83"/>
        <v>2.8552086113091719</v>
      </c>
      <c r="S90" s="6">
        <f t="shared" si="84"/>
        <v>-3.6900111290735657E-2</v>
      </c>
      <c r="T90" s="4">
        <f t="shared" si="85"/>
        <v>-0.43596857051167082</v>
      </c>
      <c r="U90" s="5">
        <f t="shared" si="86"/>
        <v>2.8217277720609513</v>
      </c>
      <c r="V90" s="8">
        <f t="shared" si="117"/>
        <v>-3.6900111290735657E-2</v>
      </c>
      <c r="W90" s="624">
        <f t="shared" si="652"/>
        <v>98.782985737501491</v>
      </c>
      <c r="X90" s="5">
        <f t="shared" si="87"/>
        <v>2.8552086113091719</v>
      </c>
      <c r="Y90" s="7">
        <f t="shared" si="650"/>
        <v>-3.6900111290735657E-2</v>
      </c>
      <c r="Z90" s="21">
        <f t="shared" si="473"/>
        <v>-3.4629850356179689E-8</v>
      </c>
      <c r="AA90" s="5">
        <f t="shared" si="474"/>
        <v>2.2413544707255305E-7</v>
      </c>
      <c r="AB90" s="5">
        <f t="shared" si="475"/>
        <v>-0.99999999999997435</v>
      </c>
      <c r="AC90" s="8">
        <f t="shared" si="88"/>
        <v>1</v>
      </c>
      <c r="AD90" s="9">
        <f t="shared" si="118"/>
        <v>-3.4629850356179689E-8</v>
      </c>
      <c r="AE90" s="5">
        <f t="shared" si="89"/>
        <v>2.2413544707255305E-7</v>
      </c>
      <c r="AF90" s="10">
        <f t="shared" si="90"/>
        <v>-0.99999999999997435</v>
      </c>
      <c r="AG90" s="622">
        <f t="shared" si="91"/>
        <v>1.2842015156535246E-5</v>
      </c>
      <c r="AH90" s="623">
        <f t="shared" si="92"/>
        <v>90.000001984144262</v>
      </c>
      <c r="AI90" s="624">
        <f t="shared" si="93"/>
        <v>-1.2976235990044085E-5</v>
      </c>
      <c r="AJ90" s="625">
        <f t="shared" si="94"/>
        <v>-171.21701425974393</v>
      </c>
      <c r="AK90" s="4">
        <f t="shared" si="213"/>
        <v>2.2679489670207449E-7</v>
      </c>
      <c r="AL90" s="5">
        <f t="shared" si="95"/>
        <v>1.0903530875204487E-17</v>
      </c>
      <c r="AM90" s="6">
        <f t="shared" si="96"/>
        <v>-0.99999999999997435</v>
      </c>
      <c r="AN90" s="612">
        <f t="shared" si="97"/>
        <v>6.2472630093981779E-16</v>
      </c>
      <c r="AO90" s="613">
        <f t="shared" si="466"/>
        <v>0</v>
      </c>
      <c r="AP90" s="624">
        <f t="shared" si="99"/>
        <v>2.7545871182474778E-9</v>
      </c>
      <c r="AQ90" s="625">
        <f t="shared" si="476"/>
        <v>4.3352478001013885</v>
      </c>
      <c r="AS90" s="56">
        <f t="shared" si="550"/>
        <v>-261.21701426249854</v>
      </c>
      <c r="AT90" s="77">
        <f t="shared" si="477"/>
        <v>0.9499197203675922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>
        <f>IFERROR(IF($IU90="","",IF($IU90&lt;(((Settings!$C$19/2)*-1)*$IE$8),"",1)),"")</f>
        <v>1</v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7.2130000000000001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7.1130000000000004</v>
      </c>
      <c r="II90" s="800" cm="1">
        <f t="array" ref="II90">IFERROR(IF($IH90&lt;1,$IH90+LARGE((IF($M$9:$M$150="",0,$M$9:$M$150)-MOD(IF($M$9:$M$150="",0,$M$9:$M$150),1)),1),$IH90),"")</f>
        <v>7.1130000000000004</v>
      </c>
      <c r="IJ90" s="839" t="str">
        <f t="shared" si="523"/>
        <v>1613</v>
      </c>
      <c r="IK90" s="839" t="str">
        <f t="shared" si="524"/>
        <v>Knuckle</v>
      </c>
      <c r="IL90" s="791">
        <f t="shared" si="654"/>
        <v>21.189996940542954</v>
      </c>
      <c r="IM90" s="830">
        <v>8.22329708900537E-3</v>
      </c>
      <c r="IN90" s="5">
        <f t="shared" si="655"/>
        <v>0.12</v>
      </c>
      <c r="IO90" s="852">
        <v>60</v>
      </c>
      <c r="IP90" s="9">
        <f t="shared" si="656"/>
        <v>-2.8577086188491951</v>
      </c>
      <c r="IQ90" s="5">
        <f t="shared" si="657"/>
        <v>-7.490022589908131E-2</v>
      </c>
      <c r="IR90" s="5">
        <f t="shared" si="525"/>
        <v>0.314</v>
      </c>
      <c r="IS90" s="5">
        <f t="shared" si="658"/>
        <v>0.30328167267516809</v>
      </c>
      <c r="IT90" s="791">
        <f t="shared" si="659"/>
        <v>-0.52094639901540762</v>
      </c>
      <c r="IU90" s="9">
        <f t="shared" si="660"/>
        <v>-2.8552086113091719</v>
      </c>
      <c r="IV90" s="5">
        <f t="shared" si="661"/>
        <v>-3.6900111290735657E-2</v>
      </c>
      <c r="IW90" s="5">
        <f t="shared" si="526"/>
        <v>0.25700000000000001</v>
      </c>
      <c r="IX90" s="5">
        <f t="shared" si="662"/>
        <v>0.25700000000000001</v>
      </c>
      <c r="IY90" s="833">
        <f t="shared" si="663"/>
        <v>-6.2472630093981779E-16</v>
      </c>
    </row>
    <row r="91" spans="1:259" ht="15" customHeight="1" x14ac:dyDescent="0.25">
      <c r="A91" s="84">
        <f t="shared" si="527"/>
        <v>0.02</v>
      </c>
      <c r="B91" s="770">
        <v>-4.3037287642873521</v>
      </c>
      <c r="C91" s="771">
        <v>7.0915222668560055E-2</v>
      </c>
      <c r="D91" s="772">
        <v>-0.57090172183959309</v>
      </c>
      <c r="E91" s="773">
        <v>-0.2214735374233186</v>
      </c>
      <c r="F91" s="771">
        <v>-0.9601773574514717</v>
      </c>
      <c r="G91" s="774">
        <v>0.17032003540015658</v>
      </c>
      <c r="H91" s="773">
        <v>0.314</v>
      </c>
      <c r="I91" s="771">
        <v>0.52</v>
      </c>
      <c r="J91" s="601">
        <v>8.1259999999999994</v>
      </c>
      <c r="K91" s="426" t="str">
        <f t="shared" si="651"/>
        <v>1613</v>
      </c>
      <c r="L91" s="327"/>
      <c r="M91" s="173">
        <f t="shared" si="469"/>
        <v>8.1259999999999994</v>
      </c>
      <c r="N91" s="21">
        <f t="shared" si="470"/>
        <v>-4.3037287642873521</v>
      </c>
      <c r="O91" s="5">
        <f t="shared" si="471"/>
        <v>7.0915222668560055E-2</v>
      </c>
      <c r="P91" s="10">
        <f t="shared" si="472"/>
        <v>-0.57090172183959309</v>
      </c>
      <c r="Q91" s="624">
        <f t="shared" si="528"/>
        <v>179.05598714190631</v>
      </c>
      <c r="R91" s="5">
        <f t="shared" si="83"/>
        <v>4.3043129818079526</v>
      </c>
      <c r="S91" s="6">
        <f t="shared" si="84"/>
        <v>-0.57090172183959309</v>
      </c>
      <c r="T91" s="4">
        <f t="shared" si="85"/>
        <v>7.0915222668560624E-2</v>
      </c>
      <c r="U91" s="5">
        <f t="shared" si="86"/>
        <v>4.3037287642873521</v>
      </c>
      <c r="V91" s="8">
        <f t="shared" si="117"/>
        <v>-0.57090172183959309</v>
      </c>
      <c r="W91" s="624">
        <f t="shared" si="652"/>
        <v>89.055987141906314</v>
      </c>
      <c r="X91" s="5">
        <f t="shared" si="87"/>
        <v>4.3043129818079526</v>
      </c>
      <c r="Y91" s="7">
        <f t="shared" si="650"/>
        <v>-0.57090172183959309</v>
      </c>
      <c r="Z91" s="21">
        <f t="shared" si="473"/>
        <v>0.2214735374233186</v>
      </c>
      <c r="AA91" s="5">
        <f t="shared" si="474"/>
        <v>0.9601773574514717</v>
      </c>
      <c r="AB91" s="5">
        <f t="shared" si="475"/>
        <v>-0.17032003540015658</v>
      </c>
      <c r="AC91" s="8">
        <f t="shared" si="88"/>
        <v>1</v>
      </c>
      <c r="AD91" s="9">
        <f t="shared" si="118"/>
        <v>0.2214735374233186</v>
      </c>
      <c r="AE91" s="5">
        <f t="shared" si="89"/>
        <v>0.9601773574514717</v>
      </c>
      <c r="AF91" s="10">
        <f t="shared" si="90"/>
        <v>-0.17032003540015658</v>
      </c>
      <c r="AG91" s="622">
        <f t="shared" si="91"/>
        <v>79.941277840706221</v>
      </c>
      <c r="AH91" s="623">
        <f t="shared" si="92"/>
        <v>77.204404315454298</v>
      </c>
      <c r="AI91" s="624">
        <f t="shared" si="93"/>
        <v>-80.193572893947447</v>
      </c>
      <c r="AJ91" s="625">
        <f t="shared" si="94"/>
        <v>167.01138043581028</v>
      </c>
      <c r="AK91" s="4">
        <f t="shared" si="213"/>
        <v>0.96369589637986053</v>
      </c>
      <c r="AL91" s="5">
        <f t="shared" si="95"/>
        <v>-0.20562418350453399</v>
      </c>
      <c r="AM91" s="6">
        <f t="shared" si="96"/>
        <v>-0.17032003540015658</v>
      </c>
      <c r="AN91" s="612">
        <f t="shared" si="97"/>
        <v>-50.364795508496876</v>
      </c>
      <c r="AO91" s="613">
        <f t="shared" si="466"/>
        <v>15.485962814978185</v>
      </c>
      <c r="AP91" s="624">
        <f t="shared" si="99"/>
        <v>-12.04460670609604</v>
      </c>
      <c r="AQ91" s="625">
        <f t="shared" si="476"/>
        <v>2.878804362951664</v>
      </c>
      <c r="AS91" s="56">
        <f t="shared" si="550"/>
        <v>-270.94401285809369</v>
      </c>
      <c r="AT91" s="77">
        <f t="shared" si="477"/>
        <v>0.45266454895764974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8.1259999999999994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0.02</v>
      </c>
      <c r="B92" s="770">
        <v>-4.8593864253504115</v>
      </c>
      <c r="C92" s="771">
        <v>0.12580580999792215</v>
      </c>
      <c r="D92" s="772">
        <v>-1.1155033643581469</v>
      </c>
      <c r="E92" s="773">
        <v>-0.26505735919419254</v>
      </c>
      <c r="F92" s="771">
        <v>-0.95576612733158806</v>
      </c>
      <c r="G92" s="774">
        <v>0.12749786736482893</v>
      </c>
      <c r="H92" s="773">
        <v>0.314</v>
      </c>
      <c r="I92" s="771">
        <v>0.52</v>
      </c>
      <c r="J92" s="601">
        <v>8.1349999999999998</v>
      </c>
      <c r="K92" s="426" t="str">
        <f t="shared" si="651"/>
        <v>1613</v>
      </c>
      <c r="L92" s="327"/>
      <c r="M92" s="173">
        <f t="shared" si="469"/>
        <v>8.1349999999999998</v>
      </c>
      <c r="N92" s="21">
        <f t="shared" si="470"/>
        <v>-4.8593864253504115</v>
      </c>
      <c r="O92" s="5">
        <f t="shared" si="471"/>
        <v>0.12580580999792215</v>
      </c>
      <c r="P92" s="10">
        <f t="shared" si="472"/>
        <v>-1.1155033643581469</v>
      </c>
      <c r="Q92" s="624">
        <f t="shared" si="528"/>
        <v>178.51698721972826</v>
      </c>
      <c r="R92" s="5">
        <f t="shared" si="83"/>
        <v>4.8610146608202163</v>
      </c>
      <c r="S92" s="6">
        <f t="shared" si="84"/>
        <v>-1.1155033643581469</v>
      </c>
      <c r="T92" s="4">
        <f t="shared" si="85"/>
        <v>0.12580580999792407</v>
      </c>
      <c r="U92" s="5">
        <f t="shared" si="86"/>
        <v>4.8593864253504115</v>
      </c>
      <c r="V92" s="8">
        <f t="shared" si="117"/>
        <v>-1.1155033643581469</v>
      </c>
      <c r="W92" s="624">
        <f t="shared" si="652"/>
        <v>88.516987219728264</v>
      </c>
      <c r="X92" s="5">
        <f t="shared" si="87"/>
        <v>4.8610146608202163</v>
      </c>
      <c r="Y92" s="7">
        <f t="shared" si="650"/>
        <v>-1.1155033643581469</v>
      </c>
      <c r="Z92" s="21">
        <f t="shared" si="473"/>
        <v>0.26505735919419254</v>
      </c>
      <c r="AA92" s="5">
        <f t="shared" si="474"/>
        <v>0.95576612733158806</v>
      </c>
      <c r="AB92" s="5">
        <f t="shared" si="475"/>
        <v>-0.12749786736482893</v>
      </c>
      <c r="AC92" s="8">
        <f t="shared" si="88"/>
        <v>1</v>
      </c>
      <c r="AD92" s="9">
        <f t="shared" si="118"/>
        <v>0.26505735919419254</v>
      </c>
      <c r="AE92" s="5">
        <f t="shared" si="89"/>
        <v>0.95576612733158806</v>
      </c>
      <c r="AF92" s="10">
        <f t="shared" si="90"/>
        <v>-0.12749786736482893</v>
      </c>
      <c r="AG92" s="622">
        <f t="shared" si="91"/>
        <v>82.401682238518859</v>
      </c>
      <c r="AH92" s="623">
        <f t="shared" si="92"/>
        <v>74.629638882780114</v>
      </c>
      <c r="AI92" s="624">
        <f t="shared" si="93"/>
        <v>-82.674972544596628</v>
      </c>
      <c r="AJ92" s="625">
        <f t="shared" si="94"/>
        <v>164.50000257711832</v>
      </c>
      <c r="AK92" s="4">
        <f t="shared" si="213"/>
        <v>0.96230582031301437</v>
      </c>
      <c r="AL92" s="5">
        <f t="shared" si="95"/>
        <v>-0.24023280793662835</v>
      </c>
      <c r="AM92" s="6">
        <f t="shared" si="96"/>
        <v>-0.12749786736482893</v>
      </c>
      <c r="AN92" s="612">
        <f t="shared" si="97"/>
        <v>-62.043932372438945</v>
      </c>
      <c r="AO92" s="613">
        <f t="shared" si="466"/>
        <v>15.781508113389835</v>
      </c>
      <c r="AP92" s="624">
        <f t="shared" si="99"/>
        <v>-14.016984642609943</v>
      </c>
      <c r="AQ92" s="625">
        <f t="shared" si="476"/>
        <v>2.5495759736291448</v>
      </c>
      <c r="AS92" s="56">
        <f t="shared" si="550"/>
        <v>-271.48301278027174</v>
      </c>
      <c r="AT92" s="78">
        <f t="shared" si="477"/>
        <v>-8.9900871632675905E-2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2"/>
        <v>8.1349999999999998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0.02</v>
      </c>
      <c r="B93" s="770">
        <v>-5.2865965304045641</v>
      </c>
      <c r="C93" s="771">
        <v>0.17870103537113563</v>
      </c>
      <c r="D93" s="772">
        <v>-1.7664053274784677</v>
      </c>
      <c r="E93" s="773">
        <v>-0.30892725644883146</v>
      </c>
      <c r="F93" s="771">
        <v>-0.94653387750937168</v>
      </c>
      <c r="G93" s="774">
        <v>9.2938522422469291E-2</v>
      </c>
      <c r="H93" s="773">
        <v>0.314</v>
      </c>
      <c r="I93" s="771">
        <v>0.52</v>
      </c>
      <c r="J93" s="601">
        <v>8.1440000000000001</v>
      </c>
      <c r="K93" s="426" t="str">
        <f t="shared" si="651"/>
        <v>1613</v>
      </c>
      <c r="L93" s="327"/>
      <c r="M93" s="173">
        <f t="shared" si="469"/>
        <v>8.1440000000000001</v>
      </c>
      <c r="N93" s="21">
        <f t="shared" si="470"/>
        <v>-5.2865965304045641</v>
      </c>
      <c r="O93" s="5">
        <f t="shared" si="471"/>
        <v>0.17870103537113563</v>
      </c>
      <c r="P93" s="10">
        <f t="shared" si="472"/>
        <v>-1.7664053274784677</v>
      </c>
      <c r="Q93" s="624">
        <f t="shared" si="528"/>
        <v>178.06398728513338</v>
      </c>
      <c r="R93" s="5">
        <f t="shared" si="83"/>
        <v>5.2896159534817162</v>
      </c>
      <c r="S93" s="6">
        <f t="shared" si="84"/>
        <v>-1.7664053274784677</v>
      </c>
      <c r="T93" s="4">
        <f t="shared" si="85"/>
        <v>0.17870103537113624</v>
      </c>
      <c r="U93" s="5">
        <f t="shared" si="86"/>
        <v>5.2865965304045632</v>
      </c>
      <c r="V93" s="8">
        <f t="shared" si="117"/>
        <v>-1.7664053274784677</v>
      </c>
      <c r="W93" s="624">
        <f t="shared" si="652"/>
        <v>88.063987285133379</v>
      </c>
      <c r="X93" s="5">
        <f t="shared" si="87"/>
        <v>5.2896159534817162</v>
      </c>
      <c r="Y93" s="7">
        <f t="shared" si="650"/>
        <v>-1.7664053274784677</v>
      </c>
      <c r="Z93" s="21">
        <f t="shared" si="473"/>
        <v>0.30892725644883146</v>
      </c>
      <c r="AA93" s="5">
        <f t="shared" si="474"/>
        <v>0.94653387750937168</v>
      </c>
      <c r="AB93" s="5">
        <f t="shared" si="475"/>
        <v>-9.2938522422469291E-2</v>
      </c>
      <c r="AC93" s="8">
        <f t="shared" si="88"/>
        <v>1</v>
      </c>
      <c r="AD93" s="9">
        <f t="shared" si="118"/>
        <v>0.30892725644883146</v>
      </c>
      <c r="AE93" s="5">
        <f t="shared" si="89"/>
        <v>0.94653387750937168</v>
      </c>
      <c r="AF93" s="10">
        <f t="shared" si="90"/>
        <v>-9.2938522422469291E-2</v>
      </c>
      <c r="AG93" s="622">
        <f t="shared" si="91"/>
        <v>84.392201997307794</v>
      </c>
      <c r="AH93" s="623">
        <f t="shared" si="92"/>
        <v>72.005406119967262</v>
      </c>
      <c r="AI93" s="624">
        <f t="shared" si="93"/>
        <v>-84.667319139605979</v>
      </c>
      <c r="AJ93" s="625">
        <f t="shared" si="94"/>
        <v>161.92448811664457</v>
      </c>
      <c r="AK93" s="4">
        <f t="shared" si="213"/>
        <v>0.95643017901955141</v>
      </c>
      <c r="AL93" s="5">
        <f t="shared" si="95"/>
        <v>-0.27677381326736289</v>
      </c>
      <c r="AM93" s="6">
        <f t="shared" si="96"/>
        <v>-9.2938522422469291E-2</v>
      </c>
      <c r="AN93" s="612">
        <f t="shared" si="97"/>
        <v>-71.438343964496667</v>
      </c>
      <c r="AO93" s="613">
        <f t="shared" si="466"/>
        <v>16.975403704813097</v>
      </c>
      <c r="AP93" s="624">
        <f t="shared" si="99"/>
        <v>-16.139499168488793</v>
      </c>
      <c r="AQ93" s="625">
        <f t="shared" si="476"/>
        <v>2.3432320899645602</v>
      </c>
      <c r="AS93" s="56">
        <f t="shared" si="550"/>
        <v>-271.93601271486659</v>
      </c>
      <c r="AT93" s="78">
        <f t="shared" si="477"/>
        <v>-0.73909150166674942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8.1440000000000001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-5.5883164456557202</v>
      </c>
      <c r="C94" s="771">
        <v>0.22181358103707971</v>
      </c>
      <c r="D94" s="772">
        <v>-2.4847074938778015</v>
      </c>
      <c r="E94" s="773">
        <v>-0.35022544428190239</v>
      </c>
      <c r="F94" s="771">
        <v>-0.93482451287304469</v>
      </c>
      <c r="G94" s="774">
        <v>5.8696407975436828E-2</v>
      </c>
      <c r="H94" s="773">
        <v>0.314</v>
      </c>
      <c r="I94" s="771">
        <v>0.52</v>
      </c>
      <c r="J94" s="601">
        <v>8.1530000000000005</v>
      </c>
      <c r="K94" s="426" t="str">
        <f t="shared" si="651"/>
        <v>1613</v>
      </c>
      <c r="L94" s="327"/>
      <c r="M94" s="173">
        <f t="shared" si="469"/>
        <v>8.1530000000000005</v>
      </c>
      <c r="N94" s="21">
        <f t="shared" si="470"/>
        <v>-5.5883164456557202</v>
      </c>
      <c r="O94" s="5">
        <f t="shared" si="471"/>
        <v>0.22181358103707971</v>
      </c>
      <c r="P94" s="10">
        <f t="shared" si="472"/>
        <v>-2.4847074938778015</v>
      </c>
      <c r="Q94" s="624">
        <f t="shared" si="528"/>
        <v>177.72698733379016</v>
      </c>
      <c r="R94" s="5">
        <f t="shared" si="83"/>
        <v>5.5927168676340724</v>
      </c>
      <c r="S94" s="6">
        <f t="shared" si="84"/>
        <v>-2.4847074938778015</v>
      </c>
      <c r="T94" s="4">
        <f t="shared" si="85"/>
        <v>0.22181358103707896</v>
      </c>
      <c r="U94" s="5">
        <f t="shared" si="86"/>
        <v>5.5883164456557202</v>
      </c>
      <c r="V94" s="8">
        <f t="shared" si="117"/>
        <v>-2.4847074938778015</v>
      </c>
      <c r="W94" s="624">
        <f t="shared" si="652"/>
        <v>87.726987333790163</v>
      </c>
      <c r="X94" s="5">
        <f t="shared" si="87"/>
        <v>5.5927168676340724</v>
      </c>
      <c r="Y94" s="7">
        <f t="shared" si="650"/>
        <v>-2.4847074938778015</v>
      </c>
      <c r="Z94" s="21">
        <f t="shared" si="473"/>
        <v>0.35022544428190239</v>
      </c>
      <c r="AA94" s="5">
        <f t="shared" si="474"/>
        <v>0.93482451287304469</v>
      </c>
      <c r="AB94" s="5">
        <f t="shared" si="475"/>
        <v>-5.8696407975436828E-2</v>
      </c>
      <c r="AC94" s="8">
        <f t="shared" si="88"/>
        <v>1</v>
      </c>
      <c r="AD94" s="9">
        <f t="shared" si="118"/>
        <v>0.35022544428190239</v>
      </c>
      <c r="AE94" s="5">
        <f t="shared" si="89"/>
        <v>0.93482451287304469</v>
      </c>
      <c r="AF94" s="10">
        <f t="shared" si="90"/>
        <v>-5.8696407975436828E-2</v>
      </c>
      <c r="AG94" s="622">
        <f t="shared" si="91"/>
        <v>86.407189476326309</v>
      </c>
      <c r="AH94" s="623">
        <f t="shared" si="92"/>
        <v>69.498895089772361</v>
      </c>
      <c r="AI94" s="624">
        <f t="shared" si="93"/>
        <v>-86.635009445044744</v>
      </c>
      <c r="AJ94" s="625">
        <f t="shared" si="94"/>
        <v>159.46189052248272</v>
      </c>
      <c r="AK94" s="4">
        <f t="shared" si="213"/>
        <v>0.94797932463544399</v>
      </c>
      <c r="AL94" s="5">
        <f t="shared" si="95"/>
        <v>-0.31287366740348854</v>
      </c>
      <c r="AM94" s="6">
        <f t="shared" si="96"/>
        <v>-5.8696407975436828E-2</v>
      </c>
      <c r="AN94" s="612">
        <f t="shared" si="97"/>
        <v>-79.374578453585244</v>
      </c>
      <c r="AO94" s="613">
        <f t="shared" si="466"/>
        <v>18.562075367628232</v>
      </c>
      <c r="AP94" s="624">
        <f t="shared" si="99"/>
        <v>-18.265096811307433</v>
      </c>
      <c r="AQ94" s="625">
        <f t="shared" si="476"/>
        <v>2.2163693788353735</v>
      </c>
      <c r="AS94" s="56">
        <f t="shared" si="550"/>
        <v>-272.27301266620987</v>
      </c>
      <c r="AT94" s="78">
        <f t="shared" si="477"/>
        <v>-1.4561205571387865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8.1530000000000005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-5.7700036685069129</v>
      </c>
      <c r="C95" s="771">
        <v>0.25000805020197503</v>
      </c>
      <c r="D95" s="772">
        <v>-3.2428097803142975</v>
      </c>
      <c r="E95" s="773">
        <v>-0.42710084090088768</v>
      </c>
      <c r="F95" s="771">
        <v>-0.9033807977557744</v>
      </c>
      <c r="G95" s="774">
        <v>3.8574680139894804E-2</v>
      </c>
      <c r="H95" s="773">
        <v>0.314</v>
      </c>
      <c r="I95" s="771">
        <v>0.52</v>
      </c>
      <c r="J95" s="601">
        <v>8.1620000000000008</v>
      </c>
      <c r="K95" s="426" t="str">
        <f t="shared" si="651"/>
        <v>1613</v>
      </c>
      <c r="L95" s="327"/>
      <c r="M95" s="173">
        <f t="shared" si="469"/>
        <v>8.1620000000000008</v>
      </c>
      <c r="N95" s="21">
        <f t="shared" si="470"/>
        <v>-5.7700036685069129</v>
      </c>
      <c r="O95" s="5">
        <f t="shared" si="471"/>
        <v>0.25000805020197503</v>
      </c>
      <c r="P95" s="10">
        <f t="shared" si="472"/>
        <v>-3.2428097803142975</v>
      </c>
      <c r="Q95" s="624">
        <f t="shared" si="528"/>
        <v>177.51898736382162</v>
      </c>
      <c r="R95" s="5">
        <f t="shared" si="83"/>
        <v>5.7754174186589342</v>
      </c>
      <c r="S95" s="6">
        <f t="shared" si="84"/>
        <v>-3.2428097803142975</v>
      </c>
      <c r="T95" s="4">
        <f t="shared" si="85"/>
        <v>0.25000805020197547</v>
      </c>
      <c r="U95" s="5">
        <f t="shared" si="86"/>
        <v>5.7700036685069129</v>
      </c>
      <c r="V95" s="8">
        <f t="shared" si="117"/>
        <v>-3.2428097803142975</v>
      </c>
      <c r="W95" s="624">
        <f t="shared" si="652"/>
        <v>87.518987363821623</v>
      </c>
      <c r="X95" s="5">
        <f t="shared" si="87"/>
        <v>5.7754174186589342</v>
      </c>
      <c r="Y95" s="7">
        <f t="shared" si="650"/>
        <v>-3.2428097803142975</v>
      </c>
      <c r="Z95" s="21">
        <f t="shared" si="473"/>
        <v>0.42710084090088768</v>
      </c>
      <c r="AA95" s="5">
        <f t="shared" si="474"/>
        <v>0.9033807977557744</v>
      </c>
      <c r="AB95" s="5">
        <f t="shared" si="475"/>
        <v>-3.8574680139894804E-2</v>
      </c>
      <c r="AC95" s="8">
        <f t="shared" si="88"/>
        <v>1</v>
      </c>
      <c r="AD95" s="9">
        <f t="shared" si="118"/>
        <v>0.42710084090088768</v>
      </c>
      <c r="AE95" s="5">
        <f t="shared" si="89"/>
        <v>0.9033807977557744</v>
      </c>
      <c r="AF95" s="10">
        <f t="shared" si="90"/>
        <v>-3.8574680139894804E-2</v>
      </c>
      <c r="AG95" s="622">
        <f t="shared" si="91"/>
        <v>87.554935237912431</v>
      </c>
      <c r="AH95" s="623">
        <f t="shared" si="92"/>
        <v>64.716287577449961</v>
      </c>
      <c r="AI95" s="624">
        <f t="shared" si="93"/>
        <v>-87.789285141116309</v>
      </c>
      <c r="AJ95" s="625">
        <f t="shared" si="94"/>
        <v>154.69612795417331</v>
      </c>
      <c r="AK95" s="4">
        <f t="shared" si="213"/>
        <v>0.92102246123327425</v>
      </c>
      <c r="AL95" s="5">
        <f t="shared" si="95"/>
        <v>-0.38759465934905069</v>
      </c>
      <c r="AM95" s="6">
        <f t="shared" si="96"/>
        <v>-3.8574680139894804E-2</v>
      </c>
      <c r="AN95" s="612">
        <f t="shared" si="97"/>
        <v>-84.316453452981222</v>
      </c>
      <c r="AO95" s="613">
        <f t="shared" si="466"/>
        <v>22.92398053355344</v>
      </c>
      <c r="AP95" s="624">
        <f t="shared" si="99"/>
        <v>-22.822859409648323</v>
      </c>
      <c r="AQ95" s="625">
        <f t="shared" si="476"/>
        <v>2.1463230107432691</v>
      </c>
      <c r="AS95" s="56">
        <f t="shared" si="550"/>
        <v>-272.48101263617838</v>
      </c>
      <c r="AT95" s="78">
        <f t="shared" si="477"/>
        <v>-2.2134370659109566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8.1620000000000008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-5.8359011557317606</v>
      </c>
      <c r="C96" s="771">
        <v>0.26061933203041365</v>
      </c>
      <c r="D96" s="772">
        <v>-4.019912124054966</v>
      </c>
      <c r="E96" s="773">
        <v>-0.47543943030240732</v>
      </c>
      <c r="F96" s="771">
        <v>-0.87973702638299345</v>
      </c>
      <c r="G96" s="774">
        <v>-4.4846989342607196E-3</v>
      </c>
      <c r="H96" s="773">
        <v>0.314</v>
      </c>
      <c r="I96" s="771">
        <v>0.52</v>
      </c>
      <c r="J96" s="601">
        <v>8.1709999999999994</v>
      </c>
      <c r="K96" s="426" t="str">
        <f t="shared" si="651"/>
        <v>1613</v>
      </c>
      <c r="L96" s="327"/>
      <c r="M96" s="173">
        <f t="shared" si="469"/>
        <v>8.1709999999999994</v>
      </c>
      <c r="N96" s="21">
        <f t="shared" si="470"/>
        <v>-5.8359011557317606</v>
      </c>
      <c r="O96" s="5">
        <f t="shared" si="471"/>
        <v>0.26061933203041365</v>
      </c>
      <c r="P96" s="10">
        <f t="shared" si="472"/>
        <v>-4.019912124054966</v>
      </c>
      <c r="Q96" s="624">
        <f t="shared" si="528"/>
        <v>177.44298737479465</v>
      </c>
      <c r="R96" s="5">
        <f t="shared" si="83"/>
        <v>5.841717618620339</v>
      </c>
      <c r="S96" s="6">
        <f t="shared" si="84"/>
        <v>-4.019912124054966</v>
      </c>
      <c r="T96" s="4">
        <f t="shared" si="85"/>
        <v>0.2606193320304161</v>
      </c>
      <c r="U96" s="5">
        <f t="shared" si="86"/>
        <v>5.8359011557317615</v>
      </c>
      <c r="V96" s="8">
        <f t="shared" si="117"/>
        <v>-4.019912124054966</v>
      </c>
      <c r="W96" s="624">
        <f t="shared" si="652"/>
        <v>87.442987374794654</v>
      </c>
      <c r="X96" s="5">
        <f t="shared" si="87"/>
        <v>5.841717618620339</v>
      </c>
      <c r="Y96" s="7">
        <f t="shared" si="650"/>
        <v>-4.019912124054966</v>
      </c>
      <c r="Z96" s="21">
        <f t="shared" si="473"/>
        <v>0.47543943030240732</v>
      </c>
      <c r="AA96" s="5">
        <f t="shared" si="474"/>
        <v>0.87973702638299345</v>
      </c>
      <c r="AB96" s="5">
        <f t="shared" si="475"/>
        <v>4.4846989342607196E-3</v>
      </c>
      <c r="AC96" s="8">
        <f t="shared" si="88"/>
        <v>1</v>
      </c>
      <c r="AD96" s="9">
        <f t="shared" si="118"/>
        <v>0.47543943030240732</v>
      </c>
      <c r="AE96" s="5">
        <f t="shared" si="89"/>
        <v>0.87973702638299345</v>
      </c>
      <c r="AF96" s="10">
        <f t="shared" si="90"/>
        <v>4.4846989342607196E-3</v>
      </c>
      <c r="AG96" s="622">
        <f t="shared" si="91"/>
        <v>90.2920783004474</v>
      </c>
      <c r="AH96" s="623">
        <f t="shared" si="92"/>
        <v>61.612034854352977</v>
      </c>
      <c r="AI96" s="624">
        <f t="shared" si="93"/>
        <v>-90.256955182661102</v>
      </c>
      <c r="AJ96" s="625">
        <f t="shared" si="94"/>
        <v>151.61172346547588</v>
      </c>
      <c r="AK96" s="4">
        <f t="shared" si="213"/>
        <v>0.90007209848610648</v>
      </c>
      <c r="AL96" s="5">
        <f t="shared" si="95"/>
        <v>-0.43571791907412527</v>
      </c>
      <c r="AM96" s="6">
        <f t="shared" si="96"/>
        <v>4.4846989342607196E-3</v>
      </c>
      <c r="AN96" s="612">
        <f t="shared" si="97"/>
        <v>-90.589705487938872</v>
      </c>
      <c r="AO96" s="613">
        <f t="shared" si="466"/>
        <v>25.832454120340273</v>
      </c>
      <c r="AP96" s="624">
        <f t="shared" si="99"/>
        <v>-25.831263909318764</v>
      </c>
      <c r="AQ96" s="625">
        <f t="shared" si="476"/>
        <v>2.1219858517269787</v>
      </c>
      <c r="AS96" s="56">
        <f t="shared" si="550"/>
        <v>-272.55701262520535</v>
      </c>
      <c r="AT96" s="78">
        <f t="shared" si="477"/>
        <v>-2.9902522985819679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8.1709999999999994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0.02</v>
      </c>
      <c r="B97" s="770">
        <v>-5.8703776042193061</v>
      </c>
      <c r="C97" s="771">
        <v>0.26636824568814116</v>
      </c>
      <c r="D97" s="772">
        <v>-4.7988144732244518</v>
      </c>
      <c r="E97" s="773">
        <v>-0.53874149940565286</v>
      </c>
      <c r="F97" s="771">
        <v>-0.8424711252132836</v>
      </c>
      <c r="G97" s="774">
        <v>1.1339743354035856E-7</v>
      </c>
      <c r="H97" s="773">
        <v>0.314</v>
      </c>
      <c r="I97" s="771">
        <v>0.52</v>
      </c>
      <c r="J97" s="601">
        <v>8.18</v>
      </c>
      <c r="K97" s="426" t="str">
        <f t="shared" si="651"/>
        <v>1613</v>
      </c>
      <c r="L97" s="327"/>
      <c r="M97" s="173">
        <f t="shared" si="469"/>
        <v>8.18</v>
      </c>
      <c r="N97" s="21">
        <f t="shared" si="470"/>
        <v>-5.8703776042193061</v>
      </c>
      <c r="O97" s="5">
        <f t="shared" si="471"/>
        <v>0.26636824568814116</v>
      </c>
      <c r="P97" s="10">
        <f t="shared" si="472"/>
        <v>-4.7988144732244518</v>
      </c>
      <c r="Q97" s="624">
        <f t="shared" si="528"/>
        <v>177.40198738071433</v>
      </c>
      <c r="R97" s="5">
        <f t="shared" si="83"/>
        <v>5.8764177232758543</v>
      </c>
      <c r="S97" s="6">
        <f t="shared" si="84"/>
        <v>-4.7988144732244518</v>
      </c>
      <c r="T97" s="4">
        <f t="shared" si="85"/>
        <v>0.26636824568814232</v>
      </c>
      <c r="U97" s="5">
        <f t="shared" si="86"/>
        <v>5.8703776042193061</v>
      </c>
      <c r="V97" s="8">
        <f t="shared" si="117"/>
        <v>-4.7988144732244518</v>
      </c>
      <c r="W97" s="624">
        <f t="shared" si="652"/>
        <v>87.401987380714331</v>
      </c>
      <c r="X97" s="5">
        <f t="shared" si="87"/>
        <v>5.8764177232758543</v>
      </c>
      <c r="Y97" s="7">
        <f t="shared" si="650"/>
        <v>-4.7988144732244518</v>
      </c>
      <c r="Z97" s="21">
        <f t="shared" si="473"/>
        <v>0.53874149940565286</v>
      </c>
      <c r="AA97" s="5">
        <f t="shared" si="474"/>
        <v>0.8424711252132836</v>
      </c>
      <c r="AB97" s="5">
        <f t="shared" si="475"/>
        <v>-1.1339743354035856E-7</v>
      </c>
      <c r="AC97" s="8">
        <f t="shared" si="88"/>
        <v>1</v>
      </c>
      <c r="AD97" s="9">
        <f t="shared" si="118"/>
        <v>0.53874149940565286</v>
      </c>
      <c r="AE97" s="5">
        <f t="shared" si="89"/>
        <v>0.8424711252132836</v>
      </c>
      <c r="AF97" s="10">
        <f t="shared" si="90"/>
        <v>-1.1339743354035856E-7</v>
      </c>
      <c r="AG97" s="622">
        <f t="shared" si="91"/>
        <v>89.999992287932301</v>
      </c>
      <c r="AH97" s="623">
        <f t="shared" si="92"/>
        <v>57.401991712178685</v>
      </c>
      <c r="AI97" s="624">
        <f t="shared" si="93"/>
        <v>-89.999993502805651</v>
      </c>
      <c r="AJ97" s="625">
        <f t="shared" si="94"/>
        <v>147.40199171217847</v>
      </c>
      <c r="AK97" s="4">
        <f t="shared" si="213"/>
        <v>0.86602544158358585</v>
      </c>
      <c r="AL97" s="5">
        <f t="shared" si="95"/>
        <v>-0.49999993452993813</v>
      </c>
      <c r="AM97" s="6">
        <f t="shared" si="96"/>
        <v>-1.1339743354035856E-7</v>
      </c>
      <c r="AN97" s="612">
        <f t="shared" si="97"/>
        <v>-89.999987005609611</v>
      </c>
      <c r="AO97" s="613">
        <f t="shared" si="466"/>
        <v>29.99999566853651</v>
      </c>
      <c r="AP97" s="624">
        <f t="shared" si="99"/>
        <v>-29.999995668535881</v>
      </c>
      <c r="AQ97" s="625">
        <f t="shared" si="476"/>
        <v>2.109466930261171</v>
      </c>
      <c r="AS97" s="56">
        <f t="shared" si="550"/>
        <v>-272.59801261928567</v>
      </c>
      <c r="AT97" s="78">
        <f t="shared" si="477"/>
        <v>-3.7689997588849282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8.18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0.02</v>
      </c>
      <c r="B98" s="770">
        <v>-2.0894384861010384</v>
      </c>
      <c r="C98" s="771">
        <v>1.7536204083177365</v>
      </c>
      <c r="D98" s="772">
        <v>-8.2900250027154093E-2</v>
      </c>
      <c r="E98" s="773">
        <v>-0.60408804575295827</v>
      </c>
      <c r="F98" s="771">
        <v>-0.75402342645168052</v>
      </c>
      <c r="G98" s="774">
        <v>0.25792693798911187</v>
      </c>
      <c r="H98" s="773">
        <v>0.314</v>
      </c>
      <c r="I98" s="771">
        <v>0.52</v>
      </c>
      <c r="J98" s="601">
        <v>9.1120000000000001</v>
      </c>
      <c r="K98" s="426" t="str">
        <f t="shared" si="651"/>
        <v>1613</v>
      </c>
      <c r="L98" s="327"/>
      <c r="M98" s="173">
        <f t="shared" si="469"/>
        <v>9.1120000000000001</v>
      </c>
      <c r="N98" s="21">
        <f t="shared" si="470"/>
        <v>-2.0894384861010384</v>
      </c>
      <c r="O98" s="5">
        <f t="shared" si="471"/>
        <v>1.7536204083177365</v>
      </c>
      <c r="P98" s="10">
        <f t="shared" si="472"/>
        <v>-8.2900250027154093E-2</v>
      </c>
      <c r="Q98" s="624">
        <f t="shared" si="528"/>
        <v>139.99399278176051</v>
      </c>
      <c r="R98" s="5">
        <f t="shared" si="83"/>
        <v>2.7278082270696129</v>
      </c>
      <c r="S98" s="6">
        <f t="shared" si="84"/>
        <v>-8.2900250027154093E-2</v>
      </c>
      <c r="T98" s="4">
        <f t="shared" si="85"/>
        <v>1.7536204083177369</v>
      </c>
      <c r="U98" s="5">
        <f t="shared" si="86"/>
        <v>2.089438486101038</v>
      </c>
      <c r="V98" s="8">
        <f t="shared" si="117"/>
        <v>-8.2900250027154093E-2</v>
      </c>
      <c r="W98" s="624">
        <f t="shared" si="652"/>
        <v>49.993992781760511</v>
      </c>
      <c r="X98" s="5">
        <f t="shared" si="87"/>
        <v>2.7278082270696129</v>
      </c>
      <c r="Y98" s="7">
        <f t="shared" si="650"/>
        <v>-8.2900250027154093E-2</v>
      </c>
      <c r="Z98" s="21">
        <f t="shared" si="473"/>
        <v>0.60408804575295827</v>
      </c>
      <c r="AA98" s="5">
        <f t="shared" si="474"/>
        <v>0.75402342645168052</v>
      </c>
      <c r="AB98" s="5">
        <f t="shared" si="475"/>
        <v>-0.25792693798911187</v>
      </c>
      <c r="AC98" s="8">
        <f t="shared" si="88"/>
        <v>1</v>
      </c>
      <c r="AD98" s="9">
        <f t="shared" si="118"/>
        <v>0.60408804575295827</v>
      </c>
      <c r="AE98" s="5">
        <f t="shared" si="89"/>
        <v>0.75402342645168052</v>
      </c>
      <c r="AF98" s="10">
        <f t="shared" si="90"/>
        <v>-0.25792693798911187</v>
      </c>
      <c r="AG98" s="622">
        <f t="shared" si="91"/>
        <v>71.115847615597914</v>
      </c>
      <c r="AH98" s="623">
        <f t="shared" si="92"/>
        <v>52.836753143105199</v>
      </c>
      <c r="AI98" s="624">
        <f t="shared" si="93"/>
        <v>-75.052910539583337</v>
      </c>
      <c r="AJ98" s="625">
        <f t="shared" si="94"/>
        <v>141.29993657492534</v>
      </c>
      <c r="AK98" s="4">
        <f t="shared" si="213"/>
        <v>0.96591346340119499</v>
      </c>
      <c r="AL98" s="5">
        <f t="shared" si="95"/>
        <v>2.2019897362823837E-2</v>
      </c>
      <c r="AM98" s="6">
        <f t="shared" si="96"/>
        <v>-0.25792693798911187</v>
      </c>
      <c r="AN98" s="612">
        <f t="shared" si="97"/>
        <v>4.8796584178604965</v>
      </c>
      <c r="AO98" s="613">
        <f t="shared" si="466"/>
        <v>15.002736576715185</v>
      </c>
      <c r="AP98" s="624">
        <f t="shared" si="99"/>
        <v>1.3059437931648397</v>
      </c>
      <c r="AQ98" s="625">
        <f t="shared" si="476"/>
        <v>4.5368959757772629</v>
      </c>
      <c r="AS98" s="56">
        <f t="shared" si="550"/>
        <v>-310.00600721823946</v>
      </c>
      <c r="AT98" s="78">
        <f t="shared" si="477"/>
        <v>1.0882335550195283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9.1120000000000001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0.02</v>
      </c>
      <c r="B99" s="770">
        <v>-2.6694771428601514</v>
      </c>
      <c r="C99" s="771">
        <v>2.2651637288089606</v>
      </c>
      <c r="D99" s="772">
        <v>-0.15350046295739628</v>
      </c>
      <c r="E99" s="773">
        <v>-0.70282798887598974</v>
      </c>
      <c r="F99" s="771">
        <v>-0.6694906034994399</v>
      </c>
      <c r="G99" s="774">
        <v>0.2404478111326607</v>
      </c>
      <c r="H99" s="773">
        <v>0.314</v>
      </c>
      <c r="I99" s="771">
        <v>0.52</v>
      </c>
      <c r="J99" s="601">
        <v>9.1180000000000003</v>
      </c>
      <c r="K99" s="426" t="str">
        <f t="shared" si="651"/>
        <v>1613</v>
      </c>
      <c r="L99" s="327"/>
      <c r="M99" s="173">
        <f t="shared" si="469"/>
        <v>9.1180000000000003</v>
      </c>
      <c r="N99" s="21">
        <f t="shared" si="470"/>
        <v>-2.6694771428601514</v>
      </c>
      <c r="O99" s="5">
        <f t="shared" si="471"/>
        <v>2.2651637288089606</v>
      </c>
      <c r="P99" s="10">
        <f t="shared" si="472"/>
        <v>-0.15350046295739628</v>
      </c>
      <c r="Q99" s="624">
        <f t="shared" si="528"/>
        <v>139.68399282651896</v>
      </c>
      <c r="R99" s="5">
        <f t="shared" si="83"/>
        <v>3.5010105590478457</v>
      </c>
      <c r="S99" s="6">
        <f t="shared" si="84"/>
        <v>-0.15350046295739628</v>
      </c>
      <c r="T99" s="4">
        <f t="shared" si="85"/>
        <v>2.265163728808961</v>
      </c>
      <c r="U99" s="5">
        <f t="shared" si="86"/>
        <v>2.6694771428601509</v>
      </c>
      <c r="V99" s="8">
        <f t="shared" si="117"/>
        <v>-0.15350046295739628</v>
      </c>
      <c r="W99" s="624">
        <f t="shared" si="652"/>
        <v>49.68399282651896</v>
      </c>
      <c r="X99" s="5">
        <f t="shared" si="87"/>
        <v>3.5010105590478457</v>
      </c>
      <c r="Y99" s="7">
        <f t="shared" si="650"/>
        <v>-0.15350046295739628</v>
      </c>
      <c r="Z99" s="21">
        <f t="shared" si="473"/>
        <v>0.70282798887598974</v>
      </c>
      <c r="AA99" s="5">
        <f t="shared" si="474"/>
        <v>0.6694906034994399</v>
      </c>
      <c r="AB99" s="5">
        <f t="shared" si="475"/>
        <v>-0.2404478111326607</v>
      </c>
      <c r="AC99" s="8">
        <f t="shared" si="88"/>
        <v>1</v>
      </c>
      <c r="AD99" s="9">
        <f t="shared" si="118"/>
        <v>0.70282798887598974</v>
      </c>
      <c r="AE99" s="5">
        <f t="shared" si="89"/>
        <v>0.6694906034994399</v>
      </c>
      <c r="AF99" s="10">
        <f t="shared" si="90"/>
        <v>-0.2404478111326607</v>
      </c>
      <c r="AG99" s="622">
        <f t="shared" si="91"/>
        <v>70.244229400436453</v>
      </c>
      <c r="AH99" s="623">
        <f t="shared" si="92"/>
        <v>45.345663400248156</v>
      </c>
      <c r="AI99" s="624">
        <f t="shared" si="93"/>
        <v>-76.087027963842587</v>
      </c>
      <c r="AJ99" s="625">
        <f t="shared" si="94"/>
        <v>133.60840195065865</v>
      </c>
      <c r="AK99" s="4">
        <f t="shared" si="213"/>
        <v>0.96520997991907564</v>
      </c>
      <c r="AL99" s="5">
        <f t="shared" si="95"/>
        <v>-0.10273531421147442</v>
      </c>
      <c r="AM99" s="6">
        <f t="shared" si="96"/>
        <v>-0.2404478111326607</v>
      </c>
      <c r="AN99" s="612">
        <f t="shared" si="97"/>
        <v>-23.135399474412889</v>
      </c>
      <c r="AO99" s="613">
        <f t="shared" si="466"/>
        <v>15.157660353971101</v>
      </c>
      <c r="AP99" s="624">
        <f t="shared" si="99"/>
        <v>-6.0755908758603239</v>
      </c>
      <c r="AQ99" s="625">
        <f t="shared" si="476"/>
        <v>3.5378207381501121</v>
      </c>
      <c r="AS99" s="56">
        <f t="shared" si="550"/>
        <v>-310.31600717348101</v>
      </c>
      <c r="AT99" s="78">
        <f t="shared" si="477"/>
        <v>1.0188044530313096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9.1180000000000003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0.02</v>
      </c>
      <c r="B100" s="770">
        <v>-3.2017412625031825</v>
      </c>
      <c r="C100" s="771">
        <v>2.7715780971180171</v>
      </c>
      <c r="D100" s="772">
        <v>-0.51910156561032195</v>
      </c>
      <c r="E100" s="773">
        <v>-0.7828164403061203</v>
      </c>
      <c r="F100" s="771">
        <v>-0.59717514906123303</v>
      </c>
      <c r="G100" s="774">
        <v>0.17487213079890346</v>
      </c>
      <c r="H100" s="773">
        <v>0.314</v>
      </c>
      <c r="I100" s="771">
        <v>0.52</v>
      </c>
      <c r="J100" s="601">
        <v>9.125</v>
      </c>
      <c r="K100" s="426" t="str">
        <f t="shared" si="651"/>
        <v>1613</v>
      </c>
      <c r="L100" s="327"/>
      <c r="M100" s="173">
        <f t="shared" si="469"/>
        <v>9.125</v>
      </c>
      <c r="N100" s="21">
        <f t="shared" si="470"/>
        <v>-3.2017412625031825</v>
      </c>
      <c r="O100" s="5">
        <f t="shared" si="471"/>
        <v>2.7715780971180171</v>
      </c>
      <c r="P100" s="10">
        <f t="shared" si="472"/>
        <v>-0.51910156561032195</v>
      </c>
      <c r="Q100" s="624">
        <f t="shared" si="528"/>
        <v>139.11899290809487</v>
      </c>
      <c r="R100" s="5">
        <f t="shared" si="83"/>
        <v>4.2347127718937205</v>
      </c>
      <c r="S100" s="6">
        <f t="shared" si="84"/>
        <v>-0.51910156561032195</v>
      </c>
      <c r="T100" s="4">
        <f t="shared" si="85"/>
        <v>2.7715780971180175</v>
      </c>
      <c r="U100" s="5">
        <f t="shared" si="86"/>
        <v>3.2017412625031816</v>
      </c>
      <c r="V100" s="8">
        <f t="shared" si="117"/>
        <v>-0.51910156561032195</v>
      </c>
      <c r="W100" s="624">
        <f t="shared" si="652"/>
        <v>49.118992908094867</v>
      </c>
      <c r="X100" s="5">
        <f t="shared" si="87"/>
        <v>4.2347127718937205</v>
      </c>
      <c r="Y100" s="7">
        <f t="shared" si="650"/>
        <v>-0.51910156561032195</v>
      </c>
      <c r="Z100" s="21">
        <f t="shared" si="473"/>
        <v>0.7828164403061203</v>
      </c>
      <c r="AA100" s="5">
        <f t="shared" si="474"/>
        <v>0.59717514906123303</v>
      </c>
      <c r="AB100" s="5">
        <f t="shared" si="475"/>
        <v>-0.17487213079890346</v>
      </c>
      <c r="AC100" s="8">
        <f t="shared" si="88"/>
        <v>1</v>
      </c>
      <c r="AD100" s="9">
        <f t="shared" si="118"/>
        <v>0.7828164403061203</v>
      </c>
      <c r="AE100" s="5">
        <f t="shared" si="89"/>
        <v>0.59717514906123303</v>
      </c>
      <c r="AF100" s="10">
        <f t="shared" si="90"/>
        <v>-0.17487213079890346</v>
      </c>
      <c r="AG100" s="622">
        <f t="shared" si="91"/>
        <v>73.678268412411001</v>
      </c>
      <c r="AH100" s="623">
        <f t="shared" si="92"/>
        <v>38.480825713542487</v>
      </c>
      <c r="AI100" s="624">
        <f t="shared" si="93"/>
        <v>-79.928783001195328</v>
      </c>
      <c r="AJ100" s="625">
        <f t="shared" si="94"/>
        <v>127.33836699708426</v>
      </c>
      <c r="AK100" s="4">
        <f t="shared" si="213"/>
        <v>0.96385219861839844</v>
      </c>
      <c r="AL100" s="5">
        <f t="shared" si="95"/>
        <v>-0.2010190963275153</v>
      </c>
      <c r="AM100" s="6">
        <f t="shared" si="96"/>
        <v>-0.17487213079890346</v>
      </c>
      <c r="AN100" s="612">
        <f t="shared" si="97"/>
        <v>-48.979080675416121</v>
      </c>
      <c r="AO100" s="613">
        <f t="shared" si="466"/>
        <v>15.452386547555859</v>
      </c>
      <c r="AP100" s="624">
        <f t="shared" si="99"/>
        <v>-11.780625911010576</v>
      </c>
      <c r="AQ100" s="625">
        <f t="shared" si="476"/>
        <v>2.9260377914226008</v>
      </c>
      <c r="AS100" s="56">
        <f t="shared" si="550"/>
        <v>-310.88100709190513</v>
      </c>
      <c r="AT100" s="78">
        <f t="shared" si="477"/>
        <v>0.65533779451465302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9.125</v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0.02</v>
      </c>
      <c r="B101" s="770">
        <v>-3.6032267513801286</v>
      </c>
      <c r="C101" s="771">
        <v>3.1795796144649149</v>
      </c>
      <c r="D101" s="772">
        <v>-1.048903163491941</v>
      </c>
      <c r="E101" s="773">
        <v>-0.81449070313889038</v>
      </c>
      <c r="F101" s="771">
        <v>-0.56487082666537025</v>
      </c>
      <c r="G101" s="774">
        <v>0.13238520945595642</v>
      </c>
      <c r="H101" s="773">
        <v>0.314</v>
      </c>
      <c r="I101" s="771">
        <v>0.52</v>
      </c>
      <c r="J101" s="601">
        <v>9.1340000000000003</v>
      </c>
      <c r="K101" s="426" t="str">
        <f t="shared" si="651"/>
        <v>1613</v>
      </c>
      <c r="L101" s="327"/>
      <c r="M101" s="173">
        <f t="shared" si="469"/>
        <v>9.1340000000000003</v>
      </c>
      <c r="N101" s="21">
        <f t="shared" si="470"/>
        <v>-3.6032267513801286</v>
      </c>
      <c r="O101" s="5">
        <f t="shared" si="471"/>
        <v>3.1795796144649149</v>
      </c>
      <c r="P101" s="10">
        <f t="shared" si="472"/>
        <v>-1.048903163491941</v>
      </c>
      <c r="Q101" s="624">
        <f t="shared" si="528"/>
        <v>138.57399298678311</v>
      </c>
      <c r="R101" s="5">
        <f t="shared" si="83"/>
        <v>4.8055144934317129</v>
      </c>
      <c r="S101" s="6">
        <f t="shared" si="84"/>
        <v>-1.048903163491941</v>
      </c>
      <c r="T101" s="4">
        <f t="shared" si="85"/>
        <v>3.1795796144649158</v>
      </c>
      <c r="U101" s="5">
        <f t="shared" si="86"/>
        <v>3.6032267513801282</v>
      </c>
      <c r="V101" s="8">
        <f t="shared" si="117"/>
        <v>-1.048903163491941</v>
      </c>
      <c r="W101" s="624">
        <f t="shared" si="652"/>
        <v>48.573992986783111</v>
      </c>
      <c r="X101" s="5">
        <f t="shared" si="87"/>
        <v>4.8055144934317129</v>
      </c>
      <c r="Y101" s="7">
        <f t="shared" si="650"/>
        <v>-1.048903163491941</v>
      </c>
      <c r="Z101" s="21">
        <f t="shared" si="473"/>
        <v>0.81449070313889038</v>
      </c>
      <c r="AA101" s="5">
        <f t="shared" si="474"/>
        <v>0.56487082666537025</v>
      </c>
      <c r="AB101" s="5">
        <f t="shared" si="475"/>
        <v>-0.13238520945595642</v>
      </c>
      <c r="AC101" s="8">
        <f t="shared" si="88"/>
        <v>1</v>
      </c>
      <c r="AD101" s="9">
        <f t="shared" si="118"/>
        <v>0.81449070313889038</v>
      </c>
      <c r="AE101" s="5">
        <f t="shared" si="89"/>
        <v>0.56487082666537025</v>
      </c>
      <c r="AF101" s="10">
        <f t="shared" si="90"/>
        <v>-0.13238520945595642</v>
      </c>
      <c r="AG101" s="622">
        <f t="shared" si="91"/>
        <v>76.810003739948002</v>
      </c>
      <c r="AH101" s="623">
        <f t="shared" si="92"/>
        <v>35.462965143786086</v>
      </c>
      <c r="AI101" s="624">
        <f t="shared" si="93"/>
        <v>-82.392553728095578</v>
      </c>
      <c r="AJ101" s="625">
        <f t="shared" si="94"/>
        <v>124.74233055565013</v>
      </c>
      <c r="AK101" s="4">
        <f t="shared" si="213"/>
        <v>0.96245588602597443</v>
      </c>
      <c r="AL101" s="5">
        <f t="shared" si="95"/>
        <v>-0.23696587047771139</v>
      </c>
      <c r="AM101" s="6">
        <f t="shared" si="96"/>
        <v>-0.13238520945595642</v>
      </c>
      <c r="AN101" s="612">
        <f t="shared" si="97"/>
        <v>-60.809312265924881</v>
      </c>
      <c r="AO101" s="613">
        <f t="shared" si="466"/>
        <v>15.749862887381919</v>
      </c>
      <c r="AP101" s="624">
        <f t="shared" si="99"/>
        <v>-13.831662431132978</v>
      </c>
      <c r="AQ101" s="625">
        <f t="shared" si="476"/>
        <v>2.5789821760426301</v>
      </c>
      <c r="AS101" s="56">
        <f t="shared" si="550"/>
        <v>-311.42600701321692</v>
      </c>
      <c r="AT101" s="78">
        <f t="shared" si="477"/>
        <v>0.12759508522465635</v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2"/>
        <v>9.1340000000000003</v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0.02</v>
      </c>
      <c r="B102" s="770">
        <v>-3.9069321602060385</v>
      </c>
      <c r="C102" s="771">
        <v>3.5043829892929343</v>
      </c>
      <c r="D102" s="772">
        <v>-1.6901050973569736</v>
      </c>
      <c r="E102" s="773">
        <v>-0.84306585996497097</v>
      </c>
      <c r="F102" s="771">
        <v>-0.52877044902703663</v>
      </c>
      <c r="G102" s="774">
        <v>9.81925047917101E-2</v>
      </c>
      <c r="H102" s="773">
        <v>0.314</v>
      </c>
      <c r="I102" s="771">
        <v>0.52</v>
      </c>
      <c r="J102" s="601">
        <v>9.1430000000000007</v>
      </c>
      <c r="K102" s="426" t="str">
        <f t="shared" si="651"/>
        <v>1613</v>
      </c>
      <c r="L102" s="327"/>
      <c r="M102" s="173">
        <f t="shared" si="469"/>
        <v>9.1430000000000007</v>
      </c>
      <c r="N102" s="21">
        <f t="shared" si="470"/>
        <v>-3.9069321602060385</v>
      </c>
      <c r="O102" s="5">
        <f t="shared" si="471"/>
        <v>3.5043829892929343</v>
      </c>
      <c r="P102" s="10">
        <f t="shared" si="472"/>
        <v>-1.6901050973569736</v>
      </c>
      <c r="Q102" s="624">
        <f t="shared" si="528"/>
        <v>138.10899305392081</v>
      </c>
      <c r="R102" s="5">
        <f t="shared" si="83"/>
        <v>5.2483158289205409</v>
      </c>
      <c r="S102" s="6">
        <f t="shared" si="84"/>
        <v>-1.6901050973569736</v>
      </c>
      <c r="T102" s="4">
        <f t="shared" si="85"/>
        <v>3.5043829892929339</v>
      </c>
      <c r="U102" s="5">
        <f t="shared" si="86"/>
        <v>3.906932160206039</v>
      </c>
      <c r="V102" s="8">
        <f t="shared" si="117"/>
        <v>-1.6901050973569736</v>
      </c>
      <c r="W102" s="624">
        <f t="shared" si="652"/>
        <v>48.108993053920813</v>
      </c>
      <c r="X102" s="5">
        <f t="shared" si="87"/>
        <v>5.2483158289205409</v>
      </c>
      <c r="Y102" s="7">
        <f t="shared" si="650"/>
        <v>-1.6901050973569736</v>
      </c>
      <c r="Z102" s="21">
        <f t="shared" si="473"/>
        <v>0.84306585996497097</v>
      </c>
      <c r="AA102" s="5">
        <f t="shared" si="474"/>
        <v>0.52877044902703663</v>
      </c>
      <c r="AB102" s="5">
        <f t="shared" si="475"/>
        <v>-9.81925047917101E-2</v>
      </c>
      <c r="AC102" s="8">
        <f t="shared" si="88"/>
        <v>1</v>
      </c>
      <c r="AD102" s="9">
        <f t="shared" si="118"/>
        <v>0.84306585996497097</v>
      </c>
      <c r="AE102" s="5">
        <f t="shared" si="89"/>
        <v>0.52877044902703663</v>
      </c>
      <c r="AF102" s="10">
        <f t="shared" si="90"/>
        <v>-9.81925047917101E-2</v>
      </c>
      <c r="AG102" s="622">
        <f t="shared" si="91"/>
        <v>79.480024464618765</v>
      </c>
      <c r="AH102" s="623">
        <f t="shared" si="92"/>
        <v>32.534702859015837</v>
      </c>
      <c r="AI102" s="624">
        <f t="shared" si="93"/>
        <v>-84.364903652525271</v>
      </c>
      <c r="AJ102" s="625">
        <f t="shared" si="94"/>
        <v>122.09591445181181</v>
      </c>
      <c r="AK102" s="4">
        <f t="shared" si="213"/>
        <v>0.95655370119327232</v>
      </c>
      <c r="AL102" s="5">
        <f t="shared" si="95"/>
        <v>-0.27452367609403361</v>
      </c>
      <c r="AM102" s="6">
        <f t="shared" si="96"/>
        <v>-9.81925047917101E-2</v>
      </c>
      <c r="AN102" s="612">
        <f t="shared" si="97"/>
        <v>-70.31872386566161</v>
      </c>
      <c r="AO102" s="613">
        <f t="shared" si="466"/>
        <v>16.951146331299125</v>
      </c>
      <c r="AP102" s="624">
        <f t="shared" si="99"/>
        <v>-16.013078602109022</v>
      </c>
      <c r="AQ102" s="625">
        <f t="shared" si="476"/>
        <v>2.3616506897087031</v>
      </c>
      <c r="AS102" s="56">
        <f t="shared" si="550"/>
        <v>-311.89100694607919</v>
      </c>
      <c r="AT102" s="78">
        <f t="shared" si="477"/>
        <v>-0.51185018222734113</v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2"/>
        <v>9.1430000000000007</v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0.02</v>
      </c>
      <c r="B103" s="770">
        <v>-4.1198482573820616</v>
      </c>
      <c r="C103" s="771">
        <v>3.7411578613253291</v>
      </c>
      <c r="D103" s="772">
        <v>-2.4025072459618539</v>
      </c>
      <c r="E103" s="773">
        <v>-0.86797710098975611</v>
      </c>
      <c r="F103" s="771">
        <v>-0.49243966763900848</v>
      </c>
      <c r="G103" s="774">
        <v>6.4178858614046541E-2</v>
      </c>
      <c r="H103" s="773">
        <v>0.314</v>
      </c>
      <c r="I103" s="771">
        <v>0.52</v>
      </c>
      <c r="J103" s="601">
        <v>9.1519999999999992</v>
      </c>
      <c r="K103" s="426" t="str">
        <f t="shared" si="651"/>
        <v>1613</v>
      </c>
      <c r="L103" s="327"/>
      <c r="M103" s="173">
        <f t="shared" si="469"/>
        <v>9.1519999999999992</v>
      </c>
      <c r="N103" s="21">
        <f t="shared" si="470"/>
        <v>-4.1198482573820616</v>
      </c>
      <c r="O103" s="5">
        <f t="shared" si="471"/>
        <v>3.7411578613253291</v>
      </c>
      <c r="P103" s="10">
        <f t="shared" si="472"/>
        <v>-2.4025072459618539</v>
      </c>
      <c r="Q103" s="624">
        <f t="shared" si="528"/>
        <v>137.75799310459894</v>
      </c>
      <c r="R103" s="5">
        <f t="shared" si="83"/>
        <v>5.5650167840906217</v>
      </c>
      <c r="S103" s="6">
        <f t="shared" si="84"/>
        <v>-2.4025072459618539</v>
      </c>
      <c r="T103" s="4">
        <f t="shared" si="85"/>
        <v>3.7411578613253287</v>
      </c>
      <c r="U103" s="5">
        <f t="shared" si="86"/>
        <v>4.1198482573820625</v>
      </c>
      <c r="V103" s="8">
        <f t="shared" si="117"/>
        <v>-2.4025072459618539</v>
      </c>
      <c r="W103" s="624">
        <f t="shared" si="652"/>
        <v>47.757993104598938</v>
      </c>
      <c r="X103" s="5">
        <f t="shared" si="87"/>
        <v>5.5650167840906217</v>
      </c>
      <c r="Y103" s="7">
        <f t="shared" si="650"/>
        <v>-2.4025072459618539</v>
      </c>
      <c r="Z103" s="21">
        <f t="shared" si="473"/>
        <v>0.86797710098975611</v>
      </c>
      <c r="AA103" s="5">
        <f t="shared" si="474"/>
        <v>0.49243966763900848</v>
      </c>
      <c r="AB103" s="5">
        <f t="shared" si="475"/>
        <v>-6.4178858614046541E-2</v>
      </c>
      <c r="AC103" s="8">
        <f t="shared" si="88"/>
        <v>1</v>
      </c>
      <c r="AD103" s="9">
        <f t="shared" si="118"/>
        <v>0.86797710098975611</v>
      </c>
      <c r="AE103" s="5">
        <f t="shared" si="89"/>
        <v>0.49243966763900848</v>
      </c>
      <c r="AF103" s="10">
        <f t="shared" si="90"/>
        <v>-6.4178858614046541E-2</v>
      </c>
      <c r="AG103" s="622">
        <f t="shared" si="91"/>
        <v>82.574587177485114</v>
      </c>
      <c r="AH103" s="623">
        <f t="shared" si="92"/>
        <v>29.775590214327806</v>
      </c>
      <c r="AI103" s="624">
        <f t="shared" si="93"/>
        <v>-86.320293239947787</v>
      </c>
      <c r="AJ103" s="625">
        <f t="shared" si="94"/>
        <v>119.56805274108891</v>
      </c>
      <c r="AK103" s="4">
        <f t="shared" si="213"/>
        <v>0.94806831068142394</v>
      </c>
      <c r="AL103" s="5">
        <f t="shared" si="95"/>
        <v>-0.31152456145329777</v>
      </c>
      <c r="AM103" s="6">
        <f t="shared" si="96"/>
        <v>-6.4178858614046541E-2</v>
      </c>
      <c r="AN103" s="612">
        <f t="shared" si="97"/>
        <v>-78.359052880166203</v>
      </c>
      <c r="AO103" s="613">
        <f t="shared" si="466"/>
        <v>18.546052314921443</v>
      </c>
      <c r="AP103" s="624">
        <f t="shared" si="99"/>
        <v>-18.189940363510043</v>
      </c>
      <c r="AQ103" s="625">
        <f t="shared" si="476"/>
        <v>2.2273903577957928</v>
      </c>
      <c r="AS103" s="56">
        <f t="shared" si="550"/>
        <v>-312.24200689540106</v>
      </c>
      <c r="AT103" s="78">
        <f t="shared" si="477"/>
        <v>-1.2229263310236722</v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2"/>
        <v>9.1519999999999992</v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0.02</v>
      </c>
      <c r="B104" s="770">
        <v>-4.2498379431980098</v>
      </c>
      <c r="C104" s="771">
        <v>3.889350390140756</v>
      </c>
      <c r="D104" s="772">
        <v>-3.1573095224455199</v>
      </c>
      <c r="E104" s="773">
        <v>-0.90057832660394088</v>
      </c>
      <c r="F104" s="771">
        <v>-0.43299167468662242</v>
      </c>
      <c r="G104" s="774">
        <v>3.8430291481067892E-2</v>
      </c>
      <c r="H104" s="773">
        <v>0.314</v>
      </c>
      <c r="I104" s="771">
        <v>0.52</v>
      </c>
      <c r="J104" s="601">
        <v>9.1609999999999996</v>
      </c>
      <c r="K104" s="426" t="str">
        <f t="shared" si="651"/>
        <v>1613</v>
      </c>
      <c r="L104" s="327"/>
      <c r="M104" s="173">
        <f t="shared" si="469"/>
        <v>9.1609999999999996</v>
      </c>
      <c r="N104" s="21">
        <f t="shared" si="470"/>
        <v>-4.2498379431980098</v>
      </c>
      <c r="O104" s="5">
        <f t="shared" si="471"/>
        <v>3.889350390140756</v>
      </c>
      <c r="P104" s="10">
        <f t="shared" si="472"/>
        <v>-3.1573095224455199</v>
      </c>
      <c r="Q104" s="624">
        <f t="shared" si="528"/>
        <v>137.53599313665177</v>
      </c>
      <c r="R104" s="5">
        <f t="shared" si="83"/>
        <v>5.7609173749268043</v>
      </c>
      <c r="S104" s="6">
        <f t="shared" si="84"/>
        <v>-3.1573095224455199</v>
      </c>
      <c r="T104" s="4">
        <f t="shared" si="85"/>
        <v>3.8893503901407556</v>
      </c>
      <c r="U104" s="5">
        <f t="shared" si="86"/>
        <v>4.2498379431980107</v>
      </c>
      <c r="V104" s="8">
        <f t="shared" si="117"/>
        <v>-3.1573095224455199</v>
      </c>
      <c r="W104" s="624">
        <f t="shared" si="652"/>
        <v>47.535993136651769</v>
      </c>
      <c r="X104" s="5">
        <f t="shared" si="87"/>
        <v>5.7609173749268043</v>
      </c>
      <c r="Y104" s="7">
        <f t="shared" si="650"/>
        <v>-3.1573095224455199</v>
      </c>
      <c r="Z104" s="21">
        <f t="shared" si="473"/>
        <v>0.90057832660394088</v>
      </c>
      <c r="AA104" s="5">
        <f t="shared" si="474"/>
        <v>0.43299167468662242</v>
      </c>
      <c r="AB104" s="5">
        <f t="shared" si="475"/>
        <v>-3.8430291481067892E-2</v>
      </c>
      <c r="AC104" s="8">
        <f t="shared" si="88"/>
        <v>1</v>
      </c>
      <c r="AD104" s="9">
        <f t="shared" si="118"/>
        <v>0.90057832660394088</v>
      </c>
      <c r="AE104" s="5">
        <f t="shared" si="89"/>
        <v>0.43299167468662242</v>
      </c>
      <c r="AF104" s="10">
        <f t="shared" si="90"/>
        <v>-3.8430291481067892E-2</v>
      </c>
      <c r="AG104" s="622">
        <f t="shared" si="91"/>
        <v>84.927988210498725</v>
      </c>
      <c r="AH104" s="623">
        <f t="shared" si="92"/>
        <v>25.765809881715231</v>
      </c>
      <c r="AI104" s="624">
        <f t="shared" si="93"/>
        <v>-87.797564140725783</v>
      </c>
      <c r="AJ104" s="625">
        <f t="shared" si="94"/>
        <v>115.67791769389038</v>
      </c>
      <c r="AK104" s="4">
        <f t="shared" si="213"/>
        <v>0.92742331930585742</v>
      </c>
      <c r="AL104" s="5">
        <f t="shared" si="95"/>
        <v>-0.37203373436341214</v>
      </c>
      <c r="AM104" s="6">
        <f t="shared" si="96"/>
        <v>-3.8430291481067892E-2</v>
      </c>
      <c r="AN104" s="612">
        <f t="shared" si="97"/>
        <v>-84.102385522177315</v>
      </c>
      <c r="AO104" s="613">
        <f t="shared" si="466"/>
        <v>21.963345036361083</v>
      </c>
      <c r="AP104" s="624">
        <f t="shared" si="99"/>
        <v>-21.858075442761404</v>
      </c>
      <c r="AQ104" s="625">
        <f t="shared" si="476"/>
        <v>2.1517201651759246</v>
      </c>
      <c r="AS104" s="56">
        <f t="shared" si="550"/>
        <v>-312.46400686334823</v>
      </c>
      <c r="AT104" s="78">
        <f t="shared" si="477"/>
        <v>-1.97688994096176</v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>
        <f t="shared" si="522"/>
        <v>9.1609999999999996</v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0.02</v>
      </c>
      <c r="B105" s="770">
        <v>-4.3019228091103585</v>
      </c>
      <c r="C105" s="771">
        <v>3.9495905952852826</v>
      </c>
      <c r="D105" s="772">
        <v>-3.9332118625669774</v>
      </c>
      <c r="E105" s="773">
        <v>-0.92968717814956348</v>
      </c>
      <c r="F105" s="771">
        <v>-0.36834357326199801</v>
      </c>
      <c r="G105" s="774">
        <v>2.1823888024053856E-3</v>
      </c>
      <c r="H105" s="773">
        <v>0.314</v>
      </c>
      <c r="I105" s="771">
        <v>0.52</v>
      </c>
      <c r="J105" s="601">
        <v>9.17</v>
      </c>
      <c r="K105" s="426" t="str">
        <f t="shared" si="651"/>
        <v>1613</v>
      </c>
      <c r="L105" s="327"/>
      <c r="M105" s="173">
        <f t="shared" ref="M105:M136" si="667">IF(J105="","",VALUE(J105))</f>
        <v>9.17</v>
      </c>
      <c r="N105" s="21">
        <f t="shared" ref="N105:N136" si="668">IF(M105="","",B105)</f>
        <v>-4.3019228091103585</v>
      </c>
      <c r="O105" s="5">
        <f t="shared" ref="O105:O136" si="669">IF(M105="","",C105)</f>
        <v>3.9495905952852826</v>
      </c>
      <c r="P105" s="10">
        <f t="shared" ref="P105:P136" si="670">IF(M105="","",D105)</f>
        <v>-3.9332118625669774</v>
      </c>
      <c r="Q105" s="624">
        <f t="shared" si="528"/>
        <v>137.44499314979052</v>
      </c>
      <c r="R105" s="5">
        <f t="shared" si="83"/>
        <v>5.8400176134931225</v>
      </c>
      <c r="S105" s="6">
        <f t="shared" si="84"/>
        <v>-3.9332118625669774</v>
      </c>
      <c r="T105" s="4">
        <f t="shared" si="85"/>
        <v>3.949590595285283</v>
      </c>
      <c r="U105" s="5">
        <f t="shared" si="86"/>
        <v>4.3019228091103576</v>
      </c>
      <c r="V105" s="8">
        <f t="shared" si="117"/>
        <v>-3.9332118625669774</v>
      </c>
      <c r="W105" s="624">
        <f t="shared" si="652"/>
        <v>47.44499314979052</v>
      </c>
      <c r="X105" s="5">
        <f t="shared" si="87"/>
        <v>5.8400176134931225</v>
      </c>
      <c r="Y105" s="7">
        <f t="shared" si="650"/>
        <v>-3.9332118625669774</v>
      </c>
      <c r="Z105" s="21">
        <f t="shared" ref="Z105:Z136" si="671">IF(M105="","",-E105)</f>
        <v>0.92968717814956348</v>
      </c>
      <c r="AA105" s="5">
        <f t="shared" ref="AA105:AA136" si="672">IF(M105="","",-F105)</f>
        <v>0.36834357326199801</v>
      </c>
      <c r="AB105" s="5">
        <f t="shared" ref="AB105:AB136" si="673">IF(M105="","",-G105)</f>
        <v>-2.1823888024053856E-3</v>
      </c>
      <c r="AC105" s="8">
        <f t="shared" si="88"/>
        <v>1</v>
      </c>
      <c r="AD105" s="9">
        <f t="shared" si="118"/>
        <v>0.92968717814956348</v>
      </c>
      <c r="AE105" s="5">
        <f t="shared" si="89"/>
        <v>0.36834357326199801</v>
      </c>
      <c r="AF105" s="10">
        <f t="shared" si="90"/>
        <v>-2.1823888024053856E-3</v>
      </c>
      <c r="AG105" s="622">
        <f t="shared" si="91"/>
        <v>89.660533769060237</v>
      </c>
      <c r="AH105" s="623">
        <f t="shared" si="92"/>
        <v>21.613895812677264</v>
      </c>
      <c r="AI105" s="624">
        <f t="shared" si="93"/>
        <v>-89.874958233106838</v>
      </c>
      <c r="AJ105" s="625">
        <f t="shared" si="94"/>
        <v>111.6135514327313</v>
      </c>
      <c r="AK105" s="4">
        <f t="shared" si="213"/>
        <v>0.90007765432709874</v>
      </c>
      <c r="AL105" s="5">
        <f t="shared" si="95"/>
        <v>-0.43572405643955769</v>
      </c>
      <c r="AM105" s="6">
        <f t="shared" si="96"/>
        <v>-2.1823888024053856E-3</v>
      </c>
      <c r="AN105" s="612">
        <f t="shared" si="97"/>
        <v>-89.713027958451477</v>
      </c>
      <c r="AO105" s="613">
        <f t="shared" si="466"/>
        <v>25.831723570693036</v>
      </c>
      <c r="AP105" s="624">
        <f t="shared" si="99"/>
        <v>-25.831441717059214</v>
      </c>
      <c r="AQ105" s="625">
        <f t="shared" ref="AQ105:AQ136" si="674">IF(M105="","",DEGREES(ATAN(($AS$5*SIN(RADIANS(90)))/(($X105*2*PI())-($AS$5*COS(RADIANS(90)))))))</f>
        <v>2.1226029881545121</v>
      </c>
      <c r="AS105" s="56">
        <f t="shared" si="550"/>
        <v>-312.55500685020945</v>
      </c>
      <c r="AT105" s="78">
        <f t="shared" ref="AT105:AT136" si="675">IF(M105="","",Y105+(((AS105-$AS$9)*$AS$6)*-1))</f>
        <v>-2.7524485033550752</v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>
        <f t="shared" ref="IG105:IG136" si="720">M105</f>
        <v>9.17</v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0.02</v>
      </c>
      <c r="B106" s="770">
        <v>-4.3257523356985335</v>
      </c>
      <c r="C106" s="771">
        <v>3.9774554665802682</v>
      </c>
      <c r="D106" s="772">
        <v>-4.7120142114348615</v>
      </c>
      <c r="E106" s="773">
        <v>-0.9542299025570804</v>
      </c>
      <c r="F106" s="771">
        <v>-0.29907405950013816</v>
      </c>
      <c r="G106" s="774">
        <v>1.1339743357591717E-7</v>
      </c>
      <c r="H106" s="773">
        <v>0.314</v>
      </c>
      <c r="I106" s="771">
        <v>0.52</v>
      </c>
      <c r="J106" s="601">
        <v>9.1790000000000003</v>
      </c>
      <c r="K106" s="426" t="str">
        <f t="shared" si="651"/>
        <v>1613</v>
      </c>
      <c r="L106" s="327"/>
      <c r="M106" s="173">
        <f t="shared" si="667"/>
        <v>9.1790000000000003</v>
      </c>
      <c r="N106" s="21">
        <f t="shared" si="668"/>
        <v>-4.3257523356985335</v>
      </c>
      <c r="O106" s="5">
        <f t="shared" si="669"/>
        <v>3.9774554665802682</v>
      </c>
      <c r="P106" s="10">
        <f t="shared" si="670"/>
        <v>-4.7120142114348615</v>
      </c>
      <c r="Q106" s="624">
        <f t="shared" si="528"/>
        <v>137.40199315599895</v>
      </c>
      <c r="R106" s="5">
        <f t="shared" ref="R106:R129" si="725">IF(M106="","",SQRT(N106^2+O106^2))</f>
        <v>5.8764177232758543</v>
      </c>
      <c r="S106" s="6">
        <f t="shared" ref="S106:S129" si="726">IF(M106="","",P106)</f>
        <v>-4.7120142114348615</v>
      </c>
      <c r="T106" s="4">
        <f t="shared" ref="T106:T129" si="727">IF(M106="","",X106*COS(RADIANS(W106)))</f>
        <v>3.9774554665802691</v>
      </c>
      <c r="U106" s="5">
        <f t="shared" ref="U106:U129" si="728">IF(M106="","",X106*SIN(RADIANS(W106)))</f>
        <v>4.3257523356985326</v>
      </c>
      <c r="V106" s="8">
        <f t="shared" ref="V106:V129" si="729">IF(M106="","",Y106)</f>
        <v>-4.7120142114348615</v>
      </c>
      <c r="W106" s="624">
        <f t="shared" si="652"/>
        <v>47.401993155998952</v>
      </c>
      <c r="X106" s="5">
        <f t="shared" ref="X106:X129" si="730">IF(M106="","",R106)</f>
        <v>5.8764177232758543</v>
      </c>
      <c r="Y106" s="7">
        <f t="shared" si="650"/>
        <v>-4.7120142114348615</v>
      </c>
      <c r="Z106" s="21">
        <f t="shared" si="671"/>
        <v>0.9542299025570804</v>
      </c>
      <c r="AA106" s="5">
        <f t="shared" si="672"/>
        <v>0.29907405950013816</v>
      </c>
      <c r="AB106" s="5">
        <f t="shared" si="673"/>
        <v>-1.1339743357591717E-7</v>
      </c>
      <c r="AC106" s="8">
        <f t="shared" ref="AC106:AC129" si="731">IF(M106="","",SQRT(Z106^2+AA106^2+AB106^2))</f>
        <v>1</v>
      </c>
      <c r="AD106" s="9">
        <f t="shared" ref="AD106:AD129" si="732">IF(M106="","",Z106*(1/SQRT(Z106^2+AA106^2+AB106^2)))</f>
        <v>0.9542299025570804</v>
      </c>
      <c r="AE106" s="5">
        <f t="shared" ref="AE106:AE129" si="733">IF(M106="","",AA106*(1/SQRT(Z106^2+AA106^2+AB106^2)))</f>
        <v>0.29907405950013816</v>
      </c>
      <c r="AF106" s="10">
        <f t="shared" ref="AF106:AF129" si="734">IF(M106="","",AB106*(1/SQRT(Z106^2+AA106^2+AB106^2)))</f>
        <v>-1.1339743357591717E-7</v>
      </c>
      <c r="AG106" s="622">
        <f t="shared" ref="AG106:AG129" si="735">IF(M106="","",DEGREES(ATAN2(-AF106,AE106)))</f>
        <v>89.999978275633936</v>
      </c>
      <c r="AH106" s="623">
        <f t="shared" ref="AH106:AH129" si="736">IF(M106="","",DEGREES(ACOS(AD106)))</f>
        <v>17.401997487464222</v>
      </c>
      <c r="AI106" s="624">
        <f t="shared" ref="AI106:AI129" si="737">IF(M106="","",DEGREES(-ACOS(-AF106)))</f>
        <v>-89.999993502805637</v>
      </c>
      <c r="AJ106" s="625">
        <f t="shared" ref="AJ106:AJ129" si="738">IF(M106="","",DEGREES(ATAN2(-AE106,AD106)))</f>
        <v>107.40199748746306</v>
      </c>
      <c r="AK106" s="4">
        <f t="shared" ref="AK106:AK129" si="739">IF(M106="","",(COS(RADIANS((90-$Q$8)-W106))*AD106)+(-SIN(RADIANS((90-$Q$8)-W106))*AE106))</f>
        <v>0.86602544158358574</v>
      </c>
      <c r="AL106" s="5">
        <f t="shared" ref="AL106:AL129" si="740">IF(M106="","",(SIN(RADIANS((90-$Q$8)-W106))*AD106)+(COS(RADIANS((90-$Q$8)-W106))*AE106))</f>
        <v>-0.49999993452993824</v>
      </c>
      <c r="AM106" s="6">
        <f t="shared" ref="AM106:AM129" si="741">IF(M106="","",AF106)</f>
        <v>-1.1339743357591717E-7</v>
      </c>
      <c r="AN106" s="612">
        <f t="shared" ref="AN106:AN129" si="742">IF(M106="","",DEGREES(ATAN2(-AM106,AL106)))</f>
        <v>-89.999987005609597</v>
      </c>
      <c r="AO106" s="613">
        <f t="shared" si="466"/>
        <v>29.99999566853651</v>
      </c>
      <c r="AP106" s="624">
        <f t="shared" ref="AP106:AP129" si="743">IF(M106="","",DEGREES(ATAN2(AK106,AL106)))</f>
        <v>-29.999995668535888</v>
      </c>
      <c r="AQ106" s="625">
        <f t="shared" si="674"/>
        <v>2.109466930261171</v>
      </c>
      <c r="AS106" s="56">
        <f t="shared" si="550"/>
        <v>-312.59800684400102</v>
      </c>
      <c r="AT106" s="78">
        <f t="shared" si="675"/>
        <v>-3.5310884078019686</v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>
        <f t="shared" si="720"/>
        <v>9.1790000000000003</v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>
        <v>-2.3851708209758575</v>
      </c>
      <c r="C107" s="771">
        <v>3.5313736213470288</v>
      </c>
      <c r="D107" s="772">
        <v>-0.4869014684948294</v>
      </c>
      <c r="E107" s="773">
        <v>-0.31903509999210627</v>
      </c>
      <c r="F107" s="771">
        <v>0.47234821087921219</v>
      </c>
      <c r="G107" s="774">
        <v>0.82164698785563262</v>
      </c>
      <c r="H107" s="773">
        <v>0.25700000000000001</v>
      </c>
      <c r="I107" s="771">
        <v>0.41499999999999992</v>
      </c>
      <c r="J107" s="601">
        <v>9.2249999999999996</v>
      </c>
      <c r="K107" s="426" t="str">
        <f t="shared" si="651"/>
        <v>Knuckle</v>
      </c>
      <c r="L107" s="327"/>
      <c r="M107" s="173">
        <f t="shared" si="667"/>
        <v>9.2249999999999996</v>
      </c>
      <c r="N107" s="21">
        <f t="shared" si="668"/>
        <v>-2.3851708209758575</v>
      </c>
      <c r="O107" s="5">
        <f t="shared" si="669"/>
        <v>3.5313736213470288</v>
      </c>
      <c r="P107" s="10">
        <f t="shared" si="670"/>
        <v>-0.4869014684948294</v>
      </c>
      <c r="Q107" s="624">
        <f t="shared" si="528"/>
        <v>124.03599508581033</v>
      </c>
      <c r="R107" s="5">
        <f t="shared" si="725"/>
        <v>4.261412852421163</v>
      </c>
      <c r="S107" s="6">
        <f t="shared" si="726"/>
        <v>-0.4869014684948294</v>
      </c>
      <c r="T107" s="4">
        <f t="shared" si="727"/>
        <v>3.5313736213470284</v>
      </c>
      <c r="U107" s="5">
        <f t="shared" si="728"/>
        <v>2.3851708209758575</v>
      </c>
      <c r="V107" s="8">
        <f t="shared" si="729"/>
        <v>-0.4869014684948294</v>
      </c>
      <c r="W107" s="624">
        <f t="shared" si="652"/>
        <v>34.035995085810328</v>
      </c>
      <c r="X107" s="5">
        <f t="shared" si="730"/>
        <v>4.261412852421163</v>
      </c>
      <c r="Y107" s="7">
        <f t="shared" si="650"/>
        <v>-0.4869014684948294</v>
      </c>
      <c r="Z107" s="21">
        <f t="shared" si="671"/>
        <v>0.31903509999210627</v>
      </c>
      <c r="AA107" s="5">
        <f t="shared" si="672"/>
        <v>-0.47234821087921219</v>
      </c>
      <c r="AB107" s="5">
        <f t="shared" si="673"/>
        <v>-0.82164698785563262</v>
      </c>
      <c r="AC107" s="8">
        <f t="shared" si="731"/>
        <v>1</v>
      </c>
      <c r="AD107" s="9">
        <f t="shared" si="732"/>
        <v>0.31903509999210627</v>
      </c>
      <c r="AE107" s="5">
        <f t="shared" si="733"/>
        <v>-0.47234821087921219</v>
      </c>
      <c r="AF107" s="10">
        <f t="shared" si="734"/>
        <v>-0.82164698785563262</v>
      </c>
      <c r="AG107" s="622">
        <f t="shared" si="735"/>
        <v>-29.893723474638175</v>
      </c>
      <c r="AH107" s="623">
        <f t="shared" si="736"/>
        <v>71.395418136659131</v>
      </c>
      <c r="AI107" s="624">
        <f t="shared" si="737"/>
        <v>-34.749994982723621</v>
      </c>
      <c r="AJ107" s="625">
        <f t="shared" si="738"/>
        <v>34.036017883118816</v>
      </c>
      <c r="AK107" s="4">
        <f t="shared" si="739"/>
        <v>2.2679489669608088E-7</v>
      </c>
      <c r="AL107" s="5">
        <f t="shared" si="740"/>
        <v>-0.56999669064628311</v>
      </c>
      <c r="AM107" s="6">
        <f t="shared" si="741"/>
        <v>-0.82164698785563262</v>
      </c>
      <c r="AN107" s="612">
        <f t="shared" si="742"/>
        <v>-34.749994982721503</v>
      </c>
      <c r="AO107" s="613">
        <f t="shared" si="466"/>
        <v>0</v>
      </c>
      <c r="AP107" s="624">
        <f t="shared" si="743"/>
        <v>-89.999977202691511</v>
      </c>
      <c r="AQ107" s="625">
        <f t="shared" si="674"/>
        <v>2.9077361265592736</v>
      </c>
      <c r="AS107" s="56">
        <f t="shared" ref="AS107:AS138" si="746">IF(G107="","",IF(AND(W107&lt;(AS106+180),W107&gt;(AS106-180)),W107,IF(W107&gt;(AS106+180),W107-360,IF(W107&lt;(AS106-180),W107+360,"Error"))))</f>
        <v>-325.96400491418967</v>
      </c>
      <c r="AT107" s="78">
        <f t="shared" si="675"/>
        <v>0.74451810562544263</v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>
        <f>IFERROR(IF($IU107="","",IF($IU107&lt;(((Settings!$C$19/2)*-1)*$IE$8),"",1)),"")</f>
        <v>1</v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>
        <f t="shared" si="720"/>
        <v>9.2249999999999996</v>
      </c>
      <c r="IH107" s="797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0.125</v>
      </c>
      <c r="II107" s="800" cm="1">
        <f t="array" ref="II107">IFERROR(IF($IH107&lt;1,$IH107+LARGE((IF($M$9:$M$150="",0,$M$9:$M$150)-MOD(IF($M$9:$M$150="",0,$M$9:$M$150),1)),1),$IH107),"")</f>
        <v>9.125</v>
      </c>
      <c r="IJ107" s="839" t="str">
        <f t="shared" si="721"/>
        <v>1613</v>
      </c>
      <c r="IK107" s="839" t="str">
        <f t="shared" si="722"/>
        <v>Knuckle</v>
      </c>
      <c r="IL107" s="791">
        <f t="shared" si="654"/>
        <v>15.08299782228454</v>
      </c>
      <c r="IM107" s="830">
        <v>4.0165881005108503E-3</v>
      </c>
      <c r="IN107" s="5">
        <f t="shared" si="655"/>
        <v>0.08</v>
      </c>
      <c r="IO107" s="852">
        <v>40</v>
      </c>
      <c r="IP107" s="9">
        <f t="shared" si="656"/>
        <v>-4.2347127718937205</v>
      </c>
      <c r="IQ107" s="5">
        <f t="shared" si="657"/>
        <v>-0.51910156561032195</v>
      </c>
      <c r="IR107" s="5">
        <f t="shared" si="723"/>
        <v>0.314</v>
      </c>
      <c r="IS107" s="5">
        <f t="shared" si="658"/>
        <v>0.30264959036617711</v>
      </c>
      <c r="IT107" s="791">
        <f t="shared" si="659"/>
        <v>48.979080675416121</v>
      </c>
      <c r="IU107" s="9">
        <f t="shared" si="660"/>
        <v>-4.261412852421163</v>
      </c>
      <c r="IV107" s="5">
        <f t="shared" si="661"/>
        <v>-0.4869014684948294</v>
      </c>
      <c r="IW107" s="5">
        <f t="shared" si="724"/>
        <v>0.25700000000000001</v>
      </c>
      <c r="IX107" s="5">
        <f t="shared" si="662"/>
        <v>0.25700000000000001</v>
      </c>
      <c r="IY107" s="833">
        <f t="shared" si="663"/>
        <v>34.749994982721503</v>
      </c>
    </row>
    <row r="108" spans="1:259" ht="15" customHeight="1" x14ac:dyDescent="0.25">
      <c r="A108" s="84">
        <f t="shared" si="527"/>
        <v>0.02</v>
      </c>
      <c r="B108" s="770">
        <v>-2.6630632064237929</v>
      </c>
      <c r="C108" s="771">
        <v>4.0434300186710006</v>
      </c>
      <c r="D108" s="772">
        <v>-1.0139030579316228</v>
      </c>
      <c r="E108" s="773">
        <v>-0.9431788702669206</v>
      </c>
      <c r="F108" s="771">
        <v>-0.27021812599203032</v>
      </c>
      <c r="G108" s="774">
        <v>0.19337989313103571</v>
      </c>
      <c r="H108" s="773">
        <v>0.26600000000000001</v>
      </c>
      <c r="I108" s="771">
        <v>0.52</v>
      </c>
      <c r="J108" s="601">
        <v>9.234</v>
      </c>
      <c r="K108" s="426" t="str">
        <f t="shared" si="651"/>
        <v>1313</v>
      </c>
      <c r="L108" s="327"/>
      <c r="M108" s="173">
        <f t="shared" si="667"/>
        <v>9.234</v>
      </c>
      <c r="N108" s="21">
        <f t="shared" si="668"/>
        <v>-2.6630632064237929</v>
      </c>
      <c r="O108" s="5">
        <f t="shared" si="669"/>
        <v>4.0434300186710006</v>
      </c>
      <c r="P108" s="10">
        <f t="shared" si="670"/>
        <v>-1.0139030579316228</v>
      </c>
      <c r="Q108" s="624">
        <f t="shared" si="528"/>
        <v>123.36949518204098</v>
      </c>
      <c r="R108" s="5">
        <f t="shared" si="725"/>
        <v>4.8416146023096411</v>
      </c>
      <c r="S108" s="6">
        <f t="shared" si="726"/>
        <v>-1.0139030579316228</v>
      </c>
      <c r="T108" s="4">
        <f t="shared" si="727"/>
        <v>4.0434300186710015</v>
      </c>
      <c r="U108" s="5">
        <f t="shared" si="728"/>
        <v>2.663063206423792</v>
      </c>
      <c r="V108" s="8">
        <f t="shared" si="729"/>
        <v>-1.0139030579316228</v>
      </c>
      <c r="W108" s="624">
        <f t="shared" si="652"/>
        <v>33.369495182040978</v>
      </c>
      <c r="X108" s="5">
        <f t="shared" si="730"/>
        <v>4.8416146023096411</v>
      </c>
      <c r="Y108" s="7">
        <f t="shared" si="650"/>
        <v>-1.0139030579316228</v>
      </c>
      <c r="Z108" s="21">
        <f t="shared" si="671"/>
        <v>0.9431788702669206</v>
      </c>
      <c r="AA108" s="5">
        <f t="shared" si="672"/>
        <v>0.27021812599203032</v>
      </c>
      <c r="AB108" s="5">
        <f t="shared" si="673"/>
        <v>-0.19337989313103571</v>
      </c>
      <c r="AC108" s="8">
        <f t="shared" si="731"/>
        <v>1</v>
      </c>
      <c r="AD108" s="9">
        <f t="shared" si="732"/>
        <v>0.9431788702669206</v>
      </c>
      <c r="AE108" s="5">
        <f t="shared" si="733"/>
        <v>0.27021812599203032</v>
      </c>
      <c r="AF108" s="10">
        <f t="shared" si="734"/>
        <v>-0.19337989313103571</v>
      </c>
      <c r="AG108" s="622">
        <f t="shared" si="735"/>
        <v>54.41083543180833</v>
      </c>
      <c r="AH108" s="623">
        <f t="shared" si="736"/>
        <v>19.407551696017446</v>
      </c>
      <c r="AI108" s="624">
        <f t="shared" si="737"/>
        <v>-78.849903022656079</v>
      </c>
      <c r="AJ108" s="625">
        <f t="shared" si="738"/>
        <v>105.98686067168671</v>
      </c>
      <c r="AK108" s="4">
        <f t="shared" si="739"/>
        <v>0.93631692697908608</v>
      </c>
      <c r="AL108" s="5">
        <f t="shared" si="740"/>
        <v>-0.2931123149665843</v>
      </c>
      <c r="AM108" s="6">
        <f t="shared" si="741"/>
        <v>-0.19337989313103571</v>
      </c>
      <c r="AN108" s="612">
        <f t="shared" si="742"/>
        <v>-56.585297927227728</v>
      </c>
      <c r="AO108" s="613">
        <f t="shared" si="466"/>
        <v>20.558044158898749</v>
      </c>
      <c r="AP108" s="624">
        <f t="shared" si="743"/>
        <v>-17.382634510354272</v>
      </c>
      <c r="AQ108" s="625">
        <f t="shared" si="674"/>
        <v>2.5597784096398741</v>
      </c>
      <c r="AS108" s="56">
        <f t="shared" si="746"/>
        <v>-326.63050481795904</v>
      </c>
      <c r="AT108" s="78">
        <f t="shared" si="675"/>
        <v>0.22003440471400015</v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20"/>
        <v>9.234</v>
      </c>
      <c r="IH108" s="797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0.13400000000000001</v>
      </c>
      <c r="II108" s="800" cm="1">
        <f t="array" ref="II108">IFERROR(IF($IH108&lt;1,$IH108+LARGE((IF($M$9:$M$150="",0,$M$9:$M$150)-MOD(IF($M$9:$M$150="",0,$M$9:$M$150),1)),1),$IH108),"")</f>
        <v>9.1340000000000003</v>
      </c>
      <c r="IJ108" s="839" t="str">
        <f t="shared" si="721"/>
        <v>1613</v>
      </c>
      <c r="IK108" s="839" t="str">
        <f t="shared" si="722"/>
        <v>1313</v>
      </c>
      <c r="IL108" s="791">
        <f t="shared" si="654"/>
        <v>15.204497804742132</v>
      </c>
      <c r="IM108" s="830">
        <v>3.06195441497845E-3</v>
      </c>
      <c r="IN108" s="5">
        <f t="shared" si="655"/>
        <v>0.06</v>
      </c>
      <c r="IO108" s="852">
        <v>30</v>
      </c>
      <c r="IP108" s="9">
        <f t="shared" si="656"/>
        <v>-4.8055144934317129</v>
      </c>
      <c r="IQ108" s="5">
        <f t="shared" si="657"/>
        <v>-1.048903163491941</v>
      </c>
      <c r="IR108" s="5">
        <f t="shared" si="723"/>
        <v>0.314</v>
      </c>
      <c r="IS108" s="5">
        <f t="shared" si="658"/>
        <v>0.30221114821215594</v>
      </c>
      <c r="IT108" s="791">
        <f t="shared" si="659"/>
        <v>60.809312265924881</v>
      </c>
      <c r="IU108" s="9">
        <f t="shared" si="660"/>
        <v>-4.8416146023096411</v>
      </c>
      <c r="IV108" s="5">
        <f t="shared" si="661"/>
        <v>-1.0139030579316228</v>
      </c>
      <c r="IW108" s="5">
        <f t="shared" si="724"/>
        <v>0.26600000000000001</v>
      </c>
      <c r="IX108" s="5">
        <f t="shared" si="662"/>
        <v>0.24906030257643691</v>
      </c>
      <c r="IY108" s="833">
        <f t="shared" si="663"/>
        <v>56.585297927227728</v>
      </c>
    </row>
    <row r="109" spans="1:259" ht="15" customHeight="1" x14ac:dyDescent="0.25">
      <c r="A109" s="84">
        <f t="shared" si="527"/>
        <v>0.02</v>
      </c>
      <c r="B109" s="770">
        <v>-2.9723801163900778</v>
      </c>
      <c r="C109" s="771">
        <v>4.3754992148344849</v>
      </c>
      <c r="D109" s="772">
        <v>-1.6600050065751</v>
      </c>
      <c r="E109" s="773">
        <v>-0.95842135490800218</v>
      </c>
      <c r="F109" s="771">
        <v>-0.24240632205034668</v>
      </c>
      <c r="G109" s="774">
        <v>0.15055790077685413</v>
      </c>
      <c r="H109" s="773">
        <v>0.26600000000000001</v>
      </c>
      <c r="I109" s="771">
        <v>0.52</v>
      </c>
      <c r="J109" s="601">
        <v>9.2430000000000003</v>
      </c>
      <c r="K109" s="426" t="str">
        <f t="shared" si="651"/>
        <v>1313</v>
      </c>
      <c r="L109" s="327"/>
      <c r="M109" s="173">
        <f t="shared" si="667"/>
        <v>9.2430000000000003</v>
      </c>
      <c r="N109" s="21">
        <f t="shared" si="668"/>
        <v>-2.9723801163900778</v>
      </c>
      <c r="O109" s="5">
        <f t="shared" si="669"/>
        <v>4.3754992148344849</v>
      </c>
      <c r="P109" s="10">
        <f t="shared" si="670"/>
        <v>-1.6600050065751</v>
      </c>
      <c r="Q109" s="624">
        <f t="shared" si="528"/>
        <v>124.18919506369097</v>
      </c>
      <c r="R109" s="5">
        <f t="shared" si="725"/>
        <v>5.2896159534817162</v>
      </c>
      <c r="S109" s="6">
        <f t="shared" si="726"/>
        <v>-1.6600050065751</v>
      </c>
      <c r="T109" s="4">
        <f t="shared" si="727"/>
        <v>4.3754992148344858</v>
      </c>
      <c r="U109" s="5">
        <f t="shared" si="728"/>
        <v>2.9723801163900769</v>
      </c>
      <c r="V109" s="8">
        <f t="shared" si="729"/>
        <v>-1.6600050065751</v>
      </c>
      <c r="W109" s="624">
        <f t="shared" si="652"/>
        <v>34.189195063690974</v>
      </c>
      <c r="X109" s="5">
        <f t="shared" si="730"/>
        <v>5.2896159534817162</v>
      </c>
      <c r="Y109" s="7">
        <f t="shared" si="650"/>
        <v>-1.6600050065751</v>
      </c>
      <c r="Z109" s="21">
        <f t="shared" si="671"/>
        <v>0.95842135490800218</v>
      </c>
      <c r="AA109" s="5">
        <f t="shared" si="672"/>
        <v>0.24240632205034668</v>
      </c>
      <c r="AB109" s="5">
        <f t="shared" si="673"/>
        <v>-0.15055790077685413</v>
      </c>
      <c r="AC109" s="8">
        <f t="shared" si="731"/>
        <v>1</v>
      </c>
      <c r="AD109" s="9">
        <f t="shared" si="732"/>
        <v>0.95842135490800218</v>
      </c>
      <c r="AE109" s="5">
        <f t="shared" si="733"/>
        <v>0.24240632205034668</v>
      </c>
      <c r="AF109" s="10">
        <f t="shared" si="734"/>
        <v>-0.15055790077685413</v>
      </c>
      <c r="AG109" s="622">
        <f t="shared" si="735"/>
        <v>58.155697776430067</v>
      </c>
      <c r="AH109" s="623">
        <f t="shared" si="736"/>
        <v>16.580177741843475</v>
      </c>
      <c r="AI109" s="624">
        <f t="shared" si="737"/>
        <v>-81.340740900836622</v>
      </c>
      <c r="AJ109" s="625">
        <f t="shared" si="738"/>
        <v>104.19373169823697</v>
      </c>
      <c r="AK109" s="4">
        <f t="shared" si="739"/>
        <v>0.92900801510849296</v>
      </c>
      <c r="AL109" s="5">
        <f t="shared" si="740"/>
        <v>-0.33804796461130393</v>
      </c>
      <c r="AM109" s="6">
        <f t="shared" si="741"/>
        <v>-0.15055790077685413</v>
      </c>
      <c r="AN109" s="612">
        <f t="shared" si="742"/>
        <v>-65.993033948752014</v>
      </c>
      <c r="AO109" s="613">
        <f t="shared" si="466"/>
        <v>21.719293041629989</v>
      </c>
      <c r="AP109" s="624">
        <f t="shared" si="743"/>
        <v>-19.99546336545399</v>
      </c>
      <c r="AQ109" s="625">
        <f t="shared" si="674"/>
        <v>2.3432320899645602</v>
      </c>
      <c r="AS109" s="56">
        <f t="shared" si="746"/>
        <v>-325.81080493630901</v>
      </c>
      <c r="AT109" s="78">
        <f t="shared" si="675"/>
        <v>-0.42916418792682154</v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20"/>
        <v>9.2430000000000003</v>
      </c>
      <c r="IH109" s="797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0.14299999999999999</v>
      </c>
      <c r="II109" s="800" cm="1">
        <f t="array" ref="II109">IFERROR(IF($IH109&lt;1,$IH109+LARGE((IF($M$9:$M$150="",0,$M$9:$M$150)-MOD(IF($M$9:$M$150="",0,$M$9:$M$150),1)),1),$IH109),"")</f>
        <v>9.1430000000000007</v>
      </c>
      <c r="IJ109" s="839" t="str">
        <f t="shared" si="721"/>
        <v>1613</v>
      </c>
      <c r="IK109" s="839" t="str">
        <f t="shared" si="722"/>
        <v>1313</v>
      </c>
      <c r="IL109" s="791">
        <f t="shared" si="654"/>
        <v>13.919797990229839</v>
      </c>
      <c r="IM109" s="830">
        <v>2.39074494660939E-3</v>
      </c>
      <c r="IN109" s="5">
        <f t="shared" si="655"/>
        <v>0.04</v>
      </c>
      <c r="IO109" s="852">
        <v>20</v>
      </c>
      <c r="IP109" s="9">
        <f t="shared" si="656"/>
        <v>-5.2483158289205409</v>
      </c>
      <c r="IQ109" s="5">
        <f t="shared" si="657"/>
        <v>-1.6901050973569736</v>
      </c>
      <c r="IR109" s="5">
        <f t="shared" si="723"/>
        <v>0.314</v>
      </c>
      <c r="IS109" s="5">
        <f t="shared" si="658"/>
        <v>0.30035786217468752</v>
      </c>
      <c r="IT109" s="791">
        <f t="shared" si="659"/>
        <v>70.31872386566161</v>
      </c>
      <c r="IU109" s="9">
        <f t="shared" si="660"/>
        <v>-5.2896159534817162</v>
      </c>
      <c r="IV109" s="5">
        <f t="shared" si="661"/>
        <v>-1.6600050065751</v>
      </c>
      <c r="IW109" s="5">
        <f t="shared" si="724"/>
        <v>0.26600000000000001</v>
      </c>
      <c r="IX109" s="5">
        <f t="shared" si="662"/>
        <v>0.24711613201885915</v>
      </c>
      <c r="IY109" s="833">
        <f t="shared" si="663"/>
        <v>65.993033948752014</v>
      </c>
    </row>
    <row r="110" spans="1:259" ht="15" customHeight="1" x14ac:dyDescent="0.25">
      <c r="A110" s="84">
        <f t="shared" si="527"/>
        <v>0.02</v>
      </c>
      <c r="B110" s="770">
        <v>-3.183623743444322</v>
      </c>
      <c r="C110" s="771">
        <v>4.6200307615991152</v>
      </c>
      <c r="D110" s="772">
        <v>-2.3780071720696312</v>
      </c>
      <c r="E110" s="773">
        <v>-0.97238431383286805</v>
      </c>
      <c r="F110" s="771">
        <v>-0.20746162009654989</v>
      </c>
      <c r="G110" s="774">
        <v>0.1069037997392849</v>
      </c>
      <c r="H110" s="773">
        <v>0.26600000000000001</v>
      </c>
      <c r="I110" s="771">
        <v>0.52</v>
      </c>
      <c r="J110" s="601">
        <v>9.2520000000000007</v>
      </c>
      <c r="K110" s="426" t="str">
        <f t="shared" si="651"/>
        <v>1313</v>
      </c>
      <c r="L110" s="327"/>
      <c r="M110" s="173">
        <f t="shared" si="667"/>
        <v>9.2520000000000007</v>
      </c>
      <c r="N110" s="21">
        <f t="shared" si="668"/>
        <v>-3.183623743444322</v>
      </c>
      <c r="O110" s="5">
        <f t="shared" si="669"/>
        <v>4.6200307615991152</v>
      </c>
      <c r="P110" s="10">
        <f t="shared" si="670"/>
        <v>-2.3780071720696312</v>
      </c>
      <c r="Q110" s="624">
        <f t="shared" si="528"/>
        <v>124.57039500865251</v>
      </c>
      <c r="R110" s="5">
        <f t="shared" si="725"/>
        <v>5.6107169219222364</v>
      </c>
      <c r="S110" s="6">
        <f t="shared" si="726"/>
        <v>-2.3780071720696312</v>
      </c>
      <c r="T110" s="4">
        <f t="shared" si="727"/>
        <v>4.6200307615991152</v>
      </c>
      <c r="U110" s="5">
        <f t="shared" si="728"/>
        <v>3.1836237434443215</v>
      </c>
      <c r="V110" s="8">
        <f t="shared" si="729"/>
        <v>-2.3780071720696312</v>
      </c>
      <c r="W110" s="624">
        <f t="shared" si="652"/>
        <v>34.570395008652511</v>
      </c>
      <c r="X110" s="5">
        <f t="shared" si="730"/>
        <v>5.6107169219222364</v>
      </c>
      <c r="Y110" s="7">
        <f t="shared" si="650"/>
        <v>-2.3780071720696312</v>
      </c>
      <c r="Z110" s="21">
        <f t="shared" si="671"/>
        <v>0.97238431383286805</v>
      </c>
      <c r="AA110" s="5">
        <f t="shared" si="672"/>
        <v>0.20746162009654989</v>
      </c>
      <c r="AB110" s="5">
        <f t="shared" si="673"/>
        <v>-0.1069037997392849</v>
      </c>
      <c r="AC110" s="8">
        <f t="shared" si="731"/>
        <v>1</v>
      </c>
      <c r="AD110" s="9">
        <f t="shared" si="732"/>
        <v>0.97238431383286805</v>
      </c>
      <c r="AE110" s="5">
        <f t="shared" si="733"/>
        <v>0.20746162009654989</v>
      </c>
      <c r="AF110" s="10">
        <f t="shared" si="734"/>
        <v>-0.1069037997392849</v>
      </c>
      <c r="AG110" s="622">
        <f t="shared" si="735"/>
        <v>62.738204720273885</v>
      </c>
      <c r="AH110" s="623">
        <f t="shared" si="736"/>
        <v>13.49646688629835</v>
      </c>
      <c r="AI110" s="624">
        <f t="shared" si="737"/>
        <v>-83.86313627529384</v>
      </c>
      <c r="AJ110" s="625">
        <f t="shared" si="738"/>
        <v>102.04368162432147</v>
      </c>
      <c r="AK110" s="4">
        <f t="shared" si="739"/>
        <v>0.91840762121923336</v>
      </c>
      <c r="AL110" s="5">
        <f t="shared" si="740"/>
        <v>-0.38091865127311897</v>
      </c>
      <c r="AM110" s="6">
        <f t="shared" si="741"/>
        <v>-0.1069037997392849</v>
      </c>
      <c r="AN110" s="612">
        <f t="shared" si="742"/>
        <v>-74.323366825784746</v>
      </c>
      <c r="AO110" s="613">
        <f t="shared" si="466"/>
        <v>23.30561386466087</v>
      </c>
      <c r="AP110" s="624">
        <f t="shared" si="743"/>
        <v>-22.526713384331046</v>
      </c>
      <c r="AQ110" s="625">
        <f t="shared" si="674"/>
        <v>2.2092659775396535</v>
      </c>
      <c r="AS110" s="56">
        <f t="shared" si="746"/>
        <v>-325.4296049913475</v>
      </c>
      <c r="AT110" s="78">
        <f t="shared" si="675"/>
        <v>-1.1486064421023183</v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>
        <f t="shared" si="720"/>
        <v>9.2520000000000007</v>
      </c>
      <c r="IH110" s="797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0.152</v>
      </c>
      <c r="II110" s="800" cm="1">
        <f t="array" ref="II110">IFERROR(IF($IH110&lt;1,$IH110+LARGE((IF($M$9:$M$150="",0,$M$9:$M$150)-MOD(IF($M$9:$M$150="",0,$M$9:$M$150),1)),1),$IH110),"")</f>
        <v>9.1519999999999992</v>
      </c>
      <c r="IJ110" s="839" t="str">
        <f t="shared" si="721"/>
        <v>1613</v>
      </c>
      <c r="IK110" s="839" t="str">
        <f t="shared" si="722"/>
        <v>1313</v>
      </c>
      <c r="IL110" s="791">
        <f t="shared" si="654"/>
        <v>13.187598095946427</v>
      </c>
      <c r="IM110" s="830">
        <v>1.8447497375880201E-3</v>
      </c>
      <c r="IN110" s="5">
        <f t="shared" si="655"/>
        <v>0.02</v>
      </c>
      <c r="IO110" s="852">
        <v>10</v>
      </c>
      <c r="IP110" s="9">
        <f t="shared" si="656"/>
        <v>-5.5650167840906217</v>
      </c>
      <c r="IQ110" s="5">
        <f t="shared" si="657"/>
        <v>-2.4025072459618539</v>
      </c>
      <c r="IR110" s="5">
        <f t="shared" si="723"/>
        <v>0.314</v>
      </c>
      <c r="IS110" s="5">
        <f t="shared" si="658"/>
        <v>0.29769344955396709</v>
      </c>
      <c r="IT110" s="791">
        <f t="shared" si="659"/>
        <v>78.359052880166203</v>
      </c>
      <c r="IU110" s="9">
        <f t="shared" si="660"/>
        <v>-5.6107169219222364</v>
      </c>
      <c r="IV110" s="5">
        <f t="shared" si="661"/>
        <v>-2.3780071720696312</v>
      </c>
      <c r="IW110" s="5">
        <f t="shared" si="724"/>
        <v>0.26600000000000001</v>
      </c>
      <c r="IX110" s="5">
        <f t="shared" si="662"/>
        <v>0.24429642724431608</v>
      </c>
      <c r="IY110" s="833">
        <f t="shared" si="663"/>
        <v>74.323366825784746</v>
      </c>
    </row>
    <row r="111" spans="1:259" ht="15" customHeight="1" x14ac:dyDescent="0.25">
      <c r="A111" s="84">
        <f t="shared" si="527"/>
        <v>0.02</v>
      </c>
      <c r="B111" s="770">
        <v>-3.2979495479389933</v>
      </c>
      <c r="C111" s="771">
        <v>4.783651169137813</v>
      </c>
      <c r="D111" s="772">
        <v>-3.1391094675541549</v>
      </c>
      <c r="E111" s="773">
        <v>-0.98755681899915404</v>
      </c>
      <c r="F111" s="771">
        <v>-0.14060548341536364</v>
      </c>
      <c r="G111" s="774">
        <v>7.0438819423695953E-2</v>
      </c>
      <c r="H111" s="773">
        <v>0.26600000000000001</v>
      </c>
      <c r="I111" s="771">
        <v>0.52</v>
      </c>
      <c r="J111" s="601">
        <v>9.2609999999999992</v>
      </c>
      <c r="K111" s="426" t="str">
        <f t="shared" si="651"/>
        <v>1313</v>
      </c>
      <c r="L111" s="327"/>
      <c r="M111" s="173">
        <f t="shared" si="667"/>
        <v>9.2609999999999992</v>
      </c>
      <c r="N111" s="21">
        <f t="shared" si="668"/>
        <v>-3.2979495479389933</v>
      </c>
      <c r="O111" s="5">
        <f t="shared" si="669"/>
        <v>4.783651169137813</v>
      </c>
      <c r="P111" s="10">
        <f t="shared" si="670"/>
        <v>-3.1391094675541549</v>
      </c>
      <c r="Q111" s="624">
        <f t="shared" si="528"/>
        <v>124.58319500680443</v>
      </c>
      <c r="R111" s="5">
        <f t="shared" si="725"/>
        <v>5.8103175239176537</v>
      </c>
      <c r="S111" s="6">
        <f t="shared" si="726"/>
        <v>-3.1391094675541549</v>
      </c>
      <c r="T111" s="4">
        <f t="shared" si="727"/>
        <v>4.7836511691378121</v>
      </c>
      <c r="U111" s="5">
        <f t="shared" si="728"/>
        <v>3.2979495479389946</v>
      </c>
      <c r="V111" s="8">
        <f t="shared" si="729"/>
        <v>-3.1391094675541549</v>
      </c>
      <c r="W111" s="624">
        <f t="shared" si="652"/>
        <v>34.583195006804431</v>
      </c>
      <c r="X111" s="5">
        <f t="shared" si="730"/>
        <v>5.8103175239176537</v>
      </c>
      <c r="Y111" s="7">
        <f t="shared" si="650"/>
        <v>-3.1391094675541549</v>
      </c>
      <c r="Z111" s="21">
        <f t="shared" si="671"/>
        <v>0.98755681899915404</v>
      </c>
      <c r="AA111" s="5">
        <f t="shared" si="672"/>
        <v>0.14060548341536364</v>
      </c>
      <c r="AB111" s="5">
        <f t="shared" si="673"/>
        <v>-7.0438819423695953E-2</v>
      </c>
      <c r="AC111" s="8">
        <f t="shared" si="731"/>
        <v>1</v>
      </c>
      <c r="AD111" s="9">
        <f t="shared" si="732"/>
        <v>0.98755681899915404</v>
      </c>
      <c r="AE111" s="5">
        <f t="shared" si="733"/>
        <v>0.14060548341536364</v>
      </c>
      <c r="AF111" s="10">
        <f t="shared" si="734"/>
        <v>-7.0438819423695953E-2</v>
      </c>
      <c r="AG111" s="622">
        <f t="shared" si="735"/>
        <v>63.39060540193065</v>
      </c>
      <c r="AH111" s="623">
        <f t="shared" si="736"/>
        <v>9.0480440046521817</v>
      </c>
      <c r="AI111" s="624">
        <f t="shared" si="737"/>
        <v>-85.960808064728781</v>
      </c>
      <c r="AJ111" s="625">
        <f t="shared" si="738"/>
        <v>98.103146626558498</v>
      </c>
      <c r="AK111" s="4">
        <f t="shared" si="739"/>
        <v>0.89286637105588385</v>
      </c>
      <c r="AL111" s="5">
        <f t="shared" si="740"/>
        <v>-0.44477861476884512</v>
      </c>
      <c r="AM111" s="6">
        <f t="shared" si="741"/>
        <v>-7.0438819423695953E-2</v>
      </c>
      <c r="AN111" s="612">
        <f t="shared" si="742"/>
        <v>-81.00090386225078</v>
      </c>
      <c r="AO111" s="613">
        <f t="shared" si="466"/>
        <v>26.764326469254019</v>
      </c>
      <c r="AP111" s="624">
        <f t="shared" si="743"/>
        <v>-26.480048380245922</v>
      </c>
      <c r="AQ111" s="625">
        <f t="shared" si="674"/>
        <v>2.1334429107141042</v>
      </c>
      <c r="AS111" s="56">
        <f t="shared" si="746"/>
        <v>-325.41680499319557</v>
      </c>
      <c r="AT111" s="78">
        <f t="shared" si="675"/>
        <v>-1.909757093135416</v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>
        <f t="shared" si="720"/>
        <v>9.2609999999999992</v>
      </c>
      <c r="IH111" s="797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0.161</v>
      </c>
      <c r="II111" s="800" cm="1">
        <f t="array" ref="II111">IFERROR(IF($IH111&lt;1,$IH111+LARGE((IF($M$9:$M$150="",0,$M$9:$M$150)-MOD(IF($M$9:$M$150="",0,$M$9:$M$150),1)),1),$IH111),"")</f>
        <v>9.1609999999999996</v>
      </c>
      <c r="IJ111" s="839" t="str">
        <f t="shared" si="721"/>
        <v>1613</v>
      </c>
      <c r="IK111" s="839" t="str">
        <f t="shared" si="722"/>
        <v>1313</v>
      </c>
      <c r="IL111" s="791">
        <f t="shared" si="654"/>
        <v>12.952798129847338</v>
      </c>
      <c r="IM111" s="830">
        <v>1.3747296702921799E-3</v>
      </c>
      <c r="IN111" s="5">
        <f t="shared" si="655"/>
        <v>0</v>
      </c>
      <c r="IO111" s="852">
        <v>0</v>
      </c>
      <c r="IP111" s="9">
        <f t="shared" si="656"/>
        <v>-5.7609173749268043</v>
      </c>
      <c r="IQ111" s="5">
        <f t="shared" si="657"/>
        <v>-3.1573095224455199</v>
      </c>
      <c r="IR111" s="5">
        <f t="shared" si="723"/>
        <v>0.314</v>
      </c>
      <c r="IS111" s="5">
        <f t="shared" si="658"/>
        <v>0.29121092226203921</v>
      </c>
      <c r="IT111" s="791">
        <f t="shared" si="659"/>
        <v>84.102385522177315</v>
      </c>
      <c r="IU111" s="9">
        <f t="shared" si="660"/>
        <v>-5.8103175239176537</v>
      </c>
      <c r="IV111" s="5">
        <f t="shared" si="661"/>
        <v>-3.1391094675541549</v>
      </c>
      <c r="IW111" s="5">
        <f t="shared" si="724"/>
        <v>0.26600000000000001</v>
      </c>
      <c r="IX111" s="5">
        <f t="shared" si="662"/>
        <v>0.23750245470086512</v>
      </c>
      <c r="IY111" s="833">
        <f t="shared" si="663"/>
        <v>81.00090386225078</v>
      </c>
    </row>
    <row r="112" spans="1:259" ht="15" customHeight="1" x14ac:dyDescent="0.25">
      <c r="A112" s="84">
        <f t="shared" si="527"/>
        <v>0.02</v>
      </c>
      <c r="B112" s="770">
        <v>-3.3251257166315353</v>
      </c>
      <c r="C112" s="771">
        <v>4.8642153315346164</v>
      </c>
      <c r="D112" s="772">
        <v>-3.9220118287876757</v>
      </c>
      <c r="E112" s="773">
        <v>-0.99763942593403199</v>
      </c>
      <c r="F112" s="771">
        <v>-6.4633242369748559E-2</v>
      </c>
      <c r="G112" s="774">
        <v>2.3197409398218068E-2</v>
      </c>
      <c r="H112" s="773">
        <v>0.26600000000000001</v>
      </c>
      <c r="I112" s="771">
        <v>0.52</v>
      </c>
      <c r="J112" s="601">
        <v>9.27</v>
      </c>
      <c r="K112" s="426" t="str">
        <f t="shared" si="651"/>
        <v>1313</v>
      </c>
      <c r="L112" s="327"/>
      <c r="M112" s="173">
        <f t="shared" si="667"/>
        <v>9.27</v>
      </c>
      <c r="N112" s="21">
        <f t="shared" si="668"/>
        <v>-3.3251257166315353</v>
      </c>
      <c r="O112" s="5">
        <f t="shared" si="669"/>
        <v>4.8642153315346164</v>
      </c>
      <c r="P112" s="10">
        <f t="shared" si="670"/>
        <v>-3.9220118287876757</v>
      </c>
      <c r="Q112" s="624">
        <f t="shared" si="528"/>
        <v>124.35609503959358</v>
      </c>
      <c r="R112" s="5">
        <f t="shared" si="725"/>
        <v>5.8921177706271965</v>
      </c>
      <c r="S112" s="6">
        <f t="shared" si="726"/>
        <v>-3.9220118287876757</v>
      </c>
      <c r="T112" s="4">
        <f t="shared" si="727"/>
        <v>4.8642153315346173</v>
      </c>
      <c r="U112" s="5">
        <f t="shared" si="728"/>
        <v>3.3251257166315349</v>
      </c>
      <c r="V112" s="8">
        <f t="shared" si="729"/>
        <v>-3.9220118287876757</v>
      </c>
      <c r="W112" s="624">
        <f t="shared" si="652"/>
        <v>34.356095039593583</v>
      </c>
      <c r="X112" s="5">
        <f t="shared" si="730"/>
        <v>5.8921177706271965</v>
      </c>
      <c r="Y112" s="7">
        <f t="shared" si="650"/>
        <v>-3.9220118287876757</v>
      </c>
      <c r="Z112" s="21">
        <f t="shared" si="671"/>
        <v>0.99763942593403199</v>
      </c>
      <c r="AA112" s="5">
        <f t="shared" si="672"/>
        <v>6.4633242369748559E-2</v>
      </c>
      <c r="AB112" s="5">
        <f t="shared" si="673"/>
        <v>-2.3197409398218068E-2</v>
      </c>
      <c r="AC112" s="8">
        <f t="shared" si="731"/>
        <v>1</v>
      </c>
      <c r="AD112" s="9">
        <f t="shared" si="732"/>
        <v>0.99763942593403199</v>
      </c>
      <c r="AE112" s="5">
        <f t="shared" si="733"/>
        <v>6.4633242369748559E-2</v>
      </c>
      <c r="AF112" s="10">
        <f t="shared" si="734"/>
        <v>-2.3197409398218068E-2</v>
      </c>
      <c r="AG112" s="622">
        <f t="shared" si="735"/>
        <v>70.25651453772312</v>
      </c>
      <c r="AH112" s="623">
        <f t="shared" si="736"/>
        <v>3.9376028891874619</v>
      </c>
      <c r="AI112" s="624">
        <f t="shared" si="737"/>
        <v>-88.670767113240515</v>
      </c>
      <c r="AJ112" s="625">
        <f t="shared" si="738"/>
        <v>93.706794074524666</v>
      </c>
      <c r="AK112" s="4">
        <f t="shared" si="739"/>
        <v>0.86007219213902575</v>
      </c>
      <c r="AL112" s="5">
        <f t="shared" si="740"/>
        <v>-0.50964468456600442</v>
      </c>
      <c r="AM112" s="6">
        <f t="shared" si="741"/>
        <v>-2.3197409398218068E-2</v>
      </c>
      <c r="AN112" s="612">
        <f t="shared" si="742"/>
        <v>-87.393876644003186</v>
      </c>
      <c r="AO112" s="613">
        <f t="shared" si="466"/>
        <v>30.675310413934845</v>
      </c>
      <c r="AP112" s="624">
        <f t="shared" si="743"/>
        <v>-30.649300965068914</v>
      </c>
      <c r="AQ112" s="625">
        <f t="shared" si="674"/>
        <v>2.1038511345310176</v>
      </c>
      <c r="AS112" s="56">
        <f t="shared" si="746"/>
        <v>-325.64390496040642</v>
      </c>
      <c r="AT112" s="78">
        <f t="shared" si="675"/>
        <v>-2.6918015211594737</v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>
        <f>IFERROR(IF((((($IW112*COS(RADIANS(180-$IY112)))*COS(RADIANS($IY112)))-(($IX112*SIN(RADIANS(180-$IY112)))*SIN(RADIANS($IY112))))+$IU112)&lt;(((Settings!$C$19/2)*-1)+$IF$8),1,""),"")</f>
        <v>1</v>
      </c>
      <c r="IG112" s="836">
        <f t="shared" si="720"/>
        <v>9.27</v>
      </c>
      <c r="IH112" s="797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0.17</v>
      </c>
      <c r="II112" s="800" cm="1">
        <f t="array" ref="II112">IFERROR(IF($IH112&lt;1,$IH112+LARGE((IF($M$9:$M$150="",0,$M$9:$M$150)-MOD(IF($M$9:$M$150="",0,$M$9:$M$150),1)),1),$IH112),"")</f>
        <v>9.17</v>
      </c>
      <c r="IJ112" s="839" t="str">
        <f t="shared" si="721"/>
        <v>1613</v>
      </c>
      <c r="IK112" s="839" t="str">
        <f t="shared" si="722"/>
        <v>1313</v>
      </c>
      <c r="IL112" s="791">
        <f t="shared" si="654"/>
        <v>13.088898110196936</v>
      </c>
      <c r="IM112" s="830">
        <v>8.58173433536681E-4</v>
      </c>
      <c r="IN112" s="5">
        <f t="shared" si="655"/>
        <v>0</v>
      </c>
      <c r="IO112" s="852">
        <v>0</v>
      </c>
      <c r="IP112" s="9">
        <f t="shared" si="656"/>
        <v>-5.8400176134931225</v>
      </c>
      <c r="IQ112" s="5">
        <f t="shared" si="657"/>
        <v>-3.9332118625669774</v>
      </c>
      <c r="IR112" s="5">
        <f t="shared" si="723"/>
        <v>0.314</v>
      </c>
      <c r="IS112" s="5">
        <f t="shared" si="658"/>
        <v>0.28262438345870899</v>
      </c>
      <c r="IT112" s="791">
        <f t="shared" si="659"/>
        <v>89.713027958451477</v>
      </c>
      <c r="IU112" s="9">
        <f t="shared" si="660"/>
        <v>-5.8921177706271965</v>
      </c>
      <c r="IV112" s="5">
        <f t="shared" si="661"/>
        <v>-3.9220118287876757</v>
      </c>
      <c r="IW112" s="5">
        <f t="shared" si="724"/>
        <v>0.26600000000000001</v>
      </c>
      <c r="IX112" s="5">
        <f t="shared" si="662"/>
        <v>0.22877920310898089</v>
      </c>
      <c r="IY112" s="833">
        <f t="shared" si="663"/>
        <v>87.393876644003186</v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0.95371696400905348</v>
      </c>
      <c r="F154" s="175">
        <f>F9*-1</f>
        <v>7.7828366019961542E-2</v>
      </c>
      <c r="G154" s="175">
        <f>G9*-1</f>
        <v>-0.29045946017304536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6.6987279208207226E-2</v>
      </c>
      <c r="G155" s="175">
        <f t="shared" si="940"/>
        <v>-0.24999996726497564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0.96592583607220739</v>
      </c>
      <c r="F156" s="175">
        <f t="shared" si="942"/>
        <v>6.6987279208207212E-2</v>
      </c>
      <c r="G156" s="175">
        <f t="shared" si="942"/>
        <v>-0.24999996726497561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0.96592583607220739</v>
      </c>
      <c r="F157" s="175">
        <f t="shared" si="943"/>
        <v>4.0488207353615101E-2</v>
      </c>
      <c r="G157" s="175">
        <f t="shared" si="943"/>
        <v>-0.2556325180283171</v>
      </c>
      <c r="H157" s="144"/>
      <c r="I157" s="91"/>
      <c r="J157" s="84">
        <f t="shared" si="941"/>
        <v>1.111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0.96503120569306655</v>
      </c>
      <c r="F158" s="175">
        <f t="shared" si="946"/>
        <v>-8.6271707881404161E-2</v>
      </c>
      <c r="G158" s="175">
        <f t="shared" si="946"/>
        <v>-0.24753174434365366</v>
      </c>
      <c r="H158" s="144"/>
      <c r="I158" s="91"/>
      <c r="J158" s="84">
        <f t="shared" si="941"/>
        <v>1.117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0.96110151983728853</v>
      </c>
      <c r="F159" s="175">
        <f t="shared" si="947"/>
        <v>-0.21006958652855806</v>
      </c>
      <c r="G159" s="175">
        <f t="shared" si="947"/>
        <v>-0.17931714190833781</v>
      </c>
      <c r="H159" s="144"/>
      <c r="I159" s="91"/>
      <c r="J159" s="84">
        <f t="shared" si="941"/>
        <v>1.1240000000000001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0.95675425831459349</v>
      </c>
      <c r="F160" s="175">
        <f t="shared" si="948"/>
        <v>-0.25646186061116322</v>
      </c>
      <c r="G160" s="175">
        <f t="shared" si="948"/>
        <v>-0.13729021541520198</v>
      </c>
      <c r="H160" s="144"/>
      <c r="I160" s="91"/>
      <c r="J160" s="84">
        <f t="shared" si="941"/>
        <v>1.133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0.94742408426392832</v>
      </c>
      <c r="F161" s="175">
        <f t="shared" si="949"/>
        <v>-0.30281165927808201</v>
      </c>
      <c r="G161" s="175">
        <f t="shared" si="949"/>
        <v>-0.10340552964862038</v>
      </c>
      <c r="H161" s="144"/>
      <c r="I161" s="91"/>
      <c r="J161" s="84">
        <f t="shared" si="941"/>
        <v>1.1419999999999999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0.93834490574579088</v>
      </c>
      <c r="F162" s="175">
        <f t="shared" si="950"/>
        <v>-0.33948373914913238</v>
      </c>
      <c r="G162" s="175">
        <f t="shared" si="950"/>
        <v>-6.5265831138864167E-2</v>
      </c>
      <c r="H162" s="144"/>
      <c r="I162" s="91"/>
      <c r="J162" s="84">
        <f t="shared" si="941"/>
        <v>1.151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0.91078749995209174</v>
      </c>
      <c r="F163" s="175">
        <f t="shared" si="951"/>
        <v>-0.4104676657584953</v>
      </c>
      <c r="G163" s="175">
        <f t="shared" si="951"/>
        <v>-4.452443483965457E-2</v>
      </c>
      <c r="H163" s="144"/>
      <c r="I163" s="91"/>
      <c r="J163" s="84">
        <f t="shared" si="941"/>
        <v>1.1599999999999999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0.87979785171113178</v>
      </c>
      <c r="F164" s="175">
        <f t="shared" si="952"/>
        <v>-0.47526359868465096</v>
      </c>
      <c r="G164" s="175">
        <f t="shared" si="952"/>
        <v>-8.9583419108902624E-3</v>
      </c>
      <c r="H164" s="144"/>
      <c r="I164" s="91"/>
      <c r="J164" s="84">
        <f t="shared" si="941"/>
        <v>1.169</v>
      </c>
    </row>
    <row r="165" spans="5:16" x14ac:dyDescent="0.25">
      <c r="E165" s="175">
        <f t="shared" ref="E165:G165" si="953">E20*-1</f>
        <v>0.84247124739708457</v>
      </c>
      <c r="F165" s="175">
        <f t="shared" si="953"/>
        <v>-0.53874130833748735</v>
      </c>
      <c r="G165" s="175">
        <f t="shared" si="953"/>
        <v>-1.1339743349360866E-7</v>
      </c>
      <c r="H165" s="144"/>
      <c r="I165" s="91"/>
      <c r="J165" s="84">
        <f t="shared" si="941"/>
        <v>1.1779999999999999</v>
      </c>
    </row>
    <row r="166" spans="5:16" x14ac:dyDescent="0.25">
      <c r="E166" s="175">
        <f t="shared" ref="E166:G166" si="954">E21*-1</f>
        <v>1.904477370598836E-7</v>
      </c>
      <c r="F166" s="175">
        <f t="shared" si="954"/>
        <v>-1.231486282285686E-7</v>
      </c>
      <c r="G166" s="175">
        <f t="shared" si="954"/>
        <v>-0.99999999999997435</v>
      </c>
      <c r="H166" s="144"/>
      <c r="I166" s="91"/>
      <c r="J166" s="84">
        <f t="shared" si="941"/>
        <v>1.2070000000000001</v>
      </c>
    </row>
    <row r="167" spans="5:16" x14ac:dyDescent="0.25">
      <c r="E167" s="175">
        <f t="shared" ref="E167:G167" si="955">E22*-1</f>
        <v>2.0899278410269971E-7</v>
      </c>
      <c r="F167" s="175">
        <f t="shared" si="955"/>
        <v>-8.8079176683351143E-8</v>
      </c>
      <c r="G167" s="175">
        <f t="shared" si="955"/>
        <v>-0.99999999999997435</v>
      </c>
      <c r="H167" s="144"/>
      <c r="I167" s="91"/>
      <c r="J167" s="84">
        <f t="shared" si="941"/>
        <v>1.2110000000000001</v>
      </c>
    </row>
    <row r="168" spans="5:16" x14ac:dyDescent="0.25">
      <c r="E168" s="175">
        <f t="shared" ref="E168:G168" si="956">E23*-1</f>
        <v>0.73065801293631627</v>
      </c>
      <c r="F168" s="175">
        <f t="shared" si="956"/>
        <v>-0.65755491360565455</v>
      </c>
      <c r="G168" s="175">
        <f t="shared" si="956"/>
        <v>-0.18374004387997248</v>
      </c>
      <c r="H168" s="144"/>
      <c r="I168" s="91"/>
      <c r="J168" s="84">
        <f t="shared" si="941"/>
        <v>2.1230000000000002</v>
      </c>
    </row>
    <row r="169" spans="5:16" x14ac:dyDescent="0.25">
      <c r="E169" s="175">
        <f t="shared" ref="E169:G169" si="957">E24*-1</f>
        <v>0.70303574078018849</v>
      </c>
      <c r="F169" s="175">
        <f t="shared" si="957"/>
        <v>-0.69680993349409337</v>
      </c>
      <c r="G169" s="175">
        <f t="shared" si="957"/>
        <v>-0.14211496673330598</v>
      </c>
      <c r="H169" s="144"/>
      <c r="I169" s="91"/>
      <c r="J169" s="84">
        <f t="shared" si="941"/>
        <v>2.1320000000000001</v>
      </c>
    </row>
    <row r="170" spans="5:16" x14ac:dyDescent="0.25">
      <c r="E170" s="175">
        <f t="shared" ref="E170:G170" si="958">E25*-1</f>
        <v>0.67114261700474631</v>
      </c>
      <c r="F170" s="175">
        <f t="shared" si="958"/>
        <v>-0.73332222558202109</v>
      </c>
      <c r="G170" s="175">
        <f t="shared" si="958"/>
        <v>-0.10865588390626629</v>
      </c>
      <c r="H170" s="144"/>
      <c r="I170" s="91"/>
      <c r="J170" s="84">
        <f t="shared" si="941"/>
        <v>2.141</v>
      </c>
    </row>
    <row r="171" spans="5:16" x14ac:dyDescent="0.25">
      <c r="E171" s="175">
        <f t="shared" ref="E171:G171" si="959">E26*-1</f>
        <v>0.64423662712002849</v>
      </c>
      <c r="F171" s="175">
        <f t="shared" si="959"/>
        <v>-0.76155394820739053</v>
      </c>
      <c r="G171" s="175">
        <f t="shared" si="959"/>
        <v>-7.067356115793641E-2</v>
      </c>
      <c r="H171" s="144"/>
      <c r="I171" s="91"/>
      <c r="J171" s="84">
        <f t="shared" si="941"/>
        <v>2.15</v>
      </c>
    </row>
    <row r="172" spans="5:16" x14ac:dyDescent="0.25">
      <c r="E172" s="175">
        <f t="shared" ref="E172:G172" si="960">E27*-1</f>
        <v>0.59735220304021241</v>
      </c>
      <c r="F172" s="175">
        <f t="shared" si="960"/>
        <v>-0.80078627263179014</v>
      </c>
      <c r="G172" s="175">
        <f t="shared" si="960"/>
        <v>-4.372288974312339E-2</v>
      </c>
      <c r="H172" s="144"/>
      <c r="I172" s="91"/>
      <c r="J172" s="84">
        <f t="shared" si="941"/>
        <v>2.1589999999999998</v>
      </c>
    </row>
    <row r="173" spans="5:16" x14ac:dyDescent="0.25">
      <c r="E173" s="175">
        <f t="shared" ref="E173:G173" si="961">E28*-1</f>
        <v>0.52450079723789289</v>
      </c>
      <c r="F173" s="175">
        <f t="shared" si="961"/>
        <v>-0.85126508129730583</v>
      </c>
      <c r="G173" s="175">
        <f t="shared" si="961"/>
        <v>-1.5705892547257027E-2</v>
      </c>
      <c r="H173" s="144"/>
      <c r="I173" s="91"/>
      <c r="J173" s="84">
        <f t="shared" si="941"/>
        <v>2.1680000000000001</v>
      </c>
    </row>
    <row r="174" spans="5:16" x14ac:dyDescent="0.25">
      <c r="E174" s="175">
        <f t="shared" ref="E174:G174" si="962">E29*-1</f>
        <v>0.46023010975766604</v>
      </c>
      <c r="F174" s="175">
        <f t="shared" si="962"/>
        <v>-0.88779966550592593</v>
      </c>
      <c r="G174" s="175">
        <f t="shared" si="962"/>
        <v>-1.1339743421318912E-7</v>
      </c>
      <c r="H174" s="144"/>
      <c r="I174" s="91"/>
      <c r="J174" s="84">
        <f t="shared" si="941"/>
        <v>2.177</v>
      </c>
    </row>
    <row r="175" spans="5:16" x14ac:dyDescent="0.25">
      <c r="E175" s="175">
        <f t="shared" ref="E175:G175" si="963">E30*-1</f>
        <v>0.38093170313310182</v>
      </c>
      <c r="F175" s="175">
        <f t="shared" si="963"/>
        <v>-0.88926904522751593</v>
      </c>
      <c r="G175" s="175">
        <f t="shared" si="963"/>
        <v>-0.2531631939051503</v>
      </c>
      <c r="H175" s="144"/>
      <c r="I175" s="91"/>
      <c r="J175" s="84">
        <f t="shared" si="941"/>
        <v>3.11</v>
      </c>
    </row>
    <row r="176" spans="5:16" x14ac:dyDescent="0.25">
      <c r="E176" s="175">
        <f t="shared" ref="E176:G176" si="964">E31*-1</f>
        <v>0.27011252387196422</v>
      </c>
      <c r="F176" s="175">
        <f t="shared" si="964"/>
        <v>-0.92899508205796166</v>
      </c>
      <c r="G176" s="175">
        <f t="shared" si="964"/>
        <v>-0.25299676274537319</v>
      </c>
      <c r="H176" s="144"/>
      <c r="I176" s="91"/>
      <c r="J176" s="84">
        <f t="shared" si="941"/>
        <v>3.1160000000000001</v>
      </c>
    </row>
    <row r="177" spans="5:10" x14ac:dyDescent="0.25">
      <c r="E177" s="175">
        <f t="shared" ref="E177:G177" si="965">E32*-1</f>
        <v>0.15290223529332128</v>
      </c>
      <c r="F177" s="175">
        <f t="shared" si="965"/>
        <v>-0.96834437648359173</v>
      </c>
      <c r="G177" s="175">
        <f t="shared" si="965"/>
        <v>-0.19730705759021885</v>
      </c>
      <c r="H177" s="144"/>
      <c r="I177" s="91"/>
      <c r="J177" s="84">
        <f t="shared" si="941"/>
        <v>3.1219999999999999</v>
      </c>
    </row>
    <row r="178" spans="5:10" x14ac:dyDescent="0.25">
      <c r="E178" s="175">
        <f t="shared" ref="E178:G178" si="966">E33*-1</f>
        <v>9.5226395912347953E-2</v>
      </c>
      <c r="F178" s="175">
        <f t="shared" si="966"/>
        <v>-0.98455143154099756</v>
      </c>
      <c r="G178" s="175">
        <f t="shared" si="966"/>
        <v>-0.14693676249365645</v>
      </c>
      <c r="H178" s="144"/>
      <c r="I178" s="91"/>
      <c r="J178" s="84">
        <f t="shared" si="941"/>
        <v>3.1309999999999998</v>
      </c>
    </row>
    <row r="179" spans="5:10" x14ac:dyDescent="0.25">
      <c r="E179" s="175">
        <f t="shared" ref="E179:G179" si="967">E34*-1</f>
        <v>4.6144894750260443E-2</v>
      </c>
      <c r="F179" s="175">
        <f t="shared" si="967"/>
        <v>-0.99242621811471254</v>
      </c>
      <c r="G179" s="175">
        <f t="shared" si="967"/>
        <v>-0.11384573020986077</v>
      </c>
      <c r="H179" s="144"/>
      <c r="I179" s="91"/>
      <c r="J179" s="84">
        <f t="shared" si="941"/>
        <v>3.14</v>
      </c>
    </row>
    <row r="180" spans="5:10" x14ac:dyDescent="0.25">
      <c r="E180" s="175">
        <f t="shared" ref="E180:G180" si="968">E35*-1</f>
        <v>6.2268381827196061E-3</v>
      </c>
      <c r="F180" s="175">
        <f t="shared" si="968"/>
        <v>-0.99707835071326978</v>
      </c>
      <c r="G180" s="175">
        <f t="shared" si="968"/>
        <v>-7.6131393164398029E-2</v>
      </c>
      <c r="H180" s="144"/>
      <c r="I180" s="91"/>
      <c r="J180" s="84">
        <f t="shared" si="941"/>
        <v>3.149</v>
      </c>
    </row>
    <row r="181" spans="5:10" x14ac:dyDescent="0.25">
      <c r="E181" s="175">
        <f t="shared" ref="E181:G181" si="969">E36*-1</f>
        <v>-5.5857828676615505E-2</v>
      </c>
      <c r="F181" s="175">
        <f t="shared" si="969"/>
        <v>-0.99720396826093627</v>
      </c>
      <c r="G181" s="175">
        <f t="shared" si="969"/>
        <v>-4.9640191983670076E-2</v>
      </c>
      <c r="H181" s="144"/>
      <c r="I181" s="91"/>
      <c r="J181" s="84">
        <f t="shared" si="941"/>
        <v>3.1579999999999999</v>
      </c>
    </row>
    <row r="182" spans="5:10" x14ac:dyDescent="0.25">
      <c r="E182" s="175">
        <f t="shared" ref="E182:G182" si="970">E37*-1</f>
        <v>-0.12851072318647103</v>
      </c>
      <c r="F182" s="175">
        <f t="shared" si="970"/>
        <v>-0.99155246598312452</v>
      </c>
      <c r="G182" s="175">
        <f t="shared" si="970"/>
        <v>-1.7569895528291187E-2</v>
      </c>
      <c r="H182" s="144"/>
      <c r="I182" s="91"/>
      <c r="J182" s="84">
        <f t="shared" si="941"/>
        <v>3.1669999999999998</v>
      </c>
    </row>
    <row r="183" spans="5:10" x14ac:dyDescent="0.25">
      <c r="E183" s="175">
        <f t="shared" ref="E183:G183" si="971">E38*-1</f>
        <v>-0.21810980836421756</v>
      </c>
      <c r="F183" s="175">
        <f t="shared" si="971"/>
        <v>-0.97592423450558474</v>
      </c>
      <c r="G183" s="175">
        <f t="shared" si="971"/>
        <v>-1.133974335264224E-7</v>
      </c>
      <c r="H183" s="144"/>
      <c r="I183" s="91"/>
      <c r="J183" s="84">
        <f t="shared" si="941"/>
        <v>3.1760000000000002</v>
      </c>
    </row>
    <row r="184" spans="5:10" x14ac:dyDescent="0.25">
      <c r="E184" s="175">
        <f t="shared" ref="E184:G184" si="972">E39*-1</f>
        <v>-0.48905465270336013</v>
      </c>
      <c r="F184" s="175">
        <f t="shared" si="972"/>
        <v>-2.7707914594746998E-2</v>
      </c>
      <c r="G184" s="175">
        <f t="shared" si="972"/>
        <v>-0.8718129490538703</v>
      </c>
      <c r="H184" s="144"/>
      <c r="I184" s="91"/>
      <c r="J184" s="84">
        <f t="shared" si="941"/>
        <v>3.222</v>
      </c>
    </row>
    <row r="185" spans="5:10" x14ac:dyDescent="0.25">
      <c r="E185" s="175">
        <f t="shared" ref="E185:G185" si="973">E40*-1</f>
        <v>-0.23133078763628653</v>
      </c>
      <c r="F185" s="175">
        <f t="shared" si="973"/>
        <v>-0.94983516024854775</v>
      </c>
      <c r="G185" s="175">
        <f t="shared" si="973"/>
        <v>-0.21047383459040925</v>
      </c>
      <c r="H185" s="144"/>
      <c r="I185" s="91"/>
      <c r="J185" s="84">
        <f t="shared" si="941"/>
        <v>3.2309999999999999</v>
      </c>
    </row>
    <row r="186" spans="5:10" x14ac:dyDescent="0.25">
      <c r="E186" s="175">
        <f t="shared" ref="E186:G186" si="974">E41*-1</f>
        <v>-0.26320506831016555</v>
      </c>
      <c r="F186" s="175">
        <f t="shared" si="974"/>
        <v>-0.94980737327490217</v>
      </c>
      <c r="G186" s="175">
        <f t="shared" si="974"/>
        <v>-0.16908295505009288</v>
      </c>
      <c r="H186" s="144"/>
      <c r="I186" s="91"/>
      <c r="J186" s="84">
        <f t="shared" si="941"/>
        <v>3.24</v>
      </c>
    </row>
    <row r="187" spans="5:10" x14ac:dyDescent="0.25">
      <c r="E187" s="175">
        <f t="shared" ref="E187:G187" si="975">E42*-1</f>
        <v>-0.29440219480323365</v>
      </c>
      <c r="F187" s="175">
        <f t="shared" si="975"/>
        <v>-0.94784273243151129</v>
      </c>
      <c r="G187" s="175">
        <f t="shared" si="975"/>
        <v>-0.12215360114137219</v>
      </c>
      <c r="H187" s="144"/>
      <c r="I187" s="91"/>
      <c r="J187" s="84">
        <f t="shared" si="941"/>
        <v>3.2490000000000001</v>
      </c>
    </row>
    <row r="188" spans="5:10" x14ac:dyDescent="0.25">
      <c r="E188" s="175">
        <f t="shared" ref="E188:G188" si="976">E43*-1</f>
        <v>-0.35298842069687486</v>
      </c>
      <c r="F188" s="175">
        <f t="shared" si="976"/>
        <v>-0.93173950184186105</v>
      </c>
      <c r="G188" s="175">
        <f t="shared" si="976"/>
        <v>-8.5209597824462871E-2</v>
      </c>
      <c r="H188" s="144"/>
      <c r="I188" s="91"/>
      <c r="J188" s="84">
        <f t="shared" si="941"/>
        <v>3.258</v>
      </c>
    </row>
    <row r="189" spans="5:10" x14ac:dyDescent="0.25">
      <c r="E189" s="175">
        <f t="shared" ref="E189:G189" si="977">E44*-1</f>
        <v>-0.42512898484413458</v>
      </c>
      <c r="F189" s="175">
        <f t="shared" si="977"/>
        <v>-0.9041497230151464</v>
      </c>
      <c r="G189" s="175">
        <f t="shared" si="977"/>
        <v>-4.2173743218141151E-2</v>
      </c>
      <c r="H189" s="144"/>
      <c r="I189" s="91"/>
      <c r="J189" s="84">
        <f t="shared" si="941"/>
        <v>3.2669999999999999</v>
      </c>
    </row>
    <row r="190" spans="5:10" x14ac:dyDescent="0.25">
      <c r="E190" s="175">
        <f t="shared" ref="E190:G190" si="978">E45*-1</f>
        <v>-0.42495075868149651</v>
      </c>
      <c r="F190" s="175">
        <f t="shared" si="978"/>
        <v>-0.87000969481008184</v>
      </c>
      <c r="G190" s="175">
        <f t="shared" si="978"/>
        <v>-0.24999996726497567</v>
      </c>
      <c r="H190" s="144"/>
      <c r="I190" s="91"/>
      <c r="J190" s="84">
        <f t="shared" si="941"/>
        <v>4.1029999999999998</v>
      </c>
    </row>
    <row r="191" spans="5:10" x14ac:dyDescent="0.25">
      <c r="E191" s="175">
        <f t="shared" ref="E191:G191" si="979">E46*-1</f>
        <v>-0.42495075868149634</v>
      </c>
      <c r="F191" s="175">
        <f t="shared" si="979"/>
        <v>-0.87000969481008184</v>
      </c>
      <c r="G191" s="175">
        <f t="shared" si="979"/>
        <v>-0.24999996726497559</v>
      </c>
      <c r="H191" s="144"/>
      <c r="I191" s="91"/>
      <c r="J191" s="84">
        <f t="shared" si="941"/>
        <v>4.1059999999999999</v>
      </c>
    </row>
    <row r="192" spans="5:10" x14ac:dyDescent="0.25">
      <c r="E192" s="175">
        <f t="shared" ref="E192:G192" si="980">E47*-1</f>
        <v>-0.42495075868149651</v>
      </c>
      <c r="F192" s="175">
        <f t="shared" si="980"/>
        <v>-0.87000969481008184</v>
      </c>
      <c r="G192" s="175">
        <f t="shared" si="980"/>
        <v>-0.24999996726497564</v>
      </c>
      <c r="H192" s="144"/>
      <c r="I192" s="91"/>
      <c r="J192" s="84">
        <f t="shared" si="941"/>
        <v>4.109</v>
      </c>
    </row>
    <row r="193" spans="5:10" x14ac:dyDescent="0.25">
      <c r="E193" s="175">
        <f t="shared" ref="E193:G193" si="981">E48*-1</f>
        <v>-0.51847497844492241</v>
      </c>
      <c r="F193" s="175">
        <f t="shared" si="981"/>
        <v>-0.81563279279613876</v>
      </c>
      <c r="G193" s="175">
        <f t="shared" si="981"/>
        <v>-0.25676223250725233</v>
      </c>
      <c r="H193" s="144"/>
      <c r="I193" s="91"/>
      <c r="J193" s="84">
        <f t="shared" si="941"/>
        <v>4.1150000000000002</v>
      </c>
    </row>
    <row r="194" spans="5:10" x14ac:dyDescent="0.25">
      <c r="E194" s="175">
        <f t="shared" ref="E194:G194" si="982">E49*-1</f>
        <v>-0.62761706223410019</v>
      </c>
      <c r="F194" s="175">
        <f t="shared" si="982"/>
        <v>-0.74958060272879856</v>
      </c>
      <c r="G194" s="175">
        <f t="shared" si="982"/>
        <v>-0.21029917547477228</v>
      </c>
      <c r="H194" s="144"/>
      <c r="I194" s="91"/>
      <c r="J194" s="84">
        <f t="shared" si="941"/>
        <v>4.1210000000000004</v>
      </c>
    </row>
    <row r="195" spans="5:10" x14ac:dyDescent="0.25">
      <c r="E195" s="175">
        <f t="shared" ref="E195:G195" si="983">E50*-1</f>
        <v>-0.6890464402312918</v>
      </c>
      <c r="F195" s="175">
        <f t="shared" si="983"/>
        <v>-0.70866329806197792</v>
      </c>
      <c r="G195" s="175">
        <f t="shared" si="983"/>
        <v>-0.1516948686821841</v>
      </c>
      <c r="H195" s="144"/>
      <c r="I195" s="91"/>
      <c r="J195" s="84">
        <f t="shared" si="941"/>
        <v>4.13</v>
      </c>
    </row>
    <row r="196" spans="5:10" x14ac:dyDescent="0.25">
      <c r="E196" s="175">
        <f t="shared" ref="E196:G196" si="984">E51*-1</f>
        <v>-0.72769811535316775</v>
      </c>
      <c r="F196" s="175">
        <f t="shared" si="984"/>
        <v>-0.6754841869493583</v>
      </c>
      <c r="G196" s="175">
        <f t="shared" si="984"/>
        <v>-0.11906538578786136</v>
      </c>
      <c r="H196" s="144"/>
      <c r="I196" s="91"/>
      <c r="J196" s="84">
        <f t="shared" si="941"/>
        <v>4.1390000000000002</v>
      </c>
    </row>
    <row r="197" spans="5:10" x14ac:dyDescent="0.25">
      <c r="E197" s="175">
        <f t="shared" ref="E197:G197" si="985">E52*-1</f>
        <v>-0.75793769974703162</v>
      </c>
      <c r="F197" s="175">
        <f t="shared" si="985"/>
        <v>-0.64720988562713133</v>
      </c>
      <c r="G197" s="175">
        <f t="shared" si="985"/>
        <v>-8.1546350308852017E-2</v>
      </c>
      <c r="H197" s="144"/>
      <c r="I197" s="91"/>
      <c r="J197" s="84">
        <f t="shared" si="941"/>
        <v>4.1479999999999997</v>
      </c>
    </row>
    <row r="198" spans="5:10" x14ac:dyDescent="0.25">
      <c r="E198" s="175">
        <f t="shared" ref="E198:G198" si="986">E53*-1</f>
        <v>-0.78952185984940282</v>
      </c>
      <c r="F198" s="175">
        <f t="shared" si="986"/>
        <v>-0.61183094479568068</v>
      </c>
      <c r="G198" s="175">
        <f t="shared" si="986"/>
        <v>-4.8146939781931158E-2</v>
      </c>
      <c r="H198" s="144"/>
      <c r="I198" s="91"/>
      <c r="J198" s="84">
        <f t="shared" si="941"/>
        <v>4.157</v>
      </c>
    </row>
    <row r="199" spans="5:10" x14ac:dyDescent="0.25">
      <c r="E199" s="175">
        <f t="shared" ref="E199:G199" si="987">E54*-1</f>
        <v>-0.841786404117292</v>
      </c>
      <c r="F199" s="175">
        <f t="shared" si="987"/>
        <v>-0.53926970636835858</v>
      </c>
      <c r="G199" s="175">
        <f t="shared" si="987"/>
        <v>-2.4162649620100229E-2</v>
      </c>
      <c r="H199" s="144"/>
      <c r="I199" s="91"/>
      <c r="J199" s="84">
        <f t="shared" si="941"/>
        <v>4.1660000000000004</v>
      </c>
    </row>
    <row r="200" spans="5:10" x14ac:dyDescent="0.25">
      <c r="E200" s="175">
        <f t="shared" ref="E200:G200" si="988">E55*-1</f>
        <v>-0.88779956112806291</v>
      </c>
      <c r="F200" s="175">
        <f t="shared" si="988"/>
        <v>-0.46023031110608759</v>
      </c>
      <c r="G200" s="175">
        <f t="shared" si="988"/>
        <v>-1.1339743318938216E-7</v>
      </c>
      <c r="H200" s="144"/>
      <c r="I200" s="91"/>
      <c r="J200" s="84">
        <f t="shared" si="941"/>
        <v>4.1749999999999998</v>
      </c>
    </row>
    <row r="201" spans="5:10" x14ac:dyDescent="0.25">
      <c r="E201" s="175">
        <f t="shared" ref="E201:G201" si="989">E56*-1</f>
        <v>-1.8713025805525825E-7</v>
      </c>
      <c r="F201" s="175">
        <f t="shared" si="989"/>
        <v>-1.2813349172287272E-7</v>
      </c>
      <c r="G201" s="175">
        <f t="shared" si="989"/>
        <v>-0.99999999999997435</v>
      </c>
      <c r="H201" s="144"/>
      <c r="I201" s="91"/>
      <c r="J201" s="84">
        <f t="shared" si="941"/>
        <v>4.2089999999999996</v>
      </c>
    </row>
    <row r="202" spans="5:10" x14ac:dyDescent="0.25">
      <c r="E202" s="175">
        <f t="shared" ref="E202:G202" si="990">E57*-1</f>
        <v>-4.1726760673592718E-2</v>
      </c>
      <c r="F202" s="175">
        <f t="shared" si="990"/>
        <v>4.8539980825943803E-2</v>
      </c>
      <c r="G202" s="175">
        <f t="shared" si="990"/>
        <v>-0.99794927110805876</v>
      </c>
      <c r="H202" s="144"/>
      <c r="I202" s="91"/>
      <c r="J202" s="84">
        <f t="shared" si="941"/>
        <v>4.2149999999999999</v>
      </c>
    </row>
    <row r="203" spans="5:10" x14ac:dyDescent="0.25">
      <c r="E203" s="175">
        <f t="shared" ref="E203:G203" si="991">E58*-1</f>
        <v>-0.94898728089373252</v>
      </c>
      <c r="F203" s="175">
        <f t="shared" si="991"/>
        <v>-0.2737690185198175</v>
      </c>
      <c r="G203" s="175">
        <f t="shared" si="991"/>
        <v>-0.15644061237612186</v>
      </c>
      <c r="H203" s="144"/>
      <c r="I203" s="91"/>
      <c r="J203" s="84">
        <f t="shared" si="941"/>
        <v>5.1289999999999996</v>
      </c>
    </row>
    <row r="204" spans="5:10" x14ac:dyDescent="0.25">
      <c r="E204" s="175">
        <f t="shared" ref="E204:G204" si="992">E59*-1</f>
        <v>-0.96484793923344681</v>
      </c>
      <c r="F204" s="175">
        <f t="shared" si="992"/>
        <v>-0.23745934527418544</v>
      </c>
      <c r="G204" s="175">
        <f t="shared" si="992"/>
        <v>-0.11261222624087641</v>
      </c>
      <c r="H204" s="144"/>
      <c r="I204" s="91"/>
      <c r="J204" s="84">
        <f t="shared" si="941"/>
        <v>5.1379999999999999</v>
      </c>
    </row>
    <row r="205" spans="5:10" x14ac:dyDescent="0.25">
      <c r="E205" s="175">
        <f t="shared" ref="E205:G205" si="993">E60*-1</f>
        <v>-0.97712648503250465</v>
      </c>
      <c r="F205" s="175">
        <f t="shared" si="993"/>
        <v>-0.19813716242735657</v>
      </c>
      <c r="G205" s="175">
        <f t="shared" si="993"/>
        <v>-7.7236630644130139E-2</v>
      </c>
      <c r="H205" s="144"/>
      <c r="I205" s="91"/>
      <c r="J205" s="84">
        <f t="shared" si="941"/>
        <v>5.1470000000000002</v>
      </c>
    </row>
    <row r="206" spans="5:10" x14ac:dyDescent="0.25">
      <c r="E206" s="175">
        <f t="shared" ref="E206:G206" si="994">E61*-1</f>
        <v>-0.98917553652252876</v>
      </c>
      <c r="F206" s="175">
        <f t="shared" si="994"/>
        <v>-0.13648592964639283</v>
      </c>
      <c r="G206" s="175">
        <f t="shared" si="994"/>
        <v>-5.3882733356124986E-2</v>
      </c>
      <c r="H206" s="144"/>
      <c r="I206" s="91"/>
      <c r="J206" s="84">
        <f t="shared" si="941"/>
        <v>5.1559999999999997</v>
      </c>
    </row>
    <row r="207" spans="5:10" x14ac:dyDescent="0.25">
      <c r="E207" s="175">
        <f t="shared" ref="E207:G207" si="995">E62*-1</f>
        <v>-0.99768013403110611</v>
      </c>
      <c r="F207" s="175">
        <f t="shared" si="995"/>
        <v>-6.3179378912399081E-2</v>
      </c>
      <c r="G207" s="175">
        <f t="shared" si="995"/>
        <v>-2.5351848846142604E-2</v>
      </c>
      <c r="H207" s="144"/>
      <c r="I207" s="91"/>
      <c r="J207" s="84">
        <f t="shared" si="941"/>
        <v>5.165</v>
      </c>
    </row>
    <row r="208" spans="5:10" x14ac:dyDescent="0.25">
      <c r="E208" s="175">
        <f t="shared" ref="E208:G208" si="996">E63*-1</f>
        <v>-0.99897213238538718</v>
      </c>
      <c r="F208" s="175">
        <f t="shared" si="996"/>
        <v>4.5328564033950303E-2</v>
      </c>
      <c r="G208" s="175">
        <f t="shared" si="996"/>
        <v>-1.1339743370678741E-7</v>
      </c>
      <c r="H208" s="144"/>
      <c r="I208" s="91"/>
      <c r="J208" s="84">
        <f t="shared" si="941"/>
        <v>5.1740000000000004</v>
      </c>
    </row>
    <row r="209" spans="5:10" x14ac:dyDescent="0.25">
      <c r="E209" s="175">
        <f t="shared" ref="E209:G209" si="997">E64*-1</f>
        <v>-0.94793522716841128</v>
      </c>
      <c r="F209" s="175">
        <f t="shared" si="997"/>
        <v>0.18561024058570713</v>
      </c>
      <c r="G209" s="175">
        <f t="shared" si="997"/>
        <v>-0.25878107288379609</v>
      </c>
      <c r="H209" s="144"/>
      <c r="I209" s="91"/>
      <c r="J209" s="84">
        <f t="shared" si="941"/>
        <v>6.1139999999999999</v>
      </c>
    </row>
    <row r="210" spans="5:10" x14ac:dyDescent="0.25">
      <c r="E210" s="175">
        <f t="shared" ref="E210:G210" si="998">E65*-1</f>
        <v>-0.92301066469950177</v>
      </c>
      <c r="F210" s="175">
        <f t="shared" si="998"/>
        <v>0.31444879558872602</v>
      </c>
      <c r="G210" s="175">
        <f t="shared" si="998"/>
        <v>-0.22175046291672937</v>
      </c>
      <c r="H210" s="144"/>
      <c r="I210" s="91"/>
      <c r="J210" s="84">
        <f t="shared" si="941"/>
        <v>6.12</v>
      </c>
    </row>
    <row r="211" spans="5:10" x14ac:dyDescent="0.25">
      <c r="E211" s="175">
        <f t="shared" ref="E211:G211" si="999">E66*-1</f>
        <v>-0.90431837985240726</v>
      </c>
      <c r="F211" s="175">
        <f t="shared" si="999"/>
        <v>0.39528939134776553</v>
      </c>
      <c r="G211" s="175">
        <f t="shared" si="999"/>
        <v>-0.16110420524936772</v>
      </c>
      <c r="H211" s="144"/>
      <c r="I211" s="91"/>
      <c r="J211" s="84">
        <f t="shared" si="941"/>
        <v>6.1280000000000001</v>
      </c>
    </row>
    <row r="212" spans="5:10" x14ac:dyDescent="0.25">
      <c r="E212" s="175">
        <f t="shared" ref="E212:G212" si="1000">E67*-1</f>
        <v>-0.89287740043215058</v>
      </c>
      <c r="F212" s="175">
        <f t="shared" si="1000"/>
        <v>0.43466858916681844</v>
      </c>
      <c r="G212" s="175">
        <f t="shared" si="1000"/>
        <v>-0.11761447780461647</v>
      </c>
      <c r="H212" s="144"/>
      <c r="I212" s="91"/>
      <c r="J212" s="84">
        <f t="shared" si="941"/>
        <v>6.1369999999999996</v>
      </c>
    </row>
    <row r="213" spans="5:10" x14ac:dyDescent="0.25">
      <c r="E213" s="175">
        <f t="shared" ref="E213:G213" si="1001">E68*-1</f>
        <v>-0.87671150555391986</v>
      </c>
      <c r="F213" s="175">
        <f t="shared" si="1001"/>
        <v>0.47389880305674154</v>
      </c>
      <c r="G213" s="175">
        <f t="shared" si="1001"/>
        <v>-8.244307424379041E-2</v>
      </c>
      <c r="H213" s="144"/>
      <c r="I213" s="91"/>
      <c r="J213" s="84">
        <f t="shared" si="941"/>
        <v>6.1459999999999999</v>
      </c>
    </row>
    <row r="214" spans="5:10" x14ac:dyDescent="0.25">
      <c r="E214" s="175">
        <f t="shared" ref="E214:G214" si="1002">E69*-1</f>
        <v>-0.85451068357620241</v>
      </c>
      <c r="F214" s="175">
        <f t="shared" si="1002"/>
        <v>0.51685172306228755</v>
      </c>
      <c r="G214" s="175">
        <f t="shared" si="1002"/>
        <v>-5.1728019696057947E-2</v>
      </c>
      <c r="H214" s="144"/>
      <c r="I214" s="91"/>
      <c r="J214" s="84">
        <f t="shared" si="941"/>
        <v>6.1550000000000002</v>
      </c>
    </row>
    <row r="215" spans="5:10" x14ac:dyDescent="0.25">
      <c r="E215" s="175">
        <f t="shared" ref="E215:G215" si="1003">E70*-1</f>
        <v>-0.80515015618755792</v>
      </c>
      <c r="F215" s="175">
        <f t="shared" si="1003"/>
        <v>0.59221871493241196</v>
      </c>
      <c r="G215" s="175">
        <f t="shared" si="1003"/>
        <v>-3.1783953104572903E-2</v>
      </c>
      <c r="H215" s="144"/>
      <c r="I215" s="91"/>
      <c r="J215" s="84">
        <f t="shared" si="941"/>
        <v>6.1639999999999997</v>
      </c>
    </row>
    <row r="216" spans="5:10" x14ac:dyDescent="0.25">
      <c r="E216" s="175">
        <f t="shared" ref="E216:G216" si="1004">E71*-1</f>
        <v>-0.7361204797436377</v>
      </c>
      <c r="F216" s="175">
        <f t="shared" si="1004"/>
        <v>0.6768505295129672</v>
      </c>
      <c r="G216" s="175">
        <f t="shared" si="1004"/>
        <v>-1.133974335964521E-7</v>
      </c>
      <c r="H216" s="144"/>
      <c r="I216" s="91"/>
      <c r="J216" s="84">
        <f t="shared" si="941"/>
        <v>6.173</v>
      </c>
    </row>
    <row r="217" spans="5:10" x14ac:dyDescent="0.25">
      <c r="E217" s="175">
        <f t="shared" ref="E217:G217" si="1005">E72*-1</f>
        <v>0.26082979746331719</v>
      </c>
      <c r="F217" s="175">
        <f t="shared" si="1005"/>
        <v>0.54821192455376733</v>
      </c>
      <c r="G217" s="175">
        <f t="shared" si="1005"/>
        <v>-0.79462664348252232</v>
      </c>
      <c r="H217" s="144"/>
      <c r="I217" s="91"/>
      <c r="J217" s="84">
        <f t="shared" si="941"/>
        <v>6.2279999999999998</v>
      </c>
    </row>
    <row r="218" spans="5:10" x14ac:dyDescent="0.25">
      <c r="E218" s="175">
        <f t="shared" ref="E218:G218" si="1006">E73*-1</f>
        <v>-0.70404904809857927</v>
      </c>
      <c r="F218" s="175">
        <f t="shared" si="1006"/>
        <v>0.68800860137238473</v>
      </c>
      <c r="G218" s="175">
        <f t="shared" si="1006"/>
        <v>-0.17595198864775391</v>
      </c>
      <c r="H218" s="144"/>
      <c r="I218" s="91"/>
      <c r="J218" s="84">
        <f t="shared" si="941"/>
        <v>6.2370000000000001</v>
      </c>
    </row>
    <row r="219" spans="5:10" x14ac:dyDescent="0.25">
      <c r="E219" s="175">
        <f t="shared" ref="E219:G219" si="1007">E74*-1</f>
        <v>-0.68740522396033843</v>
      </c>
      <c r="F219" s="175">
        <f t="shared" si="1007"/>
        <v>0.7142111952508855</v>
      </c>
      <c r="G219" s="175">
        <f t="shared" si="1007"/>
        <v>-0.13181967474674955</v>
      </c>
      <c r="H219" s="144"/>
      <c r="I219" s="91"/>
      <c r="J219" s="84">
        <f t="shared" ref="J219:J282" si="1008">J74</f>
        <v>6.2460000000000004</v>
      </c>
    </row>
    <row r="220" spans="5:10" x14ac:dyDescent="0.25">
      <c r="E220" s="175">
        <f t="shared" ref="E220:G220" si="1009">E75*-1</f>
        <v>-0.6581330111200322</v>
      </c>
      <c r="F220" s="175">
        <f t="shared" si="1009"/>
        <v>0.74737004198961832</v>
      </c>
      <c r="G220" s="175">
        <f t="shared" si="1009"/>
        <v>-9.1098627928832665E-2</v>
      </c>
      <c r="H220" s="144"/>
      <c r="I220" s="91"/>
      <c r="J220" s="84">
        <f t="shared" si="1008"/>
        <v>6.2549999999999999</v>
      </c>
    </row>
    <row r="221" spans="5:10" x14ac:dyDescent="0.25">
      <c r="E221" s="175">
        <f t="shared" ref="E221:G221" si="1010">E76*-1</f>
        <v>-0.58602935944796242</v>
      </c>
      <c r="F221" s="175">
        <f t="shared" si="1010"/>
        <v>0.80806794233987089</v>
      </c>
      <c r="G221" s="175">
        <f t="shared" si="1010"/>
        <v>-5.996490996923147E-2</v>
      </c>
      <c r="H221" s="144"/>
      <c r="I221" s="91"/>
      <c r="J221" s="84">
        <f t="shared" si="1008"/>
        <v>6.2640000000000002</v>
      </c>
    </row>
    <row r="222" spans="5:10" x14ac:dyDescent="0.25">
      <c r="E222" s="175">
        <f t="shared" ref="E222:G222" si="1011">E77*-1</f>
        <v>-0.54097536073219554</v>
      </c>
      <c r="F222" s="175">
        <f t="shared" si="1011"/>
        <v>0.80302283619345605</v>
      </c>
      <c r="G222" s="175">
        <f t="shared" si="1011"/>
        <v>-0.24999996726497564</v>
      </c>
      <c r="H222" s="144"/>
      <c r="I222" s="91"/>
      <c r="J222" s="84">
        <f t="shared" si="1008"/>
        <v>7.1020000000000003</v>
      </c>
    </row>
    <row r="223" spans="5:10" x14ac:dyDescent="0.25">
      <c r="E223" s="175">
        <f t="shared" ref="E223:G223" si="1012">E78*-1</f>
        <v>-0.54097536073219543</v>
      </c>
      <c r="F223" s="175">
        <f t="shared" si="1012"/>
        <v>0.80302283619345616</v>
      </c>
      <c r="G223" s="175">
        <f t="shared" si="1012"/>
        <v>-0.24999996726497564</v>
      </c>
      <c r="H223" s="144"/>
      <c r="I223" s="91"/>
      <c r="J223" s="84">
        <f t="shared" si="1008"/>
        <v>7.1050000000000004</v>
      </c>
    </row>
    <row r="224" spans="5:10" x14ac:dyDescent="0.25">
      <c r="E224" s="175">
        <f t="shared" ref="E224:G224" si="1013">E79*-1</f>
        <v>-0.54097536073219554</v>
      </c>
      <c r="F224" s="175">
        <f t="shared" si="1013"/>
        <v>0.80302283619345605</v>
      </c>
      <c r="G224" s="175">
        <f t="shared" si="1013"/>
        <v>-0.24999996726497564</v>
      </c>
      <c r="H224" s="144"/>
      <c r="I224" s="91"/>
      <c r="J224" s="84">
        <f t="shared" si="1008"/>
        <v>7.1079999999999997</v>
      </c>
    </row>
    <row r="225" spans="5:10" x14ac:dyDescent="0.25">
      <c r="E225" s="175">
        <f t="shared" ref="E225:G225" si="1014">E80*-1</f>
        <v>-0.48457839428600746</v>
      </c>
      <c r="F225" s="175">
        <f t="shared" si="1014"/>
        <v>0.83551475802197583</v>
      </c>
      <c r="G225" s="175">
        <f t="shared" si="1014"/>
        <v>-0.2590344936850576</v>
      </c>
      <c r="H225" s="144"/>
      <c r="I225" s="91"/>
      <c r="J225" s="84">
        <f t="shared" si="1008"/>
        <v>7.1130000000000004</v>
      </c>
    </row>
    <row r="226" spans="5:10" x14ac:dyDescent="0.25">
      <c r="E226" s="175">
        <f t="shared" ref="E226:G226" si="1015">E81*-1</f>
        <v>-0.37026015414290131</v>
      </c>
      <c r="F226" s="175">
        <f t="shared" si="1015"/>
        <v>0.89953262721210892</v>
      </c>
      <c r="G226" s="175">
        <f t="shared" si="1015"/>
        <v>-0.23183716448178918</v>
      </c>
      <c r="H226" s="144"/>
      <c r="I226" s="91"/>
      <c r="J226" s="84">
        <f t="shared" si="1008"/>
        <v>7.1189999999999998</v>
      </c>
    </row>
    <row r="227" spans="5:10" x14ac:dyDescent="0.25">
      <c r="E227" s="175">
        <f t="shared" ref="E227:G227" si="1016">E82*-1</f>
        <v>-0.28333148694706967</v>
      </c>
      <c r="F227" s="175">
        <f t="shared" si="1016"/>
        <v>0.94458876968037386</v>
      </c>
      <c r="G227" s="175">
        <f t="shared" si="1016"/>
        <v>-0.16575682398646591</v>
      </c>
      <c r="H227" s="144"/>
      <c r="I227" s="91"/>
      <c r="J227" s="84">
        <f t="shared" si="1008"/>
        <v>7.1269999999999998</v>
      </c>
    </row>
    <row r="228" spans="5:10" x14ac:dyDescent="0.25">
      <c r="E228" s="175">
        <f t="shared" ref="E228:G228" si="1017">E83*-1</f>
        <v>-0.2445797567579108</v>
      </c>
      <c r="F228" s="175">
        <f t="shared" si="1017"/>
        <v>0.96185366904399017</v>
      </c>
      <c r="G228" s="175">
        <f t="shared" si="1017"/>
        <v>-0.12254901848181192</v>
      </c>
      <c r="H228" s="144"/>
      <c r="I228" s="91"/>
      <c r="J228" s="84">
        <f t="shared" si="1008"/>
        <v>7.1360000000000001</v>
      </c>
    </row>
    <row r="229" spans="5:10" x14ac:dyDescent="0.25">
      <c r="E229" s="175">
        <f t="shared" ref="E229:G229" si="1018">E84*-1</f>
        <v>-0.20305373282096878</v>
      </c>
      <c r="F229" s="175">
        <f t="shared" si="1018"/>
        <v>0.97523083797458787</v>
      </c>
      <c r="G229" s="175">
        <f t="shared" si="1018"/>
        <v>-8.7715416266775939E-2</v>
      </c>
      <c r="H229" s="144"/>
      <c r="I229" s="91"/>
      <c r="J229" s="84">
        <f t="shared" si="1008"/>
        <v>7.1449999999999996</v>
      </c>
    </row>
    <row r="230" spans="5:10" x14ac:dyDescent="0.25">
      <c r="E230" s="175">
        <f t="shared" ref="E230:G230" si="1019">E85*-1</f>
        <v>-0.15490214991876053</v>
      </c>
      <c r="F230" s="175">
        <f t="shared" si="1019"/>
        <v>0.98626711788037702</v>
      </c>
      <c r="G230" s="175">
        <f t="shared" si="1019"/>
        <v>-5.7293072342828662E-2</v>
      </c>
      <c r="H230" s="144"/>
      <c r="I230" s="91"/>
      <c r="J230" s="84">
        <f t="shared" si="1008"/>
        <v>7.1539999999999999</v>
      </c>
    </row>
    <row r="231" spans="5:10" x14ac:dyDescent="0.25">
      <c r="E231" s="175">
        <f t="shared" ref="E231:G231" si="1020">E86*-1</f>
        <v>-8.0931486120445401E-2</v>
      </c>
      <c r="F231" s="175">
        <f t="shared" si="1020"/>
        <v>0.99619587995662351</v>
      </c>
      <c r="G231" s="175">
        <f t="shared" si="1020"/>
        <v>-3.2308873576539693E-2</v>
      </c>
      <c r="H231" s="144"/>
      <c r="I231" s="91"/>
      <c r="J231" s="84">
        <f t="shared" si="1008"/>
        <v>7.1630000000000003</v>
      </c>
    </row>
    <row r="232" spans="5:10" x14ac:dyDescent="0.25">
      <c r="E232" s="175">
        <f t="shared" ref="E232:G232" si="1021">E87*-1</f>
        <v>-2.8108366807159703E-2</v>
      </c>
      <c r="F232" s="175">
        <f t="shared" si="1021"/>
        <v>0.9995948215106476</v>
      </c>
      <c r="G232" s="175">
        <f t="shared" si="1021"/>
        <v>4.4846989342609252E-3</v>
      </c>
      <c r="H232" s="144"/>
      <c r="I232" s="91"/>
      <c r="J232" s="84">
        <f t="shared" si="1008"/>
        <v>7.1719999999999997</v>
      </c>
    </row>
    <row r="233" spans="5:10" x14ac:dyDescent="0.25">
      <c r="E233" s="175">
        <f t="shared" ref="E233:G233" si="1022">E88*-1</f>
        <v>4.5328337472167531E-2</v>
      </c>
      <c r="F233" s="175">
        <f t="shared" si="1022"/>
        <v>0.99897214266564838</v>
      </c>
      <c r="G233" s="175">
        <f t="shared" si="1022"/>
        <v>-1.1339743340386527E-7</v>
      </c>
      <c r="H233" s="144"/>
      <c r="I233" s="91"/>
      <c r="J233" s="84">
        <f t="shared" si="1008"/>
        <v>7.181</v>
      </c>
    </row>
    <row r="234" spans="5:10" x14ac:dyDescent="0.25">
      <c r="E234" s="175">
        <f t="shared" ref="E234:G234" si="1023">E89*-1</f>
        <v>-4.7681818381155911E-9</v>
      </c>
      <c r="F234" s="175">
        <f t="shared" si="1023"/>
        <v>2.2674476755157521E-7</v>
      </c>
      <c r="G234" s="175">
        <f t="shared" si="1023"/>
        <v>-0.99999999999997435</v>
      </c>
      <c r="H234" s="144"/>
      <c r="I234" s="91"/>
      <c r="J234" s="84">
        <f t="shared" si="1008"/>
        <v>7.2080000000000002</v>
      </c>
    </row>
    <row r="235" spans="5:10" x14ac:dyDescent="0.25">
      <c r="E235" s="175">
        <f t="shared" ref="E235:G235" si="1024">E90*-1</f>
        <v>-3.4629850356179689E-8</v>
      </c>
      <c r="F235" s="175">
        <f t="shared" si="1024"/>
        <v>2.2413544707255305E-7</v>
      </c>
      <c r="G235" s="175">
        <f t="shared" si="1024"/>
        <v>-0.99999999999997435</v>
      </c>
      <c r="H235" s="144"/>
      <c r="I235" s="91"/>
      <c r="J235" s="84">
        <f t="shared" si="1008"/>
        <v>7.2130000000000001</v>
      </c>
    </row>
    <row r="236" spans="5:10" x14ac:dyDescent="0.25">
      <c r="E236" s="175">
        <f t="shared" ref="E236:G236" si="1025">E91*-1</f>
        <v>0.2214735374233186</v>
      </c>
      <c r="F236" s="175">
        <f t="shared" si="1025"/>
        <v>0.9601773574514717</v>
      </c>
      <c r="G236" s="175">
        <f t="shared" si="1025"/>
        <v>-0.17032003540015658</v>
      </c>
      <c r="H236" s="144"/>
      <c r="I236" s="91"/>
      <c r="J236" s="84">
        <f t="shared" si="1008"/>
        <v>8.1259999999999994</v>
      </c>
    </row>
    <row r="237" spans="5:10" x14ac:dyDescent="0.25">
      <c r="E237" s="175">
        <f t="shared" ref="E237:G237" si="1026">E92*-1</f>
        <v>0.26505735919419254</v>
      </c>
      <c r="F237" s="175">
        <f t="shared" si="1026"/>
        <v>0.95576612733158806</v>
      </c>
      <c r="G237" s="175">
        <f t="shared" si="1026"/>
        <v>-0.12749786736482893</v>
      </c>
      <c r="H237" s="144"/>
      <c r="I237" s="91"/>
      <c r="J237" s="84">
        <f t="shared" si="1008"/>
        <v>8.1349999999999998</v>
      </c>
    </row>
    <row r="238" spans="5:10" x14ac:dyDescent="0.25">
      <c r="E238" s="175">
        <f t="shared" ref="E238:G238" si="1027">E93*-1</f>
        <v>0.30892725644883146</v>
      </c>
      <c r="F238" s="175">
        <f t="shared" si="1027"/>
        <v>0.94653387750937168</v>
      </c>
      <c r="G238" s="175">
        <f t="shared" si="1027"/>
        <v>-9.2938522422469291E-2</v>
      </c>
      <c r="H238" s="144"/>
      <c r="I238" s="91"/>
      <c r="J238" s="84">
        <f t="shared" si="1008"/>
        <v>8.1440000000000001</v>
      </c>
    </row>
    <row r="239" spans="5:10" x14ac:dyDescent="0.25">
      <c r="E239" s="175">
        <f t="shared" ref="E239:G239" si="1028">E94*-1</f>
        <v>0.35022544428190239</v>
      </c>
      <c r="F239" s="175">
        <f t="shared" si="1028"/>
        <v>0.93482451287304469</v>
      </c>
      <c r="G239" s="175">
        <f t="shared" si="1028"/>
        <v>-5.8696407975436828E-2</v>
      </c>
      <c r="H239" s="144"/>
      <c r="I239" s="91"/>
      <c r="J239" s="84">
        <f t="shared" si="1008"/>
        <v>8.1530000000000005</v>
      </c>
    </row>
    <row r="240" spans="5:10" x14ac:dyDescent="0.25">
      <c r="E240" s="175">
        <f t="shared" ref="E240:G240" si="1029">E95*-1</f>
        <v>0.42710084090088768</v>
      </c>
      <c r="F240" s="175">
        <f t="shared" si="1029"/>
        <v>0.9033807977557744</v>
      </c>
      <c r="G240" s="175">
        <f t="shared" si="1029"/>
        <v>-3.8574680139894804E-2</v>
      </c>
      <c r="H240" s="144"/>
      <c r="I240" s="91"/>
      <c r="J240" s="84">
        <f t="shared" si="1008"/>
        <v>8.1620000000000008</v>
      </c>
    </row>
    <row r="241" spans="5:10" x14ac:dyDescent="0.25">
      <c r="E241" s="175">
        <f t="shared" ref="E241:G241" si="1030">E96*-1</f>
        <v>0.47543943030240732</v>
      </c>
      <c r="F241" s="175">
        <f t="shared" si="1030"/>
        <v>0.87973702638299345</v>
      </c>
      <c r="G241" s="175">
        <f t="shared" si="1030"/>
        <v>4.4846989342607196E-3</v>
      </c>
      <c r="H241" s="144"/>
      <c r="I241" s="91"/>
      <c r="J241" s="84">
        <f t="shared" si="1008"/>
        <v>8.1709999999999994</v>
      </c>
    </row>
    <row r="242" spans="5:10" x14ac:dyDescent="0.25">
      <c r="E242" s="175">
        <f t="shared" ref="E242:G242" si="1031">E97*-1</f>
        <v>0.53874149940565286</v>
      </c>
      <c r="F242" s="175">
        <f t="shared" si="1031"/>
        <v>0.8424711252132836</v>
      </c>
      <c r="G242" s="175">
        <f t="shared" si="1031"/>
        <v>-1.1339743354035856E-7</v>
      </c>
      <c r="H242" s="144"/>
      <c r="I242" s="91"/>
      <c r="J242" s="84">
        <f t="shared" si="1008"/>
        <v>8.18</v>
      </c>
    </row>
    <row r="243" spans="5:10" x14ac:dyDescent="0.25">
      <c r="E243" s="175">
        <f t="shared" ref="E243:G243" si="1032">E98*-1</f>
        <v>0.60408804575295827</v>
      </c>
      <c r="F243" s="175">
        <f t="shared" si="1032"/>
        <v>0.75402342645168052</v>
      </c>
      <c r="G243" s="175">
        <f t="shared" si="1032"/>
        <v>-0.25792693798911187</v>
      </c>
      <c r="H243" s="144"/>
      <c r="I243" s="91"/>
      <c r="J243" s="84">
        <f t="shared" si="1008"/>
        <v>9.1120000000000001</v>
      </c>
    </row>
    <row r="244" spans="5:10" x14ac:dyDescent="0.25">
      <c r="E244" s="175">
        <f t="shared" ref="E244:G244" si="1033">E99*-1</f>
        <v>0.70282798887598974</v>
      </c>
      <c r="F244" s="175">
        <f t="shared" si="1033"/>
        <v>0.6694906034994399</v>
      </c>
      <c r="G244" s="175">
        <f t="shared" si="1033"/>
        <v>-0.2404478111326607</v>
      </c>
      <c r="H244" s="144"/>
      <c r="I244" s="91"/>
      <c r="J244" s="84">
        <f t="shared" si="1008"/>
        <v>9.1180000000000003</v>
      </c>
    </row>
    <row r="245" spans="5:10" x14ac:dyDescent="0.25">
      <c r="E245" s="175">
        <f t="shared" ref="E245:G245" si="1034">E100*-1</f>
        <v>0.7828164403061203</v>
      </c>
      <c r="F245" s="175">
        <f t="shared" si="1034"/>
        <v>0.59717514906123303</v>
      </c>
      <c r="G245" s="175">
        <f t="shared" si="1034"/>
        <v>-0.17487213079890346</v>
      </c>
      <c r="H245" s="144"/>
      <c r="I245" s="91"/>
      <c r="J245" s="84">
        <f t="shared" si="1008"/>
        <v>9.125</v>
      </c>
    </row>
    <row r="246" spans="5:10" x14ac:dyDescent="0.25">
      <c r="E246" s="175">
        <f t="shared" ref="E246:G246" si="1035">E101*-1</f>
        <v>0.81449070313889038</v>
      </c>
      <c r="F246" s="175">
        <f t="shared" si="1035"/>
        <v>0.56487082666537025</v>
      </c>
      <c r="G246" s="175">
        <f t="shared" si="1035"/>
        <v>-0.13238520945595642</v>
      </c>
      <c r="H246" s="144"/>
      <c r="I246" s="91"/>
      <c r="J246" s="84">
        <f t="shared" si="1008"/>
        <v>9.1340000000000003</v>
      </c>
    </row>
    <row r="247" spans="5:10" x14ac:dyDescent="0.25">
      <c r="E247" s="175">
        <f t="shared" ref="E247:G247" si="1036">E102*-1</f>
        <v>0.84306585996497097</v>
      </c>
      <c r="F247" s="175">
        <f t="shared" si="1036"/>
        <v>0.52877044902703663</v>
      </c>
      <c r="G247" s="175">
        <f t="shared" si="1036"/>
        <v>-9.81925047917101E-2</v>
      </c>
      <c r="H247" s="144"/>
      <c r="I247" s="91"/>
      <c r="J247" s="84">
        <f t="shared" si="1008"/>
        <v>9.1430000000000007</v>
      </c>
    </row>
    <row r="248" spans="5:10" x14ac:dyDescent="0.25">
      <c r="E248" s="175">
        <f t="shared" ref="E248:G248" si="1037">E103*-1</f>
        <v>0.86797710098975611</v>
      </c>
      <c r="F248" s="175">
        <f t="shared" si="1037"/>
        <v>0.49243966763900848</v>
      </c>
      <c r="G248" s="175">
        <f t="shared" si="1037"/>
        <v>-6.4178858614046541E-2</v>
      </c>
      <c r="H248" s="144"/>
      <c r="I248" s="91"/>
      <c r="J248" s="84">
        <f t="shared" si="1008"/>
        <v>9.1519999999999992</v>
      </c>
    </row>
    <row r="249" spans="5:10" x14ac:dyDescent="0.25">
      <c r="E249" s="175">
        <f t="shared" ref="E249:G249" si="1038">E104*-1</f>
        <v>0.90057832660394088</v>
      </c>
      <c r="F249" s="175">
        <f t="shared" si="1038"/>
        <v>0.43299167468662242</v>
      </c>
      <c r="G249" s="175">
        <f t="shared" si="1038"/>
        <v>-3.8430291481067892E-2</v>
      </c>
      <c r="H249" s="144"/>
      <c r="I249" s="91"/>
      <c r="J249" s="84">
        <f t="shared" si="1008"/>
        <v>9.1609999999999996</v>
      </c>
    </row>
    <row r="250" spans="5:10" x14ac:dyDescent="0.25">
      <c r="E250" s="175">
        <f t="shared" ref="E250:G250" si="1039">E105*-1</f>
        <v>0.92968717814956348</v>
      </c>
      <c r="F250" s="175">
        <f t="shared" si="1039"/>
        <v>0.36834357326199801</v>
      </c>
      <c r="G250" s="175">
        <f t="shared" si="1039"/>
        <v>-2.1823888024053856E-3</v>
      </c>
      <c r="H250" s="144"/>
      <c r="I250" s="91"/>
      <c r="J250" s="84">
        <f t="shared" si="1008"/>
        <v>9.17</v>
      </c>
    </row>
    <row r="251" spans="5:10" x14ac:dyDescent="0.25">
      <c r="E251" s="175">
        <f t="shared" ref="E251:G251" si="1040">E106*-1</f>
        <v>0.9542299025570804</v>
      </c>
      <c r="F251" s="175">
        <f t="shared" si="1040"/>
        <v>0.29907405950013816</v>
      </c>
      <c r="G251" s="175">
        <f t="shared" si="1040"/>
        <v>-1.1339743357591717E-7</v>
      </c>
      <c r="H251" s="144"/>
      <c r="I251" s="91"/>
      <c r="J251" s="84">
        <f t="shared" si="1008"/>
        <v>9.1790000000000003</v>
      </c>
    </row>
    <row r="252" spans="5:10" x14ac:dyDescent="0.25">
      <c r="E252" s="175">
        <f t="shared" ref="E252:G252" si="1041">E107*-1</f>
        <v>0.31903509999210627</v>
      </c>
      <c r="F252" s="175">
        <f t="shared" si="1041"/>
        <v>-0.47234821087921219</v>
      </c>
      <c r="G252" s="175">
        <f t="shared" si="1041"/>
        <v>-0.82164698785563262</v>
      </c>
      <c r="H252" s="144"/>
      <c r="I252" s="91"/>
      <c r="J252" s="84">
        <f t="shared" si="1008"/>
        <v>9.2249999999999996</v>
      </c>
    </row>
    <row r="253" spans="5:10" x14ac:dyDescent="0.25">
      <c r="E253" s="175">
        <f t="shared" ref="E253:G253" si="1042">E108*-1</f>
        <v>0.9431788702669206</v>
      </c>
      <c r="F253" s="175">
        <f t="shared" si="1042"/>
        <v>0.27021812599203032</v>
      </c>
      <c r="G253" s="175">
        <f t="shared" si="1042"/>
        <v>-0.19337989313103571</v>
      </c>
      <c r="H253" s="144"/>
      <c r="I253" s="91"/>
      <c r="J253" s="84">
        <f t="shared" si="1008"/>
        <v>9.234</v>
      </c>
    </row>
    <row r="254" spans="5:10" x14ac:dyDescent="0.25">
      <c r="E254" s="175">
        <f t="shared" ref="E254:G254" si="1043">E109*-1</f>
        <v>0.95842135490800218</v>
      </c>
      <c r="F254" s="175">
        <f t="shared" si="1043"/>
        <v>0.24240632205034668</v>
      </c>
      <c r="G254" s="175">
        <f t="shared" si="1043"/>
        <v>-0.15055790077685413</v>
      </c>
      <c r="H254" s="144"/>
      <c r="I254" s="91"/>
      <c r="J254" s="84">
        <f t="shared" si="1008"/>
        <v>9.2430000000000003</v>
      </c>
    </row>
    <row r="255" spans="5:10" x14ac:dyDescent="0.25">
      <c r="E255" s="175">
        <f t="shared" ref="E255:G255" si="1044">E110*-1</f>
        <v>0.97238431383286805</v>
      </c>
      <c r="F255" s="175">
        <f t="shared" si="1044"/>
        <v>0.20746162009654989</v>
      </c>
      <c r="G255" s="175">
        <f t="shared" si="1044"/>
        <v>-0.1069037997392849</v>
      </c>
      <c r="H255" s="144"/>
      <c r="I255" s="91"/>
      <c r="J255" s="84">
        <f t="shared" si="1008"/>
        <v>9.2520000000000007</v>
      </c>
    </row>
    <row r="256" spans="5:10" x14ac:dyDescent="0.25">
      <c r="E256" s="175">
        <f t="shared" ref="E256:G256" si="1045">E111*-1</f>
        <v>0.98755681899915404</v>
      </c>
      <c r="F256" s="175">
        <f t="shared" si="1045"/>
        <v>0.14060548341536364</v>
      </c>
      <c r="G256" s="175">
        <f t="shared" si="1045"/>
        <v>-7.0438819423695953E-2</v>
      </c>
      <c r="H256" s="144"/>
      <c r="I256" s="91"/>
      <c r="J256" s="84">
        <f t="shared" si="1008"/>
        <v>9.2609999999999992</v>
      </c>
    </row>
    <row r="257" spans="5:10" x14ac:dyDescent="0.25">
      <c r="E257" s="175">
        <f t="shared" ref="E257:G257" si="1046">E112*-1</f>
        <v>0.99763942593403199</v>
      </c>
      <c r="F257" s="175">
        <f t="shared" si="1046"/>
        <v>6.4633242369748559E-2</v>
      </c>
      <c r="G257" s="175">
        <f t="shared" si="1046"/>
        <v>-2.3197409398218068E-2</v>
      </c>
      <c r="H257" s="144"/>
      <c r="I257" s="91"/>
      <c r="J257" s="84">
        <f t="shared" si="1008"/>
        <v>9.27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CO4:DA4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BF2:ER3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CY6:DA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4" t="s">
        <v>1</v>
      </c>
      <c r="O2" s="1115"/>
      <c r="P2" s="1115"/>
      <c r="Q2" s="1115"/>
      <c r="R2" s="1115"/>
      <c r="S2" s="1115"/>
      <c r="T2" s="1115"/>
      <c r="U2" s="1115"/>
      <c r="V2" s="1115"/>
      <c r="W2" s="1115"/>
      <c r="X2" s="1115"/>
      <c r="Y2" s="1153"/>
      <c r="Z2" s="1114" t="s">
        <v>2</v>
      </c>
      <c r="AA2" s="1115"/>
      <c r="AB2" s="1115"/>
      <c r="AC2" s="1115"/>
      <c r="AD2" s="1115"/>
      <c r="AE2" s="1115"/>
      <c r="AF2" s="1115"/>
      <c r="AG2" s="1115"/>
      <c r="AH2" s="1115"/>
      <c r="AI2" s="1115"/>
      <c r="AJ2" s="1115"/>
      <c r="AK2" s="1115"/>
      <c r="AL2" s="1115"/>
      <c r="AM2" s="1115"/>
      <c r="AN2" s="1115"/>
      <c r="AO2" s="1115"/>
      <c r="AP2" s="1115"/>
      <c r="AQ2" s="1116"/>
      <c r="AS2" s="1159" t="s">
        <v>44</v>
      </c>
      <c r="AT2" s="1160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36"/>
      <c r="M3" s="1240"/>
      <c r="N3" s="1154"/>
      <c r="O3" s="1155"/>
      <c r="P3" s="1155"/>
      <c r="Q3" s="1155"/>
      <c r="R3" s="1155"/>
      <c r="S3" s="1155"/>
      <c r="T3" s="1155"/>
      <c r="U3" s="1155"/>
      <c r="V3" s="1155"/>
      <c r="W3" s="1155"/>
      <c r="X3" s="1155"/>
      <c r="Y3" s="1156"/>
      <c r="Z3" s="1058"/>
      <c r="AA3" s="1059"/>
      <c r="AB3" s="1059"/>
      <c r="AC3" s="1059"/>
      <c r="AD3" s="1059"/>
      <c r="AE3" s="1059"/>
      <c r="AF3" s="1059"/>
      <c r="AG3" s="1059"/>
      <c r="AH3" s="1059"/>
      <c r="AI3" s="1059"/>
      <c r="AJ3" s="1059"/>
      <c r="AK3" s="1059"/>
      <c r="AL3" s="1059"/>
      <c r="AM3" s="1059"/>
      <c r="AN3" s="1059"/>
      <c r="AO3" s="1059"/>
      <c r="AP3" s="1059"/>
      <c r="AQ3" s="1117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8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08" t="s">
        <v>3</v>
      </c>
      <c r="O4" s="1145"/>
      <c r="P4" s="1145"/>
      <c r="Q4" s="1146" t="s">
        <v>4</v>
      </c>
      <c r="R4" s="1145"/>
      <c r="S4" s="1147"/>
      <c r="T4" s="1217" t="str">
        <f>N4</f>
        <v>Cartesian Coordinates</v>
      </c>
      <c r="U4" s="1121"/>
      <c r="V4" s="1218"/>
      <c r="W4" s="1121" t="str">
        <f>Q4</f>
        <v>Polar XY; Cartesian Z</v>
      </c>
      <c r="X4" s="1121"/>
      <c r="Y4" s="1191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2" t="str">
        <f>CONCATENATE(B7," ; ",E7," ; ",H8)</f>
        <v>Absolute-Point ; Incremental-Vector Point ; Radius</v>
      </c>
      <c r="C5" s="1193"/>
      <c r="D5" s="1193"/>
      <c r="E5" s="1193"/>
      <c r="F5" s="1193"/>
      <c r="G5" s="1193"/>
      <c r="H5" s="1193"/>
      <c r="I5" s="1193"/>
      <c r="J5" s="1193"/>
      <c r="K5" s="1194"/>
      <c r="L5" s="36"/>
      <c r="M5" s="1240"/>
      <c r="N5" s="1228" t="s">
        <v>5</v>
      </c>
      <c r="O5" s="1173"/>
      <c r="P5" s="1173"/>
      <c r="Q5" s="1172" t="s">
        <v>6</v>
      </c>
      <c r="R5" s="1173"/>
      <c r="S5" s="1174"/>
      <c r="T5" s="1143" t="str">
        <f>CONCATENATE("Relative to ",M8,"'s θ &amp; Z; Z Axis")</f>
        <v>Relative to 's θ &amp; Z; Z Axis</v>
      </c>
      <c r="U5" s="1128"/>
      <c r="V5" s="1171"/>
      <c r="W5" s="1128" t="str">
        <f>CONCATENATE("Relative to ",M8,"'s θ &amp; Z; Z Axis")</f>
        <v>Relative to 's θ &amp; Z; Z Axis</v>
      </c>
      <c r="X5" s="1128"/>
      <c r="Y5" s="1219"/>
      <c r="Z5" s="1209" t="str">
        <f>N5</f>
        <v>Relative to World_CS</v>
      </c>
      <c r="AA5" s="1128"/>
      <c r="AB5" s="1128"/>
      <c r="AC5" s="1128"/>
      <c r="AD5" s="1128"/>
      <c r="AE5" s="1128"/>
      <c r="AF5" s="1128"/>
      <c r="AG5" s="1143" t="str">
        <f>N5</f>
        <v>Relative to World_CS</v>
      </c>
      <c r="AH5" s="1128"/>
      <c r="AI5" s="1128"/>
      <c r="AJ5" s="1129"/>
      <c r="AK5" s="1182" t="s">
        <v>7</v>
      </c>
      <c r="AL5" s="1173"/>
      <c r="AM5" s="1173"/>
      <c r="AN5" s="1173"/>
      <c r="AO5" s="1173"/>
      <c r="AP5" s="1173"/>
      <c r="AQ5" s="1174"/>
      <c r="AS5" s="57">
        <f>((AS4*12)/60)/AS3</f>
        <v>0.25</v>
      </c>
      <c r="AT5" s="486" t="s">
        <v>47</v>
      </c>
      <c r="AV5" s="1243"/>
      <c r="AW5" s="1217" t="str">
        <f>W4</f>
        <v>Polar XY; Cartesian Z</v>
      </c>
      <c r="AX5" s="1121"/>
      <c r="AY5" s="1121"/>
      <c r="AZ5" s="964" t="s">
        <v>104</v>
      </c>
      <c r="BA5" s="1121" t="str">
        <f>AK4</f>
        <v>Polar Z Projection → XZ Plane</v>
      </c>
      <c r="BB5" s="1121"/>
      <c r="BC5" s="1122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36"/>
      <c r="M6" s="1240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67" t="str">
        <f>N6</f>
        <v>X</v>
      </c>
      <c r="U6" s="1169" t="str">
        <f>O6</f>
        <v>Y</v>
      </c>
      <c r="V6" s="1215" t="str">
        <f>P6</f>
        <v>Z</v>
      </c>
      <c r="W6" s="1123" t="str">
        <f>Q6</f>
        <v>Projected XY</v>
      </c>
      <c r="X6" s="1124"/>
      <c r="Y6" s="1165" t="str">
        <f>S6</f>
        <v>Z</v>
      </c>
      <c r="Z6" s="1148" t="s">
        <v>12</v>
      </c>
      <c r="AA6" s="1149"/>
      <c r="AB6" s="1149"/>
      <c r="AC6" s="1150"/>
      <c r="AD6" s="1146" t="s">
        <v>13</v>
      </c>
      <c r="AE6" s="1145"/>
      <c r="AF6" s="1145"/>
      <c r="AG6" s="1144" t="s">
        <v>7</v>
      </c>
      <c r="AH6" s="1145"/>
      <c r="AI6" s="1146" t="s">
        <v>14</v>
      </c>
      <c r="AJ6" s="1147"/>
      <c r="AK6" s="1217" t="str">
        <f>AD6</f>
        <v>Unit Vector</v>
      </c>
      <c r="AL6" s="1121"/>
      <c r="AM6" s="1122"/>
      <c r="AN6" s="37" t="s">
        <v>15</v>
      </c>
      <c r="AO6" s="38" t="s">
        <v>16</v>
      </c>
      <c r="AP6" s="189" t="s">
        <v>17</v>
      </c>
      <c r="AQ6" s="1157" t="s">
        <v>108</v>
      </c>
      <c r="AS6" s="177">
        <f>AS5/360</f>
        <v>6.9444444444444447E-4</v>
      </c>
      <c r="AT6" s="487" t="s">
        <v>48</v>
      </c>
      <c r="AV6" s="1243"/>
      <c r="AW6" s="1143" t="str">
        <f>W5</f>
        <v>Relative to 's θ &amp; Z; Z Axis</v>
      </c>
      <c r="AX6" s="1128"/>
      <c r="AY6" s="1128"/>
      <c r="AZ6" s="1256"/>
      <c r="BA6" s="1128" t="str">
        <f>AK5</f>
        <v>Vector Along X Axis</v>
      </c>
      <c r="BB6" s="1128"/>
      <c r="BC6" s="1129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0" t="s">
        <v>40</v>
      </c>
      <c r="C7" s="1211"/>
      <c r="D7" s="1212"/>
      <c r="E7" s="1213" t="s">
        <v>41</v>
      </c>
      <c r="F7" s="1211"/>
      <c r="G7" s="1214"/>
      <c r="H7" s="878" t="s">
        <v>314</v>
      </c>
      <c r="I7" s="865"/>
      <c r="J7" s="866"/>
      <c r="K7" s="564"/>
      <c r="L7" s="36"/>
      <c r="M7" s="1241"/>
      <c r="N7" s="1225"/>
      <c r="O7" s="1227"/>
      <c r="P7" s="1223"/>
      <c r="Q7" s="39" t="s">
        <v>18</v>
      </c>
      <c r="R7" s="2" t="s">
        <v>19</v>
      </c>
      <c r="S7" s="1221"/>
      <c r="T7" s="1168"/>
      <c r="U7" s="1170"/>
      <c r="V7" s="1216"/>
      <c r="W7" s="40" t="str">
        <f>Q7</f>
        <v>&lt; θ°</v>
      </c>
      <c r="X7" s="30" t="str">
        <f>R7</f>
        <v>r</v>
      </c>
      <c r="Y7" s="1166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58"/>
      <c r="AS7" s="1163" t="s">
        <v>54</v>
      </c>
      <c r="AT7" s="1161" t="s">
        <v>53</v>
      </c>
      <c r="AV7" s="1243"/>
      <c r="AW7" s="1255" t="str">
        <f>$W$6</f>
        <v>Projected XY</v>
      </c>
      <c r="AX7" s="1124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4"/>
      <c r="AT8" s="1162"/>
      <c r="AV8" s="1244"/>
      <c r="AW8" s="49" t="str">
        <f>$W$7</f>
        <v>&lt; θ°</v>
      </c>
      <c r="AX8" s="30" t="str">
        <f>$X$7</f>
        <v>r</v>
      </c>
      <c r="AY8" s="1258"/>
      <c r="AZ8" s="965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198" t="s">
        <v>42</v>
      </c>
      <c r="C157" s="1199"/>
      <c r="D157" s="1199"/>
      <c r="E157" s="1199"/>
      <c r="F157" s="1199"/>
      <c r="G157" s="1199"/>
      <c r="H157" s="1199"/>
      <c r="I157" s="1199"/>
      <c r="J157" s="1199"/>
      <c r="K157" s="1200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1"/>
      <c r="C158" s="1149"/>
      <c r="D158" s="1149"/>
      <c r="E158" s="1149"/>
      <c r="F158" s="1149"/>
      <c r="G158" s="1149"/>
      <c r="H158" s="1149"/>
      <c r="I158" s="1149"/>
      <c r="J158" s="1149"/>
      <c r="K158" s="1202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3"/>
      <c r="C159" s="1204"/>
      <c r="D159" s="1204"/>
      <c r="E159" s="1204"/>
      <c r="F159" s="1204"/>
      <c r="G159" s="1204"/>
      <c r="H159" s="1204"/>
      <c r="I159" s="1204"/>
      <c r="J159" s="1204"/>
      <c r="K159" s="1205"/>
      <c r="AQ159" s="171"/>
    </row>
    <row r="160" spans="2:60" ht="15" customHeight="1" x14ac:dyDescent="0.25">
      <c r="B160" s="1192" t="str">
        <f>CONCATENATE(B162," ; ",E162," ; ",H163)</f>
        <v>Absolute-Point ; Incremental-Vector Point ; Radius</v>
      </c>
      <c r="C160" s="1193"/>
      <c r="D160" s="1193"/>
      <c r="E160" s="1193"/>
      <c r="F160" s="1193"/>
      <c r="G160" s="1193"/>
      <c r="H160" s="1193"/>
      <c r="I160" s="1193"/>
      <c r="J160" s="1193"/>
      <c r="K160" s="1194"/>
      <c r="AQ160" s="171"/>
    </row>
    <row r="161" spans="2:43" ht="15" customHeight="1" x14ac:dyDescent="0.25">
      <c r="B161" s="1195"/>
      <c r="C161" s="1196"/>
      <c r="D161" s="1196"/>
      <c r="E161" s="1196"/>
      <c r="F161" s="1196"/>
      <c r="G161" s="1196"/>
      <c r="H161" s="1196"/>
      <c r="I161" s="1196"/>
      <c r="J161" s="1196"/>
      <c r="K161" s="1197"/>
      <c r="AQ161" s="171"/>
    </row>
    <row r="162" spans="2:43" ht="15" customHeight="1" x14ac:dyDescent="0.25">
      <c r="B162" s="1210" t="s">
        <v>40</v>
      </c>
      <c r="C162" s="1211"/>
      <c r="D162" s="1212"/>
      <c r="E162" s="1213" t="s">
        <v>41</v>
      </c>
      <c r="F162" s="1211"/>
      <c r="G162" s="1214"/>
      <c r="H162" s="878" t="s">
        <v>314</v>
      </c>
      <c r="I162" s="865"/>
      <c r="J162" s="866"/>
      <c r="K162" s="564"/>
      <c r="M162" s="1049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1.117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1.1240000000000001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1.133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1.1419999999999999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1.151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1.1599999999999999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1.169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1.1779999999999999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1.2070000000000001</v>
      </c>
      <c r="N176" s="594" t="str">
        <f>Assy.Model!K21</f>
        <v>Knuckle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1.2110000000000001</v>
      </c>
      <c r="N177" s="594" t="str">
        <f>Assy.Model!K22</f>
        <v>Knuckle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2.1230000000000002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2.1320000000000001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2.141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2.15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2.1589999999999998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2.1680000000000001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2.177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3.1160000000000001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3.1219999999999999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3.1309999999999998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3.14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3.149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3.1579999999999999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3.1669999999999998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3.1760000000000002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3.222</v>
      </c>
      <c r="N194" s="594" t="str">
        <f>Assy.Model!K39</f>
        <v>Knuckle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3.2309999999999999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3.24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3.2490000000000001</v>
      </c>
      <c r="N197" s="594" t="str">
        <f>Assy.Model!K42</f>
        <v>1313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3.258</v>
      </c>
      <c r="N198" s="594" t="str">
        <f>Assy.Model!K43</f>
        <v>1313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3.2669999999999999</v>
      </c>
      <c r="N199" s="594" t="str">
        <f>Assy.Model!K44</f>
        <v>1313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4.1029999999999998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4.1059999999999999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4.109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4.1150000000000002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4.1210000000000004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4.13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4.1390000000000002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4.1479999999999997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4.157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4.1660000000000004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4.1749999999999998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4.2089999999999996</v>
      </c>
      <c r="N211" s="594" t="str">
        <f>Assy.Model!K56</f>
        <v>Knuckle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4.2149999999999999</v>
      </c>
      <c r="N212" s="594" t="str">
        <f>Assy.Model!K57</f>
        <v>Knuckle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5.1289999999999996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5.1379999999999999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5.1470000000000002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5.1559999999999997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5.165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5.1740000000000004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6.1139999999999999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6.12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6.1280000000000001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6.1369999999999996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6.1459999999999999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6.1550000000000002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6.1639999999999997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6.173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6.2279999999999998</v>
      </c>
      <c r="N227" s="594" t="str">
        <f>Assy.Model!K72</f>
        <v>Knuckle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6.2370000000000001</v>
      </c>
      <c r="N228" s="594" t="str">
        <f>Assy.Model!K73</f>
        <v>1313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6.2460000000000004</v>
      </c>
      <c r="N229" s="594" t="str">
        <f>Assy.Model!K74</f>
        <v>1313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6.2549999999999999</v>
      </c>
      <c r="N230" s="594" t="str">
        <f>Assy.Model!K75</f>
        <v>1313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6.2640000000000002</v>
      </c>
      <c r="N231" s="594" t="str">
        <f>Assy.Model!K76</f>
        <v>1313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7.1020000000000003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7.1050000000000004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7.1079999999999997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7.1130000000000004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7.1189999999999998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7.1269999999999998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7.1360000000000001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7.1449999999999996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7.1539999999999999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7.1630000000000003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7.1719999999999997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7.181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7.2080000000000002</v>
      </c>
      <c r="N244" s="594" t="str">
        <f>Assy.Model!K89</f>
        <v>Knuckle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7.2130000000000001</v>
      </c>
      <c r="N245" s="594" t="str">
        <f>Assy.Model!K90</f>
        <v>Knuckle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8.1259999999999994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8.1349999999999998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8.1440000000000001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8.1530000000000005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8.1620000000000008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8.1709999999999994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8.18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9.1120000000000001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9.1180000000000003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9.125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9.1340000000000003</v>
      </c>
      <c r="N256" s="594" t="str">
        <f>Assy.Model!K101</f>
        <v>1613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9.1430000000000007</v>
      </c>
      <c r="N257" s="594" t="str">
        <f>Assy.Model!K102</f>
        <v>1613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9.1519999999999992</v>
      </c>
      <c r="N258" s="594" t="str">
        <f>Assy.Model!K103</f>
        <v>1613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9.1609999999999996</v>
      </c>
      <c r="N259" s="594" t="str">
        <f>Assy.Model!K104</f>
        <v>1613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9.17</v>
      </c>
      <c r="N260" s="594" t="str">
        <f>Assy.Model!K105</f>
        <v>1613</v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9.1790000000000003</v>
      </c>
      <c r="N261" s="594" t="str">
        <f>Assy.Model!K106</f>
        <v>1613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9.2249999999999996</v>
      </c>
      <c r="N262" s="594" t="str">
        <f>Assy.Model!K107</f>
        <v>Knuckle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9.234</v>
      </c>
      <c r="N263" s="594" t="str">
        <f>Assy.Model!K108</f>
        <v>1313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9.2430000000000003</v>
      </c>
      <c r="N264" s="594" t="str">
        <f>Assy.Model!K109</f>
        <v>1313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9.2520000000000007</v>
      </c>
      <c r="N265" s="594" t="str">
        <f>Assy.Model!K110</f>
        <v>1313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9.2609999999999992</v>
      </c>
      <c r="N266" s="594" t="str">
        <f>Assy.Model!K111</f>
        <v>1313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9.27</v>
      </c>
      <c r="N267" s="594" t="str">
        <f>Assy.Model!K112</f>
        <v>1313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2023-03-17T20:09:50Z</dcterms:modified>
</cp:coreProperties>
</file>