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56\Desktop\"/>
    </mc:Choice>
  </mc:AlternateContent>
  <xr:revisionPtr revIDLastSave="0" documentId="13_ncr:1_{34B3737E-6936-44A9-AD18-468F5DC9B7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tReport_Min" sheetId="2" r:id="rId1"/>
  </sheets>
  <externalReferences>
    <externalReference r:id="rId2"/>
  </externalReferences>
  <definedNames>
    <definedName name="BitInDepth" localSheetId="0">#REF!</definedName>
    <definedName name="BitInDepth">#REF!</definedName>
    <definedName name="BitInHours" localSheetId="0">#REF!</definedName>
    <definedName name="BitInHours">#REF!</definedName>
    <definedName name="BitInRevs" localSheetId="0">#REF!</definedName>
    <definedName name="BitInRevs">#REF!</definedName>
    <definedName name="BitSize" localSheetId="0">#REF!</definedName>
    <definedName name="BitSize">#REF!</definedName>
    <definedName name="Klbs_to_lbs">[1]Info!$C$2</definedName>
    <definedName name="Metres_to_Feet">[1]Info!$B$2</definedName>
    <definedName name="NormalPressure" localSheetId="0">#REF!</definedName>
    <definedName name="NormalPressure">#REF!</definedName>
    <definedName name="_xlnm.Print_Area" localSheetId="0">BitReport_Min!$B$1:$K$56</definedName>
    <definedName name="Rig_Rate_Hr" localSheetId="0">BitReport_Min!$B$1</definedName>
    <definedName name="Trip_Rate_Hr" localSheetId="0">BitReport_Min!$B$2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C13" i="2" l="1"/>
  <c r="C15" i="2" s="1"/>
  <c r="C14" i="2" l="1"/>
</calcChain>
</file>

<file path=xl/sharedStrings.xml><?xml version="1.0" encoding="utf-8"?>
<sst xmlns="http://schemas.openxmlformats.org/spreadsheetml/2006/main" count="42" uniqueCount="38">
  <si>
    <r>
      <t>Dull Grading Report</t>
    </r>
    <r>
      <rPr>
        <sz val="20"/>
        <rFont val="Arial Narrow"/>
        <family val="2"/>
      </rPr>
      <t/>
    </r>
  </si>
  <si>
    <t>Size (in)</t>
  </si>
  <si>
    <t>Rig</t>
  </si>
  <si>
    <t>Well</t>
  </si>
  <si>
    <t>Manufacturer</t>
  </si>
  <si>
    <t>Type</t>
  </si>
  <si>
    <t>Serial #</t>
  </si>
  <si>
    <t>BOM #</t>
  </si>
  <si>
    <t>MD In</t>
  </si>
  <si>
    <t>Ft</t>
  </si>
  <si>
    <t>MD Out</t>
  </si>
  <si>
    <t>On Bottom</t>
  </si>
  <si>
    <t>Hours</t>
  </si>
  <si>
    <t>IADC</t>
  </si>
  <si>
    <t>On Bot ROP</t>
  </si>
  <si>
    <t>Ft/hr</t>
  </si>
  <si>
    <t>IADC ROP</t>
  </si>
  <si>
    <t>Inner</t>
  </si>
  <si>
    <t>Outer</t>
  </si>
  <si>
    <t>Char</t>
  </si>
  <si>
    <t>Bearings</t>
  </si>
  <si>
    <t>Gage</t>
  </si>
  <si>
    <t>Oth Chr</t>
  </si>
  <si>
    <t>Rsn Pull</t>
  </si>
  <si>
    <t>Date  :</t>
  </si>
  <si>
    <t>Location</t>
  </si>
  <si>
    <t>Footage</t>
  </si>
  <si>
    <t>H&amp;P 556</t>
  </si>
  <si>
    <t>Carnival Fed Com 302H</t>
  </si>
  <si>
    <t>WT</t>
  </si>
  <si>
    <t>X</t>
  </si>
  <si>
    <t>I</t>
  </si>
  <si>
    <t>NO</t>
  </si>
  <si>
    <t>BHA</t>
  </si>
  <si>
    <t>TXD613</t>
  </si>
  <si>
    <t>S13777</t>
  </si>
  <si>
    <t>TAUREX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</si>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</sst>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\ &quot;in&quot;"/>
    <numFmt numFmtId="166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2"/>
      <name val="Arial"/>
      <family val="2"/>
    </font>
    <font>
      <b/>
      <sz val="14"/>
      <name val="Arial"/>
      <family val="2"/>
    </font>
    <font>
      <sz val="20"/>
      <name val="Arial Narrow"/>
      <family val="2"/>
    </font>
    <font>
      <b/>
      <u/>
      <sz val="14"/>
      <name val="Arial"/>
      <family val="2"/>
    </font>
    <font>
      <b/>
      <sz val="10"/>
      <color indexed="8"/>
      <name val="Arial Narrow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sz val="14"/>
      <name val="Arial Narrow"/>
      <family val="2"/>
    </font>
    <font>
      <b/>
      <sz val="9"/>
      <color indexed="8"/>
      <name val="Arial Narrow"/>
      <family val="2"/>
    </font>
  </fonts>
  <fills count="6">
    <fill>
      <patternFill patternType="none"/>
    </fill>
    <fill>
      <patternFill patternType="gray125"/>
    </fill>
    <fill>
      <patternFill patternType="mediumGray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1" fillId="0" borderId="0" xfId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/>
      <protection locked="0"/>
    </xf>
    <xf numFmtId="0" fontId="3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vertical="center"/>
      <protection locked="0"/>
    </xf>
    <xf numFmtId="0" fontId="1" fillId="3" borderId="0" xfId="1" applyFill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2" fillId="3" borderId="0" xfId="1" applyFont="1" applyFill="1" applyAlignment="1" applyProtection="1">
      <alignment vertical="center"/>
      <protection locked="0"/>
    </xf>
    <xf numFmtId="0" fontId="1" fillId="3" borderId="11" xfId="1" applyFill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2" fillId="0" borderId="15" xfId="1" applyFont="1" applyBorder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" fillId="0" borderId="15" xfId="1" applyBorder="1" applyAlignment="1" applyProtection="1">
      <alignment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0" fillId="0" borderId="13" xfId="1" applyFont="1" applyBorder="1" applyAlignment="1" applyProtection="1">
      <alignment horizontal="center" vertical="center"/>
      <protection locked="0"/>
    </xf>
    <xf numFmtId="49" fontId="10" fillId="0" borderId="13" xfId="1" applyNumberFormat="1" applyFont="1" applyBorder="1" applyAlignment="1" applyProtection="1">
      <alignment horizontal="center" vertical="center"/>
      <protection locked="0"/>
    </xf>
    <xf numFmtId="0" fontId="10" fillId="0" borderId="14" xfId="1" applyFont="1" applyBorder="1" applyAlignment="1" applyProtection="1">
      <alignment horizontal="center" vertical="center"/>
      <protection locked="0"/>
    </xf>
    <xf numFmtId="164" fontId="10" fillId="0" borderId="10" xfId="1" applyNumberFormat="1" applyFont="1" applyBorder="1" applyAlignment="1" applyProtection="1">
      <alignment horizontal="center" vertical="center"/>
      <protection locked="0"/>
    </xf>
    <xf numFmtId="164" fontId="10" fillId="0" borderId="10" xfId="1" quotePrefix="1" applyNumberFormat="1" applyFont="1" applyBorder="1" applyAlignment="1" applyProtection="1">
      <alignment horizontal="center" vertical="center"/>
      <protection locked="0"/>
    </xf>
    <xf numFmtId="164" fontId="10" fillId="5" borderId="10" xfId="1" quotePrefix="1" applyNumberFormat="1" applyFont="1" applyFill="1" applyBorder="1" applyAlignment="1">
      <alignment horizontal="center" vertical="center"/>
    </xf>
    <xf numFmtId="164" fontId="10" fillId="5" borderId="14" xfId="1" applyNumberFormat="1" applyFont="1" applyFill="1" applyBorder="1" applyAlignment="1">
      <alignment horizontal="center" vertical="center"/>
    </xf>
    <xf numFmtId="3" fontId="9" fillId="0" borderId="3" xfId="1" applyNumberFormat="1" applyFont="1" applyBorder="1" applyAlignment="1" applyProtection="1">
      <alignment horizontal="center" vertical="center"/>
      <protection locked="0"/>
    </xf>
    <xf numFmtId="3" fontId="9" fillId="0" borderId="10" xfId="1" applyNumberFormat="1" applyFont="1" applyBorder="1" applyAlignment="1" applyProtection="1">
      <alignment horizontal="center" vertical="center"/>
      <protection locked="0"/>
    </xf>
    <xf numFmtId="3" fontId="9" fillId="5" borderId="10" xfId="1" applyNumberFormat="1" applyFont="1" applyFill="1" applyBorder="1" applyAlignment="1">
      <alignment horizontal="center" vertical="center"/>
    </xf>
    <xf numFmtId="166" fontId="12" fillId="0" borderId="7" xfId="1" applyNumberFormat="1" applyFont="1" applyBorder="1" applyAlignment="1" applyProtection="1">
      <alignment horizontal="center" vertical="center"/>
      <protection locked="0"/>
    </xf>
    <xf numFmtId="0" fontId="7" fillId="4" borderId="1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8" fillId="4" borderId="8" xfId="1" quotePrefix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8" fillId="4" borderId="9" xfId="1" quotePrefix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11" fillId="0" borderId="16" xfId="1" applyFont="1" applyBorder="1" applyAlignment="1">
      <alignment horizontal="right" vertical="center"/>
    </xf>
    <xf numFmtId="0" fontId="0" fillId="0" borderId="11" xfId="0" applyBorder="1"/>
    <xf numFmtId="0" fontId="0" fillId="0" borderId="15" xfId="0" applyBorder="1"/>
    <xf numFmtId="49" fontId="7" fillId="0" borderId="9" xfId="1" applyNumberFormat="1" applyFont="1" applyBorder="1" applyAlignment="1" applyProtection="1">
      <alignment horizontal="center" vertical="center"/>
      <protection locked="0"/>
    </xf>
    <xf numFmtId="49" fontId="7" fillId="0" borderId="10" xfId="1" applyNumberFormat="1" applyFont="1" applyBorder="1" applyAlignment="1" applyProtection="1">
      <alignment horizontal="center" vertical="center"/>
      <protection locked="0"/>
    </xf>
    <xf numFmtId="49" fontId="7" fillId="0" borderId="13" xfId="1" applyNumberFormat="1" applyFont="1" applyBorder="1" applyAlignment="1" applyProtection="1">
      <alignment horizontal="center" vertical="center"/>
      <protection locked="0"/>
    </xf>
    <xf numFmtId="49" fontId="7" fillId="0" borderId="14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165" fontId="7" fillId="0" borderId="2" xfId="1" applyNumberFormat="1" applyFont="1" applyBorder="1" applyAlignment="1" applyProtection="1">
      <alignment horizontal="center" vertical="center"/>
      <protection locked="0"/>
    </xf>
    <xf numFmtId="165" fontId="7" fillId="0" borderId="3" xfId="1" applyNumberFormat="1" applyFont="1" applyBorder="1" applyAlignment="1" applyProtection="1">
      <alignment horizontal="center" vertical="center"/>
      <protection locked="0"/>
    </xf>
    <xf numFmtId="49" fontId="7" fillId="0" borderId="5" xfId="1" applyNumberFormat="1" applyFont="1" applyBorder="1" applyAlignment="1" applyProtection="1">
      <alignment horizontal="center" vertical="center"/>
      <protection locked="0"/>
    </xf>
    <xf numFmtId="49" fontId="7" fillId="0" borderId="6" xfId="1" applyNumberFormat="1" applyFont="1" applyBorder="1" applyAlignment="1" applyProtection="1">
      <alignment horizontal="center" vertical="center"/>
      <protection locked="0"/>
    </xf>
    <xf numFmtId="49" fontId="13" fillId="0" borderId="17" xfId="1" applyNumberFormat="1" applyFont="1" applyBorder="1" applyAlignment="1" applyProtection="1">
      <alignment horizontal="center" vertical="center"/>
      <protection locked="0"/>
    </xf>
    <xf numFmtId="49" fontId="13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19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9b05baf-48c1-4fcc-9aad-d33bbfbbf2fe@namprd20.prod.outlook.com" TargetMode="External"/><Relationship Id="rId13" Type="http://schemas.openxmlformats.org/officeDocument/2006/relationships/image" Target="../media/image7.jpe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7b79f796-490a-4c47-8f37-c7875c5a1c3c@namprd20.prod.outlook.com" TargetMode="External"/><Relationship Id="rId2" Type="http://schemas.openxmlformats.org/officeDocument/2006/relationships/image" Target="cid:b6c0d736-8096-410f-ac81-3b3033bdee16@namprd20.prod.outlook.com" TargetMode="External"/><Relationship Id="rId16" Type="http://schemas.openxmlformats.org/officeDocument/2006/relationships/image" Target="cid:fe9e5c65-7086-4ddc-a5f2-7c8d98f3d0ac@namprd20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bdfaca00-758f-4065-8806-c94ded114374@namprd20.prod.outlook.com" TargetMode="External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5" Type="http://schemas.openxmlformats.org/officeDocument/2006/relationships/image" Target="../media/image8.jpeg"/><Relationship Id="rId10" Type="http://schemas.openxmlformats.org/officeDocument/2006/relationships/image" Target="cid:debfbe2b-0287-4fde-8e23-2b60fd60600d@namprd20.prod.outlook.com" TargetMode="External"/><Relationship Id="rId4" Type="http://schemas.openxmlformats.org/officeDocument/2006/relationships/image" Target="cid:33f202c5-6bbf-40d4-b38e-484d9d550557@namprd20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cid:be1550ec-a008-4885-8e67-5eeb3773361d@namprd20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28575</xdr:rowOff>
    </xdr:from>
    <xdr:to>
      <xdr:col>7</xdr:col>
      <xdr:colOff>733425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BADB22-BF78-DAF7-3128-977DC348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590550"/>
          <a:ext cx="3009900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28574</xdr:colOff>
      <xdr:row>15</xdr:row>
      <xdr:rowOff>19050</xdr:rowOff>
    </xdr:from>
    <xdr:to>
      <xdr:col>4</xdr:col>
      <xdr:colOff>685800</xdr:colOff>
      <xdr:row>32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080ED2-9857-B630-0BB6-9BE241CF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49" y="3181350"/>
          <a:ext cx="3190876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733425</xdr:colOff>
      <xdr:row>15</xdr:row>
      <xdr:rowOff>28574</xdr:rowOff>
    </xdr:from>
    <xdr:to>
      <xdr:col>8</xdr:col>
      <xdr:colOff>438150</xdr:colOff>
      <xdr:row>32</xdr:row>
      <xdr:rowOff>152399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58556F-E183-9EAE-FBD4-F4BF33AA7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3190874"/>
          <a:ext cx="274320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466725</xdr:colOff>
      <xdr:row>15</xdr:row>
      <xdr:rowOff>38099</xdr:rowOff>
    </xdr:from>
    <xdr:to>
      <xdr:col>10</xdr:col>
      <xdr:colOff>857250</xdr:colOff>
      <xdr:row>32</xdr:row>
      <xdr:rowOff>142874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49F50E-04E6-8D02-14C0-2337CE20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3200399"/>
          <a:ext cx="2743200" cy="334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38099</xdr:colOff>
      <xdr:row>32</xdr:row>
      <xdr:rowOff>190499</xdr:rowOff>
    </xdr:from>
    <xdr:to>
      <xdr:col>4</xdr:col>
      <xdr:colOff>676274</xdr:colOff>
      <xdr:row>53</xdr:row>
      <xdr:rowOff>200024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03D1BB-44F4-7096-2A57-88018969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6591299"/>
          <a:ext cx="31718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723899</xdr:colOff>
      <xdr:row>32</xdr:row>
      <xdr:rowOff>190499</xdr:rowOff>
    </xdr:from>
    <xdr:to>
      <xdr:col>8</xdr:col>
      <xdr:colOff>438149</xdr:colOff>
      <xdr:row>53</xdr:row>
      <xdr:rowOff>200024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3085F-1A59-C3CD-A724-0171DD52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4" y="6591299"/>
          <a:ext cx="27527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485775</xdr:colOff>
      <xdr:row>33</xdr:row>
      <xdr:rowOff>9525</xdr:rowOff>
    </xdr:from>
    <xdr:to>
      <xdr:col>10</xdr:col>
      <xdr:colOff>857250</xdr:colOff>
      <xdr:row>53</xdr:row>
      <xdr:rowOff>180975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FB9EDDB-588A-FA51-EF43-CFB62D7E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6600825"/>
          <a:ext cx="2724150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19050</xdr:colOff>
      <xdr:row>3</xdr:row>
      <xdr:rowOff>28575</xdr:rowOff>
    </xdr:from>
    <xdr:to>
      <xdr:col>10</xdr:col>
      <xdr:colOff>847725</xdr:colOff>
      <xdr:row>15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481492-717E-7DAC-8872-02F21097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r:link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90550"/>
          <a:ext cx="3181350" cy="258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5246_6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24NB14"/>
      <sheetName val="BR25NB15"/>
      <sheetName val="BR26NB16"/>
      <sheetName val="BR27NB17"/>
      <sheetName val="BR28NB18"/>
      <sheetName val="BR29R18"/>
      <sheetName val="BR30NB22"/>
      <sheetName val="BR31NB23"/>
      <sheetName val="BR32B22R1"/>
      <sheetName val="BR33NB24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3.2808099999999998</v>
          </cell>
          <cell r="C2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R56"/>
  <sheetViews>
    <sheetView showGridLines="0" tabSelected="1" showOutlineSymbols="0" topLeftCell="A9" zoomScaleNormal="100" zoomScaleSheetLayoutView="112" workbookViewId="0">
      <selection activeCell="E56" sqref="E56"/>
    </sheetView>
  </sheetViews>
  <sheetFormatPr defaultRowHeight="15" x14ac:dyDescent="0.25"/>
  <cols>
    <col min="1" max="1" width="2.7109375" style="1" customWidth="1"/>
    <col min="2" max="2" width="11.140625" style="13" customWidth="1"/>
    <col min="3" max="3" width="12.5703125" style="6" customWidth="1"/>
    <col min="4" max="4" width="14.28515625" style="1" customWidth="1"/>
    <col min="5" max="5" width="13.85546875" style="1" customWidth="1"/>
    <col min="6" max="6" width="11.85546875" style="1" customWidth="1"/>
    <col min="7" max="7" width="8.7109375" style="13" customWidth="1"/>
    <col min="8" max="8" width="11.140625" style="1" customWidth="1"/>
    <col min="9" max="9" width="10.7109375" style="1" customWidth="1"/>
    <col min="10" max="10" width="24.5703125" style="1" customWidth="1"/>
    <col min="11" max="11" width="13.28515625" style="1" customWidth="1"/>
    <col min="12" max="16384" width="9.140625" style="1"/>
  </cols>
  <sheetData>
    <row r="1" spans="2:16" ht="22.5" hidden="1" customHeight="1" x14ac:dyDescent="0.25">
      <c r="B1" s="2"/>
      <c r="C1" s="3"/>
      <c r="D1" s="4"/>
      <c r="E1" s="4"/>
      <c r="F1" s="4"/>
      <c r="G1" s="2"/>
      <c r="H1" s="4"/>
      <c r="I1" s="4"/>
      <c r="J1" s="4"/>
      <c r="K1" s="5"/>
    </row>
    <row r="2" spans="2:16" ht="26.25" customHeight="1" thickBot="1" x14ac:dyDescent="0.3">
      <c r="B2" s="40" t="s">
        <v>0</v>
      </c>
      <c r="C2" s="39"/>
      <c r="E2" s="7"/>
      <c r="F2" s="8"/>
      <c r="G2" s="8"/>
      <c r="H2" s="51" t="str">
        <f>CONCATENATE(C3," ",C4," ",C5)</f>
        <v>8.75 TAUREX TXD613</v>
      </c>
      <c r="I2" s="51"/>
      <c r="J2" s="51"/>
      <c r="K2" s="51"/>
    </row>
    <row r="3" spans="2:16" ht="18" customHeight="1" thickBot="1" x14ac:dyDescent="0.3">
      <c r="B3" s="28" t="s">
        <v>1</v>
      </c>
      <c r="C3" s="52">
        <v>8.75</v>
      </c>
      <c r="D3" s="53"/>
      <c r="E3" s="38" t="s">
        <v>2</v>
      </c>
      <c r="F3" s="54" t="s">
        <v>27</v>
      </c>
      <c r="G3" s="55"/>
      <c r="H3" s="38" t="s">
        <v>3</v>
      </c>
      <c r="I3" s="56" t="s">
        <v>28</v>
      </c>
      <c r="J3" s="57"/>
      <c r="K3" s="58"/>
    </row>
    <row r="4" spans="2:16" ht="18" customHeight="1" x14ac:dyDescent="0.25">
      <c r="B4" s="29" t="s">
        <v>4</v>
      </c>
      <c r="C4" s="47" t="s">
        <v>36</v>
      </c>
      <c r="D4" s="48"/>
      <c r="E4" s="5"/>
      <c r="F4" s="5"/>
      <c r="G4" s="9"/>
      <c r="H4" s="5"/>
      <c r="I4" s="5"/>
      <c r="J4" s="5"/>
      <c r="K4" s="10"/>
    </row>
    <row r="5" spans="2:16" ht="18" customHeight="1" x14ac:dyDescent="0.25">
      <c r="B5" s="29" t="s">
        <v>5</v>
      </c>
      <c r="C5" s="47" t="s">
        <v>34</v>
      </c>
      <c r="D5" s="48"/>
      <c r="E5" s="5"/>
      <c r="F5" s="5"/>
      <c r="G5" s="9"/>
      <c r="H5" s="5"/>
      <c r="I5" s="5"/>
      <c r="J5" s="5"/>
      <c r="K5" s="10"/>
    </row>
    <row r="6" spans="2:16" ht="18" customHeight="1" x14ac:dyDescent="0.25">
      <c r="B6" s="30" t="s">
        <v>6</v>
      </c>
      <c r="C6" s="47" t="s">
        <v>35</v>
      </c>
      <c r="D6" s="48"/>
      <c r="E6" s="5"/>
      <c r="F6" s="5"/>
      <c r="G6" s="9"/>
      <c r="H6" s="5"/>
      <c r="I6" s="5"/>
      <c r="J6" s="5"/>
      <c r="K6" s="10"/>
    </row>
    <row r="7" spans="2:16" ht="18" customHeight="1" thickBot="1" x14ac:dyDescent="0.3">
      <c r="B7" s="31" t="s">
        <v>7</v>
      </c>
      <c r="C7" s="49"/>
      <c r="D7" s="50"/>
      <c r="E7" s="5"/>
      <c r="F7" s="5"/>
      <c r="G7" s="9"/>
      <c r="H7" s="5"/>
      <c r="I7" s="5"/>
      <c r="J7" s="5"/>
      <c r="K7" s="10"/>
    </row>
    <row r="8" spans="2:16" ht="6.75" customHeight="1" thickBot="1" x14ac:dyDescent="0.3">
      <c r="B8" s="32"/>
      <c r="D8" s="11"/>
      <c r="E8" s="5"/>
      <c r="F8" s="5"/>
      <c r="G8" s="9"/>
      <c r="H8" s="5"/>
      <c r="I8" s="5"/>
      <c r="J8" s="5"/>
      <c r="K8" s="10"/>
    </row>
    <row r="9" spans="2:16" ht="18" customHeight="1" x14ac:dyDescent="0.25">
      <c r="B9" s="28" t="s">
        <v>8</v>
      </c>
      <c r="C9" s="24">
        <v>10490</v>
      </c>
      <c r="D9" s="37" t="s">
        <v>9</v>
      </c>
      <c r="E9" s="5"/>
      <c r="F9" s="5"/>
      <c r="G9" s="9"/>
      <c r="H9" s="5"/>
      <c r="I9"/>
      <c r="J9" s="5"/>
      <c r="K9" s="10"/>
    </row>
    <row r="10" spans="2:16" ht="18" customHeight="1" x14ac:dyDescent="0.25">
      <c r="B10" s="29" t="s">
        <v>10</v>
      </c>
      <c r="C10" s="25">
        <v>16431</v>
      </c>
      <c r="D10" s="34" t="s">
        <v>9</v>
      </c>
      <c r="E10" s="5"/>
      <c r="F10" s="5"/>
      <c r="G10" s="9"/>
      <c r="H10" s="5"/>
      <c r="I10" s="5"/>
      <c r="J10"/>
      <c r="K10" s="10"/>
      <c r="P10"/>
    </row>
    <row r="11" spans="2:16" ht="18" customHeight="1" x14ac:dyDescent="0.25">
      <c r="B11" s="33" t="s">
        <v>11</v>
      </c>
      <c r="C11" s="20">
        <v>55.9</v>
      </c>
      <c r="D11" s="35" t="s">
        <v>12</v>
      </c>
      <c r="E11" s="5"/>
      <c r="F11" s="5"/>
      <c r="G11"/>
      <c r="H11" s="5"/>
      <c r="I11" s="5"/>
      <c r="J11" s="5"/>
      <c r="K11" s="10"/>
    </row>
    <row r="12" spans="2:16" ht="18" customHeight="1" x14ac:dyDescent="0.25">
      <c r="B12" s="30" t="s">
        <v>13</v>
      </c>
      <c r="C12" s="21">
        <v>64.5</v>
      </c>
      <c r="D12" s="35" t="s">
        <v>12</v>
      </c>
      <c r="E12" s="5"/>
      <c r="F12" s="5"/>
      <c r="G12" s="9"/>
      <c r="H12" s="5"/>
      <c r="I12" s="5"/>
      <c r="J12" s="5"/>
      <c r="K12" s="45"/>
    </row>
    <row r="13" spans="2:16" ht="18" customHeight="1" x14ac:dyDescent="0.25">
      <c r="B13" s="29" t="s">
        <v>26</v>
      </c>
      <c r="C13" s="26">
        <f>C10-C9</f>
        <v>5941</v>
      </c>
      <c r="D13" s="34" t="s">
        <v>9</v>
      </c>
      <c r="E13" s="5"/>
      <c r="F13" s="5"/>
      <c r="G13" s="9"/>
      <c r="H13" s="5"/>
      <c r="I13" s="5"/>
      <c r="J13" s="5"/>
      <c r="K13" s="10"/>
    </row>
    <row r="14" spans="2:16" ht="18" customHeight="1" x14ac:dyDescent="0.25">
      <c r="B14" s="30" t="s">
        <v>14</v>
      </c>
      <c r="C14" s="22">
        <f>C13/C11</f>
        <v>106.27906976744187</v>
      </c>
      <c r="D14" s="35" t="s">
        <v>15</v>
      </c>
      <c r="E14" s="5"/>
      <c r="F14" s="5"/>
      <c r="G14" s="9"/>
      <c r="H14"/>
      <c r="I14" s="5"/>
      <c r="J14" s="5"/>
      <c r="K14" s="10"/>
    </row>
    <row r="15" spans="2:16" ht="18" customHeight="1" thickBot="1" x14ac:dyDescent="0.3">
      <c r="B15" s="31" t="s">
        <v>16</v>
      </c>
      <c r="C15" s="23">
        <f>C13/C12</f>
        <v>92.108527131782949</v>
      </c>
      <c r="D15" s="36" t="s">
        <v>12</v>
      </c>
      <c r="E15" s="5"/>
      <c r="F15" s="5"/>
      <c r="G15" s="9"/>
      <c r="H15"/>
      <c r="I15" s="5"/>
      <c r="J15"/>
      <c r="K15" s="10"/>
    </row>
    <row r="16" spans="2:16" x14ac:dyDescent="0.25">
      <c r="B16" s="12"/>
      <c r="K16" s="11"/>
    </row>
    <row r="17" spans="2:14" x14ac:dyDescent="0.25">
      <c r="B17" s="12"/>
      <c r="K17" s="45"/>
    </row>
    <row r="18" spans="2:14" x14ac:dyDescent="0.25">
      <c r="B18" s="12"/>
      <c r="K18" s="11"/>
    </row>
    <row r="19" spans="2:14" x14ac:dyDescent="0.25">
      <c r="B19" s="12"/>
      <c r="K19" s="11"/>
    </row>
    <row r="20" spans="2:14" x14ac:dyDescent="0.25">
      <c r="B20" s="12"/>
      <c r="K20" s="45"/>
      <c r="M20"/>
    </row>
    <row r="21" spans="2:14" x14ac:dyDescent="0.25">
      <c r="B21" s="12"/>
      <c r="J21"/>
      <c r="K21" s="45"/>
      <c r="L21"/>
    </row>
    <row r="22" spans="2:14" x14ac:dyDescent="0.25">
      <c r="B22" s="12"/>
      <c r="K22" s="45"/>
    </row>
    <row r="23" spans="2:14" x14ac:dyDescent="0.25">
      <c r="B23" s="12"/>
      <c r="I23"/>
      <c r="J23"/>
      <c r="K23" s="11"/>
      <c r="N23"/>
    </row>
    <row r="24" spans="2:14" x14ac:dyDescent="0.25">
      <c r="B24" s="12"/>
      <c r="C24"/>
      <c r="H24"/>
      <c r="K24" s="11"/>
    </row>
    <row r="25" spans="2:14" x14ac:dyDescent="0.25">
      <c r="B25" s="12"/>
      <c r="C25"/>
      <c r="H25"/>
      <c r="J25"/>
      <c r="K25" s="45"/>
    </row>
    <row r="26" spans="2:14" x14ac:dyDescent="0.25">
      <c r="B26" s="12"/>
      <c r="G26"/>
      <c r="H26"/>
      <c r="I26"/>
      <c r="J26"/>
      <c r="K26" s="45"/>
      <c r="L26"/>
      <c r="M26"/>
    </row>
    <row r="27" spans="2:14" x14ac:dyDescent="0.25">
      <c r="B27" s="12"/>
      <c r="D27"/>
      <c r="K27" s="45"/>
    </row>
    <row r="28" spans="2:14" x14ac:dyDescent="0.25">
      <c r="B28" s="12"/>
      <c r="G28"/>
      <c r="K28" s="45"/>
      <c r="L28"/>
      <c r="N28"/>
    </row>
    <row r="29" spans="2:14" x14ac:dyDescent="0.25">
      <c r="B29" s="12"/>
      <c r="I29"/>
      <c r="J29"/>
      <c r="K29" s="45"/>
      <c r="L29"/>
    </row>
    <row r="30" spans="2:14" x14ac:dyDescent="0.25">
      <c r="B30" s="12"/>
      <c r="J30"/>
      <c r="K30" s="45"/>
      <c r="L30"/>
    </row>
    <row r="31" spans="2:14" x14ac:dyDescent="0.25">
      <c r="B31" s="12"/>
      <c r="J31"/>
      <c r="K31" s="11"/>
    </row>
    <row r="32" spans="2:14" x14ac:dyDescent="0.25">
      <c r="B32" s="12"/>
      <c r="H32"/>
      <c r="K32" s="11"/>
    </row>
    <row r="33" spans="2:18" x14ac:dyDescent="0.25">
      <c r="B33" s="12"/>
      <c r="K33" s="45"/>
    </row>
    <row r="34" spans="2:18" x14ac:dyDescent="0.25">
      <c r="B34" s="12"/>
      <c r="K34" s="11"/>
    </row>
    <row r="35" spans="2:18" x14ac:dyDescent="0.25">
      <c r="B35" s="12"/>
      <c r="D35"/>
      <c r="J35"/>
      <c r="K35" s="11"/>
    </row>
    <row r="36" spans="2:18" x14ac:dyDescent="0.25">
      <c r="B36" s="12"/>
      <c r="K36" s="11"/>
    </row>
    <row r="37" spans="2:18" x14ac:dyDescent="0.25">
      <c r="B37" s="12"/>
      <c r="K37" s="11"/>
      <c r="P37"/>
    </row>
    <row r="38" spans="2:18" x14ac:dyDescent="0.25">
      <c r="B38" s="12"/>
      <c r="K38" s="11"/>
    </row>
    <row r="39" spans="2:18" x14ac:dyDescent="0.25">
      <c r="B39" s="12"/>
      <c r="K39" s="11"/>
    </row>
    <row r="40" spans="2:18" x14ac:dyDescent="0.25">
      <c r="B40" s="12"/>
      <c r="K40" s="11"/>
      <c r="M40"/>
      <c r="R40"/>
    </row>
    <row r="41" spans="2:18" x14ac:dyDescent="0.25">
      <c r="B41" s="46"/>
      <c r="J41"/>
      <c r="K41" s="11"/>
    </row>
    <row r="42" spans="2:18" x14ac:dyDescent="0.25">
      <c r="B42" s="12"/>
      <c r="D42"/>
      <c r="I42"/>
      <c r="K42" s="11"/>
    </row>
    <row r="43" spans="2:18" x14ac:dyDescent="0.25">
      <c r="B43" s="12"/>
      <c r="D43"/>
      <c r="K43" s="45"/>
    </row>
    <row r="44" spans="2:18" x14ac:dyDescent="0.25">
      <c r="B44" s="12"/>
      <c r="C44"/>
      <c r="E44"/>
      <c r="G44"/>
      <c r="J44"/>
      <c r="K44" s="11"/>
      <c r="L44"/>
    </row>
    <row r="45" spans="2:18" x14ac:dyDescent="0.25">
      <c r="B45" s="12"/>
      <c r="H45"/>
      <c r="I45"/>
      <c r="J45"/>
      <c r="K45" s="45"/>
    </row>
    <row r="46" spans="2:18" x14ac:dyDescent="0.25">
      <c r="B46" s="12"/>
      <c r="K46" s="45"/>
    </row>
    <row r="47" spans="2:18" x14ac:dyDescent="0.25">
      <c r="B47" s="12"/>
      <c r="H47"/>
      <c r="I47"/>
      <c r="J47"/>
      <c r="K47" s="45"/>
    </row>
    <row r="48" spans="2:18" x14ac:dyDescent="0.25">
      <c r="B48" s="12"/>
      <c r="J48"/>
      <c r="K48" s="11"/>
      <c r="O48"/>
    </row>
    <row r="49" spans="2:16" x14ac:dyDescent="0.25">
      <c r="B49" s="12"/>
      <c r="H49"/>
      <c r="K49" s="11"/>
      <c r="P49"/>
    </row>
    <row r="50" spans="2:16" x14ac:dyDescent="0.25">
      <c r="B50" s="12"/>
      <c r="K50" s="11"/>
    </row>
    <row r="51" spans="2:16" x14ac:dyDescent="0.25">
      <c r="B51" s="12"/>
      <c r="J51"/>
      <c r="K51" s="11"/>
    </row>
    <row r="52" spans="2:16" x14ac:dyDescent="0.25">
      <c r="B52" s="12"/>
      <c r="K52" s="11"/>
    </row>
    <row r="53" spans="2:16" x14ac:dyDescent="0.25">
      <c r="B53" s="12"/>
      <c r="K53" s="11"/>
    </row>
    <row r="54" spans="2:16" ht="18" customHeight="1" thickBot="1" x14ac:dyDescent="0.3">
      <c r="B54" s="14"/>
      <c r="C54" s="1"/>
      <c r="E54" s="5"/>
      <c r="F54" s="5"/>
      <c r="G54" s="9"/>
      <c r="H54" s="5"/>
      <c r="I54" s="5"/>
      <c r="J54" s="5"/>
      <c r="K54" s="10"/>
    </row>
    <row r="55" spans="2:16" s="15" customFormat="1" ht="18" customHeight="1" thickBot="1" x14ac:dyDescent="0.3">
      <c r="B55" s="41" t="s">
        <v>17</v>
      </c>
      <c r="C55" s="42" t="s">
        <v>18</v>
      </c>
      <c r="D55" s="42" t="s">
        <v>19</v>
      </c>
      <c r="E55" s="42" t="s">
        <v>25</v>
      </c>
      <c r="F55" s="42" t="s">
        <v>20</v>
      </c>
      <c r="G55" s="42" t="s">
        <v>21</v>
      </c>
      <c r="H55" s="42" t="s">
        <v>22</v>
      </c>
      <c r="I55" s="43" t="s">
        <v>23</v>
      </c>
      <c r="J55" s="5"/>
      <c r="K55" s="10"/>
    </row>
    <row r="56" spans="2:16" ht="20.25" customHeight="1" thickBot="1" x14ac:dyDescent="0.3">
      <c r="B56" s="16">
        <v>1</v>
      </c>
      <c r="C56" s="17">
        <v>1</v>
      </c>
      <c r="D56" s="17" t="s">
        <v>29</v>
      </c>
      <c r="E56" s="17" t="s">
        <v>37</v>
      </c>
      <c r="F56" s="17" t="s">
        <v>30</v>
      </c>
      <c r="G56" s="18" t="s">
        <v>31</v>
      </c>
      <c r="H56" s="17" t="s">
        <v>32</v>
      </c>
      <c r="I56" s="19" t="s">
        <v>33</v>
      </c>
      <c r="J56" s="44" t="s">
        <v>24</v>
      </c>
      <c r="K56" s="27">
        <v>44985</v>
      </c>
    </row>
  </sheetData>
  <protectedRanges>
    <protectedRange algorithmName="SHA-512" hashValue="bDB4L5hE0G8Knix9QvbsUZNBV5hsPd0sesmMWnclbLPPiBa2E4QfjC3DqIF7GPUJC/1rGLQFSH+5fKcNu1e6og==" saltValue="v5KLte6NwR6eTE9iYRIm4g==" spinCount="100000" sqref="C13:C15 H2" name="Formulas"/>
  </protectedRanges>
  <mergeCells count="8">
    <mergeCell ref="C6:D6"/>
    <mergeCell ref="C7:D7"/>
    <mergeCell ref="H2:K2"/>
    <mergeCell ref="C3:D3"/>
    <mergeCell ref="F3:G3"/>
    <mergeCell ref="I3:K3"/>
    <mergeCell ref="C4:D4"/>
    <mergeCell ref="C5:D5"/>
  </mergeCells>
  <printOptions horizontalCentered="1" verticalCentered="1" gridLinesSet="0"/>
  <pageMargins left="0.25" right="0.25" top="0.25" bottom="0.25" header="0" footer="0"/>
  <pageSetup scale="83" orientation="portrait" horizontalDpi="300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BitReport_Min</vt:lpstr>
      <vt:lpstr>BitReport_Min!Print_Area</vt:lpstr>
      <vt:lpstr>BitReport_Min!Rig_Rate_Hr</vt:lpstr>
      <vt:lpstr>BitReport_Min!Trip_Rate_Hr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Inness Eisele</dc:creator>
  <cp:lastModifiedBy>HP556</cp:lastModifiedBy>
  <cp:lastPrinted>2017-08-15T15:53:05Z</cp:lastPrinted>
  <dcterms:created xsi:type="dcterms:W3CDTF">2017-08-15T14:59:15Z</dcterms:created>
  <dcterms:modified xsi:type="dcterms:W3CDTF">2023-03-10T00:27:16Z</dcterms:modified>
</cp:coreProperties>
</file>