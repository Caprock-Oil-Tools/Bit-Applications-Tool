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6" r:id="rId2"/>
    <sheet name="CutType" sheetId="2" r:id="rId3"/>
    <sheet name="Helix Depth" sheetId="3" r:id="rId4"/>
    <sheet name="elipse #s" sheetId="4" r:id="rId5"/>
    <sheet name="Sheet1" sheetId="5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[1]Cutters!$C$5:$C$21</definedName>
    <definedName name="ds">[2]Cutters!$C$5:$C$21</definedName>
    <definedName name="_xlnm.Print_Area" localSheetId="0">List!$B$2:$O$133</definedName>
    <definedName name="_xlnm.Print_Area" localSheetId="1">Tilt!$A$1:$D$35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M50" i="1"/>
  <c r="N50" s="1"/>
  <c r="K50" s="1"/>
  <c r="D50"/>
  <c r="D51" s="1"/>
  <c r="A49"/>
  <c r="N48"/>
  <c r="K48" s="1"/>
  <c r="M48"/>
  <c r="D48"/>
  <c r="D49" s="1"/>
  <c r="A48"/>
  <c r="M112"/>
  <c r="N112" s="1"/>
  <c r="K112" s="1"/>
  <c r="D112"/>
  <c r="D113" s="1"/>
  <c r="A113"/>
  <c r="A112"/>
  <c r="M130"/>
  <c r="N130" s="1"/>
  <c r="K130" s="1"/>
  <c r="D130"/>
  <c r="D131" s="1"/>
  <c r="A131"/>
  <c r="A130"/>
  <c r="M70"/>
  <c r="N70" s="1"/>
  <c r="K70" s="1"/>
  <c r="D70"/>
  <c r="D71" s="1"/>
  <c r="A71"/>
  <c r="A70"/>
  <c r="M88"/>
  <c r="N88" s="1"/>
  <c r="K88" s="1"/>
  <c r="D88"/>
  <c r="D89" s="1"/>
  <c r="A91"/>
  <c r="M90"/>
  <c r="N90" s="1"/>
  <c r="K90" s="1"/>
  <c r="D90"/>
  <c r="D91" s="1"/>
  <c r="A90"/>
  <c r="M30"/>
  <c r="N30" s="1"/>
  <c r="K30" s="1"/>
  <c r="D30"/>
  <c r="D31" s="1"/>
  <c r="A33"/>
  <c r="N32"/>
  <c r="K32" s="1"/>
  <c r="M32"/>
  <c r="D32"/>
  <c r="D33" s="1"/>
  <c r="A32"/>
  <c r="E51" l="1"/>
  <c r="E49"/>
  <c r="E113"/>
  <c r="E131"/>
  <c r="E71"/>
  <c r="E89"/>
  <c r="E91"/>
  <c r="E31"/>
  <c r="E33"/>
  <c r="M46" l="1"/>
  <c r="N46" s="1"/>
  <c r="K46" s="1"/>
  <c r="D46"/>
  <c r="D47" s="1"/>
  <c r="M44"/>
  <c r="N44" s="1"/>
  <c r="K44" s="1"/>
  <c r="D44"/>
  <c r="E45" s="1"/>
  <c r="M42"/>
  <c r="N42" s="1"/>
  <c r="K42" s="1"/>
  <c r="D42"/>
  <c r="D43" s="1"/>
  <c r="M40"/>
  <c r="N40" s="1"/>
  <c r="K40" s="1"/>
  <c r="D40"/>
  <c r="D41" s="1"/>
  <c r="D39"/>
  <c r="N38"/>
  <c r="K38" s="1"/>
  <c r="M38"/>
  <c r="D38"/>
  <c r="E39" s="1"/>
  <c r="M36"/>
  <c r="N36" s="1"/>
  <c r="K36" s="1"/>
  <c r="D36"/>
  <c r="E37" s="1"/>
  <c r="M34"/>
  <c r="N34" s="1"/>
  <c r="K34" s="1"/>
  <c r="D34"/>
  <c r="D35" s="1"/>
  <c r="A51"/>
  <c r="A50"/>
  <c r="A47"/>
  <c r="A46"/>
  <c r="M132"/>
  <c r="N132" s="1"/>
  <c r="K132" s="1"/>
  <c r="D132"/>
  <c r="D133" s="1"/>
  <c r="N128"/>
  <c r="K128" s="1"/>
  <c r="M128"/>
  <c r="D128"/>
  <c r="D129" s="1"/>
  <c r="M126"/>
  <c r="N126" s="1"/>
  <c r="K126" s="1"/>
  <c r="D126"/>
  <c r="E127" s="1"/>
  <c r="M124"/>
  <c r="N124" s="1"/>
  <c r="K124" s="1"/>
  <c r="D124"/>
  <c r="E125" s="1"/>
  <c r="E123"/>
  <c r="M122"/>
  <c r="N122" s="1"/>
  <c r="K122" s="1"/>
  <c r="D122"/>
  <c r="D123" s="1"/>
  <c r="M120"/>
  <c r="N120" s="1"/>
  <c r="K120" s="1"/>
  <c r="D120"/>
  <c r="D121" s="1"/>
  <c r="M118"/>
  <c r="N118" s="1"/>
  <c r="K118" s="1"/>
  <c r="D118"/>
  <c r="E119" s="1"/>
  <c r="M116"/>
  <c r="N116" s="1"/>
  <c r="K116" s="1"/>
  <c r="D116"/>
  <c r="E117" s="1"/>
  <c r="A123"/>
  <c r="A122"/>
  <c r="A121"/>
  <c r="A120"/>
  <c r="M86"/>
  <c r="N86" s="1"/>
  <c r="K86" s="1"/>
  <c r="D86"/>
  <c r="D87" s="1"/>
  <c r="M84"/>
  <c r="N84" s="1"/>
  <c r="K84" s="1"/>
  <c r="D84"/>
  <c r="D85" s="1"/>
  <c r="M82"/>
  <c r="N82" s="1"/>
  <c r="K82" s="1"/>
  <c r="D82"/>
  <c r="E83" s="1"/>
  <c r="M80"/>
  <c r="N80" s="1"/>
  <c r="K80" s="1"/>
  <c r="D80"/>
  <c r="D81" s="1"/>
  <c r="M78"/>
  <c r="N78" s="1"/>
  <c r="K78" s="1"/>
  <c r="D78"/>
  <c r="D79" s="1"/>
  <c r="M76"/>
  <c r="N76" s="1"/>
  <c r="K76" s="1"/>
  <c r="D76"/>
  <c r="E77" s="1"/>
  <c r="M74"/>
  <c r="N74" s="1"/>
  <c r="K74" s="1"/>
  <c r="D74"/>
  <c r="E75" s="1"/>
  <c r="E133" l="1"/>
  <c r="D119"/>
  <c r="D45"/>
  <c r="E47"/>
  <c r="E85"/>
  <c r="D127"/>
  <c r="D37"/>
  <c r="E41"/>
  <c r="E35"/>
  <c r="E43"/>
  <c r="D77"/>
  <c r="D117"/>
  <c r="D125"/>
  <c r="E121"/>
  <c r="E129"/>
  <c r="D75"/>
  <c r="D83"/>
  <c r="E79"/>
  <c r="E87"/>
  <c r="E81"/>
  <c r="A133" l="1"/>
  <c r="A132"/>
  <c r="A89"/>
  <c r="A88"/>
  <c r="A45"/>
  <c r="A44"/>
  <c r="A115"/>
  <c r="M114"/>
  <c r="N114" s="1"/>
  <c r="K114" s="1"/>
  <c r="D114"/>
  <c r="D115" s="1"/>
  <c r="A114"/>
  <c r="A73"/>
  <c r="M72"/>
  <c r="N72" s="1"/>
  <c r="K72" s="1"/>
  <c r="D72"/>
  <c r="D73" s="1"/>
  <c r="A72"/>
  <c r="A29"/>
  <c r="M28"/>
  <c r="N28" s="1"/>
  <c r="K28" s="1"/>
  <c r="D28"/>
  <c r="D29" s="1"/>
  <c r="A28"/>
  <c r="A27"/>
  <c r="M26"/>
  <c r="N26" s="1"/>
  <c r="K26" s="1"/>
  <c r="D26"/>
  <c r="D27" s="1"/>
  <c r="A26"/>
  <c r="A111"/>
  <c r="M110"/>
  <c r="N110" s="1"/>
  <c r="K110" s="1"/>
  <c r="D110"/>
  <c r="D111" s="1"/>
  <c r="A110"/>
  <c r="A109"/>
  <c r="M108"/>
  <c r="N108" s="1"/>
  <c r="K108" s="1"/>
  <c r="D108"/>
  <c r="D109" s="1"/>
  <c r="A108"/>
  <c r="A69"/>
  <c r="M68"/>
  <c r="N68" s="1"/>
  <c r="K68" s="1"/>
  <c r="D68"/>
  <c r="E69" s="1"/>
  <c r="A68"/>
  <c r="A67"/>
  <c r="M66"/>
  <c r="N66" s="1"/>
  <c r="K66" s="1"/>
  <c r="D66"/>
  <c r="D67" s="1"/>
  <c r="A66"/>
  <c r="A87"/>
  <c r="A86"/>
  <c r="A85"/>
  <c r="A84"/>
  <c r="A31"/>
  <c r="A30"/>
  <c r="A83"/>
  <c r="A82"/>
  <c r="A43"/>
  <c r="A42"/>
  <c r="A107"/>
  <c r="M106"/>
  <c r="N106" s="1"/>
  <c r="K106" s="1"/>
  <c r="D106"/>
  <c r="E107" s="1"/>
  <c r="A106"/>
  <c r="A81"/>
  <c r="A80"/>
  <c r="A79"/>
  <c r="A78"/>
  <c r="A25"/>
  <c r="M24"/>
  <c r="N24" s="1"/>
  <c r="K24" s="1"/>
  <c r="D24"/>
  <c r="E25" s="1"/>
  <c r="A24"/>
  <c r="K8"/>
  <c r="K7"/>
  <c r="K6"/>
  <c r="K5"/>
  <c r="E115" l="1"/>
  <c r="E73"/>
  <c r="E27"/>
  <c r="E29"/>
  <c r="E109"/>
  <c r="E111"/>
  <c r="D69"/>
  <c r="E67"/>
  <c r="D107"/>
  <c r="D25"/>
  <c r="J3" i="5" l="1"/>
  <c r="E4"/>
  <c r="E5" l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D3"/>
  <c r="D14" i="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D12"/>
  <c r="B12"/>
  <c r="D11"/>
  <c r="B11"/>
  <c r="D10"/>
  <c r="B10"/>
  <c r="D9"/>
  <c r="E84" i="3" l="1"/>
  <c r="S78" l="1"/>
  <c r="S79"/>
  <c r="V79" s="1"/>
  <c r="S80"/>
  <c r="S81"/>
  <c r="V81" s="1"/>
  <c r="S82"/>
  <c r="S83"/>
  <c r="V83" s="1"/>
  <c r="S7"/>
  <c r="V7" s="1"/>
  <c r="S8"/>
  <c r="S9"/>
  <c r="V9" s="1"/>
  <c r="S10"/>
  <c r="W10" s="1"/>
  <c r="S11"/>
  <c r="V11" s="1"/>
  <c r="S12"/>
  <c r="W12" s="1"/>
  <c r="S13"/>
  <c r="V13" s="1"/>
  <c r="S14"/>
  <c r="S15"/>
  <c r="V15" s="1"/>
  <c r="S16"/>
  <c r="S17"/>
  <c r="V17" s="1"/>
  <c r="S18"/>
  <c r="S19"/>
  <c r="V19" s="1"/>
  <c r="S20"/>
  <c r="S21"/>
  <c r="V21" s="1"/>
  <c r="W21"/>
  <c r="S22"/>
  <c r="S23"/>
  <c r="V23" s="1"/>
  <c r="S24"/>
  <c r="S25"/>
  <c r="V25" s="1"/>
  <c r="S26"/>
  <c r="S27"/>
  <c r="V27" s="1"/>
  <c r="S28"/>
  <c r="S29"/>
  <c r="V29" s="1"/>
  <c r="S30"/>
  <c r="S31"/>
  <c r="V31" s="1"/>
  <c r="S32"/>
  <c r="S33"/>
  <c r="V33" s="1"/>
  <c r="S34"/>
  <c r="S35"/>
  <c r="V35" s="1"/>
  <c r="S36"/>
  <c r="S37"/>
  <c r="V37" s="1"/>
  <c r="S38"/>
  <c r="S39"/>
  <c r="V39" s="1"/>
  <c r="S40"/>
  <c r="S41"/>
  <c r="V41" s="1"/>
  <c r="S42"/>
  <c r="S43"/>
  <c r="V43" s="1"/>
  <c r="S44"/>
  <c r="S45"/>
  <c r="V45" s="1"/>
  <c r="S46"/>
  <c r="S47"/>
  <c r="V47" s="1"/>
  <c r="S48"/>
  <c r="S49"/>
  <c r="V49" s="1"/>
  <c r="W49"/>
  <c r="S50"/>
  <c r="S51"/>
  <c r="V51" s="1"/>
  <c r="S52"/>
  <c r="S53"/>
  <c r="V53" s="1"/>
  <c r="S54"/>
  <c r="S55"/>
  <c r="V55" s="1"/>
  <c r="S56"/>
  <c r="S57"/>
  <c r="V57" s="1"/>
  <c r="S58"/>
  <c r="S59"/>
  <c r="V59" s="1"/>
  <c r="S60"/>
  <c r="S61"/>
  <c r="V61" s="1"/>
  <c r="S62"/>
  <c r="S63"/>
  <c r="V63" s="1"/>
  <c r="W63"/>
  <c r="S64"/>
  <c r="S65"/>
  <c r="V65" s="1"/>
  <c r="S66"/>
  <c r="S67"/>
  <c r="V67" s="1"/>
  <c r="S68"/>
  <c r="S69"/>
  <c r="V69" s="1"/>
  <c r="S70"/>
  <c r="S71"/>
  <c r="V71" s="1"/>
  <c r="S72"/>
  <c r="S73"/>
  <c r="V73" s="1"/>
  <c r="S74"/>
  <c r="S75"/>
  <c r="V75" s="1"/>
  <c r="S76"/>
  <c r="S77"/>
  <c r="V77" s="1"/>
  <c r="S84"/>
  <c r="A12" i="1"/>
  <c r="A13"/>
  <c r="A14"/>
  <c r="A15"/>
  <c r="A16"/>
  <c r="A17"/>
  <c r="A18"/>
  <c r="A19"/>
  <c r="A20"/>
  <c r="A21"/>
  <c r="A22"/>
  <c r="A23"/>
  <c r="A34"/>
  <c r="A35"/>
  <c r="A36"/>
  <c r="A37"/>
  <c r="A38"/>
  <c r="A39"/>
  <c r="A40"/>
  <c r="A41"/>
  <c r="A52"/>
  <c r="A53"/>
  <c r="A54"/>
  <c r="A55"/>
  <c r="A56"/>
  <c r="A57"/>
  <c r="A58"/>
  <c r="A59"/>
  <c r="A60"/>
  <c r="A61"/>
  <c r="A62"/>
  <c r="A63"/>
  <c r="A64"/>
  <c r="A65"/>
  <c r="A74"/>
  <c r="A75"/>
  <c r="A76"/>
  <c r="A77"/>
  <c r="A92"/>
  <c r="A93"/>
  <c r="A94"/>
  <c r="A95"/>
  <c r="A96"/>
  <c r="A97"/>
  <c r="A98"/>
  <c r="A99"/>
  <c r="A100"/>
  <c r="A101"/>
  <c r="A102"/>
  <c r="A103"/>
  <c r="A104"/>
  <c r="A105"/>
  <c r="A116"/>
  <c r="A117"/>
  <c r="A118"/>
  <c r="A119"/>
  <c r="A124"/>
  <c r="A125"/>
  <c r="A126"/>
  <c r="A127"/>
  <c r="A128"/>
  <c r="A129"/>
  <c r="M56"/>
  <c r="N56" s="1"/>
  <c r="K56" s="1"/>
  <c r="D56"/>
  <c r="D57" s="1"/>
  <c r="Z19" i="3" l="1"/>
  <c r="Z79"/>
  <c r="W51"/>
  <c r="W33"/>
  <c r="Z83"/>
  <c r="Z55"/>
  <c r="Z39"/>
  <c r="Z59"/>
  <c r="Z43"/>
  <c r="W17"/>
  <c r="Z63"/>
  <c r="Z47"/>
  <c r="Z23"/>
  <c r="Z51"/>
  <c r="Z35"/>
  <c r="Z71"/>
  <c r="Z15"/>
  <c r="Z7"/>
  <c r="Z67"/>
  <c r="Z31"/>
  <c r="Z27"/>
  <c r="Z11"/>
  <c r="W25"/>
  <c r="W22"/>
  <c r="W78"/>
  <c r="Z81"/>
  <c r="Z77"/>
  <c r="Z73"/>
  <c r="Z69"/>
  <c r="Z65"/>
  <c r="Z61"/>
  <c r="Z57"/>
  <c r="Z53"/>
  <c r="Z49"/>
  <c r="Z45"/>
  <c r="Z41"/>
  <c r="Z37"/>
  <c r="Z33"/>
  <c r="Z29"/>
  <c r="Z25"/>
  <c r="Z21"/>
  <c r="Z17"/>
  <c r="Z13"/>
  <c r="Z9"/>
  <c r="Z75"/>
  <c r="W27"/>
  <c r="W19"/>
  <c r="W11"/>
  <c r="W9"/>
  <c r="W7"/>
  <c r="W83"/>
  <c r="W31"/>
  <c r="W15"/>
  <c r="W29"/>
  <c r="W82"/>
  <c r="X83"/>
  <c r="T83"/>
  <c r="T82"/>
  <c r="V82" s="1"/>
  <c r="X81"/>
  <c r="T81"/>
  <c r="T80"/>
  <c r="V80" s="1"/>
  <c r="X79"/>
  <c r="T79"/>
  <c r="T78"/>
  <c r="V78" s="1"/>
  <c r="W81"/>
  <c r="W79"/>
  <c r="Y83"/>
  <c r="U83"/>
  <c r="U82"/>
  <c r="Y81"/>
  <c r="U81"/>
  <c r="U80"/>
  <c r="W80" s="1"/>
  <c r="Y79"/>
  <c r="U79"/>
  <c r="U78"/>
  <c r="W67"/>
  <c r="W65"/>
  <c r="W52"/>
  <c r="W47"/>
  <c r="W28"/>
  <c r="W26"/>
  <c r="W14"/>
  <c r="W13"/>
  <c r="W75"/>
  <c r="W57"/>
  <c r="W54"/>
  <c r="W53"/>
  <c r="W45"/>
  <c r="W42"/>
  <c r="W37"/>
  <c r="T84"/>
  <c r="V84" s="1"/>
  <c r="X77"/>
  <c r="T77"/>
  <c r="T76"/>
  <c r="V76" s="1"/>
  <c r="X75"/>
  <c r="T75"/>
  <c r="T74"/>
  <c r="V74" s="1"/>
  <c r="X73"/>
  <c r="T73"/>
  <c r="T72"/>
  <c r="V72" s="1"/>
  <c r="X71"/>
  <c r="T71"/>
  <c r="T70"/>
  <c r="V70" s="1"/>
  <c r="X69"/>
  <c r="T69"/>
  <c r="T68"/>
  <c r="V68" s="1"/>
  <c r="X67"/>
  <c r="T67"/>
  <c r="T66"/>
  <c r="V66" s="1"/>
  <c r="X65"/>
  <c r="T65"/>
  <c r="T64"/>
  <c r="V64" s="1"/>
  <c r="X63"/>
  <c r="T63"/>
  <c r="T62"/>
  <c r="V62" s="1"/>
  <c r="X61"/>
  <c r="T61"/>
  <c r="T60"/>
  <c r="V60" s="1"/>
  <c r="X59"/>
  <c r="T59"/>
  <c r="T58"/>
  <c r="V58" s="1"/>
  <c r="X57"/>
  <c r="T57"/>
  <c r="T56"/>
  <c r="V56" s="1"/>
  <c r="X55"/>
  <c r="T55"/>
  <c r="T54"/>
  <c r="V54" s="1"/>
  <c r="X53"/>
  <c r="T53"/>
  <c r="T52"/>
  <c r="V52" s="1"/>
  <c r="X51"/>
  <c r="T51"/>
  <c r="T50"/>
  <c r="V50" s="1"/>
  <c r="X49"/>
  <c r="T49"/>
  <c r="T48"/>
  <c r="V48" s="1"/>
  <c r="X47"/>
  <c r="T47"/>
  <c r="T46"/>
  <c r="V46" s="1"/>
  <c r="X45"/>
  <c r="T45"/>
  <c r="T44"/>
  <c r="V44" s="1"/>
  <c r="X43"/>
  <c r="T43"/>
  <c r="T42"/>
  <c r="V42" s="1"/>
  <c r="X42" s="1"/>
  <c r="X41"/>
  <c r="T41"/>
  <c r="T40"/>
  <c r="V40" s="1"/>
  <c r="X39"/>
  <c r="T39"/>
  <c r="T38"/>
  <c r="V38" s="1"/>
  <c r="X37"/>
  <c r="T37"/>
  <c r="T36"/>
  <c r="V36" s="1"/>
  <c r="X35"/>
  <c r="T35"/>
  <c r="T34"/>
  <c r="V34" s="1"/>
  <c r="X33"/>
  <c r="T33"/>
  <c r="T32"/>
  <c r="V32" s="1"/>
  <c r="X31"/>
  <c r="T31"/>
  <c r="T30"/>
  <c r="V30" s="1"/>
  <c r="X29"/>
  <c r="T29"/>
  <c r="T28"/>
  <c r="V28" s="1"/>
  <c r="X28" s="1"/>
  <c r="X27"/>
  <c r="T27"/>
  <c r="T26"/>
  <c r="V26" s="1"/>
  <c r="X26" s="1"/>
  <c r="X25"/>
  <c r="T25"/>
  <c r="T24"/>
  <c r="V24" s="1"/>
  <c r="X23"/>
  <c r="T23"/>
  <c r="T22"/>
  <c r="V22" s="1"/>
  <c r="X21"/>
  <c r="T21"/>
  <c r="T20"/>
  <c r="V20" s="1"/>
  <c r="X19"/>
  <c r="T19"/>
  <c r="T18"/>
  <c r="V18" s="1"/>
  <c r="X17"/>
  <c r="T17"/>
  <c r="T16"/>
  <c r="V16" s="1"/>
  <c r="X15"/>
  <c r="T15"/>
  <c r="T14"/>
  <c r="V14" s="1"/>
  <c r="X13"/>
  <c r="T13"/>
  <c r="T12"/>
  <c r="V12" s="1"/>
  <c r="X12" s="1"/>
  <c r="X11"/>
  <c r="T11"/>
  <c r="T10"/>
  <c r="V10" s="1"/>
  <c r="X10" s="1"/>
  <c r="X9"/>
  <c r="T9"/>
  <c r="T8"/>
  <c r="V8" s="1"/>
  <c r="X7"/>
  <c r="T7"/>
  <c r="W84"/>
  <c r="W73"/>
  <c r="W61"/>
  <c r="W59"/>
  <c r="W55"/>
  <c r="W41"/>
  <c r="W40"/>
  <c r="W39"/>
  <c r="W38"/>
  <c r="U84"/>
  <c r="U77"/>
  <c r="U76"/>
  <c r="Y75"/>
  <c r="U74"/>
  <c r="Y73"/>
  <c r="U73"/>
  <c r="U72"/>
  <c r="W72" s="1"/>
  <c r="Y71"/>
  <c r="U71"/>
  <c r="U70"/>
  <c r="Y69"/>
  <c r="U69"/>
  <c r="Y67"/>
  <c r="U67"/>
  <c r="U66"/>
  <c r="W66" s="1"/>
  <c r="Y65"/>
  <c r="U65"/>
  <c r="U64"/>
  <c r="W64" s="1"/>
  <c r="Y63"/>
  <c r="U63"/>
  <c r="U62"/>
  <c r="W62" s="1"/>
  <c r="Y61"/>
  <c r="U61"/>
  <c r="U60"/>
  <c r="W60" s="1"/>
  <c r="Y59"/>
  <c r="U59"/>
  <c r="U58"/>
  <c r="W58" s="1"/>
  <c r="Y57"/>
  <c r="U57"/>
  <c r="U56"/>
  <c r="Y55"/>
  <c r="U55"/>
  <c r="U54"/>
  <c r="Y53"/>
  <c r="U53"/>
  <c r="U52"/>
  <c r="Y51"/>
  <c r="U51"/>
  <c r="U50"/>
  <c r="W50" s="1"/>
  <c r="Y49"/>
  <c r="U49"/>
  <c r="U48"/>
  <c r="W48" s="1"/>
  <c r="Y47"/>
  <c r="U47"/>
  <c r="U46"/>
  <c r="W46" s="1"/>
  <c r="Y45"/>
  <c r="U45"/>
  <c r="U44"/>
  <c r="W44" s="1"/>
  <c r="Y43"/>
  <c r="U43"/>
  <c r="U42"/>
  <c r="Y41"/>
  <c r="U41"/>
  <c r="U40"/>
  <c r="Y39"/>
  <c r="U39"/>
  <c r="U38"/>
  <c r="Y37"/>
  <c r="U37"/>
  <c r="U36"/>
  <c r="W36" s="1"/>
  <c r="Y35"/>
  <c r="U35"/>
  <c r="U34"/>
  <c r="W34" s="1"/>
  <c r="Y33"/>
  <c r="U33"/>
  <c r="U32"/>
  <c r="W32" s="1"/>
  <c r="Y31"/>
  <c r="U31"/>
  <c r="U30"/>
  <c r="W30" s="1"/>
  <c r="Y29"/>
  <c r="U29"/>
  <c r="U28"/>
  <c r="Y27"/>
  <c r="U27"/>
  <c r="U26"/>
  <c r="Y25"/>
  <c r="U25"/>
  <c r="U24"/>
  <c r="Y23"/>
  <c r="U23"/>
  <c r="U22"/>
  <c r="Y21"/>
  <c r="U21"/>
  <c r="U20"/>
  <c r="W20" s="1"/>
  <c r="Y19"/>
  <c r="U19"/>
  <c r="U18"/>
  <c r="W18" s="1"/>
  <c r="Y17"/>
  <c r="U17"/>
  <c r="U16"/>
  <c r="W16" s="1"/>
  <c r="Y15"/>
  <c r="U15"/>
  <c r="U14"/>
  <c r="Y13"/>
  <c r="U13"/>
  <c r="U12"/>
  <c r="Y11"/>
  <c r="U11"/>
  <c r="U10"/>
  <c r="Y9"/>
  <c r="U9"/>
  <c r="U8"/>
  <c r="W8" s="1"/>
  <c r="Y7"/>
  <c r="U7"/>
  <c r="W77"/>
  <c r="W76"/>
  <c r="W71"/>
  <c r="W70"/>
  <c r="W69"/>
  <c r="W68"/>
  <c r="W56"/>
  <c r="W43"/>
  <c r="W35"/>
  <c r="W24"/>
  <c r="W23"/>
  <c r="Y77"/>
  <c r="U75"/>
  <c r="U68"/>
  <c r="E57" i="1"/>
  <c r="C4" i="3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X52" l="1"/>
  <c r="Z52" s="1"/>
  <c r="X82"/>
  <c r="Y82" s="1"/>
  <c r="X78"/>
  <c r="Z78" s="1"/>
  <c r="X14"/>
  <c r="Y14" s="1"/>
  <c r="X22"/>
  <c r="X8"/>
  <c r="X16"/>
  <c r="Y16" s="1"/>
  <c r="X24"/>
  <c r="Y24" s="1"/>
  <c r="X32"/>
  <c r="Y32" s="1"/>
  <c r="X64"/>
  <c r="Z64" s="1"/>
  <c r="X34"/>
  <c r="Y34" s="1"/>
  <c r="X50"/>
  <c r="Z50" s="1"/>
  <c r="X66"/>
  <c r="Z66" s="1"/>
  <c r="X20"/>
  <c r="X36"/>
  <c r="Y36" s="1"/>
  <c r="X80"/>
  <c r="Z80" s="1"/>
  <c r="X62"/>
  <c r="Z62" s="1"/>
  <c r="X38"/>
  <c r="Y38" s="1"/>
  <c r="X54"/>
  <c r="X70"/>
  <c r="Z70" s="1"/>
  <c r="X84"/>
  <c r="X40"/>
  <c r="Y40" s="1"/>
  <c r="X48"/>
  <c r="Z48" s="1"/>
  <c r="X56"/>
  <c r="Z56" s="1"/>
  <c r="X18"/>
  <c r="X68"/>
  <c r="X76"/>
  <c r="Z76" s="1"/>
  <c r="Y10"/>
  <c r="Y26"/>
  <c r="Y42"/>
  <c r="X58"/>
  <c r="Z58" s="1"/>
  <c r="Y12"/>
  <c r="Y20"/>
  <c r="Y28"/>
  <c r="X44"/>
  <c r="Y44" s="1"/>
  <c r="X60"/>
  <c r="Z60" s="1"/>
  <c r="Y22"/>
  <c r="X30"/>
  <c r="X46"/>
  <c r="Z46" s="1"/>
  <c r="X72"/>
  <c r="Z72" s="1"/>
  <c r="W74"/>
  <c r="X74" s="1"/>
  <c r="Z74" s="1"/>
  <c r="Y52" l="1"/>
  <c r="Z82"/>
  <c r="Y64"/>
  <c r="Y78"/>
  <c r="Y50"/>
  <c r="Y56"/>
  <c r="Y76"/>
  <c r="Y70"/>
  <c r="Y60"/>
  <c r="Y48"/>
  <c r="Y18"/>
  <c r="Y84"/>
  <c r="Z84"/>
  <c r="Y68"/>
  <c r="Z68"/>
  <c r="Y54"/>
  <c r="Z54"/>
  <c r="Y80"/>
  <c r="Y66"/>
  <c r="Y8"/>
  <c r="Y62"/>
  <c r="Y74"/>
  <c r="Y72"/>
  <c r="Y46"/>
  <c r="Y58"/>
  <c r="Y30"/>
  <c r="M104" i="1" l="1"/>
  <c r="N104" s="1"/>
  <c r="K104" s="1"/>
  <c r="D104"/>
  <c r="E105" s="1"/>
  <c r="M102"/>
  <c r="N102" s="1"/>
  <c r="K102" s="1"/>
  <c r="D102"/>
  <c r="D103" s="1"/>
  <c r="M100"/>
  <c r="N100" s="1"/>
  <c r="K100" s="1"/>
  <c r="D100"/>
  <c r="E101" s="1"/>
  <c r="M98"/>
  <c r="N98" s="1"/>
  <c r="K98" s="1"/>
  <c r="D98"/>
  <c r="D99" s="1"/>
  <c r="M96"/>
  <c r="N96" s="1"/>
  <c r="K96" s="1"/>
  <c r="D96"/>
  <c r="E97" s="1"/>
  <c r="M94"/>
  <c r="N94" s="1"/>
  <c r="K94" s="1"/>
  <c r="D94"/>
  <c r="D95" s="1"/>
  <c r="M92"/>
  <c r="N92" s="1"/>
  <c r="K92" s="1"/>
  <c r="D92"/>
  <c r="E93" s="1"/>
  <c r="M64"/>
  <c r="N64" s="1"/>
  <c r="K64" s="1"/>
  <c r="D64"/>
  <c r="D65" s="1"/>
  <c r="M62"/>
  <c r="N62" s="1"/>
  <c r="K62" s="1"/>
  <c r="D62"/>
  <c r="E63" s="1"/>
  <c r="M60"/>
  <c r="N60" s="1"/>
  <c r="K60" s="1"/>
  <c r="D60"/>
  <c r="D61" s="1"/>
  <c r="M58"/>
  <c r="N58" s="1"/>
  <c r="K58" s="1"/>
  <c r="D58"/>
  <c r="E59" s="1"/>
  <c r="M54"/>
  <c r="N54" s="1"/>
  <c r="K54" s="1"/>
  <c r="D54"/>
  <c r="D55" s="1"/>
  <c r="M52"/>
  <c r="N52" s="1"/>
  <c r="K52" s="1"/>
  <c r="D52"/>
  <c r="E53" s="1"/>
  <c r="M22"/>
  <c r="N22" s="1"/>
  <c r="K22" s="1"/>
  <c r="D22"/>
  <c r="D23" s="1"/>
  <c r="M20"/>
  <c r="N20" s="1"/>
  <c r="K20" s="1"/>
  <c r="D20"/>
  <c r="E21" s="1"/>
  <c r="M18"/>
  <c r="N18" s="1"/>
  <c r="K18" s="1"/>
  <c r="D18"/>
  <c r="D19" s="1"/>
  <c r="M16"/>
  <c r="N16" s="1"/>
  <c r="K16" s="1"/>
  <c r="D16"/>
  <c r="E17" s="1"/>
  <c r="M14"/>
  <c r="N14" s="1"/>
  <c r="D14"/>
  <c r="D15" s="1"/>
  <c r="M12"/>
  <c r="N12" s="1"/>
  <c r="D12"/>
  <c r="E13" s="1"/>
  <c r="M10"/>
  <c r="N10" s="1"/>
  <c r="D10"/>
  <c r="D11" s="1"/>
  <c r="F38" i="4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D21" i="1" l="1"/>
  <c r="D53"/>
  <c r="D59"/>
  <c r="D93"/>
  <c r="D97"/>
  <c r="D101"/>
  <c r="D105"/>
  <c r="D13"/>
  <c r="D17"/>
  <c r="D63"/>
  <c r="E11"/>
  <c r="E15"/>
  <c r="E19"/>
  <c r="E23"/>
  <c r="E55"/>
  <c r="E61"/>
  <c r="E65"/>
  <c r="E95"/>
  <c r="E99"/>
  <c r="E103"/>
  <c r="E44" i="3"/>
  <c r="E43"/>
  <c r="Z44" s="1"/>
  <c r="E42"/>
  <c r="E41"/>
  <c r="Z42" s="1"/>
  <c r="E40"/>
  <c r="E39"/>
  <c r="Z40" s="1"/>
  <c r="E38"/>
  <c r="E37"/>
  <c r="Z38" s="1"/>
  <c r="E36"/>
  <c r="E35"/>
  <c r="Z36" s="1"/>
  <c r="E34"/>
  <c r="E33"/>
  <c r="Z34" s="1"/>
  <c r="E32"/>
  <c r="E31"/>
  <c r="Z32" s="1"/>
  <c r="E30"/>
  <c r="E29"/>
  <c r="Z30" s="1"/>
  <c r="E28"/>
  <c r="E27"/>
  <c r="Z28" s="1"/>
  <c r="E26"/>
  <c r="E25"/>
  <c r="Z26" s="1"/>
  <c r="E24"/>
  <c r="E23"/>
  <c r="Z24" s="1"/>
  <c r="E22"/>
  <c r="E21"/>
  <c r="Z22" s="1"/>
  <c r="E20"/>
  <c r="E19"/>
  <c r="Z20" s="1"/>
  <c r="E18"/>
  <c r="E17"/>
  <c r="Z18" s="1"/>
  <c r="E16"/>
  <c r="E15"/>
  <c r="Z16" s="1"/>
  <c r="E14"/>
  <c r="E13"/>
  <c r="Z14" s="1"/>
  <c r="E12"/>
  <c r="E11"/>
  <c r="Z12" s="1"/>
  <c r="E10"/>
  <c r="E9"/>
  <c r="Z10" s="1"/>
  <c r="E8"/>
  <c r="E7"/>
  <c r="Z8" s="1"/>
  <c r="S6"/>
  <c r="E6"/>
  <c r="S5"/>
  <c r="Z5" s="1"/>
  <c r="E5"/>
  <c r="S4"/>
  <c r="E4"/>
  <c r="Z1"/>
  <c r="E3"/>
  <c r="AA2"/>
  <c r="Y1"/>
  <c r="C12" i="2"/>
  <c r="C11"/>
  <c r="E10"/>
  <c r="C10"/>
  <c r="Y5" i="3" l="1"/>
  <c r="X5"/>
  <c r="V5"/>
  <c r="W5"/>
  <c r="U4"/>
  <c r="U6"/>
  <c r="W6" s="1"/>
  <c r="T5"/>
  <c r="U5"/>
  <c r="T4"/>
  <c r="V4" s="1"/>
  <c r="T6"/>
  <c r="V6" s="1"/>
  <c r="A11" i="1"/>
  <c r="A10"/>
  <c r="X6" i="3" l="1"/>
  <c r="Z6" s="1"/>
  <c r="W4"/>
  <c r="X4" s="1"/>
  <c r="Z4" s="1"/>
  <c r="Y6" l="1"/>
  <c r="Y4"/>
  <c r="E9" i="2"/>
  <c r="C6"/>
  <c r="C9"/>
  <c r="C5"/>
  <c r="C4"/>
  <c r="C3"/>
</calcChain>
</file>

<file path=xl/sharedStrings.xml><?xml version="1.0" encoding="utf-8"?>
<sst xmlns="http://schemas.openxmlformats.org/spreadsheetml/2006/main" count="474" uniqueCount="162">
  <si>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</si>
  <si>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</si>
  <si>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</si>
  <si>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</si>
  <si>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</si>
  <si>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</si>
  <si>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</si>
  <si>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</si>
  <si>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</si>
  <si>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</si>
  <si>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</si>
  <si>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</si>
  <si>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</si>
  <si>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</si>
  <si>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</si>
  <si>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</si>
  <si>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</si>
  <si>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</si>
  <si>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</si>
  <si>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</si>
  <si>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</si>
  <si>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</si>
  <si>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</si>
  <si>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</si>
  <si>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</si>
  <si>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</si>
  <si>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</si>
  <si>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</si>
  <si>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</si>
  <si>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</si>
  <si>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</si>
  <si>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</si>
  <si>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</si>
  <si>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</si>
  <si>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</si>
  <si>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</si>
  <si>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</si>
  <si>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</si>
  <si>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</si>
  <si>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</si>
  <si>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</si>
  <si>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</si>
  <si>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</si>
  <si>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</si>
  <si>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</si>
  <si>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</si>
  <si>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</si>
  <si>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</si>
  <si>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</si>
  <si>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</si>
  <si>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</si>
  <si>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</si>
  <si>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</si>
  <si>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</si>
  <si>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</si>
  <si>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</si>
  <si>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</si>
  <si>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</si>
  <si>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1.101-1.104</t>
  </si>
  <si>
    <t>1.104-1.107</t>
  </si>
  <si>
    <t>3.103-3.106</t>
  </si>
  <si>
    <t>3.106-3.109</t>
  </si>
  <si>
    <t>5.102-5.105</t>
  </si>
  <si>
    <t>5.105-5.108</t>
  </si>
  <si>
    <t>1.107-1.110</t>
  </si>
  <si>
    <t>.0770 in.</t>
  </si>
  <si>
    <t>Calculating Tilt</t>
  </si>
  <si>
    <t>Position</t>
  </si>
  <si>
    <t xml:space="preserve"># of </t>
  </si>
  <si>
    <t>Perpendicular angle</t>
  </si>
  <si>
    <t>Tilt angle</t>
  </si>
  <si>
    <t>Cutters</t>
  </si>
  <si>
    <t>1.110-1.113</t>
  </si>
  <si>
    <t>1.113-1.116</t>
  </si>
  <si>
    <t>1.116-1.119</t>
  </si>
  <si>
    <t>1.119-1.122</t>
  </si>
  <si>
    <t>1.213-1.216</t>
  </si>
  <si>
    <t>1111 .6875Cb</t>
  </si>
  <si>
    <t>2.111-2.114</t>
  </si>
  <si>
    <t>2.114-2.117</t>
  </si>
  <si>
    <t>2.117-2.120</t>
  </si>
  <si>
    <t>3.109-3.112</t>
  </si>
  <si>
    <t>3.112-3.115</t>
  </si>
  <si>
    <t>3.115-3.118</t>
  </si>
  <si>
    <t>3.118-3.121</t>
  </si>
  <si>
    <t>4.116-4.119</t>
  </si>
  <si>
    <t>5.108-5.111</t>
  </si>
  <si>
    <t>5.111-5.114</t>
  </si>
  <si>
    <t>5.114-5.117</t>
  </si>
  <si>
    <t>5.117-5.120</t>
  </si>
  <si>
    <t>6.109-6.112</t>
  </si>
  <si>
    <t>6.112-6.115</t>
  </si>
  <si>
    <t>6.115-6.118</t>
  </si>
  <si>
    <t>6.118-6.121</t>
  </si>
  <si>
    <t>2.214-2.217</t>
  </si>
  <si>
    <t>3.212-3.215</t>
  </si>
  <si>
    <t>4.213-4.216</t>
  </si>
  <si>
    <t>5.214-5.217</t>
  </si>
  <si>
    <t>6.212-6.215</t>
  </si>
  <si>
    <t>.0700 in.</t>
  </si>
  <si>
    <t>.0701 in.</t>
  </si>
  <si>
    <t>.0791 in.</t>
  </si>
  <si>
    <t>.0736 in.</t>
  </si>
  <si>
    <t>.1494 in.</t>
  </si>
  <si>
    <t>.1139 in.</t>
  </si>
  <si>
    <t>.0750 in.</t>
  </si>
  <si>
    <t>.0716 in.</t>
  </si>
  <si>
    <t>.0879 in.</t>
  </si>
  <si>
    <t>.0731 in.</t>
  </si>
  <si>
    <t>1.2596 in.</t>
  </si>
  <si>
    <t>1.122-1.213</t>
  </si>
  <si>
    <t>.0752 in.</t>
  </si>
  <si>
    <t>1.216-1.300</t>
  </si>
  <si>
    <t>1.300-1.400</t>
  </si>
  <si>
    <t>1.8838 in.*</t>
  </si>
  <si>
    <t>1.400-2.111</t>
  </si>
  <si>
    <t>.0709 in.</t>
  </si>
  <si>
    <t>.0754 in.</t>
  </si>
  <si>
    <t>.0943 in.</t>
  </si>
  <si>
    <t>.0804 in.</t>
  </si>
  <si>
    <t>2.120-2.123</t>
  </si>
  <si>
    <t>1.3486 in.</t>
  </si>
  <si>
    <t>2.123-2.214</t>
  </si>
  <si>
    <t>.1163 in.*</t>
  </si>
  <si>
    <t>2.217-2.300</t>
  </si>
  <si>
    <t>2.300-2.400</t>
  </si>
  <si>
    <t>2.400-3.103</t>
  </si>
  <si>
    <t>.0673 in.</t>
  </si>
  <si>
    <t>.0761 in.</t>
  </si>
  <si>
    <t>.0834 in.</t>
  </si>
  <si>
    <t>1.2145 in.</t>
  </si>
  <si>
    <t>3.121-3.212</t>
  </si>
  <si>
    <t>.0661 in.</t>
  </si>
  <si>
    <t>3.215-3.300</t>
  </si>
  <si>
    <t>3.300-3.400</t>
  </si>
  <si>
    <t>1.9215 in.*</t>
  </si>
  <si>
    <t>3.400-4.110</t>
  </si>
  <si>
    <t>.0869 in.</t>
  </si>
  <si>
    <t>4.110-4.113</t>
  </si>
  <si>
    <t>4.113-4.116</t>
  </si>
  <si>
    <t>4.119-4.122</t>
  </si>
  <si>
    <t>4.122-4.213</t>
  </si>
  <si>
    <t>4.216-4.300</t>
  </si>
  <si>
    <t>4.300-4.400</t>
  </si>
  <si>
    <t>2.5916 in.*</t>
  </si>
  <si>
    <t>4.400-5.102</t>
  </si>
  <si>
    <t>5.120-5.123</t>
  </si>
  <si>
    <t>5.123-5.214</t>
  </si>
  <si>
    <t>5.217-5.300</t>
  </si>
  <si>
    <t>5.300-5.400</t>
  </si>
  <si>
    <t>5.400-6.109</t>
  </si>
  <si>
    <t>6.121-6.212</t>
  </si>
  <si>
    <t>6.215-6.300</t>
  </si>
  <si>
    <t>6.300-6.400</t>
  </si>
  <si>
    <t>2.2314 in.</t>
  </si>
  <si>
    <t>1.6330 in.*</t>
  </si>
  <si>
    <t>1.4295 in.*</t>
  </si>
  <si>
    <t>3.8011 in.</t>
  </si>
  <si>
    <t>2.4084 in.</t>
  </si>
  <si>
    <t>1.8631 in.*</t>
  </si>
  <si>
    <t>2.0448 in.</t>
  </si>
  <si>
    <t>1.9792 in.*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</si>
</sst>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13">
    <xf numFmtId="0" fontId="0" fillId="0" borderId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0" fontId="6" fillId="0" borderId="0" applyNumberFormat="0" applyFill="0" applyBorder="0" applyProtection="0">
      <alignment horizontal="right"/>
    </xf>
    <xf numFmtId="8" fontId="6" fillId="0" borderId="0" applyFill="0" applyBorder="0" applyProtection="0">
      <alignment horizontal="right"/>
    </xf>
    <xf numFmtId="168" fontId="6" fillId="0" borderId="0" applyFill="0" applyBorder="0" applyProtection="0">
      <alignment horizontal="left"/>
    </xf>
    <xf numFmtId="0" fontId="6" fillId="0" borderId="0" applyNumberFormat="0" applyFill="0" applyBorder="0" applyAlignment="0" applyProtection="0"/>
    <xf numFmtId="49" fontId="6" fillId="0" borderId="0" applyFill="0" applyBorder="0" applyProtection="0">
      <alignment horizontal="left"/>
    </xf>
    <xf numFmtId="0" fontId="3" fillId="0" borderId="0"/>
    <xf numFmtId="0" fontId="2" fillId="0" borderId="0"/>
    <xf numFmtId="0" fontId="1" fillId="0" borderId="0"/>
    <xf numFmtId="0" fontId="1" fillId="0" borderId="0"/>
  </cellStyleXfs>
  <cellXfs count="272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5" fillId="0" borderId="3" xfId="0" applyNumberFormat="1" applyFont="1" applyBorder="1" applyAlignment="1">
      <alignment horizontal="center"/>
    </xf>
    <xf numFmtId="2" fontId="5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5" fillId="2" borderId="3" xfId="0" applyNumberFormat="1" applyFont="1" applyFill="1" applyBorder="1" applyAlignment="1">
      <alignment horizontal="center" vertical="center"/>
    </xf>
    <xf numFmtId="166" fontId="5" fillId="2" borderId="3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5" fillId="0" borderId="5" xfId="0" applyNumberFormat="1" applyFont="1" applyBorder="1" applyAlignment="1">
      <alignment horizontal="center"/>
    </xf>
    <xf numFmtId="165" fontId="5" fillId="2" borderId="5" xfId="0" applyNumberFormat="1" applyFont="1" applyFill="1" applyBorder="1" applyAlignment="1">
      <alignment horizontal="center" vertical="center"/>
    </xf>
    <xf numFmtId="2" fontId="5" fillId="0" borderId="6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/>
    </xf>
    <xf numFmtId="166" fontId="5" fillId="2" borderId="6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  <xf numFmtId="0" fontId="5" fillId="2" borderId="7" xfId="0" applyNumberFormat="1" applyFont="1" applyFill="1" applyBorder="1" applyAlignment="1">
      <alignment horizontal="center" vertical="center"/>
    </xf>
    <xf numFmtId="165" fontId="5" fillId="0" borderId="8" xfId="0" applyNumberFormat="1" applyFont="1" applyBorder="1" applyAlignment="1">
      <alignment horizontal="center"/>
    </xf>
    <xf numFmtId="165" fontId="5" fillId="2" borderId="8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65" fontId="7" fillId="0" borderId="6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0" fontId="5" fillId="2" borderId="9" xfId="0" applyNumberFormat="1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165" fontId="5" fillId="2" borderId="12" xfId="0" applyNumberFormat="1" applyFont="1" applyFill="1" applyBorder="1" applyAlignment="1">
      <alignment horizontal="center" vertical="center"/>
    </xf>
    <xf numFmtId="165" fontId="5" fillId="2" borderId="1" xfId="0" applyNumberFormat="1" applyFont="1" applyFill="1" applyBorder="1" applyAlignment="1">
      <alignment horizontal="center" vertical="center"/>
    </xf>
    <xf numFmtId="165" fontId="5" fillId="2" borderId="11" xfId="0" applyNumberFormat="1" applyFon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5" fillId="2" borderId="11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4" fontId="5" fillId="2" borderId="15" xfId="0" applyNumberFormat="1" applyFont="1" applyFill="1" applyBorder="1" applyAlignment="1">
      <alignment horizontal="center" vertical="center"/>
    </xf>
    <xf numFmtId="0" fontId="5" fillId="2" borderId="16" xfId="0" applyNumberFormat="1" applyFont="1" applyFill="1" applyBorder="1" applyAlignment="1">
      <alignment horizontal="center" vertical="center"/>
    </xf>
    <xf numFmtId="1" fontId="5" fillId="2" borderId="13" xfId="0" applyNumberFormat="1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165" fontId="5" fillId="2" borderId="17" xfId="0" applyNumberFormat="1" applyFont="1" applyFill="1" applyBorder="1" applyAlignment="1">
      <alignment horizontal="center" vertical="center"/>
    </xf>
    <xf numFmtId="165" fontId="5" fillId="2" borderId="15" xfId="0" applyNumberFormat="1" applyFont="1" applyFill="1" applyBorder="1" applyAlignment="1">
      <alignment horizontal="center" vertical="center"/>
    </xf>
    <xf numFmtId="165" fontId="5" fillId="2" borderId="14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/>
    </xf>
    <xf numFmtId="166" fontId="5" fillId="2" borderId="15" xfId="0" applyNumberFormat="1" applyFont="1" applyFill="1" applyBorder="1" applyAlignment="1">
      <alignment horizontal="center" vertical="center"/>
    </xf>
    <xf numFmtId="166" fontId="5" fillId="2" borderId="14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7" fillId="5" borderId="18" xfId="0" applyNumberFormat="1" applyFont="1" applyFill="1" applyBorder="1" applyAlignment="1">
      <alignment horizontal="center" vertical="center"/>
    </xf>
    <xf numFmtId="165" fontId="5" fillId="5" borderId="20" xfId="0" applyNumberFormat="1" applyFont="1" applyFill="1" applyBorder="1" applyAlignment="1">
      <alignment horizontal="center" vertical="center"/>
    </xf>
    <xf numFmtId="165" fontId="5" fillId="5" borderId="21" xfId="0" applyNumberFormat="1" applyFont="1" applyFill="1" applyBorder="1" applyAlignment="1">
      <alignment horizontal="center" vertical="center"/>
    </xf>
    <xf numFmtId="165" fontId="5" fillId="5" borderId="19" xfId="0" applyNumberFormat="1" applyFont="1" applyFill="1" applyBorder="1" applyAlignment="1">
      <alignment horizontal="center" vertical="center"/>
    </xf>
    <xf numFmtId="165" fontId="7" fillId="5" borderId="6" xfId="0" applyNumberFormat="1" applyFont="1" applyFill="1" applyBorder="1" applyAlignment="1">
      <alignment horizontal="center" vertical="center"/>
    </xf>
    <xf numFmtId="165" fontId="5" fillId="5" borderId="8" xfId="0" applyNumberFormat="1" applyFont="1" applyFill="1" applyBorder="1" applyAlignment="1">
      <alignment horizontal="center" vertical="center"/>
    </xf>
    <xf numFmtId="165" fontId="5" fillId="5" borderId="3" xfId="0" applyNumberFormat="1" applyFont="1" applyFill="1" applyBorder="1" applyAlignment="1">
      <alignment horizontal="center" vertical="center"/>
    </xf>
    <xf numFmtId="165" fontId="5" fillId="5" borderId="5" xfId="0" applyNumberFormat="1" applyFont="1" applyFill="1" applyBorder="1" applyAlignment="1">
      <alignment horizontal="center" vertical="center"/>
    </xf>
    <xf numFmtId="165" fontId="5" fillId="0" borderId="8" xfId="0" applyNumberFormat="1" applyFont="1" applyFill="1" applyBorder="1" applyAlignment="1">
      <alignment horizontal="center" vertical="center"/>
    </xf>
    <xf numFmtId="165" fontId="5" fillId="0" borderId="3" xfId="0" applyNumberFormat="1" applyFont="1" applyFill="1" applyBorder="1" applyAlignment="1">
      <alignment horizontal="center" vertical="center"/>
    </xf>
    <xf numFmtId="165" fontId="5" fillId="0" borderId="5" xfId="0" applyNumberFormat="1" applyFont="1" applyFill="1" applyBorder="1" applyAlignment="1">
      <alignment horizontal="center" vertical="center"/>
    </xf>
    <xf numFmtId="165" fontId="5" fillId="4" borderId="8" xfId="0" applyNumberFormat="1" applyFont="1" applyFill="1" applyBorder="1" applyAlignment="1">
      <alignment horizontal="center" vertical="center"/>
    </xf>
    <xf numFmtId="165" fontId="5" fillId="4" borderId="3" xfId="0" applyNumberFormat="1" applyFont="1" applyFill="1" applyBorder="1" applyAlignment="1">
      <alignment horizontal="center" vertical="center"/>
    </xf>
    <xf numFmtId="165" fontId="5" fillId="4" borderId="5" xfId="0" applyNumberFormat="1" applyFont="1" applyFill="1" applyBorder="1" applyAlignment="1">
      <alignment horizontal="center" vertical="center"/>
    </xf>
    <xf numFmtId="165" fontId="7" fillId="6" borderId="6" xfId="0" applyNumberFormat="1" applyFont="1" applyFill="1" applyBorder="1" applyAlignment="1">
      <alignment horizontal="center" vertical="center"/>
    </xf>
    <xf numFmtId="165" fontId="5" fillId="6" borderId="8" xfId="0" applyNumberFormat="1" applyFont="1" applyFill="1" applyBorder="1" applyAlignment="1">
      <alignment horizontal="center" vertical="center"/>
    </xf>
    <xf numFmtId="165" fontId="5" fillId="6" borderId="3" xfId="0" applyNumberFormat="1" applyFont="1" applyFill="1" applyBorder="1" applyAlignment="1">
      <alignment horizontal="center" vertical="center"/>
    </xf>
    <xf numFmtId="165" fontId="5" fillId="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ill="1" applyBorder="1"/>
    <xf numFmtId="0" fontId="5" fillId="0" borderId="0" xfId="2" applyFill="1" applyBorder="1"/>
    <xf numFmtId="0" fontId="8" fillId="0" borderId="0" xfId="2" applyFont="1" applyFill="1" applyBorder="1" applyAlignment="1">
      <alignment vertical="center"/>
    </xf>
    <xf numFmtId="0" fontId="5" fillId="0" borderId="0" xfId="2" applyFill="1" applyBorder="1" applyAlignment="1"/>
    <xf numFmtId="0" fontId="5" fillId="0" borderId="0" xfId="2" applyFont="1" applyFill="1" applyBorder="1" applyAlignment="1"/>
    <xf numFmtId="0" fontId="5" fillId="0" borderId="0" xfId="2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vertical="center"/>
    </xf>
    <xf numFmtId="0" fontId="5" fillId="0" borderId="0" xfId="2" applyFont="1" applyFill="1" applyBorder="1" applyAlignment="1">
      <alignment horizontal="center"/>
    </xf>
    <xf numFmtId="165" fontId="5" fillId="0" borderId="0" xfId="2" applyNumberFormat="1" applyFill="1" applyBorder="1" applyAlignment="1">
      <alignment horizontal="center" vertical="center"/>
    </xf>
    <xf numFmtId="165" fontId="5" fillId="0" borderId="0" xfId="2" applyNumberFormat="1" applyFill="1" applyBorder="1" applyAlignment="1">
      <alignment horizontal="center"/>
    </xf>
    <xf numFmtId="164" fontId="5" fillId="0" borderId="0" xfId="2" applyNumberFormat="1" applyFont="1" applyFill="1" applyBorder="1" applyAlignment="1">
      <alignment horizontal="center"/>
    </xf>
    <xf numFmtId="0" fontId="5" fillId="0" borderId="0" xfId="2" applyFill="1" applyBorder="1" applyAlignment="1">
      <alignment vertical="center"/>
    </xf>
    <xf numFmtId="0" fontId="5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9" xfId="0" applyBorder="1"/>
    <xf numFmtId="0" fontId="5" fillId="0" borderId="28" xfId="0" applyFont="1" applyBorder="1"/>
    <xf numFmtId="0" fontId="0" fillId="0" borderId="30" xfId="0" applyBorder="1"/>
    <xf numFmtId="0" fontId="0" fillId="0" borderId="27" xfId="0" applyBorder="1"/>
    <xf numFmtId="0" fontId="0" fillId="0" borderId="31" xfId="0" applyBorder="1"/>
    <xf numFmtId="0" fontId="0" fillId="0" borderId="32" xfId="0" applyBorder="1"/>
    <xf numFmtId="0" fontId="0" fillId="0" borderId="2" xfId="0" applyBorder="1"/>
    <xf numFmtId="0" fontId="0" fillId="0" borderId="33" xfId="0" applyBorder="1"/>
    <xf numFmtId="0" fontId="5" fillId="7" borderId="34" xfId="0" applyFont="1" applyFill="1" applyBorder="1"/>
    <xf numFmtId="0" fontId="5" fillId="7" borderId="35" xfId="0" applyFont="1" applyFill="1" applyBorder="1"/>
    <xf numFmtId="0" fontId="5" fillId="7" borderId="36" xfId="0" applyFont="1" applyFill="1" applyBorder="1"/>
    <xf numFmtId="0" fontId="5" fillId="0" borderId="0" xfId="0" applyFont="1"/>
    <xf numFmtId="164" fontId="0" fillId="0" borderId="0" xfId="0" applyNumberFormat="1"/>
    <xf numFmtId="0" fontId="3" fillId="0" borderId="0" xfId="9"/>
    <xf numFmtId="0" fontId="3" fillId="0" borderId="0" xfId="9" applyAlignment="1">
      <alignment horizontal="center" vertical="center"/>
    </xf>
    <xf numFmtId="0" fontId="3" fillId="0" borderId="0" xfId="9" applyBorder="1" applyAlignment="1">
      <alignment horizontal="center" vertical="center"/>
    </xf>
    <xf numFmtId="0" fontId="3" fillId="0" borderId="0" xfId="9" applyAlignment="1">
      <alignment horizontal="center" vertical="center" wrapText="1"/>
    </xf>
    <xf numFmtId="0" fontId="3" fillId="0" borderId="38" xfId="9" applyBorder="1" applyAlignment="1">
      <alignment horizontal="center" vertical="center" wrapText="1"/>
    </xf>
    <xf numFmtId="0" fontId="5" fillId="0" borderId="0" xfId="9" applyFont="1" applyAlignment="1">
      <alignment horizontal="center" vertical="center" wrapText="1"/>
    </xf>
    <xf numFmtId="165" fontId="3" fillId="0" borderId="0" xfId="9" applyNumberFormat="1" applyAlignment="1">
      <alignment horizontal="center" vertical="center"/>
    </xf>
    <xf numFmtId="0" fontId="5" fillId="0" borderId="0" xfId="9" applyFont="1" applyAlignment="1">
      <alignment horizontal="center" vertical="center"/>
    </xf>
    <xf numFmtId="0" fontId="5" fillId="0" borderId="38" xfId="9" applyFont="1" applyBorder="1" applyAlignment="1">
      <alignment horizontal="center" vertical="center"/>
    </xf>
    <xf numFmtId="0" fontId="3" fillId="0" borderId="0" xfId="9" applyAlignment="1">
      <alignment horizontal="left" vertical="center"/>
    </xf>
    <xf numFmtId="164" fontId="3" fillId="0" borderId="0" xfId="9" applyNumberFormat="1"/>
    <xf numFmtId="165" fontId="3" fillId="0" borderId="41" xfId="9" applyNumberFormat="1" applyBorder="1"/>
    <xf numFmtId="165" fontId="3" fillId="0" borderId="42" xfId="9" applyNumberFormat="1" applyBorder="1"/>
    <xf numFmtId="165" fontId="3" fillId="0" borderId="0" xfId="9" applyNumberFormat="1"/>
    <xf numFmtId="0" fontId="3" fillId="0" borderId="38" xfId="9" applyBorder="1" applyAlignment="1">
      <alignment horizontal="center" vertical="center"/>
    </xf>
    <xf numFmtId="0" fontId="3" fillId="3" borderId="0" xfId="9" applyFill="1"/>
    <xf numFmtId="0" fontId="3" fillId="3" borderId="0" xfId="9" applyFill="1" applyAlignment="1">
      <alignment horizontal="center" vertical="center"/>
    </xf>
    <xf numFmtId="0" fontId="2" fillId="0" borderId="0" xfId="10"/>
    <xf numFmtId="0" fontId="2" fillId="8" borderId="43" xfId="10" applyFill="1" applyBorder="1"/>
    <xf numFmtId="0" fontId="2" fillId="9" borderId="44" xfId="10" applyFill="1" applyBorder="1"/>
    <xf numFmtId="0" fontId="2" fillId="5" borderId="45" xfId="10" applyFill="1" applyBorder="1"/>
    <xf numFmtId="0" fontId="2" fillId="0" borderId="46" xfId="10" applyBorder="1"/>
    <xf numFmtId="0" fontId="2" fillId="0" borderId="28" xfId="10" applyBorder="1"/>
    <xf numFmtId="0" fontId="2" fillId="0" borderId="29" xfId="10" applyBorder="1"/>
    <xf numFmtId="0" fontId="2" fillId="8" borderId="39" xfId="10" applyFill="1" applyBorder="1"/>
    <xf numFmtId="0" fontId="2" fillId="9" borderId="47" xfId="10" applyFill="1" applyBorder="1"/>
    <xf numFmtId="0" fontId="2" fillId="5" borderId="48" xfId="10" applyFill="1" applyBorder="1"/>
    <xf numFmtId="0" fontId="2" fillId="10" borderId="28" xfId="10" applyFill="1" applyBorder="1"/>
    <xf numFmtId="0" fontId="2" fillId="10" borderId="29" xfId="10" applyFill="1" applyBorder="1"/>
    <xf numFmtId="0" fontId="2" fillId="0" borderId="49" xfId="10" applyBorder="1"/>
    <xf numFmtId="165" fontId="2" fillId="8" borderId="50" xfId="10" applyNumberFormat="1" applyFill="1" applyBorder="1"/>
    <xf numFmtId="165" fontId="2" fillId="9" borderId="51" xfId="10" applyNumberFormat="1" applyFill="1" applyBorder="1"/>
    <xf numFmtId="165" fontId="2" fillId="5" borderId="52" xfId="10" applyNumberFormat="1" applyFill="1" applyBorder="1"/>
    <xf numFmtId="165" fontId="2" fillId="0" borderId="28" xfId="10" applyNumberFormat="1" applyBorder="1"/>
    <xf numFmtId="165" fontId="2" fillId="0" borderId="29" xfId="10" applyNumberFormat="1" applyBorder="1"/>
    <xf numFmtId="0" fontId="2" fillId="11" borderId="53" xfId="10" applyFill="1" applyBorder="1"/>
    <xf numFmtId="165" fontId="2" fillId="11" borderId="54" xfId="10" applyNumberFormat="1" applyFill="1" applyBorder="1"/>
    <xf numFmtId="165" fontId="2" fillId="11" borderId="55" xfId="10" applyNumberFormat="1" applyFill="1" applyBorder="1"/>
    <xf numFmtId="165" fontId="2" fillId="11" borderId="56" xfId="10" applyNumberFormat="1" applyFill="1" applyBorder="1"/>
    <xf numFmtId="165" fontId="2" fillId="11" borderId="28" xfId="10" applyNumberFormat="1" applyFill="1" applyBorder="1"/>
    <xf numFmtId="165" fontId="2" fillId="11" borderId="29" xfId="10" applyNumberFormat="1" applyFill="1" applyBorder="1"/>
    <xf numFmtId="0" fontId="2" fillId="0" borderId="53" xfId="10" applyBorder="1"/>
    <xf numFmtId="165" fontId="2" fillId="8" borderId="54" xfId="10" applyNumberFormat="1" applyFill="1" applyBorder="1"/>
    <xf numFmtId="165" fontId="2" fillId="9" borderId="55" xfId="10" applyNumberFormat="1" applyFill="1" applyBorder="1"/>
    <xf numFmtId="165" fontId="2" fillId="5" borderId="56" xfId="10" applyNumberFormat="1" applyFill="1" applyBorder="1"/>
    <xf numFmtId="165" fontId="2" fillId="0" borderId="0" xfId="10" applyNumberFormat="1"/>
    <xf numFmtId="0" fontId="2" fillId="11" borderId="57" xfId="10" applyFill="1" applyBorder="1"/>
    <xf numFmtId="165" fontId="2" fillId="11" borderId="58" xfId="10" applyNumberFormat="1" applyFill="1" applyBorder="1"/>
    <xf numFmtId="165" fontId="2" fillId="11" borderId="59" xfId="10" applyNumberFormat="1" applyFill="1" applyBorder="1"/>
    <xf numFmtId="165" fontId="2" fillId="11" borderId="60" xfId="10" applyNumberFormat="1" applyFill="1" applyBorder="1"/>
    <xf numFmtId="165" fontId="2" fillId="11" borderId="30" xfId="10" applyNumberFormat="1" applyFill="1" applyBorder="1"/>
    <xf numFmtId="165" fontId="2" fillId="11" borderId="31" xfId="10" applyNumberFormat="1" applyFill="1" applyBorder="1"/>
    <xf numFmtId="165" fontId="5" fillId="0" borderId="0" xfId="9" applyNumberFormat="1" applyFont="1" applyAlignment="1">
      <alignment horizontal="center" vertical="center" wrapText="1"/>
    </xf>
    <xf numFmtId="165" fontId="5" fillId="0" borderId="0" xfId="9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7" fillId="5" borderId="19" xfId="0" applyNumberFormat="1" applyFont="1" applyFill="1" applyBorder="1" applyAlignment="1">
      <alignment horizontal="center" vertical="center"/>
    </xf>
    <xf numFmtId="165" fontId="5" fillId="5" borderId="18" xfId="0" applyNumberFormat="1" applyFont="1" applyFill="1" applyBorder="1" applyAlignment="1">
      <alignment horizontal="center" vertical="center"/>
    </xf>
    <xf numFmtId="165" fontId="7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5" fontId="7" fillId="5" borderId="5" xfId="0" applyNumberFormat="1" applyFont="1" applyFill="1" applyBorder="1" applyAlignment="1">
      <alignment horizontal="center" vertical="center"/>
    </xf>
    <xf numFmtId="165" fontId="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7" fillId="0" borderId="5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0" borderId="22" xfId="0" applyNumberFormat="1" applyFont="1" applyFill="1" applyBorder="1" applyAlignment="1">
      <alignment horizontal="center" vertical="center"/>
    </xf>
    <xf numFmtId="165" fontId="7" fillId="0" borderId="23" xfId="0" applyNumberFormat="1" applyFont="1" applyFill="1" applyBorder="1" applyAlignment="1">
      <alignment horizontal="center" vertical="center"/>
    </xf>
    <xf numFmtId="165" fontId="5" fillId="0" borderId="24" xfId="0" applyNumberFormat="1" applyFont="1" applyFill="1" applyBorder="1" applyAlignment="1">
      <alignment horizontal="center" vertical="center"/>
    </xf>
    <xf numFmtId="165" fontId="5" fillId="0" borderId="2" xfId="0" applyNumberFormat="1" applyFont="1" applyFill="1" applyBorder="1" applyAlignment="1">
      <alignment horizontal="center" vertical="center"/>
    </xf>
    <xf numFmtId="165" fontId="5" fillId="0" borderId="23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5" fontId="7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7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165" fontId="5" fillId="4" borderId="6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7" fillId="6" borderId="5" xfId="0" applyNumberFormat="1" applyFont="1" applyFill="1" applyBorder="1" applyAlignment="1">
      <alignment horizontal="center" vertical="center"/>
    </xf>
    <xf numFmtId="165" fontId="5" fillId="6" borderId="6" xfId="0" applyNumberFormat="1" applyFont="1" applyFill="1" applyBorder="1" applyAlignment="1">
      <alignment horizontal="center" vertical="center"/>
    </xf>
    <xf numFmtId="165" fontId="7" fillId="6" borderId="3" xfId="0" applyNumberFormat="1" applyFon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6" fontId="5" fillId="5" borderId="18" xfId="0" applyNumberFormat="1" applyFont="1" applyFill="1" applyBorder="1" applyAlignment="1">
      <alignment horizontal="center" vertical="center"/>
    </xf>
    <xf numFmtId="166" fontId="5" fillId="5" borderId="21" xfId="0" applyNumberFormat="1" applyFont="1" applyFill="1" applyBorder="1" applyAlignment="1">
      <alignment horizontal="center" vertical="center"/>
    </xf>
    <xf numFmtId="166" fontId="5" fillId="5" borderId="6" xfId="0" applyNumberFormat="1" applyFont="1" applyFill="1" applyBorder="1" applyAlignment="1">
      <alignment horizontal="center" vertical="center"/>
    </xf>
    <xf numFmtId="166" fontId="5" fillId="5" borderId="3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166" fontId="5" fillId="0" borderId="3" xfId="0" applyNumberFormat="1" applyFont="1" applyFill="1" applyBorder="1" applyAlignment="1">
      <alignment horizontal="center" vertical="center"/>
    </xf>
    <xf numFmtId="166" fontId="5" fillId="0" borderId="22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 vertical="center"/>
    </xf>
    <xf numFmtId="166" fontId="5" fillId="4" borderId="6" xfId="0" applyNumberFormat="1" applyFont="1" applyFill="1" applyBorder="1" applyAlignment="1">
      <alignment horizontal="center" vertical="center"/>
    </xf>
    <xf numFmtId="166" fontId="5" fillId="4" borderId="3" xfId="0" applyNumberFormat="1" applyFont="1" applyFill="1" applyBorder="1" applyAlignment="1">
      <alignment horizontal="center" vertical="center"/>
    </xf>
    <xf numFmtId="166" fontId="5" fillId="6" borderId="6" xfId="0" applyNumberFormat="1" applyFont="1" applyFill="1" applyBorder="1" applyAlignment="1">
      <alignment horizontal="center" vertical="center"/>
    </xf>
    <xf numFmtId="166" fontId="5" fillId="6" borderId="3" xfId="0" applyNumberFormat="1" applyFont="1" applyFill="1" applyBorder="1" applyAlignment="1">
      <alignment horizontal="center" vertical="center"/>
    </xf>
    <xf numFmtId="1" fontId="7" fillId="0" borderId="5" xfId="0" applyNumberFormat="1" applyFont="1" applyFill="1" applyBorder="1" applyAlignment="1">
      <alignment horizontal="center" vertical="center"/>
    </xf>
    <xf numFmtId="1" fontId="7" fillId="0" borderId="23" xfId="0" applyNumberFormat="1" applyFont="1" applyFill="1" applyBorder="1" applyAlignment="1">
      <alignment horizontal="center" vertical="center"/>
    </xf>
    <xf numFmtId="1" fontId="7" fillId="6" borderId="5" xfId="0" applyNumberFormat="1" applyFont="1" applyFill="1" applyBorder="1" applyAlignment="1">
      <alignment horizontal="center" vertical="center"/>
    </xf>
    <xf numFmtId="1" fontId="7" fillId="4" borderId="5" xfId="0" applyNumberFormat="1" applyFont="1" applyFill="1" applyBorder="1" applyAlignment="1">
      <alignment horizontal="center" vertical="center"/>
    </xf>
    <xf numFmtId="1" fontId="7" fillId="5" borderId="5" xfId="0" applyNumberFormat="1" applyFont="1" applyFill="1" applyBorder="1" applyAlignment="1">
      <alignment horizontal="center" vertical="center"/>
    </xf>
    <xf numFmtId="1" fontId="7" fillId="5" borderId="19" xfId="0" applyNumberFormat="1" applyFont="1" applyFill="1" applyBorder="1" applyAlignment="1">
      <alignment horizontal="center" vertical="center"/>
    </xf>
    <xf numFmtId="0" fontId="9" fillId="0" borderId="0" xfId="0" applyFont="1" applyAlignment="1"/>
    <xf numFmtId="0" fontId="0" fillId="0" borderId="0" xfId="0" applyAlignment="1">
      <alignment horizontal="center"/>
    </xf>
    <xf numFmtId="0" fontId="0" fillId="0" borderId="66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2" fontId="0" fillId="0" borderId="73" xfId="0" applyNumberFormat="1" applyBorder="1" applyAlignment="1">
      <alignment horizontal="center"/>
    </xf>
    <xf numFmtId="169" fontId="10" fillId="0" borderId="72" xfId="0" applyNumberFormat="1" applyFont="1" applyBorder="1" applyAlignment="1">
      <alignment horizontal="center"/>
    </xf>
    <xf numFmtId="0" fontId="0" fillId="12" borderId="71" xfId="0" applyFill="1" applyBorder="1" applyAlignment="1">
      <alignment horizontal="center"/>
    </xf>
    <xf numFmtId="0" fontId="0" fillId="12" borderId="72" xfId="0" applyFill="1" applyBorder="1" applyAlignment="1">
      <alignment horizontal="center"/>
    </xf>
    <xf numFmtId="2" fontId="0" fillId="12" borderId="73" xfId="0" applyNumberFormat="1" applyFill="1" applyBorder="1" applyAlignment="1">
      <alignment horizontal="center"/>
    </xf>
    <xf numFmtId="169" fontId="10" fillId="12" borderId="72" xfId="0" applyNumberFormat="1" applyFont="1" applyFill="1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2" fontId="0" fillId="0" borderId="76" xfId="0" applyNumberFormat="1" applyBorder="1" applyAlignment="1">
      <alignment horizontal="center"/>
    </xf>
    <xf numFmtId="169" fontId="10" fillId="0" borderId="75" xfId="0" applyNumberFormat="1" applyFont="1" applyBorder="1" applyAlignment="1">
      <alignment horizontal="center"/>
    </xf>
    <xf numFmtId="169" fontId="0" fillId="0" borderId="0" xfId="0" applyNumberFormat="1"/>
    <xf numFmtId="164" fontId="5" fillId="6" borderId="1" xfId="0" applyNumberFormat="1" applyFont="1" applyFill="1" applyBorder="1" applyAlignment="1">
      <alignment horizontal="center" vertical="center"/>
    </xf>
    <xf numFmtId="164" fontId="5" fillId="6" borderId="2" xfId="0" applyNumberFormat="1" applyFont="1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4" borderId="23" xfId="0" applyNumberForma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164" fontId="5" fillId="5" borderId="2" xfId="0" applyNumberFormat="1" applyFont="1" applyFill="1" applyBorder="1" applyAlignment="1">
      <alignment horizontal="center" vertical="center"/>
    </xf>
    <xf numFmtId="0" fontId="5" fillId="5" borderId="11" xfId="0" applyNumberFormat="1" applyFont="1" applyFill="1" applyBorder="1" applyAlignment="1">
      <alignment horizontal="center" vertical="center"/>
    </xf>
    <xf numFmtId="0" fontId="0" fillId="5" borderId="23" xfId="0" applyNumberForma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165" fontId="5" fillId="0" borderId="8" xfId="0" applyNumberFormat="1" applyFon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/>
    </xf>
    <xf numFmtId="2" fontId="5" fillId="0" borderId="3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/>
    </xf>
    <xf numFmtId="164" fontId="5" fillId="5" borderId="61" xfId="0" applyNumberFormat="1" applyFont="1" applyFill="1" applyBorder="1" applyAlignment="1">
      <alignment horizontal="center" vertical="center"/>
    </xf>
    <xf numFmtId="0" fontId="5" fillId="5" borderId="62" xfId="0" applyNumberFormat="1" applyFont="1" applyFill="1" applyBorder="1" applyAlignment="1">
      <alignment horizontal="center" vertical="center"/>
    </xf>
    <xf numFmtId="0" fontId="5" fillId="5" borderId="23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5" fillId="0" borderId="23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164" fontId="5" fillId="0" borderId="63" xfId="0" applyNumberFormat="1" applyFont="1" applyFill="1" applyBorder="1" applyAlignment="1">
      <alignment horizontal="center" vertical="center"/>
    </xf>
    <xf numFmtId="0" fontId="0" fillId="0" borderId="64" xfId="0" applyNumberForma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37" xfId="9" applyBorder="1" applyAlignment="1">
      <alignment horizontal="center" vertical="center"/>
    </xf>
    <xf numFmtId="165" fontId="3" fillId="0" borderId="39" xfId="9" applyNumberFormat="1" applyBorder="1" applyAlignment="1">
      <alignment horizontal="center"/>
    </xf>
    <xf numFmtId="165" fontId="3" fillId="0" borderId="40" xfId="9" applyNumberFormat="1" applyBorder="1" applyAlignment="1">
      <alignment horizontal="center"/>
    </xf>
  </cellXfs>
  <cellStyles count="13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evi.lunt/Documents/SharePoint%20Drafts/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B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133"/>
  <sheetViews>
    <sheetView tabSelected="1" zoomScale="126" zoomScaleNormal="126" zoomScaleSheetLayoutView="100" workbookViewId="0">
      <pane ySplit="3" topLeftCell="A4" activePane="bottomLeft" state="frozen"/>
      <selection pane="bottomLeft" activeCell="W3" sqref="W3"/>
    </sheetView>
  </sheetViews>
  <sheetFormatPr defaultRowHeight="12.75"/>
  <cols>
    <col min="1" max="1" width="3" bestFit="1" customWidth="1"/>
    <col min="2" max="2" width="10.140625" style="100" bestFit="1" customWidth="1"/>
    <col min="3" max="3" width="16.140625" customWidth="1"/>
    <col min="4" max="4" width="9" customWidth="1"/>
    <col min="5" max="5" width="11.85546875" style="1" customWidth="1"/>
    <col min="6" max="7" width="7.7109375" style="1" customWidth="1"/>
    <col min="8" max="8" width="8.7109375" style="2" customWidth="1"/>
    <col min="9" max="9" width="9.140625" style="2" customWidth="1"/>
    <col min="10" max="10" width="7.5703125" style="2" customWidth="1"/>
    <col min="11" max="12" width="8.140625" style="2" customWidth="1"/>
    <col min="13" max="13" width="7.140625" style="2" customWidth="1"/>
    <col min="14" max="14" width="8.140625" style="2" customWidth="1"/>
    <col min="15" max="15" width="7.140625" style="2" customWidth="1"/>
    <col min="16" max="16" width="10.7109375" style="69" customWidth="1"/>
    <col min="17" max="37" width="9.140625" customWidth="1"/>
    <col min="46" max="46" width="36.7109375" bestFit="1" customWidth="1"/>
  </cols>
  <sheetData>
    <row r="1" spans="1:16">
      <c r="A1" s="257"/>
      <c r="B1" s="257"/>
      <c r="C1" s="257"/>
      <c r="D1" s="257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259" t="s">
        <v>2</v>
      </c>
      <c r="C2" s="260" t="s">
        <v>3</v>
      </c>
      <c r="D2" s="255" t="s">
        <v>4</v>
      </c>
      <c r="E2" s="256" t="s">
        <v>0</v>
      </c>
      <c r="F2" s="246" t="s">
        <v>5</v>
      </c>
      <c r="G2" s="247"/>
      <c r="H2" s="248"/>
      <c r="I2" s="249" t="s">
        <v>6</v>
      </c>
      <c r="J2" s="250"/>
      <c r="K2" s="251"/>
      <c r="L2" s="3"/>
      <c r="M2" s="5"/>
      <c r="N2" s="5"/>
      <c r="O2" s="5"/>
      <c r="P2" s="69"/>
    </row>
    <row r="3" spans="1:16">
      <c r="A3" s="10"/>
      <c r="B3" s="259"/>
      <c r="C3" s="260"/>
      <c r="D3" s="255"/>
      <c r="E3" s="256"/>
      <c r="F3" s="23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3"/>
      <c r="C4" s="22"/>
      <c r="D4" s="25">
        <v>1</v>
      </c>
      <c r="E4" s="26" t="s">
        <v>1</v>
      </c>
      <c r="F4" s="24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16">
      <c r="A5" s="10"/>
      <c r="B5" s="13"/>
      <c r="C5" s="22"/>
      <c r="D5" s="27">
        <v>2</v>
      </c>
      <c r="E5" s="26" t="s">
        <v>1</v>
      </c>
      <c r="F5" s="24"/>
      <c r="G5" s="11"/>
      <c r="H5" s="17"/>
      <c r="I5" s="20"/>
      <c r="J5" s="12"/>
      <c r="K5" s="21">
        <f>360-60</f>
        <v>300</v>
      </c>
      <c r="L5" s="8"/>
      <c r="M5" s="15"/>
      <c r="N5" s="15"/>
      <c r="O5" s="15"/>
    </row>
    <row r="6" spans="1:16">
      <c r="A6" s="10"/>
      <c r="B6" s="13"/>
      <c r="C6" s="22"/>
      <c r="D6" s="27">
        <v>3</v>
      </c>
      <c r="E6" s="26" t="s">
        <v>1</v>
      </c>
      <c r="F6" s="24"/>
      <c r="G6" s="11"/>
      <c r="H6" s="17"/>
      <c r="I6" s="20"/>
      <c r="J6" s="12"/>
      <c r="K6" s="21">
        <f>360-60-65</f>
        <v>235</v>
      </c>
      <c r="L6" s="8"/>
      <c r="M6" s="15"/>
      <c r="N6" s="15"/>
      <c r="O6" s="15"/>
    </row>
    <row r="7" spans="1:16">
      <c r="A7" s="10"/>
      <c r="B7" s="13"/>
      <c r="C7" s="22"/>
      <c r="D7" s="27">
        <v>4</v>
      </c>
      <c r="E7" s="26" t="s">
        <v>1</v>
      </c>
      <c r="F7" s="24"/>
      <c r="G7" s="11"/>
      <c r="H7" s="17"/>
      <c r="I7" s="20"/>
      <c r="J7" s="12"/>
      <c r="K7" s="21">
        <f>360-60-65-60</f>
        <v>175</v>
      </c>
      <c r="L7" s="8"/>
      <c r="M7" s="15"/>
      <c r="N7" s="15"/>
      <c r="O7" s="15"/>
    </row>
    <row r="8" spans="1:16">
      <c r="A8" s="10"/>
      <c r="B8" s="29"/>
      <c r="C8" s="30"/>
      <c r="D8" s="31">
        <v>5</v>
      </c>
      <c r="E8" s="32" t="s">
        <v>1</v>
      </c>
      <c r="F8" s="33"/>
      <c r="G8" s="34"/>
      <c r="H8" s="35"/>
      <c r="I8" s="36"/>
      <c r="J8" s="37"/>
      <c r="K8" s="38">
        <f>360-60-65-60-60</f>
        <v>115</v>
      </c>
      <c r="L8" s="8"/>
      <c r="M8" s="15"/>
      <c r="N8" s="15"/>
      <c r="O8" s="15"/>
    </row>
    <row r="9" spans="1:16" ht="13.5" thickBot="1">
      <c r="A9" s="10"/>
      <c r="B9" s="40"/>
      <c r="C9" s="41"/>
      <c r="D9" s="42">
        <v>6</v>
      </c>
      <c r="E9" s="43" t="s">
        <v>1</v>
      </c>
      <c r="F9" s="44"/>
      <c r="G9" s="45"/>
      <c r="H9" s="46"/>
      <c r="I9" s="47"/>
      <c r="J9" s="48"/>
      <c r="K9" s="49">
        <v>60</v>
      </c>
      <c r="L9" s="8"/>
      <c r="M9" s="15"/>
      <c r="N9" s="15"/>
      <c r="O9" s="15"/>
    </row>
    <row r="10" spans="1:16" ht="14.25" thickTop="1" thickBot="1">
      <c r="A10" s="50" t="str">
        <f>IF(B10="","",RIGHT(TEXT(B10,"#.000"),2))</f>
        <v>01</v>
      </c>
      <c r="B10" s="252">
        <v>1.101</v>
      </c>
      <c r="C10" s="253" t="s">
        <v>77</v>
      </c>
      <c r="D10" s="51">
        <f>B10+0.0001</f>
        <v>1.1011</v>
      </c>
      <c r="E10" s="208">
        <v>1</v>
      </c>
      <c r="F10" s="52"/>
      <c r="G10" s="53">
        <v>0</v>
      </c>
      <c r="H10" s="54">
        <v>0</v>
      </c>
      <c r="I10" s="191">
        <v>0</v>
      </c>
      <c r="J10" s="192">
        <v>0</v>
      </c>
      <c r="K10" s="156">
        <v>0</v>
      </c>
      <c r="L10" s="157">
        <v>0</v>
      </c>
      <c r="M10" s="158">
        <f>G11*SIN(RADIANS(L10))</f>
        <v>0</v>
      </c>
      <c r="N10" s="158">
        <f>DEGREES(ASIN((M10+O10)/G11))</f>
        <v>0</v>
      </c>
      <c r="O10" s="159">
        <v>0</v>
      </c>
    </row>
    <row r="11" spans="1:16" ht="13.5" thickTop="1">
      <c r="A11" s="50" t="str">
        <f t="shared" ref="A11:A65" si="0">IF(B11="","",RIGHT(TEXT(B11,"#.000"),2))</f>
        <v/>
      </c>
      <c r="B11" s="242"/>
      <c r="C11" s="254"/>
      <c r="D11" s="55">
        <f>D10+0.0001</f>
        <v>1.1012</v>
      </c>
      <c r="E11" s="160">
        <f>D10</f>
        <v>1.1011</v>
      </c>
      <c r="F11" s="56"/>
      <c r="G11" s="57">
        <v>0.24990000000000001</v>
      </c>
      <c r="H11" s="58">
        <v>-0.28549999999999998</v>
      </c>
      <c r="I11" s="193">
        <v>10</v>
      </c>
      <c r="J11" s="194">
        <v>15</v>
      </c>
      <c r="K11" s="58">
        <v>0</v>
      </c>
      <c r="L11" s="161"/>
      <c r="M11" s="162"/>
      <c r="N11" s="162"/>
      <c r="O11" s="163"/>
      <c r="P11" s="70" t="s">
        <v>58</v>
      </c>
    </row>
    <row r="12" spans="1:16" ht="13.5" thickBot="1">
      <c r="A12" s="50" t="str">
        <f t="shared" si="0"/>
        <v>04</v>
      </c>
      <c r="B12" s="238">
        <v>1.1040000000000001</v>
      </c>
      <c r="C12" s="240" t="s">
        <v>77</v>
      </c>
      <c r="D12" s="28">
        <f>B12+0.0001</f>
        <v>1.1041000000000001</v>
      </c>
      <c r="E12" s="203">
        <v>1</v>
      </c>
      <c r="F12" s="59"/>
      <c r="G12" s="60">
        <v>0</v>
      </c>
      <c r="H12" s="61">
        <v>0</v>
      </c>
      <c r="I12" s="195">
        <v>0</v>
      </c>
      <c r="J12" s="196">
        <v>0</v>
      </c>
      <c r="K12" s="164">
        <v>0</v>
      </c>
      <c r="L12" s="165">
        <v>0</v>
      </c>
      <c r="M12" s="166">
        <f>G13*SIN(RADIANS(L12))</f>
        <v>0</v>
      </c>
      <c r="N12" s="166">
        <f>DEGREES(ASIN((M12+O12)/G13))</f>
        <v>0</v>
      </c>
      <c r="O12" s="167">
        <v>0</v>
      </c>
      <c r="P12" s="71" t="s">
        <v>99</v>
      </c>
    </row>
    <row r="13" spans="1:16" ht="13.5" thickTop="1">
      <c r="A13" s="50" t="str">
        <f t="shared" si="0"/>
        <v/>
      </c>
      <c r="B13" s="239"/>
      <c r="C13" s="258"/>
      <c r="D13" s="28">
        <f>D12+0.0001</f>
        <v>1.1042000000000001</v>
      </c>
      <c r="E13" s="164">
        <f>D12</f>
        <v>1.1041000000000001</v>
      </c>
      <c r="F13" s="59"/>
      <c r="G13" s="60">
        <v>0.75019999999999998</v>
      </c>
      <c r="H13" s="61">
        <v>-0.1973</v>
      </c>
      <c r="I13" s="195">
        <v>10</v>
      </c>
      <c r="J13" s="196">
        <v>15</v>
      </c>
      <c r="K13" s="61">
        <v>0</v>
      </c>
      <c r="L13" s="165"/>
      <c r="M13" s="168"/>
      <c r="N13" s="168"/>
      <c r="O13" s="167"/>
      <c r="P13" s="70" t="s">
        <v>59</v>
      </c>
    </row>
    <row r="14" spans="1:16" ht="13.5" thickBot="1">
      <c r="A14" s="50" t="str">
        <f t="shared" si="0"/>
        <v>07</v>
      </c>
      <c r="B14" s="241">
        <v>1.107</v>
      </c>
      <c r="C14" s="245" t="s">
        <v>77</v>
      </c>
      <c r="D14" s="55">
        <f>B14+0.0001</f>
        <v>1.1071</v>
      </c>
      <c r="E14" s="207">
        <v>1</v>
      </c>
      <c r="F14" s="56"/>
      <c r="G14" s="57">
        <v>0</v>
      </c>
      <c r="H14" s="58">
        <v>0</v>
      </c>
      <c r="I14" s="193">
        <v>0</v>
      </c>
      <c r="J14" s="194">
        <v>0</v>
      </c>
      <c r="K14" s="160">
        <v>0</v>
      </c>
      <c r="L14" s="161">
        <v>0</v>
      </c>
      <c r="M14" s="169">
        <f>G15*SIN(RADIANS(L14))</f>
        <v>0</v>
      </c>
      <c r="N14" s="169">
        <f>DEGREES(ASIN((M14+O14)/G15))</f>
        <v>0</v>
      </c>
      <c r="O14" s="163">
        <v>0</v>
      </c>
      <c r="P14" s="71" t="s">
        <v>100</v>
      </c>
    </row>
    <row r="15" spans="1:16" ht="13.5" thickTop="1">
      <c r="A15" s="50" t="str">
        <f t="shared" si="0"/>
        <v/>
      </c>
      <c r="B15" s="242"/>
      <c r="C15" s="244"/>
      <c r="D15" s="55">
        <f>D14+0.0001</f>
        <v>1.1072</v>
      </c>
      <c r="E15" s="160">
        <f>D14</f>
        <v>1.1071</v>
      </c>
      <c r="F15" s="56"/>
      <c r="G15" s="57">
        <v>1.2505999999999999</v>
      </c>
      <c r="H15" s="58">
        <v>-0.109</v>
      </c>
      <c r="I15" s="193">
        <v>10</v>
      </c>
      <c r="J15" s="194">
        <v>15</v>
      </c>
      <c r="K15" s="58">
        <v>0</v>
      </c>
      <c r="L15" s="161"/>
      <c r="M15" s="162"/>
      <c r="N15" s="162"/>
      <c r="O15" s="163"/>
      <c r="P15" s="70" t="s">
        <v>64</v>
      </c>
    </row>
    <row r="16" spans="1:16" ht="13.5" thickBot="1">
      <c r="A16" s="50" t="str">
        <f t="shared" si="0"/>
        <v>10</v>
      </c>
      <c r="B16" s="238">
        <v>1.1100000000000001</v>
      </c>
      <c r="C16" s="232" t="s">
        <v>17</v>
      </c>
      <c r="D16" s="28">
        <f>B16+0.0001</f>
        <v>1.1101000000000001</v>
      </c>
      <c r="E16" s="203">
        <v>1</v>
      </c>
      <c r="F16" s="59"/>
      <c r="G16" s="60">
        <v>0</v>
      </c>
      <c r="H16" s="61">
        <v>0</v>
      </c>
      <c r="I16" s="195">
        <v>0</v>
      </c>
      <c r="J16" s="196">
        <v>0</v>
      </c>
      <c r="K16" s="164">
        <f>N16</f>
        <v>-1.5</v>
      </c>
      <c r="L16" s="165">
        <v>-1.5</v>
      </c>
      <c r="M16" s="166">
        <f>G17*SIN(RADIANS(L16))</f>
        <v>-4.9861851136836784E-2</v>
      </c>
      <c r="N16" s="166">
        <f>DEGREES(ASIN((M16+O16)/G17))</f>
        <v>-1.5</v>
      </c>
      <c r="O16" s="167">
        <v>0</v>
      </c>
      <c r="P16" s="71" t="s">
        <v>104</v>
      </c>
    </row>
    <row r="17" spans="1:16" ht="13.5" thickTop="1">
      <c r="A17" s="50" t="str">
        <f t="shared" si="0"/>
        <v/>
      </c>
      <c r="B17" s="239"/>
      <c r="C17" s="233"/>
      <c r="D17" s="28">
        <f>D16+0.0001</f>
        <v>1.1102000000000001</v>
      </c>
      <c r="E17" s="164">
        <f>D16</f>
        <v>1.1101000000000001</v>
      </c>
      <c r="F17" s="59"/>
      <c r="G17" s="60">
        <v>1.9048</v>
      </c>
      <c r="H17" s="61">
        <v>-0.1014</v>
      </c>
      <c r="I17" s="195">
        <v>-5.2</v>
      </c>
      <c r="J17" s="196">
        <v>17.5</v>
      </c>
      <c r="K17" s="61">
        <v>-4.74</v>
      </c>
      <c r="L17" s="165"/>
      <c r="M17" s="168"/>
      <c r="N17" s="168"/>
      <c r="O17" s="167"/>
      <c r="P17" s="70" t="s">
        <v>72</v>
      </c>
    </row>
    <row r="18" spans="1:16" ht="13.5" thickBot="1">
      <c r="A18" s="50" t="str">
        <f t="shared" si="0"/>
        <v>13</v>
      </c>
      <c r="B18" s="241">
        <v>1.113</v>
      </c>
      <c r="C18" s="245" t="s">
        <v>17</v>
      </c>
      <c r="D18" s="55">
        <f>B18+0.0001</f>
        <v>1.1131</v>
      </c>
      <c r="E18" s="207">
        <v>1</v>
      </c>
      <c r="F18" s="56"/>
      <c r="G18" s="57">
        <v>0</v>
      </c>
      <c r="H18" s="58">
        <v>0</v>
      </c>
      <c r="I18" s="193">
        <v>0</v>
      </c>
      <c r="J18" s="194">
        <v>0</v>
      </c>
      <c r="K18" s="160">
        <f>N18</f>
        <v>-2.25</v>
      </c>
      <c r="L18" s="161">
        <v>-2.25</v>
      </c>
      <c r="M18" s="169">
        <f>G19*SIN(RADIANS(L18))</f>
        <v>-9.8899401878669732E-2</v>
      </c>
      <c r="N18" s="169">
        <f>DEGREES(ASIN((M18+O18)/G19))</f>
        <v>-2.25</v>
      </c>
      <c r="O18" s="163">
        <v>0</v>
      </c>
      <c r="P18" s="71" t="s">
        <v>105</v>
      </c>
    </row>
    <row r="19" spans="1:16" ht="13.5" thickTop="1">
      <c r="A19" s="50" t="str">
        <f t="shared" si="0"/>
        <v/>
      </c>
      <c r="B19" s="242"/>
      <c r="C19" s="244"/>
      <c r="D19" s="55">
        <f>D18+0.0001</f>
        <v>1.1132</v>
      </c>
      <c r="E19" s="160">
        <f>D18</f>
        <v>1.1131</v>
      </c>
      <c r="F19" s="56"/>
      <c r="G19" s="57">
        <v>2.5190999999999999</v>
      </c>
      <c r="H19" s="58">
        <v>-0.3332</v>
      </c>
      <c r="I19" s="193">
        <v>-23.9</v>
      </c>
      <c r="J19" s="194">
        <v>20</v>
      </c>
      <c r="K19" s="58">
        <v>-7.96</v>
      </c>
      <c r="L19" s="161"/>
      <c r="M19" s="162"/>
      <c r="N19" s="162"/>
      <c r="O19" s="163"/>
      <c r="P19" s="70" t="s">
        <v>73</v>
      </c>
    </row>
    <row r="20" spans="1:16" ht="13.5" thickBot="1">
      <c r="A20" s="50" t="str">
        <f t="shared" si="0"/>
        <v>16</v>
      </c>
      <c r="B20" s="238">
        <v>1.1160000000000001</v>
      </c>
      <c r="C20" s="232" t="s">
        <v>17</v>
      </c>
      <c r="D20" s="28">
        <f>B20+0.0001</f>
        <v>1.1161000000000001</v>
      </c>
      <c r="E20" s="203">
        <v>1</v>
      </c>
      <c r="F20" s="59"/>
      <c r="G20" s="60">
        <v>0</v>
      </c>
      <c r="H20" s="61">
        <v>0</v>
      </c>
      <c r="I20" s="195">
        <v>0</v>
      </c>
      <c r="J20" s="196">
        <v>0</v>
      </c>
      <c r="K20" s="164">
        <f>N20</f>
        <v>-3.4999999999999996</v>
      </c>
      <c r="L20" s="165">
        <v>-3.5</v>
      </c>
      <c r="M20" s="166">
        <f>G21*SIN(RADIANS(L20))</f>
        <v>-0.18050832169666478</v>
      </c>
      <c r="N20" s="166">
        <f>DEGREES(ASIN((M20+O20)/G21))</f>
        <v>-3.4999999999999996</v>
      </c>
      <c r="O20" s="167">
        <v>0</v>
      </c>
      <c r="P20" s="71" t="s">
        <v>106</v>
      </c>
    </row>
    <row r="21" spans="1:16" ht="13.5" thickTop="1">
      <c r="A21" s="50" t="str">
        <f t="shared" si="0"/>
        <v/>
      </c>
      <c r="B21" s="239"/>
      <c r="C21" s="233"/>
      <c r="D21" s="28">
        <f>D20+0.0001</f>
        <v>1.1162000000000001</v>
      </c>
      <c r="E21" s="164">
        <f>D20</f>
        <v>1.1161000000000001</v>
      </c>
      <c r="F21" s="59"/>
      <c r="G21" s="60">
        <v>2.9567999999999999</v>
      </c>
      <c r="H21" s="61">
        <v>-0.8155</v>
      </c>
      <c r="I21" s="195">
        <v>-42.5</v>
      </c>
      <c r="J21" s="196">
        <v>22.5</v>
      </c>
      <c r="K21" s="61">
        <v>-10.25</v>
      </c>
      <c r="L21" s="165"/>
      <c r="M21" s="168"/>
      <c r="N21" s="168"/>
      <c r="O21" s="167"/>
      <c r="P21" s="70" t="s">
        <v>74</v>
      </c>
    </row>
    <row r="22" spans="1:16" ht="13.5" thickBot="1">
      <c r="A22" s="50" t="str">
        <f t="shared" si="0"/>
        <v>19</v>
      </c>
      <c r="B22" s="241">
        <v>1.119</v>
      </c>
      <c r="C22" s="245" t="s">
        <v>17</v>
      </c>
      <c r="D22" s="55">
        <f>B22+0.0001</f>
        <v>1.1191</v>
      </c>
      <c r="E22" s="207">
        <v>1</v>
      </c>
      <c r="F22" s="56"/>
      <c r="G22" s="57">
        <v>0</v>
      </c>
      <c r="H22" s="58">
        <v>0</v>
      </c>
      <c r="I22" s="193">
        <v>0</v>
      </c>
      <c r="J22" s="194">
        <v>0</v>
      </c>
      <c r="K22" s="160">
        <f>N22</f>
        <v>-4</v>
      </c>
      <c r="L22" s="161">
        <v>-4</v>
      </c>
      <c r="M22" s="169">
        <f>G23*SIN(RADIANS(L22))</f>
        <v>-0.21830986022961454</v>
      </c>
      <c r="N22" s="169">
        <f>DEGREES(ASIN((M22+O22)/G23))</f>
        <v>-4</v>
      </c>
      <c r="O22" s="163">
        <v>0</v>
      </c>
      <c r="P22" s="71" t="s">
        <v>107</v>
      </c>
    </row>
    <row r="23" spans="1:16" ht="13.5" thickTop="1">
      <c r="A23" s="50" t="str">
        <f t="shared" si="0"/>
        <v/>
      </c>
      <c r="B23" s="242"/>
      <c r="C23" s="244"/>
      <c r="D23" s="55">
        <f>D22+0.0001</f>
        <v>1.1192</v>
      </c>
      <c r="E23" s="160">
        <f>D22</f>
        <v>1.1191</v>
      </c>
      <c r="F23" s="56"/>
      <c r="G23" s="57">
        <v>3.1295999999999999</v>
      </c>
      <c r="H23" s="58">
        <v>-1.4571000000000001</v>
      </c>
      <c r="I23" s="193">
        <v>-61.9</v>
      </c>
      <c r="J23" s="194">
        <v>25</v>
      </c>
      <c r="K23" s="58">
        <v>-11.15</v>
      </c>
      <c r="L23" s="161"/>
      <c r="M23" s="162"/>
      <c r="N23" s="162"/>
      <c r="O23" s="163"/>
      <c r="P23" s="70" t="s">
        <v>75</v>
      </c>
    </row>
    <row r="24" spans="1:16" ht="13.5" thickBot="1">
      <c r="A24" s="50" t="str">
        <f t="shared" ref="A24:A31" si="1">IF(B24="","",RIGHT(TEXT(B24,"#.000"),2))</f>
        <v>22</v>
      </c>
      <c r="B24" s="238">
        <v>1.1220000000000001</v>
      </c>
      <c r="C24" s="240" t="s">
        <v>10</v>
      </c>
      <c r="D24" s="28">
        <f>B24+0.0001</f>
        <v>1.1221000000000001</v>
      </c>
      <c r="E24" s="203">
        <v>1</v>
      </c>
      <c r="F24" s="59"/>
      <c r="G24" s="60">
        <v>0</v>
      </c>
      <c r="H24" s="61">
        <v>0</v>
      </c>
      <c r="I24" s="195">
        <v>0</v>
      </c>
      <c r="J24" s="196">
        <v>0</v>
      </c>
      <c r="K24" s="164">
        <f>N24</f>
        <v>-4.5000000000000009</v>
      </c>
      <c r="L24" s="165">
        <v>-4.5</v>
      </c>
      <c r="M24" s="166">
        <f>G25*SIN(RADIANS(L24))</f>
        <v>-0.24876240891470516</v>
      </c>
      <c r="N24" s="166">
        <f>DEGREES(ASIN((M24+O24)/G25))</f>
        <v>-4.5000000000000009</v>
      </c>
      <c r="O24" s="167">
        <v>0</v>
      </c>
      <c r="P24" s="71" t="s">
        <v>108</v>
      </c>
    </row>
    <row r="25" spans="1:16" ht="13.5" thickTop="1">
      <c r="A25" s="50" t="str">
        <f t="shared" si="1"/>
        <v/>
      </c>
      <c r="B25" s="239"/>
      <c r="C25" s="233"/>
      <c r="D25" s="28">
        <f>D24+0.0001</f>
        <v>1.1222000000000001</v>
      </c>
      <c r="E25" s="164">
        <f>D24</f>
        <v>1.1221000000000001</v>
      </c>
      <c r="F25" s="59"/>
      <c r="G25" s="60">
        <v>3.1705999999999999</v>
      </c>
      <c r="H25" s="61">
        <v>-2.0609999999999999</v>
      </c>
      <c r="I25" s="195">
        <v>-65</v>
      </c>
      <c r="J25" s="196">
        <v>30</v>
      </c>
      <c r="K25" s="61">
        <v>-11.37</v>
      </c>
      <c r="L25" s="165"/>
      <c r="M25" s="168"/>
      <c r="N25" s="168"/>
      <c r="O25" s="167"/>
      <c r="P25" s="70" t="s">
        <v>110</v>
      </c>
    </row>
    <row r="26" spans="1:16" ht="13.5" thickBot="1">
      <c r="A26" s="50" t="str">
        <f t="shared" ref="A26:A29" si="2">IF(B26="","",RIGHT(TEXT(B26,"#.000"),2))</f>
        <v>13</v>
      </c>
      <c r="B26" s="241">
        <v>1.2130000000000001</v>
      </c>
      <c r="C26" s="245" t="s">
        <v>17</v>
      </c>
      <c r="D26" s="55">
        <f>B26+0.0001</f>
        <v>1.2131000000000001</v>
      </c>
      <c r="E26" s="207">
        <v>1</v>
      </c>
      <c r="F26" s="56"/>
      <c r="G26" s="57">
        <v>0</v>
      </c>
      <c r="H26" s="58">
        <v>0</v>
      </c>
      <c r="I26" s="193">
        <v>0</v>
      </c>
      <c r="J26" s="194">
        <v>0</v>
      </c>
      <c r="K26" s="160">
        <f>N26</f>
        <v>-17.46</v>
      </c>
      <c r="L26" s="161">
        <v>-17.46</v>
      </c>
      <c r="M26" s="169">
        <f>G27*SIN(RADIANS(L26))</f>
        <v>-0.7558305278123989</v>
      </c>
      <c r="N26" s="169">
        <f>DEGREES(ASIN((M26+O26)/G27))</f>
        <v>-17.46</v>
      </c>
      <c r="O26" s="163">
        <v>0</v>
      </c>
      <c r="P26" s="71" t="s">
        <v>109</v>
      </c>
    </row>
    <row r="27" spans="1:16" ht="13.5" thickTop="1">
      <c r="A27" s="50" t="str">
        <f t="shared" si="2"/>
        <v/>
      </c>
      <c r="B27" s="242"/>
      <c r="C27" s="244"/>
      <c r="D27" s="55">
        <f>D26+0.0001</f>
        <v>1.2132000000000001</v>
      </c>
      <c r="E27" s="160">
        <f>D26</f>
        <v>1.2131000000000001</v>
      </c>
      <c r="F27" s="56"/>
      <c r="G27" s="57">
        <v>2.5190999999999999</v>
      </c>
      <c r="H27" s="58">
        <v>-0.34320000000000001</v>
      </c>
      <c r="I27" s="193">
        <v>-23.9</v>
      </c>
      <c r="J27" s="194">
        <v>22.5</v>
      </c>
      <c r="K27" s="58">
        <v>-7.96</v>
      </c>
      <c r="L27" s="161"/>
      <c r="M27" s="162"/>
      <c r="N27" s="162"/>
      <c r="O27" s="163"/>
      <c r="P27" s="70" t="s">
        <v>76</v>
      </c>
    </row>
    <row r="28" spans="1:16" ht="13.5" thickBot="1">
      <c r="A28" s="50" t="str">
        <f t="shared" si="2"/>
        <v>16</v>
      </c>
      <c r="B28" s="238">
        <v>1.216</v>
      </c>
      <c r="C28" s="232" t="s">
        <v>17</v>
      </c>
      <c r="D28" s="28">
        <f>B28+0.0001</f>
        <v>1.2161</v>
      </c>
      <c r="E28" s="203">
        <v>1</v>
      </c>
      <c r="F28" s="59"/>
      <c r="G28" s="60">
        <v>0</v>
      </c>
      <c r="H28" s="61">
        <v>0</v>
      </c>
      <c r="I28" s="195">
        <v>0</v>
      </c>
      <c r="J28" s="196">
        <v>0</v>
      </c>
      <c r="K28" s="164">
        <f>N28</f>
        <v>-16.43</v>
      </c>
      <c r="L28" s="165">
        <v>-16.43</v>
      </c>
      <c r="M28" s="166">
        <f>G29*SIN(RADIANS(L28))</f>
        <v>-0.83631229278540564</v>
      </c>
      <c r="N28" s="166">
        <f>DEGREES(ASIN((M28+O28)/G29))</f>
        <v>-16.43</v>
      </c>
      <c r="O28" s="167">
        <v>0</v>
      </c>
      <c r="P28" s="71" t="s">
        <v>111</v>
      </c>
    </row>
    <row r="29" spans="1:16" ht="13.5" thickTop="1">
      <c r="A29" s="50" t="str">
        <f t="shared" si="2"/>
        <v/>
      </c>
      <c r="B29" s="239"/>
      <c r="C29" s="233"/>
      <c r="D29" s="28">
        <f>D28+0.0001</f>
        <v>1.2161999999999999</v>
      </c>
      <c r="E29" s="164">
        <f>D28</f>
        <v>1.2161</v>
      </c>
      <c r="F29" s="59"/>
      <c r="G29" s="60">
        <v>2.9567999999999999</v>
      </c>
      <c r="H29" s="61">
        <v>-0.82550000000000001</v>
      </c>
      <c r="I29" s="195">
        <v>-42.5</v>
      </c>
      <c r="J29" s="196">
        <v>25</v>
      </c>
      <c r="K29" s="61">
        <v>-10.25</v>
      </c>
      <c r="L29" s="165"/>
      <c r="M29" s="168"/>
      <c r="N29" s="168"/>
      <c r="O29" s="167"/>
      <c r="P29" s="70" t="s">
        <v>112</v>
      </c>
    </row>
    <row r="30" spans="1:16" ht="13.5" thickBot="1">
      <c r="A30" s="50" t="str">
        <f t="shared" si="1"/>
        <v>00</v>
      </c>
      <c r="B30" s="230">
        <v>1.3</v>
      </c>
      <c r="C30" s="232" t="s">
        <v>10</v>
      </c>
      <c r="D30" s="28">
        <f>B30+0.0001</f>
        <v>1.3001</v>
      </c>
      <c r="E30" s="203">
        <v>1</v>
      </c>
      <c r="F30" s="59"/>
      <c r="G30" s="60">
        <v>0</v>
      </c>
      <c r="H30" s="61">
        <v>0</v>
      </c>
      <c r="I30" s="195">
        <v>0</v>
      </c>
      <c r="J30" s="196">
        <v>0</v>
      </c>
      <c r="K30" s="164">
        <f>N30</f>
        <v>-10</v>
      </c>
      <c r="L30" s="165">
        <v>-10</v>
      </c>
      <c r="M30" s="178">
        <f>G31*SIN(RADIANS(L30))</f>
        <v>-0.55393768675750776</v>
      </c>
      <c r="N30" s="178">
        <f>DEGREES(ASIN((M30+O30)/G31))</f>
        <v>-10</v>
      </c>
      <c r="O30" s="179">
        <v>0</v>
      </c>
      <c r="P30" s="71" t="s">
        <v>154</v>
      </c>
    </row>
    <row r="31" spans="1:16" ht="13.5" thickTop="1">
      <c r="A31" s="50" t="str">
        <f t="shared" si="1"/>
        <v/>
      </c>
      <c r="B31" s="231"/>
      <c r="C31" s="233"/>
      <c r="D31" s="28">
        <f>D30+0.0001</f>
        <v>1.3002</v>
      </c>
      <c r="E31" s="164">
        <f>D30</f>
        <v>1.3001</v>
      </c>
      <c r="F31" s="59"/>
      <c r="G31" s="60">
        <v>3.19</v>
      </c>
      <c r="H31" s="61">
        <v>-3.6909999999999998</v>
      </c>
      <c r="I31" s="195">
        <v>-100</v>
      </c>
      <c r="J31" s="196">
        <v>40</v>
      </c>
      <c r="K31" s="61">
        <v>0</v>
      </c>
      <c r="L31" s="165"/>
      <c r="M31" s="180"/>
      <c r="N31" s="180"/>
      <c r="O31" s="179"/>
      <c r="P31" s="70" t="s">
        <v>113</v>
      </c>
    </row>
    <row r="32" spans="1:16" ht="13.5" thickBot="1">
      <c r="A32" s="50" t="str">
        <f t="shared" ref="A32:A33" si="3">IF(B32="","",RIGHT(TEXT(B32,"#.000"),2))</f>
        <v>00</v>
      </c>
      <c r="B32" s="241">
        <v>1.4</v>
      </c>
      <c r="C32" s="245" t="s">
        <v>20</v>
      </c>
      <c r="D32" s="55">
        <f>B32+0.0001</f>
        <v>1.4000999999999999</v>
      </c>
      <c r="E32" s="207">
        <v>1</v>
      </c>
      <c r="F32" s="56"/>
      <c r="G32" s="57">
        <v>0</v>
      </c>
      <c r="H32" s="58">
        <v>0</v>
      </c>
      <c r="I32" s="193">
        <v>0</v>
      </c>
      <c r="J32" s="194">
        <v>0</v>
      </c>
      <c r="K32" s="160">
        <f>N32</f>
        <v>-17.46</v>
      </c>
      <c r="L32" s="161">
        <v>-17.46</v>
      </c>
      <c r="M32" s="169">
        <f>G33*SIN(RADIANS(L32))</f>
        <v>-0.92922358962923257</v>
      </c>
      <c r="N32" s="169">
        <f>DEGREES(ASIN((M32+O32)/G33))</f>
        <v>-17.46</v>
      </c>
      <c r="O32" s="163">
        <v>0</v>
      </c>
      <c r="P32" s="71" t="s">
        <v>155</v>
      </c>
    </row>
    <row r="33" spans="1:17" ht="13.5" thickTop="1">
      <c r="A33" s="50" t="str">
        <f t="shared" si="3"/>
        <v/>
      </c>
      <c r="B33" s="242"/>
      <c r="C33" s="244"/>
      <c r="D33" s="55">
        <f>D32+0.0001</f>
        <v>1.4001999999999999</v>
      </c>
      <c r="E33" s="160">
        <f>D32</f>
        <v>1.4000999999999999</v>
      </c>
      <c r="F33" s="56"/>
      <c r="G33" s="57">
        <v>3.097</v>
      </c>
      <c r="H33" s="58">
        <v>-1.4821</v>
      </c>
      <c r="I33" s="193">
        <v>-61.9</v>
      </c>
      <c r="J33" s="194">
        <v>0</v>
      </c>
      <c r="K33" s="58">
        <v>0</v>
      </c>
      <c r="L33" s="161"/>
      <c r="M33" s="162"/>
      <c r="N33" s="162"/>
      <c r="O33" s="163"/>
      <c r="P33" s="70" t="s">
        <v>115</v>
      </c>
    </row>
    <row r="34" spans="1:17" s="4" customFormat="1" ht="13.5" thickBot="1">
      <c r="A34" s="50" t="str">
        <f t="shared" si="0"/>
        <v>11</v>
      </c>
      <c r="B34" s="226">
        <v>2.1110000000000002</v>
      </c>
      <c r="C34" s="228" t="s">
        <v>17</v>
      </c>
      <c r="D34" s="65">
        <f>B34+0.0001</f>
        <v>2.1111000000000004</v>
      </c>
      <c r="E34" s="205">
        <v>2</v>
      </c>
      <c r="F34" s="66"/>
      <c r="G34" s="67">
        <v>0</v>
      </c>
      <c r="H34" s="68">
        <v>0</v>
      </c>
      <c r="I34" s="201">
        <v>0</v>
      </c>
      <c r="J34" s="202">
        <v>0</v>
      </c>
      <c r="K34" s="186">
        <f>N34</f>
        <v>-1.18</v>
      </c>
      <c r="L34" s="187">
        <v>-1.18</v>
      </c>
      <c r="M34" s="188">
        <f>G35*SIN(RADIANS(L34))</f>
        <v>-4.3688960302527446E-2</v>
      </c>
      <c r="N34" s="188">
        <f>DEGREES(ASIN((M34+O34)/G35))</f>
        <v>-1.18</v>
      </c>
      <c r="O34" s="189">
        <v>0</v>
      </c>
      <c r="P34" s="71" t="s">
        <v>114</v>
      </c>
      <c r="Q34"/>
    </row>
    <row r="35" spans="1:17" ht="13.5" thickTop="1">
      <c r="A35" s="50" t="str">
        <f t="shared" si="0"/>
        <v/>
      </c>
      <c r="B35" s="227"/>
      <c r="C35" s="229"/>
      <c r="D35" s="65">
        <f>D34+0.0001</f>
        <v>2.1112000000000006</v>
      </c>
      <c r="E35" s="186">
        <f>D34</f>
        <v>2.1111000000000004</v>
      </c>
      <c r="F35" s="66"/>
      <c r="G35" s="67">
        <v>2.1215000000000002</v>
      </c>
      <c r="H35" s="68">
        <v>-0.14729999999999999</v>
      </c>
      <c r="I35" s="201">
        <v>-11.4</v>
      </c>
      <c r="J35" s="202">
        <v>17.5</v>
      </c>
      <c r="K35" s="68">
        <v>-5.88</v>
      </c>
      <c r="L35" s="187"/>
      <c r="M35" s="190"/>
      <c r="N35" s="190"/>
      <c r="O35" s="189"/>
      <c r="P35" s="70" t="s">
        <v>78</v>
      </c>
    </row>
    <row r="36" spans="1:17" ht="13.5" thickBot="1">
      <c r="A36" s="50" t="str">
        <f t="shared" si="0"/>
        <v>14</v>
      </c>
      <c r="B36" s="230">
        <v>2.1139999999999999</v>
      </c>
      <c r="C36" s="232" t="s">
        <v>17</v>
      </c>
      <c r="D36" s="28">
        <f>B36+0.0001</f>
        <v>2.1141000000000001</v>
      </c>
      <c r="E36" s="203">
        <v>2</v>
      </c>
      <c r="F36" s="59"/>
      <c r="G36" s="60">
        <v>0</v>
      </c>
      <c r="H36" s="61">
        <v>0</v>
      </c>
      <c r="I36" s="195">
        <v>0</v>
      </c>
      <c r="J36" s="196">
        <v>0</v>
      </c>
      <c r="K36" s="164">
        <f>N36</f>
        <v>-2.5</v>
      </c>
      <c r="L36" s="165">
        <v>-2.5</v>
      </c>
      <c r="M36" s="178">
        <f>G37*SIN(RADIANS(L36))</f>
        <v>-0.1172794468091789</v>
      </c>
      <c r="N36" s="178">
        <f>DEGREES(ASIN((M36+O36)/G37))</f>
        <v>-2.5</v>
      </c>
      <c r="O36" s="179">
        <v>0</v>
      </c>
      <c r="P36" s="71" t="s">
        <v>116</v>
      </c>
    </row>
    <row r="37" spans="1:17" ht="13.5" thickTop="1">
      <c r="A37" s="50" t="str">
        <f t="shared" si="0"/>
        <v/>
      </c>
      <c r="B37" s="231"/>
      <c r="C37" s="233"/>
      <c r="D37" s="28">
        <f>D36+0.0001</f>
        <v>2.1142000000000003</v>
      </c>
      <c r="E37" s="164">
        <f>D36</f>
        <v>2.1141000000000001</v>
      </c>
      <c r="F37" s="59"/>
      <c r="G37" s="60">
        <v>2.6886999999999999</v>
      </c>
      <c r="H37" s="61">
        <v>-0.47070000000000001</v>
      </c>
      <c r="I37" s="195">
        <v>-30</v>
      </c>
      <c r="J37" s="196">
        <v>20</v>
      </c>
      <c r="K37" s="61">
        <v>-8.85</v>
      </c>
      <c r="L37" s="165"/>
      <c r="M37" s="180"/>
      <c r="N37" s="180"/>
      <c r="O37" s="179"/>
      <c r="P37" s="70" t="s">
        <v>79</v>
      </c>
    </row>
    <row r="38" spans="1:17" s="4" customFormat="1" ht="13.5" thickBot="1">
      <c r="A38" s="50" t="str">
        <f t="shared" si="0"/>
        <v>17</v>
      </c>
      <c r="B38" s="226">
        <v>2.117</v>
      </c>
      <c r="C38" s="228" t="s">
        <v>17</v>
      </c>
      <c r="D38" s="65">
        <f>B38+0.0001</f>
        <v>2.1171000000000002</v>
      </c>
      <c r="E38" s="205">
        <v>2</v>
      </c>
      <c r="F38" s="66"/>
      <c r="G38" s="67">
        <v>0</v>
      </c>
      <c r="H38" s="68">
        <v>0</v>
      </c>
      <c r="I38" s="201">
        <v>0</v>
      </c>
      <c r="J38" s="202">
        <v>0</v>
      </c>
      <c r="K38" s="186">
        <f>N38</f>
        <v>-3.7499999999999996</v>
      </c>
      <c r="L38" s="187">
        <v>-3.75</v>
      </c>
      <c r="M38" s="188">
        <f>G39*SIN(RADIANS(L38))</f>
        <v>-0.19922447194793877</v>
      </c>
      <c r="N38" s="188">
        <f>DEGREES(ASIN((M38+O38)/G39))</f>
        <v>-3.7499999999999996</v>
      </c>
      <c r="O38" s="189">
        <v>0</v>
      </c>
      <c r="P38" s="71" t="s">
        <v>117</v>
      </c>
      <c r="Q38"/>
    </row>
    <row r="39" spans="1:17" ht="13.5" thickTop="1">
      <c r="A39" s="50" t="str">
        <f t="shared" si="0"/>
        <v/>
      </c>
      <c r="B39" s="227"/>
      <c r="C39" s="229"/>
      <c r="D39" s="65">
        <f>D38+0.0001</f>
        <v>2.1172000000000004</v>
      </c>
      <c r="E39" s="186">
        <f>D38</f>
        <v>2.1171000000000002</v>
      </c>
      <c r="F39" s="66"/>
      <c r="G39" s="67">
        <v>3.0461</v>
      </c>
      <c r="H39" s="68">
        <v>-1.0159</v>
      </c>
      <c r="I39" s="201">
        <v>-48.8</v>
      </c>
      <c r="J39" s="202">
        <v>22.5</v>
      </c>
      <c r="K39" s="68">
        <v>-10.72</v>
      </c>
      <c r="L39" s="187"/>
      <c r="M39" s="190"/>
      <c r="N39" s="190"/>
      <c r="O39" s="189"/>
      <c r="P39" s="70" t="s">
        <v>80</v>
      </c>
    </row>
    <row r="40" spans="1:17" s="4" customFormat="1" ht="13.5" thickBot="1">
      <c r="A40" s="50" t="str">
        <f t="shared" si="0"/>
        <v>20</v>
      </c>
      <c r="B40" s="230">
        <v>2.12</v>
      </c>
      <c r="C40" s="232" t="s">
        <v>17</v>
      </c>
      <c r="D40" s="28">
        <f>B40+0.0001</f>
        <v>2.1201000000000003</v>
      </c>
      <c r="E40" s="203">
        <v>2</v>
      </c>
      <c r="F40" s="59"/>
      <c r="G40" s="60">
        <v>0</v>
      </c>
      <c r="H40" s="61">
        <v>0</v>
      </c>
      <c r="I40" s="195">
        <v>0</v>
      </c>
      <c r="J40" s="196">
        <v>0</v>
      </c>
      <c r="K40" s="164">
        <f>N40</f>
        <v>-4.25</v>
      </c>
      <c r="L40" s="165">
        <v>-4.25</v>
      </c>
      <c r="M40" s="178">
        <f>G41*SIN(RADIANS(L40))</f>
        <v>-0.23201145025473641</v>
      </c>
      <c r="N40" s="178">
        <f>DEGREES(ASIN((M40+O40)/G41))</f>
        <v>-4.25</v>
      </c>
      <c r="O40" s="179">
        <v>0</v>
      </c>
      <c r="P40" s="71" t="s">
        <v>118</v>
      </c>
      <c r="Q40"/>
    </row>
    <row r="41" spans="1:17" ht="13.5" thickTop="1">
      <c r="A41" s="50" t="str">
        <f t="shared" si="0"/>
        <v/>
      </c>
      <c r="B41" s="231"/>
      <c r="C41" s="233"/>
      <c r="D41" s="28">
        <f>D40+0.0001</f>
        <v>2.1202000000000005</v>
      </c>
      <c r="E41" s="164">
        <f>D40</f>
        <v>2.1201000000000003</v>
      </c>
      <c r="F41" s="59"/>
      <c r="G41" s="60">
        <v>3.1307</v>
      </c>
      <c r="H41" s="61">
        <v>-1.6708000000000001</v>
      </c>
      <c r="I41" s="195">
        <v>-65</v>
      </c>
      <c r="J41" s="196">
        <v>25</v>
      </c>
      <c r="K41" s="61">
        <v>-11.16</v>
      </c>
      <c r="L41" s="165"/>
      <c r="M41" s="180"/>
      <c r="N41" s="180"/>
      <c r="O41" s="179"/>
      <c r="P41" s="70" t="s">
        <v>120</v>
      </c>
    </row>
    <row r="42" spans="1:17" s="4" customFormat="1" ht="13.5" thickBot="1">
      <c r="A42" s="50" t="str">
        <f t="shared" ref="A42:A45" si="4">IF(B42="","",RIGHT(TEXT(B42,"#.000"),2))</f>
        <v>23</v>
      </c>
      <c r="B42" s="226">
        <v>2.1230000000000002</v>
      </c>
      <c r="C42" s="228" t="s">
        <v>17</v>
      </c>
      <c r="D42" s="65">
        <f>B42+0.0001</f>
        <v>2.1231000000000004</v>
      </c>
      <c r="E42" s="205">
        <v>2</v>
      </c>
      <c r="F42" s="66"/>
      <c r="G42" s="67">
        <v>0</v>
      </c>
      <c r="H42" s="68">
        <v>0</v>
      </c>
      <c r="I42" s="201">
        <v>0</v>
      </c>
      <c r="J42" s="202">
        <v>0</v>
      </c>
      <c r="K42" s="186">
        <f>N42</f>
        <v>-4.5000000000000009</v>
      </c>
      <c r="L42" s="187">
        <v>-4.5</v>
      </c>
      <c r="M42" s="188">
        <f>G43*SIN(RADIANS(L42))</f>
        <v>-0.24876240891470516</v>
      </c>
      <c r="N42" s="188">
        <f>DEGREES(ASIN((M42+O42)/G43))</f>
        <v>-4.5000000000000009</v>
      </c>
      <c r="O42" s="189">
        <v>0</v>
      </c>
      <c r="P42" s="71" t="s">
        <v>119</v>
      </c>
      <c r="Q42"/>
    </row>
    <row r="43" spans="1:17" ht="13.5" thickTop="1">
      <c r="A43" s="50" t="str">
        <f t="shared" si="4"/>
        <v/>
      </c>
      <c r="B43" s="227"/>
      <c r="C43" s="229"/>
      <c r="D43" s="65">
        <f>D42+0.0001</f>
        <v>2.1232000000000006</v>
      </c>
      <c r="E43" s="186">
        <f>D42</f>
        <v>2.1231000000000004</v>
      </c>
      <c r="F43" s="66"/>
      <c r="G43" s="67">
        <v>3.1705999999999999</v>
      </c>
      <c r="H43" s="68">
        <v>-2.2816999999999998</v>
      </c>
      <c r="I43" s="201">
        <v>-65</v>
      </c>
      <c r="J43" s="202">
        <v>30</v>
      </c>
      <c r="K43" s="68">
        <v>-11.37</v>
      </c>
      <c r="L43" s="187"/>
      <c r="M43" s="190"/>
      <c r="N43" s="190"/>
      <c r="O43" s="189"/>
      <c r="P43" s="70" t="s">
        <v>122</v>
      </c>
    </row>
    <row r="44" spans="1:17" s="4" customFormat="1" ht="13.5" thickBot="1">
      <c r="A44" s="50" t="str">
        <f t="shared" si="4"/>
        <v>14</v>
      </c>
      <c r="B44" s="230">
        <v>2.214</v>
      </c>
      <c r="C44" s="232" t="s">
        <v>17</v>
      </c>
      <c r="D44" s="28">
        <f>B44+0.0001</f>
        <v>2.2141000000000002</v>
      </c>
      <c r="E44" s="203">
        <v>2</v>
      </c>
      <c r="F44" s="59"/>
      <c r="G44" s="60">
        <v>0</v>
      </c>
      <c r="H44" s="61">
        <v>0</v>
      </c>
      <c r="I44" s="195">
        <v>0</v>
      </c>
      <c r="J44" s="196">
        <v>0</v>
      </c>
      <c r="K44" s="164">
        <f>N44</f>
        <v>-16.720000000000002</v>
      </c>
      <c r="L44" s="165">
        <v>-16.72</v>
      </c>
      <c r="M44" s="178">
        <f>G45*SIN(RADIANS(L44))</f>
        <v>-0.77352513098726061</v>
      </c>
      <c r="N44" s="178">
        <f>DEGREES(ASIN((M44+O44)/G45))</f>
        <v>-16.720000000000002</v>
      </c>
      <c r="O44" s="179">
        <v>0</v>
      </c>
      <c r="P44" s="71" t="s">
        <v>121</v>
      </c>
      <c r="Q44"/>
    </row>
    <row r="45" spans="1:17" ht="13.5" thickTop="1">
      <c r="A45" s="50" t="str">
        <f t="shared" si="4"/>
        <v/>
      </c>
      <c r="B45" s="231"/>
      <c r="C45" s="233"/>
      <c r="D45" s="28">
        <f>D44+0.0001</f>
        <v>2.2142000000000004</v>
      </c>
      <c r="E45" s="164">
        <f>D44</f>
        <v>2.2141000000000002</v>
      </c>
      <c r="F45" s="59"/>
      <c r="G45" s="60">
        <v>2.6886999999999999</v>
      </c>
      <c r="H45" s="61">
        <v>-0.48070000000000002</v>
      </c>
      <c r="I45" s="195">
        <v>-30</v>
      </c>
      <c r="J45" s="196">
        <v>22.5</v>
      </c>
      <c r="K45" s="61">
        <v>-8.85</v>
      </c>
      <c r="L45" s="165"/>
      <c r="M45" s="180"/>
      <c r="N45" s="180"/>
      <c r="O45" s="179"/>
      <c r="P45" s="70" t="s">
        <v>94</v>
      </c>
    </row>
    <row r="46" spans="1:17" s="4" customFormat="1" ht="13.5" thickBot="1">
      <c r="A46" s="50" t="str">
        <f t="shared" ref="A46:A51" si="5">IF(B46="","",RIGHT(TEXT(B46,"#.000"),2))</f>
        <v>17</v>
      </c>
      <c r="B46" s="226">
        <v>2.2170000000000001</v>
      </c>
      <c r="C46" s="228" t="s">
        <v>17</v>
      </c>
      <c r="D46" s="65">
        <f>B46+0.0001</f>
        <v>2.2171000000000003</v>
      </c>
      <c r="E46" s="205">
        <v>2</v>
      </c>
      <c r="F46" s="66"/>
      <c r="G46" s="67">
        <v>0</v>
      </c>
      <c r="H46" s="68">
        <v>0</v>
      </c>
      <c r="I46" s="201">
        <v>0</v>
      </c>
      <c r="J46" s="202">
        <v>0</v>
      </c>
      <c r="K46" s="186">
        <f>N46</f>
        <v>-16.16</v>
      </c>
      <c r="L46" s="187">
        <v>-16.16</v>
      </c>
      <c r="M46" s="188">
        <f>G47*SIN(RADIANS(L46))</f>
        <v>-0.84779246081176762</v>
      </c>
      <c r="N46" s="188">
        <f>DEGREES(ASIN((M46+O46)/G47))</f>
        <v>-16.16</v>
      </c>
      <c r="O46" s="189">
        <v>0</v>
      </c>
      <c r="P46" s="71" t="s">
        <v>111</v>
      </c>
      <c r="Q46"/>
    </row>
    <row r="47" spans="1:17" ht="13.5" thickTop="1">
      <c r="A47" s="50" t="str">
        <f t="shared" si="5"/>
        <v/>
      </c>
      <c r="B47" s="227"/>
      <c r="C47" s="229"/>
      <c r="D47" s="65">
        <f>D46+0.0001</f>
        <v>2.2172000000000005</v>
      </c>
      <c r="E47" s="186">
        <f>D46</f>
        <v>2.2171000000000003</v>
      </c>
      <c r="F47" s="66"/>
      <c r="G47" s="67">
        <v>3.0461</v>
      </c>
      <c r="H47" s="68">
        <v>-1.0259</v>
      </c>
      <c r="I47" s="201">
        <v>-48.8</v>
      </c>
      <c r="J47" s="202">
        <v>25</v>
      </c>
      <c r="K47" s="68">
        <v>-10.72</v>
      </c>
      <c r="L47" s="187"/>
      <c r="M47" s="190"/>
      <c r="N47" s="190"/>
      <c r="O47" s="189"/>
      <c r="P47" s="70" t="s">
        <v>124</v>
      </c>
    </row>
    <row r="48" spans="1:17" s="4" customFormat="1" ht="13.5" thickBot="1">
      <c r="A48" s="50" t="str">
        <f t="shared" ref="A48:A49" si="6">IF(B48="","",RIGHT(TEXT(B48,"#.000"),2))</f>
        <v>00</v>
      </c>
      <c r="B48" s="230">
        <v>2.2999999999999998</v>
      </c>
      <c r="C48" s="232" t="s">
        <v>20</v>
      </c>
      <c r="D48" s="28">
        <f>B48+0.0001</f>
        <v>2.3001</v>
      </c>
      <c r="E48" s="203">
        <v>2</v>
      </c>
      <c r="F48" s="59"/>
      <c r="G48" s="60">
        <v>0</v>
      </c>
      <c r="H48" s="61">
        <v>0</v>
      </c>
      <c r="I48" s="195">
        <v>0</v>
      </c>
      <c r="J48" s="196">
        <v>0</v>
      </c>
      <c r="K48" s="164">
        <f>N48</f>
        <v>-17.5</v>
      </c>
      <c r="L48" s="165">
        <v>-17.5</v>
      </c>
      <c r="M48" s="178">
        <f>G49*SIN(RADIANS(L48))</f>
        <v>-0.93125579048478346</v>
      </c>
      <c r="N48" s="178">
        <f>DEGREES(ASIN((M48+O48)/G49))</f>
        <v>-17.5</v>
      </c>
      <c r="O48" s="179">
        <v>0</v>
      </c>
      <c r="P48" s="71" t="s">
        <v>123</v>
      </c>
      <c r="Q48"/>
    </row>
    <row r="49" spans="1:17" ht="13.5" thickTop="1">
      <c r="A49" s="50" t="str">
        <f t="shared" si="6"/>
        <v/>
      </c>
      <c r="B49" s="231"/>
      <c r="C49" s="233"/>
      <c r="D49" s="28">
        <f>D48+0.0001</f>
        <v>2.3002000000000002</v>
      </c>
      <c r="E49" s="164">
        <f>D48</f>
        <v>2.3001</v>
      </c>
      <c r="F49" s="59"/>
      <c r="G49" s="60">
        <v>3.0969000000000002</v>
      </c>
      <c r="H49" s="61">
        <v>-1.6865000000000001</v>
      </c>
      <c r="I49" s="195">
        <v>-65</v>
      </c>
      <c r="J49" s="196">
        <v>0</v>
      </c>
      <c r="K49" s="61">
        <v>0</v>
      </c>
      <c r="L49" s="165"/>
      <c r="M49" s="180"/>
      <c r="N49" s="180"/>
      <c r="O49" s="179"/>
      <c r="P49" s="70" t="s">
        <v>125</v>
      </c>
    </row>
    <row r="50" spans="1:17" s="4" customFormat="1" ht="13.5" thickBot="1">
      <c r="A50" s="50" t="str">
        <f t="shared" si="5"/>
        <v>00</v>
      </c>
      <c r="B50" s="226">
        <v>2.4</v>
      </c>
      <c r="C50" s="228" t="s">
        <v>10</v>
      </c>
      <c r="D50" s="65">
        <f>B50+0.0001</f>
        <v>2.4001000000000001</v>
      </c>
      <c r="E50" s="205">
        <v>2</v>
      </c>
      <c r="F50" s="66"/>
      <c r="G50" s="67">
        <v>0</v>
      </c>
      <c r="H50" s="68">
        <v>0</v>
      </c>
      <c r="I50" s="201">
        <v>0</v>
      </c>
      <c r="J50" s="202">
        <v>0</v>
      </c>
      <c r="K50" s="186">
        <f>N50</f>
        <v>-10</v>
      </c>
      <c r="L50" s="187">
        <v>-10</v>
      </c>
      <c r="M50" s="188">
        <f>G51*SIN(RADIANS(L50))</f>
        <v>-0.55393768675750776</v>
      </c>
      <c r="N50" s="188">
        <f>DEGREES(ASIN((M50+O50)/G51))</f>
        <v>-10</v>
      </c>
      <c r="O50" s="189">
        <v>0</v>
      </c>
      <c r="P50" s="71" t="s">
        <v>156</v>
      </c>
      <c r="Q50"/>
    </row>
    <row r="51" spans="1:17" ht="13.5" thickTop="1">
      <c r="A51" s="50" t="str">
        <f t="shared" si="5"/>
        <v/>
      </c>
      <c r="B51" s="227"/>
      <c r="C51" s="229"/>
      <c r="D51" s="65">
        <f>D50+0.0001</f>
        <v>2.4002000000000003</v>
      </c>
      <c r="E51" s="186">
        <f>D50</f>
        <v>2.4001000000000001</v>
      </c>
      <c r="F51" s="66"/>
      <c r="G51" s="67">
        <v>3.19</v>
      </c>
      <c r="H51" s="68">
        <v>-3.6909999999999998</v>
      </c>
      <c r="I51" s="201">
        <v>-100</v>
      </c>
      <c r="J51" s="202">
        <v>40</v>
      </c>
      <c r="K51" s="68">
        <v>0</v>
      </c>
      <c r="L51" s="187"/>
      <c r="M51" s="190"/>
      <c r="N51" s="190"/>
      <c r="O51" s="189"/>
      <c r="P51" s="70" t="s">
        <v>126</v>
      </c>
    </row>
    <row r="52" spans="1:17" ht="13.5" thickBot="1">
      <c r="A52" s="50" t="str">
        <f t="shared" si="0"/>
        <v>03</v>
      </c>
      <c r="B52" s="234">
        <v>3.1030000000000002</v>
      </c>
      <c r="C52" s="236" t="s">
        <v>77</v>
      </c>
      <c r="D52" s="39">
        <f>B52+0.0001</f>
        <v>3.1031000000000004</v>
      </c>
      <c r="E52" s="206">
        <v>3</v>
      </c>
      <c r="F52" s="62"/>
      <c r="G52" s="63">
        <v>0</v>
      </c>
      <c r="H52" s="64">
        <v>0</v>
      </c>
      <c r="I52" s="199">
        <v>0</v>
      </c>
      <c r="J52" s="200">
        <v>0</v>
      </c>
      <c r="K52" s="181">
        <f>N52</f>
        <v>0</v>
      </c>
      <c r="L52" s="182">
        <v>0</v>
      </c>
      <c r="M52" s="183">
        <f>G53*SIN(RADIANS(L52))</f>
        <v>0</v>
      </c>
      <c r="N52" s="183">
        <f>DEGREES(ASIN((M52+O52)/G53))</f>
        <v>0</v>
      </c>
      <c r="O52" s="184">
        <v>0</v>
      </c>
      <c r="P52" s="71" t="s">
        <v>157</v>
      </c>
    </row>
    <row r="53" spans="1:17" ht="13.5" thickTop="1">
      <c r="A53" s="50" t="str">
        <f t="shared" si="0"/>
        <v/>
      </c>
      <c r="B53" s="235"/>
      <c r="C53" s="237"/>
      <c r="D53" s="39">
        <f>D52+0.0001</f>
        <v>3.1032000000000006</v>
      </c>
      <c r="E53" s="181">
        <f>D52</f>
        <v>3.1031000000000004</v>
      </c>
      <c r="F53" s="62"/>
      <c r="G53" s="63">
        <v>0.5847</v>
      </c>
      <c r="H53" s="64">
        <v>-0.22650000000000001</v>
      </c>
      <c r="I53" s="199">
        <v>10</v>
      </c>
      <c r="J53" s="200">
        <v>15</v>
      </c>
      <c r="K53" s="64">
        <v>0</v>
      </c>
      <c r="L53" s="182"/>
      <c r="M53" s="185"/>
      <c r="N53" s="185"/>
      <c r="O53" s="184"/>
      <c r="P53" s="70" t="s">
        <v>60</v>
      </c>
    </row>
    <row r="54" spans="1:17" ht="13.5" thickBot="1">
      <c r="A54" s="50" t="str">
        <f t="shared" si="0"/>
        <v>06</v>
      </c>
      <c r="B54" s="230">
        <v>3.1059999999999999</v>
      </c>
      <c r="C54" s="232" t="s">
        <v>77</v>
      </c>
      <c r="D54" s="28">
        <f>B54+0.0001</f>
        <v>3.1061000000000001</v>
      </c>
      <c r="E54" s="203">
        <v>3</v>
      </c>
      <c r="F54" s="59"/>
      <c r="G54" s="60">
        <v>0</v>
      </c>
      <c r="H54" s="61">
        <v>0</v>
      </c>
      <c r="I54" s="195">
        <v>0</v>
      </c>
      <c r="J54" s="196">
        <v>0</v>
      </c>
      <c r="K54" s="164">
        <f>N54</f>
        <v>0</v>
      </c>
      <c r="L54" s="165">
        <v>0</v>
      </c>
      <c r="M54" s="178">
        <f>G55*SIN(RADIANS(L54))</f>
        <v>0</v>
      </c>
      <c r="N54" s="178">
        <f>DEGREES(ASIN((M54+O54)/G55))</f>
        <v>0</v>
      </c>
      <c r="O54" s="179">
        <v>0</v>
      </c>
      <c r="P54" s="71" t="s">
        <v>99</v>
      </c>
    </row>
    <row r="55" spans="1:17" ht="13.5" thickTop="1">
      <c r="A55" s="50" t="str">
        <f t="shared" si="0"/>
        <v/>
      </c>
      <c r="B55" s="231"/>
      <c r="C55" s="233"/>
      <c r="D55" s="28">
        <f>D54+0.0001</f>
        <v>3.1062000000000003</v>
      </c>
      <c r="E55" s="164">
        <f>D54</f>
        <v>3.1061000000000001</v>
      </c>
      <c r="F55" s="59"/>
      <c r="G55" s="60">
        <v>1.085</v>
      </c>
      <c r="H55" s="61">
        <v>-0.13819999999999999</v>
      </c>
      <c r="I55" s="195">
        <v>10</v>
      </c>
      <c r="J55" s="196">
        <v>15</v>
      </c>
      <c r="K55" s="61">
        <v>0</v>
      </c>
      <c r="L55" s="165"/>
      <c r="M55" s="180"/>
      <c r="N55" s="180"/>
      <c r="O55" s="179"/>
      <c r="P55" s="70" t="s">
        <v>61</v>
      </c>
    </row>
    <row r="56" spans="1:17" ht="13.5" thickBot="1">
      <c r="A56" s="50" t="str">
        <f t="shared" si="0"/>
        <v>09</v>
      </c>
      <c r="B56" s="234">
        <v>3.109</v>
      </c>
      <c r="C56" s="236" t="s">
        <v>17</v>
      </c>
      <c r="D56" s="39">
        <f>B56+0.0001</f>
        <v>3.1091000000000002</v>
      </c>
      <c r="E56" s="206">
        <v>3</v>
      </c>
      <c r="F56" s="62"/>
      <c r="G56" s="63">
        <v>0</v>
      </c>
      <c r="H56" s="64">
        <v>0</v>
      </c>
      <c r="I56" s="199">
        <v>0</v>
      </c>
      <c r="J56" s="200">
        <v>0</v>
      </c>
      <c r="K56" s="181">
        <f>N56</f>
        <v>-0.55000000000000016</v>
      </c>
      <c r="L56" s="182">
        <v>-0.55000000000000004</v>
      </c>
      <c r="M56" s="183">
        <f>G57*SIN(RADIANS(L56))</f>
        <v>-1.6161151605296877E-2</v>
      </c>
      <c r="N56" s="183">
        <f>DEGREES(ASIN((M56+O56)/G57))</f>
        <v>-0.55000000000000016</v>
      </c>
      <c r="O56" s="184">
        <v>0</v>
      </c>
      <c r="P56" s="71" t="s">
        <v>101</v>
      </c>
    </row>
    <row r="57" spans="1:17" ht="13.5" thickTop="1">
      <c r="A57" s="50" t="str">
        <f t="shared" si="0"/>
        <v/>
      </c>
      <c r="B57" s="235"/>
      <c r="C57" s="237"/>
      <c r="D57" s="39">
        <f>D56+0.0001</f>
        <v>3.1092000000000004</v>
      </c>
      <c r="E57" s="181">
        <f>D56</f>
        <v>3.1091000000000002</v>
      </c>
      <c r="F57" s="62"/>
      <c r="G57" s="63">
        <v>1.6836</v>
      </c>
      <c r="H57" s="64">
        <v>-9.0999999999999998E-2</v>
      </c>
      <c r="I57" s="199">
        <v>0</v>
      </c>
      <c r="J57" s="200">
        <v>17.5</v>
      </c>
      <c r="K57" s="64">
        <v>-3.58</v>
      </c>
      <c r="L57" s="182"/>
      <c r="M57" s="185"/>
      <c r="N57" s="185"/>
      <c r="O57" s="184"/>
      <c r="P57" s="70" t="s">
        <v>81</v>
      </c>
    </row>
    <row r="58" spans="1:17" ht="13.5" thickBot="1">
      <c r="A58" s="50" t="str">
        <f t="shared" si="0"/>
        <v>12</v>
      </c>
      <c r="B58" s="230">
        <v>3.1120000000000001</v>
      </c>
      <c r="C58" s="232" t="s">
        <v>17</v>
      </c>
      <c r="D58" s="28">
        <f>B58+0.0001</f>
        <v>3.1121000000000003</v>
      </c>
      <c r="E58" s="203">
        <v>3</v>
      </c>
      <c r="F58" s="59"/>
      <c r="G58" s="60">
        <v>0</v>
      </c>
      <c r="H58" s="61">
        <v>0</v>
      </c>
      <c r="I58" s="195">
        <v>0</v>
      </c>
      <c r="J58" s="196">
        <v>0</v>
      </c>
      <c r="K58" s="164">
        <f>N58</f>
        <v>-1.5</v>
      </c>
      <c r="L58" s="165">
        <v>-1.5</v>
      </c>
      <c r="M58" s="178">
        <f>G59*SIN(RADIANS(L58))</f>
        <v>-6.0973965693528934E-2</v>
      </c>
      <c r="N58" s="178">
        <f>DEGREES(ASIN((M58+O58)/G59))</f>
        <v>-1.5</v>
      </c>
      <c r="O58" s="179">
        <v>0</v>
      </c>
      <c r="P58" s="71" t="s">
        <v>65</v>
      </c>
    </row>
    <row r="59" spans="1:17" ht="13.5" thickTop="1">
      <c r="A59" s="50" t="str">
        <f t="shared" si="0"/>
        <v/>
      </c>
      <c r="B59" s="231"/>
      <c r="C59" s="233"/>
      <c r="D59" s="28">
        <f>D58+0.0001</f>
        <v>3.1122000000000005</v>
      </c>
      <c r="E59" s="164">
        <f>D58</f>
        <v>3.1121000000000003</v>
      </c>
      <c r="F59" s="59"/>
      <c r="G59" s="60">
        <v>2.3292999999999999</v>
      </c>
      <c r="H59" s="61">
        <v>-0.22370000000000001</v>
      </c>
      <c r="I59" s="195">
        <v>-17.7</v>
      </c>
      <c r="J59" s="196">
        <v>20</v>
      </c>
      <c r="K59" s="61">
        <v>-6.96</v>
      </c>
      <c r="L59" s="165"/>
      <c r="M59" s="180"/>
      <c r="N59" s="180"/>
      <c r="O59" s="179"/>
      <c r="P59" s="70" t="s">
        <v>82</v>
      </c>
    </row>
    <row r="60" spans="1:17" ht="13.5" thickBot="1">
      <c r="A60" s="50" t="str">
        <f t="shared" si="0"/>
        <v>15</v>
      </c>
      <c r="B60" s="234">
        <v>3.1150000000000002</v>
      </c>
      <c r="C60" s="236" t="s">
        <v>17</v>
      </c>
      <c r="D60" s="39">
        <f>B60+0.0001</f>
        <v>3.1151000000000004</v>
      </c>
      <c r="E60" s="206">
        <v>3</v>
      </c>
      <c r="F60" s="62"/>
      <c r="G60" s="63">
        <v>0</v>
      </c>
      <c r="H60" s="64">
        <v>0</v>
      </c>
      <c r="I60" s="199">
        <v>0</v>
      </c>
      <c r="J60" s="200">
        <v>0</v>
      </c>
      <c r="K60" s="181">
        <f>N60</f>
        <v>-2.75</v>
      </c>
      <c r="L60" s="182">
        <v>-2.75</v>
      </c>
      <c r="M60" s="183">
        <f>G61*SIN(RADIANS(L60))</f>
        <v>-0.13609475936364421</v>
      </c>
      <c r="N60" s="183">
        <f>DEGREES(ASIN((M60+O60)/G61))</f>
        <v>-2.75</v>
      </c>
      <c r="O60" s="184">
        <v>0</v>
      </c>
      <c r="P60" s="71" t="s">
        <v>127</v>
      </c>
    </row>
    <row r="61" spans="1:17" ht="13.5" thickTop="1">
      <c r="A61" s="50" t="str">
        <f t="shared" si="0"/>
        <v/>
      </c>
      <c r="B61" s="235"/>
      <c r="C61" s="237"/>
      <c r="D61" s="39">
        <f>D60+0.0001</f>
        <v>3.1152000000000006</v>
      </c>
      <c r="E61" s="181">
        <f>D60</f>
        <v>3.1151000000000004</v>
      </c>
      <c r="F61" s="62"/>
      <c r="G61" s="63">
        <v>2.8365999999999998</v>
      </c>
      <c r="H61" s="64">
        <v>-0.63009999999999999</v>
      </c>
      <c r="I61" s="199">
        <v>-36.200000000000003</v>
      </c>
      <c r="J61" s="200">
        <v>22.5</v>
      </c>
      <c r="K61" s="64">
        <v>-9.6199999999999992</v>
      </c>
      <c r="L61" s="182"/>
      <c r="M61" s="185"/>
      <c r="N61" s="185"/>
      <c r="O61" s="184"/>
      <c r="P61" s="70" t="s">
        <v>83</v>
      </c>
    </row>
    <row r="62" spans="1:17" ht="13.5" thickBot="1">
      <c r="A62" s="50" t="str">
        <f t="shared" si="0"/>
        <v>18</v>
      </c>
      <c r="B62" s="230">
        <v>3.1179999999999999</v>
      </c>
      <c r="C62" s="232" t="s">
        <v>17</v>
      </c>
      <c r="D62" s="28">
        <f>B62+0.0001</f>
        <v>3.1181000000000001</v>
      </c>
      <c r="E62" s="203">
        <v>3</v>
      </c>
      <c r="F62" s="59"/>
      <c r="G62" s="60">
        <v>0</v>
      </c>
      <c r="H62" s="61">
        <v>0</v>
      </c>
      <c r="I62" s="195">
        <v>0</v>
      </c>
      <c r="J62" s="196">
        <v>0</v>
      </c>
      <c r="K62" s="164">
        <f>N62</f>
        <v>-3.7499999999999996</v>
      </c>
      <c r="L62" s="165">
        <v>-3.75</v>
      </c>
      <c r="M62" s="178">
        <f>G63*SIN(RADIANS(L62))</f>
        <v>-0.20311595813713229</v>
      </c>
      <c r="N62" s="178">
        <f>DEGREES(ASIN((M62+O62)/G63))</f>
        <v>-3.7499999999999996</v>
      </c>
      <c r="O62" s="179">
        <v>0</v>
      </c>
      <c r="P62" s="71" t="s">
        <v>128</v>
      </c>
    </row>
    <row r="63" spans="1:17" ht="13.5" thickTop="1">
      <c r="A63" s="50" t="str">
        <f t="shared" si="0"/>
        <v/>
      </c>
      <c r="B63" s="231"/>
      <c r="C63" s="233"/>
      <c r="D63" s="28">
        <f>D62+0.0001</f>
        <v>3.1182000000000003</v>
      </c>
      <c r="E63" s="164">
        <f>D62</f>
        <v>3.1181000000000001</v>
      </c>
      <c r="F63" s="59"/>
      <c r="G63" s="60">
        <v>3.1055999999999999</v>
      </c>
      <c r="H63" s="61">
        <v>-1.2256</v>
      </c>
      <c r="I63" s="195">
        <v>-55.1</v>
      </c>
      <c r="J63" s="196">
        <v>25</v>
      </c>
      <c r="K63" s="61">
        <v>-11.03</v>
      </c>
      <c r="L63" s="165"/>
      <c r="M63" s="180"/>
      <c r="N63" s="180"/>
      <c r="O63" s="179"/>
      <c r="P63" s="70" t="s">
        <v>84</v>
      </c>
    </row>
    <row r="64" spans="1:17" ht="13.5" thickBot="1">
      <c r="A64" s="50" t="str">
        <f t="shared" si="0"/>
        <v>21</v>
      </c>
      <c r="B64" s="234">
        <v>3.121</v>
      </c>
      <c r="C64" s="236" t="s">
        <v>10</v>
      </c>
      <c r="D64" s="39">
        <f>B64+0.0001</f>
        <v>3.1211000000000002</v>
      </c>
      <c r="E64" s="206">
        <v>3</v>
      </c>
      <c r="F64" s="62"/>
      <c r="G64" s="63">
        <v>0</v>
      </c>
      <c r="H64" s="64">
        <v>0</v>
      </c>
      <c r="I64" s="199">
        <v>0</v>
      </c>
      <c r="J64" s="200">
        <v>0</v>
      </c>
      <c r="K64" s="181">
        <f>N64</f>
        <v>-4.5000000000000009</v>
      </c>
      <c r="L64" s="182">
        <v>-4.5</v>
      </c>
      <c r="M64" s="183">
        <f>G65*SIN(RADIANS(L64))</f>
        <v>-0.24876240891470516</v>
      </c>
      <c r="N64" s="183">
        <f>DEGREES(ASIN((M64+O64)/G65))</f>
        <v>-4.5000000000000009</v>
      </c>
      <c r="O64" s="184">
        <v>0</v>
      </c>
      <c r="P64" s="71" t="s">
        <v>129</v>
      </c>
    </row>
    <row r="65" spans="1:16" ht="13.5" thickTop="1">
      <c r="A65" s="50" t="str">
        <f t="shared" si="0"/>
        <v/>
      </c>
      <c r="B65" s="235"/>
      <c r="C65" s="237"/>
      <c r="D65" s="39">
        <f>D64+0.0001</f>
        <v>3.1212000000000004</v>
      </c>
      <c r="E65" s="181">
        <f>D64</f>
        <v>3.1211000000000002</v>
      </c>
      <c r="F65" s="62"/>
      <c r="G65" s="63">
        <v>3.1705999999999999</v>
      </c>
      <c r="H65" s="64">
        <v>-1.8554999999999999</v>
      </c>
      <c r="I65" s="199">
        <v>-65</v>
      </c>
      <c r="J65" s="200">
        <v>30</v>
      </c>
      <c r="K65" s="64">
        <v>-11.37</v>
      </c>
      <c r="L65" s="182"/>
      <c r="M65" s="185"/>
      <c r="N65" s="185"/>
      <c r="O65" s="184"/>
      <c r="P65" s="70" t="s">
        <v>131</v>
      </c>
    </row>
    <row r="66" spans="1:16" ht="13.5" thickBot="1">
      <c r="A66" s="50" t="str">
        <f t="shared" ref="A66:A71" si="7">IF(B66="","",RIGHT(TEXT(B66,"#.000"),2))</f>
        <v>12</v>
      </c>
      <c r="B66" s="230">
        <v>3.2120000000000002</v>
      </c>
      <c r="C66" s="232" t="s">
        <v>17</v>
      </c>
      <c r="D66" s="28">
        <f>B66+0.0001</f>
        <v>3.2121000000000004</v>
      </c>
      <c r="E66" s="203">
        <v>3</v>
      </c>
      <c r="F66" s="59"/>
      <c r="G66" s="60">
        <v>0</v>
      </c>
      <c r="H66" s="61">
        <v>0</v>
      </c>
      <c r="I66" s="195">
        <v>0</v>
      </c>
      <c r="J66" s="196">
        <v>0</v>
      </c>
      <c r="K66" s="164">
        <f>N66</f>
        <v>-16.460000000000004</v>
      </c>
      <c r="L66" s="165">
        <v>-16.46</v>
      </c>
      <c r="M66" s="178">
        <f>G67*SIN(RADIANS(L66))</f>
        <v>-0.65999758878203996</v>
      </c>
      <c r="N66" s="178">
        <f>DEGREES(ASIN((M66+O66)/G67))</f>
        <v>-16.460000000000004</v>
      </c>
      <c r="O66" s="179">
        <v>0</v>
      </c>
      <c r="P66" s="71" t="s">
        <v>130</v>
      </c>
    </row>
    <row r="67" spans="1:16" ht="13.5" thickTop="1">
      <c r="A67" s="50" t="str">
        <f t="shared" si="7"/>
        <v/>
      </c>
      <c r="B67" s="231"/>
      <c r="C67" s="233"/>
      <c r="D67" s="28">
        <f>D66+0.0001</f>
        <v>3.2122000000000006</v>
      </c>
      <c r="E67" s="164">
        <f>D66</f>
        <v>3.2121000000000004</v>
      </c>
      <c r="F67" s="59"/>
      <c r="G67" s="60">
        <v>2.3292999999999999</v>
      </c>
      <c r="H67" s="61">
        <v>-0.23369999999999999</v>
      </c>
      <c r="I67" s="195">
        <v>-17.7</v>
      </c>
      <c r="J67" s="196">
        <v>22.5</v>
      </c>
      <c r="K67" s="61">
        <v>-6.96</v>
      </c>
      <c r="L67" s="165"/>
      <c r="M67" s="180"/>
      <c r="N67" s="180"/>
      <c r="O67" s="179"/>
      <c r="P67" s="70" t="s">
        <v>95</v>
      </c>
    </row>
    <row r="68" spans="1:16" ht="13.5" thickBot="1">
      <c r="A68" s="50" t="str">
        <f t="shared" si="7"/>
        <v>15</v>
      </c>
      <c r="B68" s="234">
        <v>3.2149999999999999</v>
      </c>
      <c r="C68" s="236" t="s">
        <v>17</v>
      </c>
      <c r="D68" s="39">
        <f>B68+0.0001</f>
        <v>3.2151000000000001</v>
      </c>
      <c r="E68" s="206">
        <v>3</v>
      </c>
      <c r="F68" s="62"/>
      <c r="G68" s="63">
        <v>0</v>
      </c>
      <c r="H68" s="64">
        <v>0</v>
      </c>
      <c r="I68" s="199">
        <v>0</v>
      </c>
      <c r="J68" s="200">
        <v>0</v>
      </c>
      <c r="K68" s="181">
        <f>N68</f>
        <v>-16.829999999999998</v>
      </c>
      <c r="L68" s="182">
        <v>-16.829999999999998</v>
      </c>
      <c r="M68" s="183">
        <f>G69*SIN(RADIANS(L68))</f>
        <v>-0.82128933224717771</v>
      </c>
      <c r="N68" s="183">
        <f>DEGREES(ASIN((M68+O68)/G69))</f>
        <v>-16.829999999999998</v>
      </c>
      <c r="O68" s="184">
        <v>0</v>
      </c>
      <c r="P68" s="71" t="s">
        <v>132</v>
      </c>
    </row>
    <row r="69" spans="1:16" ht="13.5" thickTop="1">
      <c r="A69" s="50" t="str">
        <f t="shared" si="7"/>
        <v/>
      </c>
      <c r="B69" s="235"/>
      <c r="C69" s="237"/>
      <c r="D69" s="39">
        <f>D68+0.0001</f>
        <v>3.2152000000000003</v>
      </c>
      <c r="E69" s="181">
        <f>D68</f>
        <v>3.2151000000000001</v>
      </c>
      <c r="F69" s="62"/>
      <c r="G69" s="63">
        <v>2.8365999999999998</v>
      </c>
      <c r="H69" s="64">
        <v>-0.6401</v>
      </c>
      <c r="I69" s="199">
        <v>-36.200000000000003</v>
      </c>
      <c r="J69" s="200">
        <v>25</v>
      </c>
      <c r="K69" s="64">
        <v>-9.6199999999999992</v>
      </c>
      <c r="L69" s="182"/>
      <c r="M69" s="185"/>
      <c r="N69" s="185"/>
      <c r="O69" s="184"/>
      <c r="P69" s="70" t="s">
        <v>133</v>
      </c>
    </row>
    <row r="70" spans="1:16" ht="13.5" thickBot="1">
      <c r="A70" s="50" t="str">
        <f t="shared" si="7"/>
        <v>00</v>
      </c>
      <c r="B70" s="230">
        <v>3.3</v>
      </c>
      <c r="C70" s="232" t="s">
        <v>10</v>
      </c>
      <c r="D70" s="28">
        <f>B70+0.0001</f>
        <v>3.3001</v>
      </c>
      <c r="E70" s="203">
        <v>3</v>
      </c>
      <c r="F70" s="59"/>
      <c r="G70" s="60">
        <v>0</v>
      </c>
      <c r="H70" s="61">
        <v>0</v>
      </c>
      <c r="I70" s="195">
        <v>0</v>
      </c>
      <c r="J70" s="196">
        <v>0</v>
      </c>
      <c r="K70" s="164">
        <f>N70</f>
        <v>-10</v>
      </c>
      <c r="L70" s="165">
        <v>-10</v>
      </c>
      <c r="M70" s="178">
        <f>G71*SIN(RADIANS(L70))</f>
        <v>-0.55393768675750776</v>
      </c>
      <c r="N70" s="178">
        <f>DEGREES(ASIN((M70+O70)/G71))</f>
        <v>-10</v>
      </c>
      <c r="O70" s="179">
        <v>0</v>
      </c>
      <c r="P70" s="71" t="s">
        <v>158</v>
      </c>
    </row>
    <row r="71" spans="1:16" ht="13.5" thickTop="1">
      <c r="A71" s="50" t="str">
        <f t="shared" si="7"/>
        <v/>
      </c>
      <c r="B71" s="231"/>
      <c r="C71" s="233"/>
      <c r="D71" s="28">
        <f>D70+0.0001</f>
        <v>3.3002000000000002</v>
      </c>
      <c r="E71" s="164">
        <f>D70</f>
        <v>3.3001</v>
      </c>
      <c r="F71" s="59"/>
      <c r="G71" s="60">
        <v>3.19</v>
      </c>
      <c r="H71" s="61">
        <v>-3.6909999999999998</v>
      </c>
      <c r="I71" s="195">
        <v>-100</v>
      </c>
      <c r="J71" s="196">
        <v>40</v>
      </c>
      <c r="K71" s="61">
        <v>0</v>
      </c>
      <c r="L71" s="165"/>
      <c r="M71" s="180"/>
      <c r="N71" s="180"/>
      <c r="O71" s="179"/>
      <c r="P71" s="70" t="s">
        <v>134</v>
      </c>
    </row>
    <row r="72" spans="1:16" ht="13.5" thickBot="1">
      <c r="A72" s="50" t="str">
        <f t="shared" ref="A72:A73" si="8">IF(B72="","",RIGHT(TEXT(B72,"#.000"),2))</f>
        <v>00</v>
      </c>
      <c r="B72" s="234">
        <v>3.4</v>
      </c>
      <c r="C72" s="236" t="s">
        <v>20</v>
      </c>
      <c r="D72" s="39">
        <f>B72+0.0001</f>
        <v>3.4001000000000001</v>
      </c>
      <c r="E72" s="206">
        <v>3</v>
      </c>
      <c r="F72" s="62"/>
      <c r="G72" s="63">
        <v>0</v>
      </c>
      <c r="H72" s="64">
        <v>0</v>
      </c>
      <c r="I72" s="199">
        <v>0</v>
      </c>
      <c r="J72" s="200">
        <v>0</v>
      </c>
      <c r="K72" s="181">
        <f>N72</f>
        <v>-17.25</v>
      </c>
      <c r="L72" s="182">
        <v>-17.25</v>
      </c>
      <c r="M72" s="183">
        <f>G73*SIN(RADIANS(L72))</f>
        <v>-0.91207292215236346</v>
      </c>
      <c r="N72" s="183">
        <f>DEGREES(ASIN((M72+O72)/G73))</f>
        <v>-17.25</v>
      </c>
      <c r="O72" s="184">
        <v>0</v>
      </c>
      <c r="P72" s="71" t="s">
        <v>159</v>
      </c>
    </row>
    <row r="73" spans="1:16" ht="13.5" thickTop="1">
      <c r="A73" s="50" t="str">
        <f t="shared" si="8"/>
        <v/>
      </c>
      <c r="B73" s="235"/>
      <c r="C73" s="237"/>
      <c r="D73" s="39">
        <f>D72+0.0001</f>
        <v>3.4002000000000003</v>
      </c>
      <c r="E73" s="181">
        <f>D72</f>
        <v>3.4001000000000001</v>
      </c>
      <c r="F73" s="62"/>
      <c r="G73" s="63">
        <v>3.0756999999999999</v>
      </c>
      <c r="H73" s="64">
        <v>-1.2494000000000001</v>
      </c>
      <c r="I73" s="199">
        <v>-55.1</v>
      </c>
      <c r="J73" s="200">
        <v>0</v>
      </c>
      <c r="K73" s="64">
        <v>0</v>
      </c>
      <c r="L73" s="182"/>
      <c r="M73" s="185"/>
      <c r="N73" s="185"/>
      <c r="O73" s="184"/>
      <c r="P73" s="70" t="s">
        <v>136</v>
      </c>
    </row>
    <row r="74" spans="1:16" ht="13.5" thickBot="1">
      <c r="A74" s="50" t="str">
        <f t="shared" ref="A74:A131" si="9">IF(B74="","",RIGHT(TEXT(B74,"#.000"),2))</f>
        <v>10</v>
      </c>
      <c r="B74" s="241">
        <v>4.1100000000000003</v>
      </c>
      <c r="C74" s="245" t="s">
        <v>17</v>
      </c>
      <c r="D74" s="55">
        <f>B74+0.0001</f>
        <v>4.1101000000000001</v>
      </c>
      <c r="E74" s="207">
        <v>4</v>
      </c>
      <c r="F74" s="56"/>
      <c r="G74" s="57">
        <v>0</v>
      </c>
      <c r="H74" s="58">
        <v>0</v>
      </c>
      <c r="I74" s="193">
        <v>0</v>
      </c>
      <c r="J74" s="194">
        <v>0</v>
      </c>
      <c r="K74" s="160">
        <f>N74</f>
        <v>-4.5000000000000009</v>
      </c>
      <c r="L74" s="161">
        <v>-4.5</v>
      </c>
      <c r="M74" s="169">
        <f>G75*SIN(RADIANS(L74))</f>
        <v>-0.14944888554239905</v>
      </c>
      <c r="N74" s="169">
        <f>DEGREES(ASIN((M74+O74)/G75))</f>
        <v>-4.5000000000000009</v>
      </c>
      <c r="O74" s="163">
        <v>0</v>
      </c>
      <c r="P74" s="71" t="s">
        <v>135</v>
      </c>
    </row>
    <row r="75" spans="1:16" ht="13.5" thickTop="1">
      <c r="A75" s="50" t="str">
        <f t="shared" si="9"/>
        <v/>
      </c>
      <c r="B75" s="242"/>
      <c r="C75" s="244"/>
      <c r="D75" s="55">
        <f>D74+0.0001</f>
        <v>4.1101999999999999</v>
      </c>
      <c r="E75" s="160">
        <f>D74</f>
        <v>4.1101000000000001</v>
      </c>
      <c r="F75" s="56"/>
      <c r="G75" s="57">
        <v>1.9048</v>
      </c>
      <c r="H75" s="58">
        <v>-0.1014</v>
      </c>
      <c r="I75" s="193">
        <v>-5.2</v>
      </c>
      <c r="J75" s="194">
        <v>17.5</v>
      </c>
      <c r="K75" s="58">
        <v>-4.74</v>
      </c>
      <c r="L75" s="161"/>
      <c r="M75" s="162"/>
      <c r="N75" s="162"/>
      <c r="O75" s="163"/>
      <c r="P75" s="70" t="s">
        <v>138</v>
      </c>
    </row>
    <row r="76" spans="1:16" ht="13.5" thickBot="1">
      <c r="A76" s="50" t="str">
        <f t="shared" si="9"/>
        <v>13</v>
      </c>
      <c r="B76" s="230">
        <v>4.1130000000000004</v>
      </c>
      <c r="C76" s="232" t="s">
        <v>17</v>
      </c>
      <c r="D76" s="28">
        <f>B76+0.0001</f>
        <v>4.1131000000000002</v>
      </c>
      <c r="E76" s="203">
        <v>4</v>
      </c>
      <c r="F76" s="59"/>
      <c r="G76" s="60">
        <v>0</v>
      </c>
      <c r="H76" s="61">
        <v>0</v>
      </c>
      <c r="I76" s="195">
        <v>0</v>
      </c>
      <c r="J76" s="196">
        <v>0</v>
      </c>
      <c r="K76" s="164">
        <f>N76</f>
        <v>-2.25</v>
      </c>
      <c r="L76" s="165">
        <v>-2.25</v>
      </c>
      <c r="M76" s="178">
        <f>G77*SIN(RADIANS(L76))</f>
        <v>-9.8899401878669732E-2</v>
      </c>
      <c r="N76" s="178">
        <f>DEGREES(ASIN((M76+O76)/G77))</f>
        <v>-2.25</v>
      </c>
      <c r="O76" s="179">
        <v>0</v>
      </c>
      <c r="P76" s="71" t="s">
        <v>137</v>
      </c>
    </row>
    <row r="77" spans="1:16" ht="13.5" thickTop="1">
      <c r="A77" s="50" t="str">
        <f t="shared" si="9"/>
        <v/>
      </c>
      <c r="B77" s="231"/>
      <c r="C77" s="233"/>
      <c r="D77" s="28">
        <f>D76+0.0001</f>
        <v>4.1132</v>
      </c>
      <c r="E77" s="164">
        <f>D76</f>
        <v>4.1131000000000002</v>
      </c>
      <c r="F77" s="59"/>
      <c r="G77" s="60">
        <v>2.5190999999999999</v>
      </c>
      <c r="H77" s="61">
        <v>-0.3332</v>
      </c>
      <c r="I77" s="195">
        <v>-23.9</v>
      </c>
      <c r="J77" s="196">
        <v>20</v>
      </c>
      <c r="K77" s="61">
        <v>-7.96</v>
      </c>
      <c r="L77" s="165"/>
      <c r="M77" s="180"/>
      <c r="N77" s="180"/>
      <c r="O77" s="179"/>
      <c r="P77" s="70" t="s">
        <v>139</v>
      </c>
    </row>
    <row r="78" spans="1:16" ht="13.5" thickBot="1">
      <c r="A78" s="50" t="str">
        <f t="shared" ref="A78:A81" si="10">IF(B78="","",RIGHT(TEXT(B78,"#.000"),2))</f>
        <v>16</v>
      </c>
      <c r="B78" s="241">
        <v>4.1159999999999997</v>
      </c>
      <c r="C78" s="245" t="s">
        <v>17</v>
      </c>
      <c r="D78" s="55">
        <f>B78+0.0001</f>
        <v>4.1160999999999994</v>
      </c>
      <c r="E78" s="207">
        <v>4</v>
      </c>
      <c r="F78" s="56"/>
      <c r="G78" s="57">
        <v>0</v>
      </c>
      <c r="H78" s="58">
        <v>0</v>
      </c>
      <c r="I78" s="193">
        <v>0</v>
      </c>
      <c r="J78" s="194">
        <v>0</v>
      </c>
      <c r="K78" s="160">
        <f>N78</f>
        <v>-3.4999999999999996</v>
      </c>
      <c r="L78" s="161">
        <v>-3.5</v>
      </c>
      <c r="M78" s="169">
        <f>G79*SIN(RADIANS(L78))</f>
        <v>-0.18050832169666478</v>
      </c>
      <c r="N78" s="169">
        <f>DEGREES(ASIN((M78+O78)/G79))</f>
        <v>-3.4999999999999996</v>
      </c>
      <c r="O78" s="163">
        <v>0</v>
      </c>
      <c r="P78" s="71" t="s">
        <v>106</v>
      </c>
    </row>
    <row r="79" spans="1:16" ht="13.5" thickTop="1">
      <c r="A79" s="50" t="str">
        <f t="shared" si="10"/>
        <v/>
      </c>
      <c r="B79" s="242"/>
      <c r="C79" s="244"/>
      <c r="D79" s="55">
        <f>D78+0.0001</f>
        <v>4.1161999999999992</v>
      </c>
      <c r="E79" s="160">
        <f>D78</f>
        <v>4.1160999999999994</v>
      </c>
      <c r="F79" s="56"/>
      <c r="G79" s="57">
        <v>2.9567999999999999</v>
      </c>
      <c r="H79" s="58">
        <v>-0.8155</v>
      </c>
      <c r="I79" s="193">
        <v>-42.5</v>
      </c>
      <c r="J79" s="194">
        <v>22.5</v>
      </c>
      <c r="K79" s="58">
        <v>-10.25</v>
      </c>
      <c r="L79" s="161"/>
      <c r="M79" s="162"/>
      <c r="N79" s="162"/>
      <c r="O79" s="163"/>
      <c r="P79" s="70" t="s">
        <v>85</v>
      </c>
    </row>
    <row r="80" spans="1:16" ht="13.5" thickBot="1">
      <c r="A80" s="50" t="str">
        <f t="shared" si="10"/>
        <v>19</v>
      </c>
      <c r="B80" s="230">
        <v>4.1189999999999998</v>
      </c>
      <c r="C80" s="232" t="s">
        <v>17</v>
      </c>
      <c r="D80" s="28">
        <f>B80+0.0001</f>
        <v>4.1190999999999995</v>
      </c>
      <c r="E80" s="203">
        <v>4</v>
      </c>
      <c r="F80" s="59"/>
      <c r="G80" s="60">
        <v>0</v>
      </c>
      <c r="H80" s="61">
        <v>0</v>
      </c>
      <c r="I80" s="195">
        <v>0</v>
      </c>
      <c r="J80" s="196">
        <v>0</v>
      </c>
      <c r="K80" s="164">
        <f>N80</f>
        <v>-4</v>
      </c>
      <c r="L80" s="165">
        <v>-4</v>
      </c>
      <c r="M80" s="178">
        <f>G81*SIN(RADIANS(L80))</f>
        <v>-0.21830986022961454</v>
      </c>
      <c r="N80" s="178">
        <f>DEGREES(ASIN((M80+O80)/G81))</f>
        <v>-4</v>
      </c>
      <c r="O80" s="179">
        <v>0</v>
      </c>
      <c r="P80" s="71" t="s">
        <v>107</v>
      </c>
    </row>
    <row r="81" spans="1:16" ht="13.5" thickTop="1">
      <c r="A81" s="50" t="str">
        <f t="shared" si="10"/>
        <v/>
      </c>
      <c r="B81" s="231"/>
      <c r="C81" s="233"/>
      <c r="D81" s="28">
        <f>D80+0.0001</f>
        <v>4.1191999999999993</v>
      </c>
      <c r="E81" s="164">
        <f>D80</f>
        <v>4.1190999999999995</v>
      </c>
      <c r="F81" s="59"/>
      <c r="G81" s="60">
        <v>3.1295999999999999</v>
      </c>
      <c r="H81" s="61">
        <v>-1.4571000000000001</v>
      </c>
      <c r="I81" s="195">
        <v>-61.9</v>
      </c>
      <c r="J81" s="196">
        <v>25</v>
      </c>
      <c r="K81" s="61">
        <v>-11.15</v>
      </c>
      <c r="L81" s="165"/>
      <c r="M81" s="180"/>
      <c r="N81" s="180"/>
      <c r="O81" s="179"/>
      <c r="P81" s="70" t="s">
        <v>140</v>
      </c>
    </row>
    <row r="82" spans="1:16" ht="13.5" thickBot="1">
      <c r="A82" s="50" t="str">
        <f t="shared" ref="A82:A87" si="11">IF(B82="","",RIGHT(TEXT(B82,"#.000"),2))</f>
        <v>22</v>
      </c>
      <c r="B82" s="241">
        <v>4.1219999999999999</v>
      </c>
      <c r="C82" s="243" t="s">
        <v>10</v>
      </c>
      <c r="D82" s="55">
        <f>B82+0.0001</f>
        <v>4.1220999999999997</v>
      </c>
      <c r="E82" s="207">
        <v>4</v>
      </c>
      <c r="F82" s="56"/>
      <c r="G82" s="57">
        <v>0</v>
      </c>
      <c r="H82" s="58">
        <v>0</v>
      </c>
      <c r="I82" s="193">
        <v>0</v>
      </c>
      <c r="J82" s="194">
        <v>0</v>
      </c>
      <c r="K82" s="160">
        <f>N82</f>
        <v>-4.5000000000000009</v>
      </c>
      <c r="L82" s="161">
        <v>-4.5</v>
      </c>
      <c r="M82" s="169">
        <f>G83*SIN(RADIANS(L82))</f>
        <v>-0.24876240891470516</v>
      </c>
      <c r="N82" s="169">
        <f>DEGREES(ASIN((M82+O82)/G83))</f>
        <v>-4.5000000000000009</v>
      </c>
      <c r="O82" s="163">
        <v>0</v>
      </c>
      <c r="P82" s="71" t="s">
        <v>108</v>
      </c>
    </row>
    <row r="83" spans="1:16" ht="13.5" thickTop="1">
      <c r="A83" s="50" t="str">
        <f t="shared" si="11"/>
        <v/>
      </c>
      <c r="B83" s="242"/>
      <c r="C83" s="244"/>
      <c r="D83" s="55">
        <f>D82+0.0001</f>
        <v>4.1221999999999994</v>
      </c>
      <c r="E83" s="160">
        <f>D82</f>
        <v>4.1220999999999997</v>
      </c>
      <c r="F83" s="56"/>
      <c r="G83" s="57">
        <v>3.1705999999999999</v>
      </c>
      <c r="H83" s="58">
        <v>-2.0609999999999999</v>
      </c>
      <c r="I83" s="193">
        <v>-65</v>
      </c>
      <c r="J83" s="194">
        <v>30</v>
      </c>
      <c r="K83" s="58">
        <v>-11.37</v>
      </c>
      <c r="L83" s="161"/>
      <c r="M83" s="162"/>
      <c r="N83" s="162"/>
      <c r="O83" s="163"/>
      <c r="P83" s="70" t="s">
        <v>141</v>
      </c>
    </row>
    <row r="84" spans="1:16" ht="13.5" thickBot="1">
      <c r="A84" s="50" t="str">
        <f t="shared" si="11"/>
        <v>13</v>
      </c>
      <c r="B84" s="230">
        <v>4.2130000000000001</v>
      </c>
      <c r="C84" s="232" t="s">
        <v>17</v>
      </c>
      <c r="D84" s="28">
        <f>B84+0.0001</f>
        <v>4.2130999999999998</v>
      </c>
      <c r="E84" s="203">
        <v>4</v>
      </c>
      <c r="F84" s="59"/>
      <c r="G84" s="60">
        <v>0</v>
      </c>
      <c r="H84" s="61">
        <v>0</v>
      </c>
      <c r="I84" s="195">
        <v>0</v>
      </c>
      <c r="J84" s="196">
        <v>0</v>
      </c>
      <c r="K84" s="164">
        <f>N84</f>
        <v>-17.46</v>
      </c>
      <c r="L84" s="165">
        <v>-17.46</v>
      </c>
      <c r="M84" s="178">
        <f>G85*SIN(RADIANS(L84))</f>
        <v>-0.7558305278123989</v>
      </c>
      <c r="N84" s="178">
        <f>DEGREES(ASIN((M84+O84)/G85))</f>
        <v>-17.46</v>
      </c>
      <c r="O84" s="179">
        <v>0</v>
      </c>
      <c r="P84" s="71" t="s">
        <v>109</v>
      </c>
    </row>
    <row r="85" spans="1:16" ht="13.5" thickTop="1">
      <c r="A85" s="50" t="str">
        <f t="shared" si="11"/>
        <v/>
      </c>
      <c r="B85" s="231"/>
      <c r="C85" s="233"/>
      <c r="D85" s="28">
        <f>D84+0.0001</f>
        <v>4.2131999999999996</v>
      </c>
      <c r="E85" s="164">
        <f>D84</f>
        <v>4.2130999999999998</v>
      </c>
      <c r="F85" s="59"/>
      <c r="G85" s="60">
        <v>2.5190999999999999</v>
      </c>
      <c r="H85" s="61">
        <v>-0.34320000000000001</v>
      </c>
      <c r="I85" s="195">
        <v>-23.9</v>
      </c>
      <c r="J85" s="196">
        <v>22.5</v>
      </c>
      <c r="K85" s="61">
        <v>-7.96</v>
      </c>
      <c r="L85" s="165"/>
      <c r="M85" s="180"/>
      <c r="N85" s="180"/>
      <c r="O85" s="179"/>
      <c r="P85" s="70" t="s">
        <v>96</v>
      </c>
    </row>
    <row r="86" spans="1:16" ht="13.5" thickBot="1">
      <c r="A86" s="50" t="str">
        <f t="shared" si="11"/>
        <v>16</v>
      </c>
      <c r="B86" s="241">
        <v>4.2160000000000002</v>
      </c>
      <c r="C86" s="245" t="s">
        <v>17</v>
      </c>
      <c r="D86" s="55">
        <f>B86+0.0001</f>
        <v>4.2161</v>
      </c>
      <c r="E86" s="207">
        <v>4</v>
      </c>
      <c r="F86" s="56"/>
      <c r="G86" s="57">
        <v>0</v>
      </c>
      <c r="H86" s="58">
        <v>0</v>
      </c>
      <c r="I86" s="193">
        <v>0</v>
      </c>
      <c r="J86" s="194">
        <v>0</v>
      </c>
      <c r="K86" s="160">
        <f>N86</f>
        <v>-16.43</v>
      </c>
      <c r="L86" s="161">
        <v>-16.43</v>
      </c>
      <c r="M86" s="169">
        <f>G87*SIN(RADIANS(L86))</f>
        <v>-0.83631229278540564</v>
      </c>
      <c r="N86" s="169">
        <f>DEGREES(ASIN((M86+O86)/G87))</f>
        <v>-16.43</v>
      </c>
      <c r="O86" s="163">
        <v>0</v>
      </c>
      <c r="P86" s="71" t="s">
        <v>111</v>
      </c>
    </row>
    <row r="87" spans="1:16" ht="13.5" thickTop="1">
      <c r="A87" s="50" t="str">
        <f t="shared" si="11"/>
        <v/>
      </c>
      <c r="B87" s="242"/>
      <c r="C87" s="244"/>
      <c r="D87" s="55">
        <f>D86+0.0001</f>
        <v>4.2161999999999997</v>
      </c>
      <c r="E87" s="160">
        <f>D86</f>
        <v>4.2161</v>
      </c>
      <c r="F87" s="56"/>
      <c r="G87" s="57">
        <v>2.9567999999999999</v>
      </c>
      <c r="H87" s="58">
        <v>-0.82550000000000001</v>
      </c>
      <c r="I87" s="193">
        <v>-42.5</v>
      </c>
      <c r="J87" s="194">
        <v>25</v>
      </c>
      <c r="K87" s="58">
        <v>-10.25</v>
      </c>
      <c r="L87" s="161"/>
      <c r="M87" s="162"/>
      <c r="N87" s="162"/>
      <c r="O87" s="163"/>
      <c r="P87" s="70" t="s">
        <v>142</v>
      </c>
    </row>
    <row r="88" spans="1:16" ht="13.5" thickBot="1">
      <c r="A88" s="50" t="str">
        <f t="shared" ref="A88:A89" si="12">IF(B88="","",RIGHT(TEXT(B88,"#.000"),2))</f>
        <v>00</v>
      </c>
      <c r="B88" s="230">
        <v>4.3</v>
      </c>
      <c r="C88" s="232" t="s">
        <v>10</v>
      </c>
      <c r="D88" s="28">
        <f>B88+0.0001</f>
        <v>4.3000999999999996</v>
      </c>
      <c r="E88" s="203">
        <v>4</v>
      </c>
      <c r="F88" s="59"/>
      <c r="G88" s="60">
        <v>0</v>
      </c>
      <c r="H88" s="61">
        <v>0</v>
      </c>
      <c r="I88" s="195">
        <v>0</v>
      </c>
      <c r="J88" s="196">
        <v>0</v>
      </c>
      <c r="K88" s="164">
        <f>N88</f>
        <v>-10</v>
      </c>
      <c r="L88" s="165">
        <v>-10</v>
      </c>
      <c r="M88" s="178">
        <f>G89*SIN(RADIANS(L88))</f>
        <v>-0.55393768675750776</v>
      </c>
      <c r="N88" s="178">
        <f>DEGREES(ASIN((M88+O88)/G89))</f>
        <v>-10</v>
      </c>
      <c r="O88" s="179">
        <v>0</v>
      </c>
      <c r="P88" s="71" t="s">
        <v>154</v>
      </c>
    </row>
    <row r="89" spans="1:16" ht="13.5" thickTop="1">
      <c r="A89" s="50" t="str">
        <f t="shared" si="12"/>
        <v/>
      </c>
      <c r="B89" s="231"/>
      <c r="C89" s="233"/>
      <c r="D89" s="28">
        <f>D88+0.0001</f>
        <v>4.3001999999999994</v>
      </c>
      <c r="E89" s="164">
        <f>D88</f>
        <v>4.3000999999999996</v>
      </c>
      <c r="F89" s="59"/>
      <c r="G89" s="60">
        <v>3.19</v>
      </c>
      <c r="H89" s="61">
        <v>-3.6909999999999998</v>
      </c>
      <c r="I89" s="195">
        <v>-100</v>
      </c>
      <c r="J89" s="196">
        <v>40</v>
      </c>
      <c r="K89" s="61">
        <v>0</v>
      </c>
      <c r="L89" s="165"/>
      <c r="M89" s="180"/>
      <c r="N89" s="180"/>
      <c r="O89" s="179"/>
      <c r="P89" s="70" t="s">
        <v>143</v>
      </c>
    </row>
    <row r="90" spans="1:16" ht="13.5" thickBot="1">
      <c r="A90" s="50" t="str">
        <f t="shared" ref="A90:A91" si="13">IF(B90="","",RIGHT(TEXT(B90,"#.000"),2))</f>
        <v>00</v>
      </c>
      <c r="B90" s="241">
        <v>4.4000000000000004</v>
      </c>
      <c r="C90" s="245" t="s">
        <v>20</v>
      </c>
      <c r="D90" s="55">
        <f>B90+0.0001</f>
        <v>4.4001000000000001</v>
      </c>
      <c r="E90" s="207">
        <v>4</v>
      </c>
      <c r="F90" s="56"/>
      <c r="G90" s="57">
        <v>0</v>
      </c>
      <c r="H90" s="58">
        <v>0</v>
      </c>
      <c r="I90" s="193">
        <v>0</v>
      </c>
      <c r="J90" s="194">
        <v>0</v>
      </c>
      <c r="K90" s="160">
        <f>N90</f>
        <v>-17.46</v>
      </c>
      <c r="L90" s="161">
        <v>-17.46</v>
      </c>
      <c r="M90" s="169">
        <f>G91*SIN(RADIANS(L90))</f>
        <v>-0.92922358962923257</v>
      </c>
      <c r="N90" s="169">
        <f>DEGREES(ASIN((M90+O90)/G91))</f>
        <v>-17.46</v>
      </c>
      <c r="O90" s="163">
        <v>0</v>
      </c>
      <c r="P90" s="71" t="s">
        <v>155</v>
      </c>
    </row>
    <row r="91" spans="1:16" ht="13.5" thickTop="1">
      <c r="A91" s="50" t="str">
        <f t="shared" si="13"/>
        <v/>
      </c>
      <c r="B91" s="242"/>
      <c r="C91" s="244"/>
      <c r="D91" s="55">
        <f>D90+0.0001</f>
        <v>4.4001999999999999</v>
      </c>
      <c r="E91" s="160">
        <f>D90</f>
        <v>4.4001000000000001</v>
      </c>
      <c r="F91" s="56"/>
      <c r="G91" s="57">
        <v>3.097</v>
      </c>
      <c r="H91" s="58">
        <v>-1.4821</v>
      </c>
      <c r="I91" s="193">
        <v>-64.900000000000006</v>
      </c>
      <c r="J91" s="194">
        <v>0</v>
      </c>
      <c r="K91" s="58">
        <v>0</v>
      </c>
      <c r="L91" s="161"/>
      <c r="M91" s="162"/>
      <c r="N91" s="162"/>
      <c r="O91" s="163"/>
      <c r="P91" s="70" t="s">
        <v>145</v>
      </c>
    </row>
    <row r="92" spans="1:16" ht="13.5" thickBot="1">
      <c r="A92" s="50" t="str">
        <f t="shared" si="9"/>
        <v>02</v>
      </c>
      <c r="B92" s="261">
        <v>5.1020000000000003</v>
      </c>
      <c r="C92" s="262" t="s">
        <v>77</v>
      </c>
      <c r="D92" s="170">
        <f>B92+0.0001</f>
        <v>5.1021000000000001</v>
      </c>
      <c r="E92" s="204">
        <v>5</v>
      </c>
      <c r="F92" s="172"/>
      <c r="G92" s="173">
        <v>0</v>
      </c>
      <c r="H92" s="174">
        <v>0</v>
      </c>
      <c r="I92" s="197">
        <v>0</v>
      </c>
      <c r="J92" s="198">
        <v>0</v>
      </c>
      <c r="K92" s="171">
        <f>N92</f>
        <v>0</v>
      </c>
      <c r="L92" s="175">
        <v>0</v>
      </c>
      <c r="M92" s="176">
        <f>G93*SIN(RADIANS(L92))</f>
        <v>0</v>
      </c>
      <c r="N92" s="176">
        <f>DEGREES(ASIN((M92+O92)/G93))</f>
        <v>0</v>
      </c>
      <c r="O92" s="177">
        <v>0</v>
      </c>
      <c r="P92" s="71" t="s">
        <v>144</v>
      </c>
    </row>
    <row r="93" spans="1:16" ht="13.5" thickTop="1">
      <c r="A93" s="50" t="str">
        <f t="shared" si="9"/>
        <v/>
      </c>
      <c r="B93" s="231"/>
      <c r="C93" s="233"/>
      <c r="D93" s="28">
        <f>D92+0.0001</f>
        <v>5.1021999999999998</v>
      </c>
      <c r="E93" s="164">
        <f>D92</f>
        <v>5.1021000000000001</v>
      </c>
      <c r="F93" s="59"/>
      <c r="G93" s="60">
        <v>0.41670000000000001</v>
      </c>
      <c r="H93" s="61">
        <v>-0.25609999999999999</v>
      </c>
      <c r="I93" s="195">
        <v>10</v>
      </c>
      <c r="J93" s="196">
        <v>15</v>
      </c>
      <c r="K93" s="61">
        <v>0</v>
      </c>
      <c r="L93" s="165"/>
      <c r="M93" s="180"/>
      <c r="N93" s="180"/>
      <c r="O93" s="179"/>
      <c r="P93" s="70" t="s">
        <v>62</v>
      </c>
    </row>
    <row r="94" spans="1:16" ht="13.5" thickBot="1">
      <c r="A94" s="50" t="str">
        <f t="shared" si="9"/>
        <v>05</v>
      </c>
      <c r="B94" s="226">
        <v>5.1050000000000004</v>
      </c>
      <c r="C94" s="228" t="s">
        <v>77</v>
      </c>
      <c r="D94" s="65">
        <f>B94+0.0001</f>
        <v>5.1051000000000002</v>
      </c>
      <c r="E94" s="205">
        <v>5</v>
      </c>
      <c r="F94" s="66"/>
      <c r="G94" s="67">
        <v>0</v>
      </c>
      <c r="H94" s="68">
        <v>0</v>
      </c>
      <c r="I94" s="201">
        <v>0</v>
      </c>
      <c r="J94" s="202">
        <v>0</v>
      </c>
      <c r="K94" s="186">
        <f>N94</f>
        <v>0</v>
      </c>
      <c r="L94" s="187">
        <v>0</v>
      </c>
      <c r="M94" s="188">
        <f>G95*SIN(RADIANS(L94))</f>
        <v>0</v>
      </c>
      <c r="N94" s="188">
        <f>DEGREES(ASIN((M94+O94)/G95))</f>
        <v>0</v>
      </c>
      <c r="O94" s="189">
        <v>0</v>
      </c>
      <c r="P94" s="71" t="s">
        <v>99</v>
      </c>
    </row>
    <row r="95" spans="1:16" ht="13.5" thickTop="1">
      <c r="A95" s="50" t="str">
        <f t="shared" si="9"/>
        <v/>
      </c>
      <c r="B95" s="227"/>
      <c r="C95" s="229"/>
      <c r="D95" s="65">
        <f>D94+0.0001</f>
        <v>5.1052</v>
      </c>
      <c r="E95" s="186">
        <f>D94</f>
        <v>5.1051000000000002</v>
      </c>
      <c r="F95" s="66"/>
      <c r="G95" s="67">
        <v>0.91700000000000004</v>
      </c>
      <c r="H95" s="68">
        <v>-0.1678</v>
      </c>
      <c r="I95" s="201">
        <v>10</v>
      </c>
      <c r="J95" s="202">
        <v>15</v>
      </c>
      <c r="K95" s="68">
        <v>0</v>
      </c>
      <c r="L95" s="187"/>
      <c r="M95" s="190"/>
      <c r="N95" s="190"/>
      <c r="O95" s="189"/>
      <c r="P95" s="70" t="s">
        <v>63</v>
      </c>
    </row>
    <row r="96" spans="1:16" ht="13.5" thickBot="1">
      <c r="A96" s="50" t="str">
        <f t="shared" si="9"/>
        <v>08</v>
      </c>
      <c r="B96" s="230">
        <v>5.1079999999999997</v>
      </c>
      <c r="C96" s="232" t="s">
        <v>77</v>
      </c>
      <c r="D96" s="28">
        <f>B96+0.0001</f>
        <v>5.1080999999999994</v>
      </c>
      <c r="E96" s="203">
        <v>5</v>
      </c>
      <c r="F96" s="59"/>
      <c r="G96" s="60">
        <v>0</v>
      </c>
      <c r="H96" s="61">
        <v>0</v>
      </c>
      <c r="I96" s="195">
        <v>0</v>
      </c>
      <c r="J96" s="196">
        <v>0</v>
      </c>
      <c r="K96" s="164">
        <f>N96</f>
        <v>0</v>
      </c>
      <c r="L96" s="165">
        <v>0</v>
      </c>
      <c r="M96" s="178">
        <f>G97*SIN(RADIANS(L96))</f>
        <v>0</v>
      </c>
      <c r="N96" s="178">
        <f>DEGREES(ASIN((M96+O96)/G97))</f>
        <v>0</v>
      </c>
      <c r="O96" s="179">
        <v>0</v>
      </c>
      <c r="P96" s="71" t="s">
        <v>102</v>
      </c>
    </row>
    <row r="97" spans="1:16" ht="13.5" thickTop="1">
      <c r="A97" s="50" t="str">
        <f t="shared" si="9"/>
        <v/>
      </c>
      <c r="B97" s="231"/>
      <c r="C97" s="233"/>
      <c r="D97" s="28">
        <f>D96+0.0001</f>
        <v>5.1081999999999992</v>
      </c>
      <c r="E97" s="164">
        <f>D96</f>
        <v>5.1080999999999994</v>
      </c>
      <c r="F97" s="59"/>
      <c r="G97" s="60">
        <v>1.4300999999999999</v>
      </c>
      <c r="H97" s="61">
        <v>-7.7499999999999999E-2</v>
      </c>
      <c r="I97" s="195">
        <v>5</v>
      </c>
      <c r="J97" s="196">
        <v>15</v>
      </c>
      <c r="K97" s="61">
        <v>0</v>
      </c>
      <c r="L97" s="165"/>
      <c r="M97" s="180"/>
      <c r="N97" s="180"/>
      <c r="O97" s="179"/>
      <c r="P97" s="70" t="s">
        <v>86</v>
      </c>
    </row>
    <row r="98" spans="1:16" ht="13.5" thickBot="1">
      <c r="A98" s="50" t="str">
        <f t="shared" si="9"/>
        <v>11</v>
      </c>
      <c r="B98" s="226">
        <v>5.1109999999999998</v>
      </c>
      <c r="C98" s="228" t="s">
        <v>17</v>
      </c>
      <c r="D98" s="65">
        <f>B98+0.0001</f>
        <v>5.1110999999999995</v>
      </c>
      <c r="E98" s="205">
        <v>5</v>
      </c>
      <c r="F98" s="66"/>
      <c r="G98" s="67">
        <v>0</v>
      </c>
      <c r="H98" s="68">
        <v>0</v>
      </c>
      <c r="I98" s="201">
        <v>0</v>
      </c>
      <c r="J98" s="202">
        <v>0</v>
      </c>
      <c r="K98" s="186">
        <f>N98</f>
        <v>-1.18</v>
      </c>
      <c r="L98" s="187">
        <v>-1.18</v>
      </c>
      <c r="M98" s="188">
        <f>G99*SIN(RADIANS(L98))</f>
        <v>-4.3688960302527446E-2</v>
      </c>
      <c r="N98" s="188">
        <f>DEGREES(ASIN((M98+O98)/G99))</f>
        <v>-1.18</v>
      </c>
      <c r="O98" s="189">
        <v>0</v>
      </c>
      <c r="P98" s="71" t="s">
        <v>103</v>
      </c>
    </row>
    <row r="99" spans="1:16" ht="13.5" thickTop="1">
      <c r="A99" s="50" t="str">
        <f t="shared" si="9"/>
        <v/>
      </c>
      <c r="B99" s="227"/>
      <c r="C99" s="229"/>
      <c r="D99" s="65">
        <f>D98+0.0001</f>
        <v>5.1111999999999993</v>
      </c>
      <c r="E99" s="186">
        <f>D98</f>
        <v>5.1110999999999995</v>
      </c>
      <c r="F99" s="66"/>
      <c r="G99" s="67">
        <v>2.1215000000000002</v>
      </c>
      <c r="H99" s="68">
        <v>-0.14729999999999999</v>
      </c>
      <c r="I99" s="201">
        <v>-11.4</v>
      </c>
      <c r="J99" s="202">
        <v>17.5</v>
      </c>
      <c r="K99" s="68">
        <v>-5.88</v>
      </c>
      <c r="L99" s="187"/>
      <c r="M99" s="190"/>
      <c r="N99" s="190"/>
      <c r="O99" s="189"/>
      <c r="P99" s="70" t="s">
        <v>87</v>
      </c>
    </row>
    <row r="100" spans="1:16" ht="13.5" thickBot="1">
      <c r="A100" s="50" t="str">
        <f t="shared" si="9"/>
        <v>14</v>
      </c>
      <c r="B100" s="230">
        <v>5.1139999999999999</v>
      </c>
      <c r="C100" s="232" t="s">
        <v>17</v>
      </c>
      <c r="D100" s="28">
        <f>B100+0.0001</f>
        <v>5.1140999999999996</v>
      </c>
      <c r="E100" s="203">
        <v>5</v>
      </c>
      <c r="F100" s="59"/>
      <c r="G100" s="60">
        <v>0</v>
      </c>
      <c r="H100" s="61">
        <v>0</v>
      </c>
      <c r="I100" s="195">
        <v>0</v>
      </c>
      <c r="J100" s="196">
        <v>0</v>
      </c>
      <c r="K100" s="164">
        <f>N100</f>
        <v>-2.5</v>
      </c>
      <c r="L100" s="165">
        <v>-2.5</v>
      </c>
      <c r="M100" s="178">
        <f>G101*SIN(RADIANS(L100))</f>
        <v>-0.1172794468091789</v>
      </c>
      <c r="N100" s="178">
        <f>DEGREES(ASIN((M100+O100)/G101))</f>
        <v>-2.5</v>
      </c>
      <c r="O100" s="179">
        <v>0</v>
      </c>
      <c r="P100" s="71" t="s">
        <v>116</v>
      </c>
    </row>
    <row r="101" spans="1:16" ht="13.5" thickTop="1">
      <c r="A101" s="50" t="str">
        <f t="shared" si="9"/>
        <v/>
      </c>
      <c r="B101" s="231"/>
      <c r="C101" s="233"/>
      <c r="D101" s="28">
        <f>D100+0.0001</f>
        <v>5.1141999999999994</v>
      </c>
      <c r="E101" s="164">
        <f>D100</f>
        <v>5.1140999999999996</v>
      </c>
      <c r="F101" s="59"/>
      <c r="G101" s="60">
        <v>2.6886999999999999</v>
      </c>
      <c r="H101" s="61">
        <v>-0.47070000000000001</v>
      </c>
      <c r="I101" s="195">
        <v>-30</v>
      </c>
      <c r="J101" s="196">
        <v>20</v>
      </c>
      <c r="K101" s="61">
        <v>-8.85</v>
      </c>
      <c r="L101" s="165"/>
      <c r="M101" s="180"/>
      <c r="N101" s="180"/>
      <c r="O101" s="179"/>
      <c r="P101" s="70" t="s">
        <v>88</v>
      </c>
    </row>
    <row r="102" spans="1:16" ht="13.5" thickBot="1">
      <c r="A102" s="50" t="str">
        <f t="shared" si="9"/>
        <v>17</v>
      </c>
      <c r="B102" s="226">
        <v>5.117</v>
      </c>
      <c r="C102" s="228" t="s">
        <v>17</v>
      </c>
      <c r="D102" s="65">
        <f>B102+0.0001</f>
        <v>5.1170999999999998</v>
      </c>
      <c r="E102" s="205">
        <v>5</v>
      </c>
      <c r="F102" s="66"/>
      <c r="G102" s="67">
        <v>0</v>
      </c>
      <c r="H102" s="68">
        <v>0</v>
      </c>
      <c r="I102" s="201">
        <v>0</v>
      </c>
      <c r="J102" s="202">
        <v>0</v>
      </c>
      <c r="K102" s="186">
        <f>N102</f>
        <v>-3.7499999999999996</v>
      </c>
      <c r="L102" s="187">
        <v>-3.75</v>
      </c>
      <c r="M102" s="188">
        <f>G103*SIN(RADIANS(L102))</f>
        <v>-0.19922447194793877</v>
      </c>
      <c r="N102" s="188">
        <f>DEGREES(ASIN((M102+O102)/G103))</f>
        <v>-3.7499999999999996</v>
      </c>
      <c r="O102" s="189">
        <v>0</v>
      </c>
      <c r="P102" s="71" t="s">
        <v>117</v>
      </c>
    </row>
    <row r="103" spans="1:16" ht="13.5" thickTop="1">
      <c r="A103" s="50" t="str">
        <f t="shared" si="9"/>
        <v/>
      </c>
      <c r="B103" s="227"/>
      <c r="C103" s="229"/>
      <c r="D103" s="65">
        <f>D102+0.0001</f>
        <v>5.1171999999999995</v>
      </c>
      <c r="E103" s="186">
        <f>D102</f>
        <v>5.1170999999999998</v>
      </c>
      <c r="F103" s="66"/>
      <c r="G103" s="67">
        <v>3.0461</v>
      </c>
      <c r="H103" s="68">
        <v>-1.0159</v>
      </c>
      <c r="I103" s="201">
        <v>-48.8</v>
      </c>
      <c r="J103" s="202">
        <v>22.5</v>
      </c>
      <c r="K103" s="68">
        <v>-10.72</v>
      </c>
      <c r="L103" s="187"/>
      <c r="M103" s="190"/>
      <c r="N103" s="190"/>
      <c r="O103" s="189"/>
      <c r="P103" s="70" t="s">
        <v>89</v>
      </c>
    </row>
    <row r="104" spans="1:16" ht="13.5" thickBot="1">
      <c r="A104" s="50" t="str">
        <f t="shared" si="9"/>
        <v>20</v>
      </c>
      <c r="B104" s="230">
        <v>5.12</v>
      </c>
      <c r="C104" s="232" t="s">
        <v>17</v>
      </c>
      <c r="D104" s="28">
        <f>B104+0.0001</f>
        <v>5.1200999999999999</v>
      </c>
      <c r="E104" s="203">
        <v>5</v>
      </c>
      <c r="F104" s="59"/>
      <c r="G104" s="60">
        <v>0</v>
      </c>
      <c r="H104" s="61">
        <v>0</v>
      </c>
      <c r="I104" s="195">
        <v>0</v>
      </c>
      <c r="J104" s="196">
        <v>0</v>
      </c>
      <c r="K104" s="164">
        <f>N104</f>
        <v>-4.25</v>
      </c>
      <c r="L104" s="165">
        <v>-4.25</v>
      </c>
      <c r="M104" s="178">
        <f>G105*SIN(RADIANS(L104))</f>
        <v>-0.23201145025473641</v>
      </c>
      <c r="N104" s="178">
        <f>DEGREES(ASIN((M104+O104)/G105))</f>
        <v>-4.25</v>
      </c>
      <c r="O104" s="179">
        <v>0</v>
      </c>
      <c r="P104" s="71" t="s">
        <v>118</v>
      </c>
    </row>
    <row r="105" spans="1:16" ht="13.5" thickTop="1">
      <c r="A105" s="50" t="str">
        <f t="shared" si="9"/>
        <v/>
      </c>
      <c r="B105" s="231"/>
      <c r="C105" s="233"/>
      <c r="D105" s="28">
        <f>D104+0.0001</f>
        <v>5.1201999999999996</v>
      </c>
      <c r="E105" s="164">
        <f>D104</f>
        <v>5.1200999999999999</v>
      </c>
      <c r="F105" s="59"/>
      <c r="G105" s="60">
        <v>3.1307</v>
      </c>
      <c r="H105" s="61">
        <v>-1.6708000000000001</v>
      </c>
      <c r="I105" s="195">
        <v>-65</v>
      </c>
      <c r="J105" s="196">
        <v>25</v>
      </c>
      <c r="K105" s="61">
        <v>-11.16</v>
      </c>
      <c r="L105" s="165"/>
      <c r="M105" s="180"/>
      <c r="N105" s="180"/>
      <c r="O105" s="179"/>
      <c r="P105" s="70" t="s">
        <v>146</v>
      </c>
    </row>
    <row r="106" spans="1:16" ht="13.5" thickBot="1">
      <c r="A106" s="50" t="str">
        <f t="shared" ref="A106:A113" si="14">IF(B106="","",RIGHT(TEXT(B106,"#.000"),2))</f>
        <v>23</v>
      </c>
      <c r="B106" s="226">
        <v>5.1230000000000002</v>
      </c>
      <c r="C106" s="228" t="s">
        <v>17</v>
      </c>
      <c r="D106" s="65">
        <f>B106+0.0001</f>
        <v>5.1231</v>
      </c>
      <c r="E106" s="205">
        <v>5</v>
      </c>
      <c r="F106" s="66"/>
      <c r="G106" s="67">
        <v>0</v>
      </c>
      <c r="H106" s="68">
        <v>0</v>
      </c>
      <c r="I106" s="201">
        <v>0</v>
      </c>
      <c r="J106" s="202">
        <v>0</v>
      </c>
      <c r="K106" s="186">
        <f>N106</f>
        <v>-4.5000000000000009</v>
      </c>
      <c r="L106" s="187">
        <v>-4.5</v>
      </c>
      <c r="M106" s="188">
        <f>G107*SIN(RADIANS(L106))</f>
        <v>-0.24876240891470516</v>
      </c>
      <c r="N106" s="188">
        <f>DEGREES(ASIN((M106+O106)/G107))</f>
        <v>-4.5000000000000009</v>
      </c>
      <c r="O106" s="189">
        <v>0</v>
      </c>
      <c r="P106" s="71" t="s">
        <v>119</v>
      </c>
    </row>
    <row r="107" spans="1:16" ht="13.5" thickTop="1">
      <c r="A107" s="50" t="str">
        <f t="shared" si="14"/>
        <v/>
      </c>
      <c r="B107" s="227"/>
      <c r="C107" s="229"/>
      <c r="D107" s="65">
        <f>D106+0.0001</f>
        <v>5.1231999999999998</v>
      </c>
      <c r="E107" s="186">
        <f>D106</f>
        <v>5.1231</v>
      </c>
      <c r="F107" s="66"/>
      <c r="G107" s="67">
        <v>3.1705999999999999</v>
      </c>
      <c r="H107" s="68">
        <v>-2.2816999999999998</v>
      </c>
      <c r="I107" s="201">
        <v>-65</v>
      </c>
      <c r="J107" s="202">
        <v>30</v>
      </c>
      <c r="K107" s="68">
        <v>-11.37</v>
      </c>
      <c r="L107" s="187"/>
      <c r="M107" s="190"/>
      <c r="N107" s="190"/>
      <c r="O107" s="189"/>
      <c r="P107" s="70" t="s">
        <v>147</v>
      </c>
    </row>
    <row r="108" spans="1:16" ht="13.5" thickBot="1">
      <c r="A108" s="50" t="str">
        <f t="shared" si="14"/>
        <v>14</v>
      </c>
      <c r="B108" s="230">
        <v>5.2140000000000004</v>
      </c>
      <c r="C108" s="232" t="s">
        <v>17</v>
      </c>
      <c r="D108" s="28">
        <f>B108+0.0001</f>
        <v>5.2141000000000002</v>
      </c>
      <c r="E108" s="203">
        <v>5</v>
      </c>
      <c r="F108" s="59"/>
      <c r="G108" s="60">
        <v>0</v>
      </c>
      <c r="H108" s="61">
        <v>0</v>
      </c>
      <c r="I108" s="195">
        <v>0</v>
      </c>
      <c r="J108" s="196">
        <v>0</v>
      </c>
      <c r="K108" s="164">
        <f>N108</f>
        <v>-16.720000000000002</v>
      </c>
      <c r="L108" s="165">
        <v>-16.72</v>
      </c>
      <c r="M108" s="178">
        <f>G109*SIN(RADIANS(L108))</f>
        <v>-0.77352513098726061</v>
      </c>
      <c r="N108" s="178">
        <f>DEGREES(ASIN((M108+O108)/G109))</f>
        <v>-16.720000000000002</v>
      </c>
      <c r="O108" s="179">
        <v>0</v>
      </c>
      <c r="P108" s="71" t="s">
        <v>121</v>
      </c>
    </row>
    <row r="109" spans="1:16" ht="13.5" thickTop="1">
      <c r="A109" s="50" t="str">
        <f t="shared" si="14"/>
        <v/>
      </c>
      <c r="B109" s="231"/>
      <c r="C109" s="233"/>
      <c r="D109" s="28">
        <f>D108+0.0001</f>
        <v>5.2141999999999999</v>
      </c>
      <c r="E109" s="164">
        <f>D108</f>
        <v>5.2141000000000002</v>
      </c>
      <c r="F109" s="59"/>
      <c r="G109" s="60">
        <v>2.6886999999999999</v>
      </c>
      <c r="H109" s="61">
        <v>-0.48070000000000002</v>
      </c>
      <c r="I109" s="195">
        <v>-30</v>
      </c>
      <c r="J109" s="196">
        <v>22.5</v>
      </c>
      <c r="K109" s="61">
        <v>-8.85</v>
      </c>
      <c r="L109" s="165"/>
      <c r="M109" s="180"/>
      <c r="N109" s="180"/>
      <c r="O109" s="179"/>
      <c r="P109" s="70" t="s">
        <v>97</v>
      </c>
    </row>
    <row r="110" spans="1:16" ht="13.5" thickBot="1">
      <c r="A110" s="50" t="str">
        <f t="shared" si="14"/>
        <v>17</v>
      </c>
      <c r="B110" s="226">
        <v>5.2169999999999996</v>
      </c>
      <c r="C110" s="228" t="s">
        <v>17</v>
      </c>
      <c r="D110" s="65">
        <f>B110+0.0001</f>
        <v>5.2170999999999994</v>
      </c>
      <c r="E110" s="205">
        <v>5</v>
      </c>
      <c r="F110" s="66"/>
      <c r="G110" s="67">
        <v>0</v>
      </c>
      <c r="H110" s="68">
        <v>0</v>
      </c>
      <c r="I110" s="201">
        <v>0</v>
      </c>
      <c r="J110" s="202">
        <v>0</v>
      </c>
      <c r="K110" s="186">
        <f>N110</f>
        <v>-16.16</v>
      </c>
      <c r="L110" s="187">
        <v>-16.16</v>
      </c>
      <c r="M110" s="188">
        <f>G111*SIN(RADIANS(L110))</f>
        <v>-0.84779246081176762</v>
      </c>
      <c r="N110" s="188">
        <f>DEGREES(ASIN((M110+O110)/G111))</f>
        <v>-16.16</v>
      </c>
      <c r="O110" s="189">
        <v>0</v>
      </c>
      <c r="P110" s="71" t="s">
        <v>111</v>
      </c>
    </row>
    <row r="111" spans="1:16" ht="13.5" thickTop="1">
      <c r="A111" s="50" t="str">
        <f t="shared" si="14"/>
        <v/>
      </c>
      <c r="B111" s="227"/>
      <c r="C111" s="229"/>
      <c r="D111" s="65">
        <f>D110+0.0001</f>
        <v>5.2171999999999992</v>
      </c>
      <c r="E111" s="186">
        <f>D110</f>
        <v>5.2170999999999994</v>
      </c>
      <c r="F111" s="66"/>
      <c r="G111" s="67">
        <v>3.0461</v>
      </c>
      <c r="H111" s="68">
        <v>-1.0259</v>
      </c>
      <c r="I111" s="201">
        <v>-48.8</v>
      </c>
      <c r="J111" s="202">
        <v>25</v>
      </c>
      <c r="K111" s="68">
        <v>-10.72</v>
      </c>
      <c r="L111" s="187"/>
      <c r="M111" s="190"/>
      <c r="N111" s="190"/>
      <c r="O111" s="189"/>
      <c r="P111" s="70" t="s">
        <v>148</v>
      </c>
    </row>
    <row r="112" spans="1:16" ht="13.5" thickBot="1">
      <c r="A112" s="50" t="str">
        <f t="shared" si="14"/>
        <v>00</v>
      </c>
      <c r="B112" s="230">
        <v>5.3</v>
      </c>
      <c r="C112" s="232" t="s">
        <v>10</v>
      </c>
      <c r="D112" s="28">
        <f>B112+0.0001</f>
        <v>5.3000999999999996</v>
      </c>
      <c r="E112" s="203">
        <v>5</v>
      </c>
      <c r="F112" s="59"/>
      <c r="G112" s="60">
        <v>0</v>
      </c>
      <c r="H112" s="61">
        <v>0</v>
      </c>
      <c r="I112" s="195">
        <v>0</v>
      </c>
      <c r="J112" s="196">
        <v>0</v>
      </c>
      <c r="K112" s="164">
        <f>N112</f>
        <v>-10</v>
      </c>
      <c r="L112" s="165">
        <v>-10</v>
      </c>
      <c r="M112" s="178">
        <f>G113*SIN(RADIANS(L112))</f>
        <v>-0.55393768675750776</v>
      </c>
      <c r="N112" s="178">
        <f>DEGREES(ASIN((M112+O112)/G113))</f>
        <v>-10</v>
      </c>
      <c r="O112" s="179">
        <v>0</v>
      </c>
      <c r="P112" s="71" t="s">
        <v>160</v>
      </c>
    </row>
    <row r="113" spans="1:32" ht="13.5" thickTop="1">
      <c r="A113" s="50" t="str">
        <f t="shared" si="14"/>
        <v/>
      </c>
      <c r="B113" s="231"/>
      <c r="C113" s="233"/>
      <c r="D113" s="28">
        <f>D112+0.0001</f>
        <v>5.3001999999999994</v>
      </c>
      <c r="E113" s="164">
        <f>D112</f>
        <v>5.3000999999999996</v>
      </c>
      <c r="F113" s="59"/>
      <c r="G113" s="60">
        <v>3.19</v>
      </c>
      <c r="H113" s="61">
        <v>-3.6909999999999998</v>
      </c>
      <c r="I113" s="195">
        <v>-100</v>
      </c>
      <c r="J113" s="196">
        <v>40</v>
      </c>
      <c r="K113" s="61">
        <v>0</v>
      </c>
      <c r="L113" s="165"/>
      <c r="M113" s="180"/>
      <c r="N113" s="180"/>
      <c r="O113" s="179"/>
      <c r="P113" s="70" t="s">
        <v>149</v>
      </c>
    </row>
    <row r="114" spans="1:32" ht="13.5" thickBot="1">
      <c r="A114" s="50" t="str">
        <f t="shared" ref="A114:A115" si="15">IF(B114="","",RIGHT(TEXT(B114,"#.000"),2))</f>
        <v>00</v>
      </c>
      <c r="B114" s="226">
        <v>5.4</v>
      </c>
      <c r="C114" s="228" t="s">
        <v>20</v>
      </c>
      <c r="D114" s="65">
        <f>B114+0.0001</f>
        <v>5.4001000000000001</v>
      </c>
      <c r="E114" s="205">
        <v>5</v>
      </c>
      <c r="F114" s="66"/>
      <c r="G114" s="67">
        <v>0</v>
      </c>
      <c r="H114" s="68">
        <v>0</v>
      </c>
      <c r="I114" s="201">
        <v>0</v>
      </c>
      <c r="J114" s="202">
        <v>0</v>
      </c>
      <c r="K114" s="186">
        <f>N114</f>
        <v>-17.5</v>
      </c>
      <c r="L114" s="187">
        <v>-17.5</v>
      </c>
      <c r="M114" s="188">
        <f>G115*SIN(RADIANS(L114))</f>
        <v>-0.93125579048478346</v>
      </c>
      <c r="N114" s="188">
        <f>DEGREES(ASIN((M114+O114)/G115))</f>
        <v>-17.5</v>
      </c>
      <c r="O114" s="189">
        <v>0</v>
      </c>
      <c r="P114" s="71" t="s">
        <v>156</v>
      </c>
    </row>
    <row r="115" spans="1:32" ht="13.5" thickTop="1">
      <c r="A115" s="50" t="str">
        <f t="shared" si="15"/>
        <v/>
      </c>
      <c r="B115" s="227"/>
      <c r="C115" s="229"/>
      <c r="D115" s="65">
        <f>D114+0.0001</f>
        <v>5.4001999999999999</v>
      </c>
      <c r="E115" s="186">
        <f>D114</f>
        <v>5.4001000000000001</v>
      </c>
      <c r="F115" s="66"/>
      <c r="G115" s="67">
        <v>3.0969000000000002</v>
      </c>
      <c r="H115" s="68">
        <v>-1.6865000000000001</v>
      </c>
      <c r="I115" s="201">
        <v>-65</v>
      </c>
      <c r="J115" s="202">
        <v>0</v>
      </c>
      <c r="K115" s="68">
        <v>0</v>
      </c>
      <c r="L115" s="187"/>
      <c r="M115" s="190"/>
      <c r="N115" s="190"/>
      <c r="O115" s="189"/>
      <c r="P115" s="70" t="s">
        <v>150</v>
      </c>
    </row>
    <row r="116" spans="1:32" ht="13.5" thickBot="1">
      <c r="A116" s="50" t="str">
        <f t="shared" si="9"/>
        <v>09</v>
      </c>
      <c r="B116" s="230">
        <v>6.109</v>
      </c>
      <c r="C116" s="232" t="s">
        <v>17</v>
      </c>
      <c r="D116" s="28">
        <f>B116+0.0001</f>
        <v>6.1090999999999998</v>
      </c>
      <c r="E116" s="203">
        <v>6</v>
      </c>
      <c r="F116" s="59"/>
      <c r="G116" s="60">
        <v>0</v>
      </c>
      <c r="H116" s="61">
        <v>0</v>
      </c>
      <c r="I116" s="195">
        <v>0</v>
      </c>
      <c r="J116" s="196">
        <v>0</v>
      </c>
      <c r="K116" s="164">
        <f>N116</f>
        <v>-0.55000000000000016</v>
      </c>
      <c r="L116" s="165">
        <v>-0.55000000000000004</v>
      </c>
      <c r="M116" s="178">
        <f>G117*SIN(RADIANS(L116))</f>
        <v>-1.6161151605296877E-2</v>
      </c>
      <c r="N116" s="178">
        <f>DEGREES(ASIN((M116+O116)/G117))</f>
        <v>-0.55000000000000016</v>
      </c>
      <c r="O116" s="179">
        <v>0</v>
      </c>
      <c r="P116" s="71" t="s">
        <v>161</v>
      </c>
    </row>
    <row r="117" spans="1:32" ht="13.5" thickTop="1">
      <c r="A117" s="50" t="str">
        <f t="shared" si="9"/>
        <v/>
      </c>
      <c r="B117" s="231"/>
      <c r="C117" s="233"/>
      <c r="D117" s="28">
        <f>D116+0.0001</f>
        <v>6.1091999999999995</v>
      </c>
      <c r="E117" s="164">
        <f>D116</f>
        <v>6.1090999999999998</v>
      </c>
      <c r="F117" s="59"/>
      <c r="G117" s="60">
        <v>1.6836</v>
      </c>
      <c r="H117" s="61">
        <v>-9.0999999999999998E-2</v>
      </c>
      <c r="I117" s="195">
        <v>0</v>
      </c>
      <c r="J117" s="196">
        <v>17.5</v>
      </c>
      <c r="K117" s="61">
        <v>-3.58</v>
      </c>
      <c r="L117" s="165"/>
      <c r="M117" s="180"/>
      <c r="N117" s="180"/>
      <c r="O117" s="179"/>
      <c r="P117" s="70" t="s">
        <v>90</v>
      </c>
    </row>
    <row r="118" spans="1:32" ht="13.5" thickBot="1">
      <c r="A118" s="50" t="str">
        <f t="shared" si="9"/>
        <v>12</v>
      </c>
      <c r="B118" s="234">
        <v>6.1120000000000001</v>
      </c>
      <c r="C118" s="236" t="s">
        <v>17</v>
      </c>
      <c r="D118" s="39">
        <f>B118+0.0001</f>
        <v>6.1120999999999999</v>
      </c>
      <c r="E118" s="206">
        <v>6</v>
      </c>
      <c r="F118" s="62"/>
      <c r="G118" s="63">
        <v>0</v>
      </c>
      <c r="H118" s="64">
        <v>0</v>
      </c>
      <c r="I118" s="199">
        <v>0</v>
      </c>
      <c r="J118" s="200">
        <v>0</v>
      </c>
      <c r="K118" s="181">
        <f>N118</f>
        <v>-1.5</v>
      </c>
      <c r="L118" s="182">
        <v>-1.5</v>
      </c>
      <c r="M118" s="183">
        <f>G119*SIN(RADIANS(L118))</f>
        <v>-6.0973965693528934E-2</v>
      </c>
      <c r="N118" s="183">
        <f>DEGREES(ASIN((M118+O118)/G119))</f>
        <v>-1.5</v>
      </c>
      <c r="O118" s="184">
        <v>0</v>
      </c>
      <c r="P118" s="71" t="s">
        <v>65</v>
      </c>
    </row>
    <row r="119" spans="1:32" ht="13.5" thickTop="1">
      <c r="A119" s="50" t="str">
        <f t="shared" si="9"/>
        <v/>
      </c>
      <c r="B119" s="235"/>
      <c r="C119" s="237"/>
      <c r="D119" s="39">
        <f>D118+0.0001</f>
        <v>6.1121999999999996</v>
      </c>
      <c r="E119" s="181">
        <f>D118</f>
        <v>6.1120999999999999</v>
      </c>
      <c r="F119" s="62"/>
      <c r="G119" s="63">
        <v>2.3292999999999999</v>
      </c>
      <c r="H119" s="64">
        <v>-0.22370000000000001</v>
      </c>
      <c r="I119" s="199">
        <v>-17.7</v>
      </c>
      <c r="J119" s="200">
        <v>20</v>
      </c>
      <c r="K119" s="64">
        <v>-6.96</v>
      </c>
      <c r="L119" s="182"/>
      <c r="M119" s="185"/>
      <c r="N119" s="185"/>
      <c r="O119" s="184"/>
      <c r="P119" s="70" t="s">
        <v>91</v>
      </c>
    </row>
    <row r="120" spans="1:32" ht="13.5" thickBot="1">
      <c r="A120" s="50" t="str">
        <f t="shared" ref="A120:A123" si="16">IF(B120="","",RIGHT(TEXT(B120,"#.000"),2))</f>
        <v>15</v>
      </c>
      <c r="B120" s="230">
        <v>6.1150000000000002</v>
      </c>
      <c r="C120" s="232" t="s">
        <v>17</v>
      </c>
      <c r="D120" s="28">
        <f>B120+0.0001</f>
        <v>6.1151</v>
      </c>
      <c r="E120" s="203">
        <v>6</v>
      </c>
      <c r="F120" s="59"/>
      <c r="G120" s="60">
        <v>0</v>
      </c>
      <c r="H120" s="61">
        <v>0</v>
      </c>
      <c r="I120" s="195">
        <v>0</v>
      </c>
      <c r="J120" s="196">
        <v>0</v>
      </c>
      <c r="K120" s="164">
        <f>N120</f>
        <v>-2.75</v>
      </c>
      <c r="L120" s="165">
        <v>-2.75</v>
      </c>
      <c r="M120" s="178">
        <f>G121*SIN(RADIANS(L120))</f>
        <v>-0.13609475936364421</v>
      </c>
      <c r="N120" s="178">
        <f>DEGREES(ASIN((M120+O120)/G121))</f>
        <v>-2.75</v>
      </c>
      <c r="O120" s="179">
        <v>0</v>
      </c>
      <c r="P120" s="71" t="s">
        <v>127</v>
      </c>
    </row>
    <row r="121" spans="1:32" ht="13.5" thickTop="1">
      <c r="A121" s="50" t="str">
        <f t="shared" si="16"/>
        <v/>
      </c>
      <c r="B121" s="231"/>
      <c r="C121" s="233"/>
      <c r="D121" s="28">
        <f>D120+0.0001</f>
        <v>6.1151999999999997</v>
      </c>
      <c r="E121" s="164">
        <f>D120</f>
        <v>6.1151</v>
      </c>
      <c r="F121" s="59"/>
      <c r="G121" s="60">
        <v>2.8365999999999998</v>
      </c>
      <c r="H121" s="61">
        <v>-0.63009999999999999</v>
      </c>
      <c r="I121" s="195">
        <v>-36.200000000000003</v>
      </c>
      <c r="J121" s="196">
        <v>22.5</v>
      </c>
      <c r="K121" s="61">
        <v>-9.6199999999999992</v>
      </c>
      <c r="L121" s="165"/>
      <c r="M121" s="180"/>
      <c r="N121" s="180"/>
      <c r="O121" s="179"/>
      <c r="P121" s="70" t="s">
        <v>92</v>
      </c>
    </row>
    <row r="122" spans="1:32" ht="13.5" thickBot="1">
      <c r="A122" s="50" t="str">
        <f t="shared" si="16"/>
        <v>18</v>
      </c>
      <c r="B122" s="234">
        <v>6.1180000000000003</v>
      </c>
      <c r="C122" s="236" t="s">
        <v>17</v>
      </c>
      <c r="D122" s="39">
        <f>B122+0.0001</f>
        <v>6.1181000000000001</v>
      </c>
      <c r="E122" s="206">
        <v>6</v>
      </c>
      <c r="F122" s="62"/>
      <c r="G122" s="63">
        <v>0</v>
      </c>
      <c r="H122" s="64">
        <v>0</v>
      </c>
      <c r="I122" s="199">
        <v>0</v>
      </c>
      <c r="J122" s="200">
        <v>0</v>
      </c>
      <c r="K122" s="181">
        <f>N122</f>
        <v>-3.7499999999999996</v>
      </c>
      <c r="L122" s="182">
        <v>-3.75</v>
      </c>
      <c r="M122" s="183">
        <f>G123*SIN(RADIANS(L122))</f>
        <v>-0.20311595813713229</v>
      </c>
      <c r="N122" s="183">
        <f>DEGREES(ASIN((M122+O122)/G123))</f>
        <v>-3.7499999999999996</v>
      </c>
      <c r="O122" s="184">
        <v>0</v>
      </c>
      <c r="P122" s="71" t="s">
        <v>128</v>
      </c>
    </row>
    <row r="123" spans="1:32" ht="13.5" thickTop="1">
      <c r="A123" s="50" t="str">
        <f t="shared" si="16"/>
        <v/>
      </c>
      <c r="B123" s="235"/>
      <c r="C123" s="237"/>
      <c r="D123" s="39">
        <f>D122+0.0001</f>
        <v>6.1181999999999999</v>
      </c>
      <c r="E123" s="181">
        <f>D122</f>
        <v>6.1181000000000001</v>
      </c>
      <c r="F123" s="62"/>
      <c r="G123" s="63">
        <v>3.1055999999999999</v>
      </c>
      <c r="H123" s="64">
        <v>-1.2256</v>
      </c>
      <c r="I123" s="199">
        <v>-55.1</v>
      </c>
      <c r="J123" s="200">
        <v>25</v>
      </c>
      <c r="K123" s="64">
        <v>-11.03</v>
      </c>
      <c r="L123" s="182"/>
      <c r="M123" s="185"/>
      <c r="N123" s="185"/>
      <c r="O123" s="184"/>
      <c r="P123" s="70" t="s">
        <v>93</v>
      </c>
    </row>
    <row r="124" spans="1:32" ht="13.5" thickBot="1">
      <c r="A124" s="50" t="str">
        <f t="shared" si="9"/>
        <v>21</v>
      </c>
      <c r="B124" s="230">
        <v>6.1210000000000004</v>
      </c>
      <c r="C124" s="232" t="s">
        <v>10</v>
      </c>
      <c r="D124" s="28">
        <f>B124+0.0001</f>
        <v>6.1211000000000002</v>
      </c>
      <c r="E124" s="203">
        <v>6</v>
      </c>
      <c r="F124" s="59"/>
      <c r="G124" s="60">
        <v>0</v>
      </c>
      <c r="H124" s="61">
        <v>0</v>
      </c>
      <c r="I124" s="195">
        <v>0</v>
      </c>
      <c r="J124" s="196">
        <v>0</v>
      </c>
      <c r="K124" s="164">
        <f>N124</f>
        <v>-4.5000000000000009</v>
      </c>
      <c r="L124" s="165">
        <v>-4.5</v>
      </c>
      <c r="M124" s="178">
        <f>G125*SIN(RADIANS(L124))</f>
        <v>-0.24876240891470516</v>
      </c>
      <c r="N124" s="178">
        <f>DEGREES(ASIN((M124+O124)/G125))</f>
        <v>-4.5000000000000009</v>
      </c>
      <c r="O124" s="179">
        <v>0</v>
      </c>
      <c r="P124" s="71" t="s">
        <v>129</v>
      </c>
    </row>
    <row r="125" spans="1:32" ht="13.5" thickTop="1">
      <c r="A125" s="50" t="str">
        <f t="shared" si="9"/>
        <v/>
      </c>
      <c r="B125" s="231"/>
      <c r="C125" s="233"/>
      <c r="D125" s="28">
        <f>D124+0.0001</f>
        <v>6.1212</v>
      </c>
      <c r="E125" s="164">
        <f>D124</f>
        <v>6.1211000000000002</v>
      </c>
      <c r="F125" s="59"/>
      <c r="G125" s="60">
        <v>3.1705999999999999</v>
      </c>
      <c r="H125" s="61">
        <v>-1.8554999999999999</v>
      </c>
      <c r="I125" s="195">
        <v>-65</v>
      </c>
      <c r="J125" s="196">
        <v>30</v>
      </c>
      <c r="K125" s="61">
        <v>-11.37</v>
      </c>
      <c r="L125" s="165"/>
      <c r="M125" s="180"/>
      <c r="N125" s="180"/>
      <c r="O125" s="179"/>
      <c r="P125" s="70" t="s">
        <v>151</v>
      </c>
      <c r="Q125" s="99"/>
      <c r="S125" s="100"/>
      <c r="Z125" s="99"/>
    </row>
    <row r="126" spans="1:32" ht="13.5" thickBot="1">
      <c r="A126" s="50" t="str">
        <f t="shared" si="9"/>
        <v>12</v>
      </c>
      <c r="B126" s="234">
        <v>6.2119999999999997</v>
      </c>
      <c r="C126" s="236" t="s">
        <v>17</v>
      </c>
      <c r="D126" s="39">
        <f>B126+0.0001</f>
        <v>6.2120999999999995</v>
      </c>
      <c r="E126" s="206">
        <v>6</v>
      </c>
      <c r="F126" s="62"/>
      <c r="G126" s="63">
        <v>0</v>
      </c>
      <c r="H126" s="64">
        <v>0</v>
      </c>
      <c r="I126" s="199">
        <v>0</v>
      </c>
      <c r="J126" s="200">
        <v>0</v>
      </c>
      <c r="K126" s="181">
        <f>N126</f>
        <v>-16.460000000000004</v>
      </c>
      <c r="L126" s="182">
        <v>-16.46</v>
      </c>
      <c r="M126" s="183">
        <f>G127*SIN(RADIANS(L126))</f>
        <v>-0.65999758878203996</v>
      </c>
      <c r="N126" s="183">
        <f>DEGREES(ASIN((M126+O126)/G127))</f>
        <v>-16.460000000000004</v>
      </c>
      <c r="O126" s="184">
        <v>0</v>
      </c>
      <c r="P126" s="71" t="s">
        <v>130</v>
      </c>
      <c r="Q126" s="99"/>
      <c r="S126" s="100"/>
    </row>
    <row r="127" spans="1:32" ht="13.5" thickTop="1">
      <c r="A127" s="50" t="str">
        <f t="shared" si="9"/>
        <v/>
      </c>
      <c r="B127" s="235"/>
      <c r="C127" s="237"/>
      <c r="D127" s="39">
        <f>D126+0.0001</f>
        <v>6.2121999999999993</v>
      </c>
      <c r="E127" s="181">
        <f>D126</f>
        <v>6.2120999999999995</v>
      </c>
      <c r="F127" s="62"/>
      <c r="G127" s="63">
        <v>2.3292999999999999</v>
      </c>
      <c r="H127" s="64">
        <v>-0.23369999999999999</v>
      </c>
      <c r="I127" s="199">
        <v>-17.7</v>
      </c>
      <c r="J127" s="200">
        <v>22.5</v>
      </c>
      <c r="K127" s="64">
        <v>-6.96</v>
      </c>
      <c r="L127" s="182"/>
      <c r="M127" s="185"/>
      <c r="N127" s="185"/>
      <c r="O127" s="184"/>
      <c r="P127" s="70" t="s">
        <v>98</v>
      </c>
    </row>
    <row r="128" spans="1:32" ht="13.5" thickBot="1">
      <c r="A128" s="50" t="str">
        <f t="shared" si="9"/>
        <v>15</v>
      </c>
      <c r="B128" s="230">
        <v>6.2149999999999999</v>
      </c>
      <c r="C128" s="232" t="s">
        <v>17</v>
      </c>
      <c r="D128" s="28">
        <f>B128+0.0001</f>
        <v>6.2150999999999996</v>
      </c>
      <c r="E128" s="203">
        <v>6</v>
      </c>
      <c r="F128" s="59"/>
      <c r="G128" s="60">
        <v>0</v>
      </c>
      <c r="H128" s="61">
        <v>0</v>
      </c>
      <c r="I128" s="195">
        <v>0</v>
      </c>
      <c r="J128" s="196">
        <v>0</v>
      </c>
      <c r="K128" s="164">
        <f>N128</f>
        <v>-16.829999999999998</v>
      </c>
      <c r="L128" s="165">
        <v>-16.829999999999998</v>
      </c>
      <c r="M128" s="178">
        <f>G129*SIN(RADIANS(L128))</f>
        <v>-0.82128933224717771</v>
      </c>
      <c r="N128" s="178">
        <f>DEGREES(ASIN((M128+O128)/G129))</f>
        <v>-16.829999999999998</v>
      </c>
      <c r="O128" s="179">
        <v>0</v>
      </c>
      <c r="P128" s="71" t="s">
        <v>132</v>
      </c>
      <c r="AF128" s="99"/>
    </row>
    <row r="129" spans="1:40" ht="13.5" thickTop="1">
      <c r="A129" s="50" t="str">
        <f t="shared" si="9"/>
        <v/>
      </c>
      <c r="B129" s="231"/>
      <c r="C129" s="233"/>
      <c r="D129" s="28">
        <f>D128+0.0001</f>
        <v>6.2151999999999994</v>
      </c>
      <c r="E129" s="164">
        <f>D128</f>
        <v>6.2150999999999996</v>
      </c>
      <c r="F129" s="59"/>
      <c r="G129" s="60">
        <v>2.8365999999999998</v>
      </c>
      <c r="H129" s="61">
        <v>-0.6401</v>
      </c>
      <c r="I129" s="195">
        <v>-36.200000000000003</v>
      </c>
      <c r="J129" s="196">
        <v>25</v>
      </c>
      <c r="K129" s="61">
        <v>-9.6199999999999992</v>
      </c>
      <c r="L129" s="165"/>
      <c r="M129" s="180"/>
      <c r="N129" s="180"/>
      <c r="O129" s="179"/>
      <c r="P129" s="70" t="s">
        <v>152</v>
      </c>
      <c r="R129" s="99"/>
      <c r="AF129" s="99"/>
      <c r="AG129" s="99"/>
      <c r="AH129" s="99"/>
      <c r="AM129" s="1"/>
      <c r="AN129" s="1"/>
    </row>
    <row r="130" spans="1:40" ht="13.5" thickBot="1">
      <c r="A130" s="50" t="str">
        <f t="shared" si="9"/>
        <v>00</v>
      </c>
      <c r="B130" s="234">
        <v>6.3</v>
      </c>
      <c r="C130" s="236" t="s">
        <v>10</v>
      </c>
      <c r="D130" s="39">
        <f>B130+0.0001</f>
        <v>6.3000999999999996</v>
      </c>
      <c r="E130" s="206">
        <v>6</v>
      </c>
      <c r="F130" s="62"/>
      <c r="G130" s="63">
        <v>0</v>
      </c>
      <c r="H130" s="64">
        <v>0</v>
      </c>
      <c r="I130" s="199">
        <v>0</v>
      </c>
      <c r="J130" s="200">
        <v>0</v>
      </c>
      <c r="K130" s="181">
        <f>N130</f>
        <v>-10</v>
      </c>
      <c r="L130" s="182">
        <v>-10</v>
      </c>
      <c r="M130" s="183">
        <f>G131*SIN(RADIANS(L130))</f>
        <v>-0.55393768675750776</v>
      </c>
      <c r="N130" s="183">
        <f>DEGREES(ASIN((M130+O130)/G131))</f>
        <v>-10</v>
      </c>
      <c r="O130" s="184">
        <v>0</v>
      </c>
      <c r="P130" s="71" t="s">
        <v>158</v>
      </c>
      <c r="Q130" s="99"/>
      <c r="S130" s="100"/>
    </row>
    <row r="131" spans="1:40" ht="13.5" thickTop="1">
      <c r="A131" s="50" t="str">
        <f t="shared" si="9"/>
        <v/>
      </c>
      <c r="B131" s="235"/>
      <c r="C131" s="237"/>
      <c r="D131" s="39">
        <f>D130+0.0001</f>
        <v>6.3001999999999994</v>
      </c>
      <c r="E131" s="181">
        <f>D130</f>
        <v>6.3000999999999996</v>
      </c>
      <c r="F131" s="62"/>
      <c r="G131" s="63">
        <v>3.19</v>
      </c>
      <c r="H131" s="64">
        <v>-3.6909999999999998</v>
      </c>
      <c r="I131" s="199">
        <v>-100</v>
      </c>
      <c r="J131" s="200">
        <v>40</v>
      </c>
      <c r="K131" s="64">
        <v>0</v>
      </c>
      <c r="L131" s="182"/>
      <c r="M131" s="185"/>
      <c r="N131" s="185"/>
      <c r="O131" s="184"/>
      <c r="P131" s="70" t="s">
        <v>153</v>
      </c>
    </row>
    <row r="132" spans="1:40" ht="13.5" thickBot="1">
      <c r="A132" s="50" t="str">
        <f t="shared" ref="A132:A133" si="17">IF(B132="","",RIGHT(TEXT(B132,"#.000"),2))</f>
        <v>00</v>
      </c>
      <c r="B132" s="230">
        <v>6.4</v>
      </c>
      <c r="C132" s="232" t="s">
        <v>20</v>
      </c>
      <c r="D132" s="28">
        <f>B132+0.0001</f>
        <v>6.4001000000000001</v>
      </c>
      <c r="E132" s="203">
        <v>6</v>
      </c>
      <c r="F132" s="59"/>
      <c r="G132" s="60">
        <v>0</v>
      </c>
      <c r="H132" s="61">
        <v>0</v>
      </c>
      <c r="I132" s="195">
        <v>0</v>
      </c>
      <c r="J132" s="196">
        <v>0</v>
      </c>
      <c r="K132" s="164">
        <f>N132</f>
        <v>-17.25</v>
      </c>
      <c r="L132" s="165">
        <v>-17.25</v>
      </c>
      <c r="M132" s="178">
        <f>G133*SIN(RADIANS(L132))</f>
        <v>-0.91207292215236346</v>
      </c>
      <c r="N132" s="178">
        <f>DEGREES(ASIN((M132+O132)/G133))</f>
        <v>-17.25</v>
      </c>
      <c r="O132" s="179">
        <v>0</v>
      </c>
      <c r="P132" s="71" t="s">
        <v>159</v>
      </c>
      <c r="Q132" s="99"/>
      <c r="S132" s="100"/>
    </row>
    <row r="133" spans="1:40" ht="13.5" thickTop="1">
      <c r="A133" s="50" t="str">
        <f t="shared" si="17"/>
        <v/>
      </c>
      <c r="B133" s="231"/>
      <c r="C133" s="233"/>
      <c r="D133" s="28">
        <f>D132+0.0001</f>
        <v>6.4001999999999999</v>
      </c>
      <c r="E133" s="164">
        <f>D132</f>
        <v>6.4001000000000001</v>
      </c>
      <c r="F133" s="59"/>
      <c r="G133" s="60">
        <v>3.0756999999999999</v>
      </c>
      <c r="H133" s="61">
        <v>-1.2494000000000001</v>
      </c>
      <c r="I133" s="195">
        <v>-55.1</v>
      </c>
      <c r="J133" s="196">
        <v>0</v>
      </c>
      <c r="K133" s="61">
        <v>0</v>
      </c>
      <c r="L133" s="165"/>
      <c r="M133" s="180"/>
      <c r="N133" s="180"/>
      <c r="O133" s="179"/>
      <c r="P133" s="70" t="s">
        <v>93</v>
      </c>
    </row>
  </sheetData>
  <mergeCells count="132">
    <mergeCell ref="B36:B37"/>
    <mergeCell ref="C36:C37"/>
    <mergeCell ref="B40:B41"/>
    <mergeCell ref="C40:C41"/>
    <mergeCell ref="C26:C27"/>
    <mergeCell ref="B74:B75"/>
    <mergeCell ref="B94:B95"/>
    <mergeCell ref="C94:C95"/>
    <mergeCell ref="B96:B97"/>
    <mergeCell ref="C96:C97"/>
    <mergeCell ref="B92:B93"/>
    <mergeCell ref="C92:C93"/>
    <mergeCell ref="C74:C75"/>
    <mergeCell ref="B78:B79"/>
    <mergeCell ref="C78:C79"/>
    <mergeCell ref="B90:B91"/>
    <mergeCell ref="C90:C91"/>
    <mergeCell ref="B72:B73"/>
    <mergeCell ref="C72:C73"/>
    <mergeCell ref="B44:B45"/>
    <mergeCell ref="C44:C45"/>
    <mergeCell ref="B88:B89"/>
    <mergeCell ref="C88:C89"/>
    <mergeCell ref="B28:B29"/>
    <mergeCell ref="B32:B33"/>
    <mergeCell ref="C32:C33"/>
    <mergeCell ref="A1:B1"/>
    <mergeCell ref="C1:D1"/>
    <mergeCell ref="B12:B13"/>
    <mergeCell ref="C12:C13"/>
    <mergeCell ref="B34:B35"/>
    <mergeCell ref="B18:B19"/>
    <mergeCell ref="C18:C19"/>
    <mergeCell ref="B2:B3"/>
    <mergeCell ref="B20:B21"/>
    <mergeCell ref="C20:C21"/>
    <mergeCell ref="C2:C3"/>
    <mergeCell ref="C30:C31"/>
    <mergeCell ref="C34:C35"/>
    <mergeCell ref="B30:B31"/>
    <mergeCell ref="B22:B23"/>
    <mergeCell ref="B26:B27"/>
    <mergeCell ref="C22:C23"/>
    <mergeCell ref="C28:C29"/>
    <mergeCell ref="F2:H2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B54:B55"/>
    <mergeCell ref="C62:C63"/>
    <mergeCell ref="B62:B63"/>
    <mergeCell ref="B60:B61"/>
    <mergeCell ref="C60:C61"/>
    <mergeCell ref="C58:C59"/>
    <mergeCell ref="B58:B59"/>
    <mergeCell ref="B38:B39"/>
    <mergeCell ref="C38:C39"/>
    <mergeCell ref="B56:B57"/>
    <mergeCell ref="C56:C57"/>
    <mergeCell ref="B52:B53"/>
    <mergeCell ref="C54:C55"/>
    <mergeCell ref="C52:C53"/>
    <mergeCell ref="C50:C51"/>
    <mergeCell ref="B46:B47"/>
    <mergeCell ref="C46:C47"/>
    <mergeCell ref="B50:B51"/>
    <mergeCell ref="B132:B133"/>
    <mergeCell ref="C132:C133"/>
    <mergeCell ref="B24:B25"/>
    <mergeCell ref="C24:C25"/>
    <mergeCell ref="B80:B81"/>
    <mergeCell ref="C80:C81"/>
    <mergeCell ref="B106:B107"/>
    <mergeCell ref="C106:C107"/>
    <mergeCell ref="B42:B43"/>
    <mergeCell ref="C42:C43"/>
    <mergeCell ref="B82:B83"/>
    <mergeCell ref="C82:C83"/>
    <mergeCell ref="B84:B85"/>
    <mergeCell ref="C84:C85"/>
    <mergeCell ref="B86:B87"/>
    <mergeCell ref="C86:C87"/>
    <mergeCell ref="B66:B67"/>
    <mergeCell ref="C66:C67"/>
    <mergeCell ref="B68:B69"/>
    <mergeCell ref="C68:C69"/>
    <mergeCell ref="B104:B105"/>
    <mergeCell ref="C104:C105"/>
    <mergeCell ref="B98:B99"/>
    <mergeCell ref="C98:C99"/>
    <mergeCell ref="B48:B49"/>
    <mergeCell ref="C48:C49"/>
    <mergeCell ref="B108:B109"/>
    <mergeCell ref="C108:C109"/>
    <mergeCell ref="B110:B111"/>
    <mergeCell ref="C110:C111"/>
    <mergeCell ref="B116:B117"/>
    <mergeCell ref="C116:C117"/>
    <mergeCell ref="B128:B129"/>
    <mergeCell ref="C128:C129"/>
    <mergeCell ref="B102:B103"/>
    <mergeCell ref="C102:C103"/>
    <mergeCell ref="B76:B77"/>
    <mergeCell ref="C76:C77"/>
    <mergeCell ref="B64:B65"/>
    <mergeCell ref="C64:C65"/>
    <mergeCell ref="B118:B119"/>
    <mergeCell ref="C118:C119"/>
    <mergeCell ref="B126:B127"/>
    <mergeCell ref="C126:C127"/>
    <mergeCell ref="B120:B121"/>
    <mergeCell ref="C120:C121"/>
    <mergeCell ref="B122:B123"/>
    <mergeCell ref="C122:C123"/>
    <mergeCell ref="B114:B115"/>
    <mergeCell ref="C114:C115"/>
    <mergeCell ref="B100:B101"/>
    <mergeCell ref="C100:C101"/>
    <mergeCell ref="B70:B71"/>
    <mergeCell ref="C70:C71"/>
    <mergeCell ref="B130:B131"/>
    <mergeCell ref="C130:C131"/>
    <mergeCell ref="B112:B113"/>
    <mergeCell ref="C112:C113"/>
    <mergeCell ref="B124:B125"/>
    <mergeCell ref="C124:C125"/>
  </mergeCells>
  <phoneticPr fontId="4" type="noConversion"/>
  <printOptions horizontalCentered="1" gridLines="1"/>
  <pageMargins left="0.25" right="0.25" top="1.25" bottom="0.75" header="0.75" footer="0.5"/>
  <pageSetup scale="65" fitToWidth="0" fitToHeight="0" orientation="landscape" r:id="rId1"/>
  <headerFooter alignWithMargins="0">
    <oddHeader>&amp;L&amp;"Arial,Bold"&amp;Z&amp;F
&amp;[Comments]</oddHeader>
    <oddFooter>&amp;L&amp;A&amp;C&amp;P of &amp;N&amp;R&amp;D &amp;T</oddFooter>
  </headerFooter>
  <rowBreaks count="2" manualBreakCount="2">
    <brk id="51" min="1" max="14" man="1"/>
    <brk id="91" min="1" max="14" man="1"/>
  </rowBreaks>
  <legacyDrawing r:id="rId2"/>
  <controls>
    <control shapeId="1140" r:id="rId3" name="CommandButton2"/>
    <control shapeId="113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36"/>
  <sheetViews>
    <sheetView topLeftCell="A4" zoomScale="130" zoomScaleNormal="130" workbookViewId="0">
      <selection activeCell="C26" sqref="C26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209"/>
      <c r="B1" s="209"/>
      <c r="C1" s="209"/>
      <c r="D1" s="209"/>
    </row>
    <row r="2" spans="1:4" ht="26.25">
      <c r="A2" s="209"/>
      <c r="B2" s="209"/>
      <c r="C2" s="209"/>
      <c r="D2" s="209"/>
    </row>
    <row r="3" spans="1:4" ht="26.25">
      <c r="A3" s="263"/>
      <c r="B3" s="263"/>
      <c r="C3" s="263"/>
      <c r="D3" s="263"/>
    </row>
    <row r="4" spans="1:4">
      <c r="A4" s="264" t="s">
        <v>66</v>
      </c>
      <c r="B4" s="264"/>
      <c r="C4" s="264"/>
      <c r="D4" s="264"/>
    </row>
    <row r="5" spans="1:4">
      <c r="A5" s="210"/>
      <c r="B5" s="210"/>
      <c r="C5" s="210"/>
      <c r="D5" s="210"/>
    </row>
    <row r="6" spans="1:4" ht="13.5" thickBot="1">
      <c r="A6" s="210"/>
      <c r="B6" s="210"/>
      <c r="C6" s="210"/>
      <c r="D6" s="210"/>
    </row>
    <row r="7" spans="1:4" ht="13.5" thickTop="1">
      <c r="A7" s="265" t="s">
        <v>67</v>
      </c>
      <c r="B7" s="211" t="s">
        <v>68</v>
      </c>
      <c r="C7" s="267" t="s">
        <v>69</v>
      </c>
      <c r="D7" s="267" t="s">
        <v>70</v>
      </c>
    </row>
    <row r="8" spans="1:4" ht="13.5" thickBot="1">
      <c r="A8" s="266"/>
      <c r="B8" s="212" t="s">
        <v>71</v>
      </c>
      <c r="C8" s="268"/>
      <c r="D8" s="268"/>
    </row>
    <row r="9" spans="1:4">
      <c r="A9" s="213"/>
      <c r="B9" s="214">
        <v>1</v>
      </c>
      <c r="C9" s="215">
        <v>91.51</v>
      </c>
      <c r="D9" s="216">
        <f t="shared" ref="D9:D35" si="0">(C9-90)*65/90</f>
        <v>1.0905555555555593</v>
      </c>
    </row>
    <row r="10" spans="1:4">
      <c r="A10" s="217"/>
      <c r="B10" s="218">
        <f>B9+1</f>
        <v>2</v>
      </c>
      <c r="C10" s="219">
        <v>97.21</v>
      </c>
      <c r="D10" s="220">
        <f t="shared" si="0"/>
        <v>5.2072222222222173</v>
      </c>
    </row>
    <row r="11" spans="1:4">
      <c r="A11" s="213"/>
      <c r="B11" s="214">
        <f t="shared" ref="B11:B35" si="1">B10+1</f>
        <v>3</v>
      </c>
      <c r="C11" s="215">
        <v>105.84</v>
      </c>
      <c r="D11" s="216">
        <f t="shared" si="0"/>
        <v>11.440000000000001</v>
      </c>
    </row>
    <row r="12" spans="1:4">
      <c r="A12" s="217"/>
      <c r="B12" s="218">
        <f t="shared" si="1"/>
        <v>4</v>
      </c>
      <c r="C12" s="219">
        <v>106.85</v>
      </c>
      <c r="D12" s="220">
        <f t="shared" si="0"/>
        <v>12.169444444444439</v>
      </c>
    </row>
    <row r="13" spans="1:4">
      <c r="A13" s="213"/>
      <c r="B13" s="214">
        <f t="shared" si="1"/>
        <v>5</v>
      </c>
      <c r="C13" s="215">
        <v>114.47</v>
      </c>
      <c r="D13" s="216">
        <f t="shared" si="0"/>
        <v>17.672777777777778</v>
      </c>
    </row>
    <row r="14" spans="1:4">
      <c r="A14" s="217"/>
      <c r="B14" s="218">
        <f t="shared" si="1"/>
        <v>6</v>
      </c>
      <c r="C14" s="219">
        <v>116.209</v>
      </c>
      <c r="D14" s="220">
        <f>(C14-90)*65/90</f>
        <v>18.928722222222227</v>
      </c>
    </row>
    <row r="15" spans="1:4">
      <c r="A15" s="213"/>
      <c r="B15" s="214">
        <f t="shared" si="1"/>
        <v>7</v>
      </c>
      <c r="C15" s="215">
        <v>120.91</v>
      </c>
      <c r="D15" s="216">
        <v>180</v>
      </c>
    </row>
    <row r="16" spans="1:4">
      <c r="A16" s="217"/>
      <c r="B16" s="218">
        <f t="shared" si="1"/>
        <v>8</v>
      </c>
      <c r="C16" s="219">
        <v>123.03</v>
      </c>
      <c r="D16" s="220">
        <f t="shared" si="0"/>
        <v>23.855000000000004</v>
      </c>
    </row>
    <row r="17" spans="1:4">
      <c r="A17" s="213"/>
      <c r="B17" s="214">
        <f t="shared" si="1"/>
        <v>9</v>
      </c>
      <c r="C17" s="215">
        <v>131.58000000000001</v>
      </c>
      <c r="D17" s="216">
        <f t="shared" si="0"/>
        <v>30.030000000000008</v>
      </c>
    </row>
    <row r="18" spans="1:4">
      <c r="A18" s="217"/>
      <c r="B18" s="218">
        <f t="shared" si="1"/>
        <v>10</v>
      </c>
      <c r="C18" s="219">
        <v>140.13999999999999</v>
      </c>
      <c r="D18" s="220">
        <f t="shared" si="0"/>
        <v>36.212222222222209</v>
      </c>
    </row>
    <row r="19" spans="1:4">
      <c r="A19" s="213"/>
      <c r="B19" s="214">
        <f t="shared" si="1"/>
        <v>11</v>
      </c>
      <c r="C19" s="215">
        <v>148.87</v>
      </c>
      <c r="D19" s="216">
        <f t="shared" si="0"/>
        <v>42.517222222222223</v>
      </c>
    </row>
    <row r="20" spans="1:4">
      <c r="A20" s="217"/>
      <c r="B20" s="218">
        <f t="shared" si="1"/>
        <v>12</v>
      </c>
      <c r="C20" s="219">
        <v>151.62</v>
      </c>
      <c r="D20" s="220">
        <f t="shared" si="0"/>
        <v>44.503333333333337</v>
      </c>
    </row>
    <row r="21" spans="1:4">
      <c r="A21" s="213"/>
      <c r="B21" s="214">
        <f t="shared" si="1"/>
        <v>13</v>
      </c>
      <c r="C21" s="215">
        <v>157.6</v>
      </c>
      <c r="D21" s="216">
        <f t="shared" si="0"/>
        <v>48.822222222222223</v>
      </c>
    </row>
    <row r="22" spans="1:4">
      <c r="A22" s="217"/>
      <c r="B22" s="218">
        <f t="shared" si="1"/>
        <v>14</v>
      </c>
      <c r="C22" s="219">
        <v>172.76</v>
      </c>
      <c r="D22" s="220">
        <f t="shared" si="0"/>
        <v>59.771111111111104</v>
      </c>
    </row>
    <row r="23" spans="1:4">
      <c r="A23" s="213"/>
      <c r="B23" s="214">
        <f t="shared" si="1"/>
        <v>15</v>
      </c>
      <c r="C23" s="215">
        <v>175.73</v>
      </c>
      <c r="D23" s="216">
        <f t="shared" si="0"/>
        <v>61.9161111111111</v>
      </c>
    </row>
    <row r="24" spans="1:4">
      <c r="A24" s="217"/>
      <c r="B24" s="218">
        <f t="shared" si="1"/>
        <v>16</v>
      </c>
      <c r="C24" s="219">
        <v>176.53</v>
      </c>
      <c r="D24" s="220">
        <f t="shared" si="0"/>
        <v>62.49388888888889</v>
      </c>
    </row>
    <row r="25" spans="1:4">
      <c r="A25" s="213"/>
      <c r="B25" s="214">
        <f t="shared" si="1"/>
        <v>17</v>
      </c>
      <c r="C25" s="215">
        <v>175.73</v>
      </c>
      <c r="D25" s="216">
        <f t="shared" si="0"/>
        <v>61.9161111111111</v>
      </c>
    </row>
    <row r="26" spans="1:4">
      <c r="A26" s="217"/>
      <c r="B26" s="218">
        <f t="shared" si="1"/>
        <v>18</v>
      </c>
      <c r="C26" s="219">
        <v>149.37</v>
      </c>
      <c r="D26" s="220">
        <f t="shared" si="0"/>
        <v>42.878333333333337</v>
      </c>
    </row>
    <row r="27" spans="1:4">
      <c r="A27" s="213"/>
      <c r="B27" s="214">
        <f t="shared" si="1"/>
        <v>19</v>
      </c>
      <c r="C27" s="215">
        <v>151.72</v>
      </c>
      <c r="D27" s="216">
        <f t="shared" si="0"/>
        <v>44.575555555555553</v>
      </c>
    </row>
    <row r="28" spans="1:4">
      <c r="A28" s="217"/>
      <c r="B28" s="218">
        <f t="shared" si="1"/>
        <v>20</v>
      </c>
      <c r="C28" s="219">
        <v>155.07</v>
      </c>
      <c r="D28" s="220">
        <f t="shared" si="0"/>
        <v>46.99499999999999</v>
      </c>
    </row>
    <row r="29" spans="1:4">
      <c r="A29" s="213"/>
      <c r="B29" s="214">
        <f t="shared" si="1"/>
        <v>21</v>
      </c>
      <c r="C29" s="215">
        <v>158.41999999999999</v>
      </c>
      <c r="D29" s="216">
        <f t="shared" si="0"/>
        <v>49.414444444444435</v>
      </c>
    </row>
    <row r="30" spans="1:4">
      <c r="A30" s="217"/>
      <c r="B30" s="218">
        <f t="shared" si="1"/>
        <v>22</v>
      </c>
      <c r="C30" s="219">
        <v>161.77000000000001</v>
      </c>
      <c r="D30" s="220">
        <f t="shared" si="0"/>
        <v>51.8338888888889</v>
      </c>
    </row>
    <row r="31" spans="1:4">
      <c r="A31" s="213"/>
      <c r="B31" s="214">
        <f t="shared" si="1"/>
        <v>23</v>
      </c>
      <c r="C31" s="215">
        <v>165.12</v>
      </c>
      <c r="D31" s="216">
        <f t="shared" si="0"/>
        <v>54.253333333333337</v>
      </c>
    </row>
    <row r="32" spans="1:4">
      <c r="A32" s="217"/>
      <c r="B32" s="218">
        <f t="shared" si="1"/>
        <v>24</v>
      </c>
      <c r="C32" s="219">
        <v>168.71</v>
      </c>
      <c r="D32" s="220">
        <f t="shared" si="0"/>
        <v>56.846111111111114</v>
      </c>
    </row>
    <row r="33" spans="1:4">
      <c r="A33" s="213"/>
      <c r="B33" s="214">
        <f t="shared" si="1"/>
        <v>25</v>
      </c>
      <c r="C33" s="215">
        <v>173.85</v>
      </c>
      <c r="D33" s="216">
        <f t="shared" si="0"/>
        <v>60.55833333333333</v>
      </c>
    </row>
    <row r="34" spans="1:4">
      <c r="A34" s="217"/>
      <c r="B34" s="218">
        <f t="shared" si="1"/>
        <v>26</v>
      </c>
      <c r="C34" s="219">
        <v>174.09</v>
      </c>
      <c r="D34" s="220">
        <f t="shared" si="0"/>
        <v>60.731666666666669</v>
      </c>
    </row>
    <row r="35" spans="1:4" ht="13.5" thickBot="1">
      <c r="A35" s="221"/>
      <c r="B35" s="222">
        <f t="shared" si="1"/>
        <v>27</v>
      </c>
      <c r="C35" s="223"/>
      <c r="D35" s="224">
        <f t="shared" si="0"/>
        <v>-65</v>
      </c>
    </row>
    <row r="36" spans="1:4" ht="13.5" thickTop="1">
      <c r="D36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1" sqref="B11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96" t="s">
        <v>25</v>
      </c>
      <c r="C2" s="97" t="s">
        <v>12</v>
      </c>
      <c r="D2" s="97" t="s">
        <v>13</v>
      </c>
      <c r="E2" s="97" t="s">
        <v>15</v>
      </c>
      <c r="F2" s="97" t="s">
        <v>14</v>
      </c>
      <c r="G2" s="98" t="s">
        <v>24</v>
      </c>
    </row>
    <row r="3" spans="2:19">
      <c r="B3" s="93" t="s">
        <v>10</v>
      </c>
      <c r="C3" s="94">
        <f>0.532/2</f>
        <v>0.26600000000000001</v>
      </c>
      <c r="D3" s="94">
        <v>0.52</v>
      </c>
      <c r="E3" s="94">
        <v>0.68799999999999994</v>
      </c>
      <c r="F3" s="94">
        <v>6</v>
      </c>
      <c r="G3" s="95">
        <v>0</v>
      </c>
      <c r="I3" s="72"/>
      <c r="J3" s="73"/>
      <c r="K3" s="73"/>
      <c r="L3" s="73"/>
      <c r="M3" s="73"/>
      <c r="N3" s="73"/>
      <c r="O3" s="73"/>
      <c r="P3" s="73"/>
      <c r="Q3" s="72"/>
      <c r="R3" s="72"/>
      <c r="S3" s="72"/>
    </row>
    <row r="4" spans="2:19" ht="12.75" customHeight="1">
      <c r="B4" s="87" t="s">
        <v>11</v>
      </c>
      <c r="C4" s="85">
        <f>0.628/2</f>
        <v>0.314</v>
      </c>
      <c r="D4" s="86">
        <v>0.52</v>
      </c>
      <c r="E4" s="86">
        <v>0.68799999999999994</v>
      </c>
      <c r="F4" s="86">
        <v>6</v>
      </c>
      <c r="G4" s="88">
        <v>0</v>
      </c>
      <c r="I4" s="72"/>
      <c r="J4" s="74"/>
      <c r="K4" s="74"/>
      <c r="L4" s="75"/>
      <c r="M4" s="75"/>
      <c r="N4" s="76"/>
      <c r="O4" s="75"/>
      <c r="P4" s="73"/>
      <c r="Q4" s="72"/>
      <c r="R4" s="72"/>
      <c r="S4" s="72"/>
    </row>
    <row r="5" spans="2:19" ht="12.75" customHeight="1">
      <c r="B5" s="89" t="s">
        <v>18</v>
      </c>
      <c r="C5" s="86">
        <f>0.753/2</f>
        <v>0.3765</v>
      </c>
      <c r="D5" s="86">
        <v>0.52</v>
      </c>
      <c r="E5" s="86">
        <v>0.93799999999999994</v>
      </c>
      <c r="F5" s="86">
        <v>6</v>
      </c>
      <c r="G5" s="88">
        <v>0</v>
      </c>
      <c r="I5" s="72"/>
      <c r="J5" s="74"/>
      <c r="K5" s="74"/>
      <c r="L5" s="77"/>
      <c r="M5" s="78"/>
      <c r="N5" s="77"/>
      <c r="O5" s="78"/>
      <c r="P5" s="73"/>
      <c r="Q5" s="72"/>
      <c r="R5" s="72"/>
      <c r="S5" s="72"/>
    </row>
    <row r="6" spans="2:19">
      <c r="B6" s="89" t="s">
        <v>21</v>
      </c>
      <c r="C6" s="86">
        <f>0.436/2</f>
        <v>0.218</v>
      </c>
      <c r="D6" s="86">
        <v>0.315</v>
      </c>
      <c r="E6" s="86">
        <v>0.5</v>
      </c>
      <c r="F6" s="86">
        <v>6</v>
      </c>
      <c r="G6" s="88">
        <v>0</v>
      </c>
      <c r="I6" s="72"/>
      <c r="J6" s="79"/>
      <c r="K6" s="80"/>
      <c r="L6" s="81"/>
      <c r="M6" s="81"/>
      <c r="N6" s="81"/>
      <c r="O6" s="82"/>
      <c r="P6" s="73"/>
      <c r="Q6" s="72"/>
      <c r="R6" s="72"/>
      <c r="S6" s="72"/>
    </row>
    <row r="7" spans="2:19">
      <c r="B7" s="89" t="s">
        <v>17</v>
      </c>
      <c r="C7" s="86">
        <v>0.26600000000000001</v>
      </c>
      <c r="D7" s="86">
        <v>0.315</v>
      </c>
      <c r="E7" s="86">
        <v>0.68799999999999994</v>
      </c>
      <c r="F7" s="86">
        <v>6</v>
      </c>
      <c r="G7" s="88">
        <v>0</v>
      </c>
      <c r="I7" s="72"/>
      <c r="J7" s="79"/>
      <c r="K7" s="80"/>
      <c r="L7" s="81"/>
      <c r="M7" s="81"/>
      <c r="N7" s="81"/>
      <c r="O7" s="82"/>
      <c r="P7" s="73"/>
      <c r="Q7" s="72"/>
      <c r="R7" s="72"/>
      <c r="S7" s="72"/>
    </row>
    <row r="8" spans="2:19">
      <c r="B8" s="89" t="s">
        <v>16</v>
      </c>
      <c r="C8" s="86">
        <v>0.314</v>
      </c>
      <c r="D8" s="86">
        <v>0.315</v>
      </c>
      <c r="E8" s="86">
        <v>0.68799999999999994</v>
      </c>
      <c r="F8" s="86">
        <v>6</v>
      </c>
      <c r="G8" s="88">
        <v>0</v>
      </c>
      <c r="I8" s="72"/>
      <c r="J8" s="79"/>
      <c r="K8" s="80"/>
      <c r="L8" s="82"/>
      <c r="M8" s="82"/>
      <c r="N8" s="81"/>
      <c r="O8" s="82"/>
      <c r="P8" s="73"/>
      <c r="Q8" s="72"/>
      <c r="R8" s="72"/>
      <c r="S8" s="72"/>
    </row>
    <row r="9" spans="2:19">
      <c r="B9" s="89" t="s">
        <v>19</v>
      </c>
      <c r="C9" s="86">
        <f>0.539/2</f>
        <v>0.26950000000000002</v>
      </c>
      <c r="D9" s="86">
        <v>0.315</v>
      </c>
      <c r="E9" s="86">
        <f>0.2695*2+0.001</f>
        <v>0.54</v>
      </c>
      <c r="F9" s="86">
        <v>6</v>
      </c>
      <c r="G9" s="88">
        <v>0</v>
      </c>
      <c r="I9" s="72"/>
      <c r="J9" s="79"/>
      <c r="K9" s="80"/>
      <c r="L9" s="82"/>
      <c r="M9" s="82"/>
      <c r="N9" s="82"/>
      <c r="O9" s="82"/>
      <c r="P9" s="73"/>
      <c r="Q9" s="72"/>
      <c r="R9" s="72"/>
      <c r="S9" s="72"/>
    </row>
    <row r="10" spans="2:19">
      <c r="B10" s="89" t="s">
        <v>20</v>
      </c>
      <c r="C10" s="86">
        <f>0.525/2</f>
        <v>0.26250000000000001</v>
      </c>
      <c r="D10" s="86">
        <v>0.41199999999999998</v>
      </c>
      <c r="E10" s="86">
        <f>0.2625*2+0.001</f>
        <v>0.52600000000000002</v>
      </c>
      <c r="F10" s="86">
        <v>6</v>
      </c>
      <c r="G10" s="88">
        <v>1</v>
      </c>
      <c r="I10" s="72"/>
      <c r="J10" s="79"/>
      <c r="K10" s="80"/>
      <c r="L10" s="82"/>
      <c r="M10" s="82"/>
      <c r="N10" s="81"/>
      <c r="O10" s="82"/>
      <c r="P10" s="73"/>
      <c r="Q10" s="72"/>
      <c r="R10" s="72"/>
      <c r="S10" s="72"/>
    </row>
    <row r="11" spans="2:19">
      <c r="B11" s="89" t="s">
        <v>22</v>
      </c>
      <c r="C11" s="86">
        <f>0.39/2</f>
        <v>0.19500000000000001</v>
      </c>
      <c r="D11" s="86">
        <v>0.40699999999999997</v>
      </c>
      <c r="E11" s="86">
        <v>0.39100000000000001</v>
      </c>
      <c r="F11" s="86">
        <v>6</v>
      </c>
      <c r="G11" s="88">
        <v>1</v>
      </c>
      <c r="I11" s="72"/>
      <c r="J11" s="79"/>
      <c r="K11" s="80"/>
      <c r="L11" s="82"/>
      <c r="M11" s="82"/>
      <c r="N11" s="82"/>
      <c r="O11" s="82"/>
      <c r="P11" s="73"/>
      <c r="Q11" s="72"/>
      <c r="R11" s="72"/>
      <c r="S11" s="72"/>
    </row>
    <row r="12" spans="2:19">
      <c r="B12" s="89" t="s">
        <v>23</v>
      </c>
      <c r="C12" s="86">
        <f>0.514/2</f>
        <v>0.25700000000000001</v>
      </c>
      <c r="D12" s="86">
        <v>0.71</v>
      </c>
      <c r="E12" s="86">
        <v>0.51500000000000001</v>
      </c>
      <c r="F12" s="86">
        <v>6</v>
      </c>
      <c r="G12" s="88">
        <v>1</v>
      </c>
      <c r="I12" s="72"/>
      <c r="J12" s="79"/>
      <c r="K12" s="80"/>
      <c r="L12" s="82"/>
      <c r="M12" s="82"/>
      <c r="N12" s="81"/>
      <c r="O12" s="82"/>
      <c r="P12" s="73"/>
      <c r="Q12" s="72"/>
      <c r="R12" s="72"/>
      <c r="S12" s="72"/>
    </row>
    <row r="13" spans="2:19">
      <c r="B13" s="89" t="s">
        <v>41</v>
      </c>
      <c r="C13" s="86">
        <v>0.22075</v>
      </c>
      <c r="D13" s="86">
        <v>0.33389999999999997</v>
      </c>
      <c r="E13" s="86">
        <v>0.442</v>
      </c>
      <c r="F13" s="86">
        <v>6</v>
      </c>
      <c r="G13" s="88">
        <v>1</v>
      </c>
      <c r="I13" s="72"/>
      <c r="J13" s="79"/>
      <c r="K13" s="80"/>
      <c r="L13" s="82"/>
      <c r="M13" s="82"/>
      <c r="N13" s="81"/>
      <c r="O13" s="82"/>
      <c r="P13" s="73"/>
      <c r="Q13" s="72"/>
      <c r="R13" s="72"/>
      <c r="S13" s="72"/>
    </row>
    <row r="14" spans="2:19">
      <c r="B14" s="87" t="s">
        <v>77</v>
      </c>
      <c r="C14" s="86">
        <v>0.219</v>
      </c>
      <c r="D14" s="86">
        <v>0.42</v>
      </c>
      <c r="E14" s="86">
        <v>0.68799999999999994</v>
      </c>
      <c r="F14" s="86">
        <v>6</v>
      </c>
      <c r="G14" s="88">
        <v>0</v>
      </c>
      <c r="I14" s="72"/>
      <c r="J14" s="79"/>
      <c r="K14" s="80"/>
      <c r="L14" s="81"/>
      <c r="M14" s="81"/>
      <c r="N14" s="81"/>
      <c r="O14" s="82"/>
      <c r="P14" s="73"/>
      <c r="Q14" s="72"/>
      <c r="R14" s="72"/>
      <c r="S14" s="72"/>
    </row>
    <row r="15" spans="2:19">
      <c r="B15" s="87"/>
      <c r="C15" s="86"/>
      <c r="D15" s="86"/>
      <c r="E15" s="86"/>
      <c r="F15" s="86"/>
      <c r="G15" s="88"/>
      <c r="I15" s="72"/>
      <c r="J15" s="79"/>
      <c r="K15" s="80"/>
      <c r="L15" s="82"/>
      <c r="M15" s="82"/>
      <c r="N15" s="81"/>
      <c r="O15" s="82"/>
      <c r="P15" s="73"/>
      <c r="Q15" s="72"/>
      <c r="R15" s="72"/>
      <c r="S15" s="72"/>
    </row>
    <row r="16" spans="2:19">
      <c r="B16" s="87"/>
      <c r="C16" s="86"/>
      <c r="D16" s="86"/>
      <c r="E16" s="86"/>
      <c r="F16" s="86"/>
      <c r="G16" s="88"/>
      <c r="I16" s="72"/>
      <c r="J16" s="79"/>
      <c r="K16" s="80"/>
      <c r="L16" s="82"/>
      <c r="M16" s="82"/>
      <c r="N16" s="81"/>
      <c r="O16" s="82"/>
      <c r="P16" s="73"/>
      <c r="Q16" s="72"/>
      <c r="R16" s="72"/>
      <c r="S16" s="72"/>
    </row>
    <row r="17" spans="2:19">
      <c r="B17" s="87"/>
      <c r="C17" s="86"/>
      <c r="D17" s="86"/>
      <c r="E17" s="86"/>
      <c r="F17" s="86"/>
      <c r="G17" s="88"/>
      <c r="I17" s="72"/>
      <c r="J17" s="79"/>
      <c r="K17" s="80"/>
      <c r="L17" s="82"/>
      <c r="M17" s="82"/>
      <c r="N17" s="81"/>
      <c r="O17" s="82"/>
      <c r="P17" s="73"/>
      <c r="Q17" s="72"/>
      <c r="R17" s="72"/>
      <c r="S17" s="72"/>
    </row>
    <row r="18" spans="2:19">
      <c r="B18" s="87"/>
      <c r="C18" s="86"/>
      <c r="D18" s="86"/>
      <c r="E18" s="86"/>
      <c r="F18" s="86"/>
      <c r="G18" s="88"/>
      <c r="I18" s="72"/>
      <c r="J18" s="79"/>
      <c r="K18" s="80"/>
      <c r="L18" s="82"/>
      <c r="M18" s="82"/>
      <c r="N18" s="81"/>
      <c r="O18" s="82"/>
      <c r="P18" s="73"/>
      <c r="Q18" s="72"/>
      <c r="R18" s="72"/>
      <c r="S18" s="72"/>
    </row>
    <row r="19" spans="2:19">
      <c r="B19" s="87"/>
      <c r="C19" s="86"/>
      <c r="D19" s="86"/>
      <c r="E19" s="86"/>
      <c r="F19" s="86"/>
      <c r="G19" s="88"/>
      <c r="I19" s="72"/>
      <c r="J19" s="79"/>
      <c r="K19" s="80"/>
      <c r="L19" s="82"/>
      <c r="M19" s="82"/>
      <c r="N19" s="81"/>
      <c r="O19" s="82"/>
      <c r="P19" s="73"/>
      <c r="Q19" s="72"/>
      <c r="R19" s="72"/>
      <c r="S19" s="72"/>
    </row>
    <row r="20" spans="2:19">
      <c r="B20" s="87"/>
      <c r="C20" s="86"/>
      <c r="D20" s="86"/>
      <c r="E20" s="86"/>
      <c r="F20" s="86"/>
      <c r="G20" s="88"/>
      <c r="I20" s="72"/>
      <c r="J20" s="79"/>
      <c r="K20" s="80"/>
      <c r="L20" s="82"/>
      <c r="M20" s="82"/>
      <c r="N20" s="81"/>
      <c r="O20" s="82"/>
      <c r="P20" s="73"/>
      <c r="Q20" s="72"/>
      <c r="R20" s="72"/>
      <c r="S20" s="72"/>
    </row>
    <row r="21" spans="2:19">
      <c r="B21" s="87"/>
      <c r="C21" s="86"/>
      <c r="D21" s="86"/>
      <c r="E21" s="86"/>
      <c r="F21" s="86"/>
      <c r="G21" s="88"/>
      <c r="I21" s="72"/>
      <c r="J21" s="79"/>
      <c r="K21" s="83"/>
      <c r="L21" s="82"/>
      <c r="M21" s="82"/>
      <c r="N21" s="81"/>
      <c r="O21" s="82"/>
      <c r="P21" s="73"/>
      <c r="Q21" s="72"/>
      <c r="R21" s="72"/>
      <c r="S21" s="72"/>
    </row>
    <row r="22" spans="2:19">
      <c r="B22" s="87"/>
      <c r="C22" s="86"/>
      <c r="D22" s="86"/>
      <c r="E22" s="86"/>
      <c r="F22" s="86"/>
      <c r="G22" s="88"/>
      <c r="I22" s="72"/>
      <c r="J22" s="84"/>
      <c r="K22" s="83"/>
      <c r="L22" s="82"/>
      <c r="M22" s="82"/>
      <c r="N22" s="81"/>
      <c r="O22" s="82"/>
      <c r="P22" s="73"/>
      <c r="Q22" s="72"/>
      <c r="R22" s="72"/>
      <c r="S22" s="72"/>
    </row>
    <row r="23" spans="2:19">
      <c r="B23" s="87"/>
      <c r="C23" s="86"/>
      <c r="D23" s="86"/>
      <c r="E23" s="86"/>
      <c r="F23" s="86"/>
      <c r="G23" s="88"/>
      <c r="I23" s="72"/>
      <c r="J23" s="73"/>
      <c r="K23" s="73"/>
      <c r="L23" s="73"/>
      <c r="M23" s="73"/>
      <c r="N23" s="73"/>
      <c r="O23" s="73"/>
      <c r="P23" s="73"/>
      <c r="Q23" s="72"/>
      <c r="R23" s="72"/>
      <c r="S23" s="72"/>
    </row>
    <row r="24" spans="2:19">
      <c r="B24" s="87"/>
      <c r="C24" s="86"/>
      <c r="D24" s="86"/>
      <c r="E24" s="86"/>
      <c r="F24" s="86"/>
      <c r="G24" s="88"/>
      <c r="I24" s="72"/>
      <c r="J24" s="73"/>
      <c r="K24" s="73"/>
      <c r="L24" s="73"/>
      <c r="M24" s="73"/>
      <c r="N24" s="73"/>
      <c r="O24" s="73"/>
      <c r="P24" s="73"/>
      <c r="Q24" s="72"/>
      <c r="R24" s="72"/>
      <c r="S24" s="72"/>
    </row>
    <row r="25" spans="2:19">
      <c r="B25" s="87"/>
      <c r="C25" s="86"/>
      <c r="D25" s="86"/>
      <c r="E25" s="86"/>
      <c r="F25" s="86"/>
      <c r="G25" s="88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</row>
    <row r="26" spans="2:19">
      <c r="B26" s="87"/>
      <c r="C26" s="86"/>
      <c r="D26" s="86"/>
      <c r="E26" s="86"/>
      <c r="F26" s="86"/>
      <c r="G26" s="88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</row>
    <row r="27" spans="2:19">
      <c r="B27" s="87"/>
      <c r="C27" s="86"/>
      <c r="D27" s="86"/>
      <c r="E27" s="86"/>
      <c r="F27" s="86"/>
      <c r="G27" s="88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2:19">
      <c r="B28" s="87"/>
      <c r="C28" s="86"/>
      <c r="D28" s="86"/>
      <c r="E28" s="86"/>
      <c r="F28" s="86"/>
      <c r="G28" s="88"/>
    </row>
    <row r="29" spans="2:19">
      <c r="B29" s="87"/>
      <c r="C29" s="86"/>
      <c r="D29" s="86"/>
      <c r="E29" s="86"/>
      <c r="F29" s="86"/>
      <c r="G29" s="88"/>
    </row>
    <row r="30" spans="2:19">
      <c r="B30" s="87"/>
      <c r="C30" s="86"/>
      <c r="D30" s="86"/>
      <c r="E30" s="86"/>
      <c r="F30" s="86"/>
      <c r="G30" s="88"/>
    </row>
    <row r="31" spans="2:19">
      <c r="B31" s="87"/>
      <c r="C31" s="86"/>
      <c r="D31" s="86"/>
      <c r="E31" s="86"/>
      <c r="F31" s="86"/>
      <c r="G31" s="88"/>
    </row>
    <row r="32" spans="2:19">
      <c r="B32" s="87"/>
      <c r="C32" s="86"/>
      <c r="D32" s="86"/>
      <c r="E32" s="86"/>
      <c r="F32" s="86"/>
      <c r="G32" s="88"/>
    </row>
    <row r="33" spans="2:7">
      <c r="B33" s="87"/>
      <c r="C33" s="86"/>
      <c r="D33" s="86"/>
      <c r="E33" s="86"/>
      <c r="F33" s="86"/>
      <c r="G33" s="88"/>
    </row>
    <row r="34" spans="2:7">
      <c r="B34" s="87"/>
      <c r="C34" s="86"/>
      <c r="D34" s="86"/>
      <c r="E34" s="86"/>
      <c r="F34" s="86"/>
      <c r="G34" s="88"/>
    </row>
    <row r="35" spans="2:7">
      <c r="B35" s="87"/>
      <c r="C35" s="86"/>
      <c r="D35" s="86"/>
      <c r="E35" s="86"/>
      <c r="F35" s="86"/>
      <c r="G35" s="88"/>
    </row>
    <row r="36" spans="2:7">
      <c r="B36" s="87"/>
      <c r="C36" s="86"/>
      <c r="D36" s="86"/>
      <c r="E36" s="86"/>
      <c r="F36" s="86"/>
      <c r="G36" s="88"/>
    </row>
    <row r="37" spans="2:7">
      <c r="B37" s="87"/>
      <c r="C37" s="86"/>
      <c r="D37" s="86"/>
      <c r="E37" s="86"/>
      <c r="F37" s="86"/>
      <c r="G37" s="88"/>
    </row>
    <row r="38" spans="2:7" ht="13.5" thickBot="1">
      <c r="B38" s="90"/>
      <c r="C38" s="91"/>
      <c r="D38" s="91"/>
      <c r="E38" s="91"/>
      <c r="F38" s="91"/>
      <c r="G38" s="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G1" zoomScale="115" zoomScaleNormal="115" workbookViewId="0">
      <pane ySplit="2" topLeftCell="A53" activePane="bottomLeft" state="frozen"/>
      <selection pane="bottomLeft" activeCell="I85" sqref="I85"/>
    </sheetView>
  </sheetViews>
  <sheetFormatPr defaultRowHeight="15"/>
  <cols>
    <col min="1" max="1" width="9.140625" style="101" customWidth="1"/>
    <col min="2" max="2" width="10.140625" style="101" bestFit="1" customWidth="1"/>
    <col min="3" max="3" width="11.28515625" style="101" bestFit="1" customWidth="1"/>
    <col min="4" max="4" width="9.140625" style="102"/>
    <col min="5" max="5" width="13.140625" style="102" customWidth="1"/>
    <col min="6" max="6" width="11.140625" style="102" bestFit="1" customWidth="1"/>
    <col min="7" max="7" width="13.28515625" style="102" bestFit="1" customWidth="1"/>
    <col min="8" max="8" width="16.42578125" style="102" bestFit="1" customWidth="1"/>
    <col min="9" max="13" width="9.140625" style="102"/>
    <col min="14" max="14" width="13" style="102" customWidth="1"/>
    <col min="15" max="15" width="9.140625" style="102"/>
    <col min="16" max="16" width="11.85546875" style="102" customWidth="1"/>
    <col min="17" max="17" width="9.140625" style="102"/>
    <col min="18" max="18" width="9.140625" style="115"/>
    <col min="19" max="19" width="6.28515625" style="102" customWidth="1"/>
    <col min="20" max="20" width="6" style="102" customWidth="1"/>
    <col min="21" max="21" width="6.28515625" style="102" customWidth="1"/>
    <col min="22" max="22" width="8.140625" style="102" customWidth="1"/>
    <col min="23" max="23" width="8.140625" style="107" customWidth="1"/>
    <col min="24" max="26" width="9.140625" style="107"/>
    <col min="27" max="27" width="14.5703125" style="102" customWidth="1"/>
    <col min="28" max="29" width="9.140625" style="102"/>
    <col min="30" max="16384" width="9.140625" style="101"/>
  </cols>
  <sheetData>
    <row r="1" spans="1:30" ht="32.25" customHeight="1">
      <c r="I1" s="269" t="s">
        <v>26</v>
      </c>
      <c r="J1" s="269"/>
      <c r="K1" s="269"/>
      <c r="L1" s="269"/>
      <c r="M1" s="269"/>
      <c r="N1" s="103"/>
      <c r="O1" s="104" t="s">
        <v>27</v>
      </c>
      <c r="P1" s="104"/>
      <c r="Q1" s="104"/>
      <c r="R1" s="105"/>
      <c r="U1" s="106"/>
      <c r="V1" s="106"/>
      <c r="W1" s="153"/>
      <c r="X1" s="107" t="s">
        <v>42</v>
      </c>
      <c r="Y1" s="107">
        <f>($C$4/2)-B6</f>
        <v>5.8449999999999998</v>
      </c>
      <c r="Z1" s="107">
        <f>($C$4/2)-C6</f>
        <v>5.8898999999999999</v>
      </c>
      <c r="AA1" s="104" t="s">
        <v>43</v>
      </c>
      <c r="AB1" s="102">
        <v>0</v>
      </c>
      <c r="AC1" s="102">
        <v>2.5000000000000001E-2</v>
      </c>
    </row>
    <row r="2" spans="1:30" ht="15.75" thickBot="1">
      <c r="D2" s="102" t="s">
        <v>44</v>
      </c>
      <c r="E2" s="107" t="s">
        <v>45</v>
      </c>
      <c r="F2" s="108" t="s">
        <v>28</v>
      </c>
      <c r="G2" s="108" t="s">
        <v>29</v>
      </c>
      <c r="H2" s="108" t="s">
        <v>30</v>
      </c>
      <c r="I2" s="108" t="s">
        <v>31</v>
      </c>
      <c r="J2" s="108" t="s">
        <v>32</v>
      </c>
      <c r="K2" s="108" t="s">
        <v>33</v>
      </c>
      <c r="L2" s="108" t="s">
        <v>34</v>
      </c>
      <c r="M2" s="108" t="s">
        <v>35</v>
      </c>
      <c r="N2" s="108" t="s">
        <v>36</v>
      </c>
      <c r="O2" s="108" t="s">
        <v>37</v>
      </c>
      <c r="P2" s="108" t="s">
        <v>38</v>
      </c>
      <c r="Q2" s="108" t="s">
        <v>39</v>
      </c>
      <c r="R2" s="109" t="s">
        <v>40</v>
      </c>
      <c r="S2" s="108" t="s">
        <v>46</v>
      </c>
      <c r="T2" s="108" t="s">
        <v>47</v>
      </c>
      <c r="U2" s="106" t="s">
        <v>48</v>
      </c>
      <c r="V2" s="106" t="s">
        <v>49</v>
      </c>
      <c r="W2" s="153" t="s">
        <v>35</v>
      </c>
      <c r="X2" s="154" t="s">
        <v>50</v>
      </c>
      <c r="Y2" s="154" t="s">
        <v>51</v>
      </c>
      <c r="Z2" s="154" t="s">
        <v>52</v>
      </c>
      <c r="AA2" s="110" t="str">
        <f>"←if kn -"&amp;TEXT(AB1,"0.000")&amp;" clearance"</f>
        <v>←if kn -0.000 clearance</v>
      </c>
    </row>
    <row r="3" spans="1:30">
      <c r="B3" s="270" t="s">
        <v>53</v>
      </c>
      <c r="C3" s="271"/>
      <c r="D3" s="102">
        <v>0</v>
      </c>
      <c r="E3" s="107">
        <f>IF(F3="","",(O3/360)*$D$3)</f>
        <v>0</v>
      </c>
      <c r="F3" s="111">
        <v>1.2100000000000002</v>
      </c>
      <c r="G3" s="101" t="s">
        <v>11</v>
      </c>
      <c r="H3" s="101" t="s">
        <v>20</v>
      </c>
      <c r="I3" s="101"/>
      <c r="J3" s="101"/>
      <c r="K3" s="101"/>
      <c r="L3" s="101"/>
      <c r="M3" s="101"/>
      <c r="N3" s="101"/>
      <c r="O3" s="101">
        <v>-24.68</v>
      </c>
      <c r="P3" s="101">
        <v>-24.68</v>
      </c>
      <c r="Q3" s="101">
        <v>0</v>
      </c>
      <c r="R3" s="101">
        <v>0</v>
      </c>
    </row>
    <row r="4" spans="1:30" ht="15.75" thickBot="1">
      <c r="B4" s="112" t="s">
        <v>54</v>
      </c>
      <c r="C4" s="113">
        <f>12.25-0.034</f>
        <v>12.215999999999999</v>
      </c>
      <c r="E4" s="107" t="str">
        <f t="shared" ref="E4:E67" si="0">IF(F4="","",(O4/360)*$D$3)</f>
        <v/>
      </c>
      <c r="F4" s="111"/>
      <c r="G4" s="101" t="s">
        <v>55</v>
      </c>
      <c r="H4" s="101"/>
      <c r="I4" s="101">
        <v>0</v>
      </c>
      <c r="J4" s="101">
        <v>2.3439000000000001</v>
      </c>
      <c r="K4" s="101">
        <v>-0.1981</v>
      </c>
      <c r="L4" s="101">
        <v>12.5</v>
      </c>
      <c r="M4" s="101">
        <v>15</v>
      </c>
      <c r="N4" s="101" t="s">
        <v>55</v>
      </c>
      <c r="O4" s="101"/>
      <c r="P4" s="101" t="s">
        <v>55</v>
      </c>
      <c r="Q4" s="101"/>
      <c r="R4" s="101"/>
      <c r="S4" s="102">
        <f>IF(G3="","",IF(OR(LEFT(TRIM(H3),2)="16",LEFT(TRIM(H3),2)="13"),1,0))</f>
        <v>0</v>
      </c>
      <c r="T4" s="102">
        <f>IF(S4="","",IF(LEFT(TRIM(G3),2)="13",1,0))</f>
        <v>0</v>
      </c>
      <c r="U4" s="102">
        <f>IF(S4="","",IF(LEFT(TRIM(H3),3)="1/2",1,0))</f>
        <v>1</v>
      </c>
      <c r="V4" s="102">
        <f>IF(S4="","",IF(T4=1,VLOOKUP(M4,'elipse #s'!$A$4:$C$38,2,FALSE),VLOOKUP(M4,'elipse #s'!$A$4:$C$38,3,FALSE)))</f>
        <v>0.30185182071533384</v>
      </c>
      <c r="W4" s="155">
        <f>IF(S4="","",IF(S4=0,IF(U4=1,$B$6,$C$6),VLOOKUP(N4,'elipse #s'!$A$4:$C$38,2,FALSE)))</f>
        <v>0.26300000000000001</v>
      </c>
      <c r="X4" s="155">
        <f>IF(S4="","",V4-W4)</f>
        <v>3.8851820715333829E-2</v>
      </c>
      <c r="Y4" s="155">
        <f>IF(S4="",0,IF(S4=0,IF(U4=1,MIN(X4*SIN(RADIANS(-L4))+J4,$Y$1),MIN(X4*SIN(RADIANS(-L4))+J4,$Z$1)),X4*SIN(RADIANS(-L4))+J4))</f>
        <v>2.3354909269235811</v>
      </c>
      <c r="Z4" s="155">
        <f>IF(S4="",0,IF(S4=0,X4*COS(RADIANS(-L4))+K4-$AB$1+E3-$AC$1,X4*COS(RADIANS(-L4))+K4-$AB$1+E3))</f>
        <v>-0.18516912256628007</v>
      </c>
    </row>
    <row r="5" spans="1:30">
      <c r="A5" s="102"/>
      <c r="B5" s="102" t="s">
        <v>56</v>
      </c>
      <c r="C5" s="101" t="s">
        <v>57</v>
      </c>
      <c r="E5" s="107">
        <f t="shared" si="0"/>
        <v>0</v>
      </c>
      <c r="F5" s="111">
        <v>1.2160000000000002</v>
      </c>
      <c r="G5" s="101" t="s">
        <v>11</v>
      </c>
      <c r="H5" s="101" t="s">
        <v>20</v>
      </c>
      <c r="I5" s="101"/>
      <c r="J5" s="101"/>
      <c r="K5" s="101"/>
      <c r="L5" s="101"/>
      <c r="M5" s="101"/>
      <c r="N5" s="101" t="s">
        <v>55</v>
      </c>
      <c r="O5" s="101">
        <v>-20.286000000000001</v>
      </c>
      <c r="P5" s="101">
        <v>-20.654</v>
      </c>
      <c r="Q5" s="101">
        <v>-0.36799999999999999</v>
      </c>
      <c r="R5" s="101">
        <v>0</v>
      </c>
      <c r="S5" s="102" t="str">
        <f t="shared" ref="S5:S6" si="1">IF(G4="","",IF(OR(LEFT(TRIM(H4),2)="16",LEFT(TRIM(H4),2)="13"),1,0))</f>
        <v/>
      </c>
      <c r="T5" s="102" t="str">
        <f t="shared" ref="T5:T6" si="2">IF(S5="","",IF(LEFT(TRIM(G4),2)="13",1,0))</f>
        <v/>
      </c>
      <c r="U5" s="102" t="str">
        <f t="shared" ref="U5:U6" si="3">IF(S5="","",IF(LEFT(TRIM(H4),3)="1/2",1,0))</f>
        <v/>
      </c>
      <c r="V5" s="102" t="str">
        <f>IF(S5="","",IF(T5=1,VLOOKUP(M5,'elipse #s'!$A$4:$C$38,2,FALSE),VLOOKUP(M5,'elipse #s'!$A$4:$C$38,3,FALSE)))</f>
        <v/>
      </c>
      <c r="W5" s="155" t="str">
        <f>IF(S5="","",IF(S5=0,IF(U5=1,$B$6,$C$6),VLOOKUP(N5,'elipse #s'!$A$4:$C$38,2,FALSE)))</f>
        <v/>
      </c>
      <c r="X5" s="155" t="str">
        <f t="shared" ref="X5:X6" si="4">IF(S5="","",V5-W5)</f>
        <v/>
      </c>
      <c r="Y5" s="155">
        <f t="shared" ref="Y5:Y6" si="5">IF(S5="",0,IF(S5=0,IF(U5=1,MIN(X5*SIN(RADIANS(-L5))+J5,$Y$1),MIN(X5*SIN(RADIANS(-L5))+J5,$Z$1)),X5*SIN(RADIANS(-L5))+J5))</f>
        <v>0</v>
      </c>
      <c r="Z5" s="155">
        <f t="shared" ref="Z5:Z68" si="6">IF(S5="",0,IF(S5=0,X5*COS(RADIANS(-L5))+K5-$AB$1+E4-$AC$1,X5*COS(RADIANS(-L5))+K5-$AB$1+E4))</f>
        <v>0</v>
      </c>
    </row>
    <row r="6" spans="1:30">
      <c r="A6" s="102"/>
      <c r="B6" s="102">
        <v>0.26300000000000001</v>
      </c>
      <c r="C6" s="101">
        <v>0.21809999999999999</v>
      </c>
      <c r="E6" s="107" t="str">
        <f t="shared" si="0"/>
        <v/>
      </c>
      <c r="F6" s="111"/>
      <c r="G6" s="101" t="s">
        <v>55</v>
      </c>
      <c r="H6" s="101"/>
      <c r="I6" s="101">
        <v>0</v>
      </c>
      <c r="J6" s="101">
        <v>3.1067999999999998</v>
      </c>
      <c r="K6" s="101">
        <v>-8.72E-2</v>
      </c>
      <c r="L6" s="101">
        <v>-3.33</v>
      </c>
      <c r="M6" s="101">
        <v>15</v>
      </c>
      <c r="N6" s="101" t="s">
        <v>55</v>
      </c>
      <c r="O6" s="101"/>
      <c r="P6" s="101" t="s">
        <v>55</v>
      </c>
      <c r="Q6" s="101"/>
      <c r="R6" s="101"/>
      <c r="S6" s="102">
        <f t="shared" si="1"/>
        <v>0</v>
      </c>
      <c r="T6" s="102">
        <f t="shared" si="2"/>
        <v>0</v>
      </c>
      <c r="U6" s="102">
        <f t="shared" si="3"/>
        <v>1</v>
      </c>
      <c r="V6" s="102">
        <f>IF(S6="","",IF(T6=1,VLOOKUP(M6,'elipse #s'!$A$4:$C$38,2,FALSE),VLOOKUP(M6,'elipse #s'!$A$4:$C$38,3,FALSE)))</f>
        <v>0.30185182071533384</v>
      </c>
      <c r="W6" s="155">
        <f>IF(S6="","",IF(S6=0,IF(U6=1,$B$6,$C$6),VLOOKUP(N6,'elipse #s'!$A$4:$C$38,2,FALSE)))</f>
        <v>0.26300000000000001</v>
      </c>
      <c r="X6" s="155">
        <f t="shared" si="4"/>
        <v>3.8851820715333829E-2</v>
      </c>
      <c r="Y6" s="155">
        <f t="shared" si="5"/>
        <v>3.1090567759813075</v>
      </c>
      <c r="Z6" s="155">
        <f t="shared" si="6"/>
        <v>-7.3413779056646478E-2</v>
      </c>
    </row>
    <row r="7" spans="1:30">
      <c r="A7" s="102"/>
      <c r="B7" s="114"/>
      <c r="C7" s="114"/>
      <c r="D7" s="107"/>
      <c r="E7" s="107">
        <f t="shared" si="0"/>
        <v>0</v>
      </c>
      <c r="F7" s="111">
        <v>1.2220000000000002</v>
      </c>
      <c r="G7" s="101" t="s">
        <v>11</v>
      </c>
      <c r="H7" s="101" t="s">
        <v>20</v>
      </c>
      <c r="I7" s="101"/>
      <c r="J7" s="101"/>
      <c r="K7" s="101"/>
      <c r="L7" s="101"/>
      <c r="M7" s="101"/>
      <c r="N7" s="101" t="s">
        <v>55</v>
      </c>
      <c r="O7" s="101">
        <v>-17.756999999999998</v>
      </c>
      <c r="P7" s="101">
        <v>-18.97</v>
      </c>
      <c r="Q7" s="101">
        <v>-1.2130000000000001</v>
      </c>
      <c r="R7" s="101">
        <v>0</v>
      </c>
      <c r="S7" s="102" t="str">
        <f t="shared" ref="S7:S70" si="7">IF(G6="","",IF(OR(LEFT(TRIM(H6),2)="16",LEFT(TRIM(H6),2)="13"),1,0))</f>
        <v/>
      </c>
      <c r="T7" s="102" t="str">
        <f t="shared" ref="T7:T70" si="8">IF(S7="","",IF(LEFT(TRIM(G6),2)="13",1,0))</f>
        <v/>
      </c>
      <c r="U7" s="102" t="str">
        <f t="shared" ref="U7:U70" si="9">IF(S7="","",IF(LEFT(TRIM(H6),3)="1/2",1,0))</f>
        <v/>
      </c>
      <c r="V7" s="102" t="str">
        <f>IF(S7="","",IF(T7=1,VLOOKUP(M7,'elipse #s'!$A$4:$C$38,2,FALSE),VLOOKUP(M7,'elipse #s'!$A$4:$C$38,3,FALSE)))</f>
        <v/>
      </c>
      <c r="W7" s="155" t="str">
        <f>IF(S7="","",IF(S7=0,IF(U7=1,$B$6,$C$6),VLOOKUP(N7,'elipse #s'!$A$4:$C$38,2,FALSE)))</f>
        <v/>
      </c>
      <c r="X7" s="155" t="str">
        <f t="shared" ref="X7:X70" si="10">IF(S7="","",V7-W7)</f>
        <v/>
      </c>
      <c r="Y7" s="155">
        <f t="shared" ref="Y7:Y70" si="11">IF(S7="",0,IF(S7=0,IF(U7=1,MIN(X7*SIN(RADIANS(-L7))+J7,$Y$1),MIN(X7*SIN(RADIANS(-L7))+J7,$Z$1)),X7*SIN(RADIANS(-L7))+J7))</f>
        <v>0</v>
      </c>
      <c r="Z7" s="155">
        <f t="shared" si="6"/>
        <v>0</v>
      </c>
    </row>
    <row r="8" spans="1:30">
      <c r="A8" s="102"/>
      <c r="B8" s="114"/>
      <c r="C8" s="114"/>
      <c r="D8" s="107"/>
      <c r="E8" s="107" t="str">
        <f t="shared" si="0"/>
        <v/>
      </c>
      <c r="F8" s="111"/>
      <c r="G8" s="101" t="s">
        <v>55</v>
      </c>
      <c r="H8" s="101"/>
      <c r="I8" s="101">
        <v>0</v>
      </c>
      <c r="J8" s="101">
        <v>3.8708999999999998</v>
      </c>
      <c r="K8" s="101">
        <v>-0.25</v>
      </c>
      <c r="L8" s="101">
        <v>-23.33</v>
      </c>
      <c r="M8" s="101">
        <v>15</v>
      </c>
      <c r="N8" s="101" t="s">
        <v>55</v>
      </c>
      <c r="O8" s="101"/>
      <c r="P8" s="101" t="s">
        <v>55</v>
      </c>
      <c r="Q8" s="101"/>
      <c r="R8" s="101"/>
      <c r="S8" s="102">
        <f t="shared" si="7"/>
        <v>0</v>
      </c>
      <c r="T8" s="102">
        <f t="shared" si="8"/>
        <v>0</v>
      </c>
      <c r="U8" s="102">
        <f t="shared" si="9"/>
        <v>1</v>
      </c>
      <c r="V8" s="102">
        <f>IF(S8="","",IF(T8=1,VLOOKUP(M8,'elipse #s'!$A$4:$C$38,2,FALSE),VLOOKUP(M8,'elipse #s'!$A$4:$C$38,3,FALSE)))</f>
        <v>0.30185182071533384</v>
      </c>
      <c r="W8" s="155">
        <f>IF(S8="","",IF(S8=0,IF(U8=1,$B$6,$C$6),VLOOKUP(N8,'elipse #s'!$A$4:$C$38,2,FALSE)))</f>
        <v>0.26300000000000001</v>
      </c>
      <c r="X8" s="155">
        <f t="shared" si="10"/>
        <v>3.8851820715333829E-2</v>
      </c>
      <c r="Y8" s="155">
        <f t="shared" si="11"/>
        <v>3.8862863445825084</v>
      </c>
      <c r="Z8" s="155">
        <f t="shared" si="6"/>
        <v>-0.23932473723593967</v>
      </c>
      <c r="AD8" s="102"/>
    </row>
    <row r="9" spans="1:30">
      <c r="A9" s="102"/>
      <c r="B9" s="114"/>
      <c r="C9" s="114"/>
      <c r="D9" s="107"/>
      <c r="E9" s="107">
        <f t="shared" si="0"/>
        <v>0</v>
      </c>
      <c r="F9" s="111">
        <v>1.228</v>
      </c>
      <c r="G9" s="101" t="s">
        <v>11</v>
      </c>
      <c r="H9" s="101" t="s">
        <v>10</v>
      </c>
      <c r="I9" s="101"/>
      <c r="J9" s="101"/>
      <c r="K9" s="101"/>
      <c r="L9" s="101"/>
      <c r="M9" s="101"/>
      <c r="N9" s="101" t="s">
        <v>55</v>
      </c>
      <c r="O9" s="101">
        <v>-11.88</v>
      </c>
      <c r="P9" s="101">
        <v>-14.009</v>
      </c>
      <c r="Q9" s="101">
        <v>-2.129</v>
      </c>
      <c r="R9" s="101">
        <v>0</v>
      </c>
      <c r="S9" s="102" t="str">
        <f t="shared" si="7"/>
        <v/>
      </c>
      <c r="T9" s="102" t="str">
        <f t="shared" si="8"/>
        <v/>
      </c>
      <c r="U9" s="102" t="str">
        <f t="shared" si="9"/>
        <v/>
      </c>
      <c r="V9" s="102" t="str">
        <f>IF(S9="","",IF(T9=1,VLOOKUP(M9,'elipse #s'!$A$4:$C$38,2,FALSE),VLOOKUP(M9,'elipse #s'!$A$4:$C$38,3,FALSE)))</f>
        <v/>
      </c>
      <c r="W9" s="155" t="str">
        <f>IF(S9="","",IF(S9=0,IF(U9=1,$B$6,$C$6),VLOOKUP(N9,'elipse #s'!$A$4:$C$38,2,FALSE)))</f>
        <v/>
      </c>
      <c r="X9" s="155" t="str">
        <f t="shared" si="10"/>
        <v/>
      </c>
      <c r="Y9" s="155">
        <f t="shared" si="11"/>
        <v>0</v>
      </c>
      <c r="Z9" s="155">
        <f t="shared" si="6"/>
        <v>0</v>
      </c>
    </row>
    <row r="10" spans="1:30">
      <c r="A10" s="102"/>
      <c r="B10" s="114"/>
      <c r="C10" s="114"/>
      <c r="D10" s="107"/>
      <c r="E10" s="107" t="str">
        <f t="shared" si="0"/>
        <v/>
      </c>
      <c r="F10" s="111"/>
      <c r="G10" s="101" t="s">
        <v>55</v>
      </c>
      <c r="H10" s="101"/>
      <c r="I10" s="101">
        <v>0</v>
      </c>
      <c r="J10" s="101">
        <v>4.5202</v>
      </c>
      <c r="K10" s="101">
        <v>-0.66139999999999999</v>
      </c>
      <c r="L10" s="101">
        <v>-34.24</v>
      </c>
      <c r="M10" s="101">
        <v>15</v>
      </c>
      <c r="N10" s="101">
        <v>25</v>
      </c>
      <c r="O10" s="101"/>
      <c r="P10" s="101" t="s">
        <v>55</v>
      </c>
      <c r="Q10" s="101"/>
      <c r="R10" s="101"/>
      <c r="S10" s="102">
        <f t="shared" si="7"/>
        <v>1</v>
      </c>
      <c r="T10" s="102">
        <f t="shared" si="8"/>
        <v>0</v>
      </c>
      <c r="U10" s="102">
        <f t="shared" si="9"/>
        <v>0</v>
      </c>
      <c r="V10" s="102">
        <f>IF(S10="","",IF(T10=1,VLOOKUP(M10,'elipse #s'!$A$4:$C$38,2,FALSE),VLOOKUP(M10,'elipse #s'!$A$4:$C$38,3,FALSE)))</f>
        <v>0.30185182071533384</v>
      </c>
      <c r="W10" s="155">
        <f>IF(S10="","",IF(S10=0,IF(U10=1,$B$6,$C$6),VLOOKUP(N10,'elipse #s'!$A$4:$C$38,2,FALSE)))</f>
        <v>0.23971840967119393</v>
      </c>
      <c r="X10" s="155">
        <f t="shared" si="10"/>
        <v>6.2133411044139913E-2</v>
      </c>
      <c r="Y10" s="155">
        <f t="shared" si="11"/>
        <v>4.5551600255688891</v>
      </c>
      <c r="Z10" s="155">
        <f t="shared" si="6"/>
        <v>-0.61003505689477844</v>
      </c>
    </row>
    <row r="11" spans="1:30">
      <c r="A11" s="102"/>
      <c r="B11" s="114"/>
      <c r="C11" s="114"/>
      <c r="D11" s="107"/>
      <c r="E11" s="107">
        <f t="shared" si="0"/>
        <v>0</v>
      </c>
      <c r="F11" s="111">
        <v>1.234</v>
      </c>
      <c r="G11" s="101" t="s">
        <v>11</v>
      </c>
      <c r="H11" s="101" t="s">
        <v>10</v>
      </c>
      <c r="I11" s="101"/>
      <c r="J11" s="101"/>
      <c r="K11" s="101"/>
      <c r="L11" s="101"/>
      <c r="M11" s="101"/>
      <c r="N11" s="101" t="s">
        <v>55</v>
      </c>
      <c r="O11" s="101">
        <v>-10.946000000000002</v>
      </c>
      <c r="P11" s="101">
        <v>-13.861000000000001</v>
      </c>
      <c r="Q11" s="101">
        <v>-2.915</v>
      </c>
      <c r="R11" s="101">
        <v>0</v>
      </c>
      <c r="S11" s="102" t="str">
        <f t="shared" si="7"/>
        <v/>
      </c>
      <c r="T11" s="102" t="str">
        <f t="shared" si="8"/>
        <v/>
      </c>
      <c r="U11" s="102" t="str">
        <f t="shared" si="9"/>
        <v/>
      </c>
      <c r="V11" s="102" t="str">
        <f>IF(S11="","",IF(T11=1,VLOOKUP(M11,'elipse #s'!$A$4:$C$38,2,FALSE),VLOOKUP(M11,'elipse #s'!$A$4:$C$38,3,FALSE)))</f>
        <v/>
      </c>
      <c r="W11" s="155" t="str">
        <f>IF(S11="","",IF(S11=0,IF(U11=1,$B$6,$C$6),VLOOKUP(N11,'elipse #s'!$A$4:$C$38,2,FALSE)))</f>
        <v/>
      </c>
      <c r="X11" s="155" t="str">
        <f t="shared" si="10"/>
        <v/>
      </c>
      <c r="Y11" s="155">
        <f t="shared" si="11"/>
        <v>0</v>
      </c>
      <c r="Z11" s="155">
        <f t="shared" si="6"/>
        <v>0</v>
      </c>
    </row>
    <row r="12" spans="1:30">
      <c r="A12" s="102"/>
      <c r="B12" s="114"/>
      <c r="C12" s="114"/>
      <c r="D12" s="107"/>
      <c r="E12" s="107" t="str">
        <f t="shared" si="0"/>
        <v/>
      </c>
      <c r="F12" s="111"/>
      <c r="G12" s="101" t="s">
        <v>55</v>
      </c>
      <c r="H12" s="101"/>
      <c r="I12" s="101">
        <v>0</v>
      </c>
      <c r="J12" s="101">
        <v>5.0217000000000001</v>
      </c>
      <c r="K12" s="101">
        <v>-1.2374000000000001</v>
      </c>
      <c r="L12" s="101">
        <v>-40.61</v>
      </c>
      <c r="M12" s="101">
        <v>15</v>
      </c>
      <c r="N12" s="101">
        <v>25</v>
      </c>
      <c r="O12" s="101"/>
      <c r="P12" s="101" t="s">
        <v>55</v>
      </c>
      <c r="Q12" s="101"/>
      <c r="R12" s="101"/>
      <c r="S12" s="102">
        <f t="shared" si="7"/>
        <v>1</v>
      </c>
      <c r="T12" s="102">
        <f t="shared" si="8"/>
        <v>0</v>
      </c>
      <c r="U12" s="102">
        <f t="shared" si="9"/>
        <v>0</v>
      </c>
      <c r="V12" s="102">
        <f>IF(S12="","",IF(T12=1,VLOOKUP(M12,'elipse #s'!$A$4:$C$38,2,FALSE),VLOOKUP(M12,'elipse #s'!$A$4:$C$38,3,FALSE)))</f>
        <v>0.30185182071533384</v>
      </c>
      <c r="W12" s="155">
        <f>IF(S12="","",IF(S12=0,IF(U12=1,$B$6,$C$6),VLOOKUP(N12,'elipse #s'!$A$4:$C$38,2,FALSE)))</f>
        <v>0.23971840967119393</v>
      </c>
      <c r="X12" s="155">
        <f t="shared" si="10"/>
        <v>6.2133411044139913E-2</v>
      </c>
      <c r="Y12" s="155">
        <f t="shared" si="11"/>
        <v>5.062143055107974</v>
      </c>
      <c r="Z12" s="155">
        <f t="shared" si="6"/>
        <v>-1.1902309416935908</v>
      </c>
    </row>
    <row r="13" spans="1:30">
      <c r="A13" s="102"/>
      <c r="B13" s="114"/>
      <c r="C13" s="114"/>
      <c r="D13" s="107"/>
      <c r="E13" s="107">
        <f t="shared" si="0"/>
        <v>0</v>
      </c>
      <c r="F13" s="111">
        <v>1.24</v>
      </c>
      <c r="G13" s="101" t="s">
        <v>11</v>
      </c>
      <c r="H13" s="101" t="s">
        <v>10</v>
      </c>
      <c r="I13" s="101"/>
      <c r="J13" s="101"/>
      <c r="K13" s="101"/>
      <c r="L13" s="101"/>
      <c r="M13" s="101"/>
      <c r="N13" s="101" t="s">
        <v>55</v>
      </c>
      <c r="O13" s="101">
        <v>-10.372999999999999</v>
      </c>
      <c r="P13" s="101">
        <v>-13.901</v>
      </c>
      <c r="Q13" s="101">
        <v>-3.528</v>
      </c>
      <c r="R13" s="101">
        <v>0</v>
      </c>
      <c r="S13" s="102" t="str">
        <f t="shared" si="7"/>
        <v/>
      </c>
      <c r="T13" s="102" t="str">
        <f t="shared" si="8"/>
        <v/>
      </c>
      <c r="U13" s="102" t="str">
        <f t="shared" si="9"/>
        <v/>
      </c>
      <c r="V13" s="102" t="str">
        <f>IF(S13="","",IF(T13=1,VLOOKUP(M13,'elipse #s'!$A$4:$C$38,2,FALSE),VLOOKUP(M13,'elipse #s'!$A$4:$C$38,3,FALSE)))</f>
        <v/>
      </c>
      <c r="W13" s="155" t="str">
        <f>IF(S13="","",IF(S13=0,IF(U13=1,$B$6,$C$6),VLOOKUP(N13,'elipse #s'!$A$4:$C$38,2,FALSE)))</f>
        <v/>
      </c>
      <c r="X13" s="155" t="str">
        <f t="shared" si="10"/>
        <v/>
      </c>
      <c r="Y13" s="155">
        <f t="shared" si="11"/>
        <v>0</v>
      </c>
      <c r="Z13" s="155">
        <f t="shared" si="6"/>
        <v>0</v>
      </c>
    </row>
    <row r="14" spans="1:30">
      <c r="A14" s="102"/>
      <c r="B14" s="114"/>
      <c r="C14" s="114"/>
      <c r="D14" s="107"/>
      <c r="E14" s="107" t="str">
        <f t="shared" si="0"/>
        <v/>
      </c>
      <c r="F14" s="111"/>
      <c r="G14" s="101" t="s">
        <v>55</v>
      </c>
      <c r="H14" s="101"/>
      <c r="I14" s="101">
        <v>0</v>
      </c>
      <c r="J14" s="101">
        <v>5.3925999999999998</v>
      </c>
      <c r="K14" s="101">
        <v>-1.9059999999999999</v>
      </c>
      <c r="L14" s="101">
        <v>-46.97</v>
      </c>
      <c r="M14" s="101">
        <v>16</v>
      </c>
      <c r="N14" s="101">
        <v>26</v>
      </c>
      <c r="O14" s="101"/>
      <c r="P14" s="101" t="s">
        <v>55</v>
      </c>
      <c r="Q14" s="101"/>
      <c r="R14" s="101"/>
      <c r="S14" s="102">
        <f t="shared" si="7"/>
        <v>1</v>
      </c>
      <c r="T14" s="102">
        <f t="shared" si="8"/>
        <v>0</v>
      </c>
      <c r="U14" s="102">
        <f t="shared" si="9"/>
        <v>0</v>
      </c>
      <c r="V14" s="102">
        <f>IF(S14="","",IF(T14=1,VLOOKUP(M14,'elipse #s'!$A$4:$C$38,2,FALSE),VLOOKUP(M14,'elipse #s'!$A$4:$C$38,3,FALSE)))</f>
        <v>0.30039427998072465</v>
      </c>
      <c r="W14" s="155">
        <f>IF(S14="","",IF(S14=0,IF(U14=1,$B$6,$C$6),VLOOKUP(N14,'elipse #s'!$A$4:$C$38,2,FALSE)))</f>
        <v>0.23773102524612968</v>
      </c>
      <c r="X14" s="155">
        <f t="shared" si="10"/>
        <v>6.266325473459497E-2</v>
      </c>
      <c r="Y14" s="155">
        <f t="shared" si="11"/>
        <v>5.4384066203831845</v>
      </c>
      <c r="Z14" s="155">
        <f t="shared" si="6"/>
        <v>-1.863239772884097</v>
      </c>
    </row>
    <row r="15" spans="1:30">
      <c r="A15" s="102"/>
      <c r="B15" s="114"/>
      <c r="C15" s="114"/>
      <c r="D15" s="107"/>
      <c r="E15" s="107">
        <f t="shared" si="0"/>
        <v>0</v>
      </c>
      <c r="F15" s="111">
        <v>1.246</v>
      </c>
      <c r="G15" s="101" t="s">
        <v>11</v>
      </c>
      <c r="H15" s="101" t="s">
        <v>10</v>
      </c>
      <c r="I15" s="101"/>
      <c r="J15" s="101"/>
      <c r="K15" s="101"/>
      <c r="L15" s="101"/>
      <c r="M15" s="101"/>
      <c r="N15" s="101" t="s">
        <v>55</v>
      </c>
      <c r="O15" s="101">
        <v>-10.02</v>
      </c>
      <c r="P15" s="101">
        <v>-13.988</v>
      </c>
      <c r="Q15" s="101">
        <v>-3.968</v>
      </c>
      <c r="R15" s="101">
        <v>0</v>
      </c>
      <c r="S15" s="102" t="str">
        <f t="shared" si="7"/>
        <v/>
      </c>
      <c r="T15" s="102" t="str">
        <f t="shared" si="8"/>
        <v/>
      </c>
      <c r="U15" s="102" t="str">
        <f t="shared" si="9"/>
        <v/>
      </c>
      <c r="V15" s="102" t="str">
        <f>IF(S15="","",IF(T15=1,VLOOKUP(M15,'elipse #s'!$A$4:$C$38,2,FALSE),VLOOKUP(M15,'elipse #s'!$A$4:$C$38,3,FALSE)))</f>
        <v/>
      </c>
      <c r="W15" s="155" t="str">
        <f>IF(S15="","",IF(S15=0,IF(U15=1,$B$6,$C$6),VLOOKUP(N15,'elipse #s'!$A$4:$C$38,2,FALSE)))</f>
        <v/>
      </c>
      <c r="X15" s="155" t="str">
        <f t="shared" si="10"/>
        <v/>
      </c>
      <c r="Y15" s="155">
        <f t="shared" si="11"/>
        <v>0</v>
      </c>
      <c r="Z15" s="155">
        <f t="shared" si="6"/>
        <v>0</v>
      </c>
    </row>
    <row r="16" spans="1:30">
      <c r="A16" s="102"/>
      <c r="B16" s="114"/>
      <c r="C16" s="114"/>
      <c r="D16" s="107"/>
      <c r="E16" s="107" t="str">
        <f t="shared" si="0"/>
        <v/>
      </c>
      <c r="F16" s="111"/>
      <c r="G16" s="101" t="s">
        <v>55</v>
      </c>
      <c r="H16" s="101"/>
      <c r="I16" s="101">
        <v>0</v>
      </c>
      <c r="J16" s="101">
        <v>5.6505999999999998</v>
      </c>
      <c r="K16" s="101">
        <v>-2.6261000000000001</v>
      </c>
      <c r="L16" s="101">
        <v>-53.33</v>
      </c>
      <c r="M16" s="101">
        <v>17</v>
      </c>
      <c r="N16" s="101">
        <v>27</v>
      </c>
      <c r="O16" s="101"/>
      <c r="P16" s="101" t="s">
        <v>55</v>
      </c>
      <c r="Q16" s="101"/>
      <c r="R16" s="101"/>
      <c r="S16" s="102">
        <f t="shared" si="7"/>
        <v>1</v>
      </c>
      <c r="T16" s="102">
        <f t="shared" si="8"/>
        <v>0</v>
      </c>
      <c r="U16" s="102">
        <f t="shared" si="9"/>
        <v>0</v>
      </c>
      <c r="V16" s="102">
        <f>IF(S16="","",IF(T16=1,VLOOKUP(M16,'elipse #s'!$A$4:$C$38,2,FALSE),VLOOKUP(M16,'elipse #s'!$A$4:$C$38,3,FALSE)))</f>
        <v>0.29884523623844855</v>
      </c>
      <c r="W16" s="155">
        <f>IF(S16="","",IF(S16=0,IF(U16=1,$B$6,$C$6),VLOOKUP(N16,'elipse #s'!$A$4:$C$38,2,FALSE)))</f>
        <v>0.23567122564782331</v>
      </c>
      <c r="X16" s="155">
        <f t="shared" si="10"/>
        <v>6.3174010590625246E-2</v>
      </c>
      <c r="Y16" s="155">
        <f t="shared" si="11"/>
        <v>5.701271144242436</v>
      </c>
      <c r="Z16" s="155">
        <f t="shared" si="6"/>
        <v>-2.5883721488119638</v>
      </c>
    </row>
    <row r="17" spans="1:26">
      <c r="A17" s="102"/>
      <c r="B17" s="114"/>
      <c r="C17" s="114"/>
      <c r="D17" s="107"/>
      <c r="E17" s="107">
        <f t="shared" si="0"/>
        <v>0</v>
      </c>
      <c r="F17" s="111">
        <v>2.2210000000000001</v>
      </c>
      <c r="G17" s="101" t="s">
        <v>11</v>
      </c>
      <c r="H17" s="101" t="s">
        <v>20</v>
      </c>
      <c r="I17" s="101"/>
      <c r="J17" s="101"/>
      <c r="K17" s="101"/>
      <c r="L17" s="101"/>
      <c r="M17" s="101"/>
      <c r="N17" s="101" t="s">
        <v>55</v>
      </c>
      <c r="O17" s="101">
        <v>-18.087</v>
      </c>
      <c r="P17" s="101">
        <v>-19.143999999999998</v>
      </c>
      <c r="Q17" s="101">
        <v>-1.0569999999999999</v>
      </c>
      <c r="R17" s="101">
        <v>0</v>
      </c>
      <c r="S17" s="102" t="str">
        <f t="shared" si="7"/>
        <v/>
      </c>
      <c r="T17" s="102" t="str">
        <f t="shared" si="8"/>
        <v/>
      </c>
      <c r="U17" s="102" t="str">
        <f t="shared" si="9"/>
        <v/>
      </c>
      <c r="V17" s="102" t="str">
        <f>IF(S17="","",IF(T17=1,VLOOKUP(M17,'elipse #s'!$A$4:$C$38,2,FALSE),VLOOKUP(M17,'elipse #s'!$A$4:$C$38,3,FALSE)))</f>
        <v/>
      </c>
      <c r="W17" s="155" t="str">
        <f>IF(S17="","",IF(S17=0,IF(U17=1,$B$6,$C$6),VLOOKUP(N17,'elipse #s'!$A$4:$C$38,2,FALSE)))</f>
        <v/>
      </c>
      <c r="X17" s="155" t="str">
        <f t="shared" si="10"/>
        <v/>
      </c>
      <c r="Y17" s="155">
        <f t="shared" si="11"/>
        <v>0</v>
      </c>
      <c r="Z17" s="155">
        <f t="shared" si="6"/>
        <v>0</v>
      </c>
    </row>
    <row r="18" spans="1:26">
      <c r="A18" s="102"/>
      <c r="B18" s="114"/>
      <c r="C18" s="114"/>
      <c r="D18" s="107"/>
      <c r="E18" s="107" t="str">
        <f t="shared" si="0"/>
        <v/>
      </c>
      <c r="F18" s="111"/>
      <c r="G18" s="101" t="s">
        <v>55</v>
      </c>
      <c r="H18" s="101"/>
      <c r="I18" s="101">
        <v>0</v>
      </c>
      <c r="J18" s="101">
        <v>3.7484000000000002</v>
      </c>
      <c r="K18" s="101">
        <v>-0.20369999999999999</v>
      </c>
      <c r="L18" s="101">
        <v>-20</v>
      </c>
      <c r="M18" s="101">
        <v>15</v>
      </c>
      <c r="N18" s="101" t="s">
        <v>55</v>
      </c>
      <c r="O18" s="101"/>
      <c r="P18" s="101" t="s">
        <v>55</v>
      </c>
      <c r="Q18" s="101"/>
      <c r="R18" s="101"/>
      <c r="S18" s="102">
        <f t="shared" si="7"/>
        <v>0</v>
      </c>
      <c r="T18" s="102">
        <f t="shared" si="8"/>
        <v>0</v>
      </c>
      <c r="U18" s="102">
        <f t="shared" si="9"/>
        <v>1</v>
      </c>
      <c r="V18" s="102">
        <f>IF(S18="","",IF(T18=1,VLOOKUP(M18,'elipse #s'!$A$4:$C$38,2,FALSE),VLOOKUP(M18,'elipse #s'!$A$4:$C$38,3,FALSE)))</f>
        <v>0.30185182071533384</v>
      </c>
      <c r="W18" s="155">
        <f>IF(S18="","",IF(S18=0,IF(U18=1,$B$6,$C$6),VLOOKUP(N18,'elipse #s'!$A$4:$C$38,2,FALSE)))</f>
        <v>0.26300000000000001</v>
      </c>
      <c r="X18" s="155">
        <f t="shared" si="10"/>
        <v>3.8851820715333829E-2</v>
      </c>
      <c r="Y18" s="155">
        <f t="shared" si="11"/>
        <v>3.7616881052895219</v>
      </c>
      <c r="Z18" s="155">
        <f t="shared" si="6"/>
        <v>-0.19219123076970371</v>
      </c>
    </row>
    <row r="19" spans="1:26">
      <c r="A19" s="102"/>
      <c r="B19" s="114"/>
      <c r="C19" s="114"/>
      <c r="D19" s="107"/>
      <c r="E19" s="107">
        <f t="shared" si="0"/>
        <v>0</v>
      </c>
      <c r="F19" s="111">
        <v>2.2269999999999999</v>
      </c>
      <c r="G19" s="101" t="s">
        <v>11</v>
      </c>
      <c r="H19" s="101" t="s">
        <v>10</v>
      </c>
      <c r="I19" s="101"/>
      <c r="J19" s="101"/>
      <c r="K19" s="101"/>
      <c r="L19" s="101"/>
      <c r="M19" s="101"/>
      <c r="N19" s="101" t="s">
        <v>55</v>
      </c>
      <c r="O19" s="101">
        <v>-12.087999999999999</v>
      </c>
      <c r="P19" s="101">
        <v>-14.071</v>
      </c>
      <c r="Q19" s="101">
        <v>-1.9830000000000001</v>
      </c>
      <c r="R19" s="101">
        <v>0</v>
      </c>
      <c r="S19" s="102" t="str">
        <f t="shared" si="7"/>
        <v/>
      </c>
      <c r="T19" s="102" t="str">
        <f t="shared" si="8"/>
        <v/>
      </c>
      <c r="U19" s="102" t="str">
        <f t="shared" si="9"/>
        <v/>
      </c>
      <c r="V19" s="102" t="str">
        <f>IF(S19="","",IF(T19=1,VLOOKUP(M19,'elipse #s'!$A$4:$C$38,2,FALSE),VLOOKUP(M19,'elipse #s'!$A$4:$C$38,3,FALSE)))</f>
        <v/>
      </c>
      <c r="W19" s="155" t="str">
        <f>IF(S19="","",IF(S19=0,IF(U19=1,$B$6,$C$6),VLOOKUP(N19,'elipse #s'!$A$4:$C$38,2,FALSE)))</f>
        <v/>
      </c>
      <c r="X19" s="155" t="str">
        <f t="shared" si="10"/>
        <v/>
      </c>
      <c r="Y19" s="155">
        <f t="shared" si="11"/>
        <v>0</v>
      </c>
      <c r="Z19" s="155">
        <f t="shared" si="6"/>
        <v>0</v>
      </c>
    </row>
    <row r="20" spans="1:26">
      <c r="A20" s="102"/>
      <c r="B20" s="114"/>
      <c r="C20" s="114"/>
      <c r="D20" s="107"/>
      <c r="E20" s="107" t="str">
        <f t="shared" si="0"/>
        <v/>
      </c>
      <c r="F20" s="111"/>
      <c r="G20" s="101" t="s">
        <v>55</v>
      </c>
      <c r="H20" s="101"/>
      <c r="I20" s="101">
        <v>0</v>
      </c>
      <c r="J20" s="101">
        <v>4.4226999999999999</v>
      </c>
      <c r="K20" s="101">
        <v>-0.57899999999999996</v>
      </c>
      <c r="L20" s="101">
        <v>-33.18</v>
      </c>
      <c r="M20" s="101">
        <v>15</v>
      </c>
      <c r="N20" s="101">
        <v>25</v>
      </c>
      <c r="O20" s="101"/>
      <c r="P20" s="101" t="s">
        <v>55</v>
      </c>
      <c r="Q20" s="101"/>
      <c r="R20" s="101"/>
      <c r="S20" s="102">
        <f t="shared" si="7"/>
        <v>1</v>
      </c>
      <c r="T20" s="102">
        <f t="shared" si="8"/>
        <v>0</v>
      </c>
      <c r="U20" s="102">
        <f t="shared" si="9"/>
        <v>0</v>
      </c>
      <c r="V20" s="102">
        <f>IF(S20="","",IF(T20=1,VLOOKUP(M20,'elipse #s'!$A$4:$C$38,2,FALSE),VLOOKUP(M20,'elipse #s'!$A$4:$C$38,3,FALSE)))</f>
        <v>0.30185182071533384</v>
      </c>
      <c r="W20" s="155">
        <f>IF(S20="","",IF(S20=0,IF(U20=1,$B$6,$C$6),VLOOKUP(N20,'elipse #s'!$A$4:$C$38,2,FALSE)))</f>
        <v>0.23971840967119393</v>
      </c>
      <c r="X20" s="155">
        <f t="shared" si="10"/>
        <v>6.2133411044139913E-2</v>
      </c>
      <c r="Y20" s="155">
        <f t="shared" si="11"/>
        <v>4.4567038204755773</v>
      </c>
      <c r="Z20" s="155">
        <f t="shared" si="6"/>
        <v>-0.52699710622431928</v>
      </c>
    </row>
    <row r="21" spans="1:26">
      <c r="A21" s="102"/>
      <c r="B21" s="114"/>
      <c r="C21" s="114"/>
      <c r="D21" s="107"/>
      <c r="E21" s="107">
        <f t="shared" si="0"/>
        <v>0</v>
      </c>
      <c r="F21" s="111">
        <v>2.2330000000000001</v>
      </c>
      <c r="G21" s="101" t="s">
        <v>11</v>
      </c>
      <c r="H21" s="101" t="s">
        <v>10</v>
      </c>
      <c r="I21" s="101"/>
      <c r="J21" s="101"/>
      <c r="K21" s="101"/>
      <c r="L21" s="101"/>
      <c r="M21" s="101"/>
      <c r="N21" s="101" t="s">
        <v>55</v>
      </c>
      <c r="O21" s="101">
        <v>-11.072000000000001</v>
      </c>
      <c r="P21" s="101">
        <v>-13.867000000000001</v>
      </c>
      <c r="Q21" s="101">
        <v>-2.7949999999999999</v>
      </c>
      <c r="R21" s="101">
        <v>0</v>
      </c>
      <c r="S21" s="102" t="str">
        <f t="shared" si="7"/>
        <v/>
      </c>
      <c r="T21" s="102" t="str">
        <f t="shared" si="8"/>
        <v/>
      </c>
      <c r="U21" s="102" t="str">
        <f t="shared" si="9"/>
        <v/>
      </c>
      <c r="V21" s="102" t="str">
        <f>IF(S21="","",IF(T21=1,VLOOKUP(M21,'elipse #s'!$A$4:$C$38,2,FALSE),VLOOKUP(M21,'elipse #s'!$A$4:$C$38,3,FALSE)))</f>
        <v/>
      </c>
      <c r="W21" s="155" t="str">
        <f>IF(S21="","",IF(S21=0,IF(U21=1,$B$6,$C$6),VLOOKUP(N21,'elipse #s'!$A$4:$C$38,2,FALSE)))</f>
        <v/>
      </c>
      <c r="X21" s="155" t="str">
        <f t="shared" si="10"/>
        <v/>
      </c>
      <c r="Y21" s="155">
        <f t="shared" si="11"/>
        <v>0</v>
      </c>
      <c r="Z21" s="155">
        <f t="shared" si="6"/>
        <v>0</v>
      </c>
    </row>
    <row r="22" spans="1:26">
      <c r="A22" s="102"/>
      <c r="B22" s="114"/>
      <c r="C22" s="114"/>
      <c r="D22" s="107"/>
      <c r="E22" s="107" t="str">
        <f t="shared" si="0"/>
        <v/>
      </c>
      <c r="F22" s="111"/>
      <c r="G22" s="101" t="s">
        <v>55</v>
      </c>
      <c r="H22" s="101"/>
      <c r="I22" s="101">
        <v>0</v>
      </c>
      <c r="J22" s="101">
        <v>4.9477000000000002</v>
      </c>
      <c r="K22" s="101">
        <v>-1.1334</v>
      </c>
      <c r="L22" s="101">
        <v>-39.15</v>
      </c>
      <c r="M22" s="101">
        <v>15</v>
      </c>
      <c r="N22" s="101">
        <v>25</v>
      </c>
      <c r="O22" s="101"/>
      <c r="P22" s="101" t="s">
        <v>55</v>
      </c>
      <c r="Q22" s="101"/>
      <c r="R22" s="101"/>
      <c r="S22" s="102">
        <f t="shared" si="7"/>
        <v>1</v>
      </c>
      <c r="T22" s="102">
        <f t="shared" si="8"/>
        <v>0</v>
      </c>
      <c r="U22" s="102">
        <f t="shared" si="9"/>
        <v>0</v>
      </c>
      <c r="V22" s="102">
        <f>IF(S22="","",IF(T22=1,VLOOKUP(M22,'elipse #s'!$A$4:$C$38,2,FALSE),VLOOKUP(M22,'elipse #s'!$A$4:$C$38,3,FALSE)))</f>
        <v>0.30185182071533384</v>
      </c>
      <c r="W22" s="155">
        <f>IF(S22="","",IF(S22=0,IF(U22=1,$B$6,$C$6),VLOOKUP(N22,'elipse #s'!$A$4:$C$38,2,FALSE)))</f>
        <v>0.23971840967119393</v>
      </c>
      <c r="X22" s="155">
        <f t="shared" si="10"/>
        <v>6.2133411044139913E-2</v>
      </c>
      <c r="Y22" s="155">
        <f t="shared" si="11"/>
        <v>4.9869281027535228</v>
      </c>
      <c r="Z22" s="155">
        <f t="shared" si="6"/>
        <v>-1.0852158042264988</v>
      </c>
    </row>
    <row r="23" spans="1:26">
      <c r="A23" s="102"/>
      <c r="B23" s="114"/>
      <c r="C23" s="114"/>
      <c r="D23" s="107"/>
      <c r="E23" s="107">
        <f t="shared" si="0"/>
        <v>0</v>
      </c>
      <c r="F23" s="111">
        <v>2.2389999999999999</v>
      </c>
      <c r="G23" s="101" t="s">
        <v>11</v>
      </c>
      <c r="H23" s="101" t="s">
        <v>10</v>
      </c>
      <c r="I23" s="101"/>
      <c r="J23" s="101"/>
      <c r="K23" s="101"/>
      <c r="L23" s="101"/>
      <c r="M23" s="101"/>
      <c r="N23" s="101" t="s">
        <v>55</v>
      </c>
      <c r="O23" s="101">
        <v>-10.450999999999999</v>
      </c>
      <c r="P23" s="101">
        <v>-13.888999999999999</v>
      </c>
      <c r="Q23" s="101">
        <v>-3.4380000000000002</v>
      </c>
      <c r="R23" s="101">
        <v>0</v>
      </c>
      <c r="S23" s="102" t="str">
        <f t="shared" si="7"/>
        <v/>
      </c>
      <c r="T23" s="102" t="str">
        <f t="shared" si="8"/>
        <v/>
      </c>
      <c r="U23" s="102" t="str">
        <f t="shared" si="9"/>
        <v/>
      </c>
      <c r="V23" s="102" t="str">
        <f>IF(S23="","",IF(T23=1,VLOOKUP(M23,'elipse #s'!$A$4:$C$38,2,FALSE),VLOOKUP(M23,'elipse #s'!$A$4:$C$38,3,FALSE)))</f>
        <v/>
      </c>
      <c r="W23" s="155" t="str">
        <f>IF(S23="","",IF(S23=0,IF(U23=1,$B$6,$C$6),VLOOKUP(N23,'elipse #s'!$A$4:$C$38,2,FALSE)))</f>
        <v/>
      </c>
      <c r="X23" s="155" t="str">
        <f t="shared" si="10"/>
        <v/>
      </c>
      <c r="Y23" s="155">
        <f t="shared" si="11"/>
        <v>0</v>
      </c>
      <c r="Z23" s="155">
        <f t="shared" si="6"/>
        <v>0</v>
      </c>
    </row>
    <row r="24" spans="1:26">
      <c r="B24" s="114"/>
      <c r="C24" s="114"/>
      <c r="D24" s="107"/>
      <c r="E24" s="107" t="str">
        <f t="shared" si="0"/>
        <v/>
      </c>
      <c r="F24" s="111"/>
      <c r="G24" s="101" t="s">
        <v>55</v>
      </c>
      <c r="H24" s="101"/>
      <c r="I24" s="101">
        <v>0</v>
      </c>
      <c r="J24" s="101">
        <v>5.3391000000000002</v>
      </c>
      <c r="K24" s="101">
        <v>-1.7901</v>
      </c>
      <c r="L24" s="101">
        <v>-45.91</v>
      </c>
      <c r="M24" s="101">
        <v>16</v>
      </c>
      <c r="N24" s="101">
        <v>26</v>
      </c>
      <c r="O24" s="101"/>
      <c r="P24" s="101" t="s">
        <v>55</v>
      </c>
      <c r="Q24" s="101"/>
      <c r="R24" s="101"/>
      <c r="S24" s="102">
        <f t="shared" si="7"/>
        <v>1</v>
      </c>
      <c r="T24" s="102">
        <f t="shared" si="8"/>
        <v>0</v>
      </c>
      <c r="U24" s="102">
        <f t="shared" si="9"/>
        <v>0</v>
      </c>
      <c r="V24" s="102">
        <f>IF(S24="","",IF(T24=1,VLOOKUP(M24,'elipse #s'!$A$4:$C$38,2,FALSE),VLOOKUP(M24,'elipse #s'!$A$4:$C$38,3,FALSE)))</f>
        <v>0.30039427998072465</v>
      </c>
      <c r="W24" s="155">
        <f>IF(S24="","",IF(S24=0,IF(U24=1,$B$6,$C$6),VLOOKUP(N24,'elipse #s'!$A$4:$C$38,2,FALSE)))</f>
        <v>0.23773102524612968</v>
      </c>
      <c r="X24" s="155">
        <f t="shared" si="10"/>
        <v>6.266325473459497E-2</v>
      </c>
      <c r="Y24" s="155">
        <f t="shared" si="11"/>
        <v>5.3841077415027918</v>
      </c>
      <c r="Z24" s="155">
        <f t="shared" si="6"/>
        <v>-1.7464996938227419</v>
      </c>
    </row>
    <row r="25" spans="1:26">
      <c r="B25" s="114"/>
      <c r="C25" s="114"/>
      <c r="D25" s="107"/>
      <c r="E25" s="107">
        <f t="shared" si="0"/>
        <v>0</v>
      </c>
      <c r="F25" s="111">
        <v>2.2450000000000001</v>
      </c>
      <c r="G25" s="101" t="s">
        <v>11</v>
      </c>
      <c r="H25" s="101" t="s">
        <v>10</v>
      </c>
      <c r="I25" s="101"/>
      <c r="J25" s="101"/>
      <c r="K25" s="101"/>
      <c r="L25" s="101"/>
      <c r="M25" s="101"/>
      <c r="N25" s="101" t="s">
        <v>55</v>
      </c>
      <c r="O25" s="101">
        <v>-10.067</v>
      </c>
      <c r="P25" s="101">
        <v>-13.974</v>
      </c>
      <c r="Q25" s="101">
        <v>-3.907</v>
      </c>
      <c r="R25" s="101">
        <v>0</v>
      </c>
      <c r="S25" s="102" t="str">
        <f t="shared" si="7"/>
        <v/>
      </c>
      <c r="T25" s="102" t="str">
        <f t="shared" si="8"/>
        <v/>
      </c>
      <c r="U25" s="102" t="str">
        <f t="shared" si="9"/>
        <v/>
      </c>
      <c r="V25" s="102" t="str">
        <f>IF(S25="","",IF(T25=1,VLOOKUP(M25,'elipse #s'!$A$4:$C$38,2,FALSE),VLOOKUP(M25,'elipse #s'!$A$4:$C$38,3,FALSE)))</f>
        <v/>
      </c>
      <c r="W25" s="155" t="str">
        <f>IF(S25="","",IF(S25=0,IF(U25=1,$B$6,$C$6),VLOOKUP(N25,'elipse #s'!$A$4:$C$38,2,FALSE)))</f>
        <v/>
      </c>
      <c r="X25" s="155" t="str">
        <f t="shared" si="10"/>
        <v/>
      </c>
      <c r="Y25" s="155">
        <f t="shared" si="11"/>
        <v>0</v>
      </c>
      <c r="Z25" s="155">
        <f t="shared" si="6"/>
        <v>0</v>
      </c>
    </row>
    <row r="26" spans="1:26">
      <c r="B26" s="114"/>
      <c r="C26" s="114"/>
      <c r="D26" s="107"/>
      <c r="E26" s="107" t="str">
        <f t="shared" si="0"/>
        <v/>
      </c>
      <c r="F26" s="111"/>
      <c r="G26" s="101" t="s">
        <v>55</v>
      </c>
      <c r="H26" s="101"/>
      <c r="I26" s="101">
        <v>0</v>
      </c>
      <c r="J26" s="101">
        <v>5.6147999999999998</v>
      </c>
      <c r="K26" s="101">
        <v>-2.5036</v>
      </c>
      <c r="L26" s="101">
        <v>-52.27</v>
      </c>
      <c r="M26" s="101">
        <v>17</v>
      </c>
      <c r="N26" s="101">
        <v>27</v>
      </c>
      <c r="O26" s="101"/>
      <c r="P26" s="101" t="s">
        <v>55</v>
      </c>
      <c r="Q26" s="101"/>
      <c r="R26" s="101"/>
      <c r="S26" s="102">
        <f t="shared" si="7"/>
        <v>1</v>
      </c>
      <c r="T26" s="102">
        <f t="shared" si="8"/>
        <v>0</v>
      </c>
      <c r="U26" s="102">
        <f t="shared" si="9"/>
        <v>0</v>
      </c>
      <c r="V26" s="102">
        <f>IF(S26="","",IF(T26=1,VLOOKUP(M26,'elipse #s'!$A$4:$C$38,2,FALSE),VLOOKUP(M26,'elipse #s'!$A$4:$C$38,3,FALSE)))</f>
        <v>0.29884523623844855</v>
      </c>
      <c r="W26" s="155">
        <f>IF(S26="","",IF(S26=0,IF(U26=1,$B$6,$C$6),VLOOKUP(N26,'elipse #s'!$A$4:$C$38,2,FALSE)))</f>
        <v>0.23567122564782331</v>
      </c>
      <c r="X26" s="155">
        <f t="shared" si="10"/>
        <v>6.3174010590625246E-2</v>
      </c>
      <c r="Y26" s="155">
        <f t="shared" si="11"/>
        <v>5.6647645290100757</v>
      </c>
      <c r="Z26" s="155">
        <f t="shared" si="6"/>
        <v>-2.4649412176225667</v>
      </c>
    </row>
    <row r="27" spans="1:26">
      <c r="B27" s="114"/>
      <c r="C27" s="114"/>
      <c r="D27" s="107"/>
      <c r="E27" s="107">
        <f t="shared" si="0"/>
        <v>0</v>
      </c>
      <c r="F27" s="111">
        <v>2.2509999999999999</v>
      </c>
      <c r="G27" s="101" t="s">
        <v>11</v>
      </c>
      <c r="H27" s="101" t="s">
        <v>10</v>
      </c>
      <c r="I27" s="101"/>
      <c r="J27" s="101"/>
      <c r="K27" s="101"/>
      <c r="L27" s="101"/>
      <c r="M27" s="101"/>
      <c r="N27" s="101" t="s">
        <v>55</v>
      </c>
      <c r="O27" s="101">
        <v>-9.8450000000000006</v>
      </c>
      <c r="P27" s="101">
        <v>-14.053000000000001</v>
      </c>
      <c r="Q27" s="101">
        <v>-4.2080000000000002</v>
      </c>
      <c r="R27" s="101">
        <v>0</v>
      </c>
      <c r="S27" s="102" t="str">
        <f t="shared" si="7"/>
        <v/>
      </c>
      <c r="T27" s="102" t="str">
        <f t="shared" si="8"/>
        <v/>
      </c>
      <c r="U27" s="102" t="str">
        <f t="shared" si="9"/>
        <v/>
      </c>
      <c r="V27" s="102" t="str">
        <f>IF(S27="","",IF(T27=1,VLOOKUP(M27,'elipse #s'!$A$4:$C$38,2,FALSE),VLOOKUP(M27,'elipse #s'!$A$4:$C$38,3,FALSE)))</f>
        <v/>
      </c>
      <c r="W27" s="155" t="str">
        <f>IF(S27="","",IF(S27=0,IF(U27=1,$B$6,$C$6),VLOOKUP(N27,'elipse #s'!$A$4:$C$38,2,FALSE)))</f>
        <v/>
      </c>
      <c r="X27" s="155" t="str">
        <f t="shared" si="10"/>
        <v/>
      </c>
      <c r="Y27" s="155">
        <f t="shared" si="11"/>
        <v>0</v>
      </c>
      <c r="Z27" s="155">
        <f t="shared" si="6"/>
        <v>0</v>
      </c>
    </row>
    <row r="28" spans="1:26">
      <c r="B28" s="114"/>
      <c r="C28" s="114"/>
      <c r="D28" s="107"/>
      <c r="E28" s="107" t="str">
        <f t="shared" si="0"/>
        <v/>
      </c>
      <c r="F28" s="111"/>
      <c r="G28" s="101" t="s">
        <v>55</v>
      </c>
      <c r="H28" s="101"/>
      <c r="I28" s="101">
        <v>0</v>
      </c>
      <c r="J28" s="101">
        <v>5.7891000000000004</v>
      </c>
      <c r="K28" s="101">
        <v>-3.2486000000000002</v>
      </c>
      <c r="L28" s="101">
        <v>-58.64</v>
      </c>
      <c r="M28" s="101">
        <v>19</v>
      </c>
      <c r="N28" s="101">
        <v>29</v>
      </c>
      <c r="O28" s="101"/>
      <c r="P28" s="101" t="s">
        <v>55</v>
      </c>
      <c r="Q28" s="101"/>
      <c r="R28" s="101"/>
      <c r="S28" s="102">
        <f t="shared" si="7"/>
        <v>1</v>
      </c>
      <c r="T28" s="102">
        <f t="shared" si="8"/>
        <v>0</v>
      </c>
      <c r="U28" s="102">
        <f t="shared" si="9"/>
        <v>0</v>
      </c>
      <c r="V28" s="102">
        <f>IF(S28="","",IF(T28=1,VLOOKUP(M28,'elipse #s'!$A$4:$C$38,2,FALSE),VLOOKUP(M28,'elipse #s'!$A$4:$C$38,3,FALSE)))</f>
        <v>0.29547455487478652</v>
      </c>
      <c r="W28" s="155">
        <f>IF(S28="","",IF(S28=0,IF(U28=1,$B$6,$C$6),VLOOKUP(N28,'elipse #s'!$A$4:$C$38,2,FALSE)))</f>
        <v>0.23133691253837019</v>
      </c>
      <c r="X28" s="155">
        <f t="shared" si="10"/>
        <v>6.4137642336416334E-2</v>
      </c>
      <c r="Y28" s="155">
        <f t="shared" si="11"/>
        <v>5.8438680514076466</v>
      </c>
      <c r="Z28" s="155">
        <f t="shared" si="6"/>
        <v>-3.2152218977549132</v>
      </c>
    </row>
    <row r="29" spans="1:26">
      <c r="B29" s="114"/>
      <c r="C29" s="114"/>
      <c r="D29" s="107"/>
      <c r="E29" s="107">
        <f t="shared" si="0"/>
        <v>0</v>
      </c>
      <c r="F29" s="111">
        <v>3.2090000000000001</v>
      </c>
      <c r="G29" s="101" t="s">
        <v>11</v>
      </c>
      <c r="H29" s="101" t="s">
        <v>20</v>
      </c>
      <c r="I29" s="101"/>
      <c r="J29" s="101"/>
      <c r="K29" s="101"/>
      <c r="L29" s="101"/>
      <c r="M29" s="101"/>
      <c r="N29" s="101" t="s">
        <v>55</v>
      </c>
      <c r="O29" s="101">
        <v>-26.792999999999999</v>
      </c>
      <c r="P29" s="101">
        <v>-26.792999999999999</v>
      </c>
      <c r="Q29" s="101">
        <v>0</v>
      </c>
      <c r="R29" s="101">
        <v>0</v>
      </c>
      <c r="S29" s="102" t="str">
        <f t="shared" si="7"/>
        <v/>
      </c>
      <c r="T29" s="102" t="str">
        <f t="shared" si="8"/>
        <v/>
      </c>
      <c r="U29" s="102" t="str">
        <f t="shared" si="9"/>
        <v/>
      </c>
      <c r="V29" s="102" t="str">
        <f>IF(S29="","",IF(T29=1,VLOOKUP(M29,'elipse #s'!$A$4:$C$38,2,FALSE),VLOOKUP(M29,'elipse #s'!$A$4:$C$38,3,FALSE)))</f>
        <v/>
      </c>
      <c r="W29" s="155" t="str">
        <f>IF(S29="","",IF(S29=0,IF(U29=1,$B$6,$C$6),VLOOKUP(N29,'elipse #s'!$A$4:$C$38,2,FALSE)))</f>
        <v/>
      </c>
      <c r="X29" s="155" t="str">
        <f t="shared" si="10"/>
        <v/>
      </c>
      <c r="Y29" s="155">
        <f t="shared" si="11"/>
        <v>0</v>
      </c>
      <c r="Z29" s="155">
        <f t="shared" si="6"/>
        <v>0</v>
      </c>
    </row>
    <row r="30" spans="1:26">
      <c r="B30" s="114"/>
      <c r="C30" s="114"/>
      <c r="D30" s="107"/>
      <c r="E30" s="107" t="str">
        <f t="shared" si="0"/>
        <v/>
      </c>
      <c r="F30" s="111"/>
      <c r="G30" s="101" t="s">
        <v>55</v>
      </c>
      <c r="H30" s="101"/>
      <c r="I30" s="101">
        <v>0</v>
      </c>
      <c r="J30" s="101">
        <v>2.1124000000000001</v>
      </c>
      <c r="K30" s="101">
        <v>-0.2601</v>
      </c>
      <c r="L30" s="101">
        <v>15</v>
      </c>
      <c r="M30" s="101">
        <v>15</v>
      </c>
      <c r="N30" s="101" t="s">
        <v>55</v>
      </c>
      <c r="O30" s="101"/>
      <c r="P30" s="101" t="s">
        <v>55</v>
      </c>
      <c r="Q30" s="101"/>
      <c r="R30" s="101"/>
      <c r="S30" s="102">
        <f t="shared" si="7"/>
        <v>0</v>
      </c>
      <c r="T30" s="102">
        <f t="shared" si="8"/>
        <v>0</v>
      </c>
      <c r="U30" s="102">
        <f t="shared" si="9"/>
        <v>1</v>
      </c>
      <c r="V30" s="102">
        <f>IF(S30="","",IF(T30=1,VLOOKUP(M30,'elipse #s'!$A$4:$C$38,2,FALSE),VLOOKUP(M30,'elipse #s'!$A$4:$C$38,3,FALSE)))</f>
        <v>0.30185182071533384</v>
      </c>
      <c r="W30" s="155">
        <f>IF(S30="","",IF(S30=0,IF(U30=1,$B$6,$C$6),VLOOKUP(N30,'elipse #s'!$A$4:$C$38,2,FALSE)))</f>
        <v>0.26300000000000001</v>
      </c>
      <c r="X30" s="155">
        <f t="shared" si="10"/>
        <v>3.8851820715333829E-2</v>
      </c>
      <c r="Y30" s="155">
        <f t="shared" si="11"/>
        <v>2.1023444088619629</v>
      </c>
      <c r="Z30" s="155">
        <f t="shared" si="6"/>
        <v>-0.24757202297270642</v>
      </c>
    </row>
    <row r="31" spans="1:26">
      <c r="B31" s="114"/>
      <c r="C31" s="114"/>
      <c r="D31" s="107"/>
      <c r="E31" s="107">
        <f t="shared" si="0"/>
        <v>0</v>
      </c>
      <c r="F31" s="111">
        <v>3.214</v>
      </c>
      <c r="G31" s="101" t="s">
        <v>11</v>
      </c>
      <c r="H31" s="101" t="s">
        <v>20</v>
      </c>
      <c r="I31" s="101"/>
      <c r="J31" s="101"/>
      <c r="K31" s="101"/>
      <c r="L31" s="101"/>
      <c r="M31" s="101"/>
      <c r="N31" s="101" t="s">
        <v>55</v>
      </c>
      <c r="O31" s="101">
        <v>-21.498999999999999</v>
      </c>
      <c r="P31" s="101">
        <v>-21.667999999999999</v>
      </c>
      <c r="Q31" s="101">
        <v>-0.16900000000000001</v>
      </c>
      <c r="R31" s="101">
        <v>0</v>
      </c>
      <c r="S31" s="102" t="str">
        <f t="shared" si="7"/>
        <v/>
      </c>
      <c r="T31" s="102" t="str">
        <f t="shared" si="8"/>
        <v/>
      </c>
      <c r="U31" s="102" t="str">
        <f t="shared" si="9"/>
        <v/>
      </c>
      <c r="V31" s="102" t="str">
        <f>IF(S31="","",IF(T31=1,VLOOKUP(M31,'elipse #s'!$A$4:$C$38,2,FALSE),VLOOKUP(M31,'elipse #s'!$A$4:$C$38,3,FALSE)))</f>
        <v/>
      </c>
      <c r="W31" s="155" t="str">
        <f>IF(S31="","",IF(S31=0,IF(U31=1,$B$6,$C$6),VLOOKUP(N31,'elipse #s'!$A$4:$C$38,2,FALSE)))</f>
        <v/>
      </c>
      <c r="X31" s="155" t="str">
        <f t="shared" si="10"/>
        <v/>
      </c>
      <c r="Y31" s="155">
        <f t="shared" si="11"/>
        <v>0</v>
      </c>
      <c r="Z31" s="155">
        <f t="shared" si="6"/>
        <v>0</v>
      </c>
    </row>
    <row r="32" spans="1:26">
      <c r="B32" s="114"/>
      <c r="C32" s="114"/>
      <c r="D32" s="107"/>
      <c r="E32" s="107" t="str">
        <f t="shared" si="0"/>
        <v/>
      </c>
      <c r="F32" s="111"/>
      <c r="G32" s="101" t="s">
        <v>55</v>
      </c>
      <c r="H32" s="101"/>
      <c r="I32" s="101">
        <v>0</v>
      </c>
      <c r="J32" s="101">
        <v>2.8452000000000002</v>
      </c>
      <c r="K32" s="101">
        <v>-9.5600000000000004E-2</v>
      </c>
      <c r="L32" s="101">
        <v>2.5</v>
      </c>
      <c r="M32" s="101">
        <v>15</v>
      </c>
      <c r="N32" s="101" t="s">
        <v>55</v>
      </c>
      <c r="O32" s="101"/>
      <c r="P32" s="101" t="s">
        <v>55</v>
      </c>
      <c r="Q32" s="101"/>
      <c r="R32" s="101"/>
      <c r="S32" s="102">
        <f t="shared" si="7"/>
        <v>0</v>
      </c>
      <c r="T32" s="102">
        <f t="shared" si="8"/>
        <v>0</v>
      </c>
      <c r="U32" s="102">
        <f t="shared" si="9"/>
        <v>1</v>
      </c>
      <c r="V32" s="102">
        <f>IF(S32="","",IF(T32=1,VLOOKUP(M32,'elipse #s'!$A$4:$C$38,2,FALSE),VLOOKUP(M32,'elipse #s'!$A$4:$C$38,3,FALSE)))</f>
        <v>0.30185182071533384</v>
      </c>
      <c r="W32" s="155">
        <f>IF(S32="","",IF(S32=0,IF(U32=1,$B$6,$C$6),VLOOKUP(N32,'elipse #s'!$A$4:$C$38,2,FALSE)))</f>
        <v>0.26300000000000001</v>
      </c>
      <c r="X32" s="155">
        <f t="shared" si="10"/>
        <v>3.8851820715333829E-2</v>
      </c>
      <c r="Y32" s="155">
        <f t="shared" si="11"/>
        <v>2.8435053073823693</v>
      </c>
      <c r="Z32" s="155">
        <f t="shared" si="6"/>
        <v>-8.1785157609128564E-2</v>
      </c>
    </row>
    <row r="33" spans="2:26">
      <c r="B33" s="114"/>
      <c r="C33" s="114"/>
      <c r="D33" s="107"/>
      <c r="E33" s="107">
        <f t="shared" si="0"/>
        <v>0</v>
      </c>
      <c r="F33" s="111">
        <v>3.22</v>
      </c>
      <c r="G33" s="101" t="s">
        <v>11</v>
      </c>
      <c r="H33" s="101" t="s">
        <v>20</v>
      </c>
      <c r="I33" s="101"/>
      <c r="J33" s="101"/>
      <c r="K33" s="101"/>
      <c r="L33" s="101"/>
      <c r="M33" s="101"/>
      <c r="N33" s="101" t="s">
        <v>55</v>
      </c>
      <c r="O33" s="101">
        <v>-18.448</v>
      </c>
      <c r="P33" s="101">
        <v>-19.353000000000002</v>
      </c>
      <c r="Q33" s="101">
        <v>-0.90500000000000003</v>
      </c>
      <c r="R33" s="101">
        <v>0</v>
      </c>
      <c r="S33" s="102" t="str">
        <f t="shared" si="7"/>
        <v/>
      </c>
      <c r="T33" s="102" t="str">
        <f t="shared" si="8"/>
        <v/>
      </c>
      <c r="U33" s="102" t="str">
        <f t="shared" si="9"/>
        <v/>
      </c>
      <c r="V33" s="102" t="str">
        <f>IF(S33="","",IF(T33=1,VLOOKUP(M33,'elipse #s'!$A$4:$C$38,2,FALSE),VLOOKUP(M33,'elipse #s'!$A$4:$C$38,3,FALSE)))</f>
        <v/>
      </c>
      <c r="W33" s="155" t="str">
        <f>IF(S33="","",IF(S33=0,IF(U33=1,$B$6,$C$6),VLOOKUP(N33,'elipse #s'!$A$4:$C$38,2,FALSE)))</f>
        <v/>
      </c>
      <c r="X33" s="155" t="str">
        <f t="shared" si="10"/>
        <v/>
      </c>
      <c r="Y33" s="155">
        <f t="shared" si="11"/>
        <v>0</v>
      </c>
      <c r="Z33" s="155">
        <f t="shared" si="6"/>
        <v>0</v>
      </c>
    </row>
    <row r="34" spans="2:26">
      <c r="B34" s="114"/>
      <c r="C34" s="114"/>
      <c r="D34" s="107"/>
      <c r="E34" s="107" t="str">
        <f t="shared" si="0"/>
        <v/>
      </c>
      <c r="F34" s="111"/>
      <c r="G34" s="101" t="s">
        <v>55</v>
      </c>
      <c r="H34" s="101"/>
      <c r="I34" s="101">
        <v>0</v>
      </c>
      <c r="J34" s="101">
        <v>3.6234000000000002</v>
      </c>
      <c r="K34" s="101">
        <v>-0.16500000000000001</v>
      </c>
      <c r="L34" s="101">
        <v>-16.670000000000002</v>
      </c>
      <c r="M34" s="101">
        <v>15</v>
      </c>
      <c r="N34" s="101" t="s">
        <v>55</v>
      </c>
      <c r="O34" s="101"/>
      <c r="P34" s="101" t="s">
        <v>55</v>
      </c>
      <c r="Q34" s="101"/>
      <c r="R34" s="101"/>
      <c r="S34" s="102">
        <f t="shared" si="7"/>
        <v>0</v>
      </c>
      <c r="T34" s="102">
        <f t="shared" si="8"/>
        <v>0</v>
      </c>
      <c r="U34" s="102">
        <f t="shared" si="9"/>
        <v>1</v>
      </c>
      <c r="V34" s="102">
        <f>IF(S34="","",IF(T34=1,VLOOKUP(M34,'elipse #s'!$A$4:$C$38,2,FALSE),VLOOKUP(M34,'elipse #s'!$A$4:$C$38,3,FALSE)))</f>
        <v>0.30185182071533384</v>
      </c>
      <c r="W34" s="155">
        <f>IF(S34="","",IF(S34=0,IF(U34=1,$B$6,$C$6),VLOOKUP(N34,'elipse #s'!$A$4:$C$38,2,FALSE)))</f>
        <v>0.26300000000000001</v>
      </c>
      <c r="X34" s="155">
        <f t="shared" si="10"/>
        <v>3.8851820715333829E-2</v>
      </c>
      <c r="Y34" s="155">
        <f t="shared" si="11"/>
        <v>3.6345449931097051</v>
      </c>
      <c r="Z34" s="155">
        <f t="shared" si="6"/>
        <v>-0.15278101154677803</v>
      </c>
    </row>
    <row r="35" spans="2:26">
      <c r="B35" s="114"/>
      <c r="C35" s="114"/>
      <c r="D35" s="107"/>
      <c r="E35" s="107">
        <f t="shared" si="0"/>
        <v>0</v>
      </c>
      <c r="F35" s="111">
        <v>3.226</v>
      </c>
      <c r="G35" s="101" t="s">
        <v>11</v>
      </c>
      <c r="H35" s="101" t="s">
        <v>10</v>
      </c>
      <c r="I35" s="101"/>
      <c r="J35" s="101"/>
      <c r="K35" s="101"/>
      <c r="L35" s="101"/>
      <c r="M35" s="101"/>
      <c r="N35" s="101" t="s">
        <v>55</v>
      </c>
      <c r="O35" s="101">
        <v>-12.314</v>
      </c>
      <c r="P35" s="101">
        <v>-14.148</v>
      </c>
      <c r="Q35" s="101">
        <v>-1.8340000000000001</v>
      </c>
      <c r="R35" s="101">
        <v>0</v>
      </c>
      <c r="S35" s="102" t="str">
        <f t="shared" si="7"/>
        <v/>
      </c>
      <c r="T35" s="102" t="str">
        <f t="shared" si="8"/>
        <v/>
      </c>
      <c r="U35" s="102" t="str">
        <f t="shared" si="9"/>
        <v/>
      </c>
      <c r="V35" s="102" t="str">
        <f>IF(S35="","",IF(T35=1,VLOOKUP(M35,'elipse #s'!$A$4:$C$38,2,FALSE),VLOOKUP(M35,'elipse #s'!$A$4:$C$38,3,FALSE)))</f>
        <v/>
      </c>
      <c r="W35" s="155" t="str">
        <f>IF(S35="","",IF(S35=0,IF(U35=1,$B$6,$C$6),VLOOKUP(N35,'elipse #s'!$A$4:$C$38,2,FALSE)))</f>
        <v/>
      </c>
      <c r="X35" s="155" t="str">
        <f t="shared" si="10"/>
        <v/>
      </c>
      <c r="Y35" s="155">
        <f t="shared" si="11"/>
        <v>0</v>
      </c>
      <c r="Z35" s="155">
        <f t="shared" si="6"/>
        <v>0</v>
      </c>
    </row>
    <row r="36" spans="2:26">
      <c r="B36" s="114"/>
      <c r="C36" s="114"/>
      <c r="D36" s="107"/>
      <c r="E36" s="107" t="str">
        <f t="shared" si="0"/>
        <v/>
      </c>
      <c r="F36" s="111"/>
      <c r="G36" s="101" t="s">
        <v>55</v>
      </c>
      <c r="H36" s="101"/>
      <c r="I36" s="101">
        <v>0</v>
      </c>
      <c r="J36" s="101">
        <v>4.3212000000000002</v>
      </c>
      <c r="K36" s="101">
        <v>-0.50170000000000003</v>
      </c>
      <c r="L36" s="101">
        <v>-32.119999999999997</v>
      </c>
      <c r="M36" s="101">
        <v>15</v>
      </c>
      <c r="N36" s="101">
        <v>25</v>
      </c>
      <c r="O36" s="101"/>
      <c r="P36" s="101" t="s">
        <v>55</v>
      </c>
      <c r="Q36" s="101"/>
      <c r="R36" s="101"/>
      <c r="S36" s="102">
        <f t="shared" si="7"/>
        <v>1</v>
      </c>
      <c r="T36" s="102">
        <f t="shared" si="8"/>
        <v>0</v>
      </c>
      <c r="U36" s="102">
        <f t="shared" si="9"/>
        <v>0</v>
      </c>
      <c r="V36" s="102">
        <f>IF(S36="","",IF(T36=1,VLOOKUP(M36,'elipse #s'!$A$4:$C$38,2,FALSE),VLOOKUP(M36,'elipse #s'!$A$4:$C$38,3,FALSE)))</f>
        <v>0.30185182071533384</v>
      </c>
      <c r="W36" s="155">
        <f>IF(S36="","",IF(S36=0,IF(U36=1,$B$6,$C$6),VLOOKUP(N36,'elipse #s'!$A$4:$C$38,2,FALSE)))</f>
        <v>0.23971840967119393</v>
      </c>
      <c r="X36" s="155">
        <f t="shared" si="10"/>
        <v>6.2133411044139913E-2</v>
      </c>
      <c r="Y36" s="155">
        <f t="shared" si="11"/>
        <v>4.3542359772900729</v>
      </c>
      <c r="Z36" s="155">
        <f t="shared" si="6"/>
        <v>-0.44907695397955522</v>
      </c>
    </row>
    <row r="37" spans="2:26">
      <c r="B37" s="114"/>
      <c r="C37" s="114"/>
      <c r="D37" s="107"/>
      <c r="E37" s="107">
        <f t="shared" si="0"/>
        <v>0</v>
      </c>
      <c r="F37" s="111">
        <v>3.2320000000000002</v>
      </c>
      <c r="G37" s="101" t="s">
        <v>11</v>
      </c>
      <c r="H37" s="101" t="s">
        <v>10</v>
      </c>
      <c r="I37" s="101"/>
      <c r="J37" s="101"/>
      <c r="K37" s="101"/>
      <c r="L37" s="101"/>
      <c r="M37" s="101"/>
      <c r="N37" s="101" t="s">
        <v>55</v>
      </c>
      <c r="O37" s="101">
        <v>-11.208</v>
      </c>
      <c r="P37" s="101">
        <v>-13.879</v>
      </c>
      <c r="Q37" s="101">
        <v>-2.6709999999999998</v>
      </c>
      <c r="R37" s="101">
        <v>0</v>
      </c>
      <c r="S37" s="102" t="str">
        <f t="shared" si="7"/>
        <v/>
      </c>
      <c r="T37" s="102" t="str">
        <f t="shared" si="8"/>
        <v/>
      </c>
      <c r="U37" s="102" t="str">
        <f t="shared" si="9"/>
        <v/>
      </c>
      <c r="V37" s="102" t="str">
        <f>IF(S37="","",IF(T37=1,VLOOKUP(M37,'elipse #s'!$A$4:$C$38,2,FALSE),VLOOKUP(M37,'elipse #s'!$A$4:$C$38,3,FALSE)))</f>
        <v/>
      </c>
      <c r="W37" s="155" t="str">
        <f>IF(S37="","",IF(S37=0,IF(U37=1,$B$6,$C$6),VLOOKUP(N37,'elipse #s'!$A$4:$C$38,2,FALSE)))</f>
        <v/>
      </c>
      <c r="X37" s="155" t="str">
        <f t="shared" si="10"/>
        <v/>
      </c>
      <c r="Y37" s="155">
        <f t="shared" si="11"/>
        <v>0</v>
      </c>
      <c r="Z37" s="155">
        <f t="shared" si="6"/>
        <v>0</v>
      </c>
    </row>
    <row r="38" spans="2:26">
      <c r="B38" s="114"/>
      <c r="C38" s="114"/>
      <c r="D38" s="107"/>
      <c r="E38" s="107" t="str">
        <f t="shared" si="0"/>
        <v/>
      </c>
      <c r="F38" s="111"/>
      <c r="G38" s="101" t="s">
        <v>55</v>
      </c>
      <c r="H38" s="101"/>
      <c r="I38" s="101">
        <v>0</v>
      </c>
      <c r="J38" s="101">
        <v>4.87</v>
      </c>
      <c r="K38" s="101">
        <v>-1.0322</v>
      </c>
      <c r="L38" s="101">
        <v>-38.479999999999997</v>
      </c>
      <c r="M38" s="101">
        <v>15</v>
      </c>
      <c r="N38" s="101">
        <v>25</v>
      </c>
      <c r="O38" s="101"/>
      <c r="P38" s="101" t="s">
        <v>55</v>
      </c>
      <c r="Q38" s="101"/>
      <c r="R38" s="101"/>
      <c r="S38" s="102">
        <f t="shared" si="7"/>
        <v>1</v>
      </c>
      <c r="T38" s="102">
        <f t="shared" si="8"/>
        <v>0</v>
      </c>
      <c r="U38" s="102">
        <f t="shared" si="9"/>
        <v>0</v>
      </c>
      <c r="V38" s="102">
        <f>IF(S38="","",IF(T38=1,VLOOKUP(M38,'elipse #s'!$A$4:$C$38,2,FALSE),VLOOKUP(M38,'elipse #s'!$A$4:$C$38,3,FALSE)))</f>
        <v>0.30185182071533384</v>
      </c>
      <c r="W38" s="155">
        <f>IF(S38="","",IF(S38=0,IF(U38=1,$B$6,$C$6),VLOOKUP(N38,'elipse #s'!$A$4:$C$38,2,FALSE)))</f>
        <v>0.23971840967119393</v>
      </c>
      <c r="X38" s="155">
        <f t="shared" si="10"/>
        <v>6.2133411044139913E-2</v>
      </c>
      <c r="Y38" s="155">
        <f t="shared" si="11"/>
        <v>4.908661981727148</v>
      </c>
      <c r="Z38" s="155">
        <f t="shared" si="6"/>
        <v>-0.98356038716324201</v>
      </c>
    </row>
    <row r="39" spans="2:26">
      <c r="B39" s="114"/>
      <c r="C39" s="114"/>
      <c r="D39" s="107"/>
      <c r="E39" s="107">
        <f t="shared" si="0"/>
        <v>0</v>
      </c>
      <c r="F39" s="111">
        <v>3.238</v>
      </c>
      <c r="G39" s="101" t="s">
        <v>11</v>
      </c>
      <c r="H39" s="101" t="s">
        <v>10</v>
      </c>
      <c r="I39" s="101"/>
      <c r="J39" s="101"/>
      <c r="K39" s="101"/>
      <c r="L39" s="101"/>
      <c r="M39" s="101"/>
      <c r="N39" s="101" t="s">
        <v>55</v>
      </c>
      <c r="O39" s="101">
        <v>-10.535</v>
      </c>
      <c r="P39" s="101">
        <v>-13.878</v>
      </c>
      <c r="Q39" s="101">
        <v>-3.343</v>
      </c>
      <c r="R39" s="101">
        <v>0</v>
      </c>
      <c r="S39" s="102" t="str">
        <f t="shared" si="7"/>
        <v/>
      </c>
      <c r="T39" s="102" t="str">
        <f t="shared" si="8"/>
        <v/>
      </c>
      <c r="U39" s="102" t="str">
        <f t="shared" si="9"/>
        <v/>
      </c>
      <c r="V39" s="102" t="str">
        <f>IF(S39="","",IF(T39=1,VLOOKUP(M39,'elipse #s'!$A$4:$C$38,2,FALSE),VLOOKUP(M39,'elipse #s'!$A$4:$C$38,3,FALSE)))</f>
        <v/>
      </c>
      <c r="W39" s="155" t="str">
        <f>IF(S39="","",IF(S39=0,IF(U39=1,$B$6,$C$6),VLOOKUP(N39,'elipse #s'!$A$4:$C$38,2,FALSE)))</f>
        <v/>
      </c>
      <c r="X39" s="155" t="str">
        <f t="shared" si="10"/>
        <v/>
      </c>
      <c r="Y39" s="155">
        <f t="shared" si="11"/>
        <v>0</v>
      </c>
      <c r="Z39" s="155">
        <f t="shared" si="6"/>
        <v>0</v>
      </c>
    </row>
    <row r="40" spans="2:26">
      <c r="B40" s="114"/>
      <c r="C40" s="114"/>
      <c r="D40" s="107"/>
      <c r="E40" s="107" t="str">
        <f t="shared" si="0"/>
        <v/>
      </c>
      <c r="F40" s="111"/>
      <c r="G40" s="101" t="s">
        <v>55</v>
      </c>
      <c r="H40" s="101"/>
      <c r="I40" s="101">
        <v>0</v>
      </c>
      <c r="J40" s="101">
        <v>5.2823000000000002</v>
      </c>
      <c r="K40" s="101">
        <v>-1.6758</v>
      </c>
      <c r="L40" s="101">
        <v>-44.85</v>
      </c>
      <c r="M40" s="101">
        <v>16</v>
      </c>
      <c r="N40" s="101">
        <v>26</v>
      </c>
      <c r="O40" s="101"/>
      <c r="P40" s="101" t="s">
        <v>55</v>
      </c>
      <c r="Q40" s="101"/>
      <c r="R40" s="101"/>
      <c r="S40" s="102">
        <f t="shared" si="7"/>
        <v>1</v>
      </c>
      <c r="T40" s="102">
        <f t="shared" si="8"/>
        <v>0</v>
      </c>
      <c r="U40" s="102">
        <f t="shared" si="9"/>
        <v>0</v>
      </c>
      <c r="V40" s="102">
        <f>IF(S40="","",IF(T40=1,VLOOKUP(M40,'elipse #s'!$A$4:$C$38,2,FALSE),VLOOKUP(M40,'elipse #s'!$A$4:$C$38,3,FALSE)))</f>
        <v>0.30039427998072465</v>
      </c>
      <c r="W40" s="155">
        <f>IF(S40="","",IF(S40=0,IF(U40=1,$B$6,$C$6),VLOOKUP(N40,'elipse #s'!$A$4:$C$38,2,FALSE)))</f>
        <v>0.23773102524612968</v>
      </c>
      <c r="X40" s="155">
        <f t="shared" si="10"/>
        <v>6.266325473459497E-2</v>
      </c>
      <c r="Y40" s="155">
        <f t="shared" si="11"/>
        <v>5.3264934583461239</v>
      </c>
      <c r="Z40" s="155">
        <f t="shared" si="6"/>
        <v>-1.6313745373311408</v>
      </c>
    </row>
    <row r="41" spans="2:26">
      <c r="B41" s="114"/>
      <c r="C41" s="114"/>
      <c r="D41" s="107"/>
      <c r="E41" s="107">
        <f t="shared" si="0"/>
        <v>0</v>
      </c>
      <c r="F41" s="111">
        <v>3.2440000000000002</v>
      </c>
      <c r="G41" s="101" t="s">
        <v>11</v>
      </c>
      <c r="H41" s="101" t="s">
        <v>10</v>
      </c>
      <c r="I41" s="101"/>
      <c r="J41" s="101"/>
      <c r="K41" s="101"/>
      <c r="L41" s="101"/>
      <c r="M41" s="101"/>
      <c r="N41" s="101" t="s">
        <v>55</v>
      </c>
      <c r="O41" s="101">
        <v>-10.119</v>
      </c>
      <c r="P41" s="101">
        <v>-13.959</v>
      </c>
      <c r="Q41" s="101">
        <v>-3.84</v>
      </c>
      <c r="R41" s="101">
        <v>0</v>
      </c>
      <c r="S41" s="102" t="str">
        <f t="shared" si="7"/>
        <v/>
      </c>
      <c r="T41" s="102" t="str">
        <f t="shared" si="8"/>
        <v/>
      </c>
      <c r="U41" s="102" t="str">
        <f t="shared" si="9"/>
        <v/>
      </c>
      <c r="V41" s="102" t="str">
        <f>IF(S41="","",IF(T41=1,VLOOKUP(M41,'elipse #s'!$A$4:$C$38,2,FALSE),VLOOKUP(M41,'elipse #s'!$A$4:$C$38,3,FALSE)))</f>
        <v/>
      </c>
      <c r="W41" s="155" t="str">
        <f>IF(S41="","",IF(S41=0,IF(U41=1,$B$6,$C$6),VLOOKUP(N41,'elipse #s'!$A$4:$C$38,2,FALSE)))</f>
        <v/>
      </c>
      <c r="X41" s="155" t="str">
        <f t="shared" si="10"/>
        <v/>
      </c>
      <c r="Y41" s="155">
        <f t="shared" si="11"/>
        <v>0</v>
      </c>
      <c r="Z41" s="155">
        <f t="shared" si="6"/>
        <v>0</v>
      </c>
    </row>
    <row r="42" spans="2:26">
      <c r="B42" s="114"/>
      <c r="C42" s="114"/>
      <c r="D42" s="107"/>
      <c r="E42" s="107" t="str">
        <f t="shared" si="0"/>
        <v/>
      </c>
      <c r="F42" s="111"/>
      <c r="G42" s="101" t="s">
        <v>55</v>
      </c>
      <c r="H42" s="101"/>
      <c r="I42" s="101">
        <v>0</v>
      </c>
      <c r="J42" s="101">
        <v>5.5762</v>
      </c>
      <c r="K42" s="101">
        <v>-2.3820000000000001</v>
      </c>
      <c r="L42" s="101">
        <v>-51.21</v>
      </c>
      <c r="M42" s="101">
        <v>17</v>
      </c>
      <c r="N42" s="101">
        <v>27</v>
      </c>
      <c r="O42" s="101"/>
      <c r="P42" s="101" t="s">
        <v>55</v>
      </c>
      <c r="Q42" s="101"/>
      <c r="R42" s="101"/>
      <c r="S42" s="102">
        <f t="shared" si="7"/>
        <v>1</v>
      </c>
      <c r="T42" s="102">
        <f t="shared" si="8"/>
        <v>0</v>
      </c>
      <c r="U42" s="102">
        <f t="shared" si="9"/>
        <v>0</v>
      </c>
      <c r="V42" s="102">
        <f>IF(S42="","",IF(T42=1,VLOOKUP(M42,'elipse #s'!$A$4:$C$38,2,FALSE),VLOOKUP(M42,'elipse #s'!$A$4:$C$38,3,FALSE)))</f>
        <v>0.29884523623844855</v>
      </c>
      <c r="W42" s="155">
        <f>IF(S42="","",IF(S42=0,IF(U42=1,$B$6,$C$6),VLOOKUP(N42,'elipse #s'!$A$4:$C$38,2,FALSE)))</f>
        <v>0.23567122564782331</v>
      </c>
      <c r="X42" s="155">
        <f t="shared" si="10"/>
        <v>6.3174010590625246E-2</v>
      </c>
      <c r="Y42" s="155">
        <f t="shared" si="11"/>
        <v>5.6254408129994236</v>
      </c>
      <c r="Z42" s="155">
        <f t="shared" si="6"/>
        <v>-2.3424235177250394</v>
      </c>
    </row>
    <row r="43" spans="2:26">
      <c r="B43" s="114"/>
      <c r="C43" s="114"/>
      <c r="D43" s="107"/>
      <c r="E43" s="107">
        <f t="shared" si="0"/>
        <v>0</v>
      </c>
      <c r="F43" s="111">
        <v>3.25</v>
      </c>
      <c r="G43" s="101" t="s">
        <v>11</v>
      </c>
      <c r="H43" s="101" t="s">
        <v>10</v>
      </c>
      <c r="I43" s="101"/>
      <c r="J43" s="101"/>
      <c r="K43" s="101"/>
      <c r="L43" s="101"/>
      <c r="M43" s="101"/>
      <c r="N43" s="101" t="s">
        <v>55</v>
      </c>
      <c r="O43" s="101">
        <v>-9.8730000000000011</v>
      </c>
      <c r="P43" s="101">
        <v>-14.042</v>
      </c>
      <c r="Q43" s="101">
        <v>-4.1689999999999996</v>
      </c>
      <c r="R43" s="101">
        <v>0</v>
      </c>
      <c r="S43" s="102" t="str">
        <f t="shared" si="7"/>
        <v/>
      </c>
      <c r="T43" s="102" t="str">
        <f t="shared" si="8"/>
        <v/>
      </c>
      <c r="U43" s="102" t="str">
        <f t="shared" si="9"/>
        <v/>
      </c>
      <c r="V43" s="102" t="str">
        <f>IF(S43="","",IF(T43=1,VLOOKUP(M43,'elipse #s'!$A$4:$C$38,2,FALSE),VLOOKUP(M43,'elipse #s'!$A$4:$C$38,3,FALSE)))</f>
        <v/>
      </c>
      <c r="W43" s="155" t="str">
        <f>IF(S43="","",IF(S43=0,IF(U43=1,$B$6,$C$6),VLOOKUP(N43,'elipse #s'!$A$4:$C$38,2,FALSE)))</f>
        <v/>
      </c>
      <c r="X43" s="155" t="str">
        <f t="shared" si="10"/>
        <v/>
      </c>
      <c r="Y43" s="155">
        <f t="shared" si="11"/>
        <v>0</v>
      </c>
      <c r="Z43" s="155">
        <f t="shared" si="6"/>
        <v>0</v>
      </c>
    </row>
    <row r="44" spans="2:26">
      <c r="B44" s="114"/>
      <c r="C44" s="114"/>
      <c r="D44" s="107"/>
      <c r="E44" s="107" t="str">
        <f t="shared" si="0"/>
        <v/>
      </c>
      <c r="F44" s="111"/>
      <c r="G44" s="101" t="s">
        <v>55</v>
      </c>
      <c r="H44" s="101"/>
      <c r="I44" s="101">
        <v>0</v>
      </c>
      <c r="J44" s="101">
        <v>5.7667000000000002</v>
      </c>
      <c r="K44" s="101">
        <v>-3.1230000000000002</v>
      </c>
      <c r="L44" s="101">
        <v>-57.58</v>
      </c>
      <c r="M44" s="101">
        <v>18</v>
      </c>
      <c r="N44" s="101">
        <v>28</v>
      </c>
      <c r="O44" s="101"/>
      <c r="P44" s="101" t="s">
        <v>55</v>
      </c>
      <c r="Q44" s="101"/>
      <c r="R44" s="101"/>
      <c r="S44" s="102">
        <f t="shared" si="7"/>
        <v>1</v>
      </c>
      <c r="T44" s="102">
        <f t="shared" si="8"/>
        <v>0</v>
      </c>
      <c r="U44" s="102">
        <f t="shared" si="9"/>
        <v>0</v>
      </c>
      <c r="V44" s="102">
        <f>IF(S44="","",IF(T44=1,VLOOKUP(M44,'elipse #s'!$A$4:$C$38,2,FALSE),VLOOKUP(M44,'elipse #s'!$A$4:$C$38,3,FALSE)))</f>
        <v>0.29720516134223546</v>
      </c>
      <c r="W44" s="155">
        <f>IF(S44="","",IF(S44=0,IF(U44=1,$B$6,$C$6),VLOOKUP(N44,'elipse #s'!$A$4:$C$38,2,FALSE)))</f>
        <v>0.23353963831118621</v>
      </c>
      <c r="X44" s="155">
        <f t="shared" si="10"/>
        <v>6.3665523031049248E-2</v>
      </c>
      <c r="Y44" s="155">
        <f t="shared" si="11"/>
        <v>5.8204426677868204</v>
      </c>
      <c r="Z44" s="155">
        <f t="shared" si="6"/>
        <v>-3.0888675450344909</v>
      </c>
    </row>
    <row r="45" spans="2:26">
      <c r="B45" s="114"/>
      <c r="C45" s="114"/>
      <c r="D45" s="107"/>
      <c r="E45" s="107">
        <f t="shared" si="0"/>
        <v>0</v>
      </c>
      <c r="F45" s="102">
        <v>4.2189999999999994</v>
      </c>
      <c r="G45" s="102" t="s">
        <v>11</v>
      </c>
      <c r="H45" s="102" t="s">
        <v>20</v>
      </c>
      <c r="N45" s="102" t="s">
        <v>55</v>
      </c>
      <c r="O45" s="102">
        <v>-18.846</v>
      </c>
      <c r="P45" s="102">
        <v>-19.603999999999999</v>
      </c>
      <c r="Q45" s="102">
        <v>-0.75800000000000001</v>
      </c>
      <c r="R45" s="115">
        <v>0</v>
      </c>
      <c r="S45" s="102" t="str">
        <f t="shared" si="7"/>
        <v/>
      </c>
      <c r="T45" s="102" t="str">
        <f t="shared" si="8"/>
        <v/>
      </c>
      <c r="U45" s="102" t="str">
        <f t="shared" si="9"/>
        <v/>
      </c>
      <c r="V45" s="102" t="str">
        <f>IF(S45="","",IF(T45=1,VLOOKUP(M45,'elipse #s'!$A$4:$C$38,2,FALSE),VLOOKUP(M45,'elipse #s'!$A$4:$C$38,3,FALSE)))</f>
        <v/>
      </c>
      <c r="W45" s="155" t="str">
        <f>IF(S45="","",IF(S45=0,IF(U45=1,$B$6,$C$6),VLOOKUP(N45,'elipse #s'!$A$4:$C$38,2,FALSE)))</f>
        <v/>
      </c>
      <c r="X45" s="155" t="str">
        <f t="shared" si="10"/>
        <v/>
      </c>
      <c r="Y45" s="155">
        <f t="shared" si="11"/>
        <v>0</v>
      </c>
      <c r="Z45" s="155">
        <f t="shared" si="6"/>
        <v>0</v>
      </c>
    </row>
    <row r="46" spans="2:26">
      <c r="B46" s="114"/>
      <c r="C46" s="114"/>
      <c r="D46" s="107"/>
      <c r="E46" s="107" t="str">
        <f t="shared" si="0"/>
        <v/>
      </c>
      <c r="G46" s="102" t="s">
        <v>55</v>
      </c>
      <c r="I46" s="102">
        <v>0</v>
      </c>
      <c r="J46" s="102">
        <v>3.4962</v>
      </c>
      <c r="K46" s="102">
        <v>-0.1338</v>
      </c>
      <c r="L46" s="102">
        <v>-13.33</v>
      </c>
      <c r="M46" s="102">
        <v>15</v>
      </c>
      <c r="N46" s="102" t="s">
        <v>55</v>
      </c>
      <c r="P46" s="102" t="s">
        <v>55</v>
      </c>
      <c r="S46" s="102">
        <f t="shared" si="7"/>
        <v>0</v>
      </c>
      <c r="T46" s="102">
        <f t="shared" si="8"/>
        <v>0</v>
      </c>
      <c r="U46" s="102">
        <f t="shared" si="9"/>
        <v>1</v>
      </c>
      <c r="V46" s="102">
        <f>IF(S46="","",IF(T46=1,VLOOKUP(M46,'elipse #s'!$A$4:$C$38,2,FALSE),VLOOKUP(M46,'elipse #s'!$A$4:$C$38,3,FALSE)))</f>
        <v>0.30185182071533384</v>
      </c>
      <c r="W46" s="155">
        <f>IF(S46="","",IF(S46=0,IF(U46=1,$B$6,$C$6),VLOOKUP(N46,'elipse #s'!$A$4:$C$38,2,FALSE)))</f>
        <v>0.26300000000000001</v>
      </c>
      <c r="X46" s="155">
        <f t="shared" si="10"/>
        <v>3.8851820715333829E-2</v>
      </c>
      <c r="Y46" s="155">
        <f t="shared" si="11"/>
        <v>3.5051576470686041</v>
      </c>
      <c r="Z46" s="155">
        <f t="shared" si="6"/>
        <v>-0.12099491394149758</v>
      </c>
    </row>
    <row r="47" spans="2:26">
      <c r="B47" s="114"/>
      <c r="C47" s="114"/>
      <c r="D47" s="107"/>
      <c r="E47" s="107">
        <f t="shared" si="0"/>
        <v>0</v>
      </c>
      <c r="F47" s="102">
        <v>4.2249999999999996</v>
      </c>
      <c r="G47" s="102" t="s">
        <v>11</v>
      </c>
      <c r="H47" s="102" t="s">
        <v>10</v>
      </c>
      <c r="N47" s="102" t="s">
        <v>55</v>
      </c>
      <c r="O47" s="102">
        <v>-12.561</v>
      </c>
      <c r="P47" s="102">
        <v>-14.244</v>
      </c>
      <c r="Q47" s="102">
        <v>-1.6830000000000001</v>
      </c>
      <c r="R47" s="115">
        <v>0</v>
      </c>
      <c r="S47" s="102" t="str">
        <f t="shared" si="7"/>
        <v/>
      </c>
      <c r="T47" s="102" t="str">
        <f t="shared" si="8"/>
        <v/>
      </c>
      <c r="U47" s="102" t="str">
        <f t="shared" si="9"/>
        <v/>
      </c>
      <c r="V47" s="102" t="str">
        <f>IF(S47="","",IF(T47=1,VLOOKUP(M47,'elipse #s'!$A$4:$C$38,2,FALSE),VLOOKUP(M47,'elipse #s'!$A$4:$C$38,3,FALSE)))</f>
        <v/>
      </c>
      <c r="W47" s="155" t="str">
        <f>IF(S47="","",IF(S47=0,IF(U47=1,$B$6,$C$6),VLOOKUP(N47,'elipse #s'!$A$4:$C$38,2,FALSE)))</f>
        <v/>
      </c>
      <c r="X47" s="155" t="str">
        <f t="shared" si="10"/>
        <v/>
      </c>
      <c r="Y47" s="155">
        <f t="shared" si="11"/>
        <v>0</v>
      </c>
      <c r="Z47" s="155">
        <f t="shared" si="6"/>
        <v>0</v>
      </c>
    </row>
    <row r="48" spans="2:26">
      <c r="B48" s="114"/>
      <c r="C48" s="114"/>
      <c r="D48" s="107"/>
      <c r="E48" s="107" t="str">
        <f t="shared" si="0"/>
        <v/>
      </c>
      <c r="G48" s="102" t="s">
        <v>55</v>
      </c>
      <c r="I48" s="102">
        <v>0</v>
      </c>
      <c r="J48" s="102">
        <v>4.2157</v>
      </c>
      <c r="K48" s="102">
        <v>-0.43</v>
      </c>
      <c r="L48" s="102">
        <v>-31.06</v>
      </c>
      <c r="M48" s="102">
        <v>15</v>
      </c>
      <c r="N48" s="102">
        <v>25</v>
      </c>
      <c r="P48" s="102" t="s">
        <v>55</v>
      </c>
      <c r="S48" s="102">
        <f t="shared" si="7"/>
        <v>1</v>
      </c>
      <c r="T48" s="102">
        <f t="shared" si="8"/>
        <v>0</v>
      </c>
      <c r="U48" s="102">
        <f t="shared" si="9"/>
        <v>0</v>
      </c>
      <c r="V48" s="102">
        <f>IF(S48="","",IF(T48=1,VLOOKUP(M48,'elipse #s'!$A$4:$C$38,2,FALSE),VLOOKUP(M48,'elipse #s'!$A$4:$C$38,3,FALSE)))</f>
        <v>0.30185182071533384</v>
      </c>
      <c r="W48" s="155">
        <f>IF(S48="","",IF(S48=0,IF(U48=1,$B$6,$C$6),VLOOKUP(N48,'elipse #s'!$A$4:$C$38,2,FALSE)))</f>
        <v>0.23971840967119393</v>
      </c>
      <c r="X48" s="155">
        <f t="shared" si="10"/>
        <v>6.2133411044139913E-2</v>
      </c>
      <c r="Y48" s="155">
        <f t="shared" si="11"/>
        <v>4.2477568272648059</v>
      </c>
      <c r="Z48" s="155">
        <f t="shared" si="6"/>
        <v>-0.37677481241278293</v>
      </c>
    </row>
    <row r="49" spans="2:26">
      <c r="B49" s="114"/>
      <c r="C49" s="114"/>
      <c r="D49" s="107"/>
      <c r="E49" s="107">
        <f t="shared" si="0"/>
        <v>0</v>
      </c>
      <c r="F49" s="102">
        <v>4.2309999999999999</v>
      </c>
      <c r="G49" s="102" t="s">
        <v>11</v>
      </c>
      <c r="H49" s="102" t="s">
        <v>10</v>
      </c>
      <c r="N49" s="102" t="s">
        <v>55</v>
      </c>
      <c r="O49" s="102">
        <v>-11.355</v>
      </c>
      <c r="P49" s="102">
        <v>-13.897</v>
      </c>
      <c r="Q49" s="102">
        <v>-2.5419999999999998</v>
      </c>
      <c r="R49" s="115">
        <v>0</v>
      </c>
      <c r="S49" s="102" t="str">
        <f t="shared" si="7"/>
        <v/>
      </c>
      <c r="T49" s="102" t="str">
        <f t="shared" si="8"/>
        <v/>
      </c>
      <c r="U49" s="102" t="str">
        <f t="shared" si="9"/>
        <v/>
      </c>
      <c r="V49" s="102" t="str">
        <f>IF(S49="","",IF(T49=1,VLOOKUP(M49,'elipse #s'!$A$4:$C$38,2,FALSE),VLOOKUP(M49,'elipse #s'!$A$4:$C$38,3,FALSE)))</f>
        <v/>
      </c>
      <c r="W49" s="155" t="str">
        <f>IF(S49="","",IF(S49=0,IF(U49=1,$B$6,$C$6),VLOOKUP(N49,'elipse #s'!$A$4:$C$38,2,FALSE)))</f>
        <v/>
      </c>
      <c r="X49" s="155" t="str">
        <f t="shared" si="10"/>
        <v/>
      </c>
      <c r="Y49" s="155">
        <f t="shared" si="11"/>
        <v>0</v>
      </c>
      <c r="Z49" s="155">
        <f t="shared" si="6"/>
        <v>0</v>
      </c>
    </row>
    <row r="50" spans="2:26">
      <c r="B50" s="114"/>
      <c r="C50" s="114"/>
      <c r="D50" s="107"/>
      <c r="E50" s="107" t="str">
        <f t="shared" si="0"/>
        <v/>
      </c>
      <c r="G50" s="102" t="s">
        <v>55</v>
      </c>
      <c r="I50" s="102">
        <v>0</v>
      </c>
      <c r="J50" s="102">
        <v>4.7884000000000002</v>
      </c>
      <c r="K50" s="102">
        <v>-0.93410000000000004</v>
      </c>
      <c r="L50" s="102">
        <v>-37.42</v>
      </c>
      <c r="M50" s="102">
        <v>15</v>
      </c>
      <c r="N50" s="102">
        <v>25</v>
      </c>
      <c r="P50" s="102" t="s">
        <v>55</v>
      </c>
      <c r="S50" s="102">
        <f t="shared" si="7"/>
        <v>1</v>
      </c>
      <c r="T50" s="102">
        <f t="shared" si="8"/>
        <v>0</v>
      </c>
      <c r="U50" s="102">
        <f t="shared" si="9"/>
        <v>0</v>
      </c>
      <c r="V50" s="102">
        <f>IF(S50="","",IF(T50=1,VLOOKUP(M50,'elipse #s'!$A$4:$C$38,2,FALSE),VLOOKUP(M50,'elipse #s'!$A$4:$C$38,3,FALSE)))</f>
        <v>0.30185182071533384</v>
      </c>
      <c r="W50" s="155">
        <f>IF(S50="","",IF(S50=0,IF(U50=1,$B$6,$C$6),VLOOKUP(N50,'elipse #s'!$A$4:$C$38,2,FALSE)))</f>
        <v>0.23971840967119393</v>
      </c>
      <c r="X50" s="155">
        <f t="shared" si="10"/>
        <v>6.2133411044139913E-2</v>
      </c>
      <c r="Y50" s="155">
        <f t="shared" si="11"/>
        <v>4.8261555601905268</v>
      </c>
      <c r="Z50" s="155">
        <f t="shared" si="6"/>
        <v>-0.8847534860128945</v>
      </c>
    </row>
    <row r="51" spans="2:26">
      <c r="B51" s="114"/>
      <c r="C51" s="114"/>
      <c r="D51" s="107"/>
      <c r="E51" s="107">
        <f t="shared" si="0"/>
        <v>0</v>
      </c>
      <c r="F51" s="102">
        <v>4.2369999999999992</v>
      </c>
      <c r="G51" s="102" t="s">
        <v>11</v>
      </c>
      <c r="H51" s="102" t="s">
        <v>10</v>
      </c>
      <c r="N51" s="102" t="s">
        <v>55</v>
      </c>
      <c r="O51" s="102">
        <v>-10.625</v>
      </c>
      <c r="P51" s="102">
        <v>-13.869</v>
      </c>
      <c r="Q51" s="102">
        <v>-3.2440000000000002</v>
      </c>
      <c r="R51" s="115">
        <v>0</v>
      </c>
      <c r="S51" s="102" t="str">
        <f t="shared" si="7"/>
        <v/>
      </c>
      <c r="T51" s="102" t="str">
        <f t="shared" si="8"/>
        <v/>
      </c>
      <c r="U51" s="102" t="str">
        <f t="shared" si="9"/>
        <v/>
      </c>
      <c r="V51" s="102" t="str">
        <f>IF(S51="","",IF(T51=1,VLOOKUP(M51,'elipse #s'!$A$4:$C$38,2,FALSE),VLOOKUP(M51,'elipse #s'!$A$4:$C$38,3,FALSE)))</f>
        <v/>
      </c>
      <c r="W51" s="155" t="str">
        <f>IF(S51="","",IF(S51=0,IF(U51=1,$B$6,$C$6),VLOOKUP(N51,'elipse #s'!$A$4:$C$38,2,FALSE)))</f>
        <v/>
      </c>
      <c r="X51" s="155" t="str">
        <f t="shared" si="10"/>
        <v/>
      </c>
      <c r="Y51" s="155">
        <f t="shared" si="11"/>
        <v>0</v>
      </c>
      <c r="Z51" s="155">
        <f t="shared" si="6"/>
        <v>0</v>
      </c>
    </row>
    <row r="52" spans="2:26">
      <c r="B52" s="114"/>
      <c r="C52" s="114"/>
      <c r="D52" s="107"/>
      <c r="E52" s="107" t="str">
        <f t="shared" si="0"/>
        <v/>
      </c>
      <c r="G52" s="102" t="s">
        <v>55</v>
      </c>
      <c r="I52" s="102">
        <v>0</v>
      </c>
      <c r="J52" s="102">
        <v>5.2222999999999997</v>
      </c>
      <c r="K52" s="102">
        <v>-1.5631999999999999</v>
      </c>
      <c r="L52" s="102">
        <v>-43.79</v>
      </c>
      <c r="M52" s="102">
        <v>16</v>
      </c>
      <c r="N52" s="102">
        <v>26</v>
      </c>
      <c r="P52" s="102" t="s">
        <v>55</v>
      </c>
      <c r="S52" s="102">
        <f t="shared" si="7"/>
        <v>1</v>
      </c>
      <c r="T52" s="102">
        <f t="shared" si="8"/>
        <v>0</v>
      </c>
      <c r="U52" s="102">
        <f t="shared" si="9"/>
        <v>0</v>
      </c>
      <c r="V52" s="102">
        <f>IF(S52="","",IF(T52=1,VLOOKUP(M52,'elipse #s'!$A$4:$C$38,2,FALSE),VLOOKUP(M52,'elipse #s'!$A$4:$C$38,3,FALSE)))</f>
        <v>0.30039427998072465</v>
      </c>
      <c r="W52" s="155">
        <f>IF(S52="","",IF(S52=0,IF(U52=1,$B$6,$C$6),VLOOKUP(N52,'elipse #s'!$A$4:$C$38,2,FALSE)))</f>
        <v>0.23773102524612968</v>
      </c>
      <c r="X52" s="155">
        <f t="shared" si="10"/>
        <v>6.266325473459497E-2</v>
      </c>
      <c r="Y52" s="155">
        <f t="shared" si="11"/>
        <v>5.2656640496084064</v>
      </c>
      <c r="Z52" s="155">
        <f t="shared" si="6"/>
        <v>-1.51796458582601</v>
      </c>
    </row>
    <row r="53" spans="2:26">
      <c r="B53" s="114"/>
      <c r="C53" s="114"/>
      <c r="D53" s="107"/>
      <c r="E53" s="107">
        <f t="shared" si="0"/>
        <v>0</v>
      </c>
      <c r="F53" s="102">
        <v>4.2429999999999994</v>
      </c>
      <c r="G53" s="102" t="s">
        <v>11</v>
      </c>
      <c r="H53" s="102" t="s">
        <v>10</v>
      </c>
      <c r="N53" s="102" t="s">
        <v>55</v>
      </c>
      <c r="O53" s="102">
        <v>-10.175000000000001</v>
      </c>
      <c r="P53" s="102">
        <v>-13.944000000000001</v>
      </c>
      <c r="Q53" s="102">
        <v>-3.7690000000000001</v>
      </c>
      <c r="R53" s="115">
        <v>0</v>
      </c>
      <c r="S53" s="102" t="str">
        <f t="shared" si="7"/>
        <v/>
      </c>
      <c r="T53" s="102" t="str">
        <f t="shared" si="8"/>
        <v/>
      </c>
      <c r="U53" s="102" t="str">
        <f t="shared" si="9"/>
        <v/>
      </c>
      <c r="V53" s="102" t="str">
        <f>IF(S53="","",IF(T53=1,VLOOKUP(M53,'elipse #s'!$A$4:$C$38,2,FALSE),VLOOKUP(M53,'elipse #s'!$A$4:$C$38,3,FALSE)))</f>
        <v/>
      </c>
      <c r="W53" s="155" t="str">
        <f>IF(S53="","",IF(S53=0,IF(U53=1,$B$6,$C$6),VLOOKUP(N53,'elipse #s'!$A$4:$C$38,2,FALSE)))</f>
        <v/>
      </c>
      <c r="X53" s="155" t="str">
        <f t="shared" si="10"/>
        <v/>
      </c>
      <c r="Y53" s="155">
        <f t="shared" si="11"/>
        <v>0</v>
      </c>
      <c r="Z53" s="155">
        <f t="shared" si="6"/>
        <v>0</v>
      </c>
    </row>
    <row r="54" spans="2:26">
      <c r="B54" s="114"/>
      <c r="C54" s="114"/>
      <c r="D54" s="107"/>
      <c r="E54" s="107" t="str">
        <f t="shared" si="0"/>
        <v/>
      </c>
      <c r="G54" s="102" t="s">
        <v>55</v>
      </c>
      <c r="I54" s="102">
        <v>0</v>
      </c>
      <c r="J54" s="102">
        <v>5.5347999999999997</v>
      </c>
      <c r="K54" s="102">
        <v>-2.2612999999999999</v>
      </c>
      <c r="L54" s="102">
        <v>-50.15</v>
      </c>
      <c r="M54" s="102">
        <v>17</v>
      </c>
      <c r="N54" s="102">
        <v>27</v>
      </c>
      <c r="P54" s="102" t="s">
        <v>55</v>
      </c>
      <c r="S54" s="102">
        <f t="shared" si="7"/>
        <v>1</v>
      </c>
      <c r="T54" s="102">
        <f t="shared" si="8"/>
        <v>0</v>
      </c>
      <c r="U54" s="102">
        <f t="shared" si="9"/>
        <v>0</v>
      </c>
      <c r="V54" s="102">
        <f>IF(S54="","",IF(T54=1,VLOOKUP(M54,'elipse #s'!$A$4:$C$38,2,FALSE),VLOOKUP(M54,'elipse #s'!$A$4:$C$38,3,FALSE)))</f>
        <v>0.29884523623844855</v>
      </c>
      <c r="W54" s="155">
        <f>IF(S54="","",IF(S54=0,IF(U54=1,$B$6,$C$6),VLOOKUP(N54,'elipse #s'!$A$4:$C$38,2,FALSE)))</f>
        <v>0.23567122564782331</v>
      </c>
      <c r="X54" s="155">
        <f t="shared" si="10"/>
        <v>6.3174010590625246E-2</v>
      </c>
      <c r="Y54" s="155">
        <f t="shared" si="11"/>
        <v>5.5833002439083419</v>
      </c>
      <c r="Z54" s="155">
        <f t="shared" si="6"/>
        <v>-2.2208193632098534</v>
      </c>
    </row>
    <row r="55" spans="2:26">
      <c r="B55" s="114"/>
      <c r="C55" s="114"/>
      <c r="D55" s="107"/>
      <c r="E55" s="107">
        <f t="shared" si="0"/>
        <v>0</v>
      </c>
      <c r="F55" s="102">
        <v>4.2489999999999997</v>
      </c>
      <c r="G55" s="102" t="s">
        <v>11</v>
      </c>
      <c r="H55" s="102" t="s">
        <v>10</v>
      </c>
      <c r="N55" s="102" t="s">
        <v>55</v>
      </c>
      <c r="O55" s="102">
        <v>-9.9029999999999987</v>
      </c>
      <c r="P55" s="102">
        <v>-14.029</v>
      </c>
      <c r="Q55" s="102">
        <v>-4.1260000000000003</v>
      </c>
      <c r="R55" s="115">
        <v>0</v>
      </c>
      <c r="S55" s="102" t="str">
        <f t="shared" si="7"/>
        <v/>
      </c>
      <c r="T55" s="102" t="str">
        <f t="shared" si="8"/>
        <v/>
      </c>
      <c r="U55" s="102" t="str">
        <f t="shared" si="9"/>
        <v/>
      </c>
      <c r="V55" s="102" t="str">
        <f>IF(S55="","",IF(T55=1,VLOOKUP(M55,'elipse #s'!$A$4:$C$38,2,FALSE),VLOOKUP(M55,'elipse #s'!$A$4:$C$38,3,FALSE)))</f>
        <v/>
      </c>
      <c r="W55" s="155" t="str">
        <f>IF(S55="","",IF(S55=0,IF(U55=1,$B$6,$C$6),VLOOKUP(N55,'elipse #s'!$A$4:$C$38,2,FALSE)))</f>
        <v/>
      </c>
      <c r="X55" s="155" t="str">
        <f t="shared" si="10"/>
        <v/>
      </c>
      <c r="Y55" s="155">
        <f t="shared" si="11"/>
        <v>0</v>
      </c>
      <c r="Z55" s="155">
        <f t="shared" si="6"/>
        <v>0</v>
      </c>
    </row>
    <row r="56" spans="2:26">
      <c r="B56" s="114"/>
      <c r="C56" s="114"/>
      <c r="D56" s="107"/>
      <c r="E56" s="107" t="str">
        <f t="shared" si="0"/>
        <v/>
      </c>
      <c r="G56" s="102" t="s">
        <v>55</v>
      </c>
      <c r="I56" s="102">
        <v>0</v>
      </c>
      <c r="J56" s="102">
        <v>5.7416</v>
      </c>
      <c r="K56" s="102">
        <v>-2.9979</v>
      </c>
      <c r="L56" s="102">
        <v>-56.52</v>
      </c>
      <c r="M56" s="102">
        <v>18</v>
      </c>
      <c r="N56" s="102">
        <v>28</v>
      </c>
      <c r="P56" s="102" t="s">
        <v>55</v>
      </c>
      <c r="S56" s="102">
        <f t="shared" si="7"/>
        <v>1</v>
      </c>
      <c r="T56" s="102">
        <f t="shared" si="8"/>
        <v>0</v>
      </c>
      <c r="U56" s="102">
        <f t="shared" si="9"/>
        <v>0</v>
      </c>
      <c r="V56" s="102">
        <f>IF(S56="","",IF(T56=1,VLOOKUP(M56,'elipse #s'!$A$4:$C$38,2,FALSE),VLOOKUP(M56,'elipse #s'!$A$4:$C$38,3,FALSE)))</f>
        <v>0.29720516134223546</v>
      </c>
      <c r="W56" s="155">
        <f>IF(S56="","",IF(S56=0,IF(U56=1,$B$6,$C$6),VLOOKUP(N56,'elipse #s'!$A$4:$C$38,2,FALSE)))</f>
        <v>0.23353963831118621</v>
      </c>
      <c r="X56" s="155">
        <f t="shared" si="10"/>
        <v>6.3665523031049248E-2</v>
      </c>
      <c r="Y56" s="155">
        <f t="shared" si="11"/>
        <v>5.7947020397249007</v>
      </c>
      <c r="Z56" s="155">
        <f t="shared" si="6"/>
        <v>-2.9627791771185223</v>
      </c>
    </row>
    <row r="57" spans="2:26">
      <c r="B57" s="114"/>
      <c r="C57" s="114"/>
      <c r="D57" s="107"/>
      <c r="E57" s="107">
        <f t="shared" si="0"/>
        <v>0</v>
      </c>
      <c r="F57" s="102">
        <v>5.2079999999999993</v>
      </c>
      <c r="G57" s="102" t="s">
        <v>11</v>
      </c>
      <c r="H57" s="102" t="s">
        <v>20</v>
      </c>
      <c r="N57" s="102" t="s">
        <v>55</v>
      </c>
      <c r="O57" s="102">
        <v>-28.643000000000001</v>
      </c>
      <c r="P57" s="102">
        <v>-28.643000000000001</v>
      </c>
      <c r="Q57" s="102">
        <v>0</v>
      </c>
      <c r="R57" s="115">
        <v>0</v>
      </c>
      <c r="S57" s="102" t="str">
        <f t="shared" si="7"/>
        <v/>
      </c>
      <c r="T57" s="102" t="str">
        <f t="shared" si="8"/>
        <v/>
      </c>
      <c r="U57" s="102" t="str">
        <f t="shared" si="9"/>
        <v/>
      </c>
      <c r="V57" s="102" t="str">
        <f>IF(S57="","",IF(T57=1,VLOOKUP(M57,'elipse #s'!$A$4:$C$38,2,FALSE),VLOOKUP(M57,'elipse #s'!$A$4:$C$38,3,FALSE)))</f>
        <v/>
      </c>
      <c r="W57" s="155" t="str">
        <f>IF(S57="","",IF(S57=0,IF(U57=1,$B$6,$C$6),VLOOKUP(N57,'elipse #s'!$A$4:$C$38,2,FALSE)))</f>
        <v/>
      </c>
      <c r="X57" s="155" t="str">
        <f t="shared" si="10"/>
        <v/>
      </c>
      <c r="Y57" s="155">
        <f t="shared" si="11"/>
        <v>0</v>
      </c>
      <c r="Z57" s="155">
        <f t="shared" si="6"/>
        <v>0</v>
      </c>
    </row>
    <row r="58" spans="2:26">
      <c r="B58" s="114"/>
      <c r="C58" s="114"/>
      <c r="D58" s="107"/>
      <c r="E58" s="107" t="str">
        <f t="shared" si="0"/>
        <v/>
      </c>
      <c r="G58" s="102" t="s">
        <v>55</v>
      </c>
      <c r="I58" s="102">
        <v>0</v>
      </c>
      <c r="J58" s="102">
        <v>1.881</v>
      </c>
      <c r="K58" s="102">
        <v>-0.3221</v>
      </c>
      <c r="L58" s="102">
        <v>15</v>
      </c>
      <c r="M58" s="102">
        <v>15</v>
      </c>
      <c r="N58" s="102" t="s">
        <v>55</v>
      </c>
      <c r="P58" s="102" t="s">
        <v>55</v>
      </c>
      <c r="S58" s="102">
        <f t="shared" si="7"/>
        <v>0</v>
      </c>
      <c r="T58" s="102">
        <f t="shared" si="8"/>
        <v>0</v>
      </c>
      <c r="U58" s="102">
        <f t="shared" si="9"/>
        <v>1</v>
      </c>
      <c r="V58" s="102">
        <f>IF(S58="","",IF(T58=1,VLOOKUP(M58,'elipse #s'!$A$4:$C$38,2,FALSE),VLOOKUP(M58,'elipse #s'!$A$4:$C$38,3,FALSE)))</f>
        <v>0.30185182071533384</v>
      </c>
      <c r="W58" s="155">
        <f>IF(S58="","",IF(S58=0,IF(U58=1,$B$6,$C$6),VLOOKUP(N58,'elipse #s'!$A$4:$C$38,2,FALSE)))</f>
        <v>0.26300000000000001</v>
      </c>
      <c r="X58" s="155">
        <f t="shared" si="10"/>
        <v>3.8851820715333829E-2</v>
      </c>
      <c r="Y58" s="155">
        <f t="shared" si="11"/>
        <v>1.8709444088619629</v>
      </c>
      <c r="Z58" s="155">
        <f t="shared" si="6"/>
        <v>-0.30957202297270647</v>
      </c>
    </row>
    <row r="59" spans="2:26">
      <c r="B59" s="114"/>
      <c r="C59" s="114"/>
      <c r="D59" s="107"/>
      <c r="E59" s="107">
        <f t="shared" si="0"/>
        <v>0</v>
      </c>
      <c r="F59" s="102">
        <v>5.2119999999999997</v>
      </c>
      <c r="G59" s="102" t="s">
        <v>11</v>
      </c>
      <c r="H59" s="102" t="s">
        <v>20</v>
      </c>
      <c r="N59" s="102" t="s">
        <v>55</v>
      </c>
      <c r="O59" s="102">
        <v>-22.968</v>
      </c>
      <c r="P59" s="102">
        <v>-23.007999999999999</v>
      </c>
      <c r="Q59" s="102">
        <v>-0.04</v>
      </c>
      <c r="R59" s="115">
        <v>0</v>
      </c>
      <c r="S59" s="102" t="str">
        <f t="shared" si="7"/>
        <v/>
      </c>
      <c r="T59" s="102" t="str">
        <f t="shared" si="8"/>
        <v/>
      </c>
      <c r="U59" s="102" t="str">
        <f t="shared" si="9"/>
        <v/>
      </c>
      <c r="V59" s="102" t="str">
        <f>IF(S59="","",IF(T59=1,VLOOKUP(M59,'elipse #s'!$A$4:$C$38,2,FALSE),VLOOKUP(M59,'elipse #s'!$A$4:$C$38,3,FALSE)))</f>
        <v/>
      </c>
      <c r="W59" s="155" t="str">
        <f>IF(S59="","",IF(S59=0,IF(U59=1,$B$6,$C$6),VLOOKUP(N59,'elipse #s'!$A$4:$C$38,2,FALSE)))</f>
        <v/>
      </c>
      <c r="X59" s="155" t="str">
        <f t="shared" si="10"/>
        <v/>
      </c>
      <c r="Y59" s="155">
        <f t="shared" si="11"/>
        <v>0</v>
      </c>
      <c r="Z59" s="155">
        <f t="shared" si="6"/>
        <v>0</v>
      </c>
    </row>
    <row r="60" spans="2:26">
      <c r="B60" s="114"/>
      <c r="C60" s="114"/>
      <c r="D60" s="107"/>
      <c r="E60" s="107" t="str">
        <f t="shared" si="0"/>
        <v/>
      </c>
      <c r="G60" s="102" t="s">
        <v>55</v>
      </c>
      <c r="I60" s="102">
        <v>0</v>
      </c>
      <c r="J60" s="102">
        <v>2.5865999999999998</v>
      </c>
      <c r="K60" s="102">
        <v>-0.13550000000000001</v>
      </c>
      <c r="L60" s="102">
        <v>7.5</v>
      </c>
      <c r="M60" s="102">
        <v>15</v>
      </c>
      <c r="N60" s="102" t="s">
        <v>55</v>
      </c>
      <c r="P60" s="102" t="s">
        <v>55</v>
      </c>
      <c r="S60" s="102">
        <f t="shared" si="7"/>
        <v>0</v>
      </c>
      <c r="T60" s="102">
        <f t="shared" si="8"/>
        <v>0</v>
      </c>
      <c r="U60" s="102">
        <f t="shared" si="9"/>
        <v>1</v>
      </c>
      <c r="V60" s="102">
        <f>IF(S60="","",IF(T60=1,VLOOKUP(M60,'elipse #s'!$A$4:$C$38,2,FALSE),VLOOKUP(M60,'elipse #s'!$A$4:$C$38,3,FALSE)))</f>
        <v>0.30185182071533384</v>
      </c>
      <c r="W60" s="155">
        <f>IF(S60="","",IF(S60=0,IF(U60=1,$B$6,$C$6),VLOOKUP(N60,'elipse #s'!$A$4:$C$38,2,FALSE)))</f>
        <v>0.26300000000000001</v>
      </c>
      <c r="X60" s="155">
        <f t="shared" si="10"/>
        <v>3.8851820715333829E-2</v>
      </c>
      <c r="Y60" s="155">
        <f t="shared" si="11"/>
        <v>2.581528819781211</v>
      </c>
      <c r="Z60" s="155">
        <f t="shared" si="6"/>
        <v>-0.12198056199676571</v>
      </c>
    </row>
    <row r="61" spans="2:26">
      <c r="B61" s="114"/>
      <c r="C61" s="114"/>
      <c r="D61" s="107"/>
      <c r="E61" s="107">
        <f t="shared" si="0"/>
        <v>0</v>
      </c>
      <c r="F61" s="102">
        <v>5.218</v>
      </c>
      <c r="G61" s="102" t="s">
        <v>11</v>
      </c>
      <c r="H61" s="102" t="s">
        <v>20</v>
      </c>
      <c r="N61" s="102" t="s">
        <v>55</v>
      </c>
      <c r="O61" s="102">
        <v>-19.282</v>
      </c>
      <c r="P61" s="102">
        <v>-19.899999999999999</v>
      </c>
      <c r="Q61" s="102">
        <v>-0.61799999999999999</v>
      </c>
      <c r="R61" s="115">
        <v>0</v>
      </c>
      <c r="S61" s="102" t="str">
        <f t="shared" si="7"/>
        <v/>
      </c>
      <c r="T61" s="102" t="str">
        <f t="shared" si="8"/>
        <v/>
      </c>
      <c r="U61" s="102" t="str">
        <f t="shared" si="9"/>
        <v/>
      </c>
      <c r="V61" s="102" t="str">
        <f>IF(S61="","",IF(T61=1,VLOOKUP(M61,'elipse #s'!$A$4:$C$38,2,FALSE),VLOOKUP(M61,'elipse #s'!$A$4:$C$38,3,FALSE)))</f>
        <v/>
      </c>
      <c r="W61" s="155" t="str">
        <f>IF(S61="","",IF(S61=0,IF(U61=1,$B$6,$C$6),VLOOKUP(N61,'elipse #s'!$A$4:$C$38,2,FALSE)))</f>
        <v/>
      </c>
      <c r="X61" s="155" t="str">
        <f t="shared" si="10"/>
        <v/>
      </c>
      <c r="Y61" s="155">
        <f t="shared" si="11"/>
        <v>0</v>
      </c>
      <c r="Z61" s="155">
        <f t="shared" si="6"/>
        <v>0</v>
      </c>
    </row>
    <row r="62" spans="2:26">
      <c r="B62" s="114"/>
      <c r="C62" s="114"/>
      <c r="D62" s="107"/>
      <c r="E62" s="107" t="str">
        <f t="shared" si="0"/>
        <v/>
      </c>
      <c r="G62" s="102" t="s">
        <v>55</v>
      </c>
      <c r="I62" s="102">
        <v>0</v>
      </c>
      <c r="J62" s="102">
        <v>3.3673999999999999</v>
      </c>
      <c r="K62" s="102">
        <v>-0.1104</v>
      </c>
      <c r="L62" s="102">
        <v>-10</v>
      </c>
      <c r="M62" s="102">
        <v>15</v>
      </c>
      <c r="N62" s="102" t="s">
        <v>55</v>
      </c>
      <c r="P62" s="102" t="s">
        <v>55</v>
      </c>
      <c r="S62" s="102">
        <f t="shared" si="7"/>
        <v>0</v>
      </c>
      <c r="T62" s="102">
        <f t="shared" si="8"/>
        <v>0</v>
      </c>
      <c r="U62" s="102">
        <f t="shared" si="9"/>
        <v>1</v>
      </c>
      <c r="V62" s="102">
        <f>IF(S62="","",IF(T62=1,VLOOKUP(M62,'elipse #s'!$A$4:$C$38,2,FALSE),VLOOKUP(M62,'elipse #s'!$A$4:$C$38,3,FALSE)))</f>
        <v>0.30185182071533384</v>
      </c>
      <c r="W62" s="155">
        <f>IF(S62="","",IF(S62=0,IF(U62=1,$B$6,$C$6),VLOOKUP(N62,'elipse #s'!$A$4:$C$38,2,FALSE)))</f>
        <v>0.26300000000000001</v>
      </c>
      <c r="X62" s="155">
        <f t="shared" si="10"/>
        <v>3.8851820715333829E-2</v>
      </c>
      <c r="Y62" s="155">
        <f t="shared" si="11"/>
        <v>3.37414654786626</v>
      </c>
      <c r="Z62" s="155">
        <f t="shared" si="6"/>
        <v>-9.7138425740898926E-2</v>
      </c>
    </row>
    <row r="63" spans="2:26">
      <c r="B63" s="114"/>
      <c r="C63" s="114"/>
      <c r="D63" s="107"/>
      <c r="E63" s="107">
        <f t="shared" si="0"/>
        <v>0</v>
      </c>
      <c r="F63" s="102">
        <v>5.2239999999999993</v>
      </c>
      <c r="G63" s="102" t="s">
        <v>11</v>
      </c>
      <c r="H63" s="102" t="s">
        <v>10</v>
      </c>
      <c r="N63" s="102" t="s">
        <v>55</v>
      </c>
      <c r="O63" s="102">
        <v>-12.832000000000001</v>
      </c>
      <c r="P63" s="102">
        <v>-14.361000000000001</v>
      </c>
      <c r="Q63" s="102">
        <v>-1.5289999999999999</v>
      </c>
      <c r="R63" s="115">
        <v>0</v>
      </c>
      <c r="S63" s="102" t="str">
        <f t="shared" si="7"/>
        <v/>
      </c>
      <c r="T63" s="102" t="str">
        <f t="shared" si="8"/>
        <v/>
      </c>
      <c r="U63" s="102" t="str">
        <f t="shared" si="9"/>
        <v/>
      </c>
      <c r="V63" s="102" t="str">
        <f>IF(S63="","",IF(T63=1,VLOOKUP(M63,'elipse #s'!$A$4:$C$38,2,FALSE),VLOOKUP(M63,'elipse #s'!$A$4:$C$38,3,FALSE)))</f>
        <v/>
      </c>
      <c r="W63" s="155" t="str">
        <f>IF(S63="","",IF(S63=0,IF(U63=1,$B$6,$C$6),VLOOKUP(N63,'elipse #s'!$A$4:$C$38,2,FALSE)))</f>
        <v/>
      </c>
      <c r="X63" s="155" t="str">
        <f t="shared" si="10"/>
        <v/>
      </c>
      <c r="Y63" s="155">
        <f t="shared" si="11"/>
        <v>0</v>
      </c>
      <c r="Z63" s="155">
        <f t="shared" si="6"/>
        <v>0</v>
      </c>
    </row>
    <row r="64" spans="2:26">
      <c r="B64" s="114"/>
      <c r="C64" s="114"/>
      <c r="D64" s="107"/>
      <c r="E64" s="107" t="str">
        <f t="shared" si="0"/>
        <v/>
      </c>
      <c r="G64" s="102" t="s">
        <v>55</v>
      </c>
      <c r="I64" s="102">
        <v>0</v>
      </c>
      <c r="J64" s="102">
        <v>4.1063000000000001</v>
      </c>
      <c r="K64" s="102">
        <v>-0.36430000000000001</v>
      </c>
      <c r="L64" s="102">
        <v>-30</v>
      </c>
      <c r="M64" s="102">
        <v>15</v>
      </c>
      <c r="N64" s="102">
        <v>25</v>
      </c>
      <c r="P64" s="102" t="s">
        <v>55</v>
      </c>
      <c r="S64" s="102">
        <f t="shared" si="7"/>
        <v>1</v>
      </c>
      <c r="T64" s="102">
        <f t="shared" si="8"/>
        <v>0</v>
      </c>
      <c r="U64" s="102">
        <f t="shared" si="9"/>
        <v>0</v>
      </c>
      <c r="V64" s="102">
        <f>IF(S64="","",IF(T64=1,VLOOKUP(M64,'elipse #s'!$A$4:$C$38,2,FALSE),VLOOKUP(M64,'elipse #s'!$A$4:$C$38,3,FALSE)))</f>
        <v>0.30185182071533384</v>
      </c>
      <c r="W64" s="155">
        <f>IF(S64="","",IF(S64=0,IF(U64=1,$B$6,$C$6),VLOOKUP(N64,'elipse #s'!$A$4:$C$38,2,FALSE)))</f>
        <v>0.23971840967119393</v>
      </c>
      <c r="X64" s="155">
        <f t="shared" si="10"/>
        <v>6.2133411044139913E-2</v>
      </c>
      <c r="Y64" s="155">
        <f t="shared" si="11"/>
        <v>4.1373667055220702</v>
      </c>
      <c r="Z64" s="155">
        <f t="shared" si="6"/>
        <v>-0.31049088761199423</v>
      </c>
    </row>
    <row r="65" spans="1:26">
      <c r="B65" s="114"/>
      <c r="C65" s="114"/>
      <c r="D65" s="107"/>
      <c r="E65" s="107">
        <f t="shared" si="0"/>
        <v>0</v>
      </c>
      <c r="F65" s="102">
        <v>5.2299999999999995</v>
      </c>
      <c r="G65" s="102" t="s">
        <v>11</v>
      </c>
      <c r="H65" s="102" t="s">
        <v>10</v>
      </c>
      <c r="N65" s="102" t="s">
        <v>55</v>
      </c>
      <c r="O65" s="102">
        <v>-11.515000000000001</v>
      </c>
      <c r="P65" s="102">
        <v>-13.923999999999999</v>
      </c>
      <c r="Q65" s="102">
        <v>-2.4089999999999998</v>
      </c>
      <c r="R65" s="115">
        <v>0</v>
      </c>
      <c r="S65" s="102" t="str">
        <f t="shared" si="7"/>
        <v/>
      </c>
      <c r="T65" s="102" t="str">
        <f t="shared" si="8"/>
        <v/>
      </c>
      <c r="U65" s="102" t="str">
        <f t="shared" si="9"/>
        <v/>
      </c>
      <c r="V65" s="102" t="str">
        <f>IF(S65="","",IF(T65=1,VLOOKUP(M65,'elipse #s'!$A$4:$C$38,2,FALSE),VLOOKUP(M65,'elipse #s'!$A$4:$C$38,3,FALSE)))</f>
        <v/>
      </c>
      <c r="W65" s="155" t="str">
        <f>IF(S65="","",IF(S65=0,IF(U65=1,$B$6,$C$6),VLOOKUP(N65,'elipse #s'!$A$4:$C$38,2,FALSE)))</f>
        <v/>
      </c>
      <c r="X65" s="155" t="str">
        <f t="shared" si="10"/>
        <v/>
      </c>
      <c r="Y65" s="155">
        <f t="shared" si="11"/>
        <v>0</v>
      </c>
      <c r="Z65" s="155">
        <f t="shared" si="6"/>
        <v>0</v>
      </c>
    </row>
    <row r="66" spans="1:26">
      <c r="B66" s="114"/>
      <c r="C66" s="114"/>
      <c r="D66" s="107"/>
      <c r="E66" s="107" t="str">
        <f t="shared" si="0"/>
        <v/>
      </c>
      <c r="G66" s="102" t="s">
        <v>55</v>
      </c>
      <c r="I66" s="102">
        <v>0</v>
      </c>
      <c r="J66" s="102">
        <v>4.7030000000000003</v>
      </c>
      <c r="K66" s="102">
        <v>-0.83930000000000005</v>
      </c>
      <c r="L66" s="102">
        <v>-36.36</v>
      </c>
      <c r="M66" s="102">
        <v>15</v>
      </c>
      <c r="N66" s="102">
        <v>25</v>
      </c>
      <c r="P66" s="102" t="s">
        <v>55</v>
      </c>
      <c r="S66" s="102">
        <f t="shared" si="7"/>
        <v>1</v>
      </c>
      <c r="T66" s="102">
        <f t="shared" si="8"/>
        <v>0</v>
      </c>
      <c r="U66" s="102">
        <f t="shared" si="9"/>
        <v>0</v>
      </c>
      <c r="V66" s="102">
        <f>IF(S66="","",IF(T66=1,VLOOKUP(M66,'elipse #s'!$A$4:$C$38,2,FALSE),VLOOKUP(M66,'elipse #s'!$A$4:$C$38,3,FALSE)))</f>
        <v>0.30185182071533384</v>
      </c>
      <c r="W66" s="155">
        <f>IF(S66="","",IF(S66=0,IF(U66=1,$B$6,$C$6),VLOOKUP(N66,'elipse #s'!$A$4:$C$38,2,FALSE)))</f>
        <v>0.23971840967119393</v>
      </c>
      <c r="X66" s="155">
        <f t="shared" si="10"/>
        <v>6.2133411044139913E-2</v>
      </c>
      <c r="Y66" s="155">
        <f t="shared" si="11"/>
        <v>4.7398362164973893</v>
      </c>
      <c r="Z66" s="155">
        <f t="shared" si="6"/>
        <v>-0.78926347412002362</v>
      </c>
    </row>
    <row r="67" spans="1:26">
      <c r="B67" s="114"/>
      <c r="C67" s="114"/>
      <c r="D67" s="107"/>
      <c r="E67" s="107">
        <f t="shared" si="0"/>
        <v>0</v>
      </c>
      <c r="F67" s="102">
        <v>5.2359999999999998</v>
      </c>
      <c r="G67" s="102" t="s">
        <v>11</v>
      </c>
      <c r="H67" s="102" t="s">
        <v>10</v>
      </c>
      <c r="N67" s="102" t="s">
        <v>55</v>
      </c>
      <c r="O67" s="102">
        <v>-10.724</v>
      </c>
      <c r="P67" s="102">
        <v>-13.863</v>
      </c>
      <c r="Q67" s="102">
        <v>-3.1389999999999998</v>
      </c>
      <c r="R67" s="115">
        <v>0</v>
      </c>
      <c r="S67" s="102" t="str">
        <f t="shared" si="7"/>
        <v/>
      </c>
      <c r="T67" s="102" t="str">
        <f t="shared" si="8"/>
        <v/>
      </c>
      <c r="U67" s="102" t="str">
        <f t="shared" si="9"/>
        <v/>
      </c>
      <c r="V67" s="102" t="str">
        <f>IF(S67="","",IF(T67=1,VLOOKUP(M67,'elipse #s'!$A$4:$C$38,2,FALSE),VLOOKUP(M67,'elipse #s'!$A$4:$C$38,3,FALSE)))</f>
        <v/>
      </c>
      <c r="W67" s="155" t="str">
        <f>IF(S67="","",IF(S67=0,IF(U67=1,$B$6,$C$6),VLOOKUP(N67,'elipse #s'!$A$4:$C$38,2,FALSE)))</f>
        <v/>
      </c>
      <c r="X67" s="155" t="str">
        <f t="shared" si="10"/>
        <v/>
      </c>
      <c r="Y67" s="155">
        <f t="shared" si="11"/>
        <v>0</v>
      </c>
      <c r="Z67" s="155">
        <f t="shared" si="6"/>
        <v>0</v>
      </c>
    </row>
    <row r="68" spans="1:26">
      <c r="B68" s="114"/>
      <c r="C68" s="114"/>
      <c r="D68" s="107"/>
      <c r="E68" s="107" t="str">
        <f t="shared" ref="E68:E84" si="12">IF(F68="","",(O68/360)*$D$3)</f>
        <v/>
      </c>
      <c r="G68" s="102" t="s">
        <v>55</v>
      </c>
      <c r="I68" s="102">
        <v>0</v>
      </c>
      <c r="J68" s="102">
        <v>5.1589999999999998</v>
      </c>
      <c r="K68" s="102">
        <v>-1.4524999999999999</v>
      </c>
      <c r="L68" s="102">
        <v>-42.73</v>
      </c>
      <c r="M68" s="102">
        <v>16</v>
      </c>
      <c r="N68" s="102">
        <v>26</v>
      </c>
      <c r="P68" s="102" t="s">
        <v>55</v>
      </c>
      <c r="S68" s="102">
        <f t="shared" si="7"/>
        <v>1</v>
      </c>
      <c r="T68" s="102">
        <f t="shared" si="8"/>
        <v>0</v>
      </c>
      <c r="U68" s="102">
        <f t="shared" si="9"/>
        <v>0</v>
      </c>
      <c r="V68" s="102">
        <f>IF(S68="","",IF(T68=1,VLOOKUP(M68,'elipse #s'!$A$4:$C$38,2,FALSE),VLOOKUP(M68,'elipse #s'!$A$4:$C$38,3,FALSE)))</f>
        <v>0.30039427998072465</v>
      </c>
      <c r="W68" s="155">
        <f>IF(S68="","",IF(S68=0,IF(U68=1,$B$6,$C$6),VLOOKUP(N68,'elipse #s'!$A$4:$C$38,2,FALSE)))</f>
        <v>0.23773102524612968</v>
      </c>
      <c r="X68" s="155">
        <f t="shared" si="10"/>
        <v>6.266325473459497E-2</v>
      </c>
      <c r="Y68" s="155">
        <f t="shared" si="11"/>
        <v>5.2015197991617237</v>
      </c>
      <c r="Z68" s="155">
        <f t="shared" si="6"/>
        <v>-1.406470116520032</v>
      </c>
    </row>
    <row r="69" spans="1:26">
      <c r="B69" s="114"/>
      <c r="C69" s="114"/>
      <c r="D69" s="107"/>
      <c r="E69" s="107">
        <f t="shared" si="12"/>
        <v>0</v>
      </c>
      <c r="F69" s="102">
        <v>5.242</v>
      </c>
      <c r="G69" s="102" t="s">
        <v>11</v>
      </c>
      <c r="H69" s="102" t="s">
        <v>10</v>
      </c>
      <c r="N69" s="102" t="s">
        <v>55</v>
      </c>
      <c r="O69" s="102">
        <v>-10.234999999999999</v>
      </c>
      <c r="P69" s="102">
        <v>-13.929</v>
      </c>
      <c r="Q69" s="102">
        <v>-3.694</v>
      </c>
      <c r="R69" s="115">
        <v>0</v>
      </c>
      <c r="S69" s="102" t="str">
        <f t="shared" si="7"/>
        <v/>
      </c>
      <c r="T69" s="102" t="str">
        <f t="shared" si="8"/>
        <v/>
      </c>
      <c r="U69" s="102" t="str">
        <f t="shared" si="9"/>
        <v/>
      </c>
      <c r="V69" s="102" t="str">
        <f>IF(S69="","",IF(T69=1,VLOOKUP(M69,'elipse #s'!$A$4:$C$38,2,FALSE),VLOOKUP(M69,'elipse #s'!$A$4:$C$38,3,FALSE)))</f>
        <v/>
      </c>
      <c r="W69" s="155" t="str">
        <f>IF(S69="","",IF(S69=0,IF(U69=1,$B$6,$C$6),VLOOKUP(N69,'elipse #s'!$A$4:$C$38,2,FALSE)))</f>
        <v/>
      </c>
      <c r="X69" s="155" t="str">
        <f t="shared" si="10"/>
        <v/>
      </c>
      <c r="Y69" s="155">
        <f t="shared" si="11"/>
        <v>0</v>
      </c>
      <c r="Z69" s="155">
        <f t="shared" ref="Z69:Z84" si="13">IF(S69="",0,IF(S69=0,X69*COS(RADIANS(-L69))+K69-$AB$1+E68-$AC$1,X69*COS(RADIANS(-L69))+K69-$AB$1+E68))</f>
        <v>0</v>
      </c>
    </row>
    <row r="70" spans="1:26">
      <c r="B70" s="114"/>
      <c r="C70" s="114"/>
      <c r="D70" s="107"/>
      <c r="E70" s="107" t="str">
        <f t="shared" si="12"/>
        <v/>
      </c>
      <c r="G70" s="102" t="s">
        <v>55</v>
      </c>
      <c r="I70" s="102">
        <v>0</v>
      </c>
      <c r="J70" s="102">
        <v>5.4904000000000002</v>
      </c>
      <c r="K70" s="102">
        <v>-2.1417000000000002</v>
      </c>
      <c r="L70" s="102">
        <v>-49.09</v>
      </c>
      <c r="M70" s="102">
        <v>17</v>
      </c>
      <c r="N70" s="102">
        <v>27</v>
      </c>
      <c r="P70" s="102" t="s">
        <v>55</v>
      </c>
      <c r="S70" s="102">
        <f t="shared" si="7"/>
        <v>1</v>
      </c>
      <c r="T70" s="102">
        <f t="shared" si="8"/>
        <v>0</v>
      </c>
      <c r="U70" s="102">
        <f t="shared" si="9"/>
        <v>0</v>
      </c>
      <c r="V70" s="102">
        <f>IF(S70="","",IF(T70=1,VLOOKUP(M70,'elipse #s'!$A$4:$C$38,2,FALSE),VLOOKUP(M70,'elipse #s'!$A$4:$C$38,3,FALSE)))</f>
        <v>0.29884523623844855</v>
      </c>
      <c r="W70" s="155">
        <f>IF(S70="","",IF(S70=0,IF(U70=1,$B$6,$C$6),VLOOKUP(N70,'elipse #s'!$A$4:$C$38,2,FALSE)))</f>
        <v>0.23567122564782331</v>
      </c>
      <c r="X70" s="155">
        <f t="shared" si="10"/>
        <v>6.3174010590625246E-2</v>
      </c>
      <c r="Y70" s="155">
        <f t="shared" si="11"/>
        <v>5.5381430752028029</v>
      </c>
      <c r="Z70" s="155">
        <f t="shared" si="13"/>
        <v>-2.10032906353146</v>
      </c>
    </row>
    <row r="71" spans="1:26">
      <c r="B71" s="114"/>
      <c r="C71" s="114"/>
      <c r="D71" s="107"/>
      <c r="E71" s="107">
        <f t="shared" si="12"/>
        <v>0</v>
      </c>
      <c r="F71" s="102">
        <v>5.2479999999999993</v>
      </c>
      <c r="G71" s="102" t="s">
        <v>11</v>
      </c>
      <c r="H71" s="102" t="s">
        <v>10</v>
      </c>
      <c r="N71" s="102" t="s">
        <v>55</v>
      </c>
      <c r="O71" s="102">
        <v>-9.9379999999999988</v>
      </c>
      <c r="P71" s="102">
        <v>-14.016</v>
      </c>
      <c r="Q71" s="102">
        <v>-4.0780000000000003</v>
      </c>
      <c r="R71" s="115">
        <v>0</v>
      </c>
      <c r="S71" s="102" t="str">
        <f t="shared" ref="S71:S84" si="14">IF(G70="","",IF(OR(LEFT(TRIM(H70),2)="16",LEFT(TRIM(H70),2)="13"),1,0))</f>
        <v/>
      </c>
      <c r="T71" s="102" t="str">
        <f t="shared" ref="T71:T84" si="15">IF(S71="","",IF(LEFT(TRIM(G70),2)="13",1,0))</f>
        <v/>
      </c>
      <c r="U71" s="102" t="str">
        <f t="shared" ref="U71:U84" si="16">IF(S71="","",IF(LEFT(TRIM(H70),3)="1/2",1,0))</f>
        <v/>
      </c>
      <c r="V71" s="102" t="str">
        <f>IF(S71="","",IF(T71=1,VLOOKUP(M71,'elipse #s'!$A$4:$C$38,2,FALSE),VLOOKUP(M71,'elipse #s'!$A$4:$C$38,3,FALSE)))</f>
        <v/>
      </c>
      <c r="W71" s="155" t="str">
        <f>IF(S71="","",IF(S71=0,IF(U71=1,$B$6,$C$6),VLOOKUP(N71,'elipse #s'!$A$4:$C$38,2,FALSE)))</f>
        <v/>
      </c>
      <c r="X71" s="155" t="str">
        <f t="shared" ref="X71:X84" si="17">IF(S71="","",V71-W71)</f>
        <v/>
      </c>
      <c r="Y71" s="155">
        <f t="shared" ref="Y71:Y84" si="18">IF(S71="",0,IF(S71=0,IF(U71=1,MIN(X71*SIN(RADIANS(-L71))+J71,$Y$1),MIN(X71*SIN(RADIANS(-L71))+J71,$Z$1)),X71*SIN(RADIANS(-L71))+J71))</f>
        <v>0</v>
      </c>
      <c r="Z71" s="155">
        <f t="shared" si="13"/>
        <v>0</v>
      </c>
    </row>
    <row r="72" spans="1:26">
      <c r="B72" s="114"/>
      <c r="C72" s="114"/>
      <c r="D72" s="107"/>
      <c r="E72" s="107" t="str">
        <f t="shared" si="12"/>
        <v/>
      </c>
      <c r="G72" s="102" t="s">
        <v>55</v>
      </c>
      <c r="I72" s="102">
        <v>0</v>
      </c>
      <c r="J72" s="102">
        <v>5.7140000000000004</v>
      </c>
      <c r="K72" s="102">
        <v>-2.8733</v>
      </c>
      <c r="L72" s="102">
        <v>-55.45</v>
      </c>
      <c r="M72" s="102">
        <v>18</v>
      </c>
      <c r="N72" s="102">
        <v>28</v>
      </c>
      <c r="P72" s="102" t="s">
        <v>55</v>
      </c>
      <c r="S72" s="102">
        <f t="shared" si="14"/>
        <v>1</v>
      </c>
      <c r="T72" s="102">
        <f t="shared" si="15"/>
        <v>0</v>
      </c>
      <c r="U72" s="102">
        <f t="shared" si="16"/>
        <v>0</v>
      </c>
      <c r="V72" s="102">
        <f>IF(S72="","",IF(T72=1,VLOOKUP(M72,'elipse #s'!$A$4:$C$38,2,FALSE),VLOOKUP(M72,'elipse #s'!$A$4:$C$38,3,FALSE)))</f>
        <v>0.29720516134223546</v>
      </c>
      <c r="W72" s="155">
        <f>IF(S72="","",IF(S72=0,IF(U72=1,$B$6,$C$6),VLOOKUP(N72,'elipse #s'!$A$4:$C$38,2,FALSE)))</f>
        <v>0.23353963831118621</v>
      </c>
      <c r="X72" s="155">
        <f t="shared" si="17"/>
        <v>6.3665523031049248E-2</v>
      </c>
      <c r="Y72" s="155">
        <f t="shared" si="18"/>
        <v>5.7664369361019192</v>
      </c>
      <c r="Z72" s="155">
        <f t="shared" si="13"/>
        <v>-2.8371936770764403</v>
      </c>
    </row>
    <row r="73" spans="1:26">
      <c r="B73" s="114"/>
      <c r="C73" s="114"/>
      <c r="D73" s="107"/>
      <c r="E73" s="107">
        <f t="shared" si="12"/>
        <v>0</v>
      </c>
      <c r="F73" s="102">
        <v>6.2169999999999996</v>
      </c>
      <c r="G73" s="102" t="s">
        <v>11</v>
      </c>
      <c r="H73" s="102" t="s">
        <v>20</v>
      </c>
      <c r="N73" s="102" t="s">
        <v>55</v>
      </c>
      <c r="O73" s="102">
        <v>-19.760000000000002</v>
      </c>
      <c r="P73" s="102">
        <v>-20.248000000000001</v>
      </c>
      <c r="Q73" s="102">
        <v>-0.48799999999999999</v>
      </c>
      <c r="R73" s="115">
        <v>0</v>
      </c>
      <c r="S73" s="102" t="str">
        <f t="shared" si="14"/>
        <v/>
      </c>
      <c r="T73" s="102" t="str">
        <f t="shared" si="15"/>
        <v/>
      </c>
      <c r="U73" s="102" t="str">
        <f t="shared" si="16"/>
        <v/>
      </c>
      <c r="V73" s="102" t="str">
        <f>IF(S73="","",IF(T73=1,VLOOKUP(M73,'elipse #s'!$A$4:$C$38,2,FALSE),VLOOKUP(M73,'elipse #s'!$A$4:$C$38,3,FALSE)))</f>
        <v/>
      </c>
      <c r="W73" s="155" t="str">
        <f>IF(S73="","",IF(S73=0,IF(U73=1,$B$6,$C$6),VLOOKUP(N73,'elipse #s'!$A$4:$C$38,2,FALSE)))</f>
        <v/>
      </c>
      <c r="X73" s="155" t="str">
        <f t="shared" si="17"/>
        <v/>
      </c>
      <c r="Y73" s="155">
        <f t="shared" si="18"/>
        <v>0</v>
      </c>
      <c r="Z73" s="155">
        <f t="shared" si="13"/>
        <v>0</v>
      </c>
    </row>
    <row r="74" spans="1:26">
      <c r="A74" s="116"/>
      <c r="B74" s="116"/>
      <c r="C74" s="116"/>
      <c r="D74" s="117"/>
      <c r="E74" s="107" t="str">
        <f t="shared" si="12"/>
        <v/>
      </c>
      <c r="G74" s="102" t="s">
        <v>55</v>
      </c>
      <c r="I74" s="102">
        <v>0</v>
      </c>
      <c r="J74" s="102">
        <v>3.2374999999999998</v>
      </c>
      <c r="K74" s="102">
        <v>-9.4899999999999998E-2</v>
      </c>
      <c r="L74" s="102">
        <v>-6.67</v>
      </c>
      <c r="M74" s="102">
        <v>15</v>
      </c>
      <c r="N74" s="102" t="s">
        <v>55</v>
      </c>
      <c r="P74" s="102" t="s">
        <v>55</v>
      </c>
      <c r="S74" s="102">
        <f t="shared" si="14"/>
        <v>0</v>
      </c>
      <c r="T74" s="102">
        <f t="shared" si="15"/>
        <v>0</v>
      </c>
      <c r="U74" s="102">
        <f t="shared" si="16"/>
        <v>1</v>
      </c>
      <c r="V74" s="102">
        <f>IF(S74="","",IF(T74=1,VLOOKUP(M74,'elipse #s'!$A$4:$C$38,2,FALSE),VLOOKUP(M74,'elipse #s'!$A$4:$C$38,3,FALSE)))</f>
        <v>0.30185182071533384</v>
      </c>
      <c r="W74" s="155">
        <f>IF(S74="","",IF(S74=0,IF(U74=1,$B$6,$C$6),VLOOKUP(N74,'elipse #s'!$A$4:$C$38,2,FALSE)))</f>
        <v>0.26300000000000001</v>
      </c>
      <c r="X74" s="155">
        <f t="shared" si="17"/>
        <v>3.8851820715333829E-2</v>
      </c>
      <c r="Y74" s="155">
        <f t="shared" si="18"/>
        <v>3.2420126661021964</v>
      </c>
      <c r="Z74" s="155">
        <f t="shared" si="13"/>
        <v>-8.1311143868384381E-2</v>
      </c>
    </row>
    <row r="75" spans="1:26">
      <c r="A75" s="116"/>
      <c r="B75" s="116"/>
      <c r="C75" s="116"/>
      <c r="D75" s="117"/>
      <c r="E75" s="107">
        <f t="shared" si="12"/>
        <v>0</v>
      </c>
      <c r="F75" s="102">
        <v>6.2229999999999999</v>
      </c>
      <c r="G75" s="102" t="s">
        <v>11</v>
      </c>
      <c r="H75" s="102" t="s">
        <v>10</v>
      </c>
      <c r="N75" s="102" t="s">
        <v>55</v>
      </c>
      <c r="O75" s="102">
        <v>-13.135</v>
      </c>
      <c r="P75" s="102">
        <v>-14.506</v>
      </c>
      <c r="Q75" s="102">
        <v>-1.371</v>
      </c>
      <c r="R75" s="115">
        <v>0</v>
      </c>
      <c r="S75" s="102" t="str">
        <f t="shared" si="14"/>
        <v/>
      </c>
      <c r="T75" s="102" t="str">
        <f t="shared" si="15"/>
        <v/>
      </c>
      <c r="U75" s="102" t="str">
        <f t="shared" si="16"/>
        <v/>
      </c>
      <c r="V75" s="102" t="str">
        <f>IF(S75="","",IF(T75=1,VLOOKUP(M75,'elipse #s'!$A$4:$C$38,2,FALSE),VLOOKUP(M75,'elipse #s'!$A$4:$C$38,3,FALSE)))</f>
        <v/>
      </c>
      <c r="W75" s="155" t="str">
        <f>IF(S75="","",IF(S75=0,IF(U75=1,$B$6,$C$6),VLOOKUP(N75,'elipse #s'!$A$4:$C$38,2,FALSE)))</f>
        <v/>
      </c>
      <c r="X75" s="155" t="str">
        <f t="shared" si="17"/>
        <v/>
      </c>
      <c r="Y75" s="155">
        <f t="shared" si="18"/>
        <v>0</v>
      </c>
      <c r="Z75" s="155">
        <f t="shared" si="13"/>
        <v>0</v>
      </c>
    </row>
    <row r="76" spans="1:26">
      <c r="A76" s="116"/>
      <c r="B76" s="116"/>
      <c r="C76" s="116"/>
      <c r="D76" s="117"/>
      <c r="E76" s="107" t="str">
        <f t="shared" si="12"/>
        <v/>
      </c>
      <c r="G76" s="102" t="s">
        <v>55</v>
      </c>
      <c r="I76" s="102">
        <v>0</v>
      </c>
      <c r="J76" s="102">
        <v>3.9903</v>
      </c>
      <c r="K76" s="102">
        <v>-0.30359999999999998</v>
      </c>
      <c r="L76" s="102">
        <v>-26.67</v>
      </c>
      <c r="M76" s="102">
        <v>15</v>
      </c>
      <c r="N76" s="102">
        <v>25</v>
      </c>
      <c r="P76" s="102" t="s">
        <v>55</v>
      </c>
      <c r="S76" s="102">
        <f t="shared" si="14"/>
        <v>1</v>
      </c>
      <c r="T76" s="102">
        <f t="shared" si="15"/>
        <v>0</v>
      </c>
      <c r="U76" s="102">
        <f t="shared" si="16"/>
        <v>0</v>
      </c>
      <c r="V76" s="102">
        <f>IF(S76="","",IF(T76=1,VLOOKUP(M76,'elipse #s'!$A$4:$C$38,2,FALSE),VLOOKUP(M76,'elipse #s'!$A$4:$C$38,3,FALSE)))</f>
        <v>0.30185182071533384</v>
      </c>
      <c r="W76" s="155">
        <f>IF(S76="","",IF(S76=0,IF(U76=1,$B$6,$C$6),VLOOKUP(N76,'elipse #s'!$A$4:$C$38,2,FALSE)))</f>
        <v>0.23971840967119393</v>
      </c>
      <c r="X76" s="155">
        <f t="shared" si="17"/>
        <v>6.2133411044139913E-2</v>
      </c>
      <c r="Y76" s="155">
        <f t="shared" si="18"/>
        <v>4.0181886541736951</v>
      </c>
      <c r="Z76" s="155">
        <f t="shared" si="13"/>
        <v>-0.24807717823849307</v>
      </c>
    </row>
    <row r="77" spans="1:26">
      <c r="A77" s="116"/>
      <c r="B77" s="116"/>
      <c r="C77" s="116"/>
      <c r="D77" s="117"/>
      <c r="E77" s="107">
        <f t="shared" si="12"/>
        <v>0</v>
      </c>
      <c r="F77" s="102">
        <v>6.2289999999999992</v>
      </c>
      <c r="G77" s="102" t="s">
        <v>11</v>
      </c>
      <c r="H77" s="102" t="s">
        <v>10</v>
      </c>
      <c r="N77" s="102" t="s">
        <v>55</v>
      </c>
      <c r="O77" s="102">
        <v>-11.690000000000001</v>
      </c>
      <c r="P77" s="102">
        <v>-13.961</v>
      </c>
      <c r="Q77" s="102">
        <v>-2.2709999999999999</v>
      </c>
      <c r="R77" s="115">
        <v>0</v>
      </c>
      <c r="S77" s="102" t="str">
        <f t="shared" si="14"/>
        <v/>
      </c>
      <c r="T77" s="102" t="str">
        <f t="shared" si="15"/>
        <v/>
      </c>
      <c r="U77" s="102" t="str">
        <f t="shared" si="16"/>
        <v/>
      </c>
      <c r="V77" s="102" t="str">
        <f>IF(S77="","",IF(T77=1,VLOOKUP(M77,'elipse #s'!$A$4:$C$38,2,FALSE),VLOOKUP(M77,'elipse #s'!$A$4:$C$38,3,FALSE)))</f>
        <v/>
      </c>
      <c r="W77" s="155" t="str">
        <f>IF(S77="","",IF(S77=0,IF(U77=1,$B$6,$C$6),VLOOKUP(N77,'elipse #s'!$A$4:$C$38,2,FALSE)))</f>
        <v/>
      </c>
      <c r="X77" s="155" t="str">
        <f t="shared" si="17"/>
        <v/>
      </c>
      <c r="Y77" s="155">
        <f t="shared" si="18"/>
        <v>0</v>
      </c>
      <c r="Z77" s="155">
        <f t="shared" si="13"/>
        <v>0</v>
      </c>
    </row>
    <row r="78" spans="1:26">
      <c r="A78" s="116"/>
      <c r="B78" s="116"/>
      <c r="C78" s="116"/>
      <c r="D78" s="117"/>
      <c r="E78" s="107" t="str">
        <f t="shared" si="12"/>
        <v/>
      </c>
      <c r="G78" s="102" t="s">
        <v>55</v>
      </c>
      <c r="I78" s="102">
        <v>0</v>
      </c>
      <c r="J78" s="102">
        <v>4.6135999999999999</v>
      </c>
      <c r="K78" s="102">
        <v>-0.74829999999999997</v>
      </c>
      <c r="L78" s="102">
        <v>-35.299999999999997</v>
      </c>
      <c r="M78" s="102">
        <v>15</v>
      </c>
      <c r="N78" s="102">
        <v>25</v>
      </c>
      <c r="P78" s="102" t="s">
        <v>55</v>
      </c>
      <c r="S78" s="102">
        <f t="shared" ref="S78:S83" si="19">IF(G77="","",IF(OR(LEFT(TRIM(H77),2)="16",LEFT(TRIM(H77),2)="13"),1,0))</f>
        <v>1</v>
      </c>
      <c r="T78" s="102">
        <f t="shared" ref="T78:T83" si="20">IF(S78="","",IF(LEFT(TRIM(G77),2)="13",1,0))</f>
        <v>0</v>
      </c>
      <c r="U78" s="102">
        <f t="shared" ref="U78:U83" si="21">IF(S78="","",IF(LEFT(TRIM(H77),3)="1/2",1,0))</f>
        <v>0</v>
      </c>
      <c r="V78" s="102">
        <f>IF(S78="","",IF(T78=1,VLOOKUP(M78,'elipse #s'!$A$4:$C$38,2,FALSE),VLOOKUP(M78,'elipse #s'!$A$4:$C$38,3,FALSE)))</f>
        <v>0.30185182071533384</v>
      </c>
      <c r="W78" s="155">
        <f>IF(S78="","",IF(S78=0,IF(U78=1,$B$6,$C$6),VLOOKUP(N78,'elipse #s'!$A$4:$C$38,2,FALSE)))</f>
        <v>0.23971840967119393</v>
      </c>
      <c r="X78" s="155">
        <f t="shared" ref="X78:X83" si="22">IF(S78="","",V78-W78)</f>
        <v>6.2133411044139913E-2</v>
      </c>
      <c r="Y78" s="155">
        <f t="shared" ref="Y78:Y83" si="23">IF(S78="",0,IF(S78=0,IF(U78=1,MIN(X78*SIN(RADIANS(-L78))+J78,$Y$1),MIN(X78*SIN(RADIANS(-L78))+J78,$Z$1)),X78*SIN(RADIANS(-L78))+J78))</f>
        <v>4.6495042653008101</v>
      </c>
      <c r="Z78" s="155">
        <f t="shared" si="13"/>
        <v>-0.69759058764697557</v>
      </c>
    </row>
    <row r="79" spans="1:26">
      <c r="A79" s="116"/>
      <c r="B79" s="116"/>
      <c r="C79" s="116"/>
      <c r="D79" s="117"/>
      <c r="E79" s="107">
        <f t="shared" si="12"/>
        <v>0</v>
      </c>
      <c r="F79" s="102">
        <v>6.2349999999999994</v>
      </c>
      <c r="G79" s="102" t="s">
        <v>11</v>
      </c>
      <c r="H79" s="102" t="s">
        <v>10</v>
      </c>
      <c r="N79" s="102" t="s">
        <v>55</v>
      </c>
      <c r="O79" s="102">
        <v>-10.831</v>
      </c>
      <c r="P79" s="102">
        <v>-13.86</v>
      </c>
      <c r="Q79" s="102">
        <v>-3.0289999999999999</v>
      </c>
      <c r="R79" s="115">
        <v>0</v>
      </c>
      <c r="S79" s="102" t="str">
        <f t="shared" si="19"/>
        <v/>
      </c>
      <c r="T79" s="102" t="str">
        <f t="shared" si="20"/>
        <v/>
      </c>
      <c r="U79" s="102" t="str">
        <f t="shared" si="21"/>
        <v/>
      </c>
      <c r="V79" s="102" t="str">
        <f>IF(S79="","",IF(T79=1,VLOOKUP(M79,'elipse #s'!$A$4:$C$38,2,FALSE),VLOOKUP(M79,'elipse #s'!$A$4:$C$38,3,FALSE)))</f>
        <v/>
      </c>
      <c r="W79" s="155" t="str">
        <f>IF(S79="","",IF(S79=0,IF(U79=1,$B$6,$C$6),VLOOKUP(N79,'elipse #s'!$A$4:$C$38,2,FALSE)))</f>
        <v/>
      </c>
      <c r="X79" s="155" t="str">
        <f t="shared" si="22"/>
        <v/>
      </c>
      <c r="Y79" s="155">
        <f t="shared" si="23"/>
        <v>0</v>
      </c>
      <c r="Z79" s="155">
        <f t="shared" si="13"/>
        <v>0</v>
      </c>
    </row>
    <row r="80" spans="1:26">
      <c r="A80" s="116"/>
      <c r="B80" s="116"/>
      <c r="C80" s="116"/>
      <c r="D80" s="117"/>
      <c r="E80" s="107" t="str">
        <f t="shared" si="12"/>
        <v/>
      </c>
      <c r="G80" s="102" t="s">
        <v>55</v>
      </c>
      <c r="I80" s="102">
        <v>0</v>
      </c>
      <c r="J80" s="102">
        <v>5.0921000000000003</v>
      </c>
      <c r="K80" s="102">
        <v>-1.3438000000000001</v>
      </c>
      <c r="L80" s="102">
        <v>-41.67</v>
      </c>
      <c r="M80" s="102">
        <v>15</v>
      </c>
      <c r="N80" s="102">
        <v>25</v>
      </c>
      <c r="P80" s="102" t="s">
        <v>55</v>
      </c>
      <c r="S80" s="102">
        <f t="shared" si="19"/>
        <v>1</v>
      </c>
      <c r="T80" s="102">
        <f t="shared" si="20"/>
        <v>0</v>
      </c>
      <c r="U80" s="102">
        <f t="shared" si="21"/>
        <v>0</v>
      </c>
      <c r="V80" s="102">
        <f>IF(S80="","",IF(T80=1,VLOOKUP(M80,'elipse #s'!$A$4:$C$38,2,FALSE),VLOOKUP(M80,'elipse #s'!$A$4:$C$38,3,FALSE)))</f>
        <v>0.30185182071533384</v>
      </c>
      <c r="W80" s="155">
        <f>IF(S80="","",IF(S80=0,IF(U80=1,$B$6,$C$6),VLOOKUP(N80,'elipse #s'!$A$4:$C$38,2,FALSE)))</f>
        <v>0.23971840967119393</v>
      </c>
      <c r="X80" s="155">
        <f t="shared" si="22"/>
        <v>6.2133411044139913E-2</v>
      </c>
      <c r="Y80" s="155">
        <f t="shared" si="23"/>
        <v>5.1334087350365278</v>
      </c>
      <c r="Z80" s="155">
        <f t="shared" si="13"/>
        <v>-1.2973871873545462</v>
      </c>
    </row>
    <row r="81" spans="1:26">
      <c r="A81" s="116"/>
      <c r="B81" s="116"/>
      <c r="C81" s="116"/>
      <c r="D81" s="117"/>
      <c r="E81" s="107">
        <f t="shared" si="12"/>
        <v>0</v>
      </c>
      <c r="F81" s="102">
        <v>6.2409999999999997</v>
      </c>
      <c r="G81" s="102" t="s">
        <v>11</v>
      </c>
      <c r="H81" s="102" t="s">
        <v>10</v>
      </c>
      <c r="N81" s="102" t="s">
        <v>55</v>
      </c>
      <c r="O81" s="102">
        <v>-10.301</v>
      </c>
      <c r="P81" s="102">
        <v>-13.914</v>
      </c>
      <c r="Q81" s="102">
        <v>-3.613</v>
      </c>
      <c r="R81" s="115">
        <v>0</v>
      </c>
      <c r="S81" s="102" t="str">
        <f t="shared" si="19"/>
        <v/>
      </c>
      <c r="T81" s="102" t="str">
        <f t="shared" si="20"/>
        <v/>
      </c>
      <c r="U81" s="102" t="str">
        <f t="shared" si="21"/>
        <v/>
      </c>
      <c r="V81" s="102" t="str">
        <f>IF(S81="","",IF(T81=1,VLOOKUP(M81,'elipse #s'!$A$4:$C$38,2,FALSE),VLOOKUP(M81,'elipse #s'!$A$4:$C$38,3,FALSE)))</f>
        <v/>
      </c>
      <c r="W81" s="155" t="str">
        <f>IF(S81="","",IF(S81=0,IF(U81=1,$B$6,$C$6),VLOOKUP(N81,'elipse #s'!$A$4:$C$38,2,FALSE)))</f>
        <v/>
      </c>
      <c r="X81" s="155" t="str">
        <f t="shared" si="22"/>
        <v/>
      </c>
      <c r="Y81" s="155">
        <f t="shared" si="23"/>
        <v>0</v>
      </c>
      <c r="Z81" s="155">
        <f t="shared" si="13"/>
        <v>0</v>
      </c>
    </row>
    <row r="82" spans="1:26">
      <c r="A82" s="116"/>
      <c r="B82" s="116"/>
      <c r="C82" s="116"/>
      <c r="D82" s="117"/>
      <c r="E82" s="107" t="str">
        <f t="shared" si="12"/>
        <v/>
      </c>
      <c r="G82" s="102" t="s">
        <v>55</v>
      </c>
      <c r="I82" s="102">
        <v>0</v>
      </c>
      <c r="J82" s="102">
        <v>5.4429999999999996</v>
      </c>
      <c r="K82" s="102">
        <v>-2.0232000000000001</v>
      </c>
      <c r="L82" s="102">
        <v>-48.03</v>
      </c>
      <c r="M82" s="102">
        <v>16</v>
      </c>
      <c r="N82" s="102">
        <v>26</v>
      </c>
      <c r="P82" s="102" t="s">
        <v>55</v>
      </c>
      <c r="S82" s="102">
        <f t="shared" si="19"/>
        <v>1</v>
      </c>
      <c r="T82" s="102">
        <f t="shared" si="20"/>
        <v>0</v>
      </c>
      <c r="U82" s="102">
        <f t="shared" si="21"/>
        <v>0</v>
      </c>
      <c r="V82" s="102">
        <f>IF(S82="","",IF(T82=1,VLOOKUP(M82,'elipse #s'!$A$4:$C$38,2,FALSE),VLOOKUP(M82,'elipse #s'!$A$4:$C$38,3,FALSE)))</f>
        <v>0.30039427998072465</v>
      </c>
      <c r="W82" s="155">
        <f>IF(S82="","",IF(S82=0,IF(U82=1,$B$6,$C$6),VLOOKUP(N82,'elipse #s'!$A$4:$C$38,2,FALSE)))</f>
        <v>0.23773102524612968</v>
      </c>
      <c r="X82" s="155">
        <f t="shared" si="22"/>
        <v>6.266325473459497E-2</v>
      </c>
      <c r="Y82" s="155">
        <f t="shared" si="23"/>
        <v>5.4895898215643175</v>
      </c>
      <c r="Z82" s="155">
        <f t="shared" si="13"/>
        <v>-1.9812944869911158</v>
      </c>
    </row>
    <row r="83" spans="1:26">
      <c r="A83" s="116"/>
      <c r="B83" s="116"/>
      <c r="C83" s="116"/>
      <c r="D83" s="117"/>
      <c r="E83" s="107">
        <f t="shared" si="12"/>
        <v>0</v>
      </c>
      <c r="F83" s="102">
        <v>6.2469999999999999</v>
      </c>
      <c r="G83" s="102" t="s">
        <v>11</v>
      </c>
      <c r="H83" s="102" t="s">
        <v>10</v>
      </c>
      <c r="N83" s="102" t="s">
        <v>55</v>
      </c>
      <c r="O83" s="102">
        <v>-9.9779999999999998</v>
      </c>
      <c r="P83" s="102">
        <v>-14.003</v>
      </c>
      <c r="Q83" s="102">
        <v>-4.0250000000000004</v>
      </c>
      <c r="R83" s="115">
        <v>0</v>
      </c>
      <c r="S83" s="102" t="str">
        <f t="shared" si="19"/>
        <v/>
      </c>
      <c r="T83" s="102" t="str">
        <f t="shared" si="20"/>
        <v/>
      </c>
      <c r="U83" s="102" t="str">
        <f t="shared" si="21"/>
        <v/>
      </c>
      <c r="V83" s="102" t="str">
        <f>IF(S83="","",IF(T83=1,VLOOKUP(M83,'elipse #s'!$A$4:$C$38,2,FALSE),VLOOKUP(M83,'elipse #s'!$A$4:$C$38,3,FALSE)))</f>
        <v/>
      </c>
      <c r="W83" s="155" t="str">
        <f>IF(S83="","",IF(S83=0,IF(U83=1,$B$6,$C$6),VLOOKUP(N83,'elipse #s'!$A$4:$C$38,2,FALSE)))</f>
        <v/>
      </c>
      <c r="X83" s="155" t="str">
        <f t="shared" si="22"/>
        <v/>
      </c>
      <c r="Y83" s="155">
        <f t="shared" si="23"/>
        <v>0</v>
      </c>
      <c r="Z83" s="155">
        <f t="shared" si="13"/>
        <v>0</v>
      </c>
    </row>
    <row r="84" spans="1:26">
      <c r="A84" s="116"/>
      <c r="B84" s="116"/>
      <c r="C84" s="116"/>
      <c r="D84" s="117"/>
      <c r="E84" s="107" t="str">
        <f t="shared" si="12"/>
        <v/>
      </c>
      <c r="G84" s="102" t="s">
        <v>55</v>
      </c>
      <c r="I84" s="102">
        <v>0</v>
      </c>
      <c r="J84" s="102">
        <v>5.6837</v>
      </c>
      <c r="K84" s="102">
        <v>-2.7494000000000001</v>
      </c>
      <c r="L84" s="102">
        <v>-54.39</v>
      </c>
      <c r="M84" s="102">
        <v>18</v>
      </c>
      <c r="N84" s="102">
        <v>28</v>
      </c>
      <c r="P84" s="102" t="s">
        <v>55</v>
      </c>
      <c r="S84" s="102">
        <f t="shared" si="14"/>
        <v>1</v>
      </c>
      <c r="T84" s="102">
        <f t="shared" si="15"/>
        <v>0</v>
      </c>
      <c r="U84" s="102">
        <f t="shared" si="16"/>
        <v>0</v>
      </c>
      <c r="V84" s="102">
        <f>IF(S84="","",IF(T84=1,VLOOKUP(M84,'elipse #s'!$A$4:$C$38,2,FALSE),VLOOKUP(M84,'elipse #s'!$A$4:$C$38,3,FALSE)))</f>
        <v>0.29720516134223546</v>
      </c>
      <c r="W84" s="155">
        <f>IF(S84="","",IF(S84=0,IF(U84=1,$B$6,$C$6),VLOOKUP(N84,'elipse #s'!$A$4:$C$38,2,FALSE)))</f>
        <v>0.23353963831118621</v>
      </c>
      <c r="X84" s="155">
        <f t="shared" si="17"/>
        <v>6.3665523031049248E-2</v>
      </c>
      <c r="Y84" s="155">
        <f t="shared" si="18"/>
        <v>5.7354600160473339</v>
      </c>
      <c r="Z84" s="155">
        <f t="shared" si="13"/>
        <v>-2.7123298022449736</v>
      </c>
    </row>
    <row r="85" spans="1:26">
      <c r="A85" s="116"/>
      <c r="B85" s="116"/>
      <c r="C85" s="116"/>
      <c r="D85" s="117"/>
      <c r="E85" s="107"/>
      <c r="W85" s="155"/>
      <c r="X85" s="155"/>
      <c r="Y85" s="155"/>
      <c r="Z85" s="155"/>
    </row>
    <row r="86" spans="1:26">
      <c r="A86" s="116"/>
      <c r="B86" s="116"/>
      <c r="C86" s="116"/>
      <c r="D86" s="117"/>
      <c r="E86" s="107"/>
      <c r="W86" s="155"/>
      <c r="X86" s="155"/>
      <c r="Y86" s="155"/>
      <c r="Z86" s="155"/>
    </row>
    <row r="87" spans="1:26">
      <c r="A87" s="116"/>
      <c r="B87" s="116"/>
      <c r="C87" s="116"/>
      <c r="D87" s="117"/>
      <c r="E87" s="107"/>
      <c r="W87" s="155"/>
      <c r="X87" s="155"/>
      <c r="Y87" s="155"/>
      <c r="Z87" s="155"/>
    </row>
    <row r="88" spans="1:26">
      <c r="A88" s="116"/>
      <c r="B88" s="116"/>
      <c r="C88" s="116"/>
      <c r="D88" s="117"/>
      <c r="E88" s="107"/>
      <c r="W88" s="155"/>
      <c r="X88" s="155"/>
      <c r="Y88" s="155"/>
      <c r="Z88" s="155"/>
    </row>
    <row r="89" spans="1:26">
      <c r="E89" s="107"/>
      <c r="W89" s="155"/>
      <c r="X89" s="155"/>
      <c r="Y89" s="155"/>
      <c r="Z89" s="155"/>
    </row>
    <row r="90" spans="1:26">
      <c r="E90" s="107"/>
      <c r="W90" s="155"/>
      <c r="X90" s="155"/>
      <c r="Y90" s="155"/>
      <c r="Z90" s="155"/>
    </row>
    <row r="91" spans="1:26">
      <c r="E91" s="107"/>
      <c r="W91" s="155"/>
      <c r="X91" s="155"/>
      <c r="Y91" s="155"/>
      <c r="Z91" s="155"/>
    </row>
    <row r="92" spans="1:26">
      <c r="E92" s="107"/>
      <c r="W92" s="155"/>
      <c r="X92" s="155"/>
      <c r="Y92" s="155"/>
      <c r="Z92" s="155"/>
    </row>
    <row r="93" spans="1:26">
      <c r="E93" s="107"/>
      <c r="W93" s="155"/>
      <c r="X93" s="155"/>
      <c r="Y93" s="155"/>
      <c r="Z93" s="155"/>
    </row>
    <row r="94" spans="1:26">
      <c r="E94" s="107"/>
      <c r="W94" s="155"/>
      <c r="X94" s="155"/>
      <c r="Y94" s="155"/>
      <c r="Z94" s="155"/>
    </row>
    <row r="95" spans="1:26">
      <c r="E95" s="107"/>
      <c r="W95" s="155"/>
      <c r="X95" s="155"/>
      <c r="Y95" s="155"/>
      <c r="Z95" s="155"/>
    </row>
    <row r="96" spans="1:26">
      <c r="E96" s="107"/>
      <c r="W96" s="155"/>
      <c r="X96" s="155"/>
      <c r="Y96" s="155"/>
      <c r="Z96" s="155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38"/>
  <sheetViews>
    <sheetView workbookViewId="0">
      <selection activeCell="H29" sqref="H29"/>
    </sheetView>
  </sheetViews>
  <sheetFormatPr defaultRowHeight="15"/>
  <cols>
    <col min="1" max="16384" width="9.140625" style="118"/>
  </cols>
  <sheetData>
    <row r="1" spans="1:6" ht="15.75" thickBot="1">
      <c r="B1" s="119">
        <v>1313</v>
      </c>
      <c r="C1" s="120">
        <v>1613</v>
      </c>
      <c r="D1" s="121">
        <v>1913</v>
      </c>
      <c r="E1" s="122"/>
    </row>
    <row r="2" spans="1:6" ht="15.75" thickBot="1">
      <c r="B2" s="119">
        <v>0.52900000000000003</v>
      </c>
      <c r="C2" s="120">
        <v>0.625</v>
      </c>
      <c r="D2" s="121">
        <v>0.75</v>
      </c>
      <c r="E2" s="123">
        <v>0.52</v>
      </c>
      <c r="F2" s="124">
        <v>0.315</v>
      </c>
    </row>
    <row r="3" spans="1:6" ht="15.75" thickBot="1">
      <c r="B3" s="125">
        <f>B2/2</f>
        <v>0.26450000000000001</v>
      </c>
      <c r="C3" s="126">
        <f t="shared" ref="C3:D3" si="0">C2/2</f>
        <v>0.3125</v>
      </c>
      <c r="D3" s="127">
        <f t="shared" si="0"/>
        <v>0.375</v>
      </c>
      <c r="E3" s="128"/>
      <c r="F3" s="129"/>
    </row>
    <row r="4" spans="1:6">
      <c r="A4" s="130">
        <v>12</v>
      </c>
      <c r="B4" s="131">
        <f>(B$2/2)*COS(RADIANS($A4))</f>
        <v>0.25872004039409163</v>
      </c>
      <c r="C4" s="132">
        <f t="shared" ref="C4:D4" si="1">(C$2/2)*COS(RADIANS($A4))</f>
        <v>0.30567112522931428</v>
      </c>
      <c r="D4" s="133">
        <f t="shared" si="1"/>
        <v>0.36680535027517713</v>
      </c>
      <c r="E4" s="134">
        <f>$E$2*SIN(RADIANS(A4))</f>
        <v>0.10811407922523486</v>
      </c>
      <c r="F4" s="135">
        <f>$F$2*SIN(RADIANS(A4))</f>
        <v>6.5492182607594193E-2</v>
      </c>
    </row>
    <row r="5" spans="1:6">
      <c r="A5" s="136">
        <v>12.5</v>
      </c>
      <c r="B5" s="137">
        <f t="shared" ref="B5:D27" si="2">(B$2/2)*COS(RADIANS($A5))</f>
        <v>0.25823029388322238</v>
      </c>
      <c r="C5" s="138">
        <f t="shared" si="2"/>
        <v>0.30509250222497919</v>
      </c>
      <c r="D5" s="139">
        <f t="shared" si="2"/>
        <v>0.36611100266997498</v>
      </c>
      <c r="E5" s="140">
        <f t="shared" ref="E5:E38" si="3">$E$2*SIN(RADIANS(A5))</f>
        <v>0.1125485992478135</v>
      </c>
      <c r="F5" s="141">
        <f t="shared" ref="F5:F38" si="4">$F$2*SIN(RADIANS(A5))</f>
        <v>6.8178478390502409E-2</v>
      </c>
    </row>
    <row r="6" spans="1:6">
      <c r="A6" s="142">
        <v>13</v>
      </c>
      <c r="B6" s="143">
        <f t="shared" si="2"/>
        <v>0.25772088213569472</v>
      </c>
      <c r="C6" s="144">
        <f t="shared" si="2"/>
        <v>0.30449064524538599</v>
      </c>
      <c r="D6" s="145">
        <f t="shared" si="2"/>
        <v>0.3653887742944632</v>
      </c>
      <c r="E6" s="134">
        <f t="shared" si="3"/>
        <v>0.1169745482588098</v>
      </c>
      <c r="F6" s="135">
        <f t="shared" si="4"/>
        <v>7.0859582118317471E-2</v>
      </c>
    </row>
    <row r="7" spans="1:6">
      <c r="A7" s="142">
        <v>14</v>
      </c>
      <c r="B7" s="143">
        <f t="shared" si="2"/>
        <v>0.25664321960000108</v>
      </c>
      <c r="C7" s="144">
        <f t="shared" si="2"/>
        <v>0.30321741446124889</v>
      </c>
      <c r="D7" s="145">
        <f t="shared" si="2"/>
        <v>0.36386089735349869</v>
      </c>
      <c r="E7" s="134">
        <f t="shared" si="3"/>
        <v>0.12579938571182722</v>
      </c>
      <c r="F7" s="135">
        <f t="shared" si="4"/>
        <v>7.6205397113895332E-2</v>
      </c>
    </row>
    <row r="8" spans="1:6">
      <c r="A8" s="136">
        <v>15</v>
      </c>
      <c r="B8" s="137">
        <f t="shared" si="2"/>
        <v>0.25548738105345858</v>
      </c>
      <c r="C8" s="138">
        <f t="shared" si="2"/>
        <v>0.30185182071533384</v>
      </c>
      <c r="D8" s="139">
        <f t="shared" si="2"/>
        <v>0.36222218485840063</v>
      </c>
      <c r="E8" s="140">
        <f t="shared" si="3"/>
        <v>0.13458590345331078</v>
      </c>
      <c r="F8" s="141">
        <f t="shared" si="4"/>
        <v>8.1527999207294033E-2</v>
      </c>
    </row>
    <row r="9" spans="1:6">
      <c r="A9" s="142">
        <v>16</v>
      </c>
      <c r="B9" s="143">
        <f t="shared" si="2"/>
        <v>0.25425371857568535</v>
      </c>
      <c r="C9" s="144">
        <f t="shared" si="2"/>
        <v>0.30039427998072465</v>
      </c>
      <c r="D9" s="145">
        <f t="shared" si="2"/>
        <v>0.36047313597686959</v>
      </c>
      <c r="E9" s="134">
        <f t="shared" si="3"/>
        <v>0.14333142502483956</v>
      </c>
      <c r="F9" s="135">
        <f t="shared" si="4"/>
        <v>8.6825767082354732E-2</v>
      </c>
    </row>
    <row r="10" spans="1:6">
      <c r="A10" s="142">
        <v>17</v>
      </c>
      <c r="B10" s="143">
        <f t="shared" si="2"/>
        <v>0.2529426079522229</v>
      </c>
      <c r="C10" s="144">
        <f t="shared" si="2"/>
        <v>0.29884523623844855</v>
      </c>
      <c r="D10" s="145">
        <f t="shared" si="2"/>
        <v>0.35861428348613827</v>
      </c>
      <c r="E10" s="134">
        <f t="shared" si="3"/>
        <v>0.15203328645582312</v>
      </c>
      <c r="F10" s="135">
        <f t="shared" si="4"/>
        <v>9.2097086987662086E-2</v>
      </c>
    </row>
    <row r="11" spans="1:6">
      <c r="A11" s="136">
        <v>17.5</v>
      </c>
      <c r="B11" s="137">
        <f t="shared" si="2"/>
        <v>0.25225813347290604</v>
      </c>
      <c r="C11" s="138">
        <f t="shared" si="2"/>
        <v>0.29803654710882094</v>
      </c>
      <c r="D11" s="139">
        <f t="shared" si="2"/>
        <v>0.35764385653058511</v>
      </c>
      <c r="E11" s="140">
        <f t="shared" si="3"/>
        <v>0.15636701574222203</v>
      </c>
      <c r="F11" s="141">
        <f t="shared" si="4"/>
        <v>9.472232684384603E-2</v>
      </c>
    </row>
    <row r="12" spans="1:6">
      <c r="A12" s="142">
        <v>18</v>
      </c>
      <c r="B12" s="143">
        <f t="shared" si="2"/>
        <v>0.25155444856006814</v>
      </c>
      <c r="C12" s="144">
        <f t="shared" si="2"/>
        <v>0.29720516134223546</v>
      </c>
      <c r="D12" s="145">
        <f t="shared" si="2"/>
        <v>0.35664619361068256</v>
      </c>
      <c r="E12" s="134">
        <f t="shared" si="3"/>
        <v>0.16068883707497264</v>
      </c>
      <c r="F12" s="135">
        <f t="shared" si="4"/>
        <v>9.7340353228108425E-2</v>
      </c>
    </row>
    <row r="13" spans="1:6">
      <c r="A13" s="142">
        <v>19</v>
      </c>
      <c r="B13" s="143">
        <f t="shared" si="2"/>
        <v>0.25008966324601933</v>
      </c>
      <c r="C13" s="144">
        <f t="shared" si="2"/>
        <v>0.29547455487478652</v>
      </c>
      <c r="D13" s="145">
        <f t="shared" si="2"/>
        <v>0.3545694658497438</v>
      </c>
      <c r="E13" s="134">
        <f t="shared" si="3"/>
        <v>0.16929544031772148</v>
      </c>
      <c r="F13" s="135">
        <f t="shared" si="4"/>
        <v>0.10255396865400436</v>
      </c>
    </row>
    <row r="14" spans="1:6">
      <c r="A14" s="136">
        <v>20</v>
      </c>
      <c r="B14" s="137">
        <f t="shared" si="2"/>
        <v>0.24854869819787279</v>
      </c>
      <c r="C14" s="138">
        <f t="shared" si="2"/>
        <v>0.29365394399559641</v>
      </c>
      <c r="D14" s="139">
        <f t="shared" si="2"/>
        <v>0.35238473279471566</v>
      </c>
      <c r="E14" s="140">
        <f t="shared" si="3"/>
        <v>0.17785047452934774</v>
      </c>
      <c r="F14" s="141">
        <f t="shared" si="4"/>
        <v>0.10773634514758565</v>
      </c>
    </row>
    <row r="15" spans="1:6">
      <c r="A15" s="142">
        <v>21</v>
      </c>
      <c r="B15" s="143">
        <f t="shared" si="2"/>
        <v>0.24693202280850987</v>
      </c>
      <c r="C15" s="144">
        <f t="shared" si="2"/>
        <v>0.29174388328037554</v>
      </c>
      <c r="D15" s="145">
        <f t="shared" si="2"/>
        <v>0.35009265993645067</v>
      </c>
      <c r="E15" s="134">
        <f t="shared" si="3"/>
        <v>0.18635133376355614</v>
      </c>
      <c r="F15" s="135">
        <f t="shared" si="4"/>
        <v>0.11288590410676959</v>
      </c>
    </row>
    <row r="16" spans="1:6">
      <c r="A16" s="142">
        <v>22</v>
      </c>
      <c r="B16" s="143">
        <f t="shared" si="2"/>
        <v>0.2452401295329153</v>
      </c>
      <c r="C16" s="144">
        <f t="shared" si="2"/>
        <v>0.28974495455212107</v>
      </c>
      <c r="D16" s="145">
        <f t="shared" si="2"/>
        <v>0.34769394546254528</v>
      </c>
      <c r="E16" s="134">
        <f t="shared" si="3"/>
        <v>0.19479542857627424</v>
      </c>
      <c r="F16" s="135">
        <f t="shared" si="4"/>
        <v>0.11800107692601229</v>
      </c>
    </row>
    <row r="17" spans="1:9">
      <c r="A17" s="136">
        <v>22.5</v>
      </c>
      <c r="B17" s="137">
        <f t="shared" si="2"/>
        <v>0.24436613634923535</v>
      </c>
      <c r="C17" s="138">
        <f t="shared" si="2"/>
        <v>0.28871235390977712</v>
      </c>
      <c r="D17" s="139">
        <f t="shared" si="2"/>
        <v>0.3464548246917325</v>
      </c>
      <c r="E17" s="140">
        <f t="shared" si="3"/>
        <v>0.19899538482984669</v>
      </c>
      <c r="F17" s="141">
        <f t="shared" si="4"/>
        <v>0.12054528119500328</v>
      </c>
    </row>
    <row r="18" spans="1:9">
      <c r="A18" s="142">
        <v>23</v>
      </c>
      <c r="B18" s="143">
        <f t="shared" si="2"/>
        <v>0.24347353373817049</v>
      </c>
      <c r="C18" s="144">
        <f t="shared" si="2"/>
        <v>0.2876577667038876</v>
      </c>
      <c r="D18" s="145">
        <f t="shared" si="2"/>
        <v>0.34518932004466513</v>
      </c>
      <c r="E18" s="134">
        <f t="shared" si="3"/>
        <v>0.20318018681442238</v>
      </c>
      <c r="F18" s="135">
        <f t="shared" si="4"/>
        <v>0.12308030547412124</v>
      </c>
    </row>
    <row r="19" spans="1:9">
      <c r="A19" s="142">
        <v>24</v>
      </c>
      <c r="B19" s="143">
        <f t="shared" si="2"/>
        <v>0.24163277354646795</v>
      </c>
      <c r="C19" s="144">
        <f t="shared" si="2"/>
        <v>0.28548295551331276</v>
      </c>
      <c r="D19" s="145">
        <f t="shared" si="2"/>
        <v>0.34257954661597534</v>
      </c>
      <c r="E19" s="134">
        <f t="shared" si="3"/>
        <v>0.21150305439941611</v>
      </c>
      <c r="F19" s="135">
        <f t="shared" si="4"/>
        <v>0.12812204256887708</v>
      </c>
    </row>
    <row r="20" spans="1:9">
      <c r="A20" s="136">
        <v>25</v>
      </c>
      <c r="B20" s="137">
        <f t="shared" si="2"/>
        <v>0.23971840967119393</v>
      </c>
      <c r="C20" s="138">
        <f t="shared" si="2"/>
        <v>0.28322118344895308</v>
      </c>
      <c r="D20" s="139">
        <f t="shared" si="2"/>
        <v>0.33986542013874371</v>
      </c>
      <c r="E20" s="140">
        <f t="shared" si="3"/>
        <v>0.21976149610516371</v>
      </c>
      <c r="F20" s="141">
        <f t="shared" si="4"/>
        <v>0.13312475244832034</v>
      </c>
    </row>
    <row r="21" spans="1:9">
      <c r="A21" s="142">
        <v>26</v>
      </c>
      <c r="B21" s="143">
        <f t="shared" si="2"/>
        <v>0.23773102524612968</v>
      </c>
      <c r="C21" s="144">
        <f t="shared" si="2"/>
        <v>0.28087313946848969</v>
      </c>
      <c r="D21" s="145">
        <f t="shared" si="2"/>
        <v>0.33704776736218767</v>
      </c>
      <c r="E21" s="134">
        <f t="shared" si="3"/>
        <v>0.22795299633032026</v>
      </c>
      <c r="F21" s="135">
        <f t="shared" si="4"/>
        <v>0.13808691123855937</v>
      </c>
    </row>
    <row r="22" spans="1:9">
      <c r="A22" s="142">
        <v>27</v>
      </c>
      <c r="B22" s="143">
        <f t="shared" si="2"/>
        <v>0.23567122564782331</v>
      </c>
      <c r="C22" s="144">
        <f t="shared" si="2"/>
        <v>0.27843953880886496</v>
      </c>
      <c r="D22" s="145">
        <f t="shared" si="2"/>
        <v>0.33412744657063798</v>
      </c>
      <c r="E22" s="134">
        <f t="shared" si="3"/>
        <v>0.23607505986456431</v>
      </c>
      <c r="F22" s="135">
        <f t="shared" si="4"/>
        <v>0.14300700741795722</v>
      </c>
    </row>
    <row r="23" spans="1:9">
      <c r="A23" s="136">
        <v>27.5</v>
      </c>
      <c r="B23" s="137">
        <f t="shared" si="2"/>
        <v>0.23461436537563965</v>
      </c>
      <c r="C23" s="138">
        <f t="shared" si="2"/>
        <v>0.27719088536819431</v>
      </c>
      <c r="D23" s="139">
        <f t="shared" si="2"/>
        <v>0.33262906244183316</v>
      </c>
      <c r="E23" s="140">
        <f t="shared" si="3"/>
        <v>0.24010927888221764</v>
      </c>
      <c r="F23" s="141">
        <f t="shared" si="4"/>
        <v>0.14545081316903569</v>
      </c>
      <c r="H23" s="146"/>
      <c r="I23" s="146"/>
    </row>
    <row r="24" spans="1:9">
      <c r="A24" s="142">
        <v>28</v>
      </c>
      <c r="B24" s="143">
        <f t="shared" si="2"/>
        <v>0.23353963831118621</v>
      </c>
      <c r="C24" s="144">
        <f t="shared" si="2"/>
        <v>0.27592112276841468</v>
      </c>
      <c r="D24" s="145">
        <f t="shared" si="2"/>
        <v>0.33110534732209762</v>
      </c>
      <c r="E24" s="134">
        <f t="shared" si="3"/>
        <v>0.24412521264866321</v>
      </c>
      <c r="F24" s="135">
        <f t="shared" si="4"/>
        <v>0.1478835422775556</v>
      </c>
    </row>
    <row r="25" spans="1:9">
      <c r="A25" s="142">
        <v>29</v>
      </c>
      <c r="B25" s="143">
        <f t="shared" si="2"/>
        <v>0.23133691253837019</v>
      </c>
      <c r="C25" s="144">
        <f t="shared" si="2"/>
        <v>0.27331865848106118</v>
      </c>
      <c r="D25" s="145">
        <f t="shared" si="2"/>
        <v>0.32798239017727338</v>
      </c>
      <c r="E25" s="134">
        <f t="shared" si="3"/>
        <v>0.25210100252809525</v>
      </c>
      <c r="F25" s="135">
        <f t="shared" si="4"/>
        <v>0.15271503037759618</v>
      </c>
    </row>
    <row r="26" spans="1:9">
      <c r="A26" s="136">
        <v>30</v>
      </c>
      <c r="B26" s="137">
        <f t="shared" si="2"/>
        <v>0.22906371930098404</v>
      </c>
      <c r="C26" s="138">
        <f t="shared" si="2"/>
        <v>0.2706329386826371</v>
      </c>
      <c r="D26" s="139">
        <f t="shared" si="2"/>
        <v>0.3247595264191645</v>
      </c>
      <c r="E26" s="140">
        <f t="shared" si="3"/>
        <v>0.25999999999999995</v>
      </c>
      <c r="F26" s="141">
        <f t="shared" si="4"/>
        <v>0.15749999999999997</v>
      </c>
    </row>
    <row r="27" spans="1:9">
      <c r="A27" s="142">
        <v>31</v>
      </c>
      <c r="B27" s="143">
        <f t="shared" si="2"/>
        <v>0.22672075103570871</v>
      </c>
      <c r="C27" s="144">
        <f t="shared" si="2"/>
        <v>0.26786478146941012</v>
      </c>
      <c r="D27" s="145">
        <f t="shared" si="2"/>
        <v>0.3214377377632921</v>
      </c>
      <c r="E27" s="134">
        <f t="shared" si="3"/>
        <v>0.26781979895322816</v>
      </c>
      <c r="F27" s="135">
        <f t="shared" si="4"/>
        <v>0.16223699359666707</v>
      </c>
    </row>
    <row r="28" spans="1:9">
      <c r="A28" s="142">
        <v>32</v>
      </c>
      <c r="B28" s="143">
        <f t="shared" ref="B28:D38" si="5">(B$2/2)*COS(RADIANS($A28))</f>
        <v>0.22430872143337469</v>
      </c>
      <c r="C28" s="144">
        <f t="shared" si="5"/>
        <v>0.2650150300488831</v>
      </c>
      <c r="D28" s="145">
        <f t="shared" si="5"/>
        <v>0.31801803605865975</v>
      </c>
      <c r="E28" s="134">
        <f t="shared" si="3"/>
        <v>0.27555801740126656</v>
      </c>
      <c r="F28" s="135">
        <f t="shared" si="4"/>
        <v>0.16692456823345955</v>
      </c>
    </row>
    <row r="29" spans="1:9">
      <c r="A29" s="136">
        <v>32.5</v>
      </c>
      <c r="B29" s="137">
        <f t="shared" si="5"/>
        <v>0.22307703741750828</v>
      </c>
      <c r="C29" s="138">
        <f t="shared" si="5"/>
        <v>0.26355982681652679</v>
      </c>
      <c r="D29" s="139">
        <f t="shared" si="5"/>
        <v>0.31627179217983215</v>
      </c>
      <c r="E29" s="140">
        <f t="shared" si="3"/>
        <v>0.27939579634034845</v>
      </c>
      <c r="F29" s="141">
        <f t="shared" si="4"/>
        <v>0.16924937662924952</v>
      </c>
    </row>
    <row r="30" spans="1:9">
      <c r="A30" s="142">
        <v>33</v>
      </c>
      <c r="B30" s="143">
        <f t="shared" si="5"/>
        <v>0.22182836522156468</v>
      </c>
      <c r="C30" s="144">
        <f t="shared" si="5"/>
        <v>0.26208455248294504</v>
      </c>
      <c r="D30" s="145">
        <f t="shared" si="5"/>
        <v>0.31450146297953402</v>
      </c>
      <c r="E30" s="134">
        <f t="shared" si="3"/>
        <v>0.28321229820781407</v>
      </c>
      <c r="F30" s="135">
        <f t="shared" si="4"/>
        <v>0.17156129602973352</v>
      </c>
    </row>
    <row r="31" spans="1:9">
      <c r="A31" s="142">
        <v>34</v>
      </c>
      <c r="B31" s="143">
        <f t="shared" si="5"/>
        <v>0.21928043794080851</v>
      </c>
      <c r="C31" s="144">
        <f t="shared" si="5"/>
        <v>0.25907424142345048</v>
      </c>
      <c r="D31" s="145">
        <f t="shared" si="5"/>
        <v>0.31088908970814061</v>
      </c>
      <c r="E31" s="134">
        <f t="shared" si="3"/>
        <v>0.29078030980478842</v>
      </c>
      <c r="F31" s="135">
        <f t="shared" si="4"/>
        <v>0.17614576459328526</v>
      </c>
    </row>
    <row r="32" spans="1:9">
      <c r="A32" s="136">
        <v>35</v>
      </c>
      <c r="B32" s="137">
        <f t="shared" si="5"/>
        <v>0.21666571571443835</v>
      </c>
      <c r="C32" s="138">
        <f t="shared" si="5"/>
        <v>0.25598501384030992</v>
      </c>
      <c r="D32" s="139">
        <f t="shared" si="5"/>
        <v>0.30718201660837191</v>
      </c>
      <c r="E32" s="140">
        <f t="shared" si="3"/>
        <v>0.29825974690254398</v>
      </c>
      <c r="F32" s="141">
        <f t="shared" si="4"/>
        <v>0.1806765774505795</v>
      </c>
    </row>
    <row r="33" spans="1:6">
      <c r="A33" s="142">
        <v>36</v>
      </c>
      <c r="B33" s="143">
        <f t="shared" si="5"/>
        <v>0.21398499501217361</v>
      </c>
      <c r="C33" s="144">
        <f t="shared" si="5"/>
        <v>0.25281781074217108</v>
      </c>
      <c r="D33" s="145">
        <f t="shared" si="5"/>
        <v>0.30338137289060529</v>
      </c>
      <c r="E33" s="134">
        <f t="shared" si="3"/>
        <v>0.30564833119208606</v>
      </c>
      <c r="F33" s="135">
        <f t="shared" si="4"/>
        <v>0.18515235447212905</v>
      </c>
    </row>
    <row r="34" spans="1:6">
      <c r="A34" s="142">
        <v>37</v>
      </c>
      <c r="B34" s="143">
        <f t="shared" si="5"/>
        <v>0.21123909240750896</v>
      </c>
      <c r="C34" s="144">
        <f t="shared" si="5"/>
        <v>0.24957359688977901</v>
      </c>
      <c r="D34" s="145">
        <f t="shared" si="5"/>
        <v>0.29948831626773481</v>
      </c>
      <c r="E34" s="134">
        <f t="shared" si="3"/>
        <v>0.31294381203906513</v>
      </c>
      <c r="F34" s="135">
        <f t="shared" si="4"/>
        <v>0.1895717322928952</v>
      </c>
    </row>
    <row r="35" spans="1:6">
      <c r="A35" s="136">
        <v>37.5</v>
      </c>
      <c r="B35" s="137">
        <f t="shared" si="5"/>
        <v>0.20984195850703172</v>
      </c>
      <c r="C35" s="138">
        <f t="shared" si="5"/>
        <v>0.24792291884101098</v>
      </c>
      <c r="D35" s="139">
        <f t="shared" si="5"/>
        <v>0.29750750260921321</v>
      </c>
      <c r="E35" s="140">
        <f t="shared" si="3"/>
        <v>0.31655594308453477</v>
      </c>
      <c r="F35" s="141">
        <f t="shared" si="4"/>
        <v>0.19175985013774702</v>
      </c>
    </row>
    <row r="36" spans="1:6">
      <c r="A36" s="142">
        <v>38</v>
      </c>
      <c r="B36" s="143">
        <f t="shared" si="5"/>
        <v>0.20842884432897796</v>
      </c>
      <c r="C36" s="144">
        <f t="shared" si="5"/>
        <v>0.24625336050210059</v>
      </c>
      <c r="D36" s="145">
        <f t="shared" si="5"/>
        <v>0.29550403260252073</v>
      </c>
      <c r="E36" s="134">
        <f t="shared" si="3"/>
        <v>0.32014396716934235</v>
      </c>
      <c r="F36" s="135">
        <f t="shared" si="4"/>
        <v>0.19393336472758235</v>
      </c>
    </row>
    <row r="37" spans="1:6">
      <c r="A37" s="142">
        <v>39</v>
      </c>
      <c r="B37" s="143">
        <f t="shared" si="5"/>
        <v>0.20555510680536881</v>
      </c>
      <c r="C37" s="144">
        <f t="shared" si="5"/>
        <v>0.24285811295530341</v>
      </c>
      <c r="D37" s="145">
        <f t="shared" si="5"/>
        <v>0.29142973554636409</v>
      </c>
      <c r="E37" s="134">
        <f t="shared" si="3"/>
        <v>0.32724660334591543</v>
      </c>
      <c r="F37" s="135">
        <f t="shared" si="4"/>
        <v>0.19823592318069877</v>
      </c>
    </row>
    <row r="38" spans="1:6" ht="15.75" thickBot="1">
      <c r="A38" s="147">
        <v>40</v>
      </c>
      <c r="B38" s="148">
        <f t="shared" si="5"/>
        <v>0.20261875520496969</v>
      </c>
      <c r="C38" s="149">
        <f t="shared" si="5"/>
        <v>0.23938888847468062</v>
      </c>
      <c r="D38" s="150">
        <f t="shared" si="5"/>
        <v>0.28726666616961677</v>
      </c>
      <c r="E38" s="151">
        <f t="shared" si="3"/>
        <v>0.33424955703700043</v>
      </c>
      <c r="F38" s="152">
        <f t="shared" si="4"/>
        <v>0.20247809705125985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D3:J38"/>
  <sheetViews>
    <sheetView workbookViewId="0">
      <selection activeCell="I4" sqref="I4"/>
    </sheetView>
  </sheetViews>
  <sheetFormatPr defaultRowHeight="12.75"/>
  <cols>
    <col min="10" max="10" width="4.5703125" bestFit="1" customWidth="1"/>
  </cols>
  <sheetData>
    <row r="3" spans="4:10">
      <c r="D3">
        <f>(E38-E3)/(F38-F3)</f>
        <v>2.129485714285714</v>
      </c>
      <c r="E3">
        <v>105.468</v>
      </c>
      <c r="F3">
        <v>30</v>
      </c>
      <c r="I3">
        <v>160.43799999999999</v>
      </c>
      <c r="J3" s="225">
        <f>((I3-180)/((E38-E3)/(F38-F3)))+65</f>
        <v>55.813744431921855</v>
      </c>
    </row>
    <row r="4" spans="4:10">
      <c r="E4">
        <f>E3+$D$3</f>
        <v>107.59748571428571</v>
      </c>
      <c r="F4">
        <v>31</v>
      </c>
    </row>
    <row r="5" spans="4:10">
      <c r="E5">
        <f t="shared" ref="E5:E37" si="0">E4+$D$3</f>
        <v>109.72697142857143</v>
      </c>
      <c r="F5">
        <v>32</v>
      </c>
    </row>
    <row r="6" spans="4:10">
      <c r="E6">
        <f t="shared" si="0"/>
        <v>111.85645714285715</v>
      </c>
      <c r="F6">
        <v>33</v>
      </c>
    </row>
    <row r="7" spans="4:10">
      <c r="E7">
        <f t="shared" si="0"/>
        <v>113.98594285714287</v>
      </c>
      <c r="F7">
        <v>34</v>
      </c>
    </row>
    <row r="8" spans="4:10">
      <c r="E8">
        <f t="shared" si="0"/>
        <v>116.11542857142859</v>
      </c>
      <c r="F8">
        <v>35</v>
      </c>
    </row>
    <row r="9" spans="4:10">
      <c r="E9">
        <f t="shared" si="0"/>
        <v>118.24491428571432</v>
      </c>
      <c r="F9">
        <v>36</v>
      </c>
    </row>
    <row r="10" spans="4:10">
      <c r="E10">
        <f t="shared" si="0"/>
        <v>120.37440000000004</v>
      </c>
      <c r="F10">
        <v>37</v>
      </c>
    </row>
    <row r="11" spans="4:10">
      <c r="E11">
        <f t="shared" si="0"/>
        <v>122.50388571428576</v>
      </c>
      <c r="F11">
        <v>38</v>
      </c>
    </row>
    <row r="12" spans="4:10">
      <c r="E12">
        <f t="shared" si="0"/>
        <v>124.63337142857148</v>
      </c>
      <c r="F12">
        <v>39</v>
      </c>
    </row>
    <row r="13" spans="4:10">
      <c r="E13">
        <f t="shared" si="0"/>
        <v>126.7628571428572</v>
      </c>
      <c r="F13">
        <v>40</v>
      </c>
    </row>
    <row r="14" spans="4:10">
      <c r="E14">
        <f t="shared" si="0"/>
        <v>128.89234285714292</v>
      </c>
      <c r="F14">
        <v>41</v>
      </c>
    </row>
    <row r="15" spans="4:10">
      <c r="E15">
        <f t="shared" si="0"/>
        <v>131.02182857142864</v>
      </c>
      <c r="F15">
        <v>42</v>
      </c>
    </row>
    <row r="16" spans="4:10">
      <c r="E16">
        <f t="shared" si="0"/>
        <v>133.15131428571436</v>
      </c>
      <c r="F16">
        <v>43</v>
      </c>
    </row>
    <row r="17" spans="5:6">
      <c r="E17">
        <f t="shared" si="0"/>
        <v>135.28080000000008</v>
      </c>
      <c r="F17">
        <v>44</v>
      </c>
    </row>
    <row r="18" spans="5:6">
      <c r="E18">
        <f t="shared" si="0"/>
        <v>137.41028571428581</v>
      </c>
      <c r="F18">
        <v>45</v>
      </c>
    </row>
    <row r="19" spans="5:6">
      <c r="E19">
        <f t="shared" si="0"/>
        <v>139.53977142857153</v>
      </c>
      <c r="F19">
        <v>46</v>
      </c>
    </row>
    <row r="20" spans="5:6">
      <c r="E20">
        <f t="shared" si="0"/>
        <v>141.66925714285725</v>
      </c>
      <c r="F20">
        <v>47</v>
      </c>
    </row>
    <row r="21" spans="5:6">
      <c r="E21">
        <f t="shared" si="0"/>
        <v>143.79874285714297</v>
      </c>
      <c r="F21">
        <v>48</v>
      </c>
    </row>
    <row r="22" spans="5:6">
      <c r="E22">
        <f t="shared" si="0"/>
        <v>145.92822857142869</v>
      </c>
      <c r="F22">
        <v>49</v>
      </c>
    </row>
    <row r="23" spans="5:6">
      <c r="E23">
        <f t="shared" si="0"/>
        <v>148.05771428571441</v>
      </c>
      <c r="F23">
        <v>50</v>
      </c>
    </row>
    <row r="24" spans="5:6">
      <c r="E24">
        <f t="shared" si="0"/>
        <v>150.18720000000013</v>
      </c>
      <c r="F24">
        <v>51</v>
      </c>
    </row>
    <row r="25" spans="5:6">
      <c r="E25">
        <f t="shared" si="0"/>
        <v>152.31668571428585</v>
      </c>
      <c r="F25">
        <v>52</v>
      </c>
    </row>
    <row r="26" spans="5:6">
      <c r="E26">
        <f t="shared" si="0"/>
        <v>154.44617142857157</v>
      </c>
      <c r="F26">
        <v>53</v>
      </c>
    </row>
    <row r="27" spans="5:6">
      <c r="E27">
        <f t="shared" si="0"/>
        <v>156.5756571428573</v>
      </c>
      <c r="F27">
        <v>54</v>
      </c>
    </row>
    <row r="28" spans="5:6">
      <c r="E28">
        <f t="shared" si="0"/>
        <v>158.70514285714302</v>
      </c>
      <c r="F28">
        <v>55</v>
      </c>
    </row>
    <row r="29" spans="5:6">
      <c r="E29">
        <f t="shared" si="0"/>
        <v>160.83462857142874</v>
      </c>
      <c r="F29">
        <v>56</v>
      </c>
    </row>
    <row r="30" spans="5:6">
      <c r="E30">
        <f t="shared" si="0"/>
        <v>162.96411428571446</v>
      </c>
      <c r="F30">
        <v>57</v>
      </c>
    </row>
    <row r="31" spans="5:6">
      <c r="E31">
        <f t="shared" si="0"/>
        <v>165.09360000000018</v>
      </c>
      <c r="F31">
        <v>58</v>
      </c>
    </row>
    <row r="32" spans="5:6">
      <c r="E32">
        <f t="shared" si="0"/>
        <v>167.2230857142859</v>
      </c>
      <c r="F32">
        <v>59</v>
      </c>
    </row>
    <row r="33" spans="5:6">
      <c r="E33">
        <f t="shared" si="0"/>
        <v>169.35257142857162</v>
      </c>
      <c r="F33">
        <v>60</v>
      </c>
    </row>
    <row r="34" spans="5:6">
      <c r="E34">
        <f t="shared" si="0"/>
        <v>171.48205714285734</v>
      </c>
      <c r="F34">
        <v>61</v>
      </c>
    </row>
    <row r="35" spans="5:6">
      <c r="E35">
        <f t="shared" si="0"/>
        <v>173.61154285714306</v>
      </c>
      <c r="F35">
        <v>62</v>
      </c>
    </row>
    <row r="36" spans="5:6">
      <c r="E36">
        <f t="shared" si="0"/>
        <v>175.74102857142879</v>
      </c>
      <c r="F36">
        <v>63</v>
      </c>
    </row>
    <row r="37" spans="5:6">
      <c r="E37">
        <f t="shared" si="0"/>
        <v>177.87051428571451</v>
      </c>
      <c r="F37">
        <v>64</v>
      </c>
    </row>
    <row r="38" spans="5:6">
      <c r="E38">
        <v>180</v>
      </c>
      <c r="F38">
        <v>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801129a6e80f9bf8dc0b6108b03c388">
  <xsd:schema xmlns:xsd="http://www.w3.org/2001/XMLSchema" xmlns:xs="http://www.w3.org/2001/XMLSchema" xmlns:p="http://schemas.microsoft.com/office/2006/metadata/properties" xmlns:ns2="173e10c0-dbc9-41da-8a99-1c8d714a673d" targetNamespace="http://schemas.microsoft.com/office/2006/metadata/properties" ma:root="true" ma:fieldsID="6ab3761913db780c43ffdf0fc9176411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e10c0-dbc9-41da-8a99-1c8d714a673d" elementFormDefault="qualified">
    <xsd:import namespace="http://schemas.microsoft.com/office/2006/documentManagement/types"/>
    <xsd:import namespace="http://schemas.microsoft.com/office/infopath/2007/PartnerControls"/>
    <xsd:element name="Description" ma:index="8" nillable="true" ma:displayName="Description" ma:internalName="Description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C68E1EE0-A5FF-41DA-B621-874993DE82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Sheet1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Bit Head: Ø12-1/4" (P2B);6 Blade;9x60 Nozzle</dc:title>
  <dc:creator>Levi D. Lunt</dc:creator>
  <dc:description>Primary Cutter Coordinates</dc:description>
  <cp:lastModifiedBy>Levi Lunt</cp:lastModifiedBy>
  <cp:lastPrinted>2015-07-30T16:06:07Z</cp:lastPrinted>
  <dcterms:created xsi:type="dcterms:W3CDTF">2003-10-20T20:59:43Z</dcterms:created>
  <dcterms:modified xsi:type="dcterms:W3CDTF">2015-07-31T20:54:53Z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  <property fmtid="{D5CDD505-2E9C-101B-9397-08002B2CF9AE}" pid="12" name="ContentTypeId">
    <vt:lpwstr>0x0101000D4E8FD023409446BF98A1374E059392</vt:lpwstr>
  </property>
</Properties>
</file>