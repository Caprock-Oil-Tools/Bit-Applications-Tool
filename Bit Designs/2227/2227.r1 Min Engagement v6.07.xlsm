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27\"/>
    </mc:Choice>
  </mc:AlternateContent>
  <xr:revisionPtr revIDLastSave="0" documentId="13_ncr:1_{3D24D337-6890-45F7-89B8-9BC360273D3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R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B10" i="1" a="1"/>
  <c r="JB10" i="1" s="1"/>
  <c r="JA23" i="1" a="1"/>
  <c r="JA23" i="1" s="1"/>
  <c r="IF85" i="1"/>
  <c r="IF129" i="1"/>
  <c r="IF73" i="1"/>
  <c r="IF138" i="1"/>
  <c r="IF10" i="1"/>
  <c r="IF150" i="1"/>
  <c r="IF148" i="1"/>
  <c r="IF127" i="1"/>
  <c r="IF15" i="1"/>
  <c r="IF128" i="1"/>
  <c r="IF86" i="1"/>
  <c r="IF9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133" i="1"/>
  <c r="IF149" i="1"/>
  <c r="IF87" i="1"/>
  <c r="IF104" i="1"/>
  <c r="IF130" i="1"/>
  <c r="IF90" i="1"/>
  <c r="IF132" i="1"/>
  <c r="IF119" i="1"/>
  <c r="IF32" i="1"/>
  <c r="IF110" i="1"/>
  <c r="IF125" i="1"/>
  <c r="IF72" i="1"/>
  <c r="IF144" i="1"/>
  <c r="IF120" i="1"/>
  <c r="IF7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V52" i="1" l="1"/>
  <c r="IQ5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Q57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9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Q38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7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IQ49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42" i="1" l="1"/>
  <c r="IQ47" i="1"/>
  <c r="IV51" i="1"/>
  <c r="IQ55" i="1"/>
  <c r="IQ52" i="1"/>
  <c r="IV48" i="1"/>
  <c r="IQ59" i="1"/>
  <c r="IV56" i="1"/>
  <c r="IQ64" i="1"/>
  <c r="IV55" i="1"/>
  <c r="IV43" i="1"/>
  <c r="IQ48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7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P57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IP38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IP49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U51" i="1" l="1"/>
  <c r="IE51" i="1" s="1"/>
  <c r="IP55" i="1"/>
  <c r="IU43" i="1"/>
  <c r="IE43" i="1" s="1"/>
  <c r="IP48" i="1"/>
  <c r="IU42" i="1"/>
  <c r="IE42" i="1" s="1"/>
  <c r="IP47" i="1"/>
  <c r="IP59" i="1"/>
  <c r="IU56" i="1"/>
  <c r="IE56" i="1" s="1"/>
  <c r="IP52" i="1"/>
  <c r="IU48" i="1"/>
  <c r="IE48" i="1" s="1"/>
  <c r="AQ37" i="1"/>
  <c r="IU37" i="1"/>
  <c r="IE37" i="1" s="1"/>
  <c r="IU52" i="1"/>
  <c r="IE52" i="1" s="1"/>
  <c r="IP56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IL55" i="1" s="1"/>
  <c r="W52" i="1"/>
  <c r="IL56" i="1" s="1"/>
  <c r="W49" i="1"/>
  <c r="W50" i="1"/>
  <c r="W47" i="1"/>
  <c r="W48" i="1"/>
  <c r="W45" i="1"/>
  <c r="W46" i="1"/>
  <c r="W43" i="1"/>
  <c r="IL48" i="1" s="1"/>
  <c r="W44" i="1"/>
  <c r="W41" i="1"/>
  <c r="W42" i="1"/>
  <c r="IL47" i="1" s="1"/>
  <c r="W39" i="1"/>
  <c r="W40" i="1"/>
  <c r="W37" i="1"/>
  <c r="W38" i="1"/>
  <c r="W35" i="1"/>
  <c r="W36" i="1"/>
  <c r="W33" i="1"/>
  <c r="IL38" i="1" s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IL16" i="1" s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9" i="1" l="1"/>
  <c r="IL46" i="1"/>
  <c r="IL57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IF55" i="1" s="1"/>
  <c r="AL54" i="1"/>
  <c r="AN54" i="1" s="1"/>
  <c r="AK54" i="1"/>
  <c r="U54" i="1"/>
  <c r="T54" i="1"/>
  <c r="AL53" i="1"/>
  <c r="AN53" i="1" s="1"/>
  <c r="IT57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IY49" i="1" s="1"/>
  <c r="IF49" i="1" s="1"/>
  <c r="AK50" i="1"/>
  <c r="AL50" i="1"/>
  <c r="AN50" i="1" s="1"/>
  <c r="U50" i="1"/>
  <c r="T50" i="1"/>
  <c r="T49" i="1"/>
  <c r="AK49" i="1"/>
  <c r="AO49" i="1" s="1"/>
  <c r="IX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IT49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T38" i="1" s="1"/>
  <c r="T33" i="1"/>
  <c r="U33" i="1"/>
  <c r="AL32" i="1"/>
  <c r="AN32" i="1" s="1"/>
  <c r="IT37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42" i="1" l="1"/>
  <c r="IT47" i="1"/>
  <c r="IX43" i="1"/>
  <c r="IS48" i="1"/>
  <c r="IY52" i="1"/>
  <c r="IT56" i="1"/>
  <c r="IY43" i="1"/>
  <c r="IT48" i="1"/>
  <c r="IY51" i="1"/>
  <c r="IT55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IS57" i="1" s="1"/>
  <c r="AP53" i="1"/>
  <c r="AP54" i="1"/>
  <c r="AO54" i="1"/>
  <c r="AP51" i="1"/>
  <c r="AO51" i="1"/>
  <c r="AO52" i="1"/>
  <c r="AP52" i="1"/>
  <c r="AP49" i="1"/>
  <c r="AP50" i="1"/>
  <c r="AO50" i="1"/>
  <c r="IS54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IS49" i="1" s="1"/>
  <c r="AP44" i="1"/>
  <c r="AO42" i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IS38" i="1" s="1"/>
  <c r="AP33" i="1"/>
  <c r="AO34" i="1"/>
  <c r="IX34" i="1" s="1"/>
  <c r="IF34" i="1" s="1"/>
  <c r="AP34" i="1"/>
  <c r="AO31" i="1"/>
  <c r="AP31" i="1"/>
  <c r="AO32" i="1"/>
  <c r="IS37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2" i="1" l="1"/>
  <c r="IX48" i="1"/>
  <c r="IF48" i="1" s="1"/>
  <c r="IX51" i="1"/>
  <c r="IF51" i="1" s="1"/>
  <c r="IS55" i="1"/>
  <c r="IT29" i="1"/>
  <c r="IY47" i="1"/>
  <c r="IF47" i="1" s="1"/>
  <c r="IT60" i="1"/>
  <c r="IY57" i="1"/>
  <c r="IF57" i="1" s="1"/>
  <c r="IX42" i="1"/>
  <c r="IF42" i="1" s="1"/>
  <c r="IS47" i="1"/>
  <c r="IX52" i="1"/>
  <c r="IF52" i="1" s="1"/>
  <c r="IS5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<sst xmlns="http://schemas.openxmlformats.org/spreadsheetml/2006/main" count="734" uniqueCount="391">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</sst>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3.375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6.75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31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1.112's θ about Z Axis</v>
      </c>
      <c r="U5" s="1136"/>
      <c r="V5" s="1137"/>
      <c r="W5" s="1136" t="str">
        <f>CONCATENATE("Relative to ",M8,"'s θ about Z Axis")</f>
        <v>Relative to 1.112's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1.112's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>Inactive Element</v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87.902300302870373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-0.19830059807460382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0.29530089062748616</v>
      </c>
      <c r="D9" s="704">
        <v>-0.28730086649941339</v>
      </c>
      <c r="E9" s="705">
        <v>-0.96592583607220739</v>
      </c>
      <c r="F9" s="703">
        <v>-5.6018678339987651E-2</v>
      </c>
      <c r="G9" s="706">
        <v>0.25268396641901963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0.29530089062748616</v>
      </c>
      <c r="P9" s="625">
        <f t="shared" ref="P9:P40" si="4">IF(M9="","",D9)</f>
        <v>-0.28730086649941339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0.29530089062748616</v>
      </c>
      <c r="S9" s="626">
        <f>IF(M9="","",P9)</f>
        <v>-0.28730086649941339</v>
      </c>
      <c r="T9" s="627">
        <f>IF(M9="","",X9*COS(RADIANS(W9)))</f>
        <v>0.29510299891110342</v>
      </c>
      <c r="U9" s="624">
        <f>IF(M9="","",X9*SIN(RADIANS(W9)))</f>
        <v>1.0809072072099057E-2</v>
      </c>
      <c r="V9" s="628">
        <f>IF(M9="","",Y9)</f>
        <v>-0.28730086649941339</v>
      </c>
      <c r="W9" s="583">
        <f t="shared" ref="W9:W14" si="5">IF(M9="","",IF(Q9-$Q$8&lt;0,360+Q9-$Q$8,Q9-$Q$8))</f>
        <v>2.0976996971296273</v>
      </c>
      <c r="X9" s="629">
        <f>IF(M9="","",R9)</f>
        <v>0.29530089062748616</v>
      </c>
      <c r="Y9" s="630">
        <f>IF(M9="","",S9)</f>
        <v>-0.28730086649941339</v>
      </c>
      <c r="Z9" s="623">
        <f t="shared" ref="Z9:Z40" si="6">IF(M9="","",-E9)</f>
        <v>0.96592583607220739</v>
      </c>
      <c r="AA9" s="624">
        <f t="shared" ref="AA9:AA40" si="7">IF(M9="","",-F9)</f>
        <v>5.6018678339987651E-2</v>
      </c>
      <c r="AB9" s="624">
        <f t="shared" ref="AB9:AB40" si="8">IF(M9="","",-G9)</f>
        <v>-0.25268396641901963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5.6018678339987651E-2</v>
      </c>
      <c r="AF9" s="625">
        <f>IF(M9="","",AB9*(1/SQRT(Z9^2+AA9^2+AB9^2)))</f>
        <v>-0.25268396641901963</v>
      </c>
      <c r="AG9" s="599">
        <f>IF(M9="","",DEGREES(ATAN2(-AF9,AE9)))</f>
        <v>12.499998195223558</v>
      </c>
      <c r="AH9" s="600">
        <f>IF(M9="","",DEGREES(ACOS(AD9)))</f>
        <v>14.999997834268255</v>
      </c>
      <c r="AI9" s="583">
        <f>IF(M9="","",DEGREES(-ACOS(-AF9)))</f>
        <v>-75.36360748526684</v>
      </c>
      <c r="AJ9" s="601">
        <f>IF(M9="","",DEGREES(ATAN2(-AE9,AD9)))</f>
        <v>93.31913956845878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5.6018678339987651E-2</v>
      </c>
      <c r="AM9" s="626">
        <f>IF(M9="","",AF9)</f>
        <v>-0.25268396641901963</v>
      </c>
      <c r="AN9" s="581">
        <f>IF(M9="","",DEGREES(ATAN2(-AM9,AL9)))</f>
        <v>12.499998195223558</v>
      </c>
      <c r="AO9" s="582">
        <f>IF(ROUND(IF(M9="",0,DEGREES(ACOS(AK9))),4)=90,0,IF(M9="","",DEGREES(ACOS(AK9))))</f>
        <v>14.999997834268255</v>
      </c>
      <c r="AP9" s="781">
        <f>IF(M9="","",DEGREES(ATAN2(AK9,AL9)))</f>
        <v>3.319139568458791</v>
      </c>
      <c r="AQ9" s="584">
        <f t="shared" ref="AQ9:AQ40" si="9">IF(M9="","",DEGREES(ATAN(($AS$5*SIN(RADIANS(90)))/(($X9*2*PI())-($AS$5*COS(RADIANS(90)))))))</f>
        <v>7.6737967560026847</v>
      </c>
      <c r="AS9" s="51">
        <f>IF(M9="","",W9)</f>
        <v>2.0976996971296273</v>
      </c>
      <c r="AT9" s="71">
        <f t="shared" ref="AT9:AT40" si="10">IF(M9="","",Y9+(((AS9-$AS$9)*$AS$6)*-1))</f>
        <v>-0.28730086649941339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31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0.92150277925238233</v>
      </c>
      <c r="D10" s="709">
        <v>-0.14840044757574991</v>
      </c>
      <c r="E10" s="710">
        <v>-0.97629601393762733</v>
      </c>
      <c r="F10" s="708">
        <v>-4.6846093169500232E-2</v>
      </c>
      <c r="G10" s="711">
        <v>0.21130910232229644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1313</v>
      </c>
      <c r="M10" s="168">
        <f t="shared" si="1"/>
        <v>1.1040000000000001</v>
      </c>
      <c r="N10" s="632">
        <f t="shared" si="2"/>
        <v>0</v>
      </c>
      <c r="O10" s="629">
        <f t="shared" si="3"/>
        <v>0.92150277925238233</v>
      </c>
      <c r="P10" s="633">
        <f t="shared" si="4"/>
        <v>-0.14840044757574991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0.92150277925238233</v>
      </c>
      <c r="S10" s="634">
        <f t="shared" ref="S10:S105" si="80">IF(M10="","",P10)</f>
        <v>-0.14840044757574991</v>
      </c>
      <c r="T10" s="635">
        <f t="shared" ref="T10:T105" si="81">IF(M10="","",X10*COS(RADIANS(W10)))</f>
        <v>0.9208852471946557</v>
      </c>
      <c r="U10" s="629">
        <f t="shared" ref="U10:U105" si="82">IF(M10="","",X10*SIN(RADIANS(W10)))</f>
        <v>3.373030787145033E-2</v>
      </c>
      <c r="V10" s="636">
        <f>IF(M10="","",Y10)</f>
        <v>-0.14840044757574991</v>
      </c>
      <c r="W10" s="585">
        <f t="shared" si="5"/>
        <v>2.0976996971296273</v>
      </c>
      <c r="X10" s="629">
        <f t="shared" ref="X10:X105" si="83">IF(M10="","",R10)</f>
        <v>0.92150277925238233</v>
      </c>
      <c r="Y10" s="630">
        <f>IF(M10="","",S10)</f>
        <v>-0.14840044757574991</v>
      </c>
      <c r="Z10" s="632">
        <f t="shared" si="6"/>
        <v>0.97629601393762733</v>
      </c>
      <c r="AA10" s="629">
        <f t="shared" si="7"/>
        <v>4.6846093169500232E-2</v>
      </c>
      <c r="AB10" s="629">
        <f t="shared" si="8"/>
        <v>-0.21130910232229644</v>
      </c>
      <c r="AC10" s="636">
        <f t="shared" ref="AC10:AC105" si="84">IF(M10="","",SQRT(Z10^2+AA10^2+AB10^2))</f>
        <v>1</v>
      </c>
      <c r="AD10" s="637">
        <f>IF(M10="","",Z10*(1/SQRT(Z10^2+AA10^2+AB10^2)))</f>
        <v>0.97629601393762733</v>
      </c>
      <c r="AE10" s="629">
        <f t="shared" ref="AE10:AE105" si="85">IF(M10="","",AA10*(1/SQRT(Z10^2+AA10^2+AB10^2)))</f>
        <v>4.6846093169500232E-2</v>
      </c>
      <c r="AF10" s="633">
        <f t="shared" ref="AF10:AF105" si="86">IF(M10="","",AB10*(1/SQRT(Z10^2+AA10^2+AB10^2)))</f>
        <v>-0.21130910232229644</v>
      </c>
      <c r="AG10" s="602">
        <f t="shared" ref="AG10:AG105" si="87">IF(M10="","",DEGREES(ATAN2(-AF10,AE10)))</f>
        <v>12.499998195223556</v>
      </c>
      <c r="AH10" s="603">
        <f t="shared" ref="AH10:AH105" si="88">IF(M10="","",DEGREES(ACOS(AD10)))</f>
        <v>12.499998195223544</v>
      </c>
      <c r="AI10" s="585">
        <f t="shared" ref="AI10:AI105" si="89">IF(M10="","",DEGREES(-ACOS(-AF10)))</f>
        <v>-77.800919983022339</v>
      </c>
      <c r="AJ10" s="586">
        <f t="shared" ref="AJ10:AJ105" si="90">IF(M10="","",DEGREES(ATAN2(-AE10,AD10)))</f>
        <v>92.747144584757805</v>
      </c>
      <c r="AK10" s="635">
        <f>IF(M10="","",(COS(RADIANS((90-$Q$8)-W10))*AD10)+(-SIN(RADIANS((90-$Q$8)-W10))*AE10))</f>
        <v>0.97629601393762733</v>
      </c>
      <c r="AL10" s="629">
        <f t="shared" ref="AL10:AL105" si="91">IF(M10="","",(SIN(RADIANS((90-$Q$8)-W10))*AD10)+(COS(RADIANS((90-$Q$8)-W10))*AE10))</f>
        <v>4.6846093169500232E-2</v>
      </c>
      <c r="AM10" s="634">
        <f t="shared" ref="AM10:AM105" si="92">IF(M10="","",AF10)</f>
        <v>-0.21130910232229644</v>
      </c>
      <c r="AN10" s="581">
        <f t="shared" ref="AN10:AN105" si="93">IF(M10="","",DEGREES(ATAN2(-AM10,AL10)))</f>
        <v>12.499998195223556</v>
      </c>
      <c r="AO10" s="582">
        <f t="shared" ref="AO10:AO54" si="94">IF(ROUND(IF(M10="",0,DEGREES(ACOS(AK10))),4)=90,0,IF(M10="","",DEGREES(ACOS(AK10))))</f>
        <v>12.499998195223544</v>
      </c>
      <c r="AP10" s="585">
        <f t="shared" ref="AP10:AP105" si="95">IF(M10="","",DEGREES(ATAN2(AK10,AL10)))</f>
        <v>2.7471445847578089</v>
      </c>
      <c r="AQ10" s="586">
        <f t="shared" si="9"/>
        <v>2.4723869871208075</v>
      </c>
      <c r="AS10" s="52">
        <f>IF($M10="","",IF(AND($W10&lt;($AS$9+180),$W10&gt;($AS$9-180)),$W10,IF($W10&gt;($AS$9+180),$W10-360,IF($W10&lt;($AS$9-180),$W10+360,"Error"))))</f>
        <v>2.0976996971296273</v>
      </c>
      <c r="AT10" s="72">
        <f t="shared" si="10"/>
        <v>-0.14840044757574991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1.7211429211167532E-2</v>
      </c>
      <c r="C11" s="708">
        <v>1.5846113103150405</v>
      </c>
      <c r="D11" s="709">
        <v>-3.660011038593293E-2</v>
      </c>
      <c r="E11" s="710">
        <v>-0.97459268930602805</v>
      </c>
      <c r="F11" s="708">
        <v>5.857357048287036E-2</v>
      </c>
      <c r="G11" s="711">
        <v>0.21619025600644515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1.7211429211167532E-2</v>
      </c>
      <c r="O11" s="629">
        <f t="shared" si="3"/>
        <v>1.5846113103150405</v>
      </c>
      <c r="P11" s="633">
        <f t="shared" si="4"/>
        <v>-3.660011038593293E-2</v>
      </c>
      <c r="Q11" s="585">
        <f t="shared" ref="Q11:Q73" si="113">IF(M11="","",IF(DEGREES(ATAN2(N11,O11))&lt;0,DEGREES(ATAN2(N11,O11))+360,IF(DEGREES(ATAN2(N11,O11))&gt;360,DEGREES(ATAN2(N11,O11))-360,DEGREES(ATAN2(N11,O11)))))</f>
        <v>89.377700089848986</v>
      </c>
      <c r="R11" s="629">
        <f t="shared" si="79"/>
        <v>1.584704779469615</v>
      </c>
      <c r="S11" s="634">
        <f t="shared" si="80"/>
        <v>-3.660011038593293E-2</v>
      </c>
      <c r="T11" s="635">
        <f t="shared" si="81"/>
        <v>1.5841794055113694</v>
      </c>
      <c r="U11" s="629">
        <f t="shared" si="82"/>
        <v>4.0802563981753713E-2</v>
      </c>
      <c r="V11" s="636">
        <f t="shared" ref="V11:V105" si="114">IF(M11="","",Y11)</f>
        <v>-3.660011038593293E-2</v>
      </c>
      <c r="W11" s="585">
        <f t="shared" si="5"/>
        <v>1.4753997869786133</v>
      </c>
      <c r="X11" s="629">
        <f>IF(M11="","",R11)</f>
        <v>1.584704779469615</v>
      </c>
      <c r="Y11" s="630">
        <f>IF(M11="","",S11)</f>
        <v>-3.660011038593293E-2</v>
      </c>
      <c r="Z11" s="632">
        <f t="shared" si="6"/>
        <v>0.97459268930602805</v>
      </c>
      <c r="AA11" s="629">
        <f t="shared" si="7"/>
        <v>-5.857357048287036E-2</v>
      </c>
      <c r="AB11" s="629">
        <f t="shared" si="8"/>
        <v>-0.21619025600644515</v>
      </c>
      <c r="AC11" s="636">
        <f t="shared" si="84"/>
        <v>1</v>
      </c>
      <c r="AD11" s="637">
        <f t="shared" ref="AD11:AD105" si="115">IF(M11="","",Z11*(1/SQRT(Z11^2+AA11^2+AB11^2)))</f>
        <v>0.97459268930602805</v>
      </c>
      <c r="AE11" s="629">
        <f t="shared" si="85"/>
        <v>-5.857357048287036E-2</v>
      </c>
      <c r="AF11" s="633">
        <f t="shared" si="86"/>
        <v>-0.21619025600644515</v>
      </c>
      <c r="AG11" s="602">
        <f>IF(M11="","",DEGREES(ATAN2(-AF11,AE11)))</f>
        <v>-15.159510579236455</v>
      </c>
      <c r="AH11" s="603">
        <f t="shared" si="88"/>
        <v>12.943174728976444</v>
      </c>
      <c r="AI11" s="585">
        <f t="shared" si="89"/>
        <v>-77.51463362817374</v>
      </c>
      <c r="AJ11" s="586">
        <f t="shared" si="90"/>
        <v>86.560628436868058</v>
      </c>
      <c r="AK11" s="635">
        <f>IF(M11="","",(COS(RADIANS((90-$Q$8)-W11))*AD11)+(-SIN(RADIANS((90-$Q$8)-W11))*AE11))</f>
        <v>0.97517137154335587</v>
      </c>
      <c r="AL11" s="629">
        <f t="shared" si="91"/>
        <v>-4.7985094874535526E-2</v>
      </c>
      <c r="AM11" s="634">
        <f t="shared" si="92"/>
        <v>-0.21619025600644515</v>
      </c>
      <c r="AN11" s="581">
        <f>IF(M11="","",DEGREES(ATAN2(-AM11,AL11)))</f>
        <v>-12.514364847003474</v>
      </c>
      <c r="AO11" s="582">
        <f>IF(ROUND(IF(M11="",0,DEGREES(ACOS(AK11))),4)=90,0,IF(M11="","",DEGREES(ACOS(AK11))))</f>
        <v>12.794304764697037</v>
      </c>
      <c r="AP11" s="585">
        <f t="shared" si="95"/>
        <v>-2.8170716529809363</v>
      </c>
      <c r="AQ11" s="586">
        <f t="shared" si="9"/>
        <v>1.4382790964896361</v>
      </c>
      <c r="AS11" s="52">
        <f t="shared" ref="AS11:AS42" si="116">IF(G11="","",IF(AND(W11&lt;(AS10+180),W11&gt;(AS10-180)),W11,IF(W11&gt;(AS10+180),W11-360,IF(W11&lt;(AS10-180),W11+360,"Error"))))</f>
        <v>1.4753997869786133</v>
      </c>
      <c r="AT11" s="72">
        <f t="shared" si="10"/>
        <v>-3.6167957670550283E-2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8.3796846239947431E-2</v>
      </c>
      <c r="C12" s="708">
        <v>2.2877727578976934</v>
      </c>
      <c r="D12" s="709">
        <v>-0.19830059807460382</v>
      </c>
      <c r="E12" s="710">
        <v>-0.96542638179380624</v>
      </c>
      <c r="F12" s="708">
        <v>0.19851257892375576</v>
      </c>
      <c r="G12" s="711">
        <v>0.16895164203274135</v>
      </c>
      <c r="H12" s="710">
        <v>0.26600000000000001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1.1120000000000001</v>
      </c>
      <c r="N12" s="632">
        <f t="shared" si="2"/>
        <v>8.3796846239947431E-2</v>
      </c>
      <c r="O12" s="629">
        <f t="shared" si="3"/>
        <v>2.2877727578976934</v>
      </c>
      <c r="P12" s="633">
        <f t="shared" si="4"/>
        <v>-0.19830059807460382</v>
      </c>
      <c r="Q12" s="585">
        <f>IF(M12="","",IF(DEGREES(ATAN2(N12,O12))&lt;0,DEGREES(ATAN2(N12,O12))+360,IF(DEGREES(ATAN2(N12,O12))&gt;360,DEGREES(ATAN2(N12,O12))-360,DEGREES(ATAN2(N12,O12)))))</f>
        <v>87.902300302870373</v>
      </c>
      <c r="R12" s="629">
        <f t="shared" si="79"/>
        <v>2.2893069045496239</v>
      </c>
      <c r="S12" s="634">
        <f t="shared" si="80"/>
        <v>-0.19830059807460382</v>
      </c>
      <c r="T12" s="635">
        <f>IF(M12="","",X12*COS(RADIANS(W12)))</f>
        <v>2.2893069045496239</v>
      </c>
      <c r="U12" s="629">
        <f t="shared" si="82"/>
        <v>0</v>
      </c>
      <c r="V12" s="636">
        <f t="shared" si="114"/>
        <v>-0.19830059807460382</v>
      </c>
      <c r="W12" s="585">
        <f>IF(M12="","",IF(Q12-$Q$8&lt;0,360+Q12-$Q$8,Q12-$Q$8))</f>
        <v>0</v>
      </c>
      <c r="X12" s="629">
        <f t="shared" si="83"/>
        <v>2.2893069045496239</v>
      </c>
      <c r="Y12" s="630">
        <f>IF(M12="","",S12)</f>
        <v>-0.19830059807460382</v>
      </c>
      <c r="Z12" s="632">
        <f t="shared" si="6"/>
        <v>0.96542638179380624</v>
      </c>
      <c r="AA12" s="629">
        <f t="shared" si="7"/>
        <v>-0.19851257892375576</v>
      </c>
      <c r="AB12" s="629">
        <f t="shared" si="8"/>
        <v>-0.16895164203274135</v>
      </c>
      <c r="AC12" s="636">
        <f t="shared" si="84"/>
        <v>1</v>
      </c>
      <c r="AD12" s="637">
        <f t="shared" si="115"/>
        <v>0.96542638179380624</v>
      </c>
      <c r="AE12" s="629">
        <f t="shared" si="85"/>
        <v>-0.19851257892375576</v>
      </c>
      <c r="AF12" s="633">
        <f t="shared" si="86"/>
        <v>-0.16895164203274135</v>
      </c>
      <c r="AG12" s="602">
        <f t="shared" si="87"/>
        <v>-49.599297854571965</v>
      </c>
      <c r="AH12" s="603">
        <f t="shared" si="88"/>
        <v>15.110168753771859</v>
      </c>
      <c r="AI12" s="585">
        <f t="shared" si="89"/>
        <v>-80.273129088119845</v>
      </c>
      <c r="AJ12" s="586">
        <f t="shared" si="90"/>
        <v>78.380695753057097</v>
      </c>
      <c r="AK12" s="635">
        <f t="shared" ref="AK12:AK105" si="211">IF(M12="","",(COS(RADIANS((90-$Q$8)-W12))*AD12)+(-SIN(RADIANS((90-$Q$8)-W12))*AE12))</f>
        <v>0.97204568756331233</v>
      </c>
      <c r="AL12" s="629">
        <f>IF(M12="","",(SIN(RADIANS((90-$Q$8)-W12))*AD12)+(COS(RADIANS((90-$Q$8)-W12))*AE12))</f>
        <v>-0.16304147921313777</v>
      </c>
      <c r="AM12" s="634">
        <f t="shared" si="92"/>
        <v>-0.16895164203274135</v>
      </c>
      <c r="AN12" s="581">
        <f>IF(M12="","",DEGREES(ATAN2(-AM12,AL12)))</f>
        <v>-43.980124589731041</v>
      </c>
      <c r="AO12" s="582">
        <f t="shared" si="94"/>
        <v>13.579349407241546</v>
      </c>
      <c r="AP12" s="585">
        <f t="shared" si="95"/>
        <v>-9.5216045498132882</v>
      </c>
      <c r="AQ12" s="586">
        <f t="shared" si="9"/>
        <v>0.99571495673471544</v>
      </c>
      <c r="AS12" s="52">
        <f t="shared" si="116"/>
        <v>0</v>
      </c>
      <c r="AT12" s="72">
        <f>IF(M12="","",Y12+(((AS12-$AS$9)*$AS$6)*-1))</f>
        <v>-0.19684386217381936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0.15019455534807946</v>
      </c>
      <c r="C13" s="708">
        <v>2.8201117910862332</v>
      </c>
      <c r="D13" s="709">
        <v>-0.63160190491134527</v>
      </c>
      <c r="E13" s="710">
        <v>-0.93790828944938665</v>
      </c>
      <c r="F13" s="708">
        <v>0.32395434230679332</v>
      </c>
      <c r="G13" s="711">
        <v>0.12402267809839722</v>
      </c>
      <c r="H13" s="710">
        <v>0.26600000000000001</v>
      </c>
      <c r="I13" s="708">
        <v>0.52</v>
      </c>
      <c r="J13" s="570">
        <v>1.117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>
        <f>IF($L12=$JH$22,$JH$29,IF($L12=$JI$22,$JI$29,""))</f>
        <v>70</v>
      </c>
      <c r="M13" s="168">
        <f t="shared" si="1"/>
        <v>1.117</v>
      </c>
      <c r="N13" s="632">
        <f t="shared" si="2"/>
        <v>0.15019455534807946</v>
      </c>
      <c r="O13" s="629">
        <f t="shared" si="3"/>
        <v>2.8201117910862332</v>
      </c>
      <c r="P13" s="633">
        <f t="shared" si="4"/>
        <v>-0.63160190491134527</v>
      </c>
      <c r="Q13" s="585">
        <f t="shared" si="113"/>
        <v>86.951400440163326</v>
      </c>
      <c r="R13" s="629">
        <f t="shared" si="79"/>
        <v>2.8241085175112888</v>
      </c>
      <c r="S13" s="634">
        <f t="shared" si="80"/>
        <v>-0.63160190491134527</v>
      </c>
      <c r="T13" s="635">
        <f>IF(M13="","",X13*COS(RADIANS(W13)))</f>
        <v>2.8237195926360394</v>
      </c>
      <c r="U13" s="629">
        <f t="shared" si="82"/>
        <v>-4.6867695091273635E-2</v>
      </c>
      <c r="V13" s="636">
        <f t="shared" si="114"/>
        <v>-0.63160190491134527</v>
      </c>
      <c r="W13" s="585">
        <f t="shared" si="5"/>
        <v>359.04910013729295</v>
      </c>
      <c r="X13" s="629">
        <f t="shared" si="83"/>
        <v>2.8241085175112888</v>
      </c>
      <c r="Y13" s="630">
        <f>IF(M13="","",S13)</f>
        <v>-0.63160190491134527</v>
      </c>
      <c r="Z13" s="632">
        <f t="shared" si="6"/>
        <v>0.93790828944938665</v>
      </c>
      <c r="AA13" s="629">
        <f t="shared" si="7"/>
        <v>-0.32395434230679332</v>
      </c>
      <c r="AB13" s="629">
        <f t="shared" si="8"/>
        <v>-0.12402267809839722</v>
      </c>
      <c r="AC13" s="636">
        <f t="shared" si="84"/>
        <v>1</v>
      </c>
      <c r="AD13" s="637">
        <f>IF(M13="","",Z13*(1/SQRT(Z13^2+AA13^2+AB13^2)))</f>
        <v>0.93790828944938665</v>
      </c>
      <c r="AE13" s="629">
        <f t="shared" si="85"/>
        <v>-0.32395434230679332</v>
      </c>
      <c r="AF13" s="633">
        <f t="shared" si="86"/>
        <v>-0.12402267809839722</v>
      </c>
      <c r="AG13" s="602">
        <f>IF(M13="","",DEGREES(ATAN2(-AF13,AE13)))</f>
        <v>-69.05115553736259</v>
      </c>
      <c r="AH13" s="603">
        <f t="shared" si="88"/>
        <v>20.296803343408651</v>
      </c>
      <c r="AI13" s="585">
        <f t="shared" si="89"/>
        <v>-82.875679812456696</v>
      </c>
      <c r="AJ13" s="586">
        <f t="shared" si="90"/>
        <v>70.94504285764944</v>
      </c>
      <c r="AK13" s="635">
        <f t="shared" si="211"/>
        <v>0.95380980855627351</v>
      </c>
      <c r="AL13" s="629">
        <f t="shared" si="91"/>
        <v>-0.27361510268833172</v>
      </c>
      <c r="AM13" s="634">
        <f t="shared" si="92"/>
        <v>-0.12402267809839722</v>
      </c>
      <c r="AN13" s="581">
        <f t="shared" si="93"/>
        <v>-65.6164374955748</v>
      </c>
      <c r="AO13" s="582">
        <f t="shared" si="94"/>
        <v>17.482298417622602</v>
      </c>
      <c r="AP13" s="585">
        <f t="shared" si="95"/>
        <v>-16.006357582513854</v>
      </c>
      <c r="AQ13" s="586">
        <f t="shared" si="9"/>
        <v>0.80718421225926906</v>
      </c>
      <c r="AS13" s="52">
        <f t="shared" si="116"/>
        <v>-0.95089986270704685</v>
      </c>
      <c r="AT13" s="72">
        <f t="shared" si="10"/>
        <v>-0.62948482188368093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0.22668434283417269</v>
      </c>
      <c r="C14" s="708">
        <v>3.1064495517485082</v>
      </c>
      <c r="D14" s="709">
        <v>-1.2540037820754073</v>
      </c>
      <c r="E14" s="710">
        <v>-0.85479015462253582</v>
      </c>
      <c r="F14" s="708">
        <v>0.51257768317886854</v>
      </c>
      <c r="G14" s="711">
        <v>8.1227521612842982E-2</v>
      </c>
      <c r="H14" s="710">
        <v>0.26600000000000001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1.1220000000000001</v>
      </c>
      <c r="N14" s="632">
        <f t="shared" si="2"/>
        <v>0.22668434283417269</v>
      </c>
      <c r="O14" s="629">
        <f t="shared" si="3"/>
        <v>3.1064495517485082</v>
      </c>
      <c r="P14" s="633">
        <f t="shared" si="4"/>
        <v>-1.2540037820754073</v>
      </c>
      <c r="Q14" s="585">
        <f t="shared" si="113"/>
        <v>85.82640060259321</v>
      </c>
      <c r="R14" s="629">
        <f t="shared" si="79"/>
        <v>3.1147093939635311</v>
      </c>
      <c r="S14" s="634">
        <f t="shared" si="80"/>
        <v>-1.2540037820754073</v>
      </c>
      <c r="T14" s="635">
        <f t="shared" si="81"/>
        <v>3.1126652687473926</v>
      </c>
      <c r="U14" s="629">
        <f t="shared" si="82"/>
        <v>-0.11282523467021033</v>
      </c>
      <c r="V14" s="636">
        <f t="shared" si="114"/>
        <v>-1.2540037820754073</v>
      </c>
      <c r="W14" s="585">
        <f t="shared" si="5"/>
        <v>357.9241002997228</v>
      </c>
      <c r="X14" s="629">
        <f t="shared" si="83"/>
        <v>3.1147093939635311</v>
      </c>
      <c r="Y14" s="630">
        <f t="shared" ref="Y14:Y75" si="223">IF(M14="","",S14)</f>
        <v>-1.2540037820754073</v>
      </c>
      <c r="Z14" s="632">
        <f t="shared" si="6"/>
        <v>0.85479015462253582</v>
      </c>
      <c r="AA14" s="629">
        <f t="shared" si="7"/>
        <v>-0.51257768317886854</v>
      </c>
      <c r="AB14" s="629">
        <f t="shared" si="8"/>
        <v>-8.1227521612842982E-2</v>
      </c>
      <c r="AC14" s="636">
        <f t="shared" si="84"/>
        <v>1</v>
      </c>
      <c r="AD14" s="637">
        <f>IF(M14="","",Z14*(1/SQRT(Z14^2+AA14^2+AB14^2)))</f>
        <v>0.85479015462253582</v>
      </c>
      <c r="AE14" s="629">
        <f t="shared" si="85"/>
        <v>-0.51257768317886854</v>
      </c>
      <c r="AF14" s="633">
        <f t="shared" si="86"/>
        <v>-8.1227521612842982E-2</v>
      </c>
      <c r="AG14" s="602">
        <f t="shared" si="87"/>
        <v>-80.995290206600288</v>
      </c>
      <c r="AH14" s="603">
        <f t="shared" si="88"/>
        <v>31.263440300289542</v>
      </c>
      <c r="AI14" s="585">
        <f t="shared" si="89"/>
        <v>-85.340872803707711</v>
      </c>
      <c r="AJ14" s="586">
        <f t="shared" si="90"/>
        <v>59.050854567679082</v>
      </c>
      <c r="AK14" s="635">
        <f>IF(M14="","",(COS(RADIANS((90-$Q$8)-W14))*AD14)+(-SIN(RADIANS((90-$Q$8)-W14))*AE14))</f>
        <v>0.88982806335014752</v>
      </c>
      <c r="AL14" s="629">
        <f t="shared" si="91"/>
        <v>-0.44900791463754969</v>
      </c>
      <c r="AM14" s="634">
        <f t="shared" si="92"/>
        <v>-8.1227521612842982E-2</v>
      </c>
      <c r="AN14" s="581">
        <f t="shared" si="93"/>
        <v>-79.745840367626755</v>
      </c>
      <c r="AO14" s="582">
        <f t="shared" si="94"/>
        <v>27.148350648795923</v>
      </c>
      <c r="AP14" s="585">
        <f>IF(M14="","",DEGREES(ATAN2(AK14,AL14)))</f>
        <v>-26.775546034914061</v>
      </c>
      <c r="AQ14" s="586">
        <f t="shared" si="9"/>
        <v>0.73188292986788206</v>
      </c>
      <c r="AS14" s="52">
        <f t="shared" si="116"/>
        <v>-2.0758997002772048</v>
      </c>
      <c r="AT14" s="72">
        <f t="shared" si="10"/>
        <v>-1.2511054491605413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0.24178277922766142</v>
      </c>
      <c r="C15" s="708">
        <v>3.1787275440640306</v>
      </c>
      <c r="D15" s="709">
        <v>-1.9081057548469567</v>
      </c>
      <c r="E15" s="710">
        <v>-0.77329056882830915</v>
      </c>
      <c r="F15" s="708">
        <v>0.63405180873582667</v>
      </c>
      <c r="G15" s="711">
        <v>1.3008419235542241E-7</v>
      </c>
      <c r="H15" s="710">
        <v>0.26600000000000001</v>
      </c>
      <c r="I15" s="708">
        <v>0.52</v>
      </c>
      <c r="J15" s="570">
        <v>1.127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>
        <f>IF($L14=$JH$22,$JH$29,IF($L14=$JI$22,$JI$29,""))</f>
        <v>50</v>
      </c>
      <c r="M15" s="168">
        <f t="shared" si="1"/>
        <v>1.127</v>
      </c>
      <c r="N15" s="632">
        <f t="shared" si="2"/>
        <v>0.24178277922766142</v>
      </c>
      <c r="O15" s="629">
        <f t="shared" si="3"/>
        <v>3.1787275440640306</v>
      </c>
      <c r="P15" s="633">
        <f t="shared" si="4"/>
        <v>-1.9081057548469567</v>
      </c>
      <c r="Q15" s="585">
        <f t="shared" si="113"/>
        <v>85.650300628018883</v>
      </c>
      <c r="R15" s="629">
        <f t="shared" si="79"/>
        <v>3.1879096147353985</v>
      </c>
      <c r="S15" s="634">
        <f t="shared" si="80"/>
        <v>-1.9081057548469567</v>
      </c>
      <c r="T15" s="635">
        <f t="shared" si="81"/>
        <v>3.1854474819302512</v>
      </c>
      <c r="U15" s="629">
        <f t="shared" si="82"/>
        <v>-0.12526791922363156</v>
      </c>
      <c r="V15" s="636">
        <f t="shared" si="114"/>
        <v>-1.9081057548469567</v>
      </c>
      <c r="W15" s="585">
        <f t="shared" ref="W15:W78" si="224">IF(M15="","",IF(Q15-$Q$8&lt;0,360+Q15-$Q$8,Q15-$Q$8))</f>
        <v>357.7480003251485</v>
      </c>
      <c r="X15" s="629">
        <f>IF(M15="","",R15)</f>
        <v>3.1879096147353985</v>
      </c>
      <c r="Y15" s="630">
        <f>IF(M15="","",S15)</f>
        <v>-1.9081057548469567</v>
      </c>
      <c r="Z15" s="632">
        <f t="shared" si="6"/>
        <v>0.77329056882830915</v>
      </c>
      <c r="AA15" s="629">
        <f t="shared" si="7"/>
        <v>-0.63405180873582667</v>
      </c>
      <c r="AB15" s="629">
        <f t="shared" si="8"/>
        <v>-1.3008419235542241E-7</v>
      </c>
      <c r="AC15" s="636">
        <f t="shared" si="84"/>
        <v>1</v>
      </c>
      <c r="AD15" s="637">
        <f t="shared" si="115"/>
        <v>0.77329056882830915</v>
      </c>
      <c r="AE15" s="629">
        <f t="shared" si="85"/>
        <v>-0.63405180873582667</v>
      </c>
      <c r="AF15" s="633">
        <f t="shared" si="86"/>
        <v>-1.3008419235542241E-7</v>
      </c>
      <c r="AG15" s="602">
        <f t="shared" si="87"/>
        <v>-89.999988245006008</v>
      </c>
      <c r="AH15" s="603">
        <f t="shared" si="88"/>
        <v>39.349694318606971</v>
      </c>
      <c r="AI15" s="585">
        <f t="shared" si="89"/>
        <v>-89.999992546724798</v>
      </c>
      <c r="AJ15" s="586">
        <f t="shared" si="90"/>
        <v>50.650305681393618</v>
      </c>
      <c r="AK15" s="635">
        <f t="shared" si="211"/>
        <v>0.81915209487729268</v>
      </c>
      <c r="AL15" s="629">
        <f t="shared" si="91"/>
        <v>-0.57357636410344359</v>
      </c>
      <c r="AM15" s="634">
        <f t="shared" si="92"/>
        <v>-1.3008419235542241E-7</v>
      </c>
      <c r="AN15" s="581">
        <f>IF(M15="","",DEGREES(ATAN2(-AM15,AL15)))</f>
        <v>-89.999987005609597</v>
      </c>
      <c r="AO15" s="582">
        <f t="shared" si="94"/>
        <v>34.999994946625883</v>
      </c>
      <c r="AP15" s="585">
        <f t="shared" si="95"/>
        <v>-34.999994946625193</v>
      </c>
      <c r="AQ15" s="586">
        <f t="shared" si="9"/>
        <v>0.71507932809813046</v>
      </c>
      <c r="AS15" s="52">
        <f t="shared" si="116"/>
        <v>-2.2519996748515041</v>
      </c>
      <c r="AT15" s="72">
        <f t="shared" si="10"/>
        <v>-1.9050851302830809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31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0.87851422118715783</v>
      </c>
      <c r="C16" s="708">
        <v>1.318901816378218</v>
      </c>
      <c r="D16" s="709">
        <v>-1.7100051573755548E-2</v>
      </c>
      <c r="E16" s="710">
        <v>-1.8875452711729638E-7</v>
      </c>
      <c r="F16" s="708">
        <v>1.2572849195426624E-7</v>
      </c>
      <c r="G16" s="711">
        <v>0.99999999999997435</v>
      </c>
      <c r="H16" s="710">
        <v>0.19500000000000001</v>
      </c>
      <c r="I16" s="708">
        <v>0.21199999999999999</v>
      </c>
      <c r="J16" s="570">
        <v>1.2070000000000001</v>
      </c>
      <c r="K16" s="865" t="str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Inactive</v>
      </c>
      <c r="L16" s="320"/>
      <c r="M16" s="168">
        <f t="shared" si="1"/>
        <v>1.2070000000000001</v>
      </c>
      <c r="N16" s="632">
        <f t="shared" si="2"/>
        <v>0.87851422118715783</v>
      </c>
      <c r="O16" s="629">
        <f t="shared" si="3"/>
        <v>1.318901816378218</v>
      </c>
      <c r="P16" s="633">
        <f t="shared" si="4"/>
        <v>-1.7100051573755548E-2</v>
      </c>
      <c r="Q16" s="585">
        <f>IF(M16="","",IF(DEGREES(ATAN2(N16,O16))&lt;0,DEGREES(ATAN2(N16,O16))+360,IF(DEGREES(ATAN2(N16,O16))&gt;360,DEGREES(ATAN2(N16,O16))-360,DEGREES(ATAN2(N16,O16)))))</f>
        <v>56.332604860970442</v>
      </c>
      <c r="R16" s="629">
        <f t="shared" si="79"/>
        <v>1.584704779469615</v>
      </c>
      <c r="S16" s="634">
        <f t="shared" si="80"/>
        <v>-1.7100051573755548E-2</v>
      </c>
      <c r="T16" s="635">
        <f t="shared" si="81"/>
        <v>1.3501747453875719</v>
      </c>
      <c r="U16" s="629">
        <f t="shared" si="82"/>
        <v>-0.82964895889252244</v>
      </c>
      <c r="V16" s="636">
        <f t="shared" si="114"/>
        <v>-1.7100051573755548E-2</v>
      </c>
      <c r="W16" s="585">
        <f>IF(M16="","",IF(Q16-$Q$8&lt;0,360+Q16-$Q$8,Q16-$Q$8))</f>
        <v>328.43030455810003</v>
      </c>
      <c r="X16" s="629">
        <f t="shared" si="83"/>
        <v>1.584704779469615</v>
      </c>
      <c r="Y16" s="630">
        <f t="shared" si="223"/>
        <v>-1.7100051573755548E-2</v>
      </c>
      <c r="Z16" s="632">
        <f t="shared" si="6"/>
        <v>1.8875452711729638E-7</v>
      </c>
      <c r="AA16" s="629">
        <f t="shared" si="7"/>
        <v>-1.2572849195426624E-7</v>
      </c>
      <c r="AB16" s="629">
        <f t="shared" si="8"/>
        <v>-0.99999999999997435</v>
      </c>
      <c r="AC16" s="636">
        <f t="shared" si="84"/>
        <v>1</v>
      </c>
      <c r="AD16" s="637">
        <f t="shared" si="115"/>
        <v>1.8875452711729638E-7</v>
      </c>
      <c r="AE16" s="629">
        <f t="shared" si="85"/>
        <v>-1.2572849195426624E-7</v>
      </c>
      <c r="AF16" s="633">
        <f t="shared" si="86"/>
        <v>-0.99999999999997435</v>
      </c>
      <c r="AG16" s="602">
        <f t="shared" si="87"/>
        <v>-7.2037119535241302E-6</v>
      </c>
      <c r="AH16" s="603">
        <f t="shared" si="88"/>
        <v>89.999989185162235</v>
      </c>
      <c r="AI16" s="585">
        <f t="shared" si="89"/>
        <v>-1.2976235990044085E-5</v>
      </c>
      <c r="AJ16" s="586">
        <f t="shared" si="90"/>
        <v>56.332604857307942</v>
      </c>
      <c r="AK16" s="635">
        <f t="shared" si="211"/>
        <v>2.2679489675997597E-7</v>
      </c>
      <c r="AL16" s="629">
        <f t="shared" si="91"/>
        <v>-1.4497021831816554E-17</v>
      </c>
      <c r="AM16" s="634">
        <f t="shared" si="92"/>
        <v>-0.99999999999997435</v>
      </c>
      <c r="AN16" s="581">
        <f t="shared" si="93"/>
        <v>-8.3061816647212342E-16</v>
      </c>
      <c r="AO16" s="582">
        <f t="shared" si="94"/>
        <v>0</v>
      </c>
      <c r="AP16" s="585">
        <f t="shared" si="95"/>
        <v>-3.6624200030002038E-9</v>
      </c>
      <c r="AQ16" s="586">
        <f t="shared" si="9"/>
        <v>1.4382790964896361</v>
      </c>
      <c r="AS16" s="52">
        <f t="shared" si="116"/>
        <v>-31.569695441899967</v>
      </c>
      <c r="AT16" s="72">
        <f t="shared" si="10"/>
        <v>6.28008393945945E-3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1.2070000000000001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1.107</v>
      </c>
      <c r="II16" s="734" cm="1">
        <f t="array" ref="II16">IFERROR(ROUND(VALUE(IF($IH16&lt;1,$IH16+LARGE((IF($M$9:$M$150="",0,$M$9:$M$150)-MOD(IF($M$9:$M$150="",0,$M$9:$M$150),1)),1),$IH16)),4),"")</f>
        <v>1.107</v>
      </c>
      <c r="IJ16" s="533">
        <f t="shared" si="112"/>
        <v>1313</v>
      </c>
      <c r="IK16" s="533" t="str">
        <f t="shared" si="66"/>
        <v>Inactive</v>
      </c>
      <c r="IL16" s="727">
        <f>IF(ISNUMBER($II16),IFERROR(IF(INDEX($W$9:$W$150,MATCH($II16,$M$9:$M$150,0))&lt;$W16,((INDEX($W$9:$W$150,MATCH($II16,$M$9:$M$150,0))+360)-$W16),INDEX($W$9:$W$150,MATCH($II16,$M$9:$M$150,0))-$W16),""),"")</f>
        <v>33.045095228878608</v>
      </c>
      <c r="IM16" s="759">
        <v>4.5088980916760203E-2</v>
      </c>
      <c r="IN16" s="5">
        <f>IF(ISNUMBER($II16),(($IO16*12)/60)/$AS$3,"")</f>
        <v>0.48</v>
      </c>
      <c r="IO16" s="771">
        <v>240</v>
      </c>
      <c r="IP16" s="9">
        <f>IF(ISNUMBER($II16),(INDEX($X$9:$X$150,MATCH($II16,$M$9:$M$150,0))*-1),"")</f>
        <v>-1.584704779469615</v>
      </c>
      <c r="IQ16" s="5">
        <f>IF(ISNUMBER($II16),INDEX($Y$9:$Y$150,MATCH($II16,$M$9:$M$150,0)),"")</f>
        <v>-3.660011038593293E-2</v>
      </c>
      <c r="IR16" s="5">
        <f t="shared" si="71"/>
        <v>0.26600000000000001</v>
      </c>
      <c r="IS16" s="5">
        <f>IF(ISNUMBER($II16),$IR16*COS(RADIANS(INDEX($AO$9:$AO$150,MATCH($II16,$M$9:$M$150,0)))),"")</f>
        <v>0.25939558483053266</v>
      </c>
      <c r="IT16" s="727">
        <f>IF(ISNUMBER($II16),(-1*INDEX($AN$9:$AN$150,MATCH($II16,$M$9:$M$150,0))),"")</f>
        <v>12.514364847003474</v>
      </c>
      <c r="IU16" s="9">
        <f>IF(ISNUMBER($II16),-$X16,"")</f>
        <v>-1.584704779469615</v>
      </c>
      <c r="IV16" s="5">
        <f>IF(ISNUMBER($II16),$Y16,"")</f>
        <v>-1.7100051573755548E-2</v>
      </c>
      <c r="IW16" s="5">
        <f t="shared" si="76"/>
        <v>0.19500000000000001</v>
      </c>
      <c r="IX16" s="5">
        <f>IF(ISNUMBER($II16),$IW16*COS(RADIANS($AO16)),"")</f>
        <v>0.19500000000000001</v>
      </c>
      <c r="IY16" s="762">
        <f>IF(ISNUMBER($II16),(-1*$AN16),"")</f>
        <v>8.3061816647212342E-16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0.98422957915863662</v>
      </c>
      <c r="C17" s="708">
        <v>2.0867429369778678</v>
      </c>
      <c r="D17" s="709">
        <v>-0.16040048376785901</v>
      </c>
      <c r="E17" s="710">
        <v>-0.77669123787609629</v>
      </c>
      <c r="F17" s="708">
        <v>0.57922245501609348</v>
      </c>
      <c r="G17" s="711">
        <v>0.2474915526066031</v>
      </c>
      <c r="H17" s="710">
        <v>0.219</v>
      </c>
      <c r="I17" s="708">
        <v>0.42</v>
      </c>
      <c r="J17" s="570">
        <v>1.212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1111</v>
      </c>
      <c r="M17" s="168">
        <f t="shared" si="1"/>
        <v>1.212</v>
      </c>
      <c r="N17" s="632">
        <f t="shared" si="2"/>
        <v>0.98422957915863662</v>
      </c>
      <c r="O17" s="629">
        <f t="shared" si="3"/>
        <v>2.0867429369778678</v>
      </c>
      <c r="P17" s="633">
        <f t="shared" si="4"/>
        <v>-0.16040048376785901</v>
      </c>
      <c r="Q17" s="585">
        <f>IF(M17="","",IF(DEGREES(ATAN2(N17,O17))&lt;0,DEGREES(ATAN2(N17,O17))+360,IF(DEGREES(ATAN2(N17,O17))&gt;360,DEGREES(ATAN2(N17,O17))-360,DEGREES(ATAN2(N17,O17)))))</f>
        <v>64.748703645836116</v>
      </c>
      <c r="R17" s="629">
        <f>IF(M17="","",SQRT(N17^2+O17^2))</f>
        <v>2.3072069585361872</v>
      </c>
      <c r="S17" s="634">
        <f>IF(M17="","",P17)</f>
        <v>-0.16040048376785901</v>
      </c>
      <c r="T17" s="635">
        <f>IF(M17="","",X17*COS(RADIANS(W17)))</f>
        <v>2.1213708695026932</v>
      </c>
      <c r="U17" s="629">
        <f>IF(M17="","",X17*SIN(RADIANS(W17)))</f>
        <v>-0.90718773335136671</v>
      </c>
      <c r="V17" s="636">
        <f>IF(M17="","",Y17)</f>
        <v>-0.16040048376785901</v>
      </c>
      <c r="W17" s="585">
        <f t="shared" si="224"/>
        <v>336.8464033429658</v>
      </c>
      <c r="X17" s="629">
        <f>IF(M17="","",R17)</f>
        <v>2.3072069585361872</v>
      </c>
      <c r="Y17" s="630">
        <f t="shared" si="223"/>
        <v>-0.16040048376785901</v>
      </c>
      <c r="Z17" s="632">
        <f t="shared" si="6"/>
        <v>0.77669123787609629</v>
      </c>
      <c r="AA17" s="629">
        <f t="shared" si="7"/>
        <v>-0.57922245501609348</v>
      </c>
      <c r="AB17" s="629">
        <f t="shared" si="8"/>
        <v>-0.2474915526066031</v>
      </c>
      <c r="AC17" s="636">
        <f>IF(M17="","",SQRT(Z17^2+AA17^2+AB17^2))</f>
        <v>1</v>
      </c>
      <c r="AD17" s="637">
        <f>IF(M17="","",Z17*(1/SQRT(Z17^2+AA17^2+AB17^2)))</f>
        <v>0.77669123787609629</v>
      </c>
      <c r="AE17" s="629">
        <f>IF(M17="","",AA17*(1/SQRT(Z17^2+AA17^2+AB17^2)))</f>
        <v>-0.57922245501609348</v>
      </c>
      <c r="AF17" s="633">
        <f>IF(M17="","",AB17*(1/SQRT(Z17^2+AA17^2+AB17^2)))</f>
        <v>-0.2474915526066031</v>
      </c>
      <c r="AG17" s="602">
        <f>IF(M17="","",DEGREES(ATAN2(-AF17,AE17)))</f>
        <v>-66.863834773427214</v>
      </c>
      <c r="AH17" s="603">
        <f>IF(M17="","",DEGREES(ACOS(AD17)))</f>
        <v>39.041381355608202</v>
      </c>
      <c r="AI17" s="585">
        <f>IF(M17="","",DEGREES(-ACOS(-AF17)))</f>
        <v>-75.670875306496185</v>
      </c>
      <c r="AJ17" s="586">
        <f>IF(M17="","",DEGREES(ATAN2(-AE17,AD17)))</f>
        <v>53.286029724908474</v>
      </c>
      <c r="AK17" s="635">
        <f>IF(M17="","",(COS(RADIANS((90-$Q$8)-W17))*AD17)+(-SIN(RADIANS((90-$Q$8)-W17))*AE17))</f>
        <v>0.94956493602994674</v>
      </c>
      <c r="AL17" s="629">
        <f>IF(M17="","",(SIN(RADIANS((90-$Q$8)-W17))*AD17)+(COS(RADIANS((90-$Q$8)-W17))*AE17))</f>
        <v>-0.19254704269558726</v>
      </c>
      <c r="AM17" s="634">
        <f>IF(M17="","",AF17)</f>
        <v>-0.2474915526066031</v>
      </c>
      <c r="AN17" s="581">
        <f>IF(M17="","",DEGREES(ATAN2(-AM17,AL17)))</f>
        <v>-37.882716286768925</v>
      </c>
      <c r="AO17" s="582">
        <f t="shared" si="94"/>
        <v>18.274535216340848</v>
      </c>
      <c r="AP17" s="585">
        <f>IF(M17="","",DEGREES(ATAN2(AK17,AL17)))</f>
        <v>-11.462673920927646</v>
      </c>
      <c r="AQ17" s="586">
        <f t="shared" si="9"/>
        <v>0.98799141694088399</v>
      </c>
      <c r="AS17" s="52">
        <f t="shared" si="116"/>
        <v>-23.1535966570342</v>
      </c>
      <c r="AT17" s="72">
        <f t="shared" si="10"/>
        <v>-0.14286486129968967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1.212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1.1120000000000001</v>
      </c>
      <c r="II17" s="734" cm="1">
        <f t="array" ref="II17">IFERROR(ROUND(VALUE(IF($IH17&lt;1,$IH17+LARGE((IF($M$9:$M$150="",0,$M$9:$M$150)-MOD(IF($M$9:$M$150="",0,$M$9:$M$150),1)),1),$IH17)),4),"")</f>
        <v>1.1120000000000001</v>
      </c>
      <c r="IJ17" s="533">
        <f t="shared" si="112"/>
        <v>1313</v>
      </c>
      <c r="IK17" s="533">
        <f t="shared" si="66"/>
        <v>1111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23.1535966570342</v>
      </c>
      <c r="IM17" s="759">
        <v>8.9303805324778308E-3</v>
      </c>
      <c r="IN17" s="5">
        <f t="shared" ref="IN17:IN80" si="226">IF(ISNUMBER($II17),(($IO17*12)/60)/$AS$3,"")</f>
        <v>0.14000000000000001</v>
      </c>
      <c r="IO17" s="771">
        <v>70</v>
      </c>
      <c r="IP17" s="9">
        <f t="shared" ref="IP17:IP80" si="227">IF(ISNUMBER($II17),(INDEX($X$9:$X$150,MATCH($II17,$M$9:$M$150,0))*-1),"")</f>
        <v>-2.2893069045496239</v>
      </c>
      <c r="IQ17" s="5">
        <f t="shared" ref="IQ17:IQ80" si="228">IF(ISNUMBER($II17),INDEX($Y$9:$Y$150,MATCH($II17,$M$9:$M$150,0)),"")</f>
        <v>-0.19830059807460382</v>
      </c>
      <c r="IR17" s="5">
        <f t="shared" si="71"/>
        <v>0.26600000000000001</v>
      </c>
      <c r="IS17" s="5">
        <f t="shared" ref="IS17:IS80" si="229">IF(ISNUMBER($II17),$IR17*COS(RADIANS(INDEX($AO$9:$AO$150,MATCH($II17,$M$9:$M$150,0)))),"")</f>
        <v>0.25856415289184109</v>
      </c>
      <c r="IT17" s="727">
        <f t="shared" ref="IT17:IT80" si="230">IF(ISNUMBER($II17),(-1*INDEX($AN$9:$AN$150,MATCH($II17,$M$9:$M$150,0))),"")</f>
        <v>43.980124589731041</v>
      </c>
      <c r="IU17" s="9">
        <f t="shared" ref="IU17:IU80" si="231">IF(ISNUMBER($II17),-$X17,"")</f>
        <v>-2.3072069585361872</v>
      </c>
      <c r="IV17" s="5">
        <f t="shared" ref="IV17:IV80" si="232">IF(ISNUMBER($II17),$Y17,"")</f>
        <v>-0.16040048376785901</v>
      </c>
      <c r="IW17" s="5">
        <f t="shared" si="76"/>
        <v>0.219</v>
      </c>
      <c r="IX17" s="5">
        <f t="shared" ref="IX17:IX80" si="233">IF(ISNUMBER($II17),$IW17*COS(RADIANS($AO17)),"")</f>
        <v>0.20795472099055834</v>
      </c>
      <c r="IY17" s="762">
        <f t="shared" ref="IY17:IY80" si="234">IF(ISNUMBER($II17),(-1*$AN17),"")</f>
        <v>37.882716286768925</v>
      </c>
    </row>
    <row r="18" spans="1:269" ht="15" customHeight="1" x14ac:dyDescent="0.25">
      <c r="A18" s="79"/>
      <c r="B18" s="707">
        <v>1.1683232173007367</v>
      </c>
      <c r="C18" s="708">
        <v>2.6080818552354965</v>
      </c>
      <c r="D18" s="709">
        <v>-0.60180181503427421</v>
      </c>
      <c r="E18" s="710">
        <v>-0.71144032006843094</v>
      </c>
      <c r="F18" s="708">
        <v>0.67773780570149045</v>
      </c>
      <c r="G18" s="711">
        <v>0.18580672136351162</v>
      </c>
      <c r="H18" s="710">
        <v>0.219</v>
      </c>
      <c r="I18" s="708">
        <v>0.42</v>
      </c>
      <c r="J18" s="570">
        <v>1.2170000000000001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1111</v>
      </c>
      <c r="L18" s="779" t="s">
        <v>331</v>
      </c>
      <c r="M18" s="168">
        <f t="shared" si="1"/>
        <v>1.2170000000000001</v>
      </c>
      <c r="N18" s="632">
        <f t="shared" si="2"/>
        <v>1.1683232173007367</v>
      </c>
      <c r="O18" s="629">
        <f t="shared" si="3"/>
        <v>2.6080818552354965</v>
      </c>
      <c r="P18" s="633">
        <f t="shared" si="4"/>
        <v>-0.60180181503427421</v>
      </c>
      <c r="Q18" s="585">
        <f t="shared" si="113"/>
        <v>65.869403484027089</v>
      </c>
      <c r="R18" s="629">
        <f>IF(M18="","",SQRT(N18^2+O18^2))</f>
        <v>2.857808619150795</v>
      </c>
      <c r="S18" s="634">
        <f>IF(M18="","",P18)</f>
        <v>-0.60180181503427421</v>
      </c>
      <c r="T18" s="635">
        <f>IF(M18="","",X18*COS(RADIANS(W18)))</f>
        <v>2.6490989074996243</v>
      </c>
      <c r="U18" s="629">
        <f>IF(M18="","",X18*SIN(RADIANS(W18)))</f>
        <v>-1.072075128886437</v>
      </c>
      <c r="V18" s="636">
        <f>IF(M18="","",Y18)</f>
        <v>-0.60180181503427421</v>
      </c>
      <c r="W18" s="585">
        <f t="shared" si="224"/>
        <v>337.96710318115674</v>
      </c>
      <c r="X18" s="629">
        <f>IF(M18="","",R18)</f>
        <v>2.857808619150795</v>
      </c>
      <c r="Y18" s="630">
        <f t="shared" si="223"/>
        <v>-0.60180181503427421</v>
      </c>
      <c r="Z18" s="632">
        <f t="shared" si="6"/>
        <v>0.71144032006843094</v>
      </c>
      <c r="AA18" s="629">
        <f t="shared" si="7"/>
        <v>-0.67773780570149045</v>
      </c>
      <c r="AB18" s="629">
        <f t="shared" si="8"/>
        <v>-0.18580672136351162</v>
      </c>
      <c r="AC18" s="636">
        <f>IF(M18="","",SQRT(Z18^2+AA18^2+AB18^2))</f>
        <v>1</v>
      </c>
      <c r="AD18" s="637">
        <f>IF(M18="","",Z18*(1/SQRT(Z18^2+AA18^2+AB18^2)))</f>
        <v>0.71144032006843094</v>
      </c>
      <c r="AE18" s="629">
        <f>IF(M18="","",AA18*(1/SQRT(Z18^2+AA18^2+AB18^2)))</f>
        <v>-0.67773780570149045</v>
      </c>
      <c r="AF18" s="633">
        <f>IF(M18="","",AB18*(1/SQRT(Z18^2+AA18^2+AB18^2)))</f>
        <v>-0.18580672136351162</v>
      </c>
      <c r="AG18" s="602">
        <f>IF(M18="","",DEGREES(ATAN2(-AF18,AE18)))</f>
        <v>-74.668650460624463</v>
      </c>
      <c r="AH18" s="603">
        <f>IF(M18="","",DEGREES(ACOS(AD18)))</f>
        <v>44.647775117911202</v>
      </c>
      <c r="AI18" s="585">
        <f>IF(M18="","",DEGREES(-ACOS(-AF18)))</f>
        <v>-79.291830363480187</v>
      </c>
      <c r="AJ18" s="586">
        <f>IF(M18="","",DEGREES(ATAN2(-AE18,AD18)))</f>
        <v>46.38976642063362</v>
      </c>
      <c r="AK18" s="635">
        <f>IF(M18="","",(COS(RADIANS((90-$Q$8)-W18))*AD18)+(-SIN(RADIANS((90-$Q$8)-W18))*AE18))</f>
        <v>0.92634313780030908</v>
      </c>
      <c r="AL18" s="629">
        <f>IF(M18="","",(SIN(RADIANS((90-$Q$8)-W18))*AD18)+(COS(RADIANS((90-$Q$8)-W18))*AE18))</f>
        <v>-0.32766484911631899</v>
      </c>
      <c r="AM18" s="634">
        <f>IF(M18="","",AF18)</f>
        <v>-0.18580672136351162</v>
      </c>
      <c r="AN18" s="581">
        <f>IF(M18="","",DEGREES(ATAN2(-AM18,AL18)))</f>
        <v>-60.44401750262363</v>
      </c>
      <c r="AO18" s="582">
        <f t="shared" si="94"/>
        <v>22.128231900861248</v>
      </c>
      <c r="AP18" s="585">
        <f>IF(M18="","",DEGREES(ATAN2(AK18,AL18)))</f>
        <v>-19.479637063393437</v>
      </c>
      <c r="AQ18" s="586">
        <f t="shared" si="9"/>
        <v>0.79766690095203219</v>
      </c>
      <c r="AS18" s="52">
        <f t="shared" si="116"/>
        <v>-22.032896818843255</v>
      </c>
      <c r="AT18" s="72">
        <f t="shared" si="10"/>
        <v>-0.58504445634262636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1.2170000000000001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1.117</v>
      </c>
      <c r="II18" s="734" cm="1">
        <f t="array" ref="II18">IFERROR(ROUND(VALUE(IF($IH18&lt;1,$IH18+LARGE((IF($M$9:$M$150="",0,$M$9:$M$150)-MOD(IF($M$9:$M$150="",0,$M$9:$M$150),1)),1),$IH18)),4),"")</f>
        <v>1.117</v>
      </c>
      <c r="IJ18" s="533">
        <f t="shared" si="112"/>
        <v>1313</v>
      </c>
      <c r="IK18" s="533">
        <f t="shared" si="66"/>
        <v>1111</v>
      </c>
      <c r="IL18" s="727">
        <f t="shared" si="225"/>
        <v>21.081996956136209</v>
      </c>
      <c r="IM18" s="759">
        <v>6.2285915488190001E-3</v>
      </c>
      <c r="IN18" s="5">
        <f t="shared" si="226"/>
        <v>0.12</v>
      </c>
      <c r="IO18" s="771">
        <v>60</v>
      </c>
      <c r="IP18" s="9">
        <f t="shared" si="227"/>
        <v>-2.8241085175112888</v>
      </c>
      <c r="IQ18" s="5">
        <f t="shared" si="228"/>
        <v>-0.63160190491134527</v>
      </c>
      <c r="IR18" s="5">
        <f t="shared" si="71"/>
        <v>0.26600000000000001</v>
      </c>
      <c r="IS18" s="5">
        <f t="shared" si="229"/>
        <v>0.25371340907596879</v>
      </c>
      <c r="IT18" s="727">
        <f t="shared" si="230"/>
        <v>65.6164374955748</v>
      </c>
      <c r="IU18" s="9">
        <f t="shared" si="231"/>
        <v>-2.857808619150795</v>
      </c>
      <c r="IV18" s="5">
        <f t="shared" si="232"/>
        <v>-0.60180181503427421</v>
      </c>
      <c r="IW18" s="5">
        <f t="shared" si="76"/>
        <v>0.219</v>
      </c>
      <c r="IX18" s="5">
        <f t="shared" si="233"/>
        <v>0.20286914717826768</v>
      </c>
      <c r="IY18" s="762">
        <f t="shared" si="234"/>
        <v>60.44401750262363</v>
      </c>
    </row>
    <row r="19" spans="1:269" ht="15" customHeight="1" thickBot="1" x14ac:dyDescent="0.3">
      <c r="A19" s="79"/>
      <c r="B19" s="707">
        <v>1.3519275842240561</v>
      </c>
      <c r="C19" s="708">
        <v>2.8561022472267377</v>
      </c>
      <c r="D19" s="709">
        <v>-1.2385037353272659</v>
      </c>
      <c r="E19" s="710">
        <v>-0.54631601971795307</v>
      </c>
      <c r="F19" s="708">
        <v>0.82934709172314469</v>
      </c>
      <c r="G19" s="711">
        <v>0.11714182877988145</v>
      </c>
      <c r="H19" s="710">
        <v>0.219</v>
      </c>
      <c r="I19" s="708">
        <v>0.42</v>
      </c>
      <c r="J19" s="570">
        <v>1.222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1111</v>
      </c>
      <c r="L19" s="775" t="s">
        <v>366</v>
      </c>
      <c r="M19" s="168">
        <f t="shared" si="1"/>
        <v>1.222</v>
      </c>
      <c r="N19" s="632">
        <f t="shared" si="2"/>
        <v>1.3519275842240561</v>
      </c>
      <c r="O19" s="629">
        <f t="shared" si="3"/>
        <v>2.8561022472267377</v>
      </c>
      <c r="P19" s="633">
        <f t="shared" si="4"/>
        <v>-1.2385037353272659</v>
      </c>
      <c r="Q19" s="585">
        <f t="shared" si="113"/>
        <v>64.669603657256729</v>
      </c>
      <c r="R19" s="629">
        <f>IF(M19="","",SQRT(N19^2+O19^2))</f>
        <v>3.1599095302871429</v>
      </c>
      <c r="S19" s="634">
        <f>IF(M19="","",P19)</f>
        <v>-1.2385037353272659</v>
      </c>
      <c r="T19" s="635">
        <f>IF(M19="","",X19*COS(RADIANS(W19)))</f>
        <v>2.9036736706938941</v>
      </c>
      <c r="U19" s="629">
        <f>IF(M19="","",X19*SIN(RADIANS(W19)))</f>
        <v>-1.2464780197494696</v>
      </c>
      <c r="V19" s="636">
        <f>IF(M19="","",Y19)</f>
        <v>-1.2385037353272659</v>
      </c>
      <c r="W19" s="585">
        <f t="shared" si="224"/>
        <v>336.7673033543864</v>
      </c>
      <c r="X19" s="629">
        <f>IF(M19="","",R19)</f>
        <v>3.1599095302871429</v>
      </c>
      <c r="Y19" s="630">
        <f t="shared" si="223"/>
        <v>-1.2385037353272659</v>
      </c>
      <c r="Z19" s="632">
        <f t="shared" si="6"/>
        <v>0.54631601971795307</v>
      </c>
      <c r="AA19" s="629">
        <f t="shared" si="7"/>
        <v>-0.82934709172314469</v>
      </c>
      <c r="AB19" s="629">
        <f t="shared" si="8"/>
        <v>-0.11714182877988145</v>
      </c>
      <c r="AC19" s="636">
        <f>IF(M19="","",SQRT(Z19^2+AA19^2+AB19^2))</f>
        <v>1</v>
      </c>
      <c r="AD19" s="637">
        <f>IF(M19="","",Z19*(1/SQRT(Z19^2+AA19^2+AB19^2)))</f>
        <v>0.54631601971795307</v>
      </c>
      <c r="AE19" s="629">
        <f>IF(M19="","",AA19*(1/SQRT(Z19^2+AA19^2+AB19^2)))</f>
        <v>-0.82934709172314469</v>
      </c>
      <c r="AF19" s="633">
        <f>IF(M19="","",AB19*(1/SQRT(Z19^2+AA19^2+AB19^2)))</f>
        <v>-0.11714182877988145</v>
      </c>
      <c r="AG19" s="602">
        <f>IF(M19="","",DEGREES(ATAN2(-AF19,AE19)))</f>
        <v>-81.960392274644278</v>
      </c>
      <c r="AH19" s="603">
        <f>IF(M19="","",DEGREES(ACOS(AD19)))</f>
        <v>56.885358233218284</v>
      </c>
      <c r="AI19" s="585">
        <f>IF(M19="","",DEGREES(-ACOS(-AF19)))</f>
        <v>-83.27282207430757</v>
      </c>
      <c r="AJ19" s="586">
        <f>IF(M19="","",DEGREES(ATAN2(-AE19,AD19)))</f>
        <v>33.374105131280963</v>
      </c>
      <c r="AK19" s="635">
        <f>IF(M19="","",(COS(RADIANS((90-$Q$8)-W19))*AD19)+(-SIN(RADIANS((90-$Q$8)-W19))*AE19))</f>
        <v>0.84861658098333437</v>
      </c>
      <c r="AL19" s="629">
        <f>IF(M19="","",(SIN(RADIANS((90-$Q$8)-W19))*AD19)+(COS(RADIANS((90-$Q$8)-W19))*AE19))</f>
        <v>-0.51587565403909186</v>
      </c>
      <c r="AM19" s="634">
        <f>IF(M19="","",AF19)</f>
        <v>-0.11714182877988145</v>
      </c>
      <c r="AN19" s="581">
        <f>IF(M19="","",DEGREES(ATAN2(-AM19,AL19)))</f>
        <v>-77.206574008247273</v>
      </c>
      <c r="AO19" s="582">
        <f t="shared" si="94"/>
        <v>31.938481581048062</v>
      </c>
      <c r="AP19" s="585">
        <f>IF(M19="","",DEGREES(ATAN2(AK19,AL19)))</f>
        <v>-31.295498525975788</v>
      </c>
      <c r="AQ19" s="586">
        <f t="shared" si="9"/>
        <v>0.72141500783391133</v>
      </c>
      <c r="AS19" s="52">
        <f t="shared" si="116"/>
        <v>-23.232696645613601</v>
      </c>
      <c r="AT19" s="72">
        <f t="shared" si="10"/>
        <v>-1.2209131823114721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>Gage</v>
      </c>
      <c r="IG19" s="847">
        <f t="shared" si="210"/>
        <v>1.222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1.1220000000000001</v>
      </c>
      <c r="II19" s="734" cm="1">
        <f t="array" ref="II19">IFERROR(ROUND(VALUE(IF($IH19&lt;1,$IH19+LARGE((IF($M$9:$M$150="",0,$M$9:$M$150)-MOD(IF($M$9:$M$150="",0,$M$9:$M$150),1)),1),$IH19)),4),"")</f>
        <v>1.1220000000000001</v>
      </c>
      <c r="IJ19" s="533">
        <f t="shared" si="112"/>
        <v>1313</v>
      </c>
      <c r="IK19" s="533">
        <f t="shared" si="66"/>
        <v>1111</v>
      </c>
      <c r="IL19" s="727">
        <f t="shared" si="225"/>
        <v>21.156796945336396</v>
      </c>
      <c r="IM19" s="759">
        <v>3.32836251050665E-3</v>
      </c>
      <c r="IN19" s="5">
        <f t="shared" si="226"/>
        <v>0.1</v>
      </c>
      <c r="IO19" s="771">
        <v>50</v>
      </c>
      <c r="IP19" s="9">
        <f t="shared" si="227"/>
        <v>-3.1147093939635311</v>
      </c>
      <c r="IQ19" s="5">
        <f t="shared" si="228"/>
        <v>-1.2540037820754073</v>
      </c>
      <c r="IR19" s="5">
        <f t="shared" si="71"/>
        <v>0.26600000000000001</v>
      </c>
      <c r="IS19" s="5">
        <f t="shared" si="229"/>
        <v>0.23669426485113926</v>
      </c>
      <c r="IT19" s="727">
        <f t="shared" si="230"/>
        <v>79.745840367626755</v>
      </c>
      <c r="IU19" s="9">
        <f t="shared" si="231"/>
        <v>-3.1599095302871429</v>
      </c>
      <c r="IV19" s="5">
        <f t="shared" si="232"/>
        <v>-1.2385037353272659</v>
      </c>
      <c r="IW19" s="5">
        <f t="shared" si="76"/>
        <v>0.219</v>
      </c>
      <c r="IX19" s="5">
        <f t="shared" si="233"/>
        <v>0.18584703123535026</v>
      </c>
      <c r="IY19" s="762">
        <f t="shared" si="234"/>
        <v>77.206574008247273</v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2.1136059157296359</v>
      </c>
      <c r="C20" s="708">
        <v>0.45680630314610399</v>
      </c>
      <c r="D20" s="709">
        <v>-0.14240042947969533</v>
      </c>
      <c r="E20" s="710">
        <v>-6.5557491157091932E-2</v>
      </c>
      <c r="F20" s="708">
        <v>0.98100865657951608</v>
      </c>
      <c r="G20" s="711">
        <v>0.18254925655625406</v>
      </c>
      <c r="H20" s="710">
        <v>0.26600000000000001</v>
      </c>
      <c r="I20" s="708">
        <v>0.52</v>
      </c>
      <c r="J20" s="570">
        <v>2.1110000000000002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240</v>
      </c>
      <c r="M20" s="168">
        <f t="shared" si="1"/>
        <v>2.1110000000000002</v>
      </c>
      <c r="N20" s="632">
        <f t="shared" si="2"/>
        <v>2.1136059157296359</v>
      </c>
      <c r="O20" s="629">
        <f t="shared" si="3"/>
        <v>0.45680630314610399</v>
      </c>
      <c r="P20" s="633">
        <f t="shared" si="4"/>
        <v>-0.14240042947969533</v>
      </c>
      <c r="Q20" s="585">
        <f t="shared" si="113"/>
        <v>12.195559256002273</v>
      </c>
      <c r="R20" s="629">
        <f>IF(M20="","",SQRT(N20^2+O20^2))</f>
        <v>2.1624065218180699</v>
      </c>
      <c r="S20" s="634">
        <f>IF(M20="","",P20)</f>
        <v>-0.14240042947969533</v>
      </c>
      <c r="T20" s="635">
        <f>IF(M20="","",X20*COS(RADIANS(W20)))</f>
        <v>0.5338657405335071</v>
      </c>
      <c r="U20" s="629">
        <f>IF(M20="","",X20*SIN(RADIANS(W20)))</f>
        <v>-2.0954687629945554</v>
      </c>
      <c r="V20" s="636">
        <f>IF(M20="","",Y20)</f>
        <v>-0.14240042947969533</v>
      </c>
      <c r="W20" s="585">
        <f t="shared" si="224"/>
        <v>284.29325895313195</v>
      </c>
      <c r="X20" s="629">
        <f>IF(M20="","",R20)</f>
        <v>2.1624065218180699</v>
      </c>
      <c r="Y20" s="630">
        <f t="shared" si="223"/>
        <v>-0.14240042947969533</v>
      </c>
      <c r="Z20" s="632">
        <f t="shared" si="6"/>
        <v>6.5557491157091932E-2</v>
      </c>
      <c r="AA20" s="629">
        <f t="shared" si="7"/>
        <v>-0.98100865657951608</v>
      </c>
      <c r="AB20" s="629">
        <f t="shared" si="8"/>
        <v>-0.18254925655625406</v>
      </c>
      <c r="AC20" s="636">
        <f>IF(M20="","",SQRT(Z20^2+AA20^2+AB20^2))</f>
        <v>1</v>
      </c>
      <c r="AD20" s="637">
        <f>IF(M20="","",Z20*(1/SQRT(Z20^2+AA20^2+AB20^2)))</f>
        <v>6.5557491157091932E-2</v>
      </c>
      <c r="AE20" s="629">
        <f>IF(M20="","",AA20*(1/SQRT(Z20^2+AA20^2+AB20^2)))</f>
        <v>-0.98100865657951608</v>
      </c>
      <c r="AF20" s="633">
        <f>IF(M20="","",AB20*(1/SQRT(Z20^2+AA20^2+AB20^2)))</f>
        <v>-0.18254925655625406</v>
      </c>
      <c r="AG20" s="602">
        <f>IF(M20="","",DEGREES(ATAN2(-AF20,AE20)))</f>
        <v>-79.458783025302125</v>
      </c>
      <c r="AH20" s="603">
        <f>IF(M20="","",DEGREES(ACOS(AD20)))</f>
        <v>86.241136691171363</v>
      </c>
      <c r="AI20" s="585">
        <f>IF(M20="","",DEGREES(-ACOS(-AF20)))</f>
        <v>-79.481717866262329</v>
      </c>
      <c r="AJ20" s="586">
        <f>IF(M20="","",DEGREES(ATAN2(-AE20,AD20)))</f>
        <v>3.8231987464243464</v>
      </c>
      <c r="AK20" s="635">
        <f>IF(M20="","",(COS(RADIANS((90-$Q$8)-W20))*AD20)+(-SIN(RADIANS((90-$Q$8)-W20))*AE20))</f>
        <v>0.97271847540442224</v>
      </c>
      <c r="AL20" s="629">
        <f>IF(M20="","",(SIN(RADIANS((90-$Q$8)-W20))*AD20)+(COS(RADIANS((90-$Q$8)-W20))*AE20))</f>
        <v>-0.14315913012328485</v>
      </c>
      <c r="AM20" s="634">
        <f>IF(M20="","",AF20)</f>
        <v>-0.18254925655625406</v>
      </c>
      <c r="AN20" s="581">
        <f>IF(M20="","",DEGREES(ATAN2(-AM20,AL20)))</f>
        <v>-38.104320344393457</v>
      </c>
      <c r="AO20" s="582">
        <f t="shared" si="94"/>
        <v>13.414184510139684</v>
      </c>
      <c r="AP20" s="585">
        <f>IF(M20="","",DEGREES(ATAN2(AK20,AL20)))</f>
        <v>-8.3723605095779572</v>
      </c>
      <c r="AQ20" s="586">
        <f t="shared" si="9"/>
        <v>1.0541354646137346</v>
      </c>
      <c r="AS20" s="52">
        <f t="shared" si="116"/>
        <v>-75.706741046868046</v>
      </c>
      <c r="AT20" s="72">
        <f t="shared" si="10"/>
        <v>-8.836956785191917E-2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2.1110000000000002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2.6848081071292187</v>
      </c>
      <c r="C21" s="708">
        <v>0.51315305322845917</v>
      </c>
      <c r="D21" s="709">
        <v>-0.52660158823039005</v>
      </c>
      <c r="E21" s="710">
        <v>5.4692964751229145E-2</v>
      </c>
      <c r="F21" s="708">
        <v>0.99127944827090575</v>
      </c>
      <c r="G21" s="711">
        <v>0.11989051272911225</v>
      </c>
      <c r="H21" s="710">
        <v>0.26600000000000001</v>
      </c>
      <c r="I21" s="708">
        <v>0.52</v>
      </c>
      <c r="J21" s="570">
        <v>2.1160000000000001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2.1160000000000001</v>
      </c>
      <c r="N21" s="632">
        <f t="shared" si="2"/>
        <v>2.6848081071292187</v>
      </c>
      <c r="O21" s="629">
        <f t="shared" si="3"/>
        <v>0.51315305322845917</v>
      </c>
      <c r="P21" s="633">
        <f t="shared" si="4"/>
        <v>-0.52660158823039005</v>
      </c>
      <c r="Q21" s="585">
        <f t="shared" si="113"/>
        <v>10.820559454527682</v>
      </c>
      <c r="R21" s="629">
        <f>IF(M21="","",SQRT(N21^2+O21^2))</f>
        <v>2.7334082439592642</v>
      </c>
      <c r="S21" s="634">
        <f>IF(M21="","",P21)</f>
        <v>-0.52660158823039005</v>
      </c>
      <c r="T21" s="635">
        <f>IF(M21="","",X21*COS(RADIANS(W21)))</f>
        <v>0.61108278019201911</v>
      </c>
      <c r="U21" s="629">
        <f>IF(M21="","",X21*SIN(RADIANS(W21)))</f>
        <v>-2.6642256781093567</v>
      </c>
      <c r="V21" s="636">
        <f>IF(M21="","",Y21)</f>
        <v>-0.52660158823039005</v>
      </c>
      <c r="W21" s="585">
        <f t="shared" si="224"/>
        <v>282.91825915165737</v>
      </c>
      <c r="X21" s="629">
        <f>IF(M21="","",R21)</f>
        <v>2.7334082439592642</v>
      </c>
      <c r="Y21" s="630">
        <f t="shared" si="223"/>
        <v>-0.52660158823039005</v>
      </c>
      <c r="Z21" s="632">
        <f t="shared" si="6"/>
        <v>-5.4692964751229145E-2</v>
      </c>
      <c r="AA21" s="629">
        <f t="shared" si="7"/>
        <v>-0.99127944827090575</v>
      </c>
      <c r="AB21" s="629">
        <f t="shared" si="8"/>
        <v>-0.11989051272911225</v>
      </c>
      <c r="AC21" s="636">
        <f>IF(M21="","",SQRT(Z21^2+AA21^2+AB21^2))</f>
        <v>1</v>
      </c>
      <c r="AD21" s="637">
        <f>IF(M21="","",Z21*(1/SQRT(Z21^2+AA21^2+AB21^2)))</f>
        <v>-5.4692964751229145E-2</v>
      </c>
      <c r="AE21" s="629">
        <f>IF(M21="","",AA21*(1/SQRT(Z21^2+AA21^2+AB21^2)))</f>
        <v>-0.99127944827090575</v>
      </c>
      <c r="AF21" s="633">
        <f>IF(M21="","",AB21*(1/SQRT(Z21^2+AA21^2+AB21^2)))</f>
        <v>-0.11989051272911225</v>
      </c>
      <c r="AG21" s="602">
        <f>IF(M21="","",DEGREES(ATAN2(-AF21,AE21)))</f>
        <v>-83.103844145794767</v>
      </c>
      <c r="AH21" s="603">
        <f>IF(M21="","",DEGREES(ACOS(AD21)))</f>
        <v>93.135240460910182</v>
      </c>
      <c r="AI21" s="585">
        <f>IF(M21="","",DEGREES(-ACOS(-AF21)))</f>
        <v>-83.114216197553546</v>
      </c>
      <c r="AJ21" s="586">
        <f>IF(M21="","",DEGREES(ATAN2(-AE21,AD21)))</f>
        <v>-3.1580418847355598</v>
      </c>
      <c r="AK21" s="635">
        <f>IF(M21="","",(COS(RADIANS((90-$Q$8)-W21))*AD21)+(-SIN(RADIANS((90-$Q$8)-W21))*AE21))</f>
        <v>0.96338673270473285</v>
      </c>
      <c r="AL21" s="629">
        <f>IF(M21="","",(SIN(RADIANS((90-$Q$8)-W21))*AD21)+(COS(RADIANS((90-$Q$8)-W21))*AE21))</f>
        <v>-0.23981715577925222</v>
      </c>
      <c r="AM21" s="634">
        <f>IF(M21="","",AF21)</f>
        <v>-0.11989051272911225</v>
      </c>
      <c r="AN21" s="581">
        <f>IF(M21="","",DEGREES(ATAN2(-AM21,AL21)))</f>
        <v>-63.438401749007753</v>
      </c>
      <c r="AO21" s="582">
        <f>IF(ROUND(IF(M21="",0,DEGREES(ACOS(AK21))),4)=90,0,IF(M21="","",DEGREES(ACOS(AK21))))</f>
        <v>15.552167928275855</v>
      </c>
      <c r="AP21" s="585">
        <f>IF(M21="","",DEGREES(ATAN2(AK21,AL21)))</f>
        <v>-13.97860133926326</v>
      </c>
      <c r="AQ21" s="586">
        <f t="shared" si="9"/>
        <v>0.83396457154254844</v>
      </c>
      <c r="AS21" s="52">
        <f t="shared" si="116"/>
        <v>-77.081740848342633</v>
      </c>
      <c r="AT21" s="72">
        <f t="shared" si="10"/>
        <v>-0.47161586562936764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2.1160000000000001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3.0366980446143028</v>
      </c>
      <c r="C22" s="708">
        <v>0.53120443536085249</v>
      </c>
      <c r="D22" s="709">
        <v>-1.1192033755173805</v>
      </c>
      <c r="E22" s="710">
        <v>0.25248953142096048</v>
      </c>
      <c r="F22" s="708">
        <v>0.9626007760552564</v>
      </c>
      <c r="G22" s="711">
        <v>9.8228216214292882E-2</v>
      </c>
      <c r="H22" s="710">
        <v>0.26600000000000001</v>
      </c>
      <c r="I22" s="708">
        <v>0.52</v>
      </c>
      <c r="J22" s="570">
        <v>2.121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2.121</v>
      </c>
      <c r="N22" s="632">
        <f t="shared" si="2"/>
        <v>3.0366980446143028</v>
      </c>
      <c r="O22" s="629">
        <f t="shared" si="3"/>
        <v>0.53120443536085249</v>
      </c>
      <c r="P22" s="633">
        <f t="shared" si="4"/>
        <v>-1.1192033755173805</v>
      </c>
      <c r="Q22" s="585">
        <f t="shared" si="113"/>
        <v>9.9222595842261363</v>
      </c>
      <c r="R22" s="629">
        <f t="shared" si="79"/>
        <v>3.0828092977528421</v>
      </c>
      <c r="S22" s="634">
        <f t="shared" si="80"/>
        <v>-1.1192033755173805</v>
      </c>
      <c r="T22" s="635">
        <f t="shared" si="81"/>
        <v>0.64200249966215206</v>
      </c>
      <c r="U22" s="629">
        <f t="shared" si="82"/>
        <v>-3.0152190561779948</v>
      </c>
      <c r="V22" s="636">
        <f t="shared" si="114"/>
        <v>-1.1192033755173805</v>
      </c>
      <c r="W22" s="585">
        <f t="shared" si="224"/>
        <v>282.0199592813558</v>
      </c>
      <c r="X22" s="629">
        <f t="shared" si="83"/>
        <v>3.0828092977528421</v>
      </c>
      <c r="Y22" s="630">
        <f t="shared" si="223"/>
        <v>-1.1192033755173805</v>
      </c>
      <c r="Z22" s="632">
        <f t="shared" si="6"/>
        <v>-0.25248953142096048</v>
      </c>
      <c r="AA22" s="629">
        <f t="shared" si="7"/>
        <v>-0.9626007760552564</v>
      </c>
      <c r="AB22" s="629">
        <f t="shared" si="8"/>
        <v>-9.8228216214292882E-2</v>
      </c>
      <c r="AC22" s="636">
        <f t="shared" si="84"/>
        <v>1</v>
      </c>
      <c r="AD22" s="637">
        <f t="shared" si="115"/>
        <v>-0.25248953142096048</v>
      </c>
      <c r="AE22" s="629">
        <f t="shared" si="85"/>
        <v>-0.9626007760552564</v>
      </c>
      <c r="AF22" s="633">
        <f t="shared" si="86"/>
        <v>-9.8228216214292882E-2</v>
      </c>
      <c r="AG22" s="602">
        <f t="shared" si="87"/>
        <v>-84.173443117820227</v>
      </c>
      <c r="AH22" s="603">
        <f t="shared" si="88"/>
        <v>104.62487887144303</v>
      </c>
      <c r="AI22" s="585">
        <f t="shared" si="89"/>
        <v>-84.362847599104853</v>
      </c>
      <c r="AJ22" s="586">
        <f t="shared" si="90"/>
        <v>-14.697546605561863</v>
      </c>
      <c r="AK22" s="635">
        <f t="shared" si="211"/>
        <v>0.90469570642958796</v>
      </c>
      <c r="AL22" s="629">
        <f t="shared" si="91"/>
        <v>-0.41458038582068346</v>
      </c>
      <c r="AM22" s="634">
        <f t="shared" si="92"/>
        <v>-9.8228216214292882E-2</v>
      </c>
      <c r="AN22" s="581">
        <f t="shared" si="93"/>
        <v>-76.670479775443994</v>
      </c>
      <c r="AO22" s="582">
        <f t="shared" si="94"/>
        <v>25.217669033438064</v>
      </c>
      <c r="AP22" s="585">
        <f t="shared" si="95"/>
        <v>-24.619806189788008</v>
      </c>
      <c r="AQ22" s="586">
        <f t="shared" si="9"/>
        <v>0.73945542445599877</v>
      </c>
      <c r="AS22" s="52">
        <f t="shared" si="116"/>
        <v>-77.980040718644204</v>
      </c>
      <c r="AT22" s="72">
        <f t="shared" si="10"/>
        <v>-1.0635938335619819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2.121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3.110857065839796</v>
      </c>
      <c r="C23" s="708">
        <v>0.52896940166478967</v>
      </c>
      <c r="D23" s="709">
        <v>-1.7843053814650307</v>
      </c>
      <c r="E23" s="710">
        <v>0.34774966251040812</v>
      </c>
      <c r="F23" s="708">
        <v>0.93758742111009807</v>
      </c>
      <c r="G23" s="711">
        <v>1.1339743347200069E-7</v>
      </c>
      <c r="H23" s="710">
        <v>0.26600000000000001</v>
      </c>
      <c r="I23" s="708">
        <v>0.52</v>
      </c>
      <c r="J23" s="570">
        <v>2.1259999999999999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2.1259999999999999</v>
      </c>
      <c r="N23" s="632">
        <f t="shared" si="2"/>
        <v>3.110857065839796</v>
      </c>
      <c r="O23" s="629">
        <f t="shared" si="3"/>
        <v>0.52896940166478967</v>
      </c>
      <c r="P23" s="633">
        <f t="shared" si="4"/>
        <v>-1.7843053814650307</v>
      </c>
      <c r="Q23" s="585">
        <f t="shared" si="113"/>
        <v>9.6502596234980729</v>
      </c>
      <c r="R23" s="629">
        <f t="shared" si="79"/>
        <v>3.1555095170167036</v>
      </c>
      <c r="S23" s="634">
        <f t="shared" si="80"/>
        <v>-1.7843053814650307</v>
      </c>
      <c r="T23" s="635">
        <f t="shared" si="81"/>
        <v>0.64248344998554929</v>
      </c>
      <c r="U23" s="629">
        <f t="shared" si="82"/>
        <v>-3.0894101910360909</v>
      </c>
      <c r="V23" s="636">
        <f t="shared" si="114"/>
        <v>-1.7843053814650307</v>
      </c>
      <c r="W23" s="585">
        <f t="shared" si="224"/>
        <v>281.74795932062773</v>
      </c>
      <c r="X23" s="629">
        <f t="shared" si="83"/>
        <v>3.1555095170167036</v>
      </c>
      <c r="Y23" s="630">
        <f t="shared" si="223"/>
        <v>-1.7843053814650307</v>
      </c>
      <c r="Z23" s="632">
        <f t="shared" si="6"/>
        <v>-0.34774966251040812</v>
      </c>
      <c r="AA23" s="629">
        <f t="shared" si="7"/>
        <v>-0.93758742111009807</v>
      </c>
      <c r="AB23" s="629">
        <f t="shared" si="8"/>
        <v>-1.1339743347200069E-7</v>
      </c>
      <c r="AC23" s="636">
        <f t="shared" si="84"/>
        <v>1</v>
      </c>
      <c r="AD23" s="637">
        <f t="shared" si="115"/>
        <v>-0.34774966251040812</v>
      </c>
      <c r="AE23" s="629">
        <f t="shared" si="85"/>
        <v>-0.93758742111009807</v>
      </c>
      <c r="AF23" s="633">
        <f t="shared" si="86"/>
        <v>-1.1339743347200069E-7</v>
      </c>
      <c r="AG23" s="602">
        <f t="shared" si="87"/>
        <v>-89.999993070305564</v>
      </c>
      <c r="AH23" s="603">
        <f t="shared" si="88"/>
        <v>110.34973604503769</v>
      </c>
      <c r="AI23" s="585">
        <f t="shared" si="89"/>
        <v>-89.999993502805651</v>
      </c>
      <c r="AJ23" s="586">
        <f t="shared" si="90"/>
        <v>-20.349736045037822</v>
      </c>
      <c r="AK23" s="635">
        <f t="shared" si="211"/>
        <v>0.86602544158358574</v>
      </c>
      <c r="AL23" s="629">
        <f t="shared" si="91"/>
        <v>-0.49999993452993818</v>
      </c>
      <c r="AM23" s="634">
        <f t="shared" si="92"/>
        <v>-1.1339743347200069E-7</v>
      </c>
      <c r="AN23" s="581">
        <f t="shared" si="93"/>
        <v>-89.999987005609611</v>
      </c>
      <c r="AO23" s="582">
        <f t="shared" si="94"/>
        <v>29.99999566853651</v>
      </c>
      <c r="AP23" s="585">
        <f t="shared" si="95"/>
        <v>-29.999995668535888</v>
      </c>
      <c r="AQ23" s="586">
        <f t="shared" si="9"/>
        <v>0.7224208357088302</v>
      </c>
      <c r="AS23" s="52">
        <f t="shared" si="116"/>
        <v>-78.252040679372271</v>
      </c>
      <c r="AT23" s="72">
        <f t="shared" si="10"/>
        <v>-1.7285069506480155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2.1259999999999999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1111</v>
      </c>
      <c r="JB23" s="859" cm="1">
        <f t="array" ref="JB23">IF($JA23="","",COUNT(IF(IF($II$9:$II$150&lt;&gt;"",$IK$9:$IK$150,"")=$JA23,$IG$9:$IG$150,"")))</f>
        <v>15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8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70</v>
      </c>
      <c r="JI23" s="801">
        <v>50</v>
      </c>
    </row>
    <row r="24" spans="1:269" ht="15" customHeight="1" x14ac:dyDescent="0.25">
      <c r="A24" s="79"/>
      <c r="B24" s="707">
        <v>3.1427986817273594</v>
      </c>
      <c r="C24" s="708">
        <v>0.53440074649570046</v>
      </c>
      <c r="D24" s="709">
        <v>-2.4034072486762619</v>
      </c>
      <c r="E24" s="710">
        <v>0.4281424867472674</v>
      </c>
      <c r="F24" s="708">
        <v>0.90371124317552298</v>
      </c>
      <c r="G24" s="711">
        <v>1.3008419221962865E-7</v>
      </c>
      <c r="H24" s="710">
        <v>0.26600000000000001</v>
      </c>
      <c r="I24" s="708">
        <v>0.52</v>
      </c>
      <c r="J24" s="570">
        <v>2.1309999999999998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2.1309999999999998</v>
      </c>
      <c r="N24" s="632">
        <f t="shared" si="2"/>
        <v>3.1427986817273594</v>
      </c>
      <c r="O24" s="629">
        <f t="shared" si="3"/>
        <v>0.53440074649570046</v>
      </c>
      <c r="P24" s="633">
        <f t="shared" si="4"/>
        <v>-2.4034072486762619</v>
      </c>
      <c r="Q24" s="585">
        <f t="shared" si="113"/>
        <v>9.6502596234980746</v>
      </c>
      <c r="R24" s="629">
        <f t="shared" si="79"/>
        <v>3.1879096147353976</v>
      </c>
      <c r="S24" s="634">
        <f t="shared" si="80"/>
        <v>-2.4034072486762619</v>
      </c>
      <c r="T24" s="635">
        <f t="shared" si="81"/>
        <v>0.64908033281854927</v>
      </c>
      <c r="U24" s="629">
        <f t="shared" si="82"/>
        <v>-3.1211315949941221</v>
      </c>
      <c r="V24" s="636">
        <f t="shared" si="114"/>
        <v>-2.4034072486762619</v>
      </c>
      <c r="W24" s="585">
        <f t="shared" si="224"/>
        <v>281.74795932062773</v>
      </c>
      <c r="X24" s="629">
        <f t="shared" si="83"/>
        <v>3.1879096147353976</v>
      </c>
      <c r="Y24" s="630">
        <f t="shared" si="223"/>
        <v>-2.4034072486762619</v>
      </c>
      <c r="Z24" s="632">
        <f t="shared" si="6"/>
        <v>-0.4281424867472674</v>
      </c>
      <c r="AA24" s="629">
        <f t="shared" si="7"/>
        <v>-0.90371124317552298</v>
      </c>
      <c r="AB24" s="629">
        <f t="shared" si="8"/>
        <v>-1.3008419221962865E-7</v>
      </c>
      <c r="AC24" s="636">
        <f t="shared" si="84"/>
        <v>1</v>
      </c>
      <c r="AD24" s="637">
        <f t="shared" si="115"/>
        <v>-0.4281424867472674</v>
      </c>
      <c r="AE24" s="629">
        <f t="shared" si="85"/>
        <v>-0.90371124317552298</v>
      </c>
      <c r="AF24" s="633">
        <f t="shared" si="86"/>
        <v>-1.3008419221962865E-7</v>
      </c>
      <c r="AG24" s="602">
        <f t="shared" si="87"/>
        <v>-89.999991752592166</v>
      </c>
      <c r="AH24" s="603">
        <f t="shared" si="88"/>
        <v>115.34973532312698</v>
      </c>
      <c r="AI24" s="585">
        <f t="shared" si="89"/>
        <v>-89.999992546724798</v>
      </c>
      <c r="AJ24" s="586">
        <f t="shared" si="90"/>
        <v>-25.349735323127202</v>
      </c>
      <c r="AK24" s="635">
        <f>IF(M24="","",(COS(RADIANS((90-$Q$8)-W24))*AD24)+(-SIN(RADIANS((90-$Q$8)-W24))*AE24))</f>
        <v>0.81915209487729213</v>
      </c>
      <c r="AL24" s="629">
        <f t="shared" si="91"/>
        <v>-0.57357636410344448</v>
      </c>
      <c r="AM24" s="634">
        <f t="shared" si="92"/>
        <v>-1.3008419221962865E-7</v>
      </c>
      <c r="AN24" s="581">
        <f t="shared" si="93"/>
        <v>-89.999987005609611</v>
      </c>
      <c r="AO24" s="582">
        <f t="shared" si="94"/>
        <v>34.999994946625939</v>
      </c>
      <c r="AP24" s="585">
        <f t="shared" si="95"/>
        <v>-34.999994946625257</v>
      </c>
      <c r="AQ24" s="586">
        <f t="shared" si="9"/>
        <v>0.71507932809813057</v>
      </c>
      <c r="AS24" s="52">
        <f t="shared" si="116"/>
        <v>-78.252040679372271</v>
      </c>
      <c r="AT24" s="72">
        <f t="shared" si="10"/>
        <v>-2.3476088178592467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2.1309999999999998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Inactive</v>
      </c>
      <c r="JB24" s="856" cm="1">
        <f t="array" ref="JB24">IF($JA24="","",COUNT(IF(IF($II$9:$II$150&lt;&gt;"",$IK$9:$IK$150,"")=$JA24,$IG$9:$IG$150,"")))</f>
        <v>3</v>
      </c>
      <c r="JC24" s="5"/>
      <c r="JD24" s="5"/>
      <c r="JE24" s="10"/>
      <c r="JF24" s="247">
        <v>3</v>
      </c>
      <c r="JG24" s="803" t="str">
        <v/>
      </c>
      <c r="JH24" s="787">
        <v>240</v>
      </c>
      <c r="JI24" s="803" t="str">
        <v/>
      </c>
    </row>
    <row r="25" spans="1:269" ht="15" customHeight="1" x14ac:dyDescent="0.25">
      <c r="A25" s="79"/>
      <c r="B25" s="707">
        <v>2.7184474926794171</v>
      </c>
      <c r="C25" s="708">
        <v>-0.50033801148254675</v>
      </c>
      <c r="D25" s="709">
        <v>-0.49480149232130094</v>
      </c>
      <c r="E25" s="710">
        <v>0.45501127687470477</v>
      </c>
      <c r="F25" s="708">
        <v>0.8708083636926427</v>
      </c>
      <c r="G25" s="711">
        <v>0.18616533415164332</v>
      </c>
      <c r="H25" s="710">
        <v>0.219</v>
      </c>
      <c r="I25" s="708">
        <v>0.42</v>
      </c>
      <c r="J25" s="570">
        <v>2.2160000000000002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1111</v>
      </c>
      <c r="L25" s="320"/>
      <c r="M25" s="168">
        <f t="shared" si="1"/>
        <v>2.2160000000000002</v>
      </c>
      <c r="N25" s="632">
        <f t="shared" si="2"/>
        <v>2.7184474926794171</v>
      </c>
      <c r="O25" s="629">
        <f t="shared" si="3"/>
        <v>-0.50033801148254675</v>
      </c>
      <c r="P25" s="633">
        <f t="shared" si="4"/>
        <v>-0.49480149232130094</v>
      </c>
      <c r="Q25" s="585">
        <f t="shared" si="113"/>
        <v>349.57126252254659</v>
      </c>
      <c r="R25" s="629">
        <f>IF(M25="","",SQRT(N25^2+O25^2))</f>
        <v>2.7641083365507435</v>
      </c>
      <c r="S25" s="634">
        <f>IF(M25="","",P25)</f>
        <v>-0.49480149232130094</v>
      </c>
      <c r="T25" s="635">
        <f>IF(M25="","",X25*COS(RADIANS(W25)))</f>
        <v>-0.40049778561053873</v>
      </c>
      <c r="U25" s="629">
        <f>IF(M25="","",X25*SIN(RADIANS(W25)))</f>
        <v>-2.7349399298541046</v>
      </c>
      <c r="V25" s="636">
        <f>IF(M25="","",Y25)</f>
        <v>-0.49480149232130094</v>
      </c>
      <c r="W25" s="585">
        <f t="shared" si="224"/>
        <v>261.66896221967625</v>
      </c>
      <c r="X25" s="629">
        <f>IF(M25="","",R25)</f>
        <v>2.7641083365507435</v>
      </c>
      <c r="Y25" s="630">
        <f t="shared" si="223"/>
        <v>-0.49480149232130094</v>
      </c>
      <c r="Z25" s="632">
        <f t="shared" si="6"/>
        <v>-0.45501127687470477</v>
      </c>
      <c r="AA25" s="629">
        <f t="shared" si="7"/>
        <v>-0.8708083636926427</v>
      </c>
      <c r="AB25" s="629">
        <f t="shared" si="8"/>
        <v>-0.18616533415164332</v>
      </c>
      <c r="AC25" s="636">
        <f>IF(M25="","",SQRT(Z25^2+AA25^2+AB25^2))</f>
        <v>1</v>
      </c>
      <c r="AD25" s="637">
        <f>IF(M25="","",Z25*(1/SQRT(Z25^2+AA25^2+AB25^2)))</f>
        <v>-0.45501127687470477</v>
      </c>
      <c r="AE25" s="629">
        <f>IF(M25="","",AA25*(1/SQRT(Z25^2+AA25^2+AB25^2)))</f>
        <v>-0.8708083636926427</v>
      </c>
      <c r="AF25" s="633">
        <f>IF(M25="","",AB25*(1/SQRT(Z25^2+AA25^2+AB25^2)))</f>
        <v>-0.18616533415164332</v>
      </c>
      <c r="AG25" s="602">
        <f>IF(M25="","",DEGREES(ATAN2(-AF25,AE25)))</f>
        <v>-77.932702215450419</v>
      </c>
      <c r="AH25" s="603">
        <f>IF(M25="","",DEGREES(ACOS(AD25)))</f>
        <v>117.06565980506015</v>
      </c>
      <c r="AI25" s="585">
        <f>IF(M25="","",DEGREES(-ACOS(-AF25)))</f>
        <v>-79.270918502095512</v>
      </c>
      <c r="AJ25" s="586">
        <f>IF(M25="","",DEGREES(ATAN2(-AE25,AD25)))</f>
        <v>-27.587786454700975</v>
      </c>
      <c r="AK25" s="635">
        <f>IF(M25="","",(COS(RADIANS((90-$Q$8)-W25))*AD25)+(-SIN(RADIANS((90-$Q$8)-W25))*AE25))</f>
        <v>0.93878601502149095</v>
      </c>
      <c r="AL25" s="629">
        <f>IF(M25="","",(SIN(RADIANS((90-$Q$8)-W25))*AD25)+(COS(RADIANS((90-$Q$8)-W25))*AE25))</f>
        <v>-0.28986770492808656</v>
      </c>
      <c r="AM25" s="634">
        <f>IF(M25="","",AF25)</f>
        <v>-0.18616533415164332</v>
      </c>
      <c r="AN25" s="581">
        <f>IF(M25="","",DEGREES(ATAN2(-AM25,AL25)))</f>
        <v>-57.289702732859347</v>
      </c>
      <c r="AO25" s="582">
        <f>IF(ROUND(IF(M25="",0,DEGREES(ACOS(AK25))),4)=90,0,IF(M25="","",DEGREES(ACOS(AK25))))</f>
        <v>20.151327217173922</v>
      </c>
      <c r="AP25" s="585">
        <f>IF(M25="","",DEGREES(ATAN2(AK25,AL25)))</f>
        <v>-17.159048977247561</v>
      </c>
      <c r="AQ25" s="586">
        <f t="shared" si="9"/>
        <v>0.82470327261205567</v>
      </c>
      <c r="AS25" s="52">
        <f t="shared" si="116"/>
        <v>-98.331037780323754</v>
      </c>
      <c r="AT25" s="72">
        <f t="shared" si="10"/>
        <v>-0.42505931351751386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2.2160000000000002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2.1160000000000001</v>
      </c>
      <c r="II25" s="734" cm="1">
        <f t="array" ref="II25">IFERROR(ROUND(VALUE(IF($IH25&lt;1,$IH25+LARGE((IF($M$9:$M$150="",0,$M$9:$M$150)-MOD(IF($M$9:$M$150="",0,$M$9:$M$150),1)),1),$IH25)),4),"")</f>
        <v>2.1160000000000001</v>
      </c>
      <c r="IJ25" s="533">
        <f t="shared" si="112"/>
        <v>1313</v>
      </c>
      <c r="IK25" s="533">
        <f t="shared" si="66"/>
        <v>1111</v>
      </c>
      <c r="IL25" s="727">
        <f t="shared" si="225"/>
        <v>21.249296931981121</v>
      </c>
      <c r="IM25" s="759">
        <v>6.8323253732366501E-3</v>
      </c>
      <c r="IN25" s="5">
        <f t="shared" si="226"/>
        <v>0.12</v>
      </c>
      <c r="IO25" s="771">
        <v>60</v>
      </c>
      <c r="IP25" s="9">
        <f t="shared" si="227"/>
        <v>-2.7334082439592642</v>
      </c>
      <c r="IQ25" s="5">
        <f t="shared" si="228"/>
        <v>-0.52660158823039005</v>
      </c>
      <c r="IR25" s="5">
        <f t="shared" si="71"/>
        <v>0.26600000000000001</v>
      </c>
      <c r="IS25" s="5">
        <f t="shared" si="229"/>
        <v>0.25626087089945893</v>
      </c>
      <c r="IT25" s="727">
        <f t="shared" si="230"/>
        <v>63.438401749007753</v>
      </c>
      <c r="IU25" s="9">
        <f t="shared" si="231"/>
        <v>-2.7641083365507435</v>
      </c>
      <c r="IV25" s="5">
        <f t="shared" si="232"/>
        <v>-0.49480149232130094</v>
      </c>
      <c r="IW25" s="5">
        <f t="shared" si="76"/>
        <v>0.219</v>
      </c>
      <c r="IX25" s="5">
        <f t="shared" si="233"/>
        <v>0.20559413728970652</v>
      </c>
      <c r="IY25" s="762">
        <f t="shared" si="234"/>
        <v>57.289702732859347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3.0677732467462611</v>
      </c>
      <c r="C26" s="708">
        <v>-0.60162504794372562</v>
      </c>
      <c r="D26" s="709">
        <v>-1.1005033191180107</v>
      </c>
      <c r="E26" s="710">
        <v>0.63761284881075386</v>
      </c>
      <c r="F26" s="708">
        <v>0.75760267508159052</v>
      </c>
      <c r="G26" s="711">
        <v>0.13959957643436077</v>
      </c>
      <c r="H26" s="710">
        <v>0.219</v>
      </c>
      <c r="I26" s="708">
        <v>0.42</v>
      </c>
      <c r="J26" s="570">
        <v>2.2210000000000001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1111</v>
      </c>
      <c r="L26" s="320"/>
      <c r="M26" s="168">
        <f t="shared" si="1"/>
        <v>2.2210000000000001</v>
      </c>
      <c r="N26" s="632">
        <f t="shared" si="2"/>
        <v>3.0677732467462611</v>
      </c>
      <c r="O26" s="629">
        <f t="shared" si="3"/>
        <v>-0.60162504794372562</v>
      </c>
      <c r="P26" s="633">
        <f t="shared" si="4"/>
        <v>-1.1005033191180107</v>
      </c>
      <c r="Q26" s="585">
        <f t="shared" si="113"/>
        <v>348.90446261882056</v>
      </c>
      <c r="R26" s="629">
        <f>IF(M26="","",SQRT(N26^2+O26^2))</f>
        <v>3.1262094286476372</v>
      </c>
      <c r="S26" s="634">
        <f>IF(M26="","",P26)</f>
        <v>-1.1005033191180107</v>
      </c>
      <c r="T26" s="635">
        <f>IF(M26="","",X26*COS(RADIANS(W26)))</f>
        <v>-0.48893037009301238</v>
      </c>
      <c r="U26" s="629">
        <f>IF(M26="","",X26*SIN(RADIANS(W26)))</f>
        <v>-3.0877390571364831</v>
      </c>
      <c r="V26" s="636">
        <f>IF(M26="","",Y26)</f>
        <v>-1.1005033191180107</v>
      </c>
      <c r="W26" s="585">
        <f t="shared" si="224"/>
        <v>261.00216231595016</v>
      </c>
      <c r="X26" s="629">
        <f>IF(M26="","",R26)</f>
        <v>3.1262094286476372</v>
      </c>
      <c r="Y26" s="630">
        <f t="shared" si="223"/>
        <v>-1.1005033191180107</v>
      </c>
      <c r="Z26" s="632">
        <f t="shared" si="6"/>
        <v>-0.63761284881075386</v>
      </c>
      <c r="AA26" s="629">
        <f t="shared" si="7"/>
        <v>-0.75760267508159052</v>
      </c>
      <c r="AB26" s="629">
        <f t="shared" si="8"/>
        <v>-0.13959957643436077</v>
      </c>
      <c r="AC26" s="636">
        <f>IF(M26="","",SQRT(Z26^2+AA26^2+AB26^2))</f>
        <v>1</v>
      </c>
      <c r="AD26" s="637">
        <f>IF(M26="","",Z26*(1/SQRT(Z26^2+AA26^2+AB26^2)))</f>
        <v>-0.63761284881075386</v>
      </c>
      <c r="AE26" s="629">
        <f>IF(M26="","",AA26*(1/SQRT(Z26^2+AA26^2+AB26^2)))</f>
        <v>-0.75760267508159052</v>
      </c>
      <c r="AF26" s="633">
        <f>IF(M26="","",AB26*(1/SQRT(Z26^2+AA26^2+AB26^2)))</f>
        <v>-0.13959957643436077</v>
      </c>
      <c r="AG26" s="602">
        <f>IF(M26="","",DEGREES(ATAN2(-AF26,AE26)))</f>
        <v>-79.559511887686924</v>
      </c>
      <c r="AH26" s="603">
        <f>IF(M26="","",DEGREES(ACOS(AD26)))</f>
        <v>129.61404508577479</v>
      </c>
      <c r="AI26" s="585">
        <f>IF(M26="","",DEGREES(-ACOS(-AF26)))</f>
        <v>-81.975323868554923</v>
      </c>
      <c r="AJ26" s="586">
        <f>IF(M26="","",DEGREES(ATAN2(-AE26,AD26)))</f>
        <v>-40.084604477189991</v>
      </c>
      <c r="AK26" s="635">
        <f>IF(M26="","",(COS(RADIANS((90-$Q$8)-W26))*AD26)+(-SIN(RADIANS((90-$Q$8)-W26))*AE26))</f>
        <v>0.86614705150619287</v>
      </c>
      <c r="AL26" s="629">
        <f>IF(M26="","",(SIN(RADIANS((90-$Q$8)-W26))*AD26)+(COS(RADIANS((90-$Q$8)-W26))*AE26))</f>
        <v>-0.47989711754341213</v>
      </c>
      <c r="AM26" s="634">
        <f>IF(M26="","",AF26)</f>
        <v>-0.13959957643436077</v>
      </c>
      <c r="AN26" s="581">
        <f>IF(M26="","",DEGREES(ATAN2(-AM26,AL26)))</f>
        <v>-73.780561183827984</v>
      </c>
      <c r="AO26" s="582">
        <f t="shared" si="94"/>
        <v>29.986057259419411</v>
      </c>
      <c r="AP26" s="585">
        <f>IF(M26="","",DEGREES(ATAN2(AK26,AL26)))</f>
        <v>-28.989067096010466</v>
      </c>
      <c r="AQ26" s="586">
        <f t="shared" si="9"/>
        <v>0.72919092577037103</v>
      </c>
      <c r="AS26" s="52">
        <f t="shared" si="116"/>
        <v>-98.997837684049841</v>
      </c>
      <c r="AT26" s="72">
        <f t="shared" si="10"/>
        <v>-1.030298084825525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2.2210000000000001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2.121</v>
      </c>
      <c r="II26" s="734" cm="1">
        <f t="array" ref="II26">IFERROR(ROUND(VALUE(IF($IH26&lt;1,$IH26+LARGE((IF($M$9:$M$150="",0,$M$9:$M$150)-MOD(IF($M$9:$M$150="",0,$M$9:$M$150),1)),1),$IH26)),4),"")</f>
        <v>2.121</v>
      </c>
      <c r="IJ26" s="533">
        <f t="shared" si="112"/>
        <v>1313</v>
      </c>
      <c r="IK26" s="533">
        <f t="shared" si="66"/>
        <v>1111</v>
      </c>
      <c r="IL26" s="727">
        <f t="shared" si="225"/>
        <v>21.017796965405637</v>
      </c>
      <c r="IM26" s="759">
        <v>4.0011135893212096E-3</v>
      </c>
      <c r="IN26" s="5">
        <f t="shared" si="226"/>
        <v>0.1</v>
      </c>
      <c r="IO26" s="771">
        <v>50</v>
      </c>
      <c r="IP26" s="9">
        <f t="shared" si="227"/>
        <v>-3.0828092977528421</v>
      </c>
      <c r="IQ26" s="5">
        <f t="shared" si="228"/>
        <v>-1.1192033755173805</v>
      </c>
      <c r="IR26" s="5">
        <f t="shared" si="71"/>
        <v>0.26600000000000001</v>
      </c>
      <c r="IS26" s="5">
        <f t="shared" si="229"/>
        <v>0.24064905791027041</v>
      </c>
      <c r="IT26" s="727">
        <f t="shared" si="230"/>
        <v>76.670479775443994</v>
      </c>
      <c r="IU26" s="9">
        <f t="shared" si="231"/>
        <v>-3.1262094286476372</v>
      </c>
      <c r="IV26" s="5">
        <f t="shared" si="232"/>
        <v>-1.1005033191180107</v>
      </c>
      <c r="IW26" s="5">
        <f t="shared" si="76"/>
        <v>0.219</v>
      </c>
      <c r="IX26" s="5">
        <f t="shared" si="233"/>
        <v>0.18968620427985625</v>
      </c>
      <c r="IY26" s="762">
        <f t="shared" si="234"/>
        <v>73.780561183827984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3.138723801478565</v>
      </c>
      <c r="C27" s="708">
        <v>-0.65534408772056285</v>
      </c>
      <c r="D27" s="709">
        <v>-1.7932054083075115</v>
      </c>
      <c r="E27" s="710">
        <v>0.72889134840692704</v>
      </c>
      <c r="F27" s="708">
        <v>0.68462939041317461</v>
      </c>
      <c r="G27" s="711">
        <v>1.30084191605936E-7</v>
      </c>
      <c r="H27" s="710">
        <v>0.219</v>
      </c>
      <c r="I27" s="708">
        <v>0.42</v>
      </c>
      <c r="J27" s="570">
        <v>2.226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1111</v>
      </c>
      <c r="L27" s="320"/>
      <c r="M27" s="168">
        <f t="shared" si="1"/>
        <v>2.226</v>
      </c>
      <c r="N27" s="632">
        <f t="shared" si="2"/>
        <v>3.138723801478565</v>
      </c>
      <c r="O27" s="629">
        <f t="shared" si="3"/>
        <v>-0.65534408772056285</v>
      </c>
      <c r="P27" s="633">
        <f t="shared" si="4"/>
        <v>-1.7932054083075115</v>
      </c>
      <c r="Q27" s="585">
        <f t="shared" si="113"/>
        <v>348.2064627195993</v>
      </c>
      <c r="R27" s="629">
        <f t="shared" si="79"/>
        <v>3.206409670531567</v>
      </c>
      <c r="S27" s="634">
        <f t="shared" si="80"/>
        <v>-1.7932054083075115</v>
      </c>
      <c r="T27" s="635">
        <f t="shared" si="81"/>
        <v>-0.5400163659566084</v>
      </c>
      <c r="U27" s="629">
        <f t="shared" si="82"/>
        <v>-3.1606083749457747</v>
      </c>
      <c r="V27" s="636">
        <f t="shared" si="114"/>
        <v>-1.7932054083075115</v>
      </c>
      <c r="W27" s="585">
        <f t="shared" si="224"/>
        <v>260.3041624167289</v>
      </c>
      <c r="X27" s="629">
        <f t="shared" si="83"/>
        <v>3.206409670531567</v>
      </c>
      <c r="Y27" s="630">
        <f t="shared" si="223"/>
        <v>-1.7932054083075115</v>
      </c>
      <c r="Z27" s="632">
        <f t="shared" si="6"/>
        <v>-0.72889134840692704</v>
      </c>
      <c r="AA27" s="629">
        <f t="shared" si="7"/>
        <v>-0.68462939041317461</v>
      </c>
      <c r="AB27" s="629">
        <f t="shared" si="8"/>
        <v>-1.30084191605936E-7</v>
      </c>
      <c r="AC27" s="636">
        <f t="shared" si="84"/>
        <v>1</v>
      </c>
      <c r="AD27" s="637">
        <f t="shared" si="115"/>
        <v>-0.72889134840692704</v>
      </c>
      <c r="AE27" s="629">
        <f t="shared" si="85"/>
        <v>-0.68462939041317461</v>
      </c>
      <c r="AF27" s="633">
        <f t="shared" si="86"/>
        <v>-1.30084191605936E-7</v>
      </c>
      <c r="AG27" s="602">
        <f t="shared" si="87"/>
        <v>-89.999989113416305</v>
      </c>
      <c r="AH27" s="603">
        <f t="shared" si="88"/>
        <v>136.79353222702548</v>
      </c>
      <c r="AI27" s="585">
        <f t="shared" si="89"/>
        <v>-89.99999254672484</v>
      </c>
      <c r="AJ27" s="586">
        <f t="shared" si="90"/>
        <v>-46.793532227025999</v>
      </c>
      <c r="AK27" s="635">
        <f t="shared" si="211"/>
        <v>0.81915209487729235</v>
      </c>
      <c r="AL27" s="629">
        <f t="shared" si="91"/>
        <v>-0.57357636410344415</v>
      </c>
      <c r="AM27" s="634">
        <f t="shared" si="92"/>
        <v>-1.30084191605936E-7</v>
      </c>
      <c r="AN27" s="581">
        <f t="shared" si="93"/>
        <v>-89.999987005609668</v>
      </c>
      <c r="AO27" s="582">
        <f t="shared" si="94"/>
        <v>34.999994946625911</v>
      </c>
      <c r="AP27" s="585">
        <f t="shared" si="95"/>
        <v>-34.999994946625236</v>
      </c>
      <c r="AQ27" s="586">
        <f t="shared" si="9"/>
        <v>0.71095395205086653</v>
      </c>
      <c r="AS27" s="52">
        <f t="shared" si="116"/>
        <v>-99.6958375832711</v>
      </c>
      <c r="AT27" s="72">
        <f t="shared" si="10"/>
        <v>-1.7225154518627888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>Gage</v>
      </c>
      <c r="IG27" s="847">
        <f t="shared" si="210"/>
        <v>2.226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2.1259999999999999</v>
      </c>
      <c r="II27" s="734" cm="1">
        <f t="array" ref="II27">IFERROR(ROUND(VALUE(IF($IH27&lt;1,$IH27+LARGE((IF($M$9:$M$150="",0,$M$9:$M$150)-MOD(IF($M$9:$M$150="",0,$M$9:$M$150),1)),1),$IH27)),4),"")</f>
        <v>2.1259999999999999</v>
      </c>
      <c r="IJ27" s="533">
        <f t="shared" si="112"/>
        <v>1313</v>
      </c>
      <c r="IK27" s="533">
        <f t="shared" si="66"/>
        <v>1111</v>
      </c>
      <c r="IL27" s="727">
        <f t="shared" si="225"/>
        <v>21.443796903898829</v>
      </c>
      <c r="IM27" s="759">
        <v>2.61368108877909E-5</v>
      </c>
      <c r="IN27" s="5">
        <f t="shared" si="226"/>
        <v>0</v>
      </c>
      <c r="IO27" s="771">
        <v>0</v>
      </c>
      <c r="IP27" s="9">
        <f t="shared" si="227"/>
        <v>-3.1555095170167036</v>
      </c>
      <c r="IQ27" s="5">
        <f t="shared" si="228"/>
        <v>-1.7843053814650307</v>
      </c>
      <c r="IR27" s="5">
        <f t="shared" si="71"/>
        <v>0.26600000000000001</v>
      </c>
      <c r="IS27" s="5">
        <f t="shared" si="229"/>
        <v>0.23036276746123385</v>
      </c>
      <c r="IT27" s="727">
        <f t="shared" si="230"/>
        <v>89.999987005609611</v>
      </c>
      <c r="IU27" s="9">
        <f t="shared" si="231"/>
        <v>-3.206409670531567</v>
      </c>
      <c r="IV27" s="5">
        <f t="shared" si="232"/>
        <v>-1.7932054083075115</v>
      </c>
      <c r="IW27" s="5">
        <f t="shared" si="76"/>
        <v>0.219</v>
      </c>
      <c r="IX27" s="5">
        <f t="shared" si="233"/>
        <v>0.17939430877812704</v>
      </c>
      <c r="IY27" s="762">
        <f t="shared" si="234"/>
        <v>89.999987005609668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0.45811580842746058</v>
      </c>
      <c r="C28" s="708">
        <v>-0.54596177520461686</v>
      </c>
      <c r="D28" s="709">
        <v>-0.19470058721697109</v>
      </c>
      <c r="E28" s="710">
        <v>0.71511490768086183</v>
      </c>
      <c r="F28" s="708">
        <v>0.66361001907621631</v>
      </c>
      <c r="G28" s="711">
        <v>0.21961878652395961</v>
      </c>
      <c r="H28" s="710">
        <v>0.26600000000000001</v>
      </c>
      <c r="I28" s="708">
        <v>0.52</v>
      </c>
      <c r="J28" s="570">
        <v>3.1030000000000002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3.1030000000000002</v>
      </c>
      <c r="N28" s="632">
        <f t="shared" si="2"/>
        <v>0.45811580842746058</v>
      </c>
      <c r="O28" s="629">
        <f t="shared" si="3"/>
        <v>-0.54596177520461686</v>
      </c>
      <c r="P28" s="633">
        <f t="shared" si="4"/>
        <v>-0.19470058721697109</v>
      </c>
      <c r="Q28" s="585">
        <f t="shared" si="113"/>
        <v>309.9999682359346</v>
      </c>
      <c r="R28" s="629">
        <f t="shared" si="79"/>
        <v>0.71270214950968291</v>
      </c>
      <c r="S28" s="634">
        <f t="shared" si="80"/>
        <v>-0.19470058721697109</v>
      </c>
      <c r="T28" s="635">
        <f t="shared" si="81"/>
        <v>-0.52882722443274732</v>
      </c>
      <c r="U28" s="629">
        <f t="shared" si="82"/>
        <v>-0.47779296836022933</v>
      </c>
      <c r="V28" s="636">
        <f t="shared" si="114"/>
        <v>-0.19470058721697109</v>
      </c>
      <c r="W28" s="585">
        <f t="shared" si="224"/>
        <v>222.09766793306423</v>
      </c>
      <c r="X28" s="629">
        <f t="shared" si="83"/>
        <v>0.71270214950968291</v>
      </c>
      <c r="Y28" s="630">
        <f t="shared" si="223"/>
        <v>-0.19470058721697109</v>
      </c>
      <c r="Z28" s="632">
        <f t="shared" si="6"/>
        <v>-0.71511490768086183</v>
      </c>
      <c r="AA28" s="629">
        <f t="shared" si="7"/>
        <v>-0.66361001907621631</v>
      </c>
      <c r="AB28" s="629">
        <f t="shared" si="8"/>
        <v>-0.21961878652395961</v>
      </c>
      <c r="AC28" s="636">
        <f t="shared" si="84"/>
        <v>1</v>
      </c>
      <c r="AD28" s="637">
        <f t="shared" si="115"/>
        <v>-0.71511490768086183</v>
      </c>
      <c r="AE28" s="629">
        <f t="shared" si="85"/>
        <v>-0.66361001907621631</v>
      </c>
      <c r="AF28" s="633">
        <f t="shared" si="86"/>
        <v>-0.21961878652395961</v>
      </c>
      <c r="AG28" s="602">
        <f t="shared" si="87"/>
        <v>-71.688267874778219</v>
      </c>
      <c r="AH28" s="603">
        <f t="shared" si="88"/>
        <v>135.6526170537731</v>
      </c>
      <c r="AI28" s="585">
        <f t="shared" si="89"/>
        <v>-77.313356512819013</v>
      </c>
      <c r="AJ28" s="586">
        <f t="shared" si="90"/>
        <v>-47.139397846734276</v>
      </c>
      <c r="AK28" s="635">
        <f t="shared" si="211"/>
        <v>0.97437007215446547</v>
      </c>
      <c r="AL28" s="629">
        <f t="shared" si="91"/>
        <v>4.8688305530643627E-2</v>
      </c>
      <c r="AM28" s="634">
        <f t="shared" si="92"/>
        <v>-0.21961878652395961</v>
      </c>
      <c r="AN28" s="581">
        <f t="shared" si="93"/>
        <v>12.49999819522357</v>
      </c>
      <c r="AO28" s="582">
        <f t="shared" si="94"/>
        <v>12.999998123032478</v>
      </c>
      <c r="AP28" s="585">
        <f t="shared" si="95"/>
        <v>2.8606339173311399</v>
      </c>
      <c r="AQ28" s="586">
        <f t="shared" si="9"/>
        <v>3.1953917846094333</v>
      </c>
      <c r="AS28" s="52">
        <f t="shared" si="116"/>
        <v>-137.90233206693577</v>
      </c>
      <c r="AT28" s="72">
        <f t="shared" si="10"/>
        <v>-9.7478342936370116E-2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3.1030000000000002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0.86900198209722301</v>
      </c>
      <c r="C29" s="708">
        <v>-1.045768041693367</v>
      </c>
      <c r="D29" s="709">
        <v>-5.4700164975697574E-2</v>
      </c>
      <c r="E29" s="710">
        <v>0.75541433567001326</v>
      </c>
      <c r="F29" s="708">
        <v>0.61775536993853986</v>
      </c>
      <c r="G29" s="711">
        <v>0.21846620877456138</v>
      </c>
      <c r="H29" s="710">
        <v>0.26600000000000001</v>
      </c>
      <c r="I29" s="708">
        <v>0.52</v>
      </c>
      <c r="J29" s="570">
        <v>3.1059999999999999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3.1059999999999999</v>
      </c>
      <c r="N29" s="632">
        <f t="shared" si="2"/>
        <v>0.86900198209722301</v>
      </c>
      <c r="O29" s="629">
        <f t="shared" si="3"/>
        <v>-1.045768041693367</v>
      </c>
      <c r="P29" s="633">
        <f t="shared" si="4"/>
        <v>-5.4700164975697574E-2</v>
      </c>
      <c r="Q29" s="585">
        <f t="shared" si="113"/>
        <v>309.72556827555303</v>
      </c>
      <c r="R29" s="629">
        <f>IF(M29="","",SQRT(N29^2+O29^2))</f>
        <v>1.3597041008675683</v>
      </c>
      <c r="S29" s="634">
        <f>IF(M29="","",P29)</f>
        <v>-5.4700164975697574E-2</v>
      </c>
      <c r="T29" s="635">
        <f>IF(M29="","",X29*COS(RADIANS(W29)))</f>
        <v>-1.0132586446929195</v>
      </c>
      <c r="U29" s="629">
        <f>IF(M29="","",X29*SIN(RADIANS(W29)))</f>
        <v>-0.90669849501978894</v>
      </c>
      <c r="V29" s="636">
        <f>IF(M29="","",Y29)</f>
        <v>-5.4700164975697574E-2</v>
      </c>
      <c r="W29" s="585">
        <f t="shared" si="224"/>
        <v>221.82326797268266</v>
      </c>
      <c r="X29" s="629">
        <f>IF(M29="","",R29)</f>
        <v>1.3597041008675683</v>
      </c>
      <c r="Y29" s="630">
        <f t="shared" si="223"/>
        <v>-5.4700164975697574E-2</v>
      </c>
      <c r="Z29" s="632">
        <f t="shared" si="6"/>
        <v>-0.75541433567001326</v>
      </c>
      <c r="AA29" s="629">
        <f t="shared" si="7"/>
        <v>-0.61775536993853986</v>
      </c>
      <c r="AB29" s="629">
        <f t="shared" si="8"/>
        <v>-0.21846620877456138</v>
      </c>
      <c r="AC29" s="636">
        <f>IF(M29="","",SQRT(Z29^2+AA29^2+AB29^2))</f>
        <v>1</v>
      </c>
      <c r="AD29" s="637">
        <f>IF(M29="","",Z29*(1/SQRT(Z29^2+AA29^2+AB29^2)))</f>
        <v>-0.75541433567001326</v>
      </c>
      <c r="AE29" s="629">
        <f>IF(M29="","",AA29*(1/SQRT(Z29^2+AA29^2+AB29^2)))</f>
        <v>-0.61775536993853986</v>
      </c>
      <c r="AF29" s="633">
        <f>IF(M29="","",AB29*(1/SQRT(Z29^2+AA29^2+AB29^2)))</f>
        <v>-0.21846620877456138</v>
      </c>
      <c r="AG29" s="602">
        <f>IF(M29="","",DEGREES(ATAN2(-AF29,AE29)))</f>
        <v>-70.524104722680747</v>
      </c>
      <c r="AH29" s="603">
        <f>IF(M29="","",DEGREES(ACOS(AD29)))</f>
        <v>139.06158668533644</v>
      </c>
      <c r="AI29" s="585">
        <f>IF(M29="","",DEGREES(-ACOS(-AF29)))</f>
        <v>-77.381037980679778</v>
      </c>
      <c r="AJ29" s="586">
        <f>IF(M29="","",DEGREES(ATAN2(-AE29,AD29)))</f>
        <v>-50.724721320136467</v>
      </c>
      <c r="AK29" s="635">
        <f>IF(M29="","",(COS(RADIANS((90-$Q$8)-W29))*AD29)+(-SIN(RADIANS((90-$Q$8)-W29))*AE29))</f>
        <v>0.97581437796792292</v>
      </c>
      <c r="AL29" s="629">
        <f>IF(M29="","",(SIN(RADIANS((90-$Q$8)-W29))*AD29)+(COS(RADIANS((90-$Q$8)-W29))*AE29))</f>
        <v>-7.6691182508433209E-3</v>
      </c>
      <c r="AM29" s="634">
        <f>IF(M29="","",AF29)</f>
        <v>-0.21846620877456138</v>
      </c>
      <c r="AN29" s="581">
        <f>IF(M29="","",DEGREES(ATAN2(-AM29,AL29)))</f>
        <v>-2.0105065562214754</v>
      </c>
      <c r="AO29" s="582">
        <f t="shared" si="94"/>
        <v>12.626863192451703</v>
      </c>
      <c r="AP29" s="585">
        <f>IF(M29="","",DEGREES(ATAN2(AK29,AL29)))</f>
        <v>-0.45028959568948751</v>
      </c>
      <c r="AQ29" s="586">
        <f t="shared" si="9"/>
        <v>1.6761560448182649</v>
      </c>
      <c r="AS29" s="52">
        <f t="shared" si="116"/>
        <v>-138.17673202731734</v>
      </c>
      <c r="AT29" s="72">
        <f t="shared" si="10"/>
        <v>4.2712634832946156E-2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3.1059999999999999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15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50</v>
      </c>
    </row>
    <row r="30" spans="1:269" ht="15" customHeight="1" x14ac:dyDescent="0.25">
      <c r="A30" s="79"/>
      <c r="B30" s="707">
        <v>1.2639710698061832</v>
      </c>
      <c r="C30" s="708">
        <v>-1.5896404700812639</v>
      </c>
      <c r="D30" s="709">
        <v>-9.800029556889138E-2</v>
      </c>
      <c r="E30" s="710">
        <v>0.83766526001644304</v>
      </c>
      <c r="F30" s="708">
        <v>0.51047796726871963</v>
      </c>
      <c r="G30" s="711">
        <v>0.19423994721678878</v>
      </c>
      <c r="H30" s="710">
        <v>0.26600000000000001</v>
      </c>
      <c r="I30" s="708">
        <v>0.52</v>
      </c>
      <c r="J30" s="570">
        <v>3.11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3.11</v>
      </c>
      <c r="N30" s="632">
        <f t="shared" si="2"/>
        <v>1.2639710698061832</v>
      </c>
      <c r="O30" s="629">
        <f t="shared" si="3"/>
        <v>-1.5896404700812639</v>
      </c>
      <c r="P30" s="633">
        <f t="shared" si="4"/>
        <v>-9.800029556889138E-2</v>
      </c>
      <c r="Q30" s="585">
        <f t="shared" si="113"/>
        <v>308.48926845405265</v>
      </c>
      <c r="R30" s="629">
        <f>IF(M30="","",SQRT(N30^2+O30^2))</f>
        <v>2.0309061252128737</v>
      </c>
      <c r="S30" s="634">
        <f>IF(M30="","",P30)</f>
        <v>-9.800029556889138E-2</v>
      </c>
      <c r="T30" s="635">
        <f>IF(M30="","",X30*COS(RADIANS(W30)))</f>
        <v>-1.5423093189901194</v>
      </c>
      <c r="U30" s="629">
        <f>IF(M30="","",X30*SIN(RADIANS(W30)))</f>
        <v>-1.3213105819539186</v>
      </c>
      <c r="V30" s="636">
        <f>IF(M30="","",Y30)</f>
        <v>-9.800029556889138E-2</v>
      </c>
      <c r="W30" s="585">
        <f t="shared" si="224"/>
        <v>220.58696815118228</v>
      </c>
      <c r="X30" s="629">
        <f>IF(M30="","",R30)</f>
        <v>2.0309061252128737</v>
      </c>
      <c r="Y30" s="630">
        <f t="shared" si="223"/>
        <v>-9.800029556889138E-2</v>
      </c>
      <c r="Z30" s="632">
        <f t="shared" si="6"/>
        <v>-0.83766526001644304</v>
      </c>
      <c r="AA30" s="629">
        <f t="shared" si="7"/>
        <v>-0.51047796726871963</v>
      </c>
      <c r="AB30" s="629">
        <f t="shared" si="8"/>
        <v>-0.19423994721678878</v>
      </c>
      <c r="AC30" s="636">
        <f>IF(M30="","",SQRT(Z30^2+AA30^2+AB30^2))</f>
        <v>1</v>
      </c>
      <c r="AD30" s="637">
        <f>IF(M30="","",Z30*(1/SQRT(Z30^2+AA30^2+AB30^2)))</f>
        <v>-0.83766526001644304</v>
      </c>
      <c r="AE30" s="629">
        <f>IF(M30="","",AA30*(1/SQRT(Z30^2+AA30^2+AB30^2)))</f>
        <v>-0.51047796726871963</v>
      </c>
      <c r="AF30" s="633">
        <f>IF(M30="","",AB30*(1/SQRT(Z30^2+AA30^2+AB30^2)))</f>
        <v>-0.19423994721678878</v>
      </c>
      <c r="AG30" s="602">
        <f>IF(M30="","",DEGREES(ATAN2(-AF30,AE30)))</f>
        <v>-69.167877993063556</v>
      </c>
      <c r="AH30" s="603">
        <f>IF(M30="","",DEGREES(ACOS(AD30)))</f>
        <v>146.8943918753321</v>
      </c>
      <c r="AI30" s="585">
        <f>IF(M30="","",DEGREES(-ACOS(-AF30)))</f>
        <v>-78.799673147973067</v>
      </c>
      <c r="AJ30" s="586">
        <f>IF(M30="","",DEGREES(ATAN2(-AE30,AD30)))</f>
        <v>-58.641632960557885</v>
      </c>
      <c r="AK30" s="635">
        <f>IF(M30="","",(COS(RADIANS((90-$Q$8)-W30))*AD30)+(-SIN(RADIANS((90-$Q$8)-W30))*AE30))</f>
        <v>0.97336649664061059</v>
      </c>
      <c r="AL30" s="629">
        <f>IF(M30="","",(SIN(RADIANS((90-$Q$8)-W30))*AD30)+(COS(RADIANS((90-$Q$8)-W30))*AE30))</f>
        <v>-0.12177235368836187</v>
      </c>
      <c r="AM30" s="634">
        <f>IF(M30="","",AF30)</f>
        <v>-0.19423994721678878</v>
      </c>
      <c r="AN30" s="581">
        <f>IF(M30="","",DEGREES(ATAN2(-AM30,AL30)))</f>
        <v>-32.084304441735128</v>
      </c>
      <c r="AO30" s="582">
        <f>IF(ROUND(IF(M30="",0,DEGREES(ACOS(AK30))),4)=90,0,IF(M30="","",DEGREES(ACOS(AK30))))</f>
        <v>13.253189837428474</v>
      </c>
      <c r="AP30" s="585">
        <f>IF(M30="","",DEGREES(ATAN2(AK30,AL30)))</f>
        <v>-7.1309014146105243</v>
      </c>
      <c r="AQ30" s="586">
        <f t="shared" si="9"/>
        <v>1.1223734045929958</v>
      </c>
      <c r="AS30" s="52">
        <f t="shared" si="116"/>
        <v>-139.41303184881772</v>
      </c>
      <c r="AT30" s="72">
        <f t="shared" si="10"/>
        <v>2.7104578246095468E-4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3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240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1.5876143682515984</v>
      </c>
      <c r="C31" s="708">
        <v>-2.1015291816450934</v>
      </c>
      <c r="D31" s="709">
        <v>-0.43000129688391142</v>
      </c>
      <c r="E31" s="710">
        <v>0.90306922042608373</v>
      </c>
      <c r="F31" s="708">
        <v>0.41062795030405957</v>
      </c>
      <c r="G31" s="711">
        <v>0.12589944220731281</v>
      </c>
      <c r="H31" s="710">
        <v>0.26600000000000001</v>
      </c>
      <c r="I31" s="708">
        <v>0.52</v>
      </c>
      <c r="J31" s="570">
        <v>3.1150000000000002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3.1150000000000002</v>
      </c>
      <c r="N31" s="632">
        <f t="shared" si="2"/>
        <v>1.5876143682515984</v>
      </c>
      <c r="O31" s="629">
        <f t="shared" si="3"/>
        <v>-2.1015291816450934</v>
      </c>
      <c r="P31" s="633">
        <f t="shared" si="4"/>
        <v>-0.43000129688391142</v>
      </c>
      <c r="Q31" s="585">
        <f t="shared" si="113"/>
        <v>307.06946865904638</v>
      </c>
      <c r="R31" s="629">
        <f>IF(M31="","",SQRT(N31^2+O31^2))</f>
        <v>2.6338079435647579</v>
      </c>
      <c r="S31" s="634">
        <f>IF(M31="","",P31)</f>
        <v>-0.43000129688391142</v>
      </c>
      <c r="T31" s="635">
        <f>IF(M31="","",X31*COS(RADIANS(W31)))</f>
        <v>-2.042008489687249</v>
      </c>
      <c r="U31" s="629">
        <f>IF(M31="","",X31*SIN(RADIANS(W31)))</f>
        <v>-1.6634739588072969</v>
      </c>
      <c r="V31" s="636">
        <f>IF(M31="","",Y31)</f>
        <v>-0.43000129688391142</v>
      </c>
      <c r="W31" s="585">
        <f t="shared" si="224"/>
        <v>219.16716835617601</v>
      </c>
      <c r="X31" s="629">
        <f>IF(M31="","",R31)</f>
        <v>2.6338079435647579</v>
      </c>
      <c r="Y31" s="630">
        <f t="shared" si="223"/>
        <v>-0.43000129688391142</v>
      </c>
      <c r="Z31" s="632">
        <f t="shared" si="6"/>
        <v>-0.90306922042608373</v>
      </c>
      <c r="AA31" s="629">
        <f t="shared" si="7"/>
        <v>-0.41062795030405957</v>
      </c>
      <c r="AB31" s="629">
        <f t="shared" si="8"/>
        <v>-0.12589944220731281</v>
      </c>
      <c r="AC31" s="636">
        <f>IF(M31="","",SQRT(Z31^2+AA31^2+AB31^2))</f>
        <v>1</v>
      </c>
      <c r="AD31" s="637">
        <f>IF(M31="","",Z31*(1/SQRT(Z31^2+AA31^2+AB31^2)))</f>
        <v>-0.90306922042608373</v>
      </c>
      <c r="AE31" s="629">
        <f>IF(M31="","",AA31*(1/SQRT(Z31^2+AA31^2+AB31^2)))</f>
        <v>-0.41062795030405957</v>
      </c>
      <c r="AF31" s="633">
        <f>IF(M31="","",AB31*(1/SQRT(Z31^2+AA31^2+AB31^2)))</f>
        <v>-0.12589944220731281</v>
      </c>
      <c r="AG31" s="602">
        <f>IF(M31="","",DEGREES(ATAN2(-AF31,AE31)))</f>
        <v>-72.954344066449636</v>
      </c>
      <c r="AH31" s="603">
        <f>IF(M31="","",DEGREES(ACOS(AD31)))</f>
        <v>154.56448207947255</v>
      </c>
      <c r="AI31" s="585">
        <f>IF(M31="","",DEGREES(-ACOS(-AF31)))</f>
        <v>-82.767299610782644</v>
      </c>
      <c r="AJ31" s="586">
        <f>IF(M31="","",DEGREES(ATAN2(-AE31,AD31)))</f>
        <v>-65.548582170285528</v>
      </c>
      <c r="AK31" s="635">
        <f>IF(M31="","",(COS(RADIANS((90-$Q$8)-W31))*AD31)+(-SIN(RADIANS((90-$Q$8)-W31))*AE31))</f>
        <v>0.96808317398737387</v>
      </c>
      <c r="AL31" s="629">
        <f>IF(M31="","",(SIN(RADIANS((90-$Q$8)-W31))*AD31)+(COS(RADIANS((90-$Q$8)-W31))*AE31))</f>
        <v>-0.21671247932322701</v>
      </c>
      <c r="AM31" s="634">
        <f>IF(M31="","",AF31)</f>
        <v>-0.12589944220731281</v>
      </c>
      <c r="AN31" s="581">
        <f>IF(M31="","",DEGREES(ATAN2(-AM31,AL31)))</f>
        <v>-59.845489370293222</v>
      </c>
      <c r="AO31" s="582">
        <f t="shared" si="94"/>
        <v>14.514744848860625</v>
      </c>
      <c r="AP31" s="585">
        <f>IF(M31="","",DEGREES(ATAN2(AK31,AL31)))</f>
        <v>-12.618050829331919</v>
      </c>
      <c r="AQ31" s="586">
        <f t="shared" si="9"/>
        <v>0.86549713524536975</v>
      </c>
      <c r="AS31" s="52">
        <f t="shared" si="116"/>
        <v>-140.83283164382399</v>
      </c>
      <c r="AT31" s="72">
        <f t="shared" si="10"/>
        <v>-0.33074398345269362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3.1150000000000002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1.7862914672552781</v>
      </c>
      <c r="C32" s="708">
        <v>-2.4542776176871803</v>
      </c>
      <c r="D32" s="709">
        <v>-0.98880298222979446</v>
      </c>
      <c r="E32" s="710">
        <v>0.96591559936724947</v>
      </c>
      <c r="F32" s="708">
        <v>0.23380275484576707</v>
      </c>
      <c r="G32" s="711">
        <v>0.11110052531620934</v>
      </c>
      <c r="H32" s="710">
        <v>0.26600000000000001</v>
      </c>
      <c r="I32" s="708">
        <v>0.52</v>
      </c>
      <c r="J32" s="570">
        <v>3.12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3.12</v>
      </c>
      <c r="N32" s="632">
        <f t="shared" si="2"/>
        <v>1.7862914672552781</v>
      </c>
      <c r="O32" s="629">
        <f t="shared" si="3"/>
        <v>-2.4542776176871803</v>
      </c>
      <c r="P32" s="633">
        <f t="shared" si="4"/>
        <v>-0.98880298222979446</v>
      </c>
      <c r="Q32" s="585">
        <f t="shared" si="113"/>
        <v>306.04816880650384</v>
      </c>
      <c r="R32" s="629">
        <f t="shared" si="79"/>
        <v>3.0355091550956117</v>
      </c>
      <c r="S32" s="634">
        <f t="shared" si="80"/>
        <v>-0.98880298222979446</v>
      </c>
      <c r="T32" s="635">
        <f t="shared" si="81"/>
        <v>-2.3872482417190897</v>
      </c>
      <c r="U32" s="629">
        <f t="shared" si="82"/>
        <v>-1.8749297755058427</v>
      </c>
      <c r="V32" s="636">
        <f t="shared" si="114"/>
        <v>-0.98880298222979446</v>
      </c>
      <c r="W32" s="585">
        <f t="shared" si="224"/>
        <v>218.14586850363347</v>
      </c>
      <c r="X32" s="629">
        <f t="shared" si="83"/>
        <v>3.0355091550956117</v>
      </c>
      <c r="Y32" s="630">
        <f t="shared" si="223"/>
        <v>-0.98880298222979446</v>
      </c>
      <c r="Z32" s="632">
        <f t="shared" si="6"/>
        <v>-0.96591559936724947</v>
      </c>
      <c r="AA32" s="629">
        <f t="shared" si="7"/>
        <v>-0.23380275484576707</v>
      </c>
      <c r="AB32" s="629">
        <f t="shared" si="8"/>
        <v>-0.11110052531620934</v>
      </c>
      <c r="AC32" s="636">
        <f t="shared" si="84"/>
        <v>1</v>
      </c>
      <c r="AD32" s="637">
        <f t="shared" si="115"/>
        <v>-0.96591559936724947</v>
      </c>
      <c r="AE32" s="629">
        <f t="shared" si="85"/>
        <v>-0.23380275484576707</v>
      </c>
      <c r="AF32" s="633">
        <f t="shared" si="86"/>
        <v>-0.11110052531620934</v>
      </c>
      <c r="AG32" s="602">
        <f t="shared" si="87"/>
        <v>-64.583441519389936</v>
      </c>
      <c r="AH32" s="603">
        <f t="shared" si="88"/>
        <v>164.99773619341292</v>
      </c>
      <c r="AI32" s="585">
        <f t="shared" si="89"/>
        <v>-83.621240091550376</v>
      </c>
      <c r="AJ32" s="586">
        <f t="shared" si="90"/>
        <v>-76.393097564002986</v>
      </c>
      <c r="AK32" s="635">
        <f t="shared" si="211"/>
        <v>0.91854933048814513</v>
      </c>
      <c r="AL32" s="629">
        <f t="shared" si="91"/>
        <v>-0.3793729045862963</v>
      </c>
      <c r="AM32" s="634">
        <f t="shared" si="92"/>
        <v>-0.11110052531620934</v>
      </c>
      <c r="AN32" s="581">
        <f t="shared" si="93"/>
        <v>-73.677167925971531</v>
      </c>
      <c r="AO32" s="582">
        <f t="shared" si="94"/>
        <v>23.285083043549911</v>
      </c>
      <c r="AP32" s="585">
        <f t="shared" si="95"/>
        <v>-22.44126637050681</v>
      </c>
      <c r="AQ32" s="586">
        <f t="shared" si="9"/>
        <v>0.75097651377838415</v>
      </c>
      <c r="AS32" s="52">
        <f t="shared" si="116"/>
        <v>-141.85413149636653</v>
      </c>
      <c r="AT32" s="72">
        <f t="shared" si="10"/>
        <v>-0.88883643278986657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1.839144941874187</v>
      </c>
      <c r="C33" s="708">
        <v>-2.56413458982979</v>
      </c>
      <c r="D33" s="709">
        <v>-1.6605050080831047</v>
      </c>
      <c r="E33" s="710">
        <v>0.99514139445031768</v>
      </c>
      <c r="F33" s="708">
        <v>9.8456107232942083E-2</v>
      </c>
      <c r="G33" s="711">
        <v>1.1339743320120724E-7</v>
      </c>
      <c r="H33" s="710">
        <v>0.26600000000000001</v>
      </c>
      <c r="I33" s="708">
        <v>0.52</v>
      </c>
      <c r="J33" s="570">
        <v>3.125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3.125</v>
      </c>
      <c r="N33" s="632">
        <f t="shared" si="2"/>
        <v>1.839144941874187</v>
      </c>
      <c r="O33" s="629">
        <f t="shared" si="3"/>
        <v>-2.56413458982979</v>
      </c>
      <c r="P33" s="633">
        <f t="shared" si="4"/>
        <v>-1.6605050080831047</v>
      </c>
      <c r="Q33" s="585">
        <f t="shared" si="113"/>
        <v>305.65026886395344</v>
      </c>
      <c r="R33" s="629">
        <f t="shared" si="79"/>
        <v>3.155509517016704</v>
      </c>
      <c r="S33" s="634">
        <f t="shared" si="80"/>
        <v>-1.6605050080831047</v>
      </c>
      <c r="T33" s="635">
        <f t="shared" si="81"/>
        <v>-2.4950969679673847</v>
      </c>
      <c r="U33" s="629">
        <f t="shared" si="82"/>
        <v>-1.931768990439322</v>
      </c>
      <c r="V33" s="636">
        <f t="shared" si="114"/>
        <v>-1.6605050080831047</v>
      </c>
      <c r="W33" s="585">
        <f t="shared" si="224"/>
        <v>217.74796856108307</v>
      </c>
      <c r="X33" s="629">
        <f t="shared" si="83"/>
        <v>3.155509517016704</v>
      </c>
      <c r="Y33" s="630">
        <f t="shared" si="223"/>
        <v>-1.6605050080831047</v>
      </c>
      <c r="Z33" s="632">
        <f t="shared" si="6"/>
        <v>-0.99514139445031768</v>
      </c>
      <c r="AA33" s="629">
        <f t="shared" si="7"/>
        <v>-9.8456107232942083E-2</v>
      </c>
      <c r="AB33" s="629">
        <f t="shared" si="8"/>
        <v>-1.1339743320120724E-7</v>
      </c>
      <c r="AC33" s="636">
        <f t="shared" si="84"/>
        <v>1</v>
      </c>
      <c r="AD33" s="637">
        <f t="shared" si="115"/>
        <v>-0.99514139445031768</v>
      </c>
      <c r="AE33" s="629">
        <f t="shared" si="85"/>
        <v>-9.8456107232942083E-2</v>
      </c>
      <c r="AF33" s="633">
        <f t="shared" si="86"/>
        <v>-1.1339743320120724E-7</v>
      </c>
      <c r="AG33" s="602">
        <f t="shared" si="87"/>
        <v>-89.999934009229975</v>
      </c>
      <c r="AH33" s="603">
        <f t="shared" si="88"/>
        <v>174.34972680457869</v>
      </c>
      <c r="AI33" s="585">
        <f t="shared" si="89"/>
        <v>-89.999993502805665</v>
      </c>
      <c r="AJ33" s="586">
        <f t="shared" si="90"/>
        <v>-84.349726804582431</v>
      </c>
      <c r="AK33" s="635">
        <f t="shared" si="211"/>
        <v>0.86602544158358608</v>
      </c>
      <c r="AL33" s="629">
        <f t="shared" si="91"/>
        <v>-0.49999993452993785</v>
      </c>
      <c r="AM33" s="634">
        <f t="shared" si="92"/>
        <v>-1.1339743320120724E-7</v>
      </c>
      <c r="AN33" s="581">
        <f t="shared" si="93"/>
        <v>-89.99998700560964</v>
      </c>
      <c r="AO33" s="582">
        <f t="shared" si="94"/>
        <v>29.999995668536485</v>
      </c>
      <c r="AP33" s="585">
        <f t="shared" si="95"/>
        <v>-29.99999566853586</v>
      </c>
      <c r="AQ33" s="586">
        <f t="shared" si="9"/>
        <v>0.72242083570883009</v>
      </c>
      <c r="AS33" s="52">
        <f t="shared" si="116"/>
        <v>-142.25203143891693</v>
      </c>
      <c r="AT33" s="72">
        <f t="shared" si="10"/>
        <v>-1.560262139238628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3.125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1.8580288893046175</v>
      </c>
      <c r="C34" s="708">
        <v>-2.5904625761110402</v>
      </c>
      <c r="D34" s="709">
        <v>-2.2796068752943368</v>
      </c>
      <c r="E34" s="710">
        <v>0.99993559601396464</v>
      </c>
      <c r="F34" s="708">
        <v>1.1349177246857302E-2</v>
      </c>
      <c r="G34" s="711">
        <v>1.300841919127123E-7</v>
      </c>
      <c r="H34" s="710">
        <v>0.26600000000000001</v>
      </c>
      <c r="I34" s="708">
        <v>0.52</v>
      </c>
      <c r="J34" s="570">
        <v>3.13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3.13</v>
      </c>
      <c r="N34" s="632">
        <f t="shared" si="2"/>
        <v>1.8580288893046175</v>
      </c>
      <c r="O34" s="629">
        <f t="shared" si="3"/>
        <v>-2.5904625761110402</v>
      </c>
      <c r="P34" s="633">
        <f t="shared" si="4"/>
        <v>-2.2796068752943368</v>
      </c>
      <c r="Q34" s="585">
        <f t="shared" si="113"/>
        <v>305.65026886395344</v>
      </c>
      <c r="R34" s="629">
        <f>IF(M34="","",SQRT(N34^2+O34^2))</f>
        <v>3.1879096147353985</v>
      </c>
      <c r="S34" s="634">
        <f>IF(M34="","",P34)</f>
        <v>-2.2796068752943368</v>
      </c>
      <c r="T34" s="635">
        <f>IF(M34="","",X34*COS(RADIANS(W34)))</f>
        <v>-2.5207160906934636</v>
      </c>
      <c r="U34" s="629">
        <f>IF(M34="","",X34*SIN(RADIANS(W34)))</f>
        <v>-1.9516039818163569</v>
      </c>
      <c r="V34" s="636">
        <f>IF(M34="","",Y34)</f>
        <v>-2.2796068752943368</v>
      </c>
      <c r="W34" s="585">
        <f t="shared" si="224"/>
        <v>217.74796856108307</v>
      </c>
      <c r="X34" s="629">
        <f>IF(M34="","",R34)</f>
        <v>3.1879096147353985</v>
      </c>
      <c r="Y34" s="630">
        <f t="shared" si="223"/>
        <v>-2.2796068752943368</v>
      </c>
      <c r="Z34" s="632">
        <f t="shared" si="6"/>
        <v>-0.99993559601396464</v>
      </c>
      <c r="AA34" s="629">
        <f t="shared" si="7"/>
        <v>-1.1349177246857302E-2</v>
      </c>
      <c r="AB34" s="629">
        <f t="shared" si="8"/>
        <v>-1.300841919127123E-7</v>
      </c>
      <c r="AC34" s="636">
        <f>IF(M34="","",SQRT(Z34^2+AA34^2+AB34^2))</f>
        <v>1</v>
      </c>
      <c r="AD34" s="637">
        <f>IF(M34="","",Z34*(1/SQRT(Z34^2+AA34^2+AB34^2)))</f>
        <v>-0.99993559601396464</v>
      </c>
      <c r="AE34" s="629">
        <f>IF(M34="","",AA34*(1/SQRT(Z34^2+AA34^2+AB34^2)))</f>
        <v>-1.1349177246857302E-2</v>
      </c>
      <c r="AF34" s="633">
        <f>IF(M34="","",AB34*(1/SQRT(Z34^2+AA34^2+AB34^2)))</f>
        <v>-1.300841919127123E-7</v>
      </c>
      <c r="AG34" s="602">
        <f>IF(M34="","",DEGREES(ATAN2(-AF34,AE34)))</f>
        <v>-89.999343276167465</v>
      </c>
      <c r="AH34" s="603">
        <f>IF(M34="","",DEGREES(ACOS(AD34)))</f>
        <v>179.34972608262962</v>
      </c>
      <c r="AI34" s="585">
        <f>IF(M34="","",DEGREES(-ACOS(-AF34)))</f>
        <v>-89.999992546724826</v>
      </c>
      <c r="AJ34" s="586">
        <f>IF(M34="","",DEGREES(ATAN2(-AE34,AD34)))</f>
        <v>-89.349726082671808</v>
      </c>
      <c r="AK34" s="635">
        <f>IF(M34="","",(COS(RADIANS((90-$Q$8)-W34))*AD34)+(-SIN(RADIANS((90-$Q$8)-W34))*AE34))</f>
        <v>0.81915209487729235</v>
      </c>
      <c r="AL34" s="629">
        <f>IF(M34="","",(SIN(RADIANS((90-$Q$8)-W34))*AD34)+(COS(RADIANS((90-$Q$8)-W34))*AE34))</f>
        <v>-0.57357636410344415</v>
      </c>
      <c r="AM34" s="634">
        <f>IF(M34="","",AF34)</f>
        <v>-1.300841919127123E-7</v>
      </c>
      <c r="AN34" s="581">
        <f>IF(M34="","",DEGREES(ATAN2(-AM34,AL34)))</f>
        <v>-89.99998700560964</v>
      </c>
      <c r="AO34" s="582">
        <f t="shared" si="94"/>
        <v>34.999994946625911</v>
      </c>
      <c r="AP34" s="585">
        <f>IF(M34="","",DEGREES(ATAN2(AK34,AL34)))</f>
        <v>-34.999994946625236</v>
      </c>
      <c r="AQ34" s="586">
        <f t="shared" si="9"/>
        <v>0.71507932809813046</v>
      </c>
      <c r="AS34" s="52">
        <f t="shared" si="116"/>
        <v>-142.25203143891693</v>
      </c>
      <c r="AT34" s="72">
        <f t="shared" si="10"/>
        <v>-2.1793640064498598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0.47760886528708607</v>
      </c>
      <c r="C35" s="708">
        <v>-1.9812518329295574</v>
      </c>
      <c r="D35" s="709">
        <v>-7.5900228915090281E-2</v>
      </c>
      <c r="E35" s="710">
        <v>5.0123902907100469E-2</v>
      </c>
      <c r="F35" s="708">
        <v>-0.20792665194602197</v>
      </c>
      <c r="G35" s="711">
        <v>0.97685930500143037</v>
      </c>
      <c r="H35" s="710">
        <v>0.19500000000000001</v>
      </c>
      <c r="I35" s="708">
        <v>0.21199999999999999</v>
      </c>
      <c r="J35" s="570">
        <v>3.21</v>
      </c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Inactive</v>
      </c>
      <c r="L35" s="320"/>
      <c r="M35" s="168">
        <f t="shared" si="1"/>
        <v>3.21</v>
      </c>
      <c r="N35" s="632">
        <f t="shared" si="2"/>
        <v>0.47760886528708607</v>
      </c>
      <c r="O35" s="629">
        <f t="shared" si="3"/>
        <v>-1.9812518329295574</v>
      </c>
      <c r="P35" s="633">
        <f t="shared" si="4"/>
        <v>-7.5900228915090281E-2</v>
      </c>
      <c r="Q35" s="585">
        <f t="shared" si="113"/>
        <v>283.55337205435063</v>
      </c>
      <c r="R35" s="629">
        <f>IF(M35="","",SQRT(N35^2+O35^2))</f>
        <v>2.0380061466265378</v>
      </c>
      <c r="S35" s="634">
        <f>IF(M35="","",P35)</f>
        <v>-7.5900228915090281E-2</v>
      </c>
      <c r="T35" s="635">
        <f>IF(M35="","",X35*COS(RADIANS(W35)))</f>
        <v>-1.9624419270022049</v>
      </c>
      <c r="U35" s="629">
        <f>IF(M35="","",X35*SIN(RADIANS(W35)))</f>
        <v>-0.54980972784357074</v>
      </c>
      <c r="V35" s="636">
        <f>IF(M35="","",Y35)</f>
        <v>-7.5900228915090281E-2</v>
      </c>
      <c r="W35" s="585">
        <f t="shared" si="224"/>
        <v>195.65107175148026</v>
      </c>
      <c r="X35" s="629">
        <f>IF(M35="","",R35)</f>
        <v>2.0380061466265378</v>
      </c>
      <c r="Y35" s="630">
        <f t="shared" si="223"/>
        <v>-7.5900228915090281E-2</v>
      </c>
      <c r="Z35" s="632">
        <f t="shared" si="6"/>
        <v>-5.0123902907100469E-2</v>
      </c>
      <c r="AA35" s="629">
        <f t="shared" si="7"/>
        <v>0.20792665194602197</v>
      </c>
      <c r="AB35" s="629">
        <f t="shared" si="8"/>
        <v>-0.97685930500143037</v>
      </c>
      <c r="AC35" s="636">
        <f>IF(M35="","",SQRT(Z35^2+AA35^2+AB35^2))</f>
        <v>1</v>
      </c>
      <c r="AD35" s="637">
        <f>IF(M35="","",Z35*(1/SQRT(Z35^2+AA35^2+AB35^2)))</f>
        <v>-5.0123902907100469E-2</v>
      </c>
      <c r="AE35" s="629">
        <f>IF(M35="","",AA35*(1/SQRT(Z35^2+AA35^2+AB35^2)))</f>
        <v>0.20792665194602197</v>
      </c>
      <c r="AF35" s="633">
        <f>IF(M35="","",AB35*(1/SQRT(Z35^2+AA35^2+AB35^2)))</f>
        <v>-0.97685930500143037</v>
      </c>
      <c r="AG35" s="602">
        <f>IF(M35="","",DEGREES(ATAN2(-AF35,AE35)))</f>
        <v>12.016205622454891</v>
      </c>
      <c r="AH35" s="603">
        <f>IF(M35="","",DEGREES(ACOS(AD35)))</f>
        <v>92.87309200890158</v>
      </c>
      <c r="AI35" s="585">
        <f>IF(M35="","",DEGREES(-ACOS(-AF35)))</f>
        <v>-12.349998216887583</v>
      </c>
      <c r="AJ35" s="586">
        <f>IF(M35="","",DEGREES(ATAN2(-AE35,AD35)))</f>
        <v>-166.44656719095636</v>
      </c>
      <c r="AK35" s="635">
        <f>IF(M35="","",(COS(RADIANS((90-$Q$8)-W35))*AD35)+(-SIN(RADIANS((90-$Q$8)-W35))*AE35))</f>
        <v>2.2679489674465314E-7</v>
      </c>
      <c r="AL35" s="629">
        <f>IF(M35="","",(SIN(RADIANS((90-$Q$8)-W35))*AD35)+(COS(RADIANS((90-$Q$8)-W35))*AE35))</f>
        <v>-0.21388290776046404</v>
      </c>
      <c r="AM35" s="634">
        <f>IF(M35="","",AF35)</f>
        <v>-0.97685930500143037</v>
      </c>
      <c r="AN35" s="581">
        <f>IF(M35="","",DEGREES(ATAN2(-AM35,AL35)))</f>
        <v>-12.34999821688087</v>
      </c>
      <c r="AO35" s="582">
        <f t="shared" si="94"/>
        <v>0</v>
      </c>
      <c r="AP35" s="585">
        <f>IF(M35="","",DEGREES(ATAN2(AK35,AL35)))</f>
        <v>-89.999939245307004</v>
      </c>
      <c r="AQ35" s="586">
        <f t="shared" si="9"/>
        <v>1.1184642665376192</v>
      </c>
      <c r="AS35" s="52">
        <f t="shared" si="116"/>
        <v>-164.34892824851974</v>
      </c>
      <c r="AT35" s="72">
        <f t="shared" si="10"/>
        <v>3.9687707158277338E-2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Nose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3.21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3.11</v>
      </c>
      <c r="II35" s="734" cm="1">
        <f t="array" ref="II35">IFERROR(ROUND(VALUE(IF($IH35&lt;1,$IH35+LARGE((IF($M$9:$M$150="",0,$M$9:$M$150)-MOD(IF($M$9:$M$150="",0,$M$9:$M$150),1)),1),$IH35)),4),"")</f>
        <v>3.11</v>
      </c>
      <c r="IJ35" s="533">
        <f t="shared" si="112"/>
        <v>1313</v>
      </c>
      <c r="IK35" s="533" t="str">
        <f t="shared" si="66"/>
        <v>Inactive</v>
      </c>
      <c r="IL35" s="727">
        <f t="shared" si="225"/>
        <v>24.935896399702017</v>
      </c>
      <c r="IM35" s="759">
        <v>4.0976872863447297E-2</v>
      </c>
      <c r="IN35" s="5">
        <f t="shared" si="226"/>
        <v>0.6</v>
      </c>
      <c r="IO35" s="771">
        <v>300</v>
      </c>
      <c r="IP35" s="9">
        <f t="shared" si="227"/>
        <v>-2.0309061252128737</v>
      </c>
      <c r="IQ35" s="5">
        <f t="shared" si="228"/>
        <v>-9.800029556889138E-2</v>
      </c>
      <c r="IR35" s="5">
        <f t="shared" si="71"/>
        <v>0.26600000000000001</v>
      </c>
      <c r="IS35" s="5">
        <f t="shared" si="229"/>
        <v>0.25891548810640241</v>
      </c>
      <c r="IT35" s="727">
        <f t="shared" si="230"/>
        <v>32.084304441735128</v>
      </c>
      <c r="IU35" s="9">
        <f t="shared" si="231"/>
        <v>-2.0380061466265378</v>
      </c>
      <c r="IV35" s="5">
        <f t="shared" si="232"/>
        <v>-7.5900228915090281E-2</v>
      </c>
      <c r="IW35" s="5">
        <f t="shared" si="76"/>
        <v>0.19500000000000001</v>
      </c>
      <c r="IX35" s="5">
        <f t="shared" si="233"/>
        <v>0.19500000000000001</v>
      </c>
      <c r="IY35" s="762">
        <f t="shared" si="234"/>
        <v>12.34999821688087</v>
      </c>
    </row>
    <row r="36" spans="1:267" ht="15" customHeight="1" x14ac:dyDescent="0.25">
      <c r="A36" s="79"/>
      <c r="B36" s="707">
        <v>0.71175714752146824</v>
      </c>
      <c r="C36" s="708">
        <v>-2.564571453735212</v>
      </c>
      <c r="D36" s="709">
        <v>-0.39630119524440488</v>
      </c>
      <c r="E36" s="710">
        <v>0.98060473703249551</v>
      </c>
      <c r="F36" s="708">
        <v>1.1436730320781019E-4</v>
      </c>
      <c r="G36" s="711">
        <v>0.19599575666210378</v>
      </c>
      <c r="H36" s="710">
        <v>0.219</v>
      </c>
      <c r="I36" s="708">
        <v>0.42</v>
      </c>
      <c r="J36" s="570">
        <v>3.2149999999999999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1111</v>
      </c>
      <c r="L36" s="320"/>
      <c r="M36" s="168">
        <f t="shared" si="1"/>
        <v>3.2149999999999999</v>
      </c>
      <c r="N36" s="632">
        <f t="shared" si="2"/>
        <v>0.71175714752146824</v>
      </c>
      <c r="O36" s="629">
        <f t="shared" si="3"/>
        <v>-2.564571453735212</v>
      </c>
      <c r="P36" s="633">
        <f t="shared" si="4"/>
        <v>-0.39630119524440488</v>
      </c>
      <c r="Q36" s="585">
        <f t="shared" si="113"/>
        <v>285.5111717716793</v>
      </c>
      <c r="R36" s="629">
        <f>IF(M36="","",SQRT(N36^2+O36^2))</f>
        <v>2.6615080271082099</v>
      </c>
      <c r="S36" s="634">
        <f>IF(M36="","",P36)</f>
        <v>-0.39630119524440488</v>
      </c>
      <c r="T36" s="635">
        <f>IF(M36="","",X36*COS(RADIANS(W36)))</f>
        <v>-2.5367999772092502</v>
      </c>
      <c r="U36" s="629">
        <f>IF(M36="","",X36*SIN(RADIANS(W36)))</f>
        <v>-0.80515268986235422</v>
      </c>
      <c r="V36" s="636">
        <f>IF(M36="","",Y36)</f>
        <v>-0.39630119524440488</v>
      </c>
      <c r="W36" s="585">
        <f t="shared" si="224"/>
        <v>197.60887146880893</v>
      </c>
      <c r="X36" s="629">
        <f>IF(M36="","",R36)</f>
        <v>2.6615080271082099</v>
      </c>
      <c r="Y36" s="630">
        <f t="shared" si="223"/>
        <v>-0.39630119524440488</v>
      </c>
      <c r="Z36" s="632">
        <f t="shared" si="6"/>
        <v>-0.98060473703249551</v>
      </c>
      <c r="AA36" s="629">
        <f t="shared" si="7"/>
        <v>-1.1436730320781019E-4</v>
      </c>
      <c r="AB36" s="629">
        <f t="shared" si="8"/>
        <v>-0.19599575666210378</v>
      </c>
      <c r="AC36" s="636">
        <f>IF(M36="","",SQRT(Z36^2+AA36^2+AB36^2))</f>
        <v>1</v>
      </c>
      <c r="AD36" s="637">
        <f>IF(M36="","",Z36*(1/SQRT(Z36^2+AA36^2+AB36^2)))</f>
        <v>-0.98060473703249551</v>
      </c>
      <c r="AE36" s="629">
        <f>IF(M36="","",AA36*(1/SQRT(Z36^2+AA36^2+AB36^2)))</f>
        <v>-1.1436730320781019E-4</v>
      </c>
      <c r="AF36" s="633">
        <f>IF(M36="","",AB36*(1/SQRT(Z36^2+AA36^2+AB36^2)))</f>
        <v>-0.19599575666210378</v>
      </c>
      <c r="AG36" s="602">
        <f>IF(M36="","",DEGREES(ATAN2(-AF36,AE36)))</f>
        <v>-3.3433188330043273E-2</v>
      </c>
      <c r="AH36" s="603">
        <f>IF(M36="","",DEGREES(ACOS(AD36)))</f>
        <v>168.69709925968374</v>
      </c>
      <c r="AI36" s="585">
        <f>IF(M36="","",DEGREES(-ACOS(-AF36)))</f>
        <v>-78.697101209329404</v>
      </c>
      <c r="AJ36" s="586">
        <f>IF(M36="","",DEGREES(ATAN2(-AE36,AD36)))</f>
        <v>-89.993317629916604</v>
      </c>
      <c r="AK36" s="635">
        <f>IF(M36="","",(COS(RADIANS((90-$Q$8)-W36))*AD36)+(-SIN(RADIANS((90-$Q$8)-W36))*AE36))</f>
        <v>0.94492005739658591</v>
      </c>
      <c r="AL36" s="629">
        <f>IF(M36="","",(SIN(RADIANS((90-$Q$8)-W36))*AD36)+(COS(RADIANS((90-$Q$8)-W36))*AE36))</f>
        <v>-0.26212925914533597</v>
      </c>
      <c r="AM36" s="634">
        <f>IF(M36="","",AF36)</f>
        <v>-0.19599575666210378</v>
      </c>
      <c r="AN36" s="581">
        <f>IF(M36="","",DEGREES(ATAN2(-AM36,AL36)))</f>
        <v>-53.214295210348105</v>
      </c>
      <c r="AO36" s="582">
        <f t="shared" si="94"/>
        <v>19.105051818916923</v>
      </c>
      <c r="AP36" s="585">
        <f>IF(M36="","",DEGREES(ATAN2(AK36,AL36)))</f>
        <v>-15.504489401595897</v>
      </c>
      <c r="AQ36" s="586">
        <f t="shared" si="9"/>
        <v>0.8564906800504356</v>
      </c>
      <c r="AS36" s="52">
        <f t="shared" si="116"/>
        <v>-162.39112853119107</v>
      </c>
      <c r="AT36" s="72">
        <f t="shared" si="10"/>
        <v>-0.28207284230807106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3.2149999999999999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3.1150000000000002</v>
      </c>
      <c r="II36" s="734" cm="1">
        <f t="array" ref="II36">IFERROR(ROUND(VALUE(IF($IH36&lt;1,$IH36+LARGE((IF($M$9:$M$150="",0,$M$9:$M$150)-MOD(IF($M$9:$M$150="",0,$M$9:$M$150),1)),1),$IH36)),4),"")</f>
        <v>3.1150000000000002</v>
      </c>
      <c r="IJ36" s="533">
        <f t="shared" si="112"/>
        <v>1313</v>
      </c>
      <c r="IK36" s="533">
        <f t="shared" si="66"/>
        <v>1111</v>
      </c>
      <c r="IL36" s="727">
        <f t="shared" si="225"/>
        <v>21.558296887367078</v>
      </c>
      <c r="IM36" s="759">
        <v>7.2939301968831197E-3</v>
      </c>
      <c r="IN36" s="5">
        <f t="shared" si="226"/>
        <v>0.12</v>
      </c>
      <c r="IO36" s="771">
        <v>60</v>
      </c>
      <c r="IP36" s="9">
        <f t="shared" si="227"/>
        <v>-2.6338079435647579</v>
      </c>
      <c r="IQ36" s="5">
        <f t="shared" si="228"/>
        <v>-0.43000129688391142</v>
      </c>
      <c r="IR36" s="5">
        <f t="shared" si="71"/>
        <v>0.26600000000000001</v>
      </c>
      <c r="IS36" s="5">
        <f t="shared" si="229"/>
        <v>0.25751012428064146</v>
      </c>
      <c r="IT36" s="727">
        <f t="shared" si="230"/>
        <v>59.845489370293222</v>
      </c>
      <c r="IU36" s="9">
        <f t="shared" si="231"/>
        <v>-2.6615080271082099</v>
      </c>
      <c r="IV36" s="5">
        <f t="shared" si="232"/>
        <v>-0.39630119524440488</v>
      </c>
      <c r="IW36" s="5">
        <f t="shared" si="76"/>
        <v>0.219</v>
      </c>
      <c r="IX36" s="5">
        <f t="shared" si="233"/>
        <v>0.2069374925698523</v>
      </c>
      <c r="IY36" s="762">
        <f t="shared" si="234"/>
        <v>53.214295210348105</v>
      </c>
    </row>
    <row r="37" spans="1:267" ht="15" customHeight="1" x14ac:dyDescent="0.25">
      <c r="A37" s="79"/>
      <c r="B37" s="707">
        <v>0.80184280925130125</v>
      </c>
      <c r="C37" s="708">
        <v>-2.9705923359400952</v>
      </c>
      <c r="D37" s="709">
        <v>-0.96690291617919533</v>
      </c>
      <c r="E37" s="710">
        <v>0.96755440375956914</v>
      </c>
      <c r="F37" s="708">
        <v>-0.19728859048630018</v>
      </c>
      <c r="G37" s="711">
        <v>0.15784703934313679</v>
      </c>
      <c r="H37" s="710">
        <v>0.219</v>
      </c>
      <c r="I37" s="708">
        <v>0.42</v>
      </c>
      <c r="J37" s="570">
        <v>3.22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1111</v>
      </c>
      <c r="L37" s="320"/>
      <c r="M37" s="168">
        <f t="shared" si="1"/>
        <v>3.22</v>
      </c>
      <c r="N37" s="632">
        <f t="shared" si="2"/>
        <v>0.80184280925130125</v>
      </c>
      <c r="O37" s="629">
        <f t="shared" si="3"/>
        <v>-2.9705923359400952</v>
      </c>
      <c r="P37" s="633">
        <f t="shared" si="4"/>
        <v>-0.96690291617919533</v>
      </c>
      <c r="Q37" s="585">
        <f t="shared" si="113"/>
        <v>285.1056718302263</v>
      </c>
      <c r="R37" s="629">
        <f t="shared" si="79"/>
        <v>3.0769092799583886</v>
      </c>
      <c r="S37" s="634">
        <f t="shared" si="80"/>
        <v>-0.96690291617919533</v>
      </c>
      <c r="T37" s="635">
        <f t="shared" si="81"/>
        <v>-2.9392513118339427</v>
      </c>
      <c r="U37" s="629">
        <f t="shared" si="82"/>
        <v>-0.91003980296275899</v>
      </c>
      <c r="V37" s="636">
        <f t="shared" si="114"/>
        <v>-0.96690291617919533</v>
      </c>
      <c r="W37" s="585">
        <f t="shared" si="224"/>
        <v>197.20337152735593</v>
      </c>
      <c r="X37" s="629">
        <f t="shared" si="83"/>
        <v>3.0769092799583886</v>
      </c>
      <c r="Y37" s="630">
        <f t="shared" si="223"/>
        <v>-0.96690291617919533</v>
      </c>
      <c r="Z37" s="632">
        <f t="shared" si="6"/>
        <v>-0.96755440375956914</v>
      </c>
      <c r="AA37" s="629">
        <f t="shared" si="7"/>
        <v>0.19728859048630018</v>
      </c>
      <c r="AB37" s="629">
        <f t="shared" si="8"/>
        <v>-0.15784703934313679</v>
      </c>
      <c r="AC37" s="636">
        <f t="shared" si="84"/>
        <v>1</v>
      </c>
      <c r="AD37" s="637">
        <f t="shared" si="115"/>
        <v>-0.96755440375956914</v>
      </c>
      <c r="AE37" s="629">
        <f t="shared" si="85"/>
        <v>0.19728859048630018</v>
      </c>
      <c r="AF37" s="633">
        <f t="shared" si="86"/>
        <v>-0.15784703934313679</v>
      </c>
      <c r="AG37" s="602">
        <f t="shared" si="87"/>
        <v>51.337328967987865</v>
      </c>
      <c r="AH37" s="603">
        <f t="shared" si="88"/>
        <v>165.36486263023909</v>
      </c>
      <c r="AI37" s="585">
        <f t="shared" si="89"/>
        <v>-80.918047283995733</v>
      </c>
      <c r="AJ37" s="586">
        <f t="shared" si="90"/>
        <v>-101.52487110679526</v>
      </c>
      <c r="AK37" s="635">
        <f t="shared" si="211"/>
        <v>0.8827089171836846</v>
      </c>
      <c r="AL37" s="629">
        <f t="shared" si="91"/>
        <v>-0.44261640242428163</v>
      </c>
      <c r="AM37" s="634">
        <f t="shared" si="92"/>
        <v>-0.15784703934313679</v>
      </c>
      <c r="AN37" s="581">
        <f t="shared" si="93"/>
        <v>-70.372613715978304</v>
      </c>
      <c r="AO37" s="582">
        <f t="shared" si="94"/>
        <v>28.029114815622378</v>
      </c>
      <c r="AP37" s="585">
        <f t="shared" si="95"/>
        <v>-26.630542937021559</v>
      </c>
      <c r="AQ37" s="586">
        <f t="shared" si="9"/>
        <v>0.74087318297058691</v>
      </c>
      <c r="AS37" s="52">
        <f t="shared" si="116"/>
        <v>-162.79662847264407</v>
      </c>
      <c r="AT37" s="72">
        <f t="shared" si="10"/>
        <v>-0.85239296606129689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3.22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3.12</v>
      </c>
      <c r="II37" s="734" cm="1">
        <f t="array" ref="II37">IFERROR(ROUND(VALUE(IF($IH37&lt;1,$IH37+LARGE((IF($M$9:$M$150="",0,$M$9:$M$150)-MOD(IF($M$9:$M$150="",0,$M$9:$M$150),1)),1),$IH37)),4),"")</f>
        <v>3.12</v>
      </c>
      <c r="IJ37" s="533">
        <f t="shared" si="112"/>
        <v>1313</v>
      </c>
      <c r="IK37" s="533">
        <f t="shared" si="66"/>
        <v>1111</v>
      </c>
      <c r="IL37" s="727">
        <f t="shared" si="225"/>
        <v>20.942496976277539</v>
      </c>
      <c r="IM37" s="759">
        <v>4.5197824075969596E-3</v>
      </c>
      <c r="IN37" s="5">
        <f t="shared" si="226"/>
        <v>0.1</v>
      </c>
      <c r="IO37" s="771">
        <v>50</v>
      </c>
      <c r="IP37" s="9">
        <f t="shared" si="227"/>
        <v>-3.0355091550956117</v>
      </c>
      <c r="IQ37" s="5">
        <f t="shared" si="228"/>
        <v>-0.98880298222979446</v>
      </c>
      <c r="IR37" s="5">
        <f t="shared" si="71"/>
        <v>0.26600000000000001</v>
      </c>
      <c r="IS37" s="5">
        <f t="shared" si="229"/>
        <v>0.24433412190984663</v>
      </c>
      <c r="IT37" s="727">
        <f t="shared" si="230"/>
        <v>73.677167925971531</v>
      </c>
      <c r="IU37" s="9">
        <f t="shared" si="231"/>
        <v>-3.0769092799583886</v>
      </c>
      <c r="IV37" s="5">
        <f t="shared" si="232"/>
        <v>-0.96690291617919533</v>
      </c>
      <c r="IW37" s="5">
        <f t="shared" si="76"/>
        <v>0.219</v>
      </c>
      <c r="IX37" s="5">
        <f t="shared" si="233"/>
        <v>0.19331325286322693</v>
      </c>
      <c r="IY37" s="762">
        <f t="shared" si="234"/>
        <v>70.372613715978304</v>
      </c>
    </row>
    <row r="38" spans="1:267" ht="15" customHeight="1" x14ac:dyDescent="0.25">
      <c r="A38" s="79"/>
      <c r="B38" s="707">
        <v>0.78690708929116115</v>
      </c>
      <c r="C38" s="708">
        <v>-3.1083500781124482</v>
      </c>
      <c r="D38" s="709">
        <v>-1.6694050349255856</v>
      </c>
      <c r="E38" s="710">
        <v>0.93486581356390164</v>
      </c>
      <c r="F38" s="708">
        <v>-0.35500128257442609</v>
      </c>
      <c r="G38" s="711">
        <v>1.3008419240727223E-7</v>
      </c>
      <c r="H38" s="710">
        <v>0.219</v>
      </c>
      <c r="I38" s="708">
        <v>0.42</v>
      </c>
      <c r="J38" s="570">
        <v>3.2250000000000001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1111</v>
      </c>
      <c r="L38" s="320"/>
      <c r="M38" s="168">
        <f t="shared" si="1"/>
        <v>3.2250000000000001</v>
      </c>
      <c r="N38" s="632">
        <f t="shared" si="2"/>
        <v>0.78690708929116115</v>
      </c>
      <c r="O38" s="629">
        <f t="shared" si="3"/>
        <v>-3.1083500781124482</v>
      </c>
      <c r="P38" s="633">
        <f t="shared" si="4"/>
        <v>-1.6694050349255856</v>
      </c>
      <c r="Q38" s="585">
        <f t="shared" si="113"/>
        <v>284.20647196005467</v>
      </c>
      <c r="R38" s="629">
        <f t="shared" si="79"/>
        <v>3.206409670531567</v>
      </c>
      <c r="S38" s="634">
        <f t="shared" si="80"/>
        <v>-1.6694050349255856</v>
      </c>
      <c r="T38" s="635">
        <f t="shared" si="81"/>
        <v>-3.0774634385398789</v>
      </c>
      <c r="U38" s="629">
        <f t="shared" si="82"/>
        <v>-0.9001565195723773</v>
      </c>
      <c r="V38" s="636">
        <f t="shared" si="114"/>
        <v>-1.6694050349255856</v>
      </c>
      <c r="W38" s="585">
        <f t="shared" si="224"/>
        <v>196.3041716571843</v>
      </c>
      <c r="X38" s="629">
        <f t="shared" si="83"/>
        <v>3.206409670531567</v>
      </c>
      <c r="Y38" s="630">
        <f t="shared" si="223"/>
        <v>-1.6694050349255856</v>
      </c>
      <c r="Z38" s="632">
        <f t="shared" si="6"/>
        <v>-0.93486581356390164</v>
      </c>
      <c r="AA38" s="629">
        <f t="shared" si="7"/>
        <v>0.35500128257442609</v>
      </c>
      <c r="AB38" s="629">
        <f t="shared" si="8"/>
        <v>-1.3008419240727223E-7</v>
      </c>
      <c r="AC38" s="636">
        <f t="shared" si="84"/>
        <v>1</v>
      </c>
      <c r="AD38" s="637">
        <f t="shared" si="115"/>
        <v>-0.93486581356390164</v>
      </c>
      <c r="AE38" s="629">
        <f t="shared" si="85"/>
        <v>0.35500128257442609</v>
      </c>
      <c r="AF38" s="633">
        <f t="shared" si="86"/>
        <v>-1.3008419240727223E-7</v>
      </c>
      <c r="AG38" s="602">
        <f t="shared" si="87"/>
        <v>89.999979004934431</v>
      </c>
      <c r="AH38" s="603">
        <f t="shared" si="88"/>
        <v>159.20647701342816</v>
      </c>
      <c r="AI38" s="585">
        <f t="shared" si="89"/>
        <v>-89.999992546724798</v>
      </c>
      <c r="AJ38" s="586">
        <f t="shared" si="90"/>
        <v>-110.79352298657058</v>
      </c>
      <c r="AK38" s="635">
        <f t="shared" si="211"/>
        <v>0.81915209487729201</v>
      </c>
      <c r="AL38" s="629">
        <f t="shared" si="91"/>
        <v>-0.57357636410344437</v>
      </c>
      <c r="AM38" s="634">
        <f t="shared" si="92"/>
        <v>-1.3008419240727223E-7</v>
      </c>
      <c r="AN38" s="581">
        <f t="shared" si="93"/>
        <v>-89.999987005609597</v>
      </c>
      <c r="AO38" s="582">
        <f t="shared" si="94"/>
        <v>34.999994946625954</v>
      </c>
      <c r="AP38" s="585">
        <f t="shared" si="95"/>
        <v>-34.999994946625257</v>
      </c>
      <c r="AQ38" s="586">
        <f t="shared" si="9"/>
        <v>0.71095395205086653</v>
      </c>
      <c r="AS38" s="52">
        <f t="shared" si="116"/>
        <v>-163.6958283428157</v>
      </c>
      <c r="AT38" s="72">
        <f t="shared" si="10"/>
        <v>-1.5542706404534012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>Gage</v>
      </c>
      <c r="IG38" s="847">
        <f t="shared" si="210"/>
        <v>3.2250000000000001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3.125</v>
      </c>
      <c r="II38" s="734" cm="1">
        <f t="array" ref="II38">IFERROR(ROUND(VALUE(IF($IH38&lt;1,$IH38+LARGE((IF($M$9:$M$150="",0,$M$9:$M$150)-MOD(IF($M$9:$M$150="",0,$M$9:$M$150),1)),1),$IH38)),4),"")</f>
        <v>3.125</v>
      </c>
      <c r="IJ38" s="533">
        <f t="shared" si="112"/>
        <v>1313</v>
      </c>
      <c r="IK38" s="533">
        <f t="shared" si="66"/>
        <v>1111</v>
      </c>
      <c r="IL38" s="727">
        <f t="shared" si="225"/>
        <v>21.443796903898772</v>
      </c>
      <c r="IM38" s="759">
        <v>2.6136810897456901E-5</v>
      </c>
      <c r="IN38" s="5">
        <f t="shared" si="226"/>
        <v>0</v>
      </c>
      <c r="IO38" s="771">
        <v>0</v>
      </c>
      <c r="IP38" s="9">
        <f t="shared" si="227"/>
        <v>-3.155509517016704</v>
      </c>
      <c r="IQ38" s="5">
        <f t="shared" si="228"/>
        <v>-1.6605050080831047</v>
      </c>
      <c r="IR38" s="5">
        <f t="shared" si="71"/>
        <v>0.26600000000000001</v>
      </c>
      <c r="IS38" s="5">
        <f t="shared" si="229"/>
        <v>0.23036276746123391</v>
      </c>
      <c r="IT38" s="727">
        <f t="shared" si="230"/>
        <v>89.99998700560964</v>
      </c>
      <c r="IU38" s="9">
        <f t="shared" si="231"/>
        <v>-3.206409670531567</v>
      </c>
      <c r="IV38" s="5">
        <f t="shared" si="232"/>
        <v>-1.6694050349255856</v>
      </c>
      <c r="IW38" s="5">
        <f t="shared" si="76"/>
        <v>0.219</v>
      </c>
      <c r="IX38" s="5">
        <f t="shared" si="233"/>
        <v>0.17939430877812695</v>
      </c>
      <c r="IY38" s="762">
        <f t="shared" si="234"/>
        <v>89.999987005609597</v>
      </c>
    </row>
    <row r="39" spans="1:267" ht="15" customHeight="1" x14ac:dyDescent="0.25">
      <c r="A39" s="79"/>
      <c r="B39" s="707">
        <v>-0.32396606857187532</v>
      </c>
      <c r="C39" s="708">
        <v>-0.38608744947942408</v>
      </c>
      <c r="D39" s="709">
        <v>-0.24100072685819221</v>
      </c>
      <c r="E39" s="710">
        <v>0.77694675205891339</v>
      </c>
      <c r="F39" s="708">
        <v>-0.58358313946393447</v>
      </c>
      <c r="G39" s="711">
        <v>0.2361873489383447</v>
      </c>
      <c r="H39" s="710">
        <v>0.26600000000000001</v>
      </c>
      <c r="I39" s="708">
        <v>0.52</v>
      </c>
      <c r="J39" s="570">
        <v>4.1020000000000003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4.1020000000000003</v>
      </c>
      <c r="N39" s="632">
        <f t="shared" si="2"/>
        <v>-0.32396606857187532</v>
      </c>
      <c r="O39" s="629">
        <f t="shared" si="3"/>
        <v>-0.38608744947942408</v>
      </c>
      <c r="P39" s="633">
        <f t="shared" si="4"/>
        <v>-0.24100072685819221</v>
      </c>
      <c r="Q39" s="585">
        <f t="shared" si="113"/>
        <v>229.99997978650384</v>
      </c>
      <c r="R39" s="629">
        <f t="shared" si="79"/>
        <v>0.50400152006858456</v>
      </c>
      <c r="S39" s="634">
        <f t="shared" si="80"/>
        <v>-0.24100072685819221</v>
      </c>
      <c r="T39" s="635">
        <f t="shared" si="81"/>
        <v>-0.39768703886358786</v>
      </c>
      <c r="U39" s="629">
        <f t="shared" si="82"/>
        <v>0.30961678144337562</v>
      </c>
      <c r="V39" s="636">
        <f t="shared" si="114"/>
        <v>-0.24100072685819221</v>
      </c>
      <c r="W39" s="585">
        <f t="shared" si="224"/>
        <v>142.09767948363347</v>
      </c>
      <c r="X39" s="629">
        <f t="shared" si="83"/>
        <v>0.50400152006858456</v>
      </c>
      <c r="Y39" s="630">
        <f t="shared" si="223"/>
        <v>-0.24100072685819221</v>
      </c>
      <c r="Z39" s="632">
        <f t="shared" si="6"/>
        <v>-0.77694675205891339</v>
      </c>
      <c r="AA39" s="629">
        <f t="shared" si="7"/>
        <v>0.58358313946393447</v>
      </c>
      <c r="AB39" s="629">
        <f t="shared" si="8"/>
        <v>-0.2361873489383447</v>
      </c>
      <c r="AC39" s="636">
        <f t="shared" si="84"/>
        <v>1</v>
      </c>
      <c r="AD39" s="637">
        <f t="shared" si="115"/>
        <v>-0.77694675205891339</v>
      </c>
      <c r="AE39" s="629">
        <f t="shared" si="85"/>
        <v>0.58358313946393447</v>
      </c>
      <c r="AF39" s="633">
        <f t="shared" si="86"/>
        <v>-0.2361873489383447</v>
      </c>
      <c r="AG39" s="602">
        <f t="shared" si="87"/>
        <v>67.965871442585495</v>
      </c>
      <c r="AH39" s="603">
        <f t="shared" si="88"/>
        <v>140.98186674368449</v>
      </c>
      <c r="AI39" s="585">
        <f t="shared" si="89"/>
        <v>-76.338376739579061</v>
      </c>
      <c r="AJ39" s="586">
        <f t="shared" si="90"/>
        <v>-126.91108167637543</v>
      </c>
      <c r="AK39" s="635">
        <f t="shared" si="211"/>
        <v>0.97029573481080833</v>
      </c>
      <c r="AL39" s="629">
        <f t="shared" si="91"/>
        <v>5.2361466838030446E-2</v>
      </c>
      <c r="AM39" s="634">
        <f t="shared" si="92"/>
        <v>-0.2361873489383447</v>
      </c>
      <c r="AN39" s="581">
        <f t="shared" si="93"/>
        <v>12.499998195223501</v>
      </c>
      <c r="AO39" s="582">
        <f t="shared" si="94"/>
        <v>13.999997978650374</v>
      </c>
      <c r="AP39" s="585">
        <f t="shared" si="95"/>
        <v>3.0889385371207339</v>
      </c>
      <c r="AQ39" s="586">
        <f t="shared" si="9"/>
        <v>4.5138915326195166</v>
      </c>
      <c r="AS39" s="52">
        <f t="shared" si="116"/>
        <v>-217.90232051636653</v>
      </c>
      <c r="AT39" s="72">
        <f t="shared" si="10"/>
        <v>-8.8222935043264311E-2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4.1020000000000003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-0.73379654193695543</v>
      </c>
      <c r="C40" s="708">
        <v>-0.87296199216587023</v>
      </c>
      <c r="D40" s="709">
        <v>-9.9900301299308727E-2</v>
      </c>
      <c r="E40" s="710">
        <v>0.76908810813139716</v>
      </c>
      <c r="F40" s="708">
        <v>-0.60219529945130179</v>
      </c>
      <c r="G40" s="711">
        <v>0.21415952757144746</v>
      </c>
      <c r="H40" s="710">
        <v>0.26600000000000001</v>
      </c>
      <c r="I40" s="708">
        <v>0.52</v>
      </c>
      <c r="J40" s="570">
        <v>4.1050000000000004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4.1050000000000004</v>
      </c>
      <c r="N40" s="632">
        <f t="shared" si="2"/>
        <v>-0.73379654193695543</v>
      </c>
      <c r="O40" s="629">
        <f t="shared" si="3"/>
        <v>-0.87296199216587023</v>
      </c>
      <c r="P40" s="633">
        <f t="shared" si="4"/>
        <v>-9.9900301299308727E-2</v>
      </c>
      <c r="Q40" s="585">
        <f t="shared" si="113"/>
        <v>229.95017979369405</v>
      </c>
      <c r="R40" s="629">
        <f t="shared" si="79"/>
        <v>1.1404034394567735</v>
      </c>
      <c r="S40" s="634">
        <f t="shared" si="80"/>
        <v>-9.9900301299308727E-2</v>
      </c>
      <c r="T40" s="635">
        <f t="shared" si="81"/>
        <v>-0.89923657516695799</v>
      </c>
      <c r="U40" s="629">
        <f t="shared" si="82"/>
        <v>0.70135125764971618</v>
      </c>
      <c r="V40" s="636">
        <f t="shared" si="114"/>
        <v>-9.9900301299308727E-2</v>
      </c>
      <c r="W40" s="585">
        <f t="shared" si="224"/>
        <v>142.04787949082368</v>
      </c>
      <c r="X40" s="629">
        <f t="shared" si="83"/>
        <v>1.1404034394567735</v>
      </c>
      <c r="Y40" s="630">
        <f t="shared" si="223"/>
        <v>-9.9900301299308727E-2</v>
      </c>
      <c r="Z40" s="632">
        <f t="shared" si="6"/>
        <v>-0.76908810813139716</v>
      </c>
      <c r="AA40" s="629">
        <f t="shared" si="7"/>
        <v>0.60219529945130179</v>
      </c>
      <c r="AB40" s="629">
        <f t="shared" si="8"/>
        <v>-0.21415952757144746</v>
      </c>
      <c r="AC40" s="636">
        <f t="shared" si="84"/>
        <v>1</v>
      </c>
      <c r="AD40" s="637">
        <f t="shared" si="115"/>
        <v>-0.76908810813139716</v>
      </c>
      <c r="AE40" s="629">
        <f t="shared" si="85"/>
        <v>0.60219529945130179</v>
      </c>
      <c r="AF40" s="633">
        <f t="shared" si="86"/>
        <v>-0.21415952757144746</v>
      </c>
      <c r="AG40" s="602">
        <f t="shared" si="87"/>
        <v>70.42301892559756</v>
      </c>
      <c r="AH40" s="603">
        <f t="shared" si="88"/>
        <v>140.2720722347789</v>
      </c>
      <c r="AI40" s="585">
        <f t="shared" si="89"/>
        <v>-77.633776683775153</v>
      </c>
      <c r="AJ40" s="586">
        <f t="shared" si="90"/>
        <v>-128.06091219497569</v>
      </c>
      <c r="AK40" s="635">
        <f t="shared" si="211"/>
        <v>0.976210240004031</v>
      </c>
      <c r="AL40" s="629">
        <f t="shared" si="91"/>
        <v>3.3900797360045698E-2</v>
      </c>
      <c r="AM40" s="634">
        <f t="shared" si="92"/>
        <v>-0.21415952757144746</v>
      </c>
      <c r="AN40" s="581">
        <f t="shared" si="93"/>
        <v>8.9951090838235341</v>
      </c>
      <c r="AO40" s="582">
        <f t="shared" si="94"/>
        <v>12.522683970999893</v>
      </c>
      <c r="AP40" s="585">
        <f t="shared" si="95"/>
        <v>1.9889080113302722</v>
      </c>
      <c r="AQ40" s="586">
        <f t="shared" si="9"/>
        <v>1.9982421826496652</v>
      </c>
      <c r="AS40" s="52">
        <f t="shared" si="116"/>
        <v>-217.95212050917632</v>
      </c>
      <c r="AT40" s="72">
        <f t="shared" si="10"/>
        <v>5.2912073843959309E-2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4.1050000000000004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-1.2494296472069155</v>
      </c>
      <c r="C41" s="708">
        <v>-1.4261007119795623</v>
      </c>
      <c r="D41" s="709">
        <v>-6.5400197246994904E-2</v>
      </c>
      <c r="E41" s="710">
        <v>0.66728523034558618</v>
      </c>
      <c r="F41" s="708">
        <v>-0.71636917216016616</v>
      </c>
      <c r="G41" s="711">
        <v>0.20382745286441764</v>
      </c>
      <c r="H41" s="710">
        <v>0.26600000000000001</v>
      </c>
      <c r="I41" s="708">
        <v>0.52</v>
      </c>
      <c r="J41" s="570">
        <v>4.109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4.109</v>
      </c>
      <c r="N41" s="632">
        <f t="shared" ref="N41:N72" si="240">IF(M41="","",B41)</f>
        <v>-1.2494296472069155</v>
      </c>
      <c r="O41" s="629">
        <f t="shared" ref="O41:O72" si="241">IF(M41="","",C41)</f>
        <v>-1.4261007119795623</v>
      </c>
      <c r="P41" s="633">
        <f t="shared" ref="P41:P72" si="242">IF(M41="","",D41)</f>
        <v>-6.5400197246994904E-2</v>
      </c>
      <c r="Q41" s="585">
        <f t="shared" si="113"/>
        <v>228.77787996295322</v>
      </c>
      <c r="R41" s="629">
        <f t="shared" si="79"/>
        <v>1.8960057183532468</v>
      </c>
      <c r="S41" s="634">
        <f t="shared" si="80"/>
        <v>-6.5400197246994904E-2</v>
      </c>
      <c r="T41" s="635">
        <f t="shared" si="81"/>
        <v>-1.4708786385206949</v>
      </c>
      <c r="U41" s="629">
        <f t="shared" si="82"/>
        <v>1.1963919569989254</v>
      </c>
      <c r="V41" s="636">
        <f t="shared" si="114"/>
        <v>-6.5400197246994904E-2</v>
      </c>
      <c r="W41" s="585">
        <f t="shared" si="224"/>
        <v>140.87557966008285</v>
      </c>
      <c r="X41" s="629">
        <f t="shared" si="83"/>
        <v>1.8960057183532468</v>
      </c>
      <c r="Y41" s="630">
        <f t="shared" si="223"/>
        <v>-6.5400197246994904E-2</v>
      </c>
      <c r="Z41" s="632">
        <f t="shared" ref="Z41:Z72" si="243">IF(M41="","",-E41)</f>
        <v>-0.66728523034558618</v>
      </c>
      <c r="AA41" s="629">
        <f t="shared" ref="AA41:AA72" si="244">IF(M41="","",-F41)</f>
        <v>0.71636917216016616</v>
      </c>
      <c r="AB41" s="629">
        <f t="shared" ref="AB41:AB72" si="245">IF(M41="","",-G41)</f>
        <v>-0.20382745286441764</v>
      </c>
      <c r="AC41" s="636">
        <f t="shared" si="84"/>
        <v>1</v>
      </c>
      <c r="AD41" s="637">
        <f t="shared" si="115"/>
        <v>-0.66728523034558618</v>
      </c>
      <c r="AE41" s="629">
        <f t="shared" si="85"/>
        <v>0.71636917216016616</v>
      </c>
      <c r="AF41" s="633">
        <f t="shared" si="86"/>
        <v>-0.20382745286441764</v>
      </c>
      <c r="AG41" s="602">
        <f t="shared" si="87"/>
        <v>74.117436177550829</v>
      </c>
      <c r="AH41" s="603">
        <f t="shared" si="88"/>
        <v>131.85788177108176</v>
      </c>
      <c r="AI41" s="585">
        <f t="shared" si="89"/>
        <v>-78.239132133996407</v>
      </c>
      <c r="AJ41" s="586">
        <f t="shared" si="90"/>
        <v>-137.0316662254115</v>
      </c>
      <c r="AK41" s="635">
        <f t="shared" si="211"/>
        <v>0.97397850979857559</v>
      </c>
      <c r="AL41" s="629">
        <f t="shared" si="91"/>
        <v>-9.9097083253493645E-2</v>
      </c>
      <c r="AM41" s="634">
        <f t="shared" si="92"/>
        <v>-0.20382745286441764</v>
      </c>
      <c r="AN41" s="581">
        <f t="shared" si="93"/>
        <v>-25.92815138025497</v>
      </c>
      <c r="AO41" s="582">
        <f t="shared" si="94"/>
        <v>13.099357254316976</v>
      </c>
      <c r="AP41" s="585">
        <f t="shared" si="95"/>
        <v>-5.8095461883647097</v>
      </c>
      <c r="AQ41" s="586">
        <f t="shared" ref="AQ41:AQ72" si="246">IF(M41="","",DEGREES(ATAN(($AS$5*SIN(RADIANS(90)))/(($X41*2*PI())-($AS$5*COS(RADIANS(90)))))))</f>
        <v>1.2022073769537407</v>
      </c>
      <c r="AS41" s="52">
        <f t="shared" si="116"/>
        <v>-219.12442033991715</v>
      </c>
      <c r="AT41" s="72">
        <f t="shared" ref="AT41:AT72" si="247">IF(M41="","",Y41+(((AS41-$AS$9)*$AS$6)*-1))</f>
        <v>8.8226275000954243E-2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4.109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-1.7118963220148327</v>
      </c>
      <c r="C42" s="708">
        <v>-1.8574513374739703</v>
      </c>
      <c r="D42" s="709">
        <v>-0.34270103358631737</v>
      </c>
      <c r="E42" s="710">
        <v>0.57982600551575214</v>
      </c>
      <c r="F42" s="708">
        <v>-0.80316082120438603</v>
      </c>
      <c r="G42" s="711">
        <v>0.13687402459905795</v>
      </c>
      <c r="H42" s="710">
        <v>0.26600000000000001</v>
      </c>
      <c r="I42" s="708">
        <v>0.52</v>
      </c>
      <c r="J42" s="570">
        <v>4.1139999999999999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4.1139999999999999</v>
      </c>
      <c r="N42" s="632">
        <f t="shared" si="240"/>
        <v>-1.7118963220148327</v>
      </c>
      <c r="O42" s="629">
        <f t="shared" si="241"/>
        <v>-1.8574513374739703</v>
      </c>
      <c r="P42" s="633">
        <f t="shared" si="242"/>
        <v>-0.34270103358631737</v>
      </c>
      <c r="Q42" s="585">
        <f t="shared" si="113"/>
        <v>227.33518017125328</v>
      </c>
      <c r="R42" s="629">
        <f t="shared" ref="R42:R47" si="385">IF(M42="","",SQRT(N42^2+O42^2))</f>
        <v>2.5260076184389773</v>
      </c>
      <c r="S42" s="634">
        <f t="shared" ref="S42:S47" si="386">IF(M42="","",P42)</f>
        <v>-0.34270103358631737</v>
      </c>
      <c r="T42" s="635">
        <f t="shared" ref="T42:T47" si="387">IF(M42="","",X42*COS(RADIANS(W42)))</f>
        <v>-1.9188681400200491</v>
      </c>
      <c r="U42" s="629">
        <f t="shared" ref="U42:U47" si="388">IF(M42="","",X42*SIN(RADIANS(W42)))</f>
        <v>1.6427597358188906</v>
      </c>
      <c r="V42" s="636">
        <f t="shared" ref="V42:V47" si="389">IF(M42="","",Y42)</f>
        <v>-0.34270103358631737</v>
      </c>
      <c r="W42" s="585">
        <f t="shared" si="224"/>
        <v>139.43287986838291</v>
      </c>
      <c r="X42" s="629">
        <f t="shared" ref="X42:X47" si="390">IF(M42="","",R42)</f>
        <v>2.5260076184389773</v>
      </c>
      <c r="Y42" s="630">
        <f t="shared" si="223"/>
        <v>-0.34270103358631737</v>
      </c>
      <c r="Z42" s="632">
        <f t="shared" si="243"/>
        <v>-0.57982600551575214</v>
      </c>
      <c r="AA42" s="629">
        <f t="shared" si="244"/>
        <v>0.80316082120438603</v>
      </c>
      <c r="AB42" s="629">
        <f t="shared" si="245"/>
        <v>-0.13687402459905795</v>
      </c>
      <c r="AC42" s="636">
        <f t="shared" ref="AC42:AC47" si="391">IF(M42="","",SQRT(Z42^2+AA42^2+AB42^2))</f>
        <v>1.0000000000000002</v>
      </c>
      <c r="AD42" s="637">
        <f t="shared" ref="AD42:AD47" si="392">IF(M42="","",Z42*(1/SQRT(Z42^2+AA42^2+AB42^2)))</f>
        <v>-0.57982600551575203</v>
      </c>
      <c r="AE42" s="629">
        <f t="shared" ref="AE42:AE47" si="393">IF(M42="","",AA42*(1/SQRT(Z42^2+AA42^2+AB42^2)))</f>
        <v>0.80316082120438581</v>
      </c>
      <c r="AF42" s="633">
        <f t="shared" ref="AF42:AF47" si="394">IF(M42="","",AB42*(1/SQRT(Z42^2+AA42^2+AB42^2)))</f>
        <v>-0.13687402459905793</v>
      </c>
      <c r="AG42" s="602">
        <f t="shared" ref="AG42:AG47" si="395">IF(M42="","",DEGREES(ATAN2(-AF42,AE42)))</f>
        <v>80.328612547227465</v>
      </c>
      <c r="AH42" s="603">
        <f t="shared" ref="AH42:AH47" si="396">IF(M42="","",DEGREES(ACOS(AD42)))</f>
        <v>125.43830572513667</v>
      </c>
      <c r="AI42" s="585">
        <f t="shared" ref="AI42:AI47" si="397">IF(M42="","",DEGREES(-ACOS(-AF42)))</f>
        <v>-82.133000357227445</v>
      </c>
      <c r="AJ42" s="586">
        <f t="shared" ref="AJ42:AJ47" si="398">IF(M42="","",DEGREES(ATAN2(-AE42,AD42)))</f>
        <v>-144.17334681114232</v>
      </c>
      <c r="AK42" s="635">
        <f t="shared" ref="AK42:AK47" si="399">IF(M42="","",(COS(RADIANS((90-$Q$8)-W42))*AD42)+(-SIN(RADIANS((90-$Q$8)-W42))*AE42))</f>
        <v>0.97067270397579652</v>
      </c>
      <c r="AL42" s="629">
        <f t="shared" ref="AL42:AL47" si="400">IF(M42="","",(SIN(RADIANS((90-$Q$8)-W42))*AD42)+(COS(RADIANS((90-$Q$8)-W42))*AE42))</f>
        <v>-0.19763603706402311</v>
      </c>
      <c r="AM42" s="634">
        <f t="shared" ref="AM42:AM47" si="401">IF(M42="","",AF42)</f>
        <v>-0.13687402459905793</v>
      </c>
      <c r="AN42" s="581">
        <f t="shared" ref="AN42:AN47" si="402">IF(M42="","",DEGREES(ATAN2(-AM42,AL42)))</f>
        <v>-55.295229888502561</v>
      </c>
      <c r="AO42" s="582">
        <f t="shared" si="94"/>
        <v>13.910437370308074</v>
      </c>
      <c r="AP42" s="585">
        <f t="shared" ref="AP42:AP47" si="403">IF(M42="","",DEGREES(ATAN2(AK42,AL42)))</f>
        <v>-11.508526982395598</v>
      </c>
      <c r="AQ42" s="586">
        <f t="shared" si="246"/>
        <v>0.90242725298048876</v>
      </c>
      <c r="AS42" s="52">
        <f t="shared" si="116"/>
        <v>-220.56712013161709</v>
      </c>
      <c r="AT42" s="72">
        <f t="shared" si="247"/>
        <v>-0.18807268648302103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4.1139999999999999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1313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-2.0595049328194626</v>
      </c>
      <c r="C43" s="708">
        <v>-2.147855519822079</v>
      </c>
      <c r="D43" s="709">
        <v>-0.86360260462545591</v>
      </c>
      <c r="E43" s="710">
        <v>0.43428571448063963</v>
      </c>
      <c r="F43" s="708">
        <v>-0.8927859251349457</v>
      </c>
      <c r="G43" s="711">
        <v>0.11970467860104592</v>
      </c>
      <c r="H43" s="710">
        <v>0.26600000000000001</v>
      </c>
      <c r="I43" s="708">
        <v>0.52</v>
      </c>
      <c r="J43" s="570">
        <v>4.1189999999999998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4.1189999999999998</v>
      </c>
      <c r="N43" s="632">
        <f t="shared" si="240"/>
        <v>-2.0595049328194626</v>
      </c>
      <c r="O43" s="629">
        <f t="shared" si="241"/>
        <v>-2.147855519822079</v>
      </c>
      <c r="P43" s="633">
        <f t="shared" si="242"/>
        <v>-0.86360260462545591</v>
      </c>
      <c r="Q43" s="585">
        <f t="shared" si="113"/>
        <v>226.2029803347227</v>
      </c>
      <c r="R43" s="629">
        <f t="shared" si="385"/>
        <v>2.9757089747382679</v>
      </c>
      <c r="S43" s="634">
        <f t="shared" si="386"/>
        <v>-0.86360260462545591</v>
      </c>
      <c r="T43" s="635">
        <f t="shared" si="387"/>
        <v>-2.2218014344108541</v>
      </c>
      <c r="U43" s="629">
        <f t="shared" si="388"/>
        <v>1.9795055666473242</v>
      </c>
      <c r="V43" s="636">
        <f t="shared" si="389"/>
        <v>-0.86360260462545591</v>
      </c>
      <c r="W43" s="585">
        <f t="shared" si="224"/>
        <v>138.30068003185232</v>
      </c>
      <c r="X43" s="629">
        <f t="shared" si="390"/>
        <v>2.9757089747382679</v>
      </c>
      <c r="Y43" s="630">
        <f t="shared" si="223"/>
        <v>-0.86360260462545591</v>
      </c>
      <c r="Z43" s="632">
        <f t="shared" si="243"/>
        <v>-0.43428571448063963</v>
      </c>
      <c r="AA43" s="629">
        <f t="shared" si="244"/>
        <v>0.8927859251349457</v>
      </c>
      <c r="AB43" s="629">
        <f t="shared" si="245"/>
        <v>-0.11970467860104592</v>
      </c>
      <c r="AC43" s="636">
        <f t="shared" si="391"/>
        <v>1</v>
      </c>
      <c r="AD43" s="637">
        <f t="shared" si="392"/>
        <v>-0.43428571448063963</v>
      </c>
      <c r="AE43" s="629">
        <f t="shared" si="393"/>
        <v>0.8927859251349457</v>
      </c>
      <c r="AF43" s="633">
        <f t="shared" si="394"/>
        <v>-0.11970467860104592</v>
      </c>
      <c r="AG43" s="602">
        <f t="shared" si="395"/>
        <v>82.363330836849585</v>
      </c>
      <c r="AH43" s="603">
        <f t="shared" si="396"/>
        <v>115.73985148925256</v>
      </c>
      <c r="AI43" s="585">
        <f t="shared" si="397"/>
        <v>-83.124940944823209</v>
      </c>
      <c r="AJ43" s="586">
        <f t="shared" si="398"/>
        <v>-154.05991388038223</v>
      </c>
      <c r="AK43" s="635">
        <f t="shared" si="399"/>
        <v>0.93136795611475898</v>
      </c>
      <c r="AL43" s="629">
        <f t="shared" si="400"/>
        <v>-0.34383792729080492</v>
      </c>
      <c r="AM43" s="634">
        <f t="shared" si="401"/>
        <v>-0.11970467860104592</v>
      </c>
      <c r="AN43" s="581">
        <f t="shared" si="402"/>
        <v>-70.804808695829863</v>
      </c>
      <c r="AO43" s="582">
        <f t="shared" si="94"/>
        <v>21.350931699248701</v>
      </c>
      <c r="AP43" s="585">
        <f t="shared" si="403"/>
        <v>-20.262894215104946</v>
      </c>
      <c r="AQ43" s="586">
        <f t="shared" si="246"/>
        <v>0.76606644096403176</v>
      </c>
      <c r="AS43" s="52">
        <f t="shared" ref="AS43:AS74" si="406">IF(G43="","",IF(AND(W43&lt;(AS42+180),W43&gt;(AS42-180)),W43,IF(W43&gt;(AS42+180),W43-360,IF(W43&lt;(AS42-180),W43+360,"Error"))))</f>
        <v>-221.69931996814768</v>
      </c>
      <c r="AT43" s="72">
        <f t="shared" si="247"/>
        <v>-0.70818800763568002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4.1189999999999998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1313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-2.1918277654986005</v>
      </c>
      <c r="C44" s="708">
        <v>-2.2483154863091648</v>
      </c>
      <c r="D44" s="709">
        <v>-1.5282046090651009</v>
      </c>
      <c r="E44" s="710">
        <v>0.25500279502455175</v>
      </c>
      <c r="F44" s="708">
        <v>-0.96630969667829558</v>
      </c>
      <c r="G44" s="711">
        <v>3.4916251734213255E-2</v>
      </c>
      <c r="H44" s="710">
        <v>0.26600000000000001</v>
      </c>
      <c r="I44" s="708">
        <v>0.52</v>
      </c>
      <c r="J44" s="570">
        <v>4.1239999999999997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4.1239999999999997</v>
      </c>
      <c r="N44" s="632">
        <f t="shared" si="240"/>
        <v>-2.1918277654986005</v>
      </c>
      <c r="O44" s="629">
        <f t="shared" si="241"/>
        <v>-2.2483154863091648</v>
      </c>
      <c r="P44" s="633">
        <f t="shared" si="242"/>
        <v>-1.5282046090651009</v>
      </c>
      <c r="Q44" s="585">
        <f t="shared" si="113"/>
        <v>225.72888040317429</v>
      </c>
      <c r="R44" s="629">
        <f t="shared" si="385"/>
        <v>3.1399094699669612</v>
      </c>
      <c r="S44" s="634">
        <f t="shared" si="386"/>
        <v>-1.5282046090651009</v>
      </c>
      <c r="T44" s="635">
        <f t="shared" si="387"/>
        <v>-2.3270375694933696</v>
      </c>
      <c r="U44" s="629">
        <f t="shared" si="388"/>
        <v>2.1080625298492914</v>
      </c>
      <c r="V44" s="636">
        <f t="shared" si="389"/>
        <v>-1.5282046090651009</v>
      </c>
      <c r="W44" s="585">
        <f t="shared" si="224"/>
        <v>137.82658010030391</v>
      </c>
      <c r="X44" s="629">
        <f t="shared" si="390"/>
        <v>3.1399094699669612</v>
      </c>
      <c r="Y44" s="630">
        <f t="shared" si="223"/>
        <v>-1.5282046090651009</v>
      </c>
      <c r="Z44" s="632">
        <f t="shared" si="243"/>
        <v>-0.25500279502455175</v>
      </c>
      <c r="AA44" s="629">
        <f t="shared" si="244"/>
        <v>0.96630969667829558</v>
      </c>
      <c r="AB44" s="629">
        <f t="shared" si="245"/>
        <v>-3.4916251734213255E-2</v>
      </c>
      <c r="AC44" s="636">
        <f t="shared" si="391"/>
        <v>1</v>
      </c>
      <c r="AD44" s="637">
        <f t="shared" si="392"/>
        <v>-0.25500279502455175</v>
      </c>
      <c r="AE44" s="629">
        <f t="shared" si="393"/>
        <v>0.96630969667829558</v>
      </c>
      <c r="AF44" s="633">
        <f t="shared" si="394"/>
        <v>-3.4916251734213255E-2</v>
      </c>
      <c r="AG44" s="602">
        <f t="shared" si="395"/>
        <v>87.930597319720775</v>
      </c>
      <c r="AH44" s="603">
        <f t="shared" si="396"/>
        <v>104.77375076924687</v>
      </c>
      <c r="AI44" s="585">
        <f t="shared" si="397"/>
        <v>-87.999039421958031</v>
      </c>
      <c r="AJ44" s="586">
        <f t="shared" si="398"/>
        <v>-165.21702989395988</v>
      </c>
      <c r="AK44" s="635">
        <f t="shared" si="399"/>
        <v>0.85713017591687402</v>
      </c>
      <c r="AL44" s="629">
        <f t="shared" si="400"/>
        <v>-0.51391508724451918</v>
      </c>
      <c r="AM44" s="634">
        <f t="shared" si="401"/>
        <v>-3.4916251734213255E-2</v>
      </c>
      <c r="AN44" s="581">
        <f t="shared" si="402"/>
        <v>-86.113202015358937</v>
      </c>
      <c r="AO44" s="582">
        <f t="shared" si="94"/>
        <v>31.004129725631831</v>
      </c>
      <c r="AP44" s="585">
        <f t="shared" si="403"/>
        <v>-30.945910297134162</v>
      </c>
      <c r="AQ44" s="586">
        <f t="shared" si="246"/>
        <v>0.72600966393118271</v>
      </c>
      <c r="AS44" s="52">
        <f t="shared" si="406"/>
        <v>-222.17341989969609</v>
      </c>
      <c r="AT44" s="72">
        <f t="shared" si="247"/>
        <v>-1.3724607760117498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4.1239999999999997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1313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-2.2284638385986861</v>
      </c>
      <c r="C45" s="708">
        <v>-2.2796308104121601</v>
      </c>
      <c r="D45" s="709">
        <v>-2.15580650191241</v>
      </c>
      <c r="E45" s="710">
        <v>0.18481394989782426</v>
      </c>
      <c r="F45" s="708">
        <v>-0.98277352626286585</v>
      </c>
      <c r="G45" s="711">
        <v>1.300841921874184E-7</v>
      </c>
      <c r="H45" s="710">
        <v>0.26600000000000001</v>
      </c>
      <c r="I45" s="708">
        <v>0.52</v>
      </c>
      <c r="J45" s="570">
        <v>4.1289999999999996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4.1289999999999996</v>
      </c>
      <c r="N45" s="632">
        <f t="shared" si="240"/>
        <v>-2.2284638385986861</v>
      </c>
      <c r="O45" s="629">
        <f t="shared" si="241"/>
        <v>-2.2796308104121601</v>
      </c>
      <c r="P45" s="633">
        <f t="shared" si="242"/>
        <v>-2.15580650191241</v>
      </c>
      <c r="Q45" s="585">
        <f t="shared" si="113"/>
        <v>225.65028041452271</v>
      </c>
      <c r="R45" s="629">
        <f t="shared" si="385"/>
        <v>3.1879096147353976</v>
      </c>
      <c r="S45" s="634">
        <f t="shared" si="386"/>
        <v>-2.15580650191241</v>
      </c>
      <c r="T45" s="635">
        <f t="shared" si="387"/>
        <v>-2.3596729197924025</v>
      </c>
      <c r="U45" s="629">
        <f t="shared" si="388"/>
        <v>2.143527798588297</v>
      </c>
      <c r="V45" s="636">
        <f t="shared" si="389"/>
        <v>-2.15580650191241</v>
      </c>
      <c r="W45" s="585">
        <f t="shared" si="224"/>
        <v>137.74798011165234</v>
      </c>
      <c r="X45" s="629">
        <f t="shared" si="390"/>
        <v>3.1879096147353976</v>
      </c>
      <c r="Y45" s="630">
        <f t="shared" si="223"/>
        <v>-2.15580650191241</v>
      </c>
      <c r="Z45" s="632">
        <f t="shared" si="243"/>
        <v>-0.18481394989782426</v>
      </c>
      <c r="AA45" s="629">
        <f t="shared" si="244"/>
        <v>0.98277352626286585</v>
      </c>
      <c r="AB45" s="629">
        <f t="shared" si="245"/>
        <v>-1.300841921874184E-7</v>
      </c>
      <c r="AC45" s="636">
        <f t="shared" si="391"/>
        <v>1</v>
      </c>
      <c r="AD45" s="637">
        <f t="shared" si="392"/>
        <v>-0.18481394989782426</v>
      </c>
      <c r="AE45" s="629">
        <f t="shared" si="393"/>
        <v>0.98277352626286585</v>
      </c>
      <c r="AF45" s="633">
        <f t="shared" si="394"/>
        <v>-1.300841921874184E-7</v>
      </c>
      <c r="AG45" s="602">
        <f t="shared" si="395"/>
        <v>89.99999241608063</v>
      </c>
      <c r="AH45" s="603">
        <f t="shared" si="396"/>
        <v>100.65028546789736</v>
      </c>
      <c r="AI45" s="585">
        <f t="shared" si="397"/>
        <v>-89.999992546724812</v>
      </c>
      <c r="AJ45" s="586">
        <f t="shared" si="398"/>
        <v>-169.34971453210255</v>
      </c>
      <c r="AK45" s="635">
        <f t="shared" si="399"/>
        <v>0.81915209487729224</v>
      </c>
      <c r="AL45" s="629">
        <f t="shared" si="400"/>
        <v>-0.57357636410344459</v>
      </c>
      <c r="AM45" s="634">
        <f t="shared" si="401"/>
        <v>-1.300841921874184E-7</v>
      </c>
      <c r="AN45" s="581">
        <f t="shared" si="402"/>
        <v>-89.999987005609611</v>
      </c>
      <c r="AO45" s="582">
        <f t="shared" si="94"/>
        <v>34.999994946625925</v>
      </c>
      <c r="AP45" s="585">
        <f t="shared" si="403"/>
        <v>-34.999994946625264</v>
      </c>
      <c r="AQ45" s="586">
        <f t="shared" si="246"/>
        <v>0.71507932809813057</v>
      </c>
      <c r="AS45" s="52">
        <f t="shared" si="406"/>
        <v>-222.25201988834766</v>
      </c>
      <c r="AT45" s="72">
        <f t="shared" si="247"/>
        <v>-2.0000080855336062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4.1289999999999996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-1.7641719600264083</v>
      </c>
      <c r="C46" s="708">
        <v>-0.70764378709652909</v>
      </c>
      <c r="D46" s="709">
        <v>-4.3700131799597509E-2</v>
      </c>
      <c r="E46" s="710">
        <v>-0.13301766484131805</v>
      </c>
      <c r="F46" s="708">
        <v>-5.3356224520583521E-2</v>
      </c>
      <c r="G46" s="711">
        <v>0.9896764189092675</v>
      </c>
      <c r="H46" s="710">
        <v>0.19500000000000001</v>
      </c>
      <c r="I46" s="708">
        <v>0.21199999999999999</v>
      </c>
      <c r="J46" s="570">
        <v>4.2089999999999996</v>
      </c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Inactive</v>
      </c>
      <c r="L46" s="320"/>
      <c r="M46" s="168">
        <f t="shared" si="239"/>
        <v>4.2089999999999996</v>
      </c>
      <c r="N46" s="632">
        <f t="shared" si="240"/>
        <v>-1.7641719600264083</v>
      </c>
      <c r="O46" s="629">
        <f t="shared" si="241"/>
        <v>-0.70764378709652909</v>
      </c>
      <c r="P46" s="633">
        <f t="shared" si="242"/>
        <v>-4.3700131799597509E-2</v>
      </c>
      <c r="Q46" s="585">
        <f t="shared" si="113"/>
        <v>201.85668384989302</v>
      </c>
      <c r="R46" s="629">
        <f t="shared" si="385"/>
        <v>1.9008057328300902</v>
      </c>
      <c r="S46" s="634">
        <f t="shared" si="386"/>
        <v>-4.3700131799597509E-2</v>
      </c>
      <c r="T46" s="635">
        <f t="shared" si="387"/>
        <v>-0.77174459281934016</v>
      </c>
      <c r="U46" s="629">
        <f t="shared" si="388"/>
        <v>1.7370874236531237</v>
      </c>
      <c r="V46" s="636">
        <f t="shared" si="389"/>
        <v>-4.3700131799597509E-2</v>
      </c>
      <c r="W46" s="585">
        <f t="shared" si="224"/>
        <v>113.95438354702264</v>
      </c>
      <c r="X46" s="629">
        <f t="shared" si="390"/>
        <v>1.9008057328300902</v>
      </c>
      <c r="Y46" s="630">
        <f t="shared" si="223"/>
        <v>-4.3700131799597509E-2</v>
      </c>
      <c r="Z46" s="632">
        <f t="shared" si="243"/>
        <v>0.13301766484131805</v>
      </c>
      <c r="AA46" s="629">
        <f t="shared" si="244"/>
        <v>5.3356224520583521E-2</v>
      </c>
      <c r="AB46" s="629">
        <f t="shared" si="245"/>
        <v>-0.9896764189092675</v>
      </c>
      <c r="AC46" s="636">
        <f t="shared" si="391"/>
        <v>1</v>
      </c>
      <c r="AD46" s="637">
        <f t="shared" si="392"/>
        <v>0.13301766484131805</v>
      </c>
      <c r="AE46" s="629">
        <f t="shared" si="393"/>
        <v>5.3356224520583521E-2</v>
      </c>
      <c r="AF46" s="633">
        <f t="shared" si="394"/>
        <v>-0.9896764189092675</v>
      </c>
      <c r="AG46" s="602">
        <f t="shared" si="395"/>
        <v>3.0859881809882332</v>
      </c>
      <c r="AH46" s="603">
        <f t="shared" si="396"/>
        <v>82.355993365358273</v>
      </c>
      <c r="AI46" s="585">
        <f t="shared" si="397"/>
        <v>-8.23999881030152</v>
      </c>
      <c r="AJ46" s="586">
        <f t="shared" si="398"/>
        <v>111.85677451694545</v>
      </c>
      <c r="AK46" s="635">
        <f t="shared" si="399"/>
        <v>2.2679489669608088E-7</v>
      </c>
      <c r="AL46" s="629">
        <f t="shared" si="400"/>
        <v>-0.14331987250509506</v>
      </c>
      <c r="AM46" s="634">
        <f t="shared" si="401"/>
        <v>-0.9896764189092675</v>
      </c>
      <c r="AN46" s="581">
        <f t="shared" si="402"/>
        <v>-8.2399988102913628</v>
      </c>
      <c r="AO46" s="582">
        <f t="shared" si="94"/>
        <v>0</v>
      </c>
      <c r="AP46" s="585">
        <f t="shared" si="403"/>
        <v>-89.999909332947567</v>
      </c>
      <c r="AQ46" s="586">
        <f t="shared" si="246"/>
        <v>1.1991723873488405</v>
      </c>
      <c r="AS46" s="52">
        <f t="shared" si="406"/>
        <v>-246.04561645297736</v>
      </c>
      <c r="AT46" s="72">
        <f t="shared" si="247"/>
        <v>0.12862161552686568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Nose</v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4.2089999999999996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4.109</v>
      </c>
      <c r="II46" s="734" cm="1">
        <f t="array" ref="II46">IFERROR(ROUND(VALUE(IF($IH46&lt;1,$IH46+LARGE((IF($M$9:$M$150="",0,$M$9:$M$150)-MOD(IF($M$9:$M$150="",0,$M$9:$M$150),1)),1),$IH46)),4),"")</f>
        <v>4.109</v>
      </c>
      <c r="IJ46" s="533">
        <f t="shared" si="112"/>
        <v>1313</v>
      </c>
      <c r="IK46" s="533" t="str">
        <f t="shared" si="382"/>
        <v>Inactive</v>
      </c>
      <c r="IL46" s="727">
        <f t="shared" si="225"/>
        <v>26.921196113060205</v>
      </c>
      <c r="IM46" s="759">
        <v>4.2091137591512298E-2</v>
      </c>
      <c r="IN46" s="5">
        <f t="shared" si="226"/>
        <v>0.56000000000000005</v>
      </c>
      <c r="IO46" s="771">
        <v>280</v>
      </c>
      <c r="IP46" s="9">
        <f t="shared" si="227"/>
        <v>-1.8960057183532468</v>
      </c>
      <c r="IQ46" s="5">
        <f t="shared" si="228"/>
        <v>-6.5400197246994904E-2</v>
      </c>
      <c r="IR46" s="5">
        <f t="shared" si="383"/>
        <v>0.26600000000000001</v>
      </c>
      <c r="IS46" s="5">
        <f t="shared" si="229"/>
        <v>0.2590782836064211</v>
      </c>
      <c r="IT46" s="727">
        <f t="shared" si="230"/>
        <v>25.92815138025497</v>
      </c>
      <c r="IU46" s="9">
        <f t="shared" si="231"/>
        <v>-1.9008057328300902</v>
      </c>
      <c r="IV46" s="5">
        <f t="shared" si="232"/>
        <v>-4.3700131799597509E-2</v>
      </c>
      <c r="IW46" s="5">
        <f t="shared" si="384"/>
        <v>0.19500000000000001</v>
      </c>
      <c r="IX46" s="5">
        <f t="shared" si="233"/>
        <v>0.19500000000000001</v>
      </c>
      <c r="IY46" s="762">
        <f t="shared" si="234"/>
        <v>8.2399988102913628</v>
      </c>
    </row>
    <row r="47" spans="1:267" ht="15" customHeight="1" x14ac:dyDescent="0.25">
      <c r="A47" s="79"/>
      <c r="B47" s="707">
        <v>-2.3051902198487988</v>
      </c>
      <c r="C47" s="708">
        <v>-1.0914153833229907</v>
      </c>
      <c r="D47" s="709">
        <v>-0.30740092712119621</v>
      </c>
      <c r="E47" s="710">
        <v>0.19063529640907748</v>
      </c>
      <c r="F47" s="708">
        <v>-0.95887512515282236</v>
      </c>
      <c r="G47" s="711">
        <v>0.2102776215534656</v>
      </c>
      <c r="H47" s="710">
        <v>0.219</v>
      </c>
      <c r="I47" s="708">
        <v>0.42</v>
      </c>
      <c r="J47" s="570">
        <v>4.2140000000000004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1111</v>
      </c>
      <c r="L47" s="320"/>
      <c r="M47" s="168">
        <f t="shared" si="239"/>
        <v>4.2140000000000004</v>
      </c>
      <c r="N47" s="632">
        <f t="shared" si="240"/>
        <v>-2.3051902198487988</v>
      </c>
      <c r="O47" s="629">
        <f t="shared" si="241"/>
        <v>-1.0914153833229907</v>
      </c>
      <c r="P47" s="633">
        <f t="shared" si="242"/>
        <v>-0.30740092712119621</v>
      </c>
      <c r="Q47" s="585">
        <f t="shared" si="113"/>
        <v>205.33568334758763</v>
      </c>
      <c r="R47" s="629">
        <f t="shared" si="385"/>
        <v>2.5505076923312</v>
      </c>
      <c r="S47" s="634">
        <f t="shared" si="386"/>
        <v>-0.30740092712119621</v>
      </c>
      <c r="T47" s="635">
        <f t="shared" si="387"/>
        <v>-1.1750622193019273</v>
      </c>
      <c r="U47" s="629">
        <f t="shared" si="388"/>
        <v>2.2636957104279394</v>
      </c>
      <c r="V47" s="636">
        <f t="shared" si="389"/>
        <v>-0.30740092712119621</v>
      </c>
      <c r="W47" s="585">
        <f t="shared" si="224"/>
        <v>117.43338304471726</v>
      </c>
      <c r="X47" s="629">
        <f t="shared" si="390"/>
        <v>2.5505076923312</v>
      </c>
      <c r="Y47" s="630">
        <f t="shared" si="223"/>
        <v>-0.30740092712119621</v>
      </c>
      <c r="Z47" s="632">
        <f t="shared" si="243"/>
        <v>-0.19063529640907748</v>
      </c>
      <c r="AA47" s="629">
        <f t="shared" si="244"/>
        <v>0.95887512515282236</v>
      </c>
      <c r="AB47" s="629">
        <f t="shared" si="245"/>
        <v>-0.2102776215534656</v>
      </c>
      <c r="AC47" s="636">
        <f t="shared" si="391"/>
        <v>1</v>
      </c>
      <c r="AD47" s="637">
        <f t="shared" si="392"/>
        <v>-0.19063529640907748</v>
      </c>
      <c r="AE47" s="629">
        <f t="shared" si="393"/>
        <v>0.95887512515282236</v>
      </c>
      <c r="AF47" s="633">
        <f t="shared" si="394"/>
        <v>-0.2102776215534656</v>
      </c>
      <c r="AG47" s="602">
        <f t="shared" si="395"/>
        <v>77.631053132804865</v>
      </c>
      <c r="AH47" s="603">
        <f t="shared" si="396"/>
        <v>100.98986168393559</v>
      </c>
      <c r="AI47" s="585">
        <f t="shared" si="397"/>
        <v>-77.861377932072941</v>
      </c>
      <c r="AJ47" s="586">
        <f t="shared" si="398"/>
        <v>-168.75556548814626</v>
      </c>
      <c r="AK47" s="635">
        <f t="shared" si="399"/>
        <v>0.94822370578827198</v>
      </c>
      <c r="AL47" s="629">
        <f t="shared" si="400"/>
        <v>-0.23802337207714358</v>
      </c>
      <c r="AM47" s="634">
        <f t="shared" si="401"/>
        <v>-0.2102776215534656</v>
      </c>
      <c r="AN47" s="581">
        <f t="shared" si="402"/>
        <v>-48.541569811178945</v>
      </c>
      <c r="AO47" s="582">
        <f t="shared" si="94"/>
        <v>18.51803940382495</v>
      </c>
      <c r="AP47" s="585">
        <f t="shared" si="403"/>
        <v>-14.091248835733897</v>
      </c>
      <c r="AQ47" s="586">
        <f t="shared" si="246"/>
        <v>0.89375998621739772</v>
      </c>
      <c r="AS47" s="52">
        <f t="shared" si="406"/>
        <v>-242.56661695528274</v>
      </c>
      <c r="AT47" s="72">
        <f t="shared" si="247"/>
        <v>-0.13749515166813206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4.2140000000000004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4.1139999999999999</v>
      </c>
      <c r="II47" s="734" cm="1">
        <f t="array" ref="II47">IFERROR(ROUND(VALUE(IF($IH47&lt;1,$IH47+LARGE((IF($M$9:$M$150="",0,$M$9:$M$150)-MOD(IF($M$9:$M$150="",0,$M$9:$M$150),1)),1),$IH47)),4),"")</f>
        <v>4.1139999999999999</v>
      </c>
      <c r="IJ47" s="533">
        <f t="shared" si="112"/>
        <v>1313</v>
      </c>
      <c r="IK47" s="533">
        <f t="shared" si="382"/>
        <v>1111</v>
      </c>
      <c r="IL47" s="727">
        <f t="shared" si="225"/>
        <v>21.999496823665652</v>
      </c>
      <c r="IM47" s="759">
        <v>7.8828234091787193E-3</v>
      </c>
      <c r="IN47" s="5">
        <f t="shared" si="226"/>
        <v>0.12</v>
      </c>
      <c r="IO47" s="771">
        <v>60</v>
      </c>
      <c r="IP47" s="9">
        <f t="shared" si="227"/>
        <v>-2.5260076184389773</v>
      </c>
      <c r="IQ47" s="5">
        <f t="shared" si="228"/>
        <v>-0.34270103358631737</v>
      </c>
      <c r="IR47" s="5">
        <f t="shared" si="383"/>
        <v>0.26600000000000001</v>
      </c>
      <c r="IS47" s="5">
        <f t="shared" si="229"/>
        <v>0.25819893925756188</v>
      </c>
      <c r="IT47" s="727">
        <f t="shared" si="230"/>
        <v>55.295229888502561</v>
      </c>
      <c r="IU47" s="9">
        <f t="shared" si="231"/>
        <v>-2.5505076923312</v>
      </c>
      <c r="IV47" s="5">
        <f t="shared" si="232"/>
        <v>-0.30740092712119621</v>
      </c>
      <c r="IW47" s="5">
        <f t="shared" si="384"/>
        <v>0.219</v>
      </c>
      <c r="IX47" s="5">
        <f t="shared" si="233"/>
        <v>0.20766099156763157</v>
      </c>
      <c r="IY47" s="762">
        <f t="shared" si="234"/>
        <v>48.541569811178945</v>
      </c>
    </row>
    <row r="48" spans="1:267" ht="15" customHeight="1" x14ac:dyDescent="0.25">
      <c r="A48" s="79"/>
      <c r="B48" s="707">
        <v>-2.7260008435391776</v>
      </c>
      <c r="C48" s="708">
        <v>-1.2876308734395003</v>
      </c>
      <c r="D48" s="709">
        <v>-0.83890253013003091</v>
      </c>
      <c r="E48" s="710">
        <v>1.7905741597384589E-2</v>
      </c>
      <c r="F48" s="708">
        <v>-0.98498992536470587</v>
      </c>
      <c r="G48" s="711">
        <v>0.17168060853771214</v>
      </c>
      <c r="H48" s="710">
        <v>0.219</v>
      </c>
      <c r="I48" s="708">
        <v>0.42</v>
      </c>
      <c r="J48" s="570">
        <v>4.2190000000000003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1111</v>
      </c>
      <c r="L48" s="320"/>
      <c r="M48" s="168">
        <f t="shared" si="239"/>
        <v>4.2190000000000003</v>
      </c>
      <c r="N48" s="632">
        <f t="shared" si="240"/>
        <v>-2.7260008435391776</v>
      </c>
      <c r="O48" s="629">
        <f t="shared" si="241"/>
        <v>-1.2876308734395003</v>
      </c>
      <c r="P48" s="633">
        <f t="shared" si="242"/>
        <v>-0.83890253013003091</v>
      </c>
      <c r="Q48" s="585">
        <f t="shared" si="113"/>
        <v>205.28378335508108</v>
      </c>
      <c r="R48" s="629">
        <f t="shared" si="79"/>
        <v>3.0148090926642235</v>
      </c>
      <c r="S48" s="634">
        <f t="shared" si="80"/>
        <v>-0.83890253013003091</v>
      </c>
      <c r="T48" s="635">
        <f t="shared" si="81"/>
        <v>-1.386549396985894</v>
      </c>
      <c r="U48" s="629">
        <f t="shared" si="82"/>
        <v>2.6770421429123847</v>
      </c>
      <c r="V48" s="636">
        <f t="shared" si="114"/>
        <v>-0.83890253013003091</v>
      </c>
      <c r="W48" s="585">
        <f t="shared" si="224"/>
        <v>117.38148305221071</v>
      </c>
      <c r="X48" s="629">
        <f t="shared" si="83"/>
        <v>3.0148090926642235</v>
      </c>
      <c r="Y48" s="630">
        <f t="shared" si="223"/>
        <v>-0.83890253013003091</v>
      </c>
      <c r="Z48" s="632">
        <f t="shared" si="243"/>
        <v>-1.7905741597384589E-2</v>
      </c>
      <c r="AA48" s="629">
        <f t="shared" si="244"/>
        <v>0.98498992536470587</v>
      </c>
      <c r="AB48" s="629">
        <f t="shared" si="245"/>
        <v>-0.17168060853771214</v>
      </c>
      <c r="AC48" s="636">
        <f t="shared" si="84"/>
        <v>1</v>
      </c>
      <c r="AD48" s="637">
        <f t="shared" si="115"/>
        <v>-1.7905741597384589E-2</v>
      </c>
      <c r="AE48" s="629">
        <f t="shared" si="85"/>
        <v>0.98498992536470587</v>
      </c>
      <c r="AF48" s="633">
        <f t="shared" si="86"/>
        <v>-0.17168060853771214</v>
      </c>
      <c r="AG48" s="602">
        <f t="shared" si="87"/>
        <v>80.112851387392794</v>
      </c>
      <c r="AH48" s="603">
        <f t="shared" si="88"/>
        <v>91.025978251665478</v>
      </c>
      <c r="AI48" s="585">
        <f t="shared" si="89"/>
        <v>-80.114452421098093</v>
      </c>
      <c r="AJ48" s="586">
        <f t="shared" si="90"/>
        <v>-178.95855743381352</v>
      </c>
      <c r="AK48" s="635">
        <f t="shared" si="211"/>
        <v>0.8982788859513442</v>
      </c>
      <c r="AL48" s="629">
        <f t="shared" si="91"/>
        <v>-0.40450069432095315</v>
      </c>
      <c r="AM48" s="634">
        <f t="shared" si="92"/>
        <v>-0.17168060853771214</v>
      </c>
      <c r="AN48" s="581">
        <f t="shared" si="93"/>
        <v>-67.002370367901875</v>
      </c>
      <c r="AO48" s="582">
        <f t="shared" si="94"/>
        <v>26.067251338852966</v>
      </c>
      <c r="AP48" s="585">
        <f t="shared" si="95"/>
        <v>-24.242340788894623</v>
      </c>
      <c r="AQ48" s="586">
        <f t="shared" si="246"/>
        <v>0.75613221735420522</v>
      </c>
      <c r="AS48" s="52">
        <f t="shared" si="406"/>
        <v>-242.61851694778929</v>
      </c>
      <c r="AT48" s="72">
        <f t="shared" si="247"/>
        <v>-0.66896071301550386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Taper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4.2190000000000003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4.1189999999999998</v>
      </c>
      <c r="II48" s="734" cm="1">
        <f t="array" ref="II48">IFERROR(ROUND(VALUE(IF($IH48&lt;1,$IH48+LARGE((IF($M$9:$M$150="",0,$M$9:$M$150)-MOD(IF($M$9:$M$150="",0,$M$9:$M$150),1)),1),$IH48)),4),"")</f>
        <v>4.1189999999999998</v>
      </c>
      <c r="IJ48" s="533">
        <f t="shared" si="112"/>
        <v>1313</v>
      </c>
      <c r="IK48" s="533">
        <f t="shared" si="382"/>
        <v>1111</v>
      </c>
      <c r="IL48" s="727">
        <f t="shared" si="225"/>
        <v>20.919196979641612</v>
      </c>
      <c r="IM48" s="759">
        <v>5.1281467486567599E-3</v>
      </c>
      <c r="IN48" s="5">
        <f t="shared" si="226"/>
        <v>0.12</v>
      </c>
      <c r="IO48" s="771">
        <v>60</v>
      </c>
      <c r="IP48" s="9">
        <f t="shared" si="227"/>
        <v>-2.9757089747382679</v>
      </c>
      <c r="IQ48" s="5">
        <f t="shared" si="228"/>
        <v>-0.86360260462545591</v>
      </c>
      <c r="IR48" s="5">
        <f t="shared" si="383"/>
        <v>0.26600000000000001</v>
      </c>
      <c r="IS48" s="5">
        <f t="shared" si="229"/>
        <v>0.24774387632652589</v>
      </c>
      <c r="IT48" s="727">
        <f t="shared" si="230"/>
        <v>70.804808695829863</v>
      </c>
      <c r="IU48" s="9">
        <f t="shared" si="231"/>
        <v>-3.0148090926642235</v>
      </c>
      <c r="IV48" s="5">
        <f t="shared" si="232"/>
        <v>-0.83890253013003091</v>
      </c>
      <c r="IW48" s="5">
        <f t="shared" si="384"/>
        <v>0.219</v>
      </c>
      <c r="IX48" s="5">
        <f t="shared" si="233"/>
        <v>0.19672307602334438</v>
      </c>
      <c r="IY48" s="762">
        <f t="shared" si="234"/>
        <v>67.002370367901875</v>
      </c>
    </row>
    <row r="49" spans="1:259" ht="15" customHeight="1" x14ac:dyDescent="0.25">
      <c r="A49" s="79"/>
      <c r="B49" s="707">
        <v>-2.9095734331856522</v>
      </c>
      <c r="C49" s="708">
        <v>-1.302257663034124</v>
      </c>
      <c r="D49" s="709">
        <v>-1.5198045837306247</v>
      </c>
      <c r="E49" s="710">
        <v>-0.20032657374751328</v>
      </c>
      <c r="F49" s="708">
        <v>-0.97790109067628139</v>
      </c>
      <c r="G49" s="711">
        <v>5.9822409720116036E-2</v>
      </c>
      <c r="H49" s="710">
        <v>0.219</v>
      </c>
      <c r="I49" s="708">
        <v>0.42</v>
      </c>
      <c r="J49" s="570">
        <v>4.2240000000000002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1111</v>
      </c>
      <c r="L49" s="320"/>
      <c r="M49" s="168">
        <f t="shared" si="239"/>
        <v>4.2240000000000002</v>
      </c>
      <c r="N49" s="632">
        <f t="shared" si="240"/>
        <v>-2.9095734331856522</v>
      </c>
      <c r="O49" s="629">
        <f t="shared" si="241"/>
        <v>-1.302257663034124</v>
      </c>
      <c r="P49" s="633">
        <f t="shared" si="242"/>
        <v>-1.5198045837306247</v>
      </c>
      <c r="Q49" s="585">
        <f t="shared" si="113"/>
        <v>204.11218352423916</v>
      </c>
      <c r="R49" s="629">
        <f t="shared" si="79"/>
        <v>3.187709614132197</v>
      </c>
      <c r="S49" s="634">
        <f t="shared" si="80"/>
        <v>-1.5198045837306247</v>
      </c>
      <c r="T49" s="635">
        <f t="shared" si="81"/>
        <v>-1.4078858000437275</v>
      </c>
      <c r="U49" s="629">
        <f t="shared" si="82"/>
        <v>2.8599563210066816</v>
      </c>
      <c r="V49" s="636">
        <f t="shared" si="114"/>
        <v>-1.5198045837306247</v>
      </c>
      <c r="W49" s="585">
        <f t="shared" si="224"/>
        <v>116.20988322136878</v>
      </c>
      <c r="X49" s="629">
        <f t="shared" si="83"/>
        <v>3.187709614132197</v>
      </c>
      <c r="Y49" s="630">
        <f t="shared" si="223"/>
        <v>-1.5198045837306247</v>
      </c>
      <c r="Z49" s="632">
        <f t="shared" si="243"/>
        <v>0.20032657374751328</v>
      </c>
      <c r="AA49" s="629">
        <f t="shared" si="244"/>
        <v>0.97790109067628139</v>
      </c>
      <c r="AB49" s="629">
        <f t="shared" si="245"/>
        <v>-5.9822409720116036E-2</v>
      </c>
      <c r="AC49" s="636">
        <f t="shared" si="84"/>
        <v>1</v>
      </c>
      <c r="AD49" s="637">
        <f t="shared" si="115"/>
        <v>0.20032657374751328</v>
      </c>
      <c r="AE49" s="629">
        <f t="shared" si="85"/>
        <v>0.97790109067628139</v>
      </c>
      <c r="AF49" s="633">
        <f t="shared" si="86"/>
        <v>-5.9822409720116036E-2</v>
      </c>
      <c r="AG49" s="602">
        <f t="shared" si="87"/>
        <v>86.499333578654216</v>
      </c>
      <c r="AH49" s="603">
        <f t="shared" si="88"/>
        <v>78.443943179165601</v>
      </c>
      <c r="AI49" s="585">
        <f t="shared" si="89"/>
        <v>-86.570380716467142</v>
      </c>
      <c r="AJ49" s="586">
        <f t="shared" si="90"/>
        <v>168.42292297921435</v>
      </c>
      <c r="AK49" s="635">
        <f t="shared" si="211"/>
        <v>0.81073828258552749</v>
      </c>
      <c r="AL49" s="629">
        <f t="shared" si="91"/>
        <v>-0.58234415635906223</v>
      </c>
      <c r="AM49" s="634">
        <f t="shared" si="92"/>
        <v>-5.9822409720116036E-2</v>
      </c>
      <c r="AN49" s="581">
        <f t="shared" si="93"/>
        <v>-84.134756079581464</v>
      </c>
      <c r="AO49" s="582">
        <f t="shared" si="94"/>
        <v>35.83187354095768</v>
      </c>
      <c r="AP49" s="585">
        <f t="shared" si="95"/>
        <v>-35.689260545024787</v>
      </c>
      <c r="AQ49" s="586">
        <f t="shared" si="246"/>
        <v>0.71512418834648162</v>
      </c>
      <c r="AS49" s="52">
        <f t="shared" si="406"/>
        <v>-243.79011677863122</v>
      </c>
      <c r="AT49" s="72">
        <f t="shared" si="247"/>
        <v>-1.3490491556224573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Taper</v>
      </c>
      <c r="IF49" s="533" t="str">
        <f>IFERROR(IF((((($IW49*COS(RADIANS(180-$IY49)))*COS(RADIANS($IY49)))-(($IX49*SIN(RADIANS(180-$IY49)))*SIN(RADIANS($IY49))))+$IU49)&lt;(((Settings!$C$19+$IF$8)/2)*-1),"Gage",""),"")</f>
        <v>Gage</v>
      </c>
      <c r="IG49" s="847">
        <f t="shared" si="210"/>
        <v>4.2240000000000002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4.1239999999999997</v>
      </c>
      <c r="II49" s="734" cm="1">
        <f t="array" ref="II49">IFERROR(ROUND(VALUE(IF($IH49&lt;1,$IH49+LARGE((IF($M$9:$M$150="",0,$M$9:$M$150)-MOD(IF($M$9:$M$150="",0,$M$9:$M$150),1)),1),$IH49)),4),"")</f>
        <v>4.1239999999999997</v>
      </c>
      <c r="IJ49" s="533">
        <f t="shared" si="112"/>
        <v>1313</v>
      </c>
      <c r="IK49" s="533">
        <f t="shared" si="382"/>
        <v>1111</v>
      </c>
      <c r="IL49" s="727">
        <f t="shared" si="225"/>
        <v>21.61669687893513</v>
      </c>
      <c r="IM49" s="759">
        <v>2.0878538970895699E-3</v>
      </c>
      <c r="IN49" s="5">
        <f t="shared" si="226"/>
        <v>0.06</v>
      </c>
      <c r="IO49" s="771">
        <v>30</v>
      </c>
      <c r="IP49" s="9">
        <f t="shared" si="227"/>
        <v>-3.1399094699669612</v>
      </c>
      <c r="IQ49" s="5">
        <f t="shared" si="228"/>
        <v>-1.5282046090651009</v>
      </c>
      <c r="IR49" s="5">
        <f t="shared" si="383"/>
        <v>0.26600000000000001</v>
      </c>
      <c r="IS49" s="5">
        <f t="shared" si="229"/>
        <v>0.22799662679388849</v>
      </c>
      <c r="IT49" s="727">
        <f t="shared" si="230"/>
        <v>86.113202015358937</v>
      </c>
      <c r="IU49" s="9">
        <f t="shared" si="231"/>
        <v>-3.187709614132197</v>
      </c>
      <c r="IV49" s="5">
        <f t="shared" si="232"/>
        <v>-1.5198045837306247</v>
      </c>
      <c r="IW49" s="5">
        <f t="shared" si="384"/>
        <v>0.219</v>
      </c>
      <c r="IX49" s="5">
        <f t="shared" si="233"/>
        <v>0.17755168388623052</v>
      </c>
      <c r="IY49" s="762">
        <f t="shared" si="234"/>
        <v>84.134756079581464</v>
      </c>
    </row>
    <row r="50" spans="1:259" ht="15" customHeight="1" x14ac:dyDescent="0.25">
      <c r="A50" s="79"/>
      <c r="B50" s="707">
        <v>-1.6993147375042568</v>
      </c>
      <c r="C50" s="708">
        <v>0.45356975454495657</v>
      </c>
      <c r="D50" s="709">
        <v>-4.5000135720409333E-2</v>
      </c>
      <c r="E50" s="710">
        <v>-0.32402901494431485</v>
      </c>
      <c r="F50" s="708">
        <v>-0.92217346235877351</v>
      </c>
      <c r="G50" s="711">
        <v>0.211190205254526</v>
      </c>
      <c r="H50" s="710">
        <v>0.26600000000000001</v>
      </c>
      <c r="I50" s="708">
        <v>0.52</v>
      </c>
      <c r="J50" s="570">
        <v>5.1079999999999997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5.1079999999999997</v>
      </c>
      <c r="N50" s="632">
        <f t="shared" si="240"/>
        <v>-1.6993147375042568</v>
      </c>
      <c r="O50" s="629">
        <f t="shared" si="241"/>
        <v>0.45356975454495657</v>
      </c>
      <c r="P50" s="633">
        <f t="shared" si="242"/>
        <v>-4.5000135720409333E-2</v>
      </c>
      <c r="Q50" s="585">
        <f t="shared" si="113"/>
        <v>165.05538916334257</v>
      </c>
      <c r="R50" s="629">
        <f t="shared" si="79"/>
        <v>1.7588053045567986</v>
      </c>
      <c r="S50" s="634">
        <f t="shared" si="80"/>
        <v>-4.5000135720409333E-2</v>
      </c>
      <c r="T50" s="635">
        <f t="shared" si="81"/>
        <v>0.39106478502431347</v>
      </c>
      <c r="U50" s="629">
        <f t="shared" si="82"/>
        <v>1.7147782460863623</v>
      </c>
      <c r="V50" s="636">
        <f t="shared" si="114"/>
        <v>-4.5000135720409333E-2</v>
      </c>
      <c r="W50" s="585">
        <f t="shared" si="224"/>
        <v>77.153088860472195</v>
      </c>
      <c r="X50" s="629">
        <f t="shared" si="83"/>
        <v>1.7588053045567986</v>
      </c>
      <c r="Y50" s="630">
        <f t="shared" si="223"/>
        <v>-4.5000135720409333E-2</v>
      </c>
      <c r="Z50" s="632">
        <f t="shared" si="243"/>
        <v>0.32402901494431485</v>
      </c>
      <c r="AA50" s="629">
        <f t="shared" si="244"/>
        <v>0.92217346235877351</v>
      </c>
      <c r="AB50" s="629">
        <f t="shared" si="245"/>
        <v>-0.211190205254526</v>
      </c>
      <c r="AC50" s="636">
        <f t="shared" si="84"/>
        <v>1</v>
      </c>
      <c r="AD50" s="637">
        <f t="shared" si="115"/>
        <v>0.32402901494431485</v>
      </c>
      <c r="AE50" s="629">
        <f t="shared" si="85"/>
        <v>0.92217346235877351</v>
      </c>
      <c r="AF50" s="633">
        <f t="shared" si="86"/>
        <v>-0.211190205254526</v>
      </c>
      <c r="AG50" s="602">
        <f t="shared" si="87"/>
        <v>77.100927574772513</v>
      </c>
      <c r="AH50" s="603">
        <f t="shared" si="88"/>
        <v>71.093241464276062</v>
      </c>
      <c r="AI50" s="585">
        <f t="shared" si="89"/>
        <v>-77.807889571929735</v>
      </c>
      <c r="AJ50" s="586">
        <f t="shared" si="90"/>
        <v>160.63978235449653</v>
      </c>
      <c r="AK50" s="635">
        <f t="shared" si="211"/>
        <v>0.97454374935902699</v>
      </c>
      <c r="AL50" s="629">
        <f t="shared" si="91"/>
        <v>-7.5254088193276281E-2</v>
      </c>
      <c r="AM50" s="634">
        <f t="shared" si="92"/>
        <v>-0.211190205254526</v>
      </c>
      <c r="AN50" s="581">
        <f t="shared" si="93"/>
        <v>-19.612672880612067</v>
      </c>
      <c r="AO50" s="582">
        <f t="shared" si="94"/>
        <v>12.955687736936977</v>
      </c>
      <c r="AP50" s="585">
        <f t="shared" si="95"/>
        <v>-4.4156068088460518</v>
      </c>
      <c r="AQ50" s="586">
        <f t="shared" si="246"/>
        <v>1.2959580221715419</v>
      </c>
      <c r="AS50" s="52">
        <f t="shared" si="406"/>
        <v>-282.84691113952783</v>
      </c>
      <c r="AT50" s="72">
        <f t="shared" si="247"/>
        <v>0.15287806624949171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5.1079999999999997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1313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-2.3129843546775866</v>
      </c>
      <c r="C51" s="708">
        <v>0.68013031531187118</v>
      </c>
      <c r="D51" s="709">
        <v>-0.26520079984561234</v>
      </c>
      <c r="E51" s="710">
        <v>-0.44792052655771802</v>
      </c>
      <c r="F51" s="708">
        <v>-0.88077285486185386</v>
      </c>
      <c r="G51" s="711">
        <v>0.15364367877253027</v>
      </c>
      <c r="H51" s="710">
        <v>0.26600000000000001</v>
      </c>
      <c r="I51" s="708">
        <v>0.52</v>
      </c>
      <c r="J51" s="570">
        <v>5.1130000000000004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5.1130000000000004</v>
      </c>
      <c r="N51" s="632">
        <f t="shared" si="240"/>
        <v>-2.3129843546775866</v>
      </c>
      <c r="O51" s="629">
        <f t="shared" si="241"/>
        <v>0.68013031531187118</v>
      </c>
      <c r="P51" s="633">
        <f t="shared" si="242"/>
        <v>-0.26520079984561234</v>
      </c>
      <c r="Q51" s="585">
        <f t="shared" si="113"/>
        <v>163.61408937144051</v>
      </c>
      <c r="R51" s="629">
        <f t="shared" si="79"/>
        <v>2.4109072712963302</v>
      </c>
      <c r="S51" s="634">
        <f t="shared" si="80"/>
        <v>-0.26520079984561234</v>
      </c>
      <c r="T51" s="635">
        <f t="shared" si="81"/>
        <v>0.59501100973376286</v>
      </c>
      <c r="U51" s="629">
        <f t="shared" si="82"/>
        <v>2.336329550616763</v>
      </c>
      <c r="V51" s="636">
        <f t="shared" si="114"/>
        <v>-0.26520079984561234</v>
      </c>
      <c r="W51" s="585">
        <f t="shared" si="224"/>
        <v>75.711789068570141</v>
      </c>
      <c r="X51" s="629">
        <f t="shared" si="83"/>
        <v>2.4109072712963302</v>
      </c>
      <c r="Y51" s="630">
        <f t="shared" si="223"/>
        <v>-0.26520079984561234</v>
      </c>
      <c r="Z51" s="632">
        <f t="shared" si="243"/>
        <v>0.44792052655771802</v>
      </c>
      <c r="AA51" s="629">
        <f t="shared" si="244"/>
        <v>0.88077285486185386</v>
      </c>
      <c r="AB51" s="629">
        <f t="shared" si="245"/>
        <v>-0.15364367877253027</v>
      </c>
      <c r="AC51" s="636">
        <f t="shared" si="84"/>
        <v>1</v>
      </c>
      <c r="AD51" s="637">
        <f t="shared" si="115"/>
        <v>0.44792052655771802</v>
      </c>
      <c r="AE51" s="629">
        <f t="shared" si="85"/>
        <v>0.88077285486185386</v>
      </c>
      <c r="AF51" s="633">
        <f t="shared" si="86"/>
        <v>-0.15364367877253027</v>
      </c>
      <c r="AG51" s="602">
        <f t="shared" si="87"/>
        <v>80.1047847420826</v>
      </c>
      <c r="AH51" s="603">
        <f t="shared" si="88"/>
        <v>63.389654832356271</v>
      </c>
      <c r="AI51" s="585">
        <f t="shared" si="89"/>
        <v>-81.161857457270258</v>
      </c>
      <c r="AJ51" s="586">
        <f t="shared" si="90"/>
        <v>153.04420703821734</v>
      </c>
      <c r="AK51" s="635">
        <f t="shared" si="211"/>
        <v>0.97135969938127809</v>
      </c>
      <c r="AL51" s="629">
        <f t="shared" si="91"/>
        <v>-0.18125659820033249</v>
      </c>
      <c r="AM51" s="634">
        <f t="shared" si="92"/>
        <v>-0.15364367877253027</v>
      </c>
      <c r="AN51" s="581">
        <f t="shared" si="93"/>
        <v>-49.713442342672515</v>
      </c>
      <c r="AO51" s="582">
        <f t="shared" si="94"/>
        <v>13.74574963003681</v>
      </c>
      <c r="AP51" s="585">
        <f t="shared" si="95"/>
        <v>-10.569882333223175</v>
      </c>
      <c r="AQ51" s="586">
        <f t="shared" si="246"/>
        <v>0.94550284721888789</v>
      </c>
      <c r="AS51" s="52">
        <f t="shared" si="406"/>
        <v>-284.28821093142983</v>
      </c>
      <c r="AT51" s="72">
        <f t="shared" si="247"/>
        <v>-6.6321695242446022E-2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5.1130000000000004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-2.7688877330632709</v>
      </c>
      <c r="C52" s="708">
        <v>0.87915734634108778</v>
      </c>
      <c r="D52" s="709">
        <v>-0.74430224481557061</v>
      </c>
      <c r="E52" s="710">
        <v>-0.57937793206994126</v>
      </c>
      <c r="F52" s="708">
        <v>-0.80556836050617342</v>
      </c>
      <c r="G52" s="711">
        <v>0.12401946775306871</v>
      </c>
      <c r="H52" s="710">
        <v>0.26600000000000001</v>
      </c>
      <c r="I52" s="708">
        <v>0.52</v>
      </c>
      <c r="J52" s="570">
        <v>5.1180000000000003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5.1180000000000003</v>
      </c>
      <c r="N52" s="632">
        <f t="shared" si="240"/>
        <v>-2.7688877330632709</v>
      </c>
      <c r="O52" s="629">
        <f t="shared" si="241"/>
        <v>0.87915734634108778</v>
      </c>
      <c r="P52" s="633">
        <f t="shared" si="242"/>
        <v>-0.74430224481557061</v>
      </c>
      <c r="Q52" s="585">
        <f t="shared" si="113"/>
        <v>162.3846895489439</v>
      </c>
      <c r="R52" s="629">
        <f t="shared" si="79"/>
        <v>2.9051087618080262</v>
      </c>
      <c r="S52" s="634">
        <f t="shared" si="80"/>
        <v>-0.74430224481557061</v>
      </c>
      <c r="T52" s="635">
        <f t="shared" si="81"/>
        <v>0.77721696628160397</v>
      </c>
      <c r="U52" s="629">
        <f t="shared" si="82"/>
        <v>2.7992125152009777</v>
      </c>
      <c r="V52" s="636">
        <f t="shared" si="114"/>
        <v>-0.74430224481557061</v>
      </c>
      <c r="W52" s="585">
        <f t="shared" si="224"/>
        <v>74.482389246073524</v>
      </c>
      <c r="X52" s="629">
        <f t="shared" si="83"/>
        <v>2.9051087618080262</v>
      </c>
      <c r="Y52" s="630">
        <f t="shared" si="223"/>
        <v>-0.74430224481557061</v>
      </c>
      <c r="Z52" s="632">
        <f t="shared" si="243"/>
        <v>0.57937793206994126</v>
      </c>
      <c r="AA52" s="629">
        <f t="shared" si="244"/>
        <v>0.80556836050617342</v>
      </c>
      <c r="AB52" s="629">
        <f t="shared" si="245"/>
        <v>-0.12401946775306871</v>
      </c>
      <c r="AC52" s="636">
        <f t="shared" si="84"/>
        <v>1</v>
      </c>
      <c r="AD52" s="637">
        <f t="shared" si="115"/>
        <v>0.57937793206994126</v>
      </c>
      <c r="AE52" s="629">
        <f t="shared" si="85"/>
        <v>0.80556836050617342</v>
      </c>
      <c r="AF52" s="633">
        <f t="shared" si="86"/>
        <v>-0.12401946775306871</v>
      </c>
      <c r="AG52" s="602">
        <f t="shared" si="87"/>
        <v>81.247871305349435</v>
      </c>
      <c r="AH52" s="603">
        <f t="shared" si="88"/>
        <v>54.593198418822944</v>
      </c>
      <c r="AI52" s="585">
        <f t="shared" si="89"/>
        <v>-82.875865182831149</v>
      </c>
      <c r="AJ52" s="586">
        <f t="shared" si="90"/>
        <v>144.2756944093374</v>
      </c>
      <c r="AK52" s="635">
        <f t="shared" si="211"/>
        <v>0.94312913611242166</v>
      </c>
      <c r="AL52" s="629">
        <f t="shared" si="91"/>
        <v>-0.30842601095576039</v>
      </c>
      <c r="AM52" s="634">
        <f t="shared" si="92"/>
        <v>-0.12401946775306871</v>
      </c>
      <c r="AN52" s="581">
        <f t="shared" si="93"/>
        <v>-68.094721685498882</v>
      </c>
      <c r="AO52" s="582">
        <f t="shared" si="94"/>
        <v>19.41612550547778</v>
      </c>
      <c r="AP52" s="585">
        <f t="shared" si="95"/>
        <v>-18.108995139606463</v>
      </c>
      <c r="AQ52" s="586">
        <f t="shared" si="246"/>
        <v>0.78468115594006149</v>
      </c>
      <c r="AS52" s="52">
        <f t="shared" si="406"/>
        <v>-285.51761075392648</v>
      </c>
      <c r="AT52" s="72">
        <f t="shared" si="247"/>
        <v>-0.54456939033567053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5.1180000000000003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1313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-2.9772310521593308</v>
      </c>
      <c r="C53" s="708">
        <v>0.98107014266766246</v>
      </c>
      <c r="D53" s="709">
        <v>-1.3906041940622493</v>
      </c>
      <c r="E53" s="710">
        <v>-0.7315592914650334</v>
      </c>
      <c r="F53" s="708">
        <v>-0.67912788194918328</v>
      </c>
      <c r="G53" s="711">
        <v>6.0052668803264736E-2</v>
      </c>
      <c r="H53" s="710">
        <v>0.26600000000000001</v>
      </c>
      <c r="I53" s="708">
        <v>0.52</v>
      </c>
      <c r="J53" s="570">
        <v>5.1230000000000002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5.1230000000000002</v>
      </c>
      <c r="N53" s="632">
        <f t="shared" si="240"/>
        <v>-2.9772310521593308</v>
      </c>
      <c r="O53" s="629">
        <f t="shared" si="241"/>
        <v>0.98107014266766246</v>
      </c>
      <c r="P53" s="633">
        <f t="shared" si="242"/>
        <v>-1.3906041940622493</v>
      </c>
      <c r="Q53" s="585">
        <f t="shared" si="113"/>
        <v>161.76168963889396</v>
      </c>
      <c r="R53" s="629">
        <f t="shared" ref="R53:R58" si="410">IF(M53="","",SQRT(N53^2+O53^2))</f>
        <v>3.1347094542837146</v>
      </c>
      <c r="S53" s="634">
        <f t="shared" ref="S53:S58" si="411">IF(M53="","",P53)</f>
        <v>-1.3906041940622493</v>
      </c>
      <c r="T53" s="635">
        <f t="shared" ref="T53:T58" si="412">IF(M53="","",X53*COS(RADIANS(W53)))</f>
        <v>0.87143535421947427</v>
      </c>
      <c r="U53" s="629">
        <f t="shared" ref="U53:U58" si="413">IF(M53="","",X53*SIN(RADIANS(W53)))</f>
        <v>3.0111465899540795</v>
      </c>
      <c r="V53" s="636">
        <f t="shared" ref="V53:V58" si="414">IF(M53="","",Y53)</f>
        <v>-1.3906041940622493</v>
      </c>
      <c r="W53" s="585">
        <f t="shared" si="224"/>
        <v>73.859389336023582</v>
      </c>
      <c r="X53" s="629">
        <f t="shared" ref="X53:X58" si="415">IF(M53="","",R53)</f>
        <v>3.1347094542837146</v>
      </c>
      <c r="Y53" s="630">
        <f t="shared" si="223"/>
        <v>-1.3906041940622493</v>
      </c>
      <c r="Z53" s="632">
        <f t="shared" si="243"/>
        <v>0.7315592914650334</v>
      </c>
      <c r="AA53" s="629">
        <f t="shared" si="244"/>
        <v>0.67912788194918328</v>
      </c>
      <c r="AB53" s="629">
        <f t="shared" si="245"/>
        <v>-6.0052668803264736E-2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0.7315592914650334</v>
      </c>
      <c r="AE53" s="629">
        <f t="shared" ref="AE53:AE58" si="418">IF(M53="","",AA53*(1/SQRT(Z53^2+AA53^2+AB53^2)))</f>
        <v>0.67912788194918328</v>
      </c>
      <c r="AF53" s="633">
        <f t="shared" ref="AF53:AF58" si="419">IF(M53="","",AB53*(1/SQRT(Z53^2+AA53^2+AB53^2)))</f>
        <v>-6.0052668803264736E-2</v>
      </c>
      <c r="AG53" s="602">
        <f t="shared" ref="AG53:AG58" si="420">IF(M53="","",DEGREES(ATAN2(-AF53,AE53)))</f>
        <v>84.946697948369319</v>
      </c>
      <c r="AH53" s="603">
        <f t="shared" ref="AH53:AH58" si="421">IF(M53="","",DEGREES(ACOS(AD53)))</f>
        <v>42.982725273375664</v>
      </c>
      <c r="AI53" s="585">
        <f t="shared" ref="AI53:AI58" si="422">IF(M53="","",DEGREES(-ACOS(-AF53)))</f>
        <v>-86.557164080979874</v>
      </c>
      <c r="AJ53" s="586">
        <f t="shared" ref="AJ53:AJ58" si="423">IF(M53="","",DEGREES(ATAN2(-AE53,AD53)))</f>
        <v>132.8714513132179</v>
      </c>
      <c r="AK53" s="635">
        <f t="shared" ref="AK53:AK58" si="424">IF(M53="","",(COS(RADIANS((90-$Q$8)-W53))*AD53)+(-SIN(RADIANS((90-$Q$8)-W53))*AE53))</f>
        <v>0.87396667440101494</v>
      </c>
      <c r="AL53" s="629">
        <f t="shared" ref="AL53:AL58" si="425">IF(M53="","",(SIN(RADIANS((90-$Q$8)-W53))*AD53)+(COS(RADIANS((90-$Q$8)-W53))*AE53))</f>
        <v>-0.48226126633396099</v>
      </c>
      <c r="AM53" s="634">
        <f t="shared" ref="AM53:AM58" si="426">IF(M53="","",AF53)</f>
        <v>-6.0052668803264736E-2</v>
      </c>
      <c r="AN53" s="581">
        <f t="shared" ref="AN53:AN58" si="427">IF(M53="","",DEGREES(ATAN2(-AM53,AL53)))</f>
        <v>-82.901889104478755</v>
      </c>
      <c r="AO53" s="582">
        <f t="shared" si="94"/>
        <v>29.077083206654393</v>
      </c>
      <c r="AP53" s="585">
        <f t="shared" ref="AP53:AP58" si="428">IF(M53="","",DEGREES(ATAN2(AK53,AL53)))</f>
        <v>-28.890238325676055</v>
      </c>
      <c r="AQ53" s="586">
        <f t="shared" si="246"/>
        <v>0.72721387650485336</v>
      </c>
      <c r="AS53" s="52">
        <f t="shared" si="406"/>
        <v>-286.14061066397642</v>
      </c>
      <c r="AT53" s="72">
        <f t="shared" si="247"/>
        <v>-1.1904387007559256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5.1230000000000002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1313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-3.0258130105209293</v>
      </c>
      <c r="C54" s="708">
        <v>1.0036051699172659</v>
      </c>
      <c r="D54" s="709">
        <v>-2.032006128530484</v>
      </c>
      <c r="E54" s="710">
        <v>-0.80229379483558216</v>
      </c>
      <c r="F54" s="708">
        <v>-0.59692936497403437</v>
      </c>
      <c r="G54" s="711">
        <v>1.3008419248120198E-7</v>
      </c>
      <c r="H54" s="710">
        <v>0.26600000000000001</v>
      </c>
      <c r="I54" s="708">
        <v>0.52</v>
      </c>
      <c r="J54" s="570">
        <v>5.1280000000000001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5.1280000000000001</v>
      </c>
      <c r="N54" s="632">
        <f t="shared" si="240"/>
        <v>-3.0258130105209293</v>
      </c>
      <c r="O54" s="629">
        <f t="shared" si="241"/>
        <v>1.0036051699172659</v>
      </c>
      <c r="P54" s="633">
        <f t="shared" si="242"/>
        <v>-2.032006128530484</v>
      </c>
      <c r="Q54" s="585">
        <f t="shared" si="113"/>
        <v>161.65028965497811</v>
      </c>
      <c r="R54" s="629">
        <f t="shared" si="410"/>
        <v>3.187909614735398</v>
      </c>
      <c r="S54" s="634">
        <f t="shared" si="411"/>
        <v>-2.032006128530484</v>
      </c>
      <c r="T54" s="635">
        <f t="shared" si="412"/>
        <v>0.89217700596170968</v>
      </c>
      <c r="U54" s="629">
        <f t="shared" si="413"/>
        <v>3.0605208546513114</v>
      </c>
      <c r="V54" s="636">
        <f t="shared" si="414"/>
        <v>-2.032006128530484</v>
      </c>
      <c r="W54" s="585">
        <f t="shared" si="224"/>
        <v>73.747989352107737</v>
      </c>
      <c r="X54" s="629">
        <f t="shared" si="415"/>
        <v>3.187909614735398</v>
      </c>
      <c r="Y54" s="630">
        <f t="shared" si="223"/>
        <v>-2.032006128530484</v>
      </c>
      <c r="Z54" s="632">
        <f t="shared" si="243"/>
        <v>0.80229379483558216</v>
      </c>
      <c r="AA54" s="629">
        <f t="shared" si="244"/>
        <v>0.59692936497403437</v>
      </c>
      <c r="AB54" s="629">
        <f t="shared" si="245"/>
        <v>-1.3008419248120198E-7</v>
      </c>
      <c r="AC54" s="636">
        <f t="shared" si="416"/>
        <v>1</v>
      </c>
      <c r="AD54" s="637">
        <f t="shared" si="417"/>
        <v>0.80229379483558216</v>
      </c>
      <c r="AE54" s="629">
        <f t="shared" si="418"/>
        <v>0.59692936497403437</v>
      </c>
      <c r="AF54" s="633">
        <f t="shared" si="419"/>
        <v>-1.3008419248120198E-7</v>
      </c>
      <c r="AG54" s="602">
        <f t="shared" si="420"/>
        <v>89.999987513974602</v>
      </c>
      <c r="AH54" s="603">
        <f t="shared" si="421"/>
        <v>36.650294708353485</v>
      </c>
      <c r="AI54" s="585">
        <f t="shared" si="422"/>
        <v>-89.999992546724783</v>
      </c>
      <c r="AJ54" s="586">
        <f t="shared" si="423"/>
        <v>126.65029470835283</v>
      </c>
      <c r="AK54" s="635">
        <f t="shared" si="424"/>
        <v>0.8191520948772919</v>
      </c>
      <c r="AL54" s="629">
        <f t="shared" si="425"/>
        <v>-0.57357636410344459</v>
      </c>
      <c r="AM54" s="634">
        <f t="shared" si="426"/>
        <v>-1.3008419248120198E-7</v>
      </c>
      <c r="AN54" s="581">
        <f t="shared" si="427"/>
        <v>-89.999987005609583</v>
      </c>
      <c r="AO54" s="582">
        <f t="shared" si="94"/>
        <v>34.999994946625968</v>
      </c>
      <c r="AP54" s="585">
        <f t="shared" si="428"/>
        <v>-34.999994946625272</v>
      </c>
      <c r="AQ54" s="586">
        <f t="shared" si="246"/>
        <v>0.71507932809813046</v>
      </c>
      <c r="AS54" s="52">
        <f t="shared" si="406"/>
        <v>-286.25201064789223</v>
      </c>
      <c r="AT54" s="72">
        <f t="shared" si="247"/>
        <v>-1.8317632741242189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5.1280000000000001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1313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-1.8926320547129341</v>
      </c>
      <c r="C55" s="708">
        <v>1.5274455785986318</v>
      </c>
      <c r="D55" s="709">
        <v>-0.22840068885647757</v>
      </c>
      <c r="E55" s="710">
        <v>-0.76426269129082836</v>
      </c>
      <c r="F55" s="708">
        <v>-0.60257056474196924</v>
      </c>
      <c r="G55" s="711">
        <v>0.22980699120663045</v>
      </c>
      <c r="H55" s="710">
        <v>0.219</v>
      </c>
      <c r="I55" s="708">
        <v>0.42</v>
      </c>
      <c r="J55" s="570">
        <v>5.2130000000000001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1111</v>
      </c>
      <c r="L55" s="320"/>
      <c r="M55" s="168">
        <f t="shared" si="239"/>
        <v>5.2130000000000001</v>
      </c>
      <c r="N55" s="632">
        <f t="shared" si="240"/>
        <v>-1.8926320547129341</v>
      </c>
      <c r="O55" s="629">
        <f t="shared" si="241"/>
        <v>1.5274455785986318</v>
      </c>
      <c r="P55" s="633">
        <f t="shared" si="242"/>
        <v>-0.22840068885647757</v>
      </c>
      <c r="Q55" s="585">
        <f t="shared" si="113"/>
        <v>141.09479262282468</v>
      </c>
      <c r="R55" s="629">
        <f t="shared" si="410"/>
        <v>2.4321073352357234</v>
      </c>
      <c r="S55" s="634">
        <f t="shared" si="411"/>
        <v>-0.22840068885647757</v>
      </c>
      <c r="T55" s="635">
        <f t="shared" si="412"/>
        <v>1.4571448589886289</v>
      </c>
      <c r="U55" s="629">
        <f t="shared" si="413"/>
        <v>1.9472737224207646</v>
      </c>
      <c r="V55" s="636">
        <f t="shared" si="414"/>
        <v>-0.22840068885647757</v>
      </c>
      <c r="W55" s="585">
        <f t="shared" si="224"/>
        <v>53.192492319954312</v>
      </c>
      <c r="X55" s="629">
        <f t="shared" si="415"/>
        <v>2.4321073352357234</v>
      </c>
      <c r="Y55" s="630">
        <f t="shared" si="223"/>
        <v>-0.22840068885647757</v>
      </c>
      <c r="Z55" s="632">
        <f t="shared" si="243"/>
        <v>0.76426269129082836</v>
      </c>
      <c r="AA55" s="629">
        <f t="shared" si="244"/>
        <v>0.60257056474196924</v>
      </c>
      <c r="AB55" s="629">
        <f t="shared" si="245"/>
        <v>-0.22980699120663045</v>
      </c>
      <c r="AC55" s="636">
        <f t="shared" si="416"/>
        <v>1</v>
      </c>
      <c r="AD55" s="637">
        <f t="shared" si="417"/>
        <v>0.76426269129082836</v>
      </c>
      <c r="AE55" s="629">
        <f t="shared" si="418"/>
        <v>0.60257056474196924</v>
      </c>
      <c r="AF55" s="633">
        <f t="shared" si="419"/>
        <v>-0.22980699120663045</v>
      </c>
      <c r="AG55" s="602">
        <f t="shared" si="420"/>
        <v>69.124263075832971</v>
      </c>
      <c r="AH55" s="603">
        <f t="shared" si="421"/>
        <v>40.158557700924725</v>
      </c>
      <c r="AI55" s="585">
        <f t="shared" si="422"/>
        <v>-76.714291216900747</v>
      </c>
      <c r="AJ55" s="586">
        <f t="shared" si="423"/>
        <v>128.25344154441544</v>
      </c>
      <c r="AK55" s="635">
        <f t="shared" si="424"/>
        <v>0.94889481287367461</v>
      </c>
      <c r="AL55" s="629">
        <f t="shared" si="425"/>
        <v>-0.21630390864242338</v>
      </c>
      <c r="AM55" s="634">
        <f t="shared" si="426"/>
        <v>-0.22980699120663045</v>
      </c>
      <c r="AN55" s="581">
        <f t="shared" si="427"/>
        <v>-43.266275273266082</v>
      </c>
      <c r="AO55" s="582">
        <f>IF(ROUND(IF(M55="",0,DEGREES(ACOS(AK55))),4)=90,0,IF(M55="","",DEGREES(ACOS(AK55))))</f>
        <v>18.396586944944399</v>
      </c>
      <c r="AP55" s="585">
        <f t="shared" si="428"/>
        <v>-12.841351078409241</v>
      </c>
      <c r="AQ55" s="586">
        <f t="shared" si="246"/>
        <v>0.93726261493379437</v>
      </c>
      <c r="AS55" s="52">
        <f t="shared" si="406"/>
        <v>-306.80750768004566</v>
      </c>
      <c r="AT55" s="72">
        <f t="shared" si="247"/>
        <v>-1.3883183733439164E-2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5.2130000000000001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0.113</v>
      </c>
      <c r="II55" s="734" cm="1">
        <f t="array" ref="II55">IFERROR(ROUND(VALUE(IF($IH55&lt;1,$IH55+LARGE((IF($M$9:$M$150="",0,$M$9:$M$150)-MOD(IF($M$9:$M$150="",0,$M$9:$M$150),1)),1),$IH55)),4),"")</f>
        <v>5.1130000000000004</v>
      </c>
      <c r="IJ55" s="533">
        <f t="shared" si="112"/>
        <v>1313</v>
      </c>
      <c r="IK55" s="533">
        <f t="shared" si="382"/>
        <v>1111</v>
      </c>
      <c r="IL55" s="727">
        <f t="shared" si="225"/>
        <v>22.51929674861583</v>
      </c>
      <c r="IM55" s="759">
        <v>8.3848919156628895E-3</v>
      </c>
      <c r="IN55" s="5">
        <f t="shared" si="226"/>
        <v>0.14000000000000001</v>
      </c>
      <c r="IO55" s="771">
        <v>70</v>
      </c>
      <c r="IP55" s="9">
        <f t="shared" si="227"/>
        <v>-2.4109072712963302</v>
      </c>
      <c r="IQ55" s="5">
        <f t="shared" si="228"/>
        <v>-0.26520079984561234</v>
      </c>
      <c r="IR55" s="5">
        <f t="shared" si="383"/>
        <v>0.26600000000000001</v>
      </c>
      <c r="IS55" s="5">
        <f t="shared" si="229"/>
        <v>0.25838168003542</v>
      </c>
      <c r="IT55" s="727">
        <f t="shared" si="230"/>
        <v>49.713442342672515</v>
      </c>
      <c r="IU55" s="9">
        <f t="shared" si="231"/>
        <v>-2.4321073352357234</v>
      </c>
      <c r="IV55" s="5">
        <f t="shared" si="232"/>
        <v>-0.22840068885647757</v>
      </c>
      <c r="IW55" s="5">
        <f t="shared" si="384"/>
        <v>0.219</v>
      </c>
      <c r="IX55" s="5">
        <f t="shared" si="233"/>
        <v>0.20780796401933474</v>
      </c>
      <c r="IY55" s="762">
        <f t="shared" si="234"/>
        <v>43.266275273266082</v>
      </c>
    </row>
    <row r="56" spans="1:259" ht="15" customHeight="1" x14ac:dyDescent="0.25">
      <c r="A56" s="79"/>
      <c r="B56" s="707">
        <v>-2.2994205034609716</v>
      </c>
      <c r="C56" s="708">
        <v>1.8345920809430971</v>
      </c>
      <c r="D56" s="709">
        <v>-0.71690216217692115</v>
      </c>
      <c r="E56" s="710">
        <v>-0.85541465712761378</v>
      </c>
      <c r="F56" s="708">
        <v>-0.4852779934528979</v>
      </c>
      <c r="G56" s="711">
        <v>0.18102771456762123</v>
      </c>
      <c r="H56" s="710">
        <v>0.219</v>
      </c>
      <c r="I56" s="708">
        <v>0.42</v>
      </c>
      <c r="J56" s="570">
        <v>5.218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1111</v>
      </c>
      <c r="L56" s="320"/>
      <c r="M56" s="168">
        <f t="shared" si="239"/>
        <v>5.218</v>
      </c>
      <c r="N56" s="632">
        <f t="shared" si="240"/>
        <v>-2.2994205034609716</v>
      </c>
      <c r="O56" s="629">
        <f t="shared" si="241"/>
        <v>1.8345920809430971</v>
      </c>
      <c r="P56" s="633">
        <f t="shared" si="242"/>
        <v>-0.71690216217692115</v>
      </c>
      <c r="Q56" s="585">
        <f t="shared" si="113"/>
        <v>141.41539257653577</v>
      </c>
      <c r="R56" s="629">
        <f t="shared" si="410"/>
        <v>2.9416088718923579</v>
      </c>
      <c r="S56" s="634">
        <f t="shared" si="411"/>
        <v>-0.71690216217692115</v>
      </c>
      <c r="T56" s="635">
        <f t="shared" si="412"/>
        <v>1.7491956147551799</v>
      </c>
      <c r="U56" s="629">
        <f t="shared" si="413"/>
        <v>2.3650322316021568</v>
      </c>
      <c r="V56" s="636">
        <f t="shared" si="414"/>
        <v>-0.71690216217692115</v>
      </c>
      <c r="W56" s="585">
        <f t="shared" si="224"/>
        <v>53.513092273665393</v>
      </c>
      <c r="X56" s="629">
        <f t="shared" si="415"/>
        <v>2.9416088718923579</v>
      </c>
      <c r="Y56" s="630">
        <f t="shared" si="223"/>
        <v>-0.71690216217692115</v>
      </c>
      <c r="Z56" s="632">
        <f t="shared" si="243"/>
        <v>0.85541465712761378</v>
      </c>
      <c r="AA56" s="629">
        <f t="shared" si="244"/>
        <v>0.4852779934528979</v>
      </c>
      <c r="AB56" s="629">
        <f t="shared" si="245"/>
        <v>-0.18102771456762123</v>
      </c>
      <c r="AC56" s="636">
        <f t="shared" si="416"/>
        <v>1</v>
      </c>
      <c r="AD56" s="637">
        <f t="shared" si="417"/>
        <v>0.85541465712761378</v>
      </c>
      <c r="AE56" s="629">
        <f t="shared" si="418"/>
        <v>0.4852779934528979</v>
      </c>
      <c r="AF56" s="633">
        <f t="shared" si="419"/>
        <v>-0.18102771456762123</v>
      </c>
      <c r="AG56" s="602">
        <f t="shared" si="420"/>
        <v>69.542512948270158</v>
      </c>
      <c r="AH56" s="603">
        <f t="shared" si="421"/>
        <v>31.194425453827389</v>
      </c>
      <c r="AI56" s="585">
        <f t="shared" si="422"/>
        <v>-79.570373012661548</v>
      </c>
      <c r="AJ56" s="586">
        <f t="shared" si="423"/>
        <v>119.56630584570311</v>
      </c>
      <c r="AK56" s="635">
        <f t="shared" si="424"/>
        <v>0.91283214079564634</v>
      </c>
      <c r="AL56" s="629">
        <f t="shared" si="425"/>
        <v>-0.36601427470641246</v>
      </c>
      <c r="AM56" s="634">
        <f t="shared" si="426"/>
        <v>-0.18102771456762123</v>
      </c>
      <c r="AN56" s="581">
        <f t="shared" si="427"/>
        <v>-63.683371324963105</v>
      </c>
      <c r="AO56" s="582">
        <f t="shared" ref="AO56:AO119" si="461">IF(ROUND(IF(M56="",0,DEGREES(ACOS(AK56))),4)=90,0,IF(M56="","",DEGREES(ACOS(AK56))))</f>
        <v>24.100285745563845</v>
      </c>
      <c r="AP56" s="585">
        <f t="shared" si="428"/>
        <v>-21.849086730832656</v>
      </c>
      <c r="AQ56" s="586">
        <f t="shared" si="246"/>
        <v>0.77494585969567409</v>
      </c>
      <c r="AS56" s="52">
        <f t="shared" si="406"/>
        <v>-306.48690772633461</v>
      </c>
      <c r="AT56" s="72">
        <f t="shared" si="247"/>
        <v>-0.50260729591062647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5.218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0.11799999999999999</v>
      </c>
      <c r="II56" s="734" cm="1">
        <f t="array" ref="II56">IFERROR(ROUND(VALUE(IF($IH56&lt;1,$IH56+LARGE((IF($M$9:$M$150="",0,$M$9:$M$150)-MOD(IF($M$9:$M$150="",0,$M$9:$M$150),1)),1),$IH56)),4),"")</f>
        <v>5.1180000000000003</v>
      </c>
      <c r="IJ56" s="533">
        <f t="shared" si="112"/>
        <v>1313</v>
      </c>
      <c r="IK56" s="533">
        <f t="shared" si="382"/>
        <v>1111</v>
      </c>
      <c r="IL56" s="727">
        <f t="shared" si="225"/>
        <v>20.969296972408131</v>
      </c>
      <c r="IM56" s="759">
        <v>5.6896616466498798E-3</v>
      </c>
      <c r="IN56" s="5">
        <f t="shared" si="226"/>
        <v>0.12</v>
      </c>
      <c r="IO56" s="771">
        <v>60</v>
      </c>
      <c r="IP56" s="9">
        <f t="shared" si="227"/>
        <v>-2.9051087618080262</v>
      </c>
      <c r="IQ56" s="5">
        <f t="shared" si="228"/>
        <v>-0.74430224481557061</v>
      </c>
      <c r="IR56" s="5">
        <f t="shared" si="383"/>
        <v>0.26600000000000001</v>
      </c>
      <c r="IS56" s="5">
        <f t="shared" si="229"/>
        <v>0.25087235020590415</v>
      </c>
      <c r="IT56" s="727">
        <f t="shared" si="230"/>
        <v>68.094721685498882</v>
      </c>
      <c r="IU56" s="9">
        <f t="shared" si="231"/>
        <v>-2.9416088718923579</v>
      </c>
      <c r="IV56" s="5">
        <f t="shared" si="232"/>
        <v>-0.71690216217692115</v>
      </c>
      <c r="IW56" s="5">
        <f t="shared" si="384"/>
        <v>0.219</v>
      </c>
      <c r="IX56" s="5">
        <f t="shared" si="233"/>
        <v>0.19991023883424655</v>
      </c>
      <c r="IY56" s="762">
        <f t="shared" si="234"/>
        <v>63.683371324963105</v>
      </c>
    </row>
    <row r="57" spans="1:259" ht="15" customHeight="1" x14ac:dyDescent="0.25">
      <c r="A57" s="79"/>
      <c r="B57" s="707">
        <v>-2.4515798587586373</v>
      </c>
      <c r="C57" s="708">
        <v>2.0275904932019024</v>
      </c>
      <c r="D57" s="709">
        <v>-1.3786041578701402</v>
      </c>
      <c r="E57" s="710">
        <v>-0.95302572999867863</v>
      </c>
      <c r="F57" s="708">
        <v>-0.2890664716663488</v>
      </c>
      <c r="G57" s="711">
        <v>9.0457354144667226E-2</v>
      </c>
      <c r="H57" s="710">
        <v>0.219</v>
      </c>
      <c r="I57" s="708">
        <v>0.42</v>
      </c>
      <c r="J57" s="570">
        <v>5.2229999999999999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1111</v>
      </c>
      <c r="L57" s="320"/>
      <c r="M57" s="168">
        <f t="shared" si="239"/>
        <v>5.2229999999999999</v>
      </c>
      <c r="N57" s="632">
        <f t="shared" si="240"/>
        <v>-2.4515798587586373</v>
      </c>
      <c r="O57" s="629">
        <f t="shared" si="241"/>
        <v>2.0275904932019024</v>
      </c>
      <c r="P57" s="633">
        <f t="shared" si="242"/>
        <v>-1.3786041578701402</v>
      </c>
      <c r="Q57" s="585">
        <f t="shared" si="113"/>
        <v>140.40739272207296</v>
      </c>
      <c r="R57" s="629">
        <f t="shared" si="410"/>
        <v>3.1814095951313397</v>
      </c>
      <c r="S57" s="634">
        <f t="shared" si="411"/>
        <v>-1.3786041578701402</v>
      </c>
      <c r="T57" s="635">
        <f t="shared" si="412"/>
        <v>1.9364951135385069</v>
      </c>
      <c r="U57" s="629">
        <f t="shared" si="413"/>
        <v>2.5241540537842058</v>
      </c>
      <c r="V57" s="636">
        <f t="shared" si="414"/>
        <v>-1.3786041578701402</v>
      </c>
      <c r="W57" s="585">
        <f t="shared" si="224"/>
        <v>52.505092419202583</v>
      </c>
      <c r="X57" s="629">
        <f t="shared" si="415"/>
        <v>3.1814095951313397</v>
      </c>
      <c r="Y57" s="630">
        <f t="shared" si="223"/>
        <v>-1.3786041578701402</v>
      </c>
      <c r="Z57" s="632">
        <f t="shared" si="243"/>
        <v>0.95302572999867863</v>
      </c>
      <c r="AA57" s="629">
        <f t="shared" si="244"/>
        <v>0.2890664716663488</v>
      </c>
      <c r="AB57" s="629">
        <f t="shared" si="245"/>
        <v>-9.0457354144667226E-2</v>
      </c>
      <c r="AC57" s="636">
        <f t="shared" si="416"/>
        <v>1</v>
      </c>
      <c r="AD57" s="637">
        <f t="shared" si="417"/>
        <v>0.95302572999867863</v>
      </c>
      <c r="AE57" s="629">
        <f t="shared" si="418"/>
        <v>0.2890664716663488</v>
      </c>
      <c r="AF57" s="633">
        <f t="shared" si="419"/>
        <v>-9.0457354144667226E-2</v>
      </c>
      <c r="AG57" s="602">
        <f t="shared" si="420"/>
        <v>72.62357199277784</v>
      </c>
      <c r="AH57" s="603">
        <f t="shared" si="421"/>
        <v>17.631227079682425</v>
      </c>
      <c r="AI57" s="585">
        <f t="shared" si="422"/>
        <v>-84.810081122858819</v>
      </c>
      <c r="AJ57" s="586">
        <f t="shared" si="423"/>
        <v>106.87330856962978</v>
      </c>
      <c r="AK57" s="635">
        <f t="shared" si="424"/>
        <v>0.83014002778624874</v>
      </c>
      <c r="AL57" s="629">
        <f t="shared" si="425"/>
        <v>-0.55016815733754765</v>
      </c>
      <c r="AM57" s="634">
        <f t="shared" si="426"/>
        <v>-9.0457354144667226E-2</v>
      </c>
      <c r="AN57" s="581">
        <f t="shared" si="427"/>
        <v>-80.663099957682633</v>
      </c>
      <c r="AO57" s="582">
        <f t="shared" si="461"/>
        <v>33.886875071171026</v>
      </c>
      <c r="AP57" s="585">
        <f t="shared" si="428"/>
        <v>-33.534084152443178</v>
      </c>
      <c r="AQ57" s="586">
        <f t="shared" si="246"/>
        <v>0.71654017285506366</v>
      </c>
      <c r="AS57" s="52">
        <f t="shared" si="406"/>
        <v>-307.49490758079742</v>
      </c>
      <c r="AT57" s="72">
        <f t="shared" si="247"/>
        <v>-1.163609291704913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>Gage</v>
      </c>
      <c r="IG57" s="847">
        <f t="shared" si="210"/>
        <v>5.2229999999999999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0.123</v>
      </c>
      <c r="II57" s="734" cm="1">
        <f t="array" ref="II57">IFERROR(ROUND(VALUE(IF($IH57&lt;1,$IH57+LARGE((IF($M$9:$M$150="",0,$M$9:$M$150)-MOD(IF($M$9:$M$150="",0,$M$9:$M$150),1)),1),$IH57)),4),"")</f>
        <v>5.1230000000000002</v>
      </c>
      <c r="IJ57" s="533">
        <f t="shared" si="112"/>
        <v>1313</v>
      </c>
      <c r="IK57" s="533">
        <f t="shared" si="382"/>
        <v>1111</v>
      </c>
      <c r="IL57" s="727">
        <f t="shared" si="225"/>
        <v>21.354296916820999</v>
      </c>
      <c r="IM57" s="759">
        <v>2.6804617518232901E-3</v>
      </c>
      <c r="IN57" s="5">
        <f t="shared" si="226"/>
        <v>0.08</v>
      </c>
      <c r="IO57" s="771">
        <v>40</v>
      </c>
      <c r="IP57" s="9">
        <f t="shared" si="227"/>
        <v>-3.1347094542837146</v>
      </c>
      <c r="IQ57" s="5">
        <f t="shared" si="228"/>
        <v>-1.3906041940622493</v>
      </c>
      <c r="IR57" s="5">
        <f t="shared" si="383"/>
        <v>0.26600000000000001</v>
      </c>
      <c r="IS57" s="5">
        <f t="shared" si="229"/>
        <v>0.23247513539067</v>
      </c>
      <c r="IT57" s="727">
        <f t="shared" si="230"/>
        <v>82.901889104478755</v>
      </c>
      <c r="IU57" s="9">
        <f t="shared" si="231"/>
        <v>-3.1814095951313397</v>
      </c>
      <c r="IV57" s="5">
        <f t="shared" si="232"/>
        <v>-1.3786041578701402</v>
      </c>
      <c r="IW57" s="5">
        <f t="shared" si="384"/>
        <v>0.219</v>
      </c>
      <c r="IX57" s="5">
        <f t="shared" si="233"/>
        <v>0.18180066608518847</v>
      </c>
      <c r="IY57" s="762">
        <f t="shared" si="234"/>
        <v>80.663099957682633</v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5.6018678339987651E-2</v>
      </c>
      <c r="G154" s="170">
        <f t="shared" si="929"/>
        <v>-0.25268396641901963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0.97629601393762733</v>
      </c>
      <c r="F155" s="170">
        <f t="shared" si="929"/>
        <v>4.6846093169500232E-2</v>
      </c>
      <c r="G155" s="170">
        <f t="shared" si="929"/>
        <v>-0.21130910232229644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0.97459268930602805</v>
      </c>
      <c r="F156" s="170">
        <f t="shared" si="929"/>
        <v>-5.857357048287036E-2</v>
      </c>
      <c r="G156" s="170">
        <f t="shared" si="929"/>
        <v>-0.21619025600644515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0.96542638179380624</v>
      </c>
      <c r="F157" s="170">
        <f t="shared" si="929"/>
        <v>-0.19851257892375576</v>
      </c>
      <c r="G157" s="170">
        <f t="shared" si="929"/>
        <v>-0.16895164203274135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0.93790828944938665</v>
      </c>
      <c r="F158" s="170">
        <f t="shared" si="929"/>
        <v>-0.32395434230679332</v>
      </c>
      <c r="G158" s="170">
        <f t="shared" si="929"/>
        <v>-0.12402267809839722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0.85479015462253582</v>
      </c>
      <c r="F159" s="170">
        <f t="shared" si="929"/>
        <v>-0.51257768317886854</v>
      </c>
      <c r="G159" s="170">
        <f t="shared" si="929"/>
        <v>-8.1227521612842982E-2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0.77329056882830915</v>
      </c>
      <c r="F160" s="170">
        <f t="shared" si="929"/>
        <v>-0.63405180873582667</v>
      </c>
      <c r="G160" s="170">
        <f t="shared" si="929"/>
        <v>-1.3008419235542241E-7</v>
      </c>
      <c r="H160" s="139"/>
      <c r="I160" s="86"/>
      <c r="J160" s="79">
        <f t="shared" si="930"/>
        <v>1.127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1.8875452711729638E-7</v>
      </c>
      <c r="F161" s="170">
        <f t="shared" si="929"/>
        <v>-1.2572849195426624E-7</v>
      </c>
      <c r="G161" s="170">
        <f t="shared" si="929"/>
        <v>-0.99999999999997435</v>
      </c>
      <c r="H161" s="139"/>
      <c r="I161" s="86"/>
      <c r="J161" s="79">
        <f t="shared" si="930"/>
        <v>1.2070000000000001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0.77669123787609629</v>
      </c>
      <c r="F162" s="170">
        <f t="shared" si="929"/>
        <v>-0.57922245501609348</v>
      </c>
      <c r="G162" s="170">
        <f t="shared" si="929"/>
        <v>-0.2474915526066031</v>
      </c>
      <c r="H162" s="139"/>
      <c r="I162" s="86"/>
      <c r="J162" s="79">
        <f t="shared" si="930"/>
        <v>1.212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0.71144032006843094</v>
      </c>
      <c r="F163" s="170">
        <f t="shared" si="929"/>
        <v>-0.67773780570149045</v>
      </c>
      <c r="G163" s="170">
        <f t="shared" si="929"/>
        <v>-0.18580672136351162</v>
      </c>
      <c r="H163" s="139"/>
      <c r="I163" s="86"/>
      <c r="J163" s="79">
        <f t="shared" si="930"/>
        <v>1.2170000000000001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0.54631601971795307</v>
      </c>
      <c r="F164" s="170">
        <f t="shared" si="929"/>
        <v>-0.82934709172314469</v>
      </c>
      <c r="G164" s="170">
        <f t="shared" si="929"/>
        <v>-0.11714182877988145</v>
      </c>
      <c r="H164" s="139"/>
      <c r="I164" s="86"/>
      <c r="J164" s="79">
        <f t="shared" si="930"/>
        <v>1.222</v>
      </c>
    </row>
    <row r="165" spans="5:16" x14ac:dyDescent="0.25">
      <c r="E165" s="170">
        <f t="shared" si="929"/>
        <v>6.5557491157091932E-2</v>
      </c>
      <c r="F165" s="170">
        <f t="shared" si="929"/>
        <v>-0.98100865657951608</v>
      </c>
      <c r="G165" s="170">
        <f t="shared" si="929"/>
        <v>-0.18254925655625406</v>
      </c>
      <c r="H165" s="139"/>
      <c r="I165" s="86"/>
      <c r="J165" s="79">
        <f t="shared" si="930"/>
        <v>2.1110000000000002</v>
      </c>
    </row>
    <row r="166" spans="5:16" x14ac:dyDescent="0.25">
      <c r="E166" s="170">
        <f t="shared" si="929"/>
        <v>-5.4692964751229145E-2</v>
      </c>
      <c r="F166" s="170">
        <f t="shared" si="929"/>
        <v>-0.99127944827090575</v>
      </c>
      <c r="G166" s="170">
        <f t="shared" si="929"/>
        <v>-0.11989051272911225</v>
      </c>
      <c r="H166" s="139"/>
      <c r="I166" s="86"/>
      <c r="J166" s="79">
        <f t="shared" si="930"/>
        <v>2.1160000000000001</v>
      </c>
    </row>
    <row r="167" spans="5:16" x14ac:dyDescent="0.25">
      <c r="E167" s="170">
        <f t="shared" si="929"/>
        <v>-0.25248953142096048</v>
      </c>
      <c r="F167" s="170">
        <f t="shared" si="929"/>
        <v>-0.9626007760552564</v>
      </c>
      <c r="G167" s="170">
        <f t="shared" si="929"/>
        <v>-9.8228216214292882E-2</v>
      </c>
      <c r="H167" s="139"/>
      <c r="I167" s="86"/>
      <c r="J167" s="79">
        <f t="shared" si="930"/>
        <v>2.121</v>
      </c>
    </row>
    <row r="168" spans="5:16" x14ac:dyDescent="0.25">
      <c r="E168" s="170">
        <f t="shared" si="929"/>
        <v>-0.34774966251040812</v>
      </c>
      <c r="F168" s="170">
        <f t="shared" si="929"/>
        <v>-0.93758742111009807</v>
      </c>
      <c r="G168" s="170">
        <f t="shared" si="929"/>
        <v>-1.1339743347200069E-7</v>
      </c>
      <c r="H168" s="139"/>
      <c r="I168" s="86"/>
      <c r="J168" s="79">
        <f t="shared" si="930"/>
        <v>2.1259999999999999</v>
      </c>
    </row>
    <row r="169" spans="5:16" x14ac:dyDescent="0.25">
      <c r="E169" s="170">
        <f t="shared" si="929"/>
        <v>-0.4281424867472674</v>
      </c>
      <c r="F169" s="170">
        <f t="shared" si="929"/>
        <v>-0.90371124317552298</v>
      </c>
      <c r="G169" s="170">
        <f t="shared" si="929"/>
        <v>-1.3008419221962865E-7</v>
      </c>
      <c r="H169" s="139"/>
      <c r="I169" s="86"/>
      <c r="J169" s="79">
        <f t="shared" si="930"/>
        <v>2.1309999999999998</v>
      </c>
    </row>
    <row r="170" spans="5:16" x14ac:dyDescent="0.25">
      <c r="E170" s="170">
        <f t="shared" si="929"/>
        <v>-0.45501127687470477</v>
      </c>
      <c r="F170" s="170">
        <f t="shared" si="929"/>
        <v>-0.8708083636926427</v>
      </c>
      <c r="G170" s="170">
        <f t="shared" si="929"/>
        <v>-0.18616533415164332</v>
      </c>
      <c r="H170" s="139"/>
      <c r="I170" s="86"/>
      <c r="J170" s="79">
        <f t="shared" si="930"/>
        <v>2.2160000000000002</v>
      </c>
    </row>
    <row r="171" spans="5:16" x14ac:dyDescent="0.25">
      <c r="E171" s="170">
        <f t="shared" si="929"/>
        <v>-0.63761284881075386</v>
      </c>
      <c r="F171" s="170">
        <f t="shared" si="929"/>
        <v>-0.75760267508159052</v>
      </c>
      <c r="G171" s="170">
        <f t="shared" si="929"/>
        <v>-0.13959957643436077</v>
      </c>
      <c r="H171" s="139"/>
      <c r="I171" s="86"/>
      <c r="J171" s="79">
        <f t="shared" si="930"/>
        <v>2.2210000000000001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-0.72889134840692704</v>
      </c>
      <c r="F172" s="170">
        <f t="shared" si="929"/>
        <v>-0.68462939041317461</v>
      </c>
      <c r="G172" s="170">
        <f t="shared" si="929"/>
        <v>-1.30084191605936E-7</v>
      </c>
      <c r="H172" s="139"/>
      <c r="I172" s="86"/>
      <c r="J172" s="79">
        <f t="shared" si="930"/>
        <v>2.226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-0.71511490768086183</v>
      </c>
      <c r="F173" s="170">
        <f t="shared" si="929"/>
        <v>-0.66361001907621631</v>
      </c>
      <c r="G173" s="170">
        <f t="shared" si="929"/>
        <v>-0.21961878652395961</v>
      </c>
      <c r="H173" s="139"/>
      <c r="I173" s="86"/>
      <c r="J173" s="79">
        <f t="shared" si="930"/>
        <v>3.1030000000000002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-0.75541433567001326</v>
      </c>
      <c r="F174" s="170">
        <f t="shared" si="933"/>
        <v>-0.61775536993853986</v>
      </c>
      <c r="G174" s="170">
        <f t="shared" si="933"/>
        <v>-0.21846620877456138</v>
      </c>
      <c r="H174" s="139"/>
      <c r="I174" s="86"/>
      <c r="J174" s="79">
        <f t="shared" si="930"/>
        <v>3.1059999999999999</v>
      </c>
    </row>
    <row r="175" spans="5:16" x14ac:dyDescent="0.25">
      <c r="E175" s="170">
        <f t="shared" si="933"/>
        <v>-0.83766526001644304</v>
      </c>
      <c r="F175" s="170">
        <f t="shared" si="933"/>
        <v>-0.51047796726871963</v>
      </c>
      <c r="G175" s="170">
        <f t="shared" si="933"/>
        <v>-0.19423994721678878</v>
      </c>
      <c r="H175" s="139"/>
      <c r="I175" s="86"/>
      <c r="J175" s="79">
        <f t="shared" si="930"/>
        <v>3.11</v>
      </c>
    </row>
    <row r="176" spans="5:16" x14ac:dyDescent="0.25">
      <c r="E176" s="170">
        <f t="shared" si="933"/>
        <v>-0.90306922042608373</v>
      </c>
      <c r="F176" s="170">
        <f t="shared" si="933"/>
        <v>-0.41062795030405957</v>
      </c>
      <c r="G176" s="170">
        <f t="shared" si="933"/>
        <v>-0.12589944220731281</v>
      </c>
      <c r="H176" s="139"/>
      <c r="I176" s="86"/>
      <c r="J176" s="79">
        <f t="shared" si="930"/>
        <v>3.1150000000000002</v>
      </c>
    </row>
    <row r="177" spans="5:10" x14ac:dyDescent="0.25">
      <c r="E177" s="170">
        <f t="shared" si="933"/>
        <v>-0.96591559936724947</v>
      </c>
      <c r="F177" s="170">
        <f t="shared" si="933"/>
        <v>-0.23380275484576707</v>
      </c>
      <c r="G177" s="170">
        <f t="shared" si="933"/>
        <v>-0.11110052531620934</v>
      </c>
      <c r="H177" s="139"/>
      <c r="I177" s="86"/>
      <c r="J177" s="79">
        <f t="shared" si="930"/>
        <v>3.12</v>
      </c>
    </row>
    <row r="178" spans="5:10" x14ac:dyDescent="0.25">
      <c r="E178" s="170">
        <f t="shared" si="933"/>
        <v>-0.99514139445031768</v>
      </c>
      <c r="F178" s="170">
        <f t="shared" si="933"/>
        <v>-9.8456107232942083E-2</v>
      </c>
      <c r="G178" s="170">
        <f t="shared" si="933"/>
        <v>-1.1339743320120724E-7</v>
      </c>
      <c r="H178" s="139"/>
      <c r="I178" s="86"/>
      <c r="J178" s="79">
        <f t="shared" si="930"/>
        <v>3.125</v>
      </c>
    </row>
    <row r="179" spans="5:10" x14ac:dyDescent="0.25">
      <c r="E179" s="170">
        <f t="shared" si="933"/>
        <v>-0.99993559601396464</v>
      </c>
      <c r="F179" s="170">
        <f t="shared" si="933"/>
        <v>-1.1349177246857302E-2</v>
      </c>
      <c r="G179" s="170">
        <f t="shared" si="933"/>
        <v>-1.300841919127123E-7</v>
      </c>
      <c r="H179" s="139"/>
      <c r="I179" s="86"/>
      <c r="J179" s="79">
        <f t="shared" si="930"/>
        <v>3.13</v>
      </c>
    </row>
    <row r="180" spans="5:10" x14ac:dyDescent="0.25">
      <c r="E180" s="170">
        <f t="shared" si="933"/>
        <v>-5.0123902907100469E-2</v>
      </c>
      <c r="F180" s="170">
        <f t="shared" si="933"/>
        <v>0.20792665194602197</v>
      </c>
      <c r="G180" s="170">
        <f t="shared" si="933"/>
        <v>-0.97685930500143037</v>
      </c>
      <c r="H180" s="139"/>
      <c r="I180" s="86"/>
      <c r="J180" s="79">
        <f t="shared" si="930"/>
        <v>3.21</v>
      </c>
    </row>
    <row r="181" spans="5:10" x14ac:dyDescent="0.25">
      <c r="E181" s="170">
        <f t="shared" si="933"/>
        <v>-0.98060473703249551</v>
      </c>
      <c r="F181" s="170">
        <f t="shared" si="933"/>
        <v>-1.1436730320781019E-4</v>
      </c>
      <c r="G181" s="170">
        <f t="shared" si="933"/>
        <v>-0.19599575666210378</v>
      </c>
      <c r="H181" s="139"/>
      <c r="I181" s="86"/>
      <c r="J181" s="79">
        <f t="shared" si="930"/>
        <v>3.2149999999999999</v>
      </c>
    </row>
    <row r="182" spans="5:10" x14ac:dyDescent="0.25">
      <c r="E182" s="170">
        <f t="shared" si="933"/>
        <v>-0.96755440375956914</v>
      </c>
      <c r="F182" s="170">
        <f t="shared" si="933"/>
        <v>0.19728859048630018</v>
      </c>
      <c r="G182" s="170">
        <f t="shared" si="933"/>
        <v>-0.15784703934313679</v>
      </c>
      <c r="H182" s="139"/>
      <c r="I182" s="86"/>
      <c r="J182" s="79">
        <f t="shared" si="930"/>
        <v>3.22</v>
      </c>
    </row>
    <row r="183" spans="5:10" x14ac:dyDescent="0.25">
      <c r="E183" s="170">
        <f t="shared" si="933"/>
        <v>-0.93486581356390164</v>
      </c>
      <c r="F183" s="170">
        <f t="shared" si="933"/>
        <v>0.35500128257442609</v>
      </c>
      <c r="G183" s="170">
        <f t="shared" si="933"/>
        <v>-1.3008419240727223E-7</v>
      </c>
      <c r="H183" s="139"/>
      <c r="I183" s="86"/>
      <c r="J183" s="79">
        <f t="shared" si="930"/>
        <v>3.2250000000000001</v>
      </c>
    </row>
    <row r="184" spans="5:10" x14ac:dyDescent="0.25">
      <c r="E184" s="170">
        <f t="shared" si="933"/>
        <v>-0.77694675205891339</v>
      </c>
      <c r="F184" s="170">
        <f t="shared" si="933"/>
        <v>0.58358313946393447</v>
      </c>
      <c r="G184" s="170">
        <f t="shared" si="933"/>
        <v>-0.2361873489383447</v>
      </c>
      <c r="H184" s="139"/>
      <c r="I184" s="86"/>
      <c r="J184" s="79">
        <f t="shared" si="930"/>
        <v>4.1020000000000003</v>
      </c>
    </row>
    <row r="185" spans="5:10" x14ac:dyDescent="0.25">
      <c r="E185" s="170">
        <f t="shared" si="933"/>
        <v>-0.76908810813139716</v>
      </c>
      <c r="F185" s="170">
        <f t="shared" si="933"/>
        <v>0.60219529945130179</v>
      </c>
      <c r="G185" s="170">
        <f t="shared" si="933"/>
        <v>-0.21415952757144746</v>
      </c>
      <c r="H185" s="139"/>
      <c r="I185" s="86"/>
      <c r="J185" s="79">
        <f t="shared" si="930"/>
        <v>4.1050000000000004</v>
      </c>
    </row>
    <row r="186" spans="5:10" x14ac:dyDescent="0.25">
      <c r="E186" s="170">
        <f t="shared" si="933"/>
        <v>-0.66728523034558618</v>
      </c>
      <c r="F186" s="170">
        <f t="shared" si="933"/>
        <v>0.71636917216016616</v>
      </c>
      <c r="G186" s="170">
        <f t="shared" si="933"/>
        <v>-0.20382745286441764</v>
      </c>
      <c r="H186" s="139"/>
      <c r="I186" s="86"/>
      <c r="J186" s="79">
        <f t="shared" si="930"/>
        <v>4.109</v>
      </c>
    </row>
    <row r="187" spans="5:10" x14ac:dyDescent="0.25">
      <c r="E187" s="170">
        <f t="shared" si="933"/>
        <v>-0.57982600551575214</v>
      </c>
      <c r="F187" s="170">
        <f t="shared" si="933"/>
        <v>0.80316082120438603</v>
      </c>
      <c r="G187" s="170">
        <f t="shared" si="933"/>
        <v>-0.13687402459905795</v>
      </c>
      <c r="H187" s="139"/>
      <c r="I187" s="86"/>
      <c r="J187" s="79">
        <f t="shared" si="930"/>
        <v>4.1139999999999999</v>
      </c>
    </row>
    <row r="188" spans="5:10" x14ac:dyDescent="0.25">
      <c r="E188" s="170">
        <f t="shared" si="933"/>
        <v>-0.43428571448063963</v>
      </c>
      <c r="F188" s="170">
        <f t="shared" si="933"/>
        <v>0.8927859251349457</v>
      </c>
      <c r="G188" s="170">
        <f t="shared" si="933"/>
        <v>-0.11970467860104592</v>
      </c>
      <c r="H188" s="139"/>
      <c r="I188" s="86"/>
      <c r="J188" s="79">
        <f t="shared" si="930"/>
        <v>4.1189999999999998</v>
      </c>
    </row>
    <row r="189" spans="5:10" x14ac:dyDescent="0.25">
      <c r="E189" s="170">
        <f t="shared" si="933"/>
        <v>-0.25500279502455175</v>
      </c>
      <c r="F189" s="170">
        <f t="shared" si="933"/>
        <v>0.96630969667829558</v>
      </c>
      <c r="G189" s="170">
        <f t="shared" si="933"/>
        <v>-3.4916251734213255E-2</v>
      </c>
      <c r="H189" s="139"/>
      <c r="I189" s="86"/>
      <c r="J189" s="79">
        <f t="shared" si="930"/>
        <v>4.1239999999999997</v>
      </c>
    </row>
    <row r="190" spans="5:10" x14ac:dyDescent="0.25">
      <c r="E190" s="170">
        <f t="shared" si="933"/>
        <v>-0.18481394989782426</v>
      </c>
      <c r="F190" s="170">
        <f t="shared" si="933"/>
        <v>0.98277352626286585</v>
      </c>
      <c r="G190" s="170">
        <f t="shared" si="933"/>
        <v>-1.300841921874184E-7</v>
      </c>
      <c r="H190" s="139"/>
      <c r="I190" s="86"/>
      <c r="J190" s="79">
        <f t="shared" si="930"/>
        <v>4.1289999999999996</v>
      </c>
    </row>
    <row r="191" spans="5:10" x14ac:dyDescent="0.25">
      <c r="E191" s="170">
        <f t="shared" si="933"/>
        <v>0.13301766484131805</v>
      </c>
      <c r="F191" s="170">
        <f t="shared" si="933"/>
        <v>5.3356224520583521E-2</v>
      </c>
      <c r="G191" s="170">
        <f t="shared" si="933"/>
        <v>-0.9896764189092675</v>
      </c>
      <c r="H191" s="139"/>
      <c r="I191" s="86"/>
      <c r="J191" s="79">
        <f t="shared" si="930"/>
        <v>4.2089999999999996</v>
      </c>
    </row>
    <row r="192" spans="5:10" x14ac:dyDescent="0.25">
      <c r="E192" s="170">
        <f t="shared" si="933"/>
        <v>-0.19063529640907748</v>
      </c>
      <c r="F192" s="170">
        <f t="shared" si="933"/>
        <v>0.95887512515282236</v>
      </c>
      <c r="G192" s="170">
        <f t="shared" si="933"/>
        <v>-0.2102776215534656</v>
      </c>
      <c r="H192" s="139"/>
      <c r="I192" s="86"/>
      <c r="J192" s="79">
        <f t="shared" si="930"/>
        <v>4.2140000000000004</v>
      </c>
    </row>
    <row r="193" spans="5:10" x14ac:dyDescent="0.25">
      <c r="E193" s="170">
        <f t="shared" si="933"/>
        <v>-1.7905741597384589E-2</v>
      </c>
      <c r="F193" s="170">
        <f t="shared" si="933"/>
        <v>0.98498992536470587</v>
      </c>
      <c r="G193" s="170">
        <f t="shared" si="933"/>
        <v>-0.17168060853771214</v>
      </c>
      <c r="H193" s="139"/>
      <c r="I193" s="86"/>
      <c r="J193" s="79">
        <f t="shared" si="930"/>
        <v>4.2190000000000003</v>
      </c>
    </row>
    <row r="194" spans="5:10" x14ac:dyDescent="0.25">
      <c r="E194" s="170">
        <f t="shared" ref="E194:G213" si="934">E49*-1</f>
        <v>0.20032657374751328</v>
      </c>
      <c r="F194" s="170">
        <f t="shared" si="934"/>
        <v>0.97790109067628139</v>
      </c>
      <c r="G194" s="170">
        <f t="shared" si="934"/>
        <v>-5.9822409720116036E-2</v>
      </c>
      <c r="H194" s="139"/>
      <c r="I194" s="86"/>
      <c r="J194" s="79">
        <f t="shared" si="930"/>
        <v>4.2240000000000002</v>
      </c>
    </row>
    <row r="195" spans="5:10" x14ac:dyDescent="0.25">
      <c r="E195" s="170">
        <f t="shared" si="934"/>
        <v>0.32402901494431485</v>
      </c>
      <c r="F195" s="170">
        <f t="shared" si="934"/>
        <v>0.92217346235877351</v>
      </c>
      <c r="G195" s="170">
        <f t="shared" si="934"/>
        <v>-0.211190205254526</v>
      </c>
      <c r="H195" s="139"/>
      <c r="I195" s="86"/>
      <c r="J195" s="79">
        <f t="shared" si="930"/>
        <v>5.1079999999999997</v>
      </c>
    </row>
    <row r="196" spans="5:10" x14ac:dyDescent="0.25">
      <c r="E196" s="170">
        <f t="shared" si="934"/>
        <v>0.44792052655771802</v>
      </c>
      <c r="F196" s="170">
        <f t="shared" si="934"/>
        <v>0.88077285486185386</v>
      </c>
      <c r="G196" s="170">
        <f t="shared" si="934"/>
        <v>-0.15364367877253027</v>
      </c>
      <c r="H196" s="139"/>
      <c r="I196" s="86"/>
      <c r="J196" s="79">
        <f t="shared" si="930"/>
        <v>5.1130000000000004</v>
      </c>
    </row>
    <row r="197" spans="5:10" x14ac:dyDescent="0.25">
      <c r="E197" s="170">
        <f t="shared" si="934"/>
        <v>0.57937793206994126</v>
      </c>
      <c r="F197" s="170">
        <f t="shared" si="934"/>
        <v>0.80556836050617342</v>
      </c>
      <c r="G197" s="170">
        <f t="shared" si="934"/>
        <v>-0.12401946775306871</v>
      </c>
      <c r="H197" s="139"/>
      <c r="I197" s="86"/>
      <c r="J197" s="79">
        <f t="shared" si="930"/>
        <v>5.1180000000000003</v>
      </c>
    </row>
    <row r="198" spans="5:10" x14ac:dyDescent="0.25">
      <c r="E198" s="170">
        <f t="shared" si="934"/>
        <v>0.7315592914650334</v>
      </c>
      <c r="F198" s="170">
        <f t="shared" si="934"/>
        <v>0.67912788194918328</v>
      </c>
      <c r="G198" s="170">
        <f t="shared" si="934"/>
        <v>-6.0052668803264736E-2</v>
      </c>
      <c r="H198" s="139"/>
      <c r="I198" s="86"/>
      <c r="J198" s="79">
        <f t="shared" si="930"/>
        <v>5.1230000000000002</v>
      </c>
    </row>
    <row r="199" spans="5:10" x14ac:dyDescent="0.25">
      <c r="E199" s="170">
        <f t="shared" si="934"/>
        <v>0.80229379483558216</v>
      </c>
      <c r="F199" s="170">
        <f t="shared" si="934"/>
        <v>0.59692936497403437</v>
      </c>
      <c r="G199" s="170">
        <f t="shared" si="934"/>
        <v>-1.3008419248120198E-7</v>
      </c>
      <c r="H199" s="139"/>
      <c r="I199" s="86"/>
      <c r="J199" s="79">
        <f t="shared" si="930"/>
        <v>5.1280000000000001</v>
      </c>
    </row>
    <row r="200" spans="5:10" x14ac:dyDescent="0.25">
      <c r="E200" s="170">
        <f t="shared" si="934"/>
        <v>0.76426269129082836</v>
      </c>
      <c r="F200" s="170">
        <f t="shared" si="934"/>
        <v>0.60257056474196924</v>
      </c>
      <c r="G200" s="170">
        <f t="shared" si="934"/>
        <v>-0.22980699120663045</v>
      </c>
      <c r="H200" s="139"/>
      <c r="I200" s="86"/>
      <c r="J200" s="79">
        <f t="shared" si="930"/>
        <v>5.2130000000000001</v>
      </c>
    </row>
    <row r="201" spans="5:10" x14ac:dyDescent="0.25">
      <c r="E201" s="170">
        <f t="shared" si="934"/>
        <v>0.85541465712761378</v>
      </c>
      <c r="F201" s="170">
        <f t="shared" si="934"/>
        <v>0.4852779934528979</v>
      </c>
      <c r="G201" s="170">
        <f t="shared" si="934"/>
        <v>-0.18102771456762123</v>
      </c>
      <c r="H201" s="139"/>
      <c r="I201" s="86"/>
      <c r="J201" s="79">
        <f t="shared" si="930"/>
        <v>5.218</v>
      </c>
    </row>
    <row r="202" spans="5:10" x14ac:dyDescent="0.25">
      <c r="E202" s="170">
        <f t="shared" si="934"/>
        <v>0.95302572999867863</v>
      </c>
      <c r="F202" s="170">
        <f t="shared" si="934"/>
        <v>0.2890664716663488</v>
      </c>
      <c r="G202" s="170">
        <f t="shared" si="934"/>
        <v>-9.0457354144667226E-2</v>
      </c>
      <c r="H202" s="139"/>
      <c r="I202" s="86"/>
      <c r="J202" s="79">
        <f t="shared" si="930"/>
        <v>5.2229999999999999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4E153322-3161-46C1-85D8-A42AA22E999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7F9CE5A-0A05-490C-AA8E-C25FC216A242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6.75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1.2070000000000001</v>
      </c>
      <c r="N171" s="869" t="str">
        <f>Assy.Model!K16</f>
        <v>Inactive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1.212</v>
      </c>
      <c r="N172" s="869">
        <f>Assy.Model!K17</f>
        <v>1111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1.2170000000000001</v>
      </c>
      <c r="N173" s="869">
        <f>Assy.Model!K18</f>
        <v>1111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1.222</v>
      </c>
      <c r="N174" s="869">
        <f>Assy.Model!K19</f>
        <v>1111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2.1110000000000002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2.1160000000000001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2.1259999999999999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2.1309999999999998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2.2160000000000002</v>
      </c>
      <c r="N180" s="869">
        <f>Assy.Model!K25</f>
        <v>1111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2.2210000000000001</v>
      </c>
      <c r="N181" s="869">
        <f>Assy.Model!K26</f>
        <v>1111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2.226</v>
      </c>
      <c r="N182" s="869">
        <f>Assy.Model!K27</f>
        <v>1111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3.1030000000000002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3.1059999999999999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3.1150000000000002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3.125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3.13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3.21</v>
      </c>
      <c r="N190" s="869" t="str">
        <f>Assy.Model!K35</f>
        <v>Inactive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3.2149999999999999</v>
      </c>
      <c r="N191" s="869">
        <f>Assy.Model!K36</f>
        <v>1111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3.22</v>
      </c>
      <c r="N192" s="869">
        <f>Assy.Model!K37</f>
        <v>1111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3.2250000000000001</v>
      </c>
      <c r="N193" s="869">
        <f>Assy.Model!K38</f>
        <v>1111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4.1020000000000003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4.1050000000000004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4.109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4.1139999999999999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4.1189999999999998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4.1239999999999997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4.1289999999999996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4.2089999999999996</v>
      </c>
      <c r="N201" s="869" t="str">
        <f>Assy.Model!K46</f>
        <v>Inactive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4.2140000000000004</v>
      </c>
      <c r="N202" s="869">
        <f>Assy.Model!K47</f>
        <v>1111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4.2190000000000003</v>
      </c>
      <c r="N203" s="869">
        <f>Assy.Model!K48</f>
        <v>1111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4.2240000000000002</v>
      </c>
      <c r="N204" s="869">
        <f>Assy.Model!K49</f>
        <v>1111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5.1079999999999997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5.1130000000000004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5.1180000000000003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5.1230000000000002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5.1280000000000001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5.2130000000000001</v>
      </c>
      <c r="N210" s="869">
        <f>Assy.Model!K55</f>
        <v>1111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5.218</v>
      </c>
      <c r="N211" s="869">
        <f>Assy.Model!K56</f>
        <v>1111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5.2229999999999999</v>
      </c>
      <c r="N212" s="869">
        <f>Assy.Model!K57</f>
        <v>1111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2023-03-28T20:00:13Z</dcterms:modified>
</cp:coreProperties>
</file>