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86\"/>
    </mc:Choice>
  </mc:AlternateContent>
  <xr:revisionPtr revIDLastSave="0" documentId="13_ncr:1_{E2DA1E9B-E07F-4AF5-A896-F4829AF4AA3D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Q68" i="1"/>
  <c r="IJ68" i="1"/>
  <c r="IP68" i="1"/>
  <c r="IK68" i="1"/>
  <c r="IN68" i="1"/>
  <c r="IR68" i="1"/>
  <c r="IW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K66" i="1"/>
  <c r="IQ66" i="1"/>
  <c r="IR66" i="1"/>
  <c r="IN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R57" i="1"/>
  <c r="IK57" i="1"/>
  <c r="IJ57" i="1"/>
  <c r="IW57" i="1"/>
  <c r="IQ57" i="1"/>
  <c r="IN57" i="1"/>
  <c r="IP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N21" i="1"/>
  <c r="IW21" i="1"/>
  <c r="IK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W27" i="1"/>
  <c r="IN27" i="1"/>
  <c r="IK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P40" i="1"/>
  <c r="IJ40" i="1"/>
  <c r="IW40" i="1"/>
  <c r="IR40" i="1"/>
  <c r="IN40" i="1"/>
  <c r="IK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K58" i="1"/>
  <c r="IJ58" i="1"/>
  <c r="IW58" i="1"/>
  <c r="IQ58" i="1"/>
  <c r="IN58" i="1"/>
  <c r="IR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N28" i="1"/>
  <c r="IK28" i="1"/>
  <c r="IR28" i="1"/>
  <c r="IQ28" i="1"/>
  <c r="IJ28" i="1"/>
  <c r="IP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R67" i="1"/>
  <c r="IQ67" i="1"/>
  <c r="IN67" i="1"/>
  <c r="IW67" i="1"/>
  <c r="IK67" i="1"/>
  <c r="IP67" i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R29" i="1"/>
  <c r="IW29" i="1"/>
  <c r="IQ29" i="1"/>
  <c r="IN29" i="1"/>
  <c r="IK29" i="1"/>
  <c r="IJ29" i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89" i="1" l="1"/>
  <c r="IF98" i="1"/>
  <c r="IF130" i="1"/>
  <c r="IF137" i="1"/>
  <c r="IF150" i="1"/>
  <c r="IF56" i="1"/>
  <c r="IF123" i="1"/>
  <c r="IF114" i="1"/>
  <c r="IF62" i="1"/>
  <c r="IF113" i="1"/>
  <c r="IF139" i="1"/>
  <c r="IF112" i="1"/>
  <c r="IF82" i="1"/>
  <c r="IF31" i="1"/>
  <c r="IF149" i="1"/>
  <c r="IF10" i="1"/>
  <c r="IF118" i="1"/>
  <c r="IF44" i="1"/>
  <c r="IF143" i="1"/>
  <c r="IF11" i="1"/>
  <c r="IF117" i="1"/>
  <c r="IF132" i="1"/>
  <c r="IF78" i="1"/>
  <c r="IF136" i="1"/>
  <c r="IF92" i="1"/>
  <c r="IF144" i="1"/>
  <c r="IF121" i="1"/>
  <c r="IF46" i="1"/>
  <c r="IF127" i="1"/>
  <c r="IF76" i="1"/>
  <c r="IF135" i="1"/>
  <c r="IF105" i="1"/>
  <c r="IF88" i="1"/>
  <c r="IF55" i="1"/>
  <c r="IF115" i="1"/>
  <c r="IF131" i="1"/>
  <c r="IF12" i="1"/>
  <c r="IF126" i="1"/>
  <c r="IF102" i="1"/>
  <c r="IF147" i="1"/>
  <c r="IF84" i="1"/>
  <c r="IF109" i="1"/>
  <c r="IF103" i="1"/>
  <c r="IF145" i="1"/>
  <c r="IF100" i="1"/>
  <c r="IF75" i="1"/>
  <c r="IF94" i="1"/>
  <c r="IF96" i="1"/>
  <c r="IF13" i="1"/>
  <c r="IF30" i="1"/>
  <c r="IF9" i="1"/>
  <c r="IF116" i="1"/>
  <c r="IF79" i="1"/>
  <c r="IF106" i="1"/>
  <c r="IF134" i="1"/>
  <c r="IF69" i="1"/>
  <c r="IF125" i="1"/>
  <c r="IF87" i="1"/>
  <c r="IF95" i="1"/>
  <c r="IF107" i="1"/>
  <c r="IF146" i="1"/>
  <c r="IF90" i="1"/>
  <c r="IF122" i="1"/>
  <c r="IF91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32" i="1"/>
  <c r="IF120" i="1"/>
  <c r="IF14" i="1"/>
  <c r="IF70" i="1"/>
  <c r="IF101" i="1"/>
  <c r="IF73" i="1"/>
  <c r="IF99" i="1"/>
  <c r="IF81" i="1"/>
  <c r="IF74" i="1"/>
  <c r="IF104" i="1"/>
  <c r="IF63" i="1"/>
  <c r="IF71" i="1"/>
  <c r="IF93" i="1"/>
  <c r="IF65" i="1"/>
  <c r="IF23" i="1"/>
  <c r="IF142" i="1"/>
  <c r="IF148" i="1"/>
  <c r="IF22" i="1"/>
  <c r="IF50" i="1"/>
  <c r="IF1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61" i="1" l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IV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V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P60" i="1" l="1"/>
  <c r="IU57" i="1"/>
  <c r="IE57" i="1" s="1"/>
  <c r="IQ60" i="1"/>
  <c r="IV57" i="1"/>
  <c r="IQ53" i="1"/>
  <c r="IV49" i="1"/>
  <c r="IQ52" i="1"/>
  <c r="IV48" i="1"/>
  <c r="IQ51" i="1"/>
  <c r="IV47" i="1"/>
  <c r="IQ43" i="1"/>
  <c r="IV40" i="1"/>
  <c r="IQ42" i="1"/>
  <c r="IV39" i="1"/>
  <c r="IQ41" i="1"/>
  <c r="IV38" i="1"/>
  <c r="IQ33" i="1"/>
  <c r="IV29" i="1"/>
  <c r="IQ24" i="1"/>
  <c r="IV21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68" i="1" l="1"/>
  <c r="IU68" i="1"/>
  <c r="IE68" i="1" s="1"/>
  <c r="AQ67" i="1"/>
  <c r="IU67" i="1"/>
  <c r="IE67" i="1" s="1"/>
  <c r="AQ66" i="1"/>
  <c r="IU66" i="1"/>
  <c r="IE66" i="1" s="1"/>
  <c r="IP61" i="1"/>
  <c r="IU58" i="1"/>
  <c r="IE58" i="1" s="1"/>
  <c r="IP53" i="1"/>
  <c r="IU49" i="1"/>
  <c r="IE49" i="1" s="1"/>
  <c r="IP52" i="1"/>
  <c r="IU48" i="1"/>
  <c r="IE48" i="1" s="1"/>
  <c r="IP51" i="1"/>
  <c r="IU47" i="1"/>
  <c r="IE47" i="1" s="1"/>
  <c r="IP43" i="1"/>
  <c r="IU40" i="1"/>
  <c r="IE40" i="1" s="1"/>
  <c r="IP42" i="1"/>
  <c r="IU39" i="1"/>
  <c r="IE39" i="1" s="1"/>
  <c r="IP41" i="1"/>
  <c r="IU38" i="1"/>
  <c r="IE38" i="1" s="1"/>
  <c r="AQ37" i="1"/>
  <c r="IU37" i="1"/>
  <c r="IE37" i="1" s="1"/>
  <c r="IP33" i="1"/>
  <c r="IU29" i="1"/>
  <c r="IE29" i="1" s="1"/>
  <c r="AQ28" i="1"/>
  <c r="IU28" i="1"/>
  <c r="IE28" i="1" s="1"/>
  <c r="AQ27" i="1"/>
  <c r="IU27" i="1"/>
  <c r="IE27" i="1" s="1"/>
  <c r="IP24" i="1"/>
  <c r="IU21" i="1"/>
  <c r="IE21" i="1" s="1"/>
  <c r="AQ20" i="1"/>
  <c r="IU20" i="1"/>
  <c r="IE20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67" i="1" s="1"/>
  <c r="W64" i="1"/>
  <c r="IL68" i="1" s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66" i="1" l="1"/>
  <c r="IL48" i="1"/>
  <c r="IL58" i="1"/>
  <c r="IL57" i="1"/>
  <c r="IL49" i="1"/>
  <c r="IL40" i="1"/>
  <c r="IL47" i="1"/>
  <c r="IL39" i="1"/>
  <c r="IL28" i="1"/>
  <c r="IL27" i="1"/>
  <c r="IL38" i="1"/>
  <c r="IL37" i="1"/>
  <c r="IL29" i="1"/>
  <c r="IL21" i="1"/>
  <c r="IL20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4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T67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Y67" i="1" s="1"/>
  <c r="T67" i="1"/>
  <c r="T66" i="1"/>
  <c r="AK66" i="1"/>
  <c r="U66" i="1"/>
  <c r="AL66" i="1"/>
  <c r="AN66" i="1" s="1"/>
  <c r="IY66" i="1" s="1"/>
  <c r="U65" i="1"/>
  <c r="T65" i="1"/>
  <c r="AL65" i="1"/>
  <c r="AN65" i="1" s="1"/>
  <c r="AK65" i="1"/>
  <c r="AK64" i="1"/>
  <c r="U64" i="1"/>
  <c r="T64" i="1"/>
  <c r="AL64" i="1"/>
  <c r="AN64" i="1" s="1"/>
  <c r="IT68" i="1" s="1"/>
  <c r="T63" i="1"/>
  <c r="U63" i="1"/>
  <c r="AK63" i="1"/>
  <c r="AK61" i="1"/>
  <c r="U62" i="1"/>
  <c r="T62" i="1"/>
  <c r="AK62" i="1"/>
  <c r="AL62" i="1"/>
  <c r="AN62" i="1" s="1"/>
  <c r="IT66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IT54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T49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IT48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4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IT25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59" i="1" l="1"/>
  <c r="IT61" i="1"/>
  <c r="IY58" i="1"/>
  <c r="IY52" i="1"/>
  <c r="IT58" i="1"/>
  <c r="IX57" i="1"/>
  <c r="IY51" i="1"/>
  <c r="IT57" i="1"/>
  <c r="IT53" i="1"/>
  <c r="IY49" i="1"/>
  <c r="IS53" i="1"/>
  <c r="IX49" i="1"/>
  <c r="IT52" i="1"/>
  <c r="IY48" i="1"/>
  <c r="IS51" i="1"/>
  <c r="IX47" i="1"/>
  <c r="IX43" i="1"/>
  <c r="IS47" i="1"/>
  <c r="IY43" i="1"/>
  <c r="IT47" i="1"/>
  <c r="IY34" i="1"/>
  <c r="IT40" i="1"/>
  <c r="IT43" i="1"/>
  <c r="IY40" i="1"/>
  <c r="IT42" i="1"/>
  <c r="IY39" i="1"/>
  <c r="IY33" i="1"/>
  <c r="IT39" i="1"/>
  <c r="IT36" i="1"/>
  <c r="IT38" i="1"/>
  <c r="IT41" i="1"/>
  <c r="IY38" i="1"/>
  <c r="IT35" i="1"/>
  <c r="IT37" i="1"/>
  <c r="IT33" i="1"/>
  <c r="IY29" i="1"/>
  <c r="IX25" i="1"/>
  <c r="IS29" i="1"/>
  <c r="IY25" i="1"/>
  <c r="IT29" i="1"/>
  <c r="IY24" i="1"/>
  <c r="IT28" i="1"/>
  <c r="IT26" i="1"/>
  <c r="IT27" i="1"/>
  <c r="IT24" i="1"/>
  <c r="IY21" i="1"/>
  <c r="IT19" i="1"/>
  <c r="IT21" i="1"/>
  <c r="IS24" i="1"/>
  <c r="IX21" i="1"/>
  <c r="IT18" i="1"/>
  <c r="IT20" i="1"/>
  <c r="IT17" i="1"/>
  <c r="IF41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AP69" i="1"/>
  <c r="AP70" i="1"/>
  <c r="AO70" i="1"/>
  <c r="AO67" i="1"/>
  <c r="IX67" i="1" s="1"/>
  <c r="IF67" i="1" s="1"/>
  <c r="AP67" i="1"/>
  <c r="AO68" i="1"/>
  <c r="IX68" i="1" s="1"/>
  <c r="IF68" i="1" s="1"/>
  <c r="AP68" i="1"/>
  <c r="AO65" i="1"/>
  <c r="AP65" i="1"/>
  <c r="AP66" i="1"/>
  <c r="AO66" i="1"/>
  <c r="IX66" i="1" s="1"/>
  <c r="IF66" i="1" s="1"/>
  <c r="AO63" i="1"/>
  <c r="IS67" i="1" s="1"/>
  <c r="AP63" i="1"/>
  <c r="AO64" i="1"/>
  <c r="IS68" i="1" s="1"/>
  <c r="AP64" i="1"/>
  <c r="AP62" i="1"/>
  <c r="AO62" i="1"/>
  <c r="IS66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AO52" i="1"/>
  <c r="AP52" i="1"/>
  <c r="AP49" i="1"/>
  <c r="AP50" i="1"/>
  <c r="AO50" i="1"/>
  <c r="IS54" i="1" s="1"/>
  <c r="AN47" i="1"/>
  <c r="AP47" i="1"/>
  <c r="AO48" i="1"/>
  <c r="AP48" i="1"/>
  <c r="AP45" i="1"/>
  <c r="AO45" i="1"/>
  <c r="IS49" i="1" s="1"/>
  <c r="AP46" i="1"/>
  <c r="AO46" i="1"/>
  <c r="AP43" i="1"/>
  <c r="AO44" i="1"/>
  <c r="IS48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IX28" i="1" s="1"/>
  <c r="IF28" i="1" s="1"/>
  <c r="AP25" i="1"/>
  <c r="AO26" i="1"/>
  <c r="IX26" i="1" s="1"/>
  <c r="IF26" i="1" s="1"/>
  <c r="AP26" i="1"/>
  <c r="AO24" i="1"/>
  <c r="AP24" i="1"/>
  <c r="AO23" i="1"/>
  <c r="AP23" i="1"/>
  <c r="AP21" i="1"/>
  <c r="AO22" i="1"/>
  <c r="IS25" i="1" s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AP16" i="1"/>
  <c r="AO13" i="1"/>
  <c r="IS17" i="1" s="1"/>
  <c r="AP13" i="1"/>
  <c r="AO14" i="1"/>
  <c r="IS20" i="1" s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9" i="1" l="1"/>
  <c r="IS60" i="1"/>
  <c r="IX52" i="1"/>
  <c r="IF52" i="1" s="1"/>
  <c r="IS58" i="1"/>
  <c r="IS61" i="1"/>
  <c r="IX58" i="1"/>
  <c r="IF58" i="1" s="1"/>
  <c r="IX51" i="1"/>
  <c r="IF51" i="1" s="1"/>
  <c r="IS57" i="1"/>
  <c r="IT60" i="1"/>
  <c r="IY57" i="1"/>
  <c r="IF57" i="1" s="1"/>
  <c r="IF49" i="1"/>
  <c r="IS52" i="1"/>
  <c r="IX48" i="1"/>
  <c r="IF48" i="1" s="1"/>
  <c r="IF43" i="1"/>
  <c r="IT51" i="1"/>
  <c r="IY47" i="1"/>
  <c r="IF47" i="1" s="1"/>
  <c r="IS43" i="1"/>
  <c r="IX40" i="1"/>
  <c r="IF40" i="1" s="1"/>
  <c r="IX34" i="1"/>
  <c r="IF34" i="1" s="1"/>
  <c r="IS40" i="1"/>
  <c r="IX33" i="1"/>
  <c r="IF33" i="1" s="1"/>
  <c r="IS39" i="1"/>
  <c r="IS42" i="1"/>
  <c r="IX39" i="1"/>
  <c r="IF39" i="1" s="1"/>
  <c r="IS36" i="1"/>
  <c r="IS38" i="1"/>
  <c r="IS41" i="1"/>
  <c r="IX38" i="1"/>
  <c r="IF38" i="1" s="1"/>
  <c r="IS35" i="1"/>
  <c r="IS37" i="1"/>
  <c r="IF25" i="1"/>
  <c r="IS33" i="1"/>
  <c r="IX29" i="1"/>
  <c r="IF29" i="1" s="1"/>
  <c r="IX24" i="1"/>
  <c r="IF24" i="1" s="1"/>
  <c r="IS28" i="1"/>
  <c r="IS26" i="1"/>
  <c r="IS27" i="1"/>
  <c r="IF21" i="1"/>
  <c r="IS19" i="1"/>
  <c r="IS5" i="1" s="1"/>
  <c r="IS21" i="1"/>
  <c r="IS18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<sst xmlns="http://schemas.openxmlformats.org/spreadsheetml/2006/main" count="704" uniqueCount="379">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</sst>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8.75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4.375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O9" sqref="IO9:IO150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1189" t="str">
        <f>CONCATENATE(Settings!C19, " ",Settings!B28)</f>
        <v>8.75 yyyy.mm.dd --- Job # --- Assy #</v>
      </c>
      <c r="D1" s="1189"/>
      <c r="E1" s="1189"/>
      <c r="F1" s="1189"/>
      <c r="G1" s="1189"/>
      <c r="H1" s="1189"/>
      <c r="I1" s="1189"/>
      <c r="J1" s="1189"/>
      <c r="K1" s="1189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200" t="s">
        <v>315</v>
      </c>
      <c r="C2" s="1201"/>
      <c r="D2" s="1201"/>
      <c r="E2" s="1201"/>
      <c r="F2" s="1201"/>
      <c r="G2" s="1201"/>
      <c r="H2" s="1201"/>
      <c r="I2" s="1201"/>
      <c r="J2" s="1201"/>
      <c r="K2" s="1202"/>
      <c r="M2" s="1208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155" t="s">
        <v>0</v>
      </c>
      <c r="AW2" s="1116" t="s">
        <v>109</v>
      </c>
      <c r="AX2" s="1117"/>
      <c r="AY2" s="1117"/>
      <c r="AZ2" s="1117"/>
      <c r="BA2" s="1117"/>
      <c r="BB2" s="1117"/>
      <c r="BC2" s="1117"/>
      <c r="BD2" s="1117"/>
      <c r="BE2" s="1118"/>
      <c r="BF2" s="1187" t="s">
        <v>115</v>
      </c>
      <c r="BG2" s="1117"/>
      <c r="BH2" s="1117"/>
      <c r="BI2" s="1117"/>
      <c r="BJ2" s="1117"/>
      <c r="BK2" s="1117"/>
      <c r="BL2" s="1117"/>
      <c r="BM2" s="1117"/>
      <c r="BN2" s="1117"/>
      <c r="BO2" s="1117"/>
      <c r="BP2" s="1117"/>
      <c r="BQ2" s="1117"/>
      <c r="BR2" s="1117"/>
      <c r="BS2" s="1117"/>
      <c r="BT2" s="1117"/>
      <c r="BU2" s="1117"/>
      <c r="BV2" s="1117"/>
      <c r="BW2" s="1117"/>
      <c r="BX2" s="1117"/>
      <c r="BY2" s="1117"/>
      <c r="BZ2" s="1117"/>
      <c r="CA2" s="1117"/>
      <c r="CB2" s="1117"/>
      <c r="CC2" s="1117"/>
      <c r="CD2" s="1117"/>
      <c r="CE2" s="1117"/>
      <c r="CF2" s="1117"/>
      <c r="CG2" s="1117"/>
      <c r="CH2" s="1117"/>
      <c r="CI2" s="1117"/>
      <c r="CJ2" s="1117"/>
      <c r="CK2" s="1117"/>
      <c r="CL2" s="1117"/>
      <c r="CM2" s="1117"/>
      <c r="CN2" s="1117"/>
      <c r="CO2" s="1117"/>
      <c r="CP2" s="1117"/>
      <c r="CQ2" s="1117"/>
      <c r="CR2" s="1117"/>
      <c r="CS2" s="1117"/>
      <c r="CT2" s="1117"/>
      <c r="CU2" s="1117"/>
      <c r="CV2" s="1117"/>
      <c r="CW2" s="1117"/>
      <c r="CX2" s="1117"/>
      <c r="CY2" s="1117"/>
      <c r="CZ2" s="1117"/>
      <c r="DA2" s="1117"/>
      <c r="DB2" s="1117"/>
      <c r="DC2" s="1117"/>
      <c r="DD2" s="1117"/>
      <c r="DE2" s="1117"/>
      <c r="DF2" s="1117"/>
      <c r="DG2" s="1117"/>
      <c r="DH2" s="1117"/>
      <c r="DI2" s="1117"/>
      <c r="DJ2" s="1117"/>
      <c r="DK2" s="1117"/>
      <c r="DL2" s="1117"/>
      <c r="DM2" s="1117"/>
      <c r="DN2" s="1117"/>
      <c r="DO2" s="1117"/>
      <c r="DP2" s="1117"/>
      <c r="DQ2" s="1117"/>
      <c r="DR2" s="1117"/>
      <c r="DS2" s="1117"/>
      <c r="DT2" s="1117"/>
      <c r="DU2" s="1117"/>
      <c r="DV2" s="1117"/>
      <c r="DW2" s="1117"/>
      <c r="DX2" s="1117"/>
      <c r="DY2" s="1117"/>
      <c r="DZ2" s="1117"/>
      <c r="EA2" s="1117"/>
      <c r="EB2" s="1117"/>
      <c r="EC2" s="1117"/>
      <c r="ED2" s="1117"/>
      <c r="EE2" s="1117"/>
      <c r="EF2" s="1117"/>
      <c r="EG2" s="1117"/>
      <c r="EH2" s="1117"/>
      <c r="EI2" s="1117"/>
      <c r="EJ2" s="1117"/>
      <c r="EK2" s="1117"/>
      <c r="EL2" s="1117"/>
      <c r="EM2" s="1117"/>
      <c r="EN2" s="1117"/>
      <c r="EO2" s="1117"/>
      <c r="EP2" s="1117"/>
      <c r="EQ2" s="1117"/>
      <c r="ER2" s="1157"/>
      <c r="ES2" s="1054" t="s">
        <v>197</v>
      </c>
      <c r="ET2" s="1055"/>
      <c r="EU2" s="1055"/>
      <c r="EV2" s="1055"/>
      <c r="EW2" s="1055"/>
      <c r="EX2" s="1055"/>
      <c r="EY2" s="1055"/>
      <c r="EZ2" s="1055"/>
      <c r="FA2" s="1055"/>
      <c r="FB2" s="1055"/>
      <c r="FC2" s="1055"/>
      <c r="FD2" s="1055"/>
      <c r="FE2" s="1055"/>
      <c r="FF2" s="1056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0" t="s">
        <v>266</v>
      </c>
      <c r="HQ2" s="997" t="str">
        <f>IFERROR(CONCATENATE("Sum of Lateral Forces = ",ROUND(HE3,0)," lbs @ ",ROUND(HF3,1),"° Relative to Blade 1"),"")</f>
        <v/>
      </c>
      <c r="HR2" s="998"/>
      <c r="HS2" s="998"/>
      <c r="HT2" s="998"/>
      <c r="HU2" s="998"/>
      <c r="HV2" s="999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3"/>
      <c r="C3" s="1153"/>
      <c r="D3" s="1153"/>
      <c r="E3" s="1153"/>
      <c r="F3" s="1153"/>
      <c r="G3" s="1153"/>
      <c r="H3" s="1153"/>
      <c r="I3" s="1153"/>
      <c r="J3" s="1153"/>
      <c r="K3" s="1204"/>
      <c r="M3" s="1203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158"/>
      <c r="AA3" s="1159"/>
      <c r="AB3" s="1159"/>
      <c r="AC3" s="1159"/>
      <c r="AD3" s="1159"/>
      <c r="AE3" s="1159"/>
      <c r="AF3" s="1159"/>
      <c r="AG3" s="1159"/>
      <c r="AH3" s="1159"/>
      <c r="AI3" s="1159"/>
      <c r="AJ3" s="1159"/>
      <c r="AK3" s="1159"/>
      <c r="AL3" s="1159"/>
      <c r="AM3" s="1159"/>
      <c r="AN3" s="1159"/>
      <c r="AO3" s="1159"/>
      <c r="AP3" s="1159"/>
      <c r="AQ3" s="1182"/>
      <c r="AS3" s="488">
        <v>100</v>
      </c>
      <c r="AT3" s="485" t="s">
        <v>45</v>
      </c>
      <c r="AV3" s="1156"/>
      <c r="AW3" s="1057"/>
      <c r="AX3" s="1058"/>
      <c r="AY3" s="1058"/>
      <c r="AZ3" s="1058"/>
      <c r="BA3" s="1058"/>
      <c r="BB3" s="1058"/>
      <c r="BC3" s="1058"/>
      <c r="BD3" s="1058"/>
      <c r="BE3" s="1119"/>
      <c r="BF3" s="1188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57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1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5"/>
      <c r="C4" s="1206"/>
      <c r="D4" s="1206"/>
      <c r="E4" s="1206"/>
      <c r="F4" s="1206"/>
      <c r="G4" s="1206"/>
      <c r="H4" s="1206"/>
      <c r="I4" s="1206"/>
      <c r="J4" s="1206"/>
      <c r="K4" s="1207"/>
      <c r="M4" s="1203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$Q$4</f>
        <v>Polar XY; Cartesian Z</v>
      </c>
      <c r="X4" s="1123"/>
      <c r="Y4" s="1193"/>
      <c r="Z4" s="1210" t="s">
        <v>3</v>
      </c>
      <c r="AA4" s="1149"/>
      <c r="AB4" s="1149"/>
      <c r="AC4" s="1149"/>
      <c r="AD4" s="1149"/>
      <c r="AE4" s="1149"/>
      <c r="AF4" s="1149"/>
      <c r="AG4" s="1148" t="s">
        <v>31</v>
      </c>
      <c r="AH4" s="1149"/>
      <c r="AI4" s="1149"/>
      <c r="AJ4" s="1151"/>
      <c r="AK4" s="1183" t="s">
        <v>32</v>
      </c>
      <c r="AL4" s="1184"/>
      <c r="AM4" s="1184"/>
      <c r="AN4" s="1184"/>
      <c r="AO4" s="1184"/>
      <c r="AP4" s="1184"/>
      <c r="AQ4" s="1185"/>
      <c r="AS4" s="489">
        <v>680</v>
      </c>
      <c r="AT4" s="486" t="s">
        <v>46</v>
      </c>
      <c r="AV4" s="1156"/>
      <c r="AW4" s="1075" t="s">
        <v>112</v>
      </c>
      <c r="AX4" s="978"/>
      <c r="AY4" s="910"/>
      <c r="AZ4" s="1114"/>
      <c r="BA4" s="1115"/>
      <c r="BB4" s="1120" t="s">
        <v>113</v>
      </c>
      <c r="BC4" s="1123" t="str">
        <f>$Q$4</f>
        <v>Polar XY; Cartesian Z</v>
      </c>
      <c r="BD4" s="1123"/>
      <c r="BE4" s="1124"/>
      <c r="BF4" s="1140" t="s">
        <v>129</v>
      </c>
      <c r="BG4" s="1141"/>
      <c r="BH4" s="1141"/>
      <c r="BI4" s="1141"/>
      <c r="BJ4" s="1141"/>
      <c r="BK4" s="1141"/>
      <c r="BL4" s="1141"/>
      <c r="BM4" s="1141"/>
      <c r="BN4" s="1141"/>
      <c r="BO4" s="1141"/>
      <c r="BP4" s="1141"/>
      <c r="BQ4" s="1141"/>
      <c r="BR4" s="1141"/>
      <c r="BS4" s="1141"/>
      <c r="BT4" s="1141"/>
      <c r="BU4" s="1141"/>
      <c r="BV4" s="1141"/>
      <c r="BW4" s="1141"/>
      <c r="BX4" s="1141"/>
      <c r="BY4" s="1141"/>
      <c r="BZ4" s="1141"/>
      <c r="CA4" s="1141"/>
      <c r="CB4" s="1141"/>
      <c r="CC4" s="1141"/>
      <c r="CD4" s="1141"/>
      <c r="CE4" s="1141"/>
      <c r="CF4" s="1141"/>
      <c r="CG4" s="1141"/>
      <c r="CH4" s="1141"/>
      <c r="CI4" s="1141"/>
      <c r="CJ4" s="1141"/>
      <c r="CK4" s="1141"/>
      <c r="CL4" s="1141"/>
      <c r="CM4" s="1141"/>
      <c r="CN4" s="1142"/>
      <c r="CO4" s="1110" t="s">
        <v>193</v>
      </c>
      <c r="CP4" s="1111"/>
      <c r="CQ4" s="1111"/>
      <c r="CR4" s="1111"/>
      <c r="CS4" s="1111"/>
      <c r="CT4" s="1111"/>
      <c r="CU4" s="1111"/>
      <c r="CV4" s="1111"/>
      <c r="CW4" s="1111"/>
      <c r="CX4" s="1111"/>
      <c r="CY4" s="1111"/>
      <c r="CZ4" s="1111"/>
      <c r="DA4" s="1112"/>
      <c r="DB4" s="1016" t="s">
        <v>162</v>
      </c>
      <c r="DC4" s="1017"/>
      <c r="DD4" s="1017"/>
      <c r="DE4" s="1017"/>
      <c r="DF4" s="1017"/>
      <c r="DG4" s="1017"/>
      <c r="DH4" s="1017"/>
      <c r="DI4" s="1017"/>
      <c r="DJ4" s="1017"/>
      <c r="DK4" s="1017"/>
      <c r="DL4" s="1017"/>
      <c r="DM4" s="1017"/>
      <c r="DN4" s="1017"/>
      <c r="DO4" s="1017"/>
      <c r="DP4" s="1017"/>
      <c r="DQ4" s="1017"/>
      <c r="DR4" s="1017"/>
      <c r="DS4" s="1017"/>
      <c r="DT4" s="1017"/>
      <c r="DU4" s="1017"/>
      <c r="DV4" s="1017"/>
      <c r="DW4" s="1017"/>
      <c r="DX4" s="1017"/>
      <c r="DY4" s="1017"/>
      <c r="DZ4" s="1017"/>
      <c r="EA4" s="1017"/>
      <c r="EB4" s="1017"/>
      <c r="EC4" s="1017"/>
      <c r="ED4" s="1017"/>
      <c r="EE4" s="1017"/>
      <c r="EF4" s="1017"/>
      <c r="EG4" s="1017"/>
      <c r="EH4" s="1017"/>
      <c r="EI4" s="1017"/>
      <c r="EJ4" s="1017"/>
      <c r="EK4" s="1017"/>
      <c r="EL4" s="1017"/>
      <c r="EM4" s="1017"/>
      <c r="EN4" s="1017"/>
      <c r="EO4" s="1017"/>
      <c r="EP4" s="1017"/>
      <c r="EQ4" s="1017"/>
      <c r="ER4" s="1018"/>
      <c r="ES4" s="1069" t="s">
        <v>196</v>
      </c>
      <c r="ET4" s="1070"/>
      <c r="EU4" s="1070"/>
      <c r="EV4" s="1070"/>
      <c r="EW4" s="1070"/>
      <c r="EX4" s="1070"/>
      <c r="EY4" s="1071"/>
      <c r="EZ4" s="1079" t="s">
        <v>201</v>
      </c>
      <c r="FA4" s="1080"/>
      <c r="FB4" s="1080"/>
      <c r="FC4" s="1080"/>
      <c r="FD4" s="1080"/>
      <c r="FE4" s="1080"/>
      <c r="FF4" s="1081"/>
      <c r="FG4" s="350"/>
      <c r="FP4" s="990" t="s">
        <v>229</v>
      </c>
      <c r="FZ4" s="990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8"/>
      <c r="GO4" s="970" t="s">
        <v>229</v>
      </c>
      <c r="GP4" s="974" t="s">
        <v>228</v>
      </c>
      <c r="GR4" s="980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3" t="str">
        <f>IFERROR(CONCATENATE("Lateral Forces = ",ROUND(HE3,0)," lbs @ ",ROUND(HF3,1),"° Relative to Blade 1"),"")</f>
        <v/>
      </c>
      <c r="HB4" s="1004"/>
      <c r="HC4" s="1004"/>
      <c r="HD4" s="1004"/>
      <c r="HE4" s="1004"/>
      <c r="HF4" s="1004"/>
      <c r="HG4" s="1004"/>
      <c r="HH4" s="1005"/>
      <c r="HI4" s="1011" t="s">
        <v>0</v>
      </c>
      <c r="HO4" s="992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M5" s="1203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about Z Axis")</f>
        <v>Relative to 1.112's θ about Z Axis</v>
      </c>
      <c r="U5" s="1130"/>
      <c r="V5" s="1175"/>
      <c r="W5" s="1130" t="str">
        <f>CONCATENATE("Relative to ",M8,"'s θ about Z Axis")</f>
        <v>Relative to 1.112's θ about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176">
        <f>(((AS4*12)/60)/AS3)</f>
        <v>1.36</v>
      </c>
      <c r="AT5" s="486" t="s">
        <v>47</v>
      </c>
      <c r="AV5" s="1156"/>
      <c r="AW5" s="1134"/>
      <c r="AX5" s="1135"/>
      <c r="AY5" s="1136"/>
      <c r="AZ5" s="987"/>
      <c r="BA5" s="895"/>
      <c r="BB5" s="1121"/>
      <c r="BC5" s="1129" t="str">
        <f>$W$5</f>
        <v>Relative to 1.112's θ about Z Axis</v>
      </c>
      <c r="BD5" s="1130"/>
      <c r="BE5" s="1131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7" t="s">
        <v>275</v>
      </c>
      <c r="CP5" s="1037" t="s">
        <v>149</v>
      </c>
      <c r="CQ5" s="978"/>
      <c r="CR5" s="978"/>
      <c r="CS5" s="920"/>
      <c r="CT5" s="978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3" t="s">
        <v>173</v>
      </c>
      <c r="DJ5" s="1043"/>
      <c r="DK5" s="1103"/>
      <c r="DL5" s="1042" t="s">
        <v>174</v>
      </c>
      <c r="DM5" s="1043"/>
      <c r="DN5" s="1044"/>
      <c r="DO5" s="1105" t="s">
        <v>175</v>
      </c>
      <c r="DP5" s="1106"/>
      <c r="DQ5" s="1106"/>
      <c r="DR5" s="1033" t="s">
        <v>187</v>
      </c>
      <c r="DS5" s="1033"/>
      <c r="DT5" s="1033"/>
      <c r="DU5" s="1033"/>
      <c r="DV5" s="1033"/>
      <c r="DW5" s="1033"/>
      <c r="DX5" s="1037" t="s">
        <v>190</v>
      </c>
      <c r="DY5" s="941" t="s">
        <v>149</v>
      </c>
      <c r="DZ5" s="1033"/>
      <c r="EA5" s="1033"/>
      <c r="EB5" s="1033"/>
      <c r="EC5" s="1033" t="s">
        <v>150</v>
      </c>
      <c r="ED5" s="1033"/>
      <c r="EE5" s="980" t="s">
        <v>194</v>
      </c>
      <c r="EF5" s="980"/>
      <c r="EG5" s="993"/>
      <c r="EH5" s="1048" t="s">
        <v>195</v>
      </c>
      <c r="EI5" s="1049"/>
      <c r="EJ5" s="1050"/>
      <c r="EK5" s="1033" t="s">
        <v>188</v>
      </c>
      <c r="EL5" s="1037"/>
      <c r="EM5" s="919" t="s">
        <v>189</v>
      </c>
      <c r="EN5" s="887"/>
      <c r="EO5" s="887"/>
      <c r="EP5" s="887"/>
      <c r="EQ5" s="887"/>
      <c r="ER5" s="1096"/>
      <c r="ES5" s="1075" t="s">
        <v>202</v>
      </c>
      <c r="ET5" s="978"/>
      <c r="EU5" s="920"/>
      <c r="EV5" s="1072" t="s">
        <v>222</v>
      </c>
      <c r="EW5" s="1073"/>
      <c r="EX5" s="1073"/>
      <c r="EY5" s="1074"/>
      <c r="EZ5" s="1064" t="s">
        <v>200</v>
      </c>
      <c r="FA5" s="914" t="s">
        <v>202</v>
      </c>
      <c r="FB5" s="1089"/>
      <c r="FC5" s="915"/>
      <c r="FD5" s="1093" t="s">
        <v>222</v>
      </c>
      <c r="FE5" s="1094"/>
      <c r="FF5" s="1095"/>
      <c r="FP5" s="992"/>
      <c r="FQ5" s="34"/>
      <c r="FR5" s="34"/>
      <c r="FS5" s="34"/>
      <c r="FT5" s="34"/>
      <c r="FZ5" s="992"/>
      <c r="GJ5" s="966" t="s">
        <v>269</v>
      </c>
      <c r="GK5" s="1021" t="s">
        <v>267</v>
      </c>
      <c r="GL5" s="1023" t="s">
        <v>110</v>
      </c>
      <c r="GM5" s="1023" t="s">
        <v>111</v>
      </c>
      <c r="GN5" s="1024"/>
      <c r="GO5" s="971"/>
      <c r="GP5" s="975"/>
      <c r="GQ5" s="34"/>
      <c r="GR5" s="981"/>
      <c r="GS5" s="987" t="s">
        <v>248</v>
      </c>
      <c r="GT5" s="988"/>
      <c r="GU5" s="983" t="s">
        <v>249</v>
      </c>
      <c r="GV5" s="984"/>
      <c r="GW5" s="985"/>
      <c r="GX5" s="986"/>
      <c r="GY5" s="969" t="s">
        <v>107</v>
      </c>
      <c r="GZ5" s="897"/>
      <c r="HA5" s="1000" t="s">
        <v>248</v>
      </c>
      <c r="HB5" s="1001"/>
      <c r="HC5" s="1001"/>
      <c r="HD5" s="1002"/>
      <c r="HE5" s="1031" t="s">
        <v>249</v>
      </c>
      <c r="HF5" s="1001"/>
      <c r="HG5" s="1001"/>
      <c r="HH5" s="1032"/>
      <c r="HI5" s="1012"/>
      <c r="HN5" s="393" t="s">
        <v>263</v>
      </c>
      <c r="HO5" s="63" t="s">
        <v>264</v>
      </c>
      <c r="HS5" s="1006" t="s">
        <v>274</v>
      </c>
      <c r="HZ5" s="390"/>
      <c r="IR5">
        <f>IR19*2</f>
        <v>0.628</v>
      </c>
      <c r="IS5">
        <f>IS19*2</f>
        <v>0.59682833578284955</v>
      </c>
      <c r="IW5">
        <f>IW19*2</f>
        <v>0.51400000000000001</v>
      </c>
      <c r="IX5">
        <f>IX19*2</f>
        <v>0.51400000000000001</v>
      </c>
    </row>
    <row r="6" spans="1:259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M6" s="1203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$Q$6</f>
        <v>Projected XY</v>
      </c>
      <c r="X6" s="1126"/>
      <c r="Y6" s="1169" t="str">
        <f>$S$6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179" t="str">
        <f>AD6</f>
        <v>Unit Vector</v>
      </c>
      <c r="AL6" s="1180"/>
      <c r="AM6" s="1181"/>
      <c r="AN6" s="190" t="s">
        <v>15</v>
      </c>
      <c r="AO6" s="191" t="s">
        <v>16</v>
      </c>
      <c r="AP6" s="803" t="s">
        <v>17</v>
      </c>
      <c r="AQ6" s="1161" t="s">
        <v>108</v>
      </c>
      <c r="AS6" s="177">
        <f>(AS5/360)</f>
        <v>3.7777777777777779E-3</v>
      </c>
      <c r="AT6" s="487" t="s">
        <v>48</v>
      </c>
      <c r="AV6" s="1156"/>
      <c r="AW6" s="1145" t="s">
        <v>105</v>
      </c>
      <c r="AX6" s="1146"/>
      <c r="AY6" s="202" t="s">
        <v>110</v>
      </c>
      <c r="AZ6" s="1132" t="s">
        <v>111</v>
      </c>
      <c r="BA6" s="1133"/>
      <c r="BB6" s="1122"/>
      <c r="BC6" s="1125" t="str">
        <f>$Q$6</f>
        <v>Projected XY</v>
      </c>
      <c r="BD6" s="1126"/>
      <c r="BE6" s="1127" t="str">
        <f>$S$6</f>
        <v>Z</v>
      </c>
      <c r="BF6" s="872" t="s">
        <v>125</v>
      </c>
      <c r="BG6" s="865"/>
      <c r="BH6" s="965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5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8"/>
      <c r="CH6" s="1098"/>
      <c r="CI6" s="1100" t="s">
        <v>137</v>
      </c>
      <c r="CJ6" s="1098"/>
      <c r="CK6" s="875"/>
      <c r="CL6" s="1097" t="s">
        <v>140</v>
      </c>
      <c r="CM6" s="1098"/>
      <c r="CN6" s="1099"/>
      <c r="CO6" s="1038"/>
      <c r="CP6" s="1038"/>
      <c r="CQ6" s="1077"/>
      <c r="CR6" s="1077"/>
      <c r="CS6" s="1078"/>
      <c r="CT6" s="1077"/>
      <c r="CU6" s="1113"/>
      <c r="CV6" s="1139" t="s">
        <v>147</v>
      </c>
      <c r="CW6" s="865"/>
      <c r="CX6" s="866"/>
      <c r="CY6" s="1137" t="s">
        <v>148</v>
      </c>
      <c r="CZ6" s="996"/>
      <c r="DA6" s="1138"/>
      <c r="DB6" s="1101" t="s">
        <v>176</v>
      </c>
      <c r="DC6" s="1029"/>
      <c r="DD6" s="1030"/>
      <c r="DE6" s="1102" t="s">
        <v>177</v>
      </c>
      <c r="DF6" s="1029"/>
      <c r="DG6" s="1030"/>
      <c r="DH6" s="260" t="s">
        <v>29</v>
      </c>
      <c r="DI6" s="1046"/>
      <c r="DJ6" s="1046"/>
      <c r="DK6" s="1104"/>
      <c r="DL6" s="1045"/>
      <c r="DM6" s="1046"/>
      <c r="DN6" s="1047"/>
      <c r="DO6" s="1107"/>
      <c r="DP6" s="1108"/>
      <c r="DQ6" s="1108"/>
      <c r="DR6" s="1034"/>
      <c r="DS6" s="1034"/>
      <c r="DT6" s="1034"/>
      <c r="DU6" s="1034"/>
      <c r="DV6" s="1034"/>
      <c r="DW6" s="1034"/>
      <c r="DX6" s="1038"/>
      <c r="DY6" s="1109"/>
      <c r="DZ6" s="1034"/>
      <c r="EA6" s="1034"/>
      <c r="EB6" s="1034"/>
      <c r="EC6" s="1034"/>
      <c r="ED6" s="1034"/>
      <c r="EE6" s="1035"/>
      <c r="EF6" s="1035"/>
      <c r="EG6" s="1036"/>
      <c r="EH6" s="1051"/>
      <c r="EI6" s="1052"/>
      <c r="EJ6" s="1053"/>
      <c r="EK6" s="1034"/>
      <c r="EL6" s="1038"/>
      <c r="EM6" s="1039" t="s">
        <v>199</v>
      </c>
      <c r="EN6" s="1040"/>
      <c r="EO6" s="1041"/>
      <c r="EP6" s="1082" t="s">
        <v>198</v>
      </c>
      <c r="EQ6" s="1040"/>
      <c r="ER6" s="1084"/>
      <c r="ES6" s="1076"/>
      <c r="ET6" s="1077"/>
      <c r="EU6" s="1078"/>
      <c r="EV6" s="281" t="s">
        <v>221</v>
      </c>
      <c r="EW6" s="1082" t="s">
        <v>202</v>
      </c>
      <c r="EX6" s="1040"/>
      <c r="EY6" s="1083"/>
      <c r="EZ6" s="1065"/>
      <c r="FA6" s="1090"/>
      <c r="FB6" s="1091"/>
      <c r="FC6" s="1092"/>
      <c r="FD6" s="1039" t="s">
        <v>202</v>
      </c>
      <c r="FE6" s="1040"/>
      <c r="FF6" s="1084"/>
      <c r="FG6" s="1086" t="s">
        <v>224</v>
      </c>
      <c r="FH6" s="1087"/>
      <c r="FI6" s="1088"/>
      <c r="FJ6" s="1033" t="s">
        <v>203</v>
      </c>
      <c r="FK6" s="1037" t="s">
        <v>214</v>
      </c>
      <c r="FL6" s="978"/>
      <c r="FM6" s="920"/>
      <c r="FN6" s="1019" t="s">
        <v>204</v>
      </c>
      <c r="FO6" s="1067" t="s">
        <v>227</v>
      </c>
      <c r="FP6" s="106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7" t="s">
        <v>218</v>
      </c>
      <c r="FV6" s="978"/>
      <c r="FW6" s="920"/>
      <c r="FX6" s="1019" t="s">
        <v>219</v>
      </c>
      <c r="FY6" s="1067" t="s">
        <v>227</v>
      </c>
      <c r="FZ6" s="1060" t="s">
        <v>225</v>
      </c>
      <c r="GA6" s="1062" t="s">
        <v>239</v>
      </c>
      <c r="GB6" s="343" t="s">
        <v>207</v>
      </c>
      <c r="GC6" s="344" t="s">
        <v>240</v>
      </c>
      <c r="GD6" s="345" t="s">
        <v>226</v>
      </c>
      <c r="GE6" s="963"/>
      <c r="GF6" s="993" t="s">
        <v>260</v>
      </c>
      <c r="GG6" s="343" t="s">
        <v>207</v>
      </c>
      <c r="GH6" s="344" t="s">
        <v>240</v>
      </c>
      <c r="GI6" s="345" t="s">
        <v>226</v>
      </c>
      <c r="GJ6" s="967"/>
      <c r="GK6" s="1022"/>
      <c r="GL6" s="1025"/>
      <c r="GM6" s="1025"/>
      <c r="GN6" s="1026"/>
      <c r="GO6" s="972" t="s">
        <v>238</v>
      </c>
      <c r="GP6" s="976" t="s">
        <v>225</v>
      </c>
      <c r="GQ6" s="978" t="s">
        <v>203</v>
      </c>
      <c r="GR6" s="981"/>
      <c r="GS6" s="1009" t="s">
        <v>252</v>
      </c>
      <c r="GT6" s="1010"/>
      <c r="GU6" s="995" t="s">
        <v>251</v>
      </c>
      <c r="GV6" s="996"/>
      <c r="GW6" s="996"/>
      <c r="GX6" s="368" t="s">
        <v>106</v>
      </c>
      <c r="GY6" s="878" t="s">
        <v>250</v>
      </c>
      <c r="GZ6" s="965"/>
      <c r="HA6" s="1028" t="s">
        <v>252</v>
      </c>
      <c r="HB6" s="1029"/>
      <c r="HC6" s="1029"/>
      <c r="HD6" s="1030"/>
      <c r="HE6" s="878" t="s">
        <v>251</v>
      </c>
      <c r="HF6" s="865"/>
      <c r="HG6" s="865"/>
      <c r="HH6" s="868"/>
      <c r="HI6" s="1012"/>
      <c r="HN6" s="958" t="s">
        <v>238</v>
      </c>
      <c r="HO6" s="961" t="s">
        <v>265</v>
      </c>
      <c r="HP6" s="941" t="s">
        <v>203</v>
      </c>
      <c r="HQ6" s="398"/>
      <c r="HS6" s="1007"/>
      <c r="HT6" s="888" t="s">
        <v>270</v>
      </c>
      <c r="HU6" s="885"/>
      <c r="HV6" s="968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2" t="s">
        <v>40</v>
      </c>
      <c r="C7" s="1213"/>
      <c r="D7" s="1214"/>
      <c r="E7" s="1215" t="s">
        <v>41</v>
      </c>
      <c r="F7" s="1213"/>
      <c r="G7" s="1216"/>
      <c r="H7" s="1190" t="s">
        <v>98</v>
      </c>
      <c r="I7" s="1191"/>
      <c r="J7" s="1192"/>
      <c r="K7" s="178"/>
      <c r="L7" s="327"/>
      <c r="M7" s="1209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$Q$7</f>
        <v>&lt; θ°</v>
      </c>
      <c r="X7" s="30" t="str">
        <f>$R$7</f>
        <v>r</v>
      </c>
      <c r="Y7" s="117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2"/>
      <c r="AS7" s="1167" t="s">
        <v>54</v>
      </c>
      <c r="AT7" s="1165" t="s">
        <v>53</v>
      </c>
      <c r="AV7" s="1156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2"/>
      <c r="BC7" s="40" t="str">
        <f>$Q$7</f>
        <v>&lt; θ°</v>
      </c>
      <c r="BD7" s="30" t="str">
        <f>$R$7</f>
        <v>r</v>
      </c>
      <c r="BE7" s="112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6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5"/>
      <c r="FK7" s="357" t="s">
        <v>211</v>
      </c>
      <c r="FL7" s="358" t="s">
        <v>212</v>
      </c>
      <c r="FM7" s="359" t="s">
        <v>213</v>
      </c>
      <c r="FN7" s="1020"/>
      <c r="FO7" s="1068"/>
      <c r="FP7" s="106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0"/>
      <c r="FY7" s="1068"/>
      <c r="FZ7" s="1061"/>
      <c r="GA7" s="1063"/>
      <c r="GB7" s="230" t="s">
        <v>232</v>
      </c>
      <c r="GC7" s="136" t="s">
        <v>233</v>
      </c>
      <c r="GD7" s="231" t="s">
        <v>234</v>
      </c>
      <c r="GE7" s="964"/>
      <c r="GF7" s="994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3"/>
      <c r="GP7" s="977"/>
      <c r="GQ7" s="979"/>
      <c r="GR7" s="982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3"/>
      <c r="HJ7" s="34"/>
      <c r="HK7" s="990" t="s">
        <v>246</v>
      </c>
      <c r="HL7" s="990" t="s">
        <v>237</v>
      </c>
      <c r="HM7" s="909" t="s">
        <v>245</v>
      </c>
      <c r="HN7" s="959"/>
      <c r="HO7" s="989"/>
      <c r="HP7" s="1014"/>
      <c r="HQ7" s="399"/>
      <c r="HR7" s="419"/>
      <c r="HS7" s="1007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1.1120000000000001</v>
      </c>
      <c r="N8" s="477"/>
      <c r="O8" s="478"/>
      <c r="P8" s="479"/>
      <c r="Q8" s="643">
        <f>IFERROR(INDEX(Q$9:Q$150,MATCH($M$8,$M$9:$M$150,0)),"")</f>
        <v>88.930000154488866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-3.2700098623497501E-2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8"/>
      <c r="AT8" s="116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7"/>
      <c r="HL8" s="1027"/>
      <c r="HM8" s="921"/>
      <c r="HN8" s="960"/>
      <c r="HO8" s="962"/>
      <c r="HP8" s="1015"/>
      <c r="HQ8" s="400" t="s">
        <v>49</v>
      </c>
      <c r="HR8" s="420" t="s">
        <v>51</v>
      </c>
      <c r="HS8" s="1008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0.34200103147511102</v>
      </c>
      <c r="D9" s="767">
        <v>-0.38320115573468572</v>
      </c>
      <c r="E9" s="768">
        <v>-0.93969263802333458</v>
      </c>
      <c r="F9" s="766">
        <v>-5.3503723084143334E-2</v>
      </c>
      <c r="G9" s="769">
        <v>0.33780926224850866</v>
      </c>
      <c r="H9" s="768">
        <v>0.314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1613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0.34200103147511102</v>
      </c>
      <c r="P9" s="25">
        <f t="shared" ref="P9:P40" si="4">IF(M9="","",D9)</f>
        <v>-0.38320115573468572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0.34200103147511102</v>
      </c>
      <c r="S9" s="23">
        <f>IF(M9="","",P9)</f>
        <v>-0.38320115573468572</v>
      </c>
      <c r="T9" s="26">
        <f>IF(M9="","",X9*COS(RADIANS(W9)))</f>
        <v>0.34194139568694315</v>
      </c>
      <c r="U9" s="20">
        <f>IF(M9="","",X9*SIN(RADIANS(W9)))</f>
        <v>6.3865049679180247E-3</v>
      </c>
      <c r="V9" s="28">
        <f>IF(M9="","",Y9)</f>
        <v>-0.38320115573468572</v>
      </c>
      <c r="W9" s="620">
        <f t="shared" ref="W9:W14" si="5">IF(M9="","",IF(Q9-$Q$8&lt;0,360+Q9-$Q$8,Q9-$Q$8))</f>
        <v>1.0699998455111341</v>
      </c>
      <c r="X9" s="5">
        <f>IF(M9="","",R9)</f>
        <v>0.34200103147511102</v>
      </c>
      <c r="Y9" s="7">
        <f>IF(M9="","",S9)</f>
        <v>-0.38320115573468572</v>
      </c>
      <c r="Z9" s="24">
        <f t="shared" ref="Z9:Z40" si="6">IF(M9="","",-E9)</f>
        <v>0.93969263802333458</v>
      </c>
      <c r="AA9" s="20">
        <f t="shared" ref="AA9:AA40" si="7">IF(M9="","",-F9)</f>
        <v>5.3503723084143334E-2</v>
      </c>
      <c r="AB9" s="20">
        <f t="shared" ref="AB9:AB40" si="8">IF(M9="","",-G9)</f>
        <v>-0.33780926224850866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5.3503723084143334E-2</v>
      </c>
      <c r="AF9" s="25">
        <f>IF(M9="","",AB9*(1/SQRT(Z9^2+AA9^2+AB9^2)))</f>
        <v>-0.33780926224850866</v>
      </c>
      <c r="AG9" s="618">
        <f>IF(M9="","",DEGREES(ATAN2(-AF9,AE9)))</f>
        <v>8.9999987005609636</v>
      </c>
      <c r="AH9" s="619">
        <f>IF(M9="","",DEGREES(ACOS(AD9)))</f>
        <v>19.999997112357679</v>
      </c>
      <c r="AI9" s="620">
        <f>IF(M9="","",DEGREES(-ACOS(-AF9)))</f>
        <v>-70.256541427921746</v>
      </c>
      <c r="AJ9" s="621">
        <f>IF(M9="","",DEGREES(ATAN2(-AE9,AD9)))</f>
        <v>93.258758373305042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5.3503723084143334E-2</v>
      </c>
      <c r="AM9" s="23">
        <f>IF(M9="","",AF9)</f>
        <v>-0.33780926224850866</v>
      </c>
      <c r="AN9" s="612">
        <f>IF(M9="","",DEGREES(ATAN2(-AM9,AL9)))</f>
        <v>8.9999987005609636</v>
      </c>
      <c r="AO9" s="613">
        <f>IF(ROUND(IF(M9="",0,DEGREES(ACOS(AK9))),4)=90,0,IF(M9="","",DEGREES(ACOS(AK9))))</f>
        <v>19.999997112357679</v>
      </c>
      <c r="AP9" s="640">
        <f>IF(M9="","",DEGREES(ATAN2(AK9,AL9)))</f>
        <v>3.2587583733050418</v>
      </c>
      <c r="AQ9" s="641">
        <f t="shared" ref="AQ9:AQ40" si="9">IF(M9="","",DEGREES(ATAN(($AS$5*SIN(RADIANS(90)))/(($X9*2*PI())-($AS$5*COS(RADIANS(90)))))))</f>
        <v>32.329512720551975</v>
      </c>
      <c r="AS9" s="55">
        <f>IF(M9="","",W9)</f>
        <v>1.0699998455111341</v>
      </c>
      <c r="AT9" s="76">
        <f t="shared" ref="AT9:AT40" si="10">IF(M9="","",Y9+(((AS9-$AS$9)*$AS$6)*-1))</f>
        <v>-0.38320115573468572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0</v>
      </c>
      <c r="C10" s="771">
        <v>1.0703032280345357</v>
      </c>
      <c r="D10" s="772">
        <v>-0.26790080798883692</v>
      </c>
      <c r="E10" s="773">
        <v>-0.95105653031184811</v>
      </c>
      <c r="F10" s="771">
        <v>-4.8340894532903508E-2</v>
      </c>
      <c r="G10" s="774">
        <v>0.30521244087839472</v>
      </c>
      <c r="H10" s="773">
        <v>0.314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1613</v>
      </c>
      <c r="L10" s="855" t="s">
        <v>376</v>
      </c>
      <c r="M10" s="173">
        <f t="shared" si="1"/>
        <v>1.1040000000000001</v>
      </c>
      <c r="N10" s="21">
        <f t="shared" si="2"/>
        <v>0</v>
      </c>
      <c r="O10" s="5">
        <f t="shared" si="3"/>
        <v>1.0703032280345357</v>
      </c>
      <c r="P10" s="10">
        <f t="shared" si="4"/>
        <v>-0.26790080798883692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1.0703032280345357</v>
      </c>
      <c r="S10" s="6">
        <f t="shared" ref="S10:S105" si="84">IF(M10="","",P10)</f>
        <v>-0.26790080798883692</v>
      </c>
      <c r="T10" s="4">
        <f t="shared" ref="T10:T105" si="85">IF(M10="","",X10*COS(RADIANS(W10)))</f>
        <v>1.0701165959173542</v>
      </c>
      <c r="U10" s="5">
        <f t="shared" ref="U10:U105" si="86">IF(M10="","",X10*SIN(RADIANS(W10)))</f>
        <v>1.9986772711001927E-2</v>
      </c>
      <c r="V10" s="8">
        <f>IF(M10="","",Y10)</f>
        <v>-0.26790080798883692</v>
      </c>
      <c r="W10" s="624">
        <f t="shared" si="5"/>
        <v>1.0699998455111341</v>
      </c>
      <c r="X10" s="5">
        <f t="shared" ref="X10:X105" si="87">IF(M10="","",R10)</f>
        <v>1.0703032280345357</v>
      </c>
      <c r="Y10" s="7">
        <f>IF(M10="","",S10)</f>
        <v>-0.26790080798883692</v>
      </c>
      <c r="Z10" s="21">
        <f t="shared" si="6"/>
        <v>0.95105653031184811</v>
      </c>
      <c r="AA10" s="5">
        <f t="shared" si="7"/>
        <v>4.8340894532903508E-2</v>
      </c>
      <c r="AB10" s="5">
        <f t="shared" si="8"/>
        <v>-0.30521244087839472</v>
      </c>
      <c r="AC10" s="8">
        <f t="shared" ref="AC10:AC105" si="88">IF(M10="","",SQRT(Z10^2+AA10^2+AB10^2))</f>
        <v>1</v>
      </c>
      <c r="AD10" s="9">
        <f>IF(M10="","",Z10*(1/SQRT(Z10^2+AA10^2+AB10^2)))</f>
        <v>0.95105653031184811</v>
      </c>
      <c r="AE10" s="5">
        <f t="shared" ref="AE10:AE105" si="89">IF(M10="","",AA10*(1/SQRT(Z10^2+AA10^2+AB10^2)))</f>
        <v>4.8340894532903508E-2</v>
      </c>
      <c r="AF10" s="10">
        <f t="shared" ref="AF10:AF105" si="90">IF(M10="","",AB10*(1/SQRT(Z10^2+AA10^2+AB10^2)))</f>
        <v>-0.30521244087839472</v>
      </c>
      <c r="AG10" s="622">
        <f t="shared" ref="AG10:AG105" si="91">IF(M10="","",DEGREES(ATAN2(-AF10,AE10)))</f>
        <v>8.9999987005609636</v>
      </c>
      <c r="AH10" s="623">
        <f t="shared" ref="AH10:AH105" si="92">IF(M10="","",DEGREES(ACOS(AD10)))</f>
        <v>17.999997401121902</v>
      </c>
      <c r="AI10" s="624">
        <f t="shared" ref="AI10:AI105" si="93">IF(M10="","",DEGREES(-ACOS(-AF10)))</f>
        <v>-72.229054688919192</v>
      </c>
      <c r="AJ10" s="625">
        <f t="shared" ref="AJ10:AJ105" si="94">IF(M10="","",DEGREES(ATAN2(-AE10,AD10)))</f>
        <v>92.909761505573826</v>
      </c>
      <c r="AK10" s="4">
        <f>IF(M10="","",(COS(RADIANS((90-$Q$8)-W10))*AD10)+(-SIN(RADIANS((90-$Q$8)-W10))*AE10))</f>
        <v>0.95105653031184811</v>
      </c>
      <c r="AL10" s="5">
        <f t="shared" ref="AL10:AL105" si="95">IF(M10="","",(SIN(RADIANS((90-$Q$8)-W10))*AD10)+(COS(RADIANS((90-$Q$8)-W10))*AE10))</f>
        <v>4.8340894532903508E-2</v>
      </c>
      <c r="AM10" s="6">
        <f t="shared" ref="AM10:AM105" si="96">IF(M10="","",AF10)</f>
        <v>-0.30521244087839472</v>
      </c>
      <c r="AN10" s="612">
        <f t="shared" ref="AN10:AN105" si="97">IF(M10="","",DEGREES(ATAN2(-AM10,AL10)))</f>
        <v>8.9999987005609636</v>
      </c>
      <c r="AO10" s="613">
        <f t="shared" ref="AO10:AO54" si="98">IF(ROUND(IF(M10="",0,DEGREES(ACOS(AK10))),4)=90,0,IF(M10="","",DEGREES(ACOS(AK10))))</f>
        <v>17.999997401121902</v>
      </c>
      <c r="AP10" s="624">
        <f t="shared" ref="AP10:AP105" si="99">IF(M10="","",DEGREES(ATAN2(AK10,AL10)))</f>
        <v>2.9097615055738268</v>
      </c>
      <c r="AQ10" s="625">
        <f t="shared" si="9"/>
        <v>11.432904752594331</v>
      </c>
      <c r="AS10" s="56">
        <f>IF($M10="","",IF(AND($W10&lt;($AS$9+180),$W10&gt;($AS$9-180)),$W10,IF($W10&gt;($AS$9+180),$W10-360,IF($W10&lt;($AS$9-180),$W10+360,"Error"))))</f>
        <v>1.0699998455111341</v>
      </c>
      <c r="AT10" s="77">
        <f t="shared" si="10"/>
        <v>-0.26790080798883692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4.1160706230363615E-3</v>
      </c>
      <c r="C11" s="771">
        <v>1.8141008018067726</v>
      </c>
      <c r="D11" s="772">
        <v>-0.15010045270296538</v>
      </c>
      <c r="E11" s="773">
        <v>-0.95083829046286139</v>
      </c>
      <c r="F11" s="771">
        <v>-2.2555379785505012E-2</v>
      </c>
      <c r="G11" s="774">
        <v>0.30886534320378994</v>
      </c>
      <c r="H11" s="773">
        <v>0.314</v>
      </c>
      <c r="I11" s="771">
        <v>0.52</v>
      </c>
      <c r="J11" s="601">
        <v>1.107</v>
      </c>
      <c r="K11" s="426" t="str">
        <f t="shared" si="82"/>
        <v>1613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1"/>
        <v>1.107</v>
      </c>
      <c r="N11" s="21">
        <f t="shared" si="2"/>
        <v>4.1160706230363615E-3</v>
      </c>
      <c r="O11" s="5">
        <f t="shared" si="3"/>
        <v>1.8141008018067726</v>
      </c>
      <c r="P11" s="10">
        <f t="shared" si="4"/>
        <v>-0.15010045270296538</v>
      </c>
      <c r="Q11" s="624">
        <f t="shared" ref="Q11:Q73" si="116">IF(M11="","",IF(DEGREES(ATAN2(N11,O11))&lt;0,DEGREES(ATAN2(N11,O11))+360,IF(DEGREES(ATAN2(N11,O11))&gt;360,DEGREES(ATAN2(N11,O11))-360,DEGREES(ATAN2(N11,O11)))))</f>
        <v>89.870000018769687</v>
      </c>
      <c r="R11" s="5">
        <f t="shared" si="83"/>
        <v>1.8141054713421016</v>
      </c>
      <c r="S11" s="6">
        <f t="shared" si="84"/>
        <v>-0.15010045270296538</v>
      </c>
      <c r="T11" s="4">
        <f t="shared" si="85"/>
        <v>1.8138613346177523</v>
      </c>
      <c r="U11" s="5">
        <f t="shared" si="86"/>
        <v>2.9761047227124516E-2</v>
      </c>
      <c r="V11" s="8">
        <f t="shared" ref="V11:V105" si="117">IF(M11="","",Y11)</f>
        <v>-0.15010045270296538</v>
      </c>
      <c r="W11" s="624">
        <f t="shared" si="5"/>
        <v>0.93999986428082138</v>
      </c>
      <c r="X11" s="5">
        <f>IF(M11="","",R11)</f>
        <v>1.8141054713421016</v>
      </c>
      <c r="Y11" s="7">
        <f>IF(M11="","",S11)</f>
        <v>-0.15010045270296538</v>
      </c>
      <c r="Z11" s="21">
        <f t="shared" si="6"/>
        <v>0.95083829046286139</v>
      </c>
      <c r="AA11" s="5">
        <f t="shared" si="7"/>
        <v>2.2555379785505012E-2</v>
      </c>
      <c r="AB11" s="5">
        <f t="shared" si="8"/>
        <v>-0.30886534320378994</v>
      </c>
      <c r="AC11" s="8">
        <f t="shared" si="88"/>
        <v>1</v>
      </c>
      <c r="AD11" s="9">
        <f t="shared" ref="AD11:AD105" si="118">IF(M11="","",Z11*(1/SQRT(Z11^2+AA11^2+AB11^2)))</f>
        <v>0.95083829046286139</v>
      </c>
      <c r="AE11" s="5">
        <f t="shared" si="89"/>
        <v>2.2555379785505012E-2</v>
      </c>
      <c r="AF11" s="10">
        <f t="shared" si="90"/>
        <v>-0.30886534320378994</v>
      </c>
      <c r="AG11" s="622">
        <f>IF(M11="","",DEGREES(ATAN2(-AF11,AE11)))</f>
        <v>4.1767007556545224</v>
      </c>
      <c r="AH11" s="623">
        <f t="shared" si="92"/>
        <v>18.040418042262775</v>
      </c>
      <c r="AI11" s="624">
        <f t="shared" si="93"/>
        <v>-72.009135889272983</v>
      </c>
      <c r="AJ11" s="625">
        <f t="shared" si="94"/>
        <v>91.358891157957402</v>
      </c>
      <c r="AK11" s="4">
        <f>IF(M11="","",(COS(RADIANS((90-$Q$8)-W11))*AD11)+(-SIN(RADIANS((90-$Q$8)-W11))*AE11))</f>
        <v>0.95078466650843707</v>
      </c>
      <c r="AL11" s="5">
        <f t="shared" si="95"/>
        <v>2.4712703212016598E-2</v>
      </c>
      <c r="AM11" s="6">
        <f t="shared" si="96"/>
        <v>-0.30886534320378994</v>
      </c>
      <c r="AN11" s="612">
        <f>IF(M11="","",DEGREES(ATAN2(-AM11,AL11)))</f>
        <v>4.5745619259070445</v>
      </c>
      <c r="AO11" s="613">
        <f>IF(ROUND(IF(M11="",0,DEGREES(ACOS(AK11))),4)=90,0,IF(M11="","",DEGREES(ACOS(AK11))))</f>
        <v>18.050336449820506</v>
      </c>
      <c r="AP11" s="624">
        <f t="shared" si="99"/>
        <v>1.4888911391877075</v>
      </c>
      <c r="AQ11" s="625">
        <f t="shared" si="9"/>
        <v>6.8041024959303007</v>
      </c>
      <c r="AS11" s="56">
        <f t="shared" ref="AS11:AS42" si="119">IF(G11="","",IF(AND(W11&lt;(AS10+180),W11&gt;(AS10-180)),W11,IF(W11&gt;(AS10+180),W11-360,IF(W11&lt;(AS10-180),W11+360,"Error"))))</f>
        <v>0.93999986428082138</v>
      </c>
      <c r="AT11" s="77">
        <f t="shared" si="10"/>
        <v>-0.14960934166276196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4.8061250982253396E-2</v>
      </c>
      <c r="C12" s="771">
        <v>2.5732589768406013</v>
      </c>
      <c r="D12" s="772">
        <v>-3.2700098623497501E-2</v>
      </c>
      <c r="E12" s="773">
        <v>-0.95763056682876135</v>
      </c>
      <c r="F12" s="771">
        <v>7.4210173948495925E-2</v>
      </c>
      <c r="G12" s="774">
        <v>0.27827423085467223</v>
      </c>
      <c r="H12" s="773">
        <v>0.314</v>
      </c>
      <c r="I12" s="771">
        <v>0.52</v>
      </c>
      <c r="J12" s="601">
        <v>1.1120000000000001</v>
      </c>
      <c r="K12" s="426" t="str">
        <f t="shared" si="82"/>
        <v>1613</v>
      </c>
      <c r="L12" s="858" t="s">
        <v>377</v>
      </c>
      <c r="M12" s="173">
        <f t="shared" si="1"/>
        <v>1.1120000000000001</v>
      </c>
      <c r="N12" s="21">
        <f t="shared" si="2"/>
        <v>4.8061250982253396E-2</v>
      </c>
      <c r="O12" s="5">
        <f t="shared" si="3"/>
        <v>2.5732589768406013</v>
      </c>
      <c r="P12" s="10">
        <f t="shared" si="4"/>
        <v>-3.2700098623497501E-2</v>
      </c>
      <c r="Q12" s="624">
        <f>IF(M12="","",IF(DEGREES(ATAN2(N12,O12))&lt;0,DEGREES(ATAN2(N12,O12))+360,IF(DEGREES(ATAN2(N12,O12))&gt;360,DEGREES(ATAN2(N12,O12))-360,DEGREES(ATAN2(N12,O12)))))</f>
        <v>88.930000154488866</v>
      </c>
      <c r="R12" s="5">
        <f t="shared" si="83"/>
        <v>2.5737077623026119</v>
      </c>
      <c r="S12" s="6">
        <f t="shared" si="84"/>
        <v>-3.2700098623497501E-2</v>
      </c>
      <c r="T12" s="4">
        <f>IF(M12="","",X12*COS(RADIANS(W12)))</f>
        <v>2.5737077623026119</v>
      </c>
      <c r="U12" s="5">
        <f t="shared" si="86"/>
        <v>0</v>
      </c>
      <c r="V12" s="8">
        <f t="shared" si="117"/>
        <v>-3.2700098623497501E-2</v>
      </c>
      <c r="W12" s="624">
        <f>IF(M12="","",IF(Q12-$Q$8&lt;0,360+Q12-$Q$8,Q12-$Q$8))</f>
        <v>0</v>
      </c>
      <c r="X12" s="5">
        <f t="shared" si="87"/>
        <v>2.5737077623026119</v>
      </c>
      <c r="Y12" s="7">
        <f>IF(M12="","",S12)</f>
        <v>-3.2700098623497501E-2</v>
      </c>
      <c r="Z12" s="21">
        <f t="shared" si="6"/>
        <v>0.95763056682876135</v>
      </c>
      <c r="AA12" s="5">
        <f t="shared" si="7"/>
        <v>-7.4210173948495925E-2</v>
      </c>
      <c r="AB12" s="5">
        <f t="shared" si="8"/>
        <v>-0.27827423085467223</v>
      </c>
      <c r="AC12" s="8">
        <f t="shared" si="88"/>
        <v>1</v>
      </c>
      <c r="AD12" s="9">
        <f t="shared" si="118"/>
        <v>0.95763056682876135</v>
      </c>
      <c r="AE12" s="5">
        <f t="shared" si="89"/>
        <v>-7.4210173948495925E-2</v>
      </c>
      <c r="AF12" s="10">
        <f t="shared" si="90"/>
        <v>-0.27827423085467223</v>
      </c>
      <c r="AG12" s="622">
        <f t="shared" si="91"/>
        <v>-14.932130798028696</v>
      </c>
      <c r="AH12" s="623">
        <f t="shared" si="92"/>
        <v>16.738225337227249</v>
      </c>
      <c r="AI12" s="624">
        <f t="shared" si="93"/>
        <v>-73.842767617640249</v>
      </c>
      <c r="AJ12" s="625">
        <f t="shared" si="94"/>
        <v>85.56880372132143</v>
      </c>
      <c r="AK12" s="4">
        <f t="shared" ref="AK12:AK105" si="213">IF(M12="","",(COS(RADIANS((90-$Q$8)-W12))*AD12)+(-SIN(RADIANS((90-$Q$8)-W12))*AE12))</f>
        <v>0.95884937774628332</v>
      </c>
      <c r="AL12" s="5">
        <f>IF(M12="","",(SIN(RADIANS((90-$Q$8)-W12))*AD12)+(COS(RADIANS((90-$Q$8)-W12))*AE12))</f>
        <v>-5.6314502908272959E-2</v>
      </c>
      <c r="AM12" s="6">
        <f t="shared" si="96"/>
        <v>-0.27827423085467223</v>
      </c>
      <c r="AN12" s="612">
        <f>IF(M12="","",DEGREES(ATAN2(-AM12,AL12)))</f>
        <v>-11.440470071717023</v>
      </c>
      <c r="AO12" s="613">
        <f t="shared" si="98"/>
        <v>16.494018945931085</v>
      </c>
      <c r="AP12" s="624">
        <f t="shared" si="99"/>
        <v>-3.3611964331674402</v>
      </c>
      <c r="AQ12" s="625">
        <f t="shared" si="9"/>
        <v>4.8073047318434439</v>
      </c>
      <c r="AS12" s="56">
        <f t="shared" si="119"/>
        <v>0</v>
      </c>
      <c r="AT12" s="77">
        <f>IF(M12="","",Y12+(((AS12-$AS$9)*$AS$6)*-1))</f>
        <v>-2.8657876984899883E-2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1.1120000000000001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0.14177771251647625</v>
      </c>
      <c r="C13" s="771">
        <v>3.3409031321418681</v>
      </c>
      <c r="D13" s="772">
        <v>-0.18050054438964186</v>
      </c>
      <c r="E13" s="773">
        <v>-0.94080759491040611</v>
      </c>
      <c r="F13" s="771">
        <v>0.24533728727131662</v>
      </c>
      <c r="G13" s="774">
        <v>0.23386039603414852</v>
      </c>
      <c r="H13" s="773">
        <v>0.314</v>
      </c>
      <c r="I13" s="771">
        <v>0.52</v>
      </c>
      <c r="J13" s="601">
        <v>1.1180000000000001</v>
      </c>
      <c r="K13" s="426" t="str">
        <f t="shared" si="82"/>
        <v>1613</v>
      </c>
      <c r="L13" s="859" cm="1">
        <f t="array" ref="L13">MIN(IF(ISNUMBER($II9:$II150),IF(ISNUMBER($IF9:$IF150),"",IF(ISNUMBER(VALUE($K9:$K150)),IF(ISNUMBER($IE9:$IE150),"",$IO9:$IO150),"")),""))</f>
        <v>70</v>
      </c>
      <c r="M13" s="173">
        <f t="shared" si="1"/>
        <v>1.1180000000000001</v>
      </c>
      <c r="N13" s="21">
        <f t="shared" si="2"/>
        <v>0.14177771251647625</v>
      </c>
      <c r="O13" s="5">
        <f t="shared" si="3"/>
        <v>3.3409031321418681</v>
      </c>
      <c r="P13" s="10">
        <f t="shared" si="4"/>
        <v>-0.18050054438964186</v>
      </c>
      <c r="Q13" s="624">
        <f t="shared" si="116"/>
        <v>87.570000350848545</v>
      </c>
      <c r="R13" s="5">
        <f t="shared" si="83"/>
        <v>3.3439100852328174</v>
      </c>
      <c r="S13" s="6">
        <f t="shared" si="84"/>
        <v>-0.18050054438964186</v>
      </c>
      <c r="T13" s="4">
        <f>IF(M13="","",X13*COS(RADIANS(W13)))</f>
        <v>3.3429681161882692</v>
      </c>
      <c r="U13" s="5">
        <f t="shared" si="86"/>
        <v>-7.9365182986017926E-2</v>
      </c>
      <c r="V13" s="8">
        <f t="shared" si="117"/>
        <v>-0.18050054438964186</v>
      </c>
      <c r="W13" s="624">
        <f t="shared" si="5"/>
        <v>358.64000019635967</v>
      </c>
      <c r="X13" s="5">
        <f t="shared" si="87"/>
        <v>3.3439100852328174</v>
      </c>
      <c r="Y13" s="7">
        <f>IF(M13="","",S13)</f>
        <v>-0.18050054438964186</v>
      </c>
      <c r="Z13" s="21">
        <f t="shared" si="6"/>
        <v>0.94080759491040611</v>
      </c>
      <c r="AA13" s="5">
        <f t="shared" si="7"/>
        <v>-0.24533728727131662</v>
      </c>
      <c r="AB13" s="5">
        <f t="shared" si="8"/>
        <v>-0.23386039603414852</v>
      </c>
      <c r="AC13" s="8">
        <f t="shared" si="88"/>
        <v>1</v>
      </c>
      <c r="AD13" s="9">
        <f>IF(M13="","",Z13*(1/SQRT(Z13^2+AA13^2+AB13^2)))</f>
        <v>0.94080759491040611</v>
      </c>
      <c r="AE13" s="5">
        <f t="shared" si="89"/>
        <v>-0.24533728727131662</v>
      </c>
      <c r="AF13" s="10">
        <f t="shared" si="90"/>
        <v>-0.23386039603414852</v>
      </c>
      <c r="AG13" s="622">
        <f>IF(M13="","",DEGREES(ATAN2(-AF13,AE13)))</f>
        <v>-46.371984390345084</v>
      </c>
      <c r="AH13" s="623">
        <f t="shared" si="92"/>
        <v>19.812373302812656</v>
      </c>
      <c r="AI13" s="624">
        <f t="shared" si="93"/>
        <v>-76.475543452248559</v>
      </c>
      <c r="AJ13" s="625">
        <f t="shared" si="94"/>
        <v>75.384302485844785</v>
      </c>
      <c r="AK13" s="4">
        <f t="shared" si="213"/>
        <v>0.95036359201090692</v>
      </c>
      <c r="AL13" s="5">
        <f t="shared" si="95"/>
        <v>-0.20522757647762105</v>
      </c>
      <c r="AM13" s="6">
        <f t="shared" si="96"/>
        <v>-0.23386039603414852</v>
      </c>
      <c r="AN13" s="612">
        <f t="shared" si="97"/>
        <v>-41.269038618108219</v>
      </c>
      <c r="AO13" s="613">
        <f t="shared" si="98"/>
        <v>18.128037009324206</v>
      </c>
      <c r="AP13" s="624">
        <f t="shared" si="99"/>
        <v>-12.185697865003773</v>
      </c>
      <c r="AQ13" s="625">
        <f t="shared" si="9"/>
        <v>3.7035790801176143</v>
      </c>
      <c r="AS13" s="56">
        <f t="shared" si="119"/>
        <v>-1.3599998036403349</v>
      </c>
      <c r="AT13" s="77">
        <f t="shared" si="10"/>
        <v>-0.17132054571506963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1.1180000000000001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0.24378593303547344</v>
      </c>
      <c r="C14" s="771">
        <v>3.9075144130017772</v>
      </c>
      <c r="D14" s="772">
        <v>-0.71780216489132931</v>
      </c>
      <c r="E14" s="773">
        <v>-0.89035711051072752</v>
      </c>
      <c r="F14" s="771">
        <v>0.42171109045089927</v>
      </c>
      <c r="G14" s="774">
        <v>0.17153417138780705</v>
      </c>
      <c r="H14" s="773">
        <v>0.314</v>
      </c>
      <c r="I14" s="771">
        <v>0.52</v>
      </c>
      <c r="J14" s="601">
        <v>1.1240000000000001</v>
      </c>
      <c r="K14" s="426" t="str">
        <f t="shared" si="82"/>
        <v>1613</v>
      </c>
      <c r="L14" s="327"/>
      <c r="M14" s="173">
        <f t="shared" si="1"/>
        <v>1.1240000000000001</v>
      </c>
      <c r="N14" s="21">
        <f t="shared" si="2"/>
        <v>0.24378593303547344</v>
      </c>
      <c r="O14" s="5">
        <f t="shared" si="3"/>
        <v>3.9075144130017772</v>
      </c>
      <c r="P14" s="10">
        <f t="shared" si="4"/>
        <v>-0.71780216489132931</v>
      </c>
      <c r="Q14" s="624">
        <f t="shared" si="116"/>
        <v>86.430000515444164</v>
      </c>
      <c r="R14" s="5">
        <f t="shared" si="83"/>
        <v>3.9151118079772127</v>
      </c>
      <c r="S14" s="6">
        <f t="shared" si="84"/>
        <v>-0.71780216489132931</v>
      </c>
      <c r="T14" s="4">
        <f t="shared" si="85"/>
        <v>3.9113854901296228</v>
      </c>
      <c r="U14" s="5">
        <f t="shared" si="86"/>
        <v>-0.17077475388958846</v>
      </c>
      <c r="V14" s="8">
        <f t="shared" si="117"/>
        <v>-0.71780216489132931</v>
      </c>
      <c r="W14" s="624">
        <f t="shared" si="5"/>
        <v>357.50000036095526</v>
      </c>
      <c r="X14" s="5">
        <f t="shared" si="87"/>
        <v>3.9151118079772127</v>
      </c>
      <c r="Y14" s="7">
        <f t="shared" ref="Y14:Y75" si="225">IF(M14="","",S14)</f>
        <v>-0.71780216489132931</v>
      </c>
      <c r="Z14" s="21">
        <f t="shared" si="6"/>
        <v>0.89035711051072752</v>
      </c>
      <c r="AA14" s="5">
        <f t="shared" si="7"/>
        <v>-0.42171109045089927</v>
      </c>
      <c r="AB14" s="5">
        <f t="shared" si="8"/>
        <v>-0.17153417138780705</v>
      </c>
      <c r="AC14" s="8">
        <f t="shared" si="88"/>
        <v>1</v>
      </c>
      <c r="AD14" s="9">
        <f>IF(M14="","",Z14*(1/SQRT(Z14^2+AA14^2+AB14^2)))</f>
        <v>0.89035711051072752</v>
      </c>
      <c r="AE14" s="5">
        <f t="shared" si="89"/>
        <v>-0.42171109045089927</v>
      </c>
      <c r="AF14" s="10">
        <f t="shared" si="90"/>
        <v>-0.17153417138780705</v>
      </c>
      <c r="AG14" s="622">
        <f t="shared" si="91"/>
        <v>-67.865594965852154</v>
      </c>
      <c r="AH14" s="623">
        <f t="shared" si="92"/>
        <v>27.081844424714244</v>
      </c>
      <c r="AI14" s="624">
        <f t="shared" si="93"/>
        <v>-80.122968991509666</v>
      </c>
      <c r="AJ14" s="625">
        <f t="shared" si="94"/>
        <v>64.655769519069281</v>
      </c>
      <c r="AK14" s="4">
        <f>IF(M14="","",(COS(RADIANS((90-$Q$8)-W14))*AD14)+(-SIN(RADIANS((90-$Q$8)-W14))*AE14))</f>
        <v>0.91488842448841556</v>
      </c>
      <c r="AL14" s="5">
        <f t="shared" si="95"/>
        <v>-0.36545204717363822</v>
      </c>
      <c r="AM14" s="6">
        <f t="shared" si="96"/>
        <v>-0.17153417138780705</v>
      </c>
      <c r="AN14" s="612">
        <f t="shared" si="97"/>
        <v>-64.855798241279132</v>
      </c>
      <c r="AO14" s="613">
        <f t="shared" si="98"/>
        <v>23.810113182722532</v>
      </c>
      <c r="AP14" s="624">
        <f>IF(M14="","",DEGREES(ATAN2(AK14,AL14)))</f>
        <v>-21.774230996374826</v>
      </c>
      <c r="AQ14" s="625">
        <f t="shared" si="9"/>
        <v>3.1644308447686829</v>
      </c>
      <c r="AS14" s="56">
        <f t="shared" si="119"/>
        <v>-2.499999639044745</v>
      </c>
      <c r="AT14" s="77">
        <f t="shared" si="10"/>
        <v>-0.70431550017189604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1.1240000000000001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0.28529650639732324</v>
      </c>
      <c r="C15" s="771">
        <v>4.1004994789513045</v>
      </c>
      <c r="D15" s="772">
        <v>-1.4775044561534398</v>
      </c>
      <c r="E15" s="773">
        <v>-0.81858306260352998</v>
      </c>
      <c r="F15" s="771">
        <v>0.57362652679059778</v>
      </c>
      <c r="G15" s="774">
        <v>2.9569872857032622E-2</v>
      </c>
      <c r="H15" s="773">
        <v>0.314</v>
      </c>
      <c r="I15" s="771">
        <v>0.52</v>
      </c>
      <c r="J15" s="601">
        <v>1.1299999999999999</v>
      </c>
      <c r="K15" s="426" t="str">
        <f t="shared" si="82"/>
        <v>1613</v>
      </c>
      <c r="L15" s="327"/>
      <c r="M15" s="173">
        <f t="shared" si="1"/>
        <v>1.1299999999999999</v>
      </c>
      <c r="N15" s="21">
        <f t="shared" si="2"/>
        <v>0.28529650639732324</v>
      </c>
      <c r="O15" s="5">
        <f t="shared" si="3"/>
        <v>4.1004994789513045</v>
      </c>
      <c r="P15" s="10">
        <f t="shared" si="4"/>
        <v>-1.4775044561534398</v>
      </c>
      <c r="Q15" s="624">
        <f t="shared" si="116"/>
        <v>86.020000574640818</v>
      </c>
      <c r="R15" s="5">
        <f t="shared" si="83"/>
        <v>4.1104123970037891</v>
      </c>
      <c r="S15" s="6">
        <f t="shared" si="84"/>
        <v>-1.4775044561534398</v>
      </c>
      <c r="T15" s="4">
        <f t="shared" si="85"/>
        <v>4.1051120704114021</v>
      </c>
      <c r="U15" s="5">
        <f t="shared" si="86"/>
        <v>-0.2086742983815735</v>
      </c>
      <c r="V15" s="8">
        <f t="shared" si="117"/>
        <v>-1.4775044561534398</v>
      </c>
      <c r="W15" s="624">
        <f t="shared" ref="W15:W78" si="226">IF(M15="","",IF(Q15-$Q$8&lt;0,360+Q15-$Q$8,Q15-$Q$8))</f>
        <v>357.09000042015191</v>
      </c>
      <c r="X15" s="5">
        <f>IF(M15="","",R15)</f>
        <v>4.1104123970037891</v>
      </c>
      <c r="Y15" s="7">
        <f>IF(M15="","",S15)</f>
        <v>-1.4775044561534398</v>
      </c>
      <c r="Z15" s="21">
        <f t="shared" si="6"/>
        <v>0.81858306260352998</v>
      </c>
      <c r="AA15" s="5">
        <f t="shared" si="7"/>
        <v>-0.57362652679059778</v>
      </c>
      <c r="AB15" s="5">
        <f t="shared" si="8"/>
        <v>-2.9569872857032622E-2</v>
      </c>
      <c r="AC15" s="8">
        <f t="shared" si="88"/>
        <v>1</v>
      </c>
      <c r="AD15" s="9">
        <f t="shared" si="118"/>
        <v>0.81858306260352998</v>
      </c>
      <c r="AE15" s="5">
        <f t="shared" si="89"/>
        <v>-0.57362652679059778</v>
      </c>
      <c r="AF15" s="10">
        <f t="shared" si="90"/>
        <v>-2.9569872857032622E-2</v>
      </c>
      <c r="AG15" s="622">
        <f t="shared" si="91"/>
        <v>-87.04907194234174</v>
      </c>
      <c r="AH15" s="623">
        <f t="shared" si="92"/>
        <v>35.056796605666513</v>
      </c>
      <c r="AI15" s="624">
        <f t="shared" si="93"/>
        <v>-88.305524088115334</v>
      </c>
      <c r="AJ15" s="625">
        <f t="shared" si="94"/>
        <v>54.978941113615299</v>
      </c>
      <c r="AK15" s="4">
        <f t="shared" si="213"/>
        <v>0.85642332830651058</v>
      </c>
      <c r="AL15" s="5">
        <f t="shared" si="95"/>
        <v>-0.51542672161192593</v>
      </c>
      <c r="AM15" s="6">
        <f t="shared" si="96"/>
        <v>-2.9569872857032622E-2</v>
      </c>
      <c r="AN15" s="612">
        <f>IF(M15="","",DEGREES(ATAN2(-AM15,AL15)))</f>
        <v>-86.716557799133938</v>
      </c>
      <c r="AO15" s="613">
        <f t="shared" si="98"/>
        <v>31.082664524912943</v>
      </c>
      <c r="AP15" s="624">
        <f t="shared" si="99"/>
        <v>-31.041059461025476</v>
      </c>
      <c r="AQ15" s="625">
        <f t="shared" si="9"/>
        <v>3.0143614478135263</v>
      </c>
      <c r="AS15" s="56">
        <f t="shared" si="119"/>
        <v>-2.9099995798480904</v>
      </c>
      <c r="AT15" s="77">
        <f t="shared" si="10"/>
        <v>-1.4624689027687494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1.1299999999999999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0.30325833916039974</v>
      </c>
      <c r="C16" s="771">
        <v>4.1795251589001907</v>
      </c>
      <c r="D16" s="772">
        <v>-2.193706616219155</v>
      </c>
      <c r="E16" s="773">
        <v>-0.77549580545883434</v>
      </c>
      <c r="F16" s="771">
        <v>0.63135271894222245</v>
      </c>
      <c r="G16" s="774">
        <v>1.3008419228767658E-7</v>
      </c>
      <c r="H16" s="773">
        <v>0.26600000000000001</v>
      </c>
      <c r="I16" s="771">
        <v>0.52</v>
      </c>
      <c r="J16" s="601">
        <v>1.1359999999999999</v>
      </c>
      <c r="K16" s="426" t="str">
        <f t="shared" si="82"/>
        <v>1313</v>
      </c>
      <c r="L16" s="327"/>
      <c r="M16" s="173">
        <f t="shared" si="1"/>
        <v>1.1359999999999999</v>
      </c>
      <c r="N16" s="21">
        <f t="shared" si="2"/>
        <v>0.30325833916039974</v>
      </c>
      <c r="O16" s="5">
        <f t="shared" si="3"/>
        <v>4.1795251589001907</v>
      </c>
      <c r="P16" s="10">
        <f t="shared" si="4"/>
        <v>-2.193706616219155</v>
      </c>
      <c r="Q16" s="624">
        <f>IF(M16="","",IF(DEGREES(ATAN2(N16,O16))&lt;0,DEGREES(ATAN2(N16,O16))+360,IF(DEGREES(ATAN2(N16,O16))&gt;360,DEGREES(ATAN2(N16,O16))-360,DEGREES(ATAN2(N16,O16)))))</f>
        <v>85.850000599185776</v>
      </c>
      <c r="R16" s="5">
        <f t="shared" si="83"/>
        <v>4.1905126385861173</v>
      </c>
      <c r="S16" s="6">
        <f t="shared" si="84"/>
        <v>-2.193706616219155</v>
      </c>
      <c r="T16" s="4">
        <f t="shared" si="85"/>
        <v>4.1844593884997723</v>
      </c>
      <c r="U16" s="5">
        <f t="shared" si="86"/>
        <v>-0.22515727868780308</v>
      </c>
      <c r="V16" s="8">
        <f t="shared" si="117"/>
        <v>-2.193706616219155</v>
      </c>
      <c r="W16" s="624">
        <f>IF(M16="","",IF(Q16-$Q$8&lt;0,360+Q16-$Q$8,Q16-$Q$8))</f>
        <v>356.92000044469688</v>
      </c>
      <c r="X16" s="5">
        <f t="shared" si="87"/>
        <v>4.1905126385861173</v>
      </c>
      <c r="Y16" s="7">
        <f t="shared" si="225"/>
        <v>-2.193706616219155</v>
      </c>
      <c r="Z16" s="21">
        <f t="shared" si="6"/>
        <v>0.77549580545883434</v>
      </c>
      <c r="AA16" s="5">
        <f t="shared" si="7"/>
        <v>-0.63135271894222245</v>
      </c>
      <c r="AB16" s="5">
        <f t="shared" si="8"/>
        <v>-1.3008419228767658E-7</v>
      </c>
      <c r="AC16" s="8">
        <f t="shared" si="88"/>
        <v>1</v>
      </c>
      <c r="AD16" s="9">
        <f t="shared" si="118"/>
        <v>0.77549580545883434</v>
      </c>
      <c r="AE16" s="5">
        <f t="shared" si="89"/>
        <v>-0.63135271894222245</v>
      </c>
      <c r="AF16" s="10">
        <f t="shared" si="90"/>
        <v>-1.3008419228767658E-7</v>
      </c>
      <c r="AG16" s="622">
        <f t="shared" si="91"/>
        <v>-89.999988194752348</v>
      </c>
      <c r="AH16" s="623">
        <f t="shared" si="92"/>
        <v>39.149994347440078</v>
      </c>
      <c r="AI16" s="624">
        <f t="shared" si="93"/>
        <v>-89.999992546724798</v>
      </c>
      <c r="AJ16" s="625">
        <f t="shared" si="94"/>
        <v>50.850005652560519</v>
      </c>
      <c r="AK16" s="4">
        <f t="shared" si="213"/>
        <v>0.81915209487729235</v>
      </c>
      <c r="AL16" s="5">
        <f t="shared" si="95"/>
        <v>-0.57357636410344415</v>
      </c>
      <c r="AM16" s="6">
        <f t="shared" si="96"/>
        <v>-1.3008419228767658E-7</v>
      </c>
      <c r="AN16" s="612">
        <f t="shared" si="97"/>
        <v>-89.999987005609611</v>
      </c>
      <c r="AO16" s="613">
        <f t="shared" si="98"/>
        <v>34.999994946625911</v>
      </c>
      <c r="AP16" s="624">
        <f t="shared" si="99"/>
        <v>-34.999994946625236</v>
      </c>
      <c r="AQ16" s="625">
        <f t="shared" si="9"/>
        <v>2.9568461818135972</v>
      </c>
      <c r="AS16" s="56">
        <f t="shared" si="119"/>
        <v>-3.0799995553031181</v>
      </c>
      <c r="AT16" s="77">
        <f t="shared" si="10"/>
        <v>-2.1780288407049677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1.1359999999999999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</v>
      </c>
      <c r="B17" s="770">
        <v>0.88198908209286875</v>
      </c>
      <c r="C17" s="771">
        <v>1.5723292838554168</v>
      </c>
      <c r="D17" s="772">
        <v>-0.12038916710521126</v>
      </c>
      <c r="E17" s="773">
        <v>-7.6532647568068143E-2</v>
      </c>
      <c r="F17" s="771">
        <v>-0.13643492478228592</v>
      </c>
      <c r="G17" s="774">
        <v>0.98768834414296591</v>
      </c>
      <c r="H17" s="773">
        <v>0.19500000000000001</v>
      </c>
      <c r="I17" s="771">
        <v>0.21199999999999999</v>
      </c>
      <c r="J17" s="601">
        <v>1.2070000000000001</v>
      </c>
      <c r="K17" s="426" t="str">
        <f t="shared" si="82"/>
        <v>Knuckle</v>
      </c>
      <c r="L17" s="861" t="s">
        <v>332</v>
      </c>
      <c r="M17" s="173">
        <f t="shared" si="1"/>
        <v>1.2070000000000001</v>
      </c>
      <c r="N17" s="21">
        <f t="shared" si="2"/>
        <v>0.88198908209286875</v>
      </c>
      <c r="O17" s="5">
        <f t="shared" si="3"/>
        <v>1.5723292838554168</v>
      </c>
      <c r="P17" s="10">
        <f t="shared" si="4"/>
        <v>-0.12038916710521126</v>
      </c>
      <c r="Q17" s="624">
        <f>IF(M17="","",IF(DEGREES(ATAN2(N17,O17))&lt;0,DEGREES(ATAN2(N17,O17))+360,IF(DEGREES(ATAN2(N17,O17))&gt;360,DEGREES(ATAN2(N17,O17))-360,DEGREES(ATAN2(N17,O17)))))</f>
        <v>60.710004228952172</v>
      </c>
      <c r="R17" s="5">
        <f>IF(M17="","",SQRT(N17^2+O17^2))</f>
        <v>1.8028100614874294</v>
      </c>
      <c r="S17" s="6">
        <f>IF(M17="","",P17)</f>
        <v>-0.12038916710521126</v>
      </c>
      <c r="T17" s="4">
        <f>IF(M17="","",X17*COS(RADIANS(W17)))</f>
        <v>1.5885253185119277</v>
      </c>
      <c r="U17" s="5">
        <f>IF(M17="","",X17*SIN(RADIANS(W17)))</f>
        <v>-0.85247371234947056</v>
      </c>
      <c r="V17" s="8">
        <f>IF(M17="","",Y17)</f>
        <v>-0.12038916710521126</v>
      </c>
      <c r="W17" s="624">
        <f t="shared" si="226"/>
        <v>331.78000407446331</v>
      </c>
      <c r="X17" s="5">
        <f>IF(M17="","",R17)</f>
        <v>1.8028100614874294</v>
      </c>
      <c r="Y17" s="7">
        <f t="shared" si="225"/>
        <v>-0.12038916710521126</v>
      </c>
      <c r="Z17" s="21">
        <f t="shared" si="6"/>
        <v>7.6532647568068143E-2</v>
      </c>
      <c r="AA17" s="5">
        <f t="shared" si="7"/>
        <v>0.13643492478228592</v>
      </c>
      <c r="AB17" s="5">
        <f t="shared" si="8"/>
        <v>-0.98768834414296591</v>
      </c>
      <c r="AC17" s="8">
        <f>IF(M17="","",SQRT(Z17^2+AA17^2+AB17^2))</f>
        <v>1</v>
      </c>
      <c r="AD17" s="9">
        <f>IF(M17="","",Z17*(1/SQRT(Z17^2+AA17^2+AB17^2)))</f>
        <v>7.6532647568068143E-2</v>
      </c>
      <c r="AE17" s="5">
        <f>IF(M17="","",AA17*(1/SQRT(Z17^2+AA17^2+AB17^2)))</f>
        <v>0.13643492478228592</v>
      </c>
      <c r="AF17" s="10">
        <f>IF(M17="","",AB17*(1/SQRT(Z17^2+AA17^2+AB17^2)))</f>
        <v>-0.98768834414296591</v>
      </c>
      <c r="AG17" s="622">
        <f>IF(M17="","",DEGREES(ATAN2(-AF17,AE17)))</f>
        <v>7.8648150570969353</v>
      </c>
      <c r="AH17" s="623">
        <f>IF(M17="","",DEGREES(ACOS(AD17)))</f>
        <v>85.610710308596239</v>
      </c>
      <c r="AI17" s="624">
        <f>IF(M17="","",DEGREES(-ACOS(-AF17)))</f>
        <v>-8.9999987005702629</v>
      </c>
      <c r="AJ17" s="625">
        <f>IF(M17="","",DEGREES(ATAN2(-AE17,AD17)))</f>
        <v>150.70992116290751</v>
      </c>
      <c r="AK17" s="4">
        <f>IF(M17="","",(COS(RADIANS((90-$Q$8)-W17))*AD17)+(-SIN(RADIANS((90-$Q$8)-W17))*AE17))</f>
        <v>2.2679489677934761E-7</v>
      </c>
      <c r="AL17" s="5">
        <f>IF(M17="","",(SIN(RADIANS((90-$Q$8)-W17))*AD17)+(COS(RADIANS((90-$Q$8)-W17))*AE17))</f>
        <v>0.15643444263995926</v>
      </c>
      <c r="AM17" s="6">
        <f>IF(M17="","",AF17)</f>
        <v>-0.98768834414296591</v>
      </c>
      <c r="AN17" s="612">
        <f>IF(M17="","",DEGREES(ATAN2(-AM17,AL17)))</f>
        <v>8.9999987005609583</v>
      </c>
      <c r="AO17" s="613">
        <f t="shared" si="98"/>
        <v>0</v>
      </c>
      <c r="AP17" s="624">
        <f>IF(M17="","",DEGREES(ATAN2(AK17,AL17)))</f>
        <v>89.999916933955333</v>
      </c>
      <c r="AQ17" s="625">
        <f t="shared" si="9"/>
        <v>6.8463298429434936</v>
      </c>
      <c r="AS17" s="56">
        <f t="shared" si="119"/>
        <v>-28.219995925536693</v>
      </c>
      <c r="AT17" s="77">
        <f t="shared" si="10"/>
        <v>-9.7380719701416901E-3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>
        <f>IFERROR(IF($IU17="","",IF($IU17&lt;(((Settings!$C$19/2)*-1)*$IE$8),"",1)),"")</f>
        <v>1</v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1.2070000000000001</v>
      </c>
      <c r="IH17" s="797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1.107</v>
      </c>
      <c r="II17" s="800" cm="1">
        <f t="array" ref="II17">IFERROR(IF($IH17&lt;1,$IH17+LARGE((IF($M$9:$M$150="",0,$M$9:$M$150)-MOD(IF($M$9:$M$150="",0,$M$9:$M$150),1)),1),$IH17),"")</f>
        <v>1.107</v>
      </c>
      <c r="IJ17" s="555" t="str">
        <f t="shared" si="67"/>
        <v>1613</v>
      </c>
      <c r="IK17" s="839" t="str">
        <f t="shared" si="68"/>
        <v>Knuckle</v>
      </c>
      <c r="IL17" s="791">
        <f t="shared" ref="IL17:IL80" si="227">IF(ISNUMBER($II17),IFERROR(IF(INDEX($W$9:$W$150,MATCH($II17,$M$9:$M$150,0))&lt;$W17,((INDEX($W$9:$W$150,MATCH($II17,$M$9:$M$150,0))+360)-$W17),INDEX($W$9:$W$150,MATCH($II17,$M$9:$M$150,0))-$W17),""),"")</f>
        <v>29.159995789817515</v>
      </c>
      <c r="IM17" s="830">
        <v>7.2397545652704606E-2</v>
      </c>
      <c r="IN17" s="5">
        <f t="shared" ref="IN17:IN80" si="228">IF(ISNUMBER($II17),(($IO17*12)/60)/$AS$3,"")</f>
        <v>0.9</v>
      </c>
      <c r="IO17" s="852">
        <v>450</v>
      </c>
      <c r="IP17" s="9">
        <f t="shared" ref="IP17:IP80" si="229">IF(ISNUMBER($II17),(INDEX($X$9:$X$150,MATCH($II17,$M$9:$M$150,0))*-1),"")</f>
        <v>-1.8141054713421016</v>
      </c>
      <c r="IQ17" s="5">
        <f t="shared" ref="IQ17:IQ80" si="230">IF(ISNUMBER($II17),INDEX($Y$9:$Y$150,MATCH($II17,$M$9:$M$150,0)),"")</f>
        <v>-0.15010045270296538</v>
      </c>
      <c r="IR17" s="5">
        <f t="shared" si="73"/>
        <v>0.314</v>
      </c>
      <c r="IS17" s="5">
        <f t="shared" ref="IS17:IS80" si="231">IF(ISNUMBER($II17),$IR17*COS(RADIANS(INDEX($AO$9:$AO$150,MATCH($II17,$M$9:$M$150,0)))),"")</f>
        <v>0.29854638528364924</v>
      </c>
      <c r="IT17" s="791">
        <f t="shared" ref="IT17:IT80" si="232">IF(ISNUMBER($II17),(-1*INDEX($AN$9:$AN$150,MATCH($II17,$M$9:$M$150,0))),"")</f>
        <v>-4.5745619259070445</v>
      </c>
      <c r="IU17" s="9">
        <f t="shared" ref="IU17:IU80" si="233">IF(ISNUMBER($II17),-$X17,"")</f>
        <v>-1.8028100614874294</v>
      </c>
      <c r="IV17" s="5">
        <f t="shared" ref="IV17:IV80" si="234">IF(ISNUMBER($II17),$Y17,"")</f>
        <v>-0.12038916710521126</v>
      </c>
      <c r="IW17" s="5">
        <f t="shared" si="78"/>
        <v>0.19500000000000001</v>
      </c>
      <c r="IX17" s="5">
        <f t="shared" ref="IX17:IX80" si="235">IF(ISNUMBER($II17),$IW17*COS(RADIANS($AO17)),"")</f>
        <v>0.19500000000000001</v>
      </c>
      <c r="IY17" s="833">
        <f t="shared" ref="IY17:IY80" si="236">IF(ISNUMBER($II17),(-1*$AN17),"")</f>
        <v>-8.9999987005609583</v>
      </c>
    </row>
    <row r="18" spans="1:259" ht="15" customHeight="1" x14ac:dyDescent="0.25">
      <c r="A18" s="84">
        <f t="shared" si="81"/>
        <v>0</v>
      </c>
      <c r="B18" s="770">
        <v>0.95890579559844036</v>
      </c>
      <c r="C18" s="771">
        <v>2.3841510006253652</v>
      </c>
      <c r="D18" s="772">
        <v>5.7237497809142605E-3</v>
      </c>
      <c r="E18" s="773">
        <v>-1.9529352065302197E-2</v>
      </c>
      <c r="F18" s="771">
        <v>-4.8555699290678149E-2</v>
      </c>
      <c r="G18" s="774">
        <v>0.99862953515019914</v>
      </c>
      <c r="H18" s="773">
        <v>0.19500000000000001</v>
      </c>
      <c r="I18" s="771">
        <v>0.21199999999999999</v>
      </c>
      <c r="J18" s="601">
        <v>1.212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>Knuckle</v>
      </c>
      <c r="L18" s="857" t="s">
        <v>376</v>
      </c>
      <c r="M18" s="173">
        <f t="shared" si="1"/>
        <v>1.212</v>
      </c>
      <c r="N18" s="21">
        <f t="shared" si="2"/>
        <v>0.95890579559844036</v>
      </c>
      <c r="O18" s="5">
        <f t="shared" si="3"/>
        <v>2.3841510006253652</v>
      </c>
      <c r="P18" s="10">
        <f t="shared" si="4"/>
        <v>5.7237497809142605E-3</v>
      </c>
      <c r="Q18" s="624">
        <f t="shared" si="116"/>
        <v>68.090003163412149</v>
      </c>
      <c r="R18" s="5">
        <f>IF(M18="","",SQRT(N18^2+O18^2))</f>
        <v>2.5697619186639078</v>
      </c>
      <c r="S18" s="6">
        <f>IF(M18="","",P18)</f>
        <v>5.7237497809142605E-3</v>
      </c>
      <c r="T18" s="4">
        <f>IF(M18="","",X18*COS(RADIANS(W18)))</f>
        <v>2.4016418130873052</v>
      </c>
      <c r="U18" s="5">
        <f>IF(M18="","",X18*SIN(RADIANS(W18)))</f>
        <v>-0.91421710782829324</v>
      </c>
      <c r="V18" s="8">
        <f>IF(M18="","",Y18)</f>
        <v>5.7237497809142605E-3</v>
      </c>
      <c r="W18" s="624">
        <f t="shared" si="226"/>
        <v>339.16000300892324</v>
      </c>
      <c r="X18" s="5">
        <f>IF(M18="","",R18)</f>
        <v>2.5697619186639078</v>
      </c>
      <c r="Y18" s="7">
        <f t="shared" si="225"/>
        <v>5.7237497809142605E-3</v>
      </c>
      <c r="Z18" s="21">
        <f t="shared" si="6"/>
        <v>1.9529352065302197E-2</v>
      </c>
      <c r="AA18" s="5">
        <f t="shared" si="7"/>
        <v>4.8555699290678149E-2</v>
      </c>
      <c r="AB18" s="5">
        <f t="shared" si="8"/>
        <v>-0.99862953515019914</v>
      </c>
      <c r="AC18" s="8">
        <f>IF(M18="","",SQRT(Z18^2+AA18^2+AB18^2))</f>
        <v>1</v>
      </c>
      <c r="AD18" s="9">
        <f>IF(M18="","",Z18*(1/SQRT(Z18^2+AA18^2+AB18^2)))</f>
        <v>1.9529352065302197E-2</v>
      </c>
      <c r="AE18" s="5">
        <f>IF(M18="","",AA18*(1/SQRT(Z18^2+AA18^2+AB18^2)))</f>
        <v>4.8555699290678149E-2</v>
      </c>
      <c r="AF18" s="10">
        <f>IF(M18="","",AB18*(1/SQRT(Z18^2+AA18^2+AB18^2)))</f>
        <v>-0.99862953515019914</v>
      </c>
      <c r="AG18" s="622">
        <f>IF(M18="","",DEGREES(ATAN2(-AF18,AE18)))</f>
        <v>2.7836622898315984</v>
      </c>
      <c r="AH18" s="623">
        <f>IF(M18="","",DEGREES(ACOS(AD18)))</f>
        <v>88.880979410758258</v>
      </c>
      <c r="AI18" s="624">
        <f>IF(M18="","",DEGREES(-ACOS(-AF18)))</f>
        <v>-2.9999995668817112</v>
      </c>
      <c r="AJ18" s="625">
        <f>IF(M18="","",DEGREES(ATAN2(-AE18,AD18)))</f>
        <v>158.08975487536694</v>
      </c>
      <c r="AK18" s="4">
        <f>IF(M18="","",(COS(RADIANS((90-$Q$8)-W18))*AD18)+(-SIN(RADIANS((90-$Q$8)-W18))*AE18))</f>
        <v>2.2679489668914199E-7</v>
      </c>
      <c r="AL18" s="5">
        <f>IF(M18="","",(SIN(RADIANS((90-$Q$8)-W18))*AD18)+(COS(RADIANS((90-$Q$8)-W18))*AE18))</f>
        <v>5.2335948693473112E-2</v>
      </c>
      <c r="AM18" s="6">
        <f>IF(M18="","",AF18)</f>
        <v>-0.99862953515019914</v>
      </c>
      <c r="AN18" s="612">
        <f>IF(M18="","",DEGREES(ATAN2(-AM18,AL18)))</f>
        <v>2.999999566853655</v>
      </c>
      <c r="AO18" s="613">
        <f t="shared" si="98"/>
        <v>0</v>
      </c>
      <c r="AP18" s="624">
        <f>IF(M18="","",DEGREES(ATAN2(AK18,AL18)))</f>
        <v>89.999751711954801</v>
      </c>
      <c r="AQ18" s="625">
        <f t="shared" si="9"/>
        <v>4.8146516264971106</v>
      </c>
      <c r="AS18" s="56">
        <f t="shared" si="119"/>
        <v>-20.83999699107676</v>
      </c>
      <c r="AT18" s="77">
        <f t="shared" si="10"/>
        <v>8.8494848941357424E-2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>
        <f>IFERROR(IF($IU18="","",IF($IU18&lt;(((Settings!$C$19/2)*-1)*$IE$8),"",1)),"")</f>
        <v>1</v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1.212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1.1120000000000001</v>
      </c>
      <c r="II18" s="800" cm="1">
        <f t="array" ref="II18">IFERROR(IF($IH18&lt;1,$IH18+LARGE((IF($M$9:$M$150="",0,$M$9:$M$150)-MOD(IF($M$9:$M$150="",0,$M$9:$M$150),1)),1),$IH18),"")</f>
        <v>1.1120000000000001</v>
      </c>
      <c r="IJ18" s="839" t="str">
        <f t="shared" si="67"/>
        <v>1613</v>
      </c>
      <c r="IK18" s="839" t="str">
        <f t="shared" si="68"/>
        <v>Knuckle</v>
      </c>
      <c r="IL18" s="791">
        <f t="shared" si="227"/>
        <v>20.83999699107676</v>
      </c>
      <c r="IM18" s="830">
        <v>6.8164141314753901E-2</v>
      </c>
      <c r="IN18" s="5">
        <f t="shared" si="228"/>
        <v>1.1599999999999999</v>
      </c>
      <c r="IO18" s="852">
        <v>580</v>
      </c>
      <c r="IP18" s="9">
        <f t="shared" si="229"/>
        <v>-2.5737077623026119</v>
      </c>
      <c r="IQ18" s="5">
        <f t="shared" si="230"/>
        <v>-3.2700098623497501E-2</v>
      </c>
      <c r="IR18" s="5">
        <f t="shared" si="73"/>
        <v>0.314</v>
      </c>
      <c r="IS18" s="5">
        <f t="shared" si="231"/>
        <v>0.30107870461233294</v>
      </c>
      <c r="IT18" s="791">
        <f t="shared" si="232"/>
        <v>11.440470071717023</v>
      </c>
      <c r="IU18" s="9">
        <f t="shared" si="233"/>
        <v>-2.5697619186639078</v>
      </c>
      <c r="IV18" s="5">
        <f t="shared" si="234"/>
        <v>5.7237497809142605E-3</v>
      </c>
      <c r="IW18" s="5">
        <f t="shared" si="78"/>
        <v>0.19500000000000001</v>
      </c>
      <c r="IX18" s="5">
        <f t="shared" si="235"/>
        <v>0.19500000000000001</v>
      </c>
      <c r="IY18" s="833">
        <f t="shared" si="236"/>
        <v>-2.999999566853655</v>
      </c>
    </row>
    <row r="19" spans="1:259" ht="15" customHeight="1" x14ac:dyDescent="0.25">
      <c r="A19" s="84">
        <f t="shared" si="81"/>
        <v>0</v>
      </c>
      <c r="B19" s="770">
        <v>1.1813324356355874</v>
      </c>
      <c r="C19" s="771">
        <v>3.1445508203227424</v>
      </c>
      <c r="D19" s="772">
        <v>-0.1747223316998214</v>
      </c>
      <c r="E19" s="773">
        <v>0.12206704888025019</v>
      </c>
      <c r="F19" s="771">
        <v>0.32492699679198522</v>
      </c>
      <c r="G19" s="774">
        <v>0.93782838639775024</v>
      </c>
      <c r="H19" s="773">
        <v>0.25700000000000001</v>
      </c>
      <c r="I19" s="771">
        <v>0.41499999999999992</v>
      </c>
      <c r="J19" s="601">
        <v>1.218</v>
      </c>
      <c r="K19" s="426" t="str">
        <f t="shared" si="82"/>
        <v/>
      </c>
      <c r="L19" s="856" cm="1">
        <f t="array" ref="L19">MIN(IF(ISNUMBER($II9:$II150),IF(ISNUMBER($IF9:$IF150),"",IF($K9:$K150="Knuckle",IF(ISNUMBER($IE9:$IE150),$IO9:$IO150,""),"")),""))</f>
        <v>350</v>
      </c>
      <c r="M19" s="173">
        <f t="shared" si="1"/>
        <v>1.218</v>
      </c>
      <c r="N19" s="21">
        <f t="shared" si="2"/>
        <v>1.1813324356355874</v>
      </c>
      <c r="O19" s="5">
        <f t="shared" si="3"/>
        <v>3.1445508203227424</v>
      </c>
      <c r="P19" s="10">
        <f t="shared" si="4"/>
        <v>-0.1747223316998214</v>
      </c>
      <c r="Q19" s="624">
        <f t="shared" si="116"/>
        <v>69.410002972827755</v>
      </c>
      <c r="R19" s="5">
        <f>IF(M19="","",SQRT(N19^2+O19^2))</f>
        <v>3.3591287836397612</v>
      </c>
      <c r="S19" s="6">
        <f>IF(M19="","",P19)</f>
        <v>-0.1747223316998214</v>
      </c>
      <c r="T19" s="4">
        <f>IF(M19="","",X19*COS(RADIANS(W19)))</f>
        <v>3.1660626200697002</v>
      </c>
      <c r="U19" s="5">
        <f>IF(M19="","",X19*SIN(RADIANS(W19)))</f>
        <v>-1.1224053059721906</v>
      </c>
      <c r="V19" s="8">
        <f>IF(M19="","",Y19)</f>
        <v>-0.1747223316998214</v>
      </c>
      <c r="W19" s="624">
        <f t="shared" si="226"/>
        <v>340.4800028183389</v>
      </c>
      <c r="X19" s="5">
        <f>IF(M19="","",R19)</f>
        <v>3.3591287836397612</v>
      </c>
      <c r="Y19" s="7">
        <f t="shared" si="225"/>
        <v>-0.1747223316998214</v>
      </c>
      <c r="Z19" s="21">
        <f t="shared" si="6"/>
        <v>-0.12206704888025019</v>
      </c>
      <c r="AA19" s="5">
        <f t="shared" si="7"/>
        <v>-0.32492699679198522</v>
      </c>
      <c r="AB19" s="5">
        <f t="shared" si="8"/>
        <v>-0.93782838639775024</v>
      </c>
      <c r="AC19" s="8">
        <f>IF(M19="","",SQRT(Z19^2+AA19^2+AB19^2))</f>
        <v>1</v>
      </c>
      <c r="AD19" s="9">
        <f>IF(M19="","",Z19*(1/SQRT(Z19^2+AA19^2+AB19^2)))</f>
        <v>-0.12206704888025019</v>
      </c>
      <c r="AE19" s="5">
        <f>IF(M19="","",AA19*(1/SQRT(Z19^2+AA19^2+AB19^2)))</f>
        <v>-0.32492699679198522</v>
      </c>
      <c r="AF19" s="10">
        <f>IF(M19="","",AB19*(1/SQRT(Z19^2+AA19^2+AB19^2)))</f>
        <v>-0.93782838639775024</v>
      </c>
      <c r="AG19" s="622">
        <f>IF(M19="","",DEGREES(ATAN2(-AF19,AE19)))</f>
        <v>-19.109535305784689</v>
      </c>
      <c r="AH19" s="623">
        <f>IF(M19="","",DEGREES(ACOS(AD19)))</f>
        <v>97.011412897922142</v>
      </c>
      <c r="AI19" s="624">
        <f>IF(M19="","",DEGREES(-ACOS(-AF19)))</f>
        <v>-20.30999706760322</v>
      </c>
      <c r="AJ19" s="625">
        <f>IF(M19="","",DEGREES(ATAN2(-AE19,AD19)))</f>
        <v>-20.589959590073573</v>
      </c>
      <c r="AK19" s="4">
        <f>IF(M19="","",(COS(RADIANS((90-$Q$8)-W19))*AD19)+(-SIN(RADIANS((90-$Q$8)-W19))*AE19))</f>
        <v>2.2679489669608088E-7</v>
      </c>
      <c r="AL19" s="5">
        <f>IF(M19="","",(SIN(RADIANS((90-$Q$8)-W19))*AD19)+(COS(RADIANS((90-$Q$8)-W19))*AE19))</f>
        <v>-0.34709929078945223</v>
      </c>
      <c r="AM19" s="6">
        <f>IF(M19="","",AF19)</f>
        <v>-0.93782838639775024</v>
      </c>
      <c r="AN19" s="612">
        <f>IF(M19="","",DEGREES(ATAN2(-AM19,AL19)))</f>
        <v>-20.309997067599248</v>
      </c>
      <c r="AO19" s="613">
        <f t="shared" si="98"/>
        <v>0</v>
      </c>
      <c r="AP19" s="624">
        <f>IF(M19="","",DEGREES(ATAN2(AK19,AL19)))</f>
        <v>-89.999962562901331</v>
      </c>
      <c r="AQ19" s="625">
        <f t="shared" si="9"/>
        <v>3.6868462167759581</v>
      </c>
      <c r="AS19" s="56">
        <f t="shared" si="119"/>
        <v>-19.519997181661097</v>
      </c>
      <c r="AT19" s="77">
        <f t="shared" si="10"/>
        <v>-9.6937898486059645E-2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1.218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1.1180000000000001</v>
      </c>
      <c r="II19" s="800" cm="1">
        <f t="array" ref="II19">IFERROR(IF($IH19&lt;1,$IH19+LARGE((IF($M$9:$M$150="",0,$M$9:$M$150)-MOD(IF($M$9:$M$150="",0,$M$9:$M$150),1)),1),$IH19),"")</f>
        <v>1.1180000000000001</v>
      </c>
      <c r="IJ19" s="839" t="str">
        <f t="shared" si="67"/>
        <v>1613</v>
      </c>
      <c r="IK19" s="839" t="str">
        <f t="shared" si="68"/>
        <v/>
      </c>
      <c r="IL19" s="791">
        <f t="shared" si="227"/>
        <v>18.159997378020762</v>
      </c>
      <c r="IM19" s="830">
        <v>2.64067652345631E-2</v>
      </c>
      <c r="IN19" s="5">
        <f t="shared" si="228"/>
        <v>0.64</v>
      </c>
      <c r="IO19" s="852">
        <v>320</v>
      </c>
      <c r="IP19" s="9">
        <f t="shared" si="229"/>
        <v>-3.3439100852328174</v>
      </c>
      <c r="IQ19" s="5">
        <f t="shared" si="230"/>
        <v>-0.18050054438964186</v>
      </c>
      <c r="IR19" s="5">
        <f t="shared" si="73"/>
        <v>0.314</v>
      </c>
      <c r="IS19" s="5">
        <f t="shared" si="231"/>
        <v>0.29841416789142478</v>
      </c>
      <c r="IT19" s="791">
        <f t="shared" si="232"/>
        <v>41.269038618108219</v>
      </c>
      <c r="IU19" s="9">
        <f t="shared" si="233"/>
        <v>-3.3591287836397612</v>
      </c>
      <c r="IV19" s="5">
        <f t="shared" si="234"/>
        <v>-0.1747223316998214</v>
      </c>
      <c r="IW19" s="5">
        <f t="shared" si="78"/>
        <v>0.25700000000000001</v>
      </c>
      <c r="IX19" s="5">
        <f t="shared" si="235"/>
        <v>0.25700000000000001</v>
      </c>
      <c r="IY19" s="833">
        <f t="shared" si="236"/>
        <v>20.309997067599248</v>
      </c>
    </row>
    <row r="20" spans="1:259" ht="15" customHeight="1" x14ac:dyDescent="0.25">
      <c r="A20" s="84">
        <f t="shared" si="81"/>
        <v>0.02</v>
      </c>
      <c r="B20" s="770">
        <v>1.2458461223823745</v>
      </c>
      <c r="C20" s="771">
        <v>3.7517091117660999</v>
      </c>
      <c r="D20" s="772">
        <v>-0.68779999999999986</v>
      </c>
      <c r="E20" s="773">
        <v>-0.70109113386916544</v>
      </c>
      <c r="F20" s="771">
        <v>0.67590905026372028</v>
      </c>
      <c r="G20" s="774">
        <v>0.22719634191959096</v>
      </c>
      <c r="H20" s="773">
        <v>0.26600000000000001</v>
      </c>
      <c r="I20" s="771">
        <v>0.52</v>
      </c>
      <c r="J20" s="601">
        <v>1.224</v>
      </c>
      <c r="K20" s="426" t="str">
        <f t="shared" si="82"/>
        <v>1313</v>
      </c>
      <c r="L20" s="858" t="s">
        <v>377</v>
      </c>
      <c r="M20" s="173">
        <f t="shared" si="1"/>
        <v>1.224</v>
      </c>
      <c r="N20" s="21">
        <f t="shared" si="2"/>
        <v>1.2458461223823745</v>
      </c>
      <c r="O20" s="5">
        <f t="shared" si="3"/>
        <v>3.7517091117660999</v>
      </c>
      <c r="P20" s="10">
        <f t="shared" si="4"/>
        <v>-0.68779999999999986</v>
      </c>
      <c r="Q20" s="624">
        <f t="shared" si="116"/>
        <v>71.63</v>
      </c>
      <c r="R20" s="5">
        <f>IF(M20="","",SQRT(N20^2+O20^2))</f>
        <v>3.9531574494274797</v>
      </c>
      <c r="S20" s="6">
        <f>IF(M20="","",P20)</f>
        <v>-0.68779999999999986</v>
      </c>
      <c r="T20" s="4">
        <f>IF(M20="","",X20*COS(RADIANS(W20)))</f>
        <v>3.7743197638060844</v>
      </c>
      <c r="U20" s="5">
        <f>IF(M20="","",X20*SIN(RADIANS(W20)))</f>
        <v>-1.1755697089100083</v>
      </c>
      <c r="V20" s="8">
        <f>IF(M20="","",Y20)</f>
        <v>-0.68779999999999986</v>
      </c>
      <c r="W20" s="624">
        <f t="shared" si="226"/>
        <v>342.69999984551112</v>
      </c>
      <c r="X20" s="5">
        <f>IF(M20="","",R20)</f>
        <v>3.9531574494274797</v>
      </c>
      <c r="Y20" s="7">
        <f t="shared" si="225"/>
        <v>-0.68779999999999986</v>
      </c>
      <c r="Z20" s="21">
        <f t="shared" si="6"/>
        <v>0.70109113386916544</v>
      </c>
      <c r="AA20" s="5">
        <f t="shared" si="7"/>
        <v>-0.67590905026372028</v>
      </c>
      <c r="AB20" s="5">
        <f t="shared" si="8"/>
        <v>-0.22719634191959096</v>
      </c>
      <c r="AC20" s="8">
        <f>IF(M20="","",SQRT(Z20^2+AA20^2+AB20^2))</f>
        <v>1</v>
      </c>
      <c r="AD20" s="9">
        <f>IF(M20="","",Z20*(1/SQRT(Z20^2+AA20^2+AB20^2)))</f>
        <v>0.70109113386916544</v>
      </c>
      <c r="AE20" s="5">
        <f>IF(M20="","",AA20*(1/SQRT(Z20^2+AA20^2+AB20^2)))</f>
        <v>-0.67590905026372028</v>
      </c>
      <c r="AF20" s="10">
        <f>IF(M20="","",AB20*(1/SQRT(Z20^2+AA20^2+AB20^2)))</f>
        <v>-0.22719634191959096</v>
      </c>
      <c r="AG20" s="622">
        <f>IF(M20="","",DEGREES(ATAN2(-AF20,AE20)))</f>
        <v>-71.420727905641129</v>
      </c>
      <c r="AH20" s="623">
        <f>IF(M20="","",DEGREES(ACOS(AD20)))</f>
        <v>45.485388491886916</v>
      </c>
      <c r="AI20" s="624">
        <f>IF(M20="","",DEGREES(-ACOS(-AF20)))</f>
        <v>-76.867935337422765</v>
      </c>
      <c r="AJ20" s="625">
        <f>IF(M20="","",DEGREES(ATAN2(-AE20,AD20)))</f>
        <v>46.047687802465731</v>
      </c>
      <c r="AK20" s="4">
        <f>IF(M20="","",(COS(RADIANS((90-$Q$8)-W20))*AD20)+(-SIN(RADIANS((90-$Q$8)-W20))*AE20))</f>
        <v>0.87837853889995521</v>
      </c>
      <c r="AL20" s="5">
        <f>IF(M20="","",(SIN(RADIANS((90-$Q$8)-W20))*AD20)+(COS(RADIANS((90-$Q$8)-W20))*AE20))</f>
        <v>-0.42051511818047177</v>
      </c>
      <c r="AM20" s="6">
        <f>IF(M20="","",AF20)</f>
        <v>-0.22719634191959096</v>
      </c>
      <c r="AN20" s="612">
        <f>IF(M20="","",DEGREES(ATAN2(-AM20,AL20)))</f>
        <v>-61.618488515022214</v>
      </c>
      <c r="AO20" s="613">
        <f t="shared" si="98"/>
        <v>28.552618117781829</v>
      </c>
      <c r="AP20" s="624">
        <f>IF(M20="","",DEGREES(ATAN2(AK20,AL20)))</f>
        <v>-25.582312197534282</v>
      </c>
      <c r="AQ20" s="625">
        <f t="shared" si="9"/>
        <v>3.1340370039279897</v>
      </c>
      <c r="AS20" s="56">
        <f t="shared" si="119"/>
        <v>-17.300000154488885</v>
      </c>
      <c r="AT20" s="77">
        <f t="shared" si="10"/>
        <v>-0.61840222222222196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1.224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1.1240000000000001</v>
      </c>
      <c r="II20" s="800" cm="1">
        <f t="array" ref="II20">IFERROR(IF($IH20&lt;1,$IH20+LARGE((IF($M$9:$M$150="",0,$M$9:$M$150)-MOD(IF($M$9:$M$150="",0,$M$9:$M$150),1)),1),$IH20),"")</f>
        <v>1.1240000000000001</v>
      </c>
      <c r="IJ20" s="839" t="str">
        <f t="shared" si="67"/>
        <v>1613</v>
      </c>
      <c r="IK20" s="839" t="str">
        <f t="shared" si="68"/>
        <v>1313</v>
      </c>
      <c r="IL20" s="791">
        <f t="shared" si="227"/>
        <v>14.80000051544414</v>
      </c>
      <c r="IM20" s="830">
        <v>5.5934007843374102E-3</v>
      </c>
      <c r="IN20" s="5">
        <f t="shared" si="228"/>
        <v>0.16</v>
      </c>
      <c r="IO20" s="852">
        <v>80</v>
      </c>
      <c r="IP20" s="9">
        <f t="shared" si="229"/>
        <v>-3.9151118079772127</v>
      </c>
      <c r="IQ20" s="5">
        <f t="shared" si="230"/>
        <v>-0.71780216489132931</v>
      </c>
      <c r="IR20" s="5">
        <f t="shared" si="73"/>
        <v>0.314</v>
      </c>
      <c r="IS20" s="5">
        <f t="shared" si="231"/>
        <v>0.28727496528936247</v>
      </c>
      <c r="IT20" s="791">
        <f t="shared" si="232"/>
        <v>64.855798241279132</v>
      </c>
      <c r="IU20" s="9">
        <f t="shared" si="233"/>
        <v>-3.9531574494274797</v>
      </c>
      <c r="IV20" s="5">
        <f t="shared" si="234"/>
        <v>-0.68779999999999986</v>
      </c>
      <c r="IW20" s="5">
        <f t="shared" si="78"/>
        <v>0.26600000000000001</v>
      </c>
      <c r="IX20" s="5">
        <f t="shared" si="235"/>
        <v>0.23364869134738811</v>
      </c>
      <c r="IY20" s="833">
        <f t="shared" si="236"/>
        <v>61.618488515022214</v>
      </c>
    </row>
    <row r="21" spans="1:259" ht="15" customHeight="1" x14ac:dyDescent="0.25">
      <c r="A21" s="84">
        <f t="shared" si="81"/>
        <v>0.02</v>
      </c>
      <c r="B21" s="770">
        <v>1.3141442509426613</v>
      </c>
      <c r="C21" s="771">
        <v>3.9481625360631245</v>
      </c>
      <c r="D21" s="772">
        <v>-1.4672999999999996</v>
      </c>
      <c r="E21" s="773">
        <v>-0.58423867409295049</v>
      </c>
      <c r="F21" s="771">
        <v>0.8097529074572638</v>
      </c>
      <c r="G21" s="774">
        <v>5.4455491537762767E-2</v>
      </c>
      <c r="H21" s="773">
        <v>0.26600000000000001</v>
      </c>
      <c r="I21" s="771">
        <v>0.52</v>
      </c>
      <c r="J21" s="601">
        <v>1.23</v>
      </c>
      <c r="K21" s="426" t="str">
        <f t="shared" si="82"/>
        <v>1313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1.23</v>
      </c>
      <c r="N21" s="21">
        <f t="shared" si="2"/>
        <v>1.3141442509426613</v>
      </c>
      <c r="O21" s="5">
        <f t="shared" si="3"/>
        <v>3.9481625360631245</v>
      </c>
      <c r="P21" s="10">
        <f t="shared" si="4"/>
        <v>-1.4672999999999996</v>
      </c>
      <c r="Q21" s="624">
        <f t="shared" si="116"/>
        <v>71.590000000000018</v>
      </c>
      <c r="R21" s="5">
        <f>IF(M21="","",SQRT(N21^2+O21^2))</f>
        <v>4.1611251511409808</v>
      </c>
      <c r="S21" s="6">
        <f>IF(M21="","",P21)</f>
        <v>-1.4672999999999996</v>
      </c>
      <c r="T21" s="4">
        <f>IF(M21="","",X21*COS(RADIANS(W21)))</f>
        <v>3.9720143267064723</v>
      </c>
      <c r="U21" s="5">
        <f>IF(M21="","",X21*SIN(RADIANS(W21)))</f>
        <v>-1.2401873696730592</v>
      </c>
      <c r="V21" s="8">
        <f>IF(M21="","",Y21)</f>
        <v>-1.4672999999999996</v>
      </c>
      <c r="W21" s="624">
        <f t="shared" si="226"/>
        <v>342.65999984551115</v>
      </c>
      <c r="X21" s="5">
        <f>IF(M21="","",R21)</f>
        <v>4.1611251511409808</v>
      </c>
      <c r="Y21" s="7">
        <f t="shared" si="225"/>
        <v>-1.4672999999999996</v>
      </c>
      <c r="Z21" s="21">
        <f t="shared" si="6"/>
        <v>0.58423867409295049</v>
      </c>
      <c r="AA21" s="5">
        <f t="shared" si="7"/>
        <v>-0.8097529074572638</v>
      </c>
      <c r="AB21" s="5">
        <f t="shared" si="8"/>
        <v>-5.4455491537762767E-2</v>
      </c>
      <c r="AC21" s="8">
        <f>IF(M21="","",SQRT(Z21^2+AA21^2+AB21^2))</f>
        <v>1</v>
      </c>
      <c r="AD21" s="9">
        <f>IF(M21="","",Z21*(1/SQRT(Z21^2+AA21^2+AB21^2)))</f>
        <v>0.58423867409295049</v>
      </c>
      <c r="AE21" s="5">
        <f>IF(M21="","",AA21*(1/SQRT(Z21^2+AA21^2+AB21^2)))</f>
        <v>-0.8097529074572638</v>
      </c>
      <c r="AF21" s="10">
        <f>IF(M21="","",AB21*(1/SQRT(Z21^2+AA21^2+AB21^2)))</f>
        <v>-5.4455491537762767E-2</v>
      </c>
      <c r="AG21" s="622">
        <f>IF(M21="","",DEGREES(ATAN2(-AF21,AE21)))</f>
        <v>-86.152679382876684</v>
      </c>
      <c r="AH21" s="623">
        <f>IF(M21="","",DEGREES(ACOS(AD21)))</f>
        <v>54.250775981060507</v>
      </c>
      <c r="AI21" s="624">
        <f>IF(M21="","",DEGREES(-ACOS(-AF21)))</f>
        <v>-86.878386059381768</v>
      </c>
      <c r="AJ21" s="625">
        <f>IF(M21="","",DEGREES(ATAN2(-AE21,AD21)))</f>
        <v>35.810539277302802</v>
      </c>
      <c r="AK21" s="4">
        <f>IF(M21="","",(COS(RADIANS((90-$Q$8)-W21))*AD21)+(-SIN(RADIANS((90-$Q$8)-W21))*AE21))</f>
        <v>0.81006969287327835</v>
      </c>
      <c r="AL21" s="5">
        <f>IF(M21="","",(SIN(RADIANS((90-$Q$8)-W21))*AD21)+(COS(RADIANS((90-$Q$8)-W21))*AE21))</f>
        <v>-0.58379935948026984</v>
      </c>
      <c r="AM21" s="6">
        <f>IF(M21="","",AF21)</f>
        <v>-5.4455491537762767E-2</v>
      </c>
      <c r="AN21" s="612">
        <f>IF(M21="","",DEGREES(ATAN2(-AM21,AL21)))</f>
        <v>-84.670998241226869</v>
      </c>
      <c r="AO21" s="613">
        <f>IF(ROUND(IF(M21="",0,DEGREES(ACOS(AK21))),4)=90,0,IF(M21="","",DEGREES(ACOS(AK21))))</f>
        <v>35.897258842785391</v>
      </c>
      <c r="AP21" s="624">
        <f>IF(M21="","",DEGREES(ATAN2(AK21,AL21)))</f>
        <v>-35.779460722697216</v>
      </c>
      <c r="AQ21" s="625">
        <f t="shared" si="9"/>
        <v>2.9776911322362825</v>
      </c>
      <c r="AS21" s="56">
        <f t="shared" si="119"/>
        <v>-17.340000154488848</v>
      </c>
      <c r="AT21" s="77">
        <f t="shared" si="10"/>
        <v>-1.3977511111111107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 t="str">
        <f>IFERROR(IF($IU21="","",IF($IU21&lt;(((Settings!$C$19/2)*-1)*$IE$8),"",1)),"")</f>
        <v/>
      </c>
      <c r="IF21" s="91">
        <f>IFERROR(IF((((($IW21*COS(RADIANS(180-$IY21)))*COS(RADIANS($IY21)))-(($IX21*SIN(RADIANS(180-$IY21)))*SIN(RADIANS($IY21))))+$IU21)&lt;(((Settings!$C$19/2)*-1)+$IF$8),1,""),"")</f>
        <v>1</v>
      </c>
      <c r="IG21" s="836">
        <f t="shared" si="66"/>
        <v>1.23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1.1299999999999999</v>
      </c>
      <c r="II21" s="800" cm="1">
        <f t="array" ref="II21">IFERROR(IF($IH21&lt;1,$IH21+LARGE((IF($M$9:$M$150="",0,$M$9:$M$150)-MOD(IF($M$9:$M$150="",0,$M$9:$M$150),1)),1),$IH21),"")</f>
        <v>1.1299999999999999</v>
      </c>
      <c r="IJ21" s="839" t="str">
        <f t="shared" si="67"/>
        <v>1613</v>
      </c>
      <c r="IK21" s="839" t="str">
        <f t="shared" si="68"/>
        <v>1313</v>
      </c>
      <c r="IL21" s="791">
        <f t="shared" si="227"/>
        <v>14.430000574640758</v>
      </c>
      <c r="IM21" s="830">
        <v>2.0100569864908899E-3</v>
      </c>
      <c r="IN21" s="5">
        <f t="shared" si="228"/>
        <v>0.06</v>
      </c>
      <c r="IO21" s="852">
        <v>30</v>
      </c>
      <c r="IP21" s="9">
        <f t="shared" si="229"/>
        <v>-4.1104123970037891</v>
      </c>
      <c r="IQ21" s="5">
        <f t="shared" si="230"/>
        <v>-1.4775044561534398</v>
      </c>
      <c r="IR21" s="5">
        <f t="shared" si="73"/>
        <v>0.314</v>
      </c>
      <c r="IS21" s="5">
        <f t="shared" si="231"/>
        <v>0.26891692508824439</v>
      </c>
      <c r="IT21" s="791">
        <f t="shared" si="232"/>
        <v>86.716557799133938</v>
      </c>
      <c r="IU21" s="9">
        <f t="shared" si="233"/>
        <v>-4.1611251511409808</v>
      </c>
      <c r="IV21" s="5">
        <f t="shared" si="234"/>
        <v>-1.4672999999999996</v>
      </c>
      <c r="IW21" s="5">
        <f t="shared" si="78"/>
        <v>0.26600000000000001</v>
      </c>
      <c r="IX21" s="5">
        <f t="shared" si="235"/>
        <v>0.21547853830429206</v>
      </c>
      <c r="IY21" s="833">
        <f t="shared" si="236"/>
        <v>84.670998241226869</v>
      </c>
    </row>
    <row r="22" spans="1:259" ht="15" customHeight="1" x14ac:dyDescent="0.25">
      <c r="A22" s="84">
        <f t="shared" si="81"/>
        <v>0.02</v>
      </c>
      <c r="B22" s="770">
        <v>2.2330899829473143</v>
      </c>
      <c r="C22" s="771">
        <v>0.99984305159958564</v>
      </c>
      <c r="D22" s="772">
        <v>-4.9900150498853907E-2</v>
      </c>
      <c r="E22" s="773">
        <v>-0.36047935648378354</v>
      </c>
      <c r="F22" s="771">
        <v>0.88967869281215628</v>
      </c>
      <c r="G22" s="774">
        <v>0.28022572527355549</v>
      </c>
      <c r="H22" s="773">
        <v>0.314</v>
      </c>
      <c r="I22" s="771">
        <v>0.52</v>
      </c>
      <c r="J22" s="601">
        <v>2.1110000000000002</v>
      </c>
      <c r="K22" s="426" t="str">
        <f t="shared" si="82"/>
        <v>1613</v>
      </c>
      <c r="L22" s="327"/>
      <c r="M22" s="173">
        <f t="shared" si="1"/>
        <v>2.1110000000000002</v>
      </c>
      <c r="N22" s="21">
        <f t="shared" si="2"/>
        <v>2.2330899829473143</v>
      </c>
      <c r="O22" s="5">
        <f t="shared" si="3"/>
        <v>0.99984305159958564</v>
      </c>
      <c r="P22" s="10">
        <f t="shared" si="4"/>
        <v>-4.9900150498853907E-2</v>
      </c>
      <c r="Q22" s="624">
        <f t="shared" si="116"/>
        <v>24.119957534332212</v>
      </c>
      <c r="R22" s="5">
        <f t="shared" si="83"/>
        <v>2.4467073792694558</v>
      </c>
      <c r="S22" s="6">
        <f t="shared" si="84"/>
        <v>-4.9900150498853907E-2</v>
      </c>
      <c r="T22" s="4">
        <f t="shared" si="85"/>
        <v>1.0413692826177163</v>
      </c>
      <c r="U22" s="5">
        <f t="shared" si="86"/>
        <v>-2.2140295881021714</v>
      </c>
      <c r="V22" s="8">
        <f t="shared" si="117"/>
        <v>-4.9900150498853907E-2</v>
      </c>
      <c r="W22" s="624">
        <f t="shared" si="226"/>
        <v>295.18995737984335</v>
      </c>
      <c r="X22" s="5">
        <f t="shared" si="87"/>
        <v>2.4467073792694558</v>
      </c>
      <c r="Y22" s="7">
        <f t="shared" si="225"/>
        <v>-4.9900150498853907E-2</v>
      </c>
      <c r="Z22" s="21">
        <f t="shared" si="6"/>
        <v>0.36047935648378354</v>
      </c>
      <c r="AA22" s="5">
        <f t="shared" si="7"/>
        <v>-0.88967869281215628</v>
      </c>
      <c r="AB22" s="5">
        <f t="shared" si="8"/>
        <v>-0.28022572527355549</v>
      </c>
      <c r="AC22" s="8">
        <f t="shared" si="88"/>
        <v>1</v>
      </c>
      <c r="AD22" s="9">
        <f t="shared" si="118"/>
        <v>0.36047935648378354</v>
      </c>
      <c r="AE22" s="5">
        <f t="shared" si="89"/>
        <v>-0.88967869281215628</v>
      </c>
      <c r="AF22" s="10">
        <f t="shared" si="90"/>
        <v>-0.28022572527355549</v>
      </c>
      <c r="AG22" s="622">
        <f t="shared" si="91"/>
        <v>-72.516923881520228</v>
      </c>
      <c r="AH22" s="623">
        <f t="shared" si="92"/>
        <v>68.870362140864799</v>
      </c>
      <c r="AI22" s="624">
        <f t="shared" si="93"/>
        <v>-73.726322844679501</v>
      </c>
      <c r="AJ22" s="625">
        <f t="shared" si="94"/>
        <v>22.05677058637594</v>
      </c>
      <c r="AK22" s="4">
        <f t="shared" si="213"/>
        <v>0.9593118395248017</v>
      </c>
      <c r="AL22" s="5">
        <f t="shared" si="95"/>
        <v>-3.4559187525912471E-2</v>
      </c>
      <c r="AM22" s="6">
        <f t="shared" si="96"/>
        <v>-0.28022572527355549</v>
      </c>
      <c r="AN22" s="612">
        <f t="shared" si="97"/>
        <v>-7.0305734689843939</v>
      </c>
      <c r="AO22" s="613">
        <f t="shared" si="98"/>
        <v>16.400433254801811</v>
      </c>
      <c r="AP22" s="624">
        <f t="shared" si="99"/>
        <v>-2.0631869479563054</v>
      </c>
      <c r="AQ22" s="625">
        <f t="shared" si="9"/>
        <v>5.0555743074816739</v>
      </c>
      <c r="AS22" s="56">
        <f t="shared" si="119"/>
        <v>-64.810042620156651</v>
      </c>
      <c r="AT22" s="77">
        <f t="shared" si="10"/>
        <v>0.19898000992700218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2.1110000000000002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7"/>
        <v/>
      </c>
      <c r="IK22" s="839" t="str">
        <f t="shared" si="68"/>
        <v/>
      </c>
      <c r="IL22" s="791" t="str">
        <f t="shared" si="227"/>
        <v/>
      </c>
      <c r="IM22" s="830"/>
      <c r="IN22" s="5" t="str">
        <f t="shared" si="228"/>
        <v/>
      </c>
      <c r="IO22" s="852"/>
      <c r="IP22" s="9" t="str">
        <f t="shared" si="229"/>
        <v/>
      </c>
      <c r="IQ22" s="5" t="str">
        <f t="shared" si="230"/>
        <v/>
      </c>
      <c r="IR22" s="5" t="str">
        <f t="shared" si="73"/>
        <v/>
      </c>
      <c r="IS22" s="5" t="str">
        <f t="shared" si="231"/>
        <v/>
      </c>
      <c r="IT22" s="791" t="str">
        <f t="shared" si="232"/>
        <v/>
      </c>
      <c r="IU22" s="9" t="str">
        <f t="shared" si="233"/>
        <v/>
      </c>
      <c r="IV22" s="5" t="str">
        <f t="shared" si="234"/>
        <v/>
      </c>
      <c r="IW22" s="5" t="str">
        <f t="shared" si="78"/>
        <v/>
      </c>
      <c r="IX22" s="5" t="str">
        <f t="shared" si="235"/>
        <v/>
      </c>
      <c r="IY22" s="833" t="str">
        <f t="shared" si="236"/>
        <v/>
      </c>
    </row>
    <row r="23" spans="1:259" ht="15" customHeight="1" x14ac:dyDescent="0.25">
      <c r="A23" s="84">
        <f t="shared" si="81"/>
        <v>0.02</v>
      </c>
      <c r="B23" s="770">
        <v>2.9715771470420287</v>
      </c>
      <c r="C23" s="771">
        <v>1.2485231940252797</v>
      </c>
      <c r="D23" s="772">
        <v>-0.12590037971554524</v>
      </c>
      <c r="E23" s="773">
        <v>-0.20023129245053417</v>
      </c>
      <c r="F23" s="771">
        <v>0.94739798001255082</v>
      </c>
      <c r="G23" s="774">
        <v>0.2496888002929385</v>
      </c>
      <c r="H23" s="773">
        <v>0.314</v>
      </c>
      <c r="I23" s="771">
        <v>0.52</v>
      </c>
      <c r="J23" s="601">
        <v>2.117</v>
      </c>
      <c r="K23" s="426" t="str">
        <f t="shared" si="82"/>
        <v>1613</v>
      </c>
      <c r="L23" s="327"/>
      <c r="M23" s="173">
        <f t="shared" si="1"/>
        <v>2.117</v>
      </c>
      <c r="N23" s="21">
        <f t="shared" si="2"/>
        <v>2.9715771470420287</v>
      </c>
      <c r="O23" s="5">
        <f t="shared" si="3"/>
        <v>1.2485231940252797</v>
      </c>
      <c r="P23" s="10">
        <f t="shared" si="4"/>
        <v>-0.12590037971554524</v>
      </c>
      <c r="Q23" s="624">
        <f t="shared" si="116"/>
        <v>22.78995772636042</v>
      </c>
      <c r="R23" s="5">
        <f t="shared" si="83"/>
        <v>3.2232097212005191</v>
      </c>
      <c r="S23" s="6">
        <f t="shared" si="84"/>
        <v>-0.12590037971554524</v>
      </c>
      <c r="T23" s="4">
        <f t="shared" si="85"/>
        <v>1.3037965230730864</v>
      </c>
      <c r="U23" s="5">
        <f t="shared" si="86"/>
        <v>-2.947744143114198</v>
      </c>
      <c r="V23" s="8">
        <f t="shared" si="117"/>
        <v>-0.12590037971554524</v>
      </c>
      <c r="W23" s="624">
        <f t="shared" si="226"/>
        <v>293.85995757187152</v>
      </c>
      <c r="X23" s="5">
        <f t="shared" si="87"/>
        <v>3.2232097212005191</v>
      </c>
      <c r="Y23" s="7">
        <f t="shared" si="225"/>
        <v>-0.12590037971554524</v>
      </c>
      <c r="Z23" s="21">
        <f t="shared" si="6"/>
        <v>0.20023129245053417</v>
      </c>
      <c r="AA23" s="5">
        <f t="shared" si="7"/>
        <v>-0.94739798001255082</v>
      </c>
      <c r="AB23" s="5">
        <f t="shared" si="8"/>
        <v>-0.2496888002929385</v>
      </c>
      <c r="AC23" s="8">
        <f t="shared" si="88"/>
        <v>1</v>
      </c>
      <c r="AD23" s="9">
        <f t="shared" si="118"/>
        <v>0.20023129245053417</v>
      </c>
      <c r="AE23" s="5">
        <f t="shared" si="89"/>
        <v>-0.94739798001255082</v>
      </c>
      <c r="AF23" s="10">
        <f t="shared" si="90"/>
        <v>-0.2496888002929385</v>
      </c>
      <c r="AG23" s="622">
        <f t="shared" si="91"/>
        <v>-75.235311623810205</v>
      </c>
      <c r="AH23" s="623">
        <f t="shared" si="92"/>
        <v>78.449515292390117</v>
      </c>
      <c r="AI23" s="624">
        <f t="shared" si="93"/>
        <v>-75.540902239056265</v>
      </c>
      <c r="AJ23" s="625">
        <f t="shared" si="94"/>
        <v>11.933767686110567</v>
      </c>
      <c r="AK23" s="4">
        <f t="shared" si="213"/>
        <v>0.95099601468425066</v>
      </c>
      <c r="AL23" s="5">
        <f t="shared" si="95"/>
        <v>-0.18237895455053404</v>
      </c>
      <c r="AM23" s="6">
        <f t="shared" si="96"/>
        <v>-0.2496888002929385</v>
      </c>
      <c r="AN23" s="612">
        <f t="shared" si="97"/>
        <v>-36.145328198022135</v>
      </c>
      <c r="AO23" s="613">
        <f t="shared" si="98"/>
        <v>18.011214409788241</v>
      </c>
      <c r="AP23" s="624">
        <f t="shared" si="99"/>
        <v>-10.856190040249807</v>
      </c>
      <c r="AQ23" s="625">
        <f t="shared" si="9"/>
        <v>3.8418600862505352</v>
      </c>
      <c r="AS23" s="56">
        <f t="shared" si="119"/>
        <v>-66.140042428128481</v>
      </c>
      <c r="AT23" s="77">
        <f t="shared" si="10"/>
        <v>0.12800422442931553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2.117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7"/>
        <v/>
      </c>
      <c r="IK23" s="839" t="str">
        <f t="shared" si="68"/>
        <v/>
      </c>
      <c r="IL23" s="791" t="str">
        <f t="shared" si="227"/>
        <v/>
      </c>
      <c r="IM23" s="830"/>
      <c r="IN23" s="5" t="str">
        <f t="shared" si="228"/>
        <v/>
      </c>
      <c r="IO23" s="852"/>
      <c r="IP23" s="9" t="str">
        <f t="shared" si="229"/>
        <v/>
      </c>
      <c r="IQ23" s="5" t="str">
        <f t="shared" si="230"/>
        <v/>
      </c>
      <c r="IR23" s="5" t="str">
        <f t="shared" si="73"/>
        <v/>
      </c>
      <c r="IS23" s="5" t="str">
        <f t="shared" si="231"/>
        <v/>
      </c>
      <c r="IT23" s="791" t="str">
        <f t="shared" si="232"/>
        <v/>
      </c>
      <c r="IU23" s="9" t="str">
        <f t="shared" si="233"/>
        <v/>
      </c>
      <c r="IV23" s="5" t="str">
        <f t="shared" si="234"/>
        <v/>
      </c>
      <c r="IW23" s="5" t="str">
        <f t="shared" si="78"/>
        <v/>
      </c>
      <c r="IX23" s="5" t="str">
        <f t="shared" si="235"/>
        <v/>
      </c>
      <c r="IY23" s="833" t="str">
        <f t="shared" si="236"/>
        <v/>
      </c>
    </row>
    <row r="24" spans="1:259" ht="15" customHeight="1" x14ac:dyDescent="0.25">
      <c r="A24" s="84">
        <f t="shared" si="81"/>
        <v>0.02</v>
      </c>
      <c r="B24" s="770">
        <v>3.5730785137984999</v>
      </c>
      <c r="C24" s="771">
        <v>1.4132362687499096</v>
      </c>
      <c r="D24" s="772">
        <v>-0.6071018310191223</v>
      </c>
      <c r="E24" s="773">
        <v>-2.9420295619311882E-2</v>
      </c>
      <c r="F24" s="771">
        <v>0.98302714037493077</v>
      </c>
      <c r="G24" s="774">
        <v>0.18108585668670671</v>
      </c>
      <c r="H24" s="773">
        <v>0.314</v>
      </c>
      <c r="I24" s="771">
        <v>0.52</v>
      </c>
      <c r="J24" s="601">
        <v>2.1230000000000002</v>
      </c>
      <c r="K24" s="426" t="str">
        <f t="shared" si="82"/>
        <v>1613</v>
      </c>
      <c r="L24" s="327"/>
      <c r="M24" s="173">
        <f t="shared" si="1"/>
        <v>2.1230000000000002</v>
      </c>
      <c r="N24" s="21">
        <f t="shared" si="2"/>
        <v>3.5730785137984999</v>
      </c>
      <c r="O24" s="5">
        <f t="shared" si="3"/>
        <v>1.4132362687499096</v>
      </c>
      <c r="P24" s="10">
        <f t="shared" si="4"/>
        <v>-0.6071018310191223</v>
      </c>
      <c r="Q24" s="624">
        <f t="shared" si="116"/>
        <v>21.579957901062777</v>
      </c>
      <c r="R24" s="5">
        <f t="shared" si="83"/>
        <v>3.8424115887133516</v>
      </c>
      <c r="S24" s="6">
        <f t="shared" si="84"/>
        <v>-0.6071018310191223</v>
      </c>
      <c r="T24" s="4">
        <f t="shared" si="85"/>
        <v>1.4797132735774061</v>
      </c>
      <c r="U24" s="5">
        <f t="shared" si="86"/>
        <v>-3.5460647829780969</v>
      </c>
      <c r="V24" s="8">
        <f t="shared" si="117"/>
        <v>-0.6071018310191223</v>
      </c>
      <c r="W24" s="624">
        <f t="shared" si="226"/>
        <v>292.64995774657388</v>
      </c>
      <c r="X24" s="5">
        <f t="shared" si="87"/>
        <v>3.8424115887133516</v>
      </c>
      <c r="Y24" s="7">
        <f t="shared" si="225"/>
        <v>-0.6071018310191223</v>
      </c>
      <c r="Z24" s="21">
        <f t="shared" si="6"/>
        <v>2.9420295619311882E-2</v>
      </c>
      <c r="AA24" s="5">
        <f t="shared" si="7"/>
        <v>-0.98302714037493077</v>
      </c>
      <c r="AB24" s="5">
        <f t="shared" si="8"/>
        <v>-0.18108585668670671</v>
      </c>
      <c r="AC24" s="8">
        <f t="shared" si="88"/>
        <v>1</v>
      </c>
      <c r="AD24" s="9">
        <f t="shared" si="118"/>
        <v>2.9420295619311882E-2</v>
      </c>
      <c r="AE24" s="5">
        <f t="shared" si="89"/>
        <v>-0.98302714037493077</v>
      </c>
      <c r="AF24" s="10">
        <f t="shared" si="90"/>
        <v>-0.18108585668670671</v>
      </c>
      <c r="AG24" s="622">
        <f t="shared" si="91"/>
        <v>-79.562416990788307</v>
      </c>
      <c r="AH24" s="623">
        <f t="shared" si="92"/>
        <v>88.314097962831454</v>
      </c>
      <c r="AI24" s="624">
        <f t="shared" si="93"/>
        <v>-79.56698573182733</v>
      </c>
      <c r="AJ24" s="625">
        <f t="shared" si="94"/>
        <v>1.7142515094783763</v>
      </c>
      <c r="AK24" s="4">
        <f>IF(M24="","",(COS(RADIANS((90-$Q$8)-W24))*AD24)+(-SIN(RADIANS((90-$Q$8)-W24))*AE24))</f>
        <v>0.92494281273784063</v>
      </c>
      <c r="AL24" s="5">
        <f t="shared" si="95"/>
        <v>-0.33419860214048358</v>
      </c>
      <c r="AM24" s="6">
        <f t="shared" si="96"/>
        <v>-0.18108585668670671</v>
      </c>
      <c r="AN24" s="612">
        <f t="shared" si="97"/>
        <v>-61.548905004707038</v>
      </c>
      <c r="AO24" s="613">
        <f t="shared" si="98"/>
        <v>22.340266778581409</v>
      </c>
      <c r="AP24" s="624">
        <f t="shared" si="99"/>
        <v>-19.865706391584396</v>
      </c>
      <c r="AQ24" s="625">
        <f t="shared" si="9"/>
        <v>3.224178206341926</v>
      </c>
      <c r="AS24" s="56">
        <f t="shared" si="119"/>
        <v>-67.350042253426125</v>
      </c>
      <c r="AT24" s="77">
        <f t="shared" si="10"/>
        <v>-0.34862611642313707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2.1230000000000002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7"/>
        <v/>
      </c>
      <c r="IK24" s="839" t="str">
        <f t="shared" si="68"/>
        <v/>
      </c>
      <c r="IL24" s="791" t="str">
        <f t="shared" si="227"/>
        <v/>
      </c>
      <c r="IM24" s="830"/>
      <c r="IN24" s="5" t="str">
        <f t="shared" si="228"/>
        <v/>
      </c>
      <c r="IO24" s="852"/>
      <c r="IP24" s="9" t="str">
        <f t="shared" si="229"/>
        <v/>
      </c>
      <c r="IQ24" s="5" t="str">
        <f t="shared" si="230"/>
        <v/>
      </c>
      <c r="IR24" s="5" t="str">
        <f t="shared" si="73"/>
        <v/>
      </c>
      <c r="IS24" s="5" t="str">
        <f t="shared" si="231"/>
        <v/>
      </c>
      <c r="IT24" s="791" t="str">
        <f t="shared" si="232"/>
        <v/>
      </c>
      <c r="IU24" s="9" t="str">
        <f t="shared" si="233"/>
        <v/>
      </c>
      <c r="IV24" s="5" t="str">
        <f t="shared" si="234"/>
        <v/>
      </c>
      <c r="IW24" s="5" t="str">
        <f t="shared" si="78"/>
        <v/>
      </c>
      <c r="IX24" s="5" t="str">
        <f t="shared" si="235"/>
        <v/>
      </c>
      <c r="IY24" s="833" t="str">
        <f t="shared" si="236"/>
        <v/>
      </c>
    </row>
    <row r="25" spans="1:259" ht="15" customHeight="1" x14ac:dyDescent="0.25">
      <c r="A25" s="84">
        <f t="shared" si="81"/>
        <v>0.02</v>
      </c>
      <c r="B25" s="770">
        <v>3.8341096639961956</v>
      </c>
      <c r="C25" s="771">
        <v>1.474077390793832</v>
      </c>
      <c r="D25" s="772">
        <v>-1.3451040568338355</v>
      </c>
      <c r="E25" s="773">
        <v>0.15370352901053719</v>
      </c>
      <c r="F25" s="771">
        <v>0.98576110199432887</v>
      </c>
      <c r="G25" s="774">
        <v>6.8192924593636892E-2</v>
      </c>
      <c r="H25" s="773">
        <v>0.314</v>
      </c>
      <c r="I25" s="771">
        <v>0.52</v>
      </c>
      <c r="J25" s="601">
        <v>2.129</v>
      </c>
      <c r="K25" s="426" t="str">
        <f t="shared" si="82"/>
        <v>1613</v>
      </c>
      <c r="L25" s="327"/>
      <c r="M25" s="173">
        <f t="shared" si="1"/>
        <v>2.129</v>
      </c>
      <c r="N25" s="21">
        <f t="shared" si="2"/>
        <v>3.8341096639961956</v>
      </c>
      <c r="O25" s="5">
        <f t="shared" si="3"/>
        <v>1.474077390793832</v>
      </c>
      <c r="P25" s="10">
        <f t="shared" si="4"/>
        <v>-1.3451040568338355</v>
      </c>
      <c r="Q25" s="624">
        <f t="shared" si="116"/>
        <v>21.02995798047295</v>
      </c>
      <c r="R25" s="5">
        <f>IF(M25="","",SQRT(N25^2+O25^2))</f>
        <v>4.1077123888605653</v>
      </c>
      <c r="S25" s="6">
        <f>IF(M25="","",P25)</f>
        <v>-1.3451040568338355</v>
      </c>
      <c r="T25" s="4">
        <f>IF(M25="","",X25*COS(RADIANS(W25)))</f>
        <v>1.5454182652479154</v>
      </c>
      <c r="U25" s="5">
        <f>IF(M25="","",X25*SIN(RADIANS(W25)))</f>
        <v>-3.8059142732117204</v>
      </c>
      <c r="V25" s="8">
        <f>IF(M25="","",Y25)</f>
        <v>-1.3451040568338355</v>
      </c>
      <c r="W25" s="624">
        <f t="shared" si="226"/>
        <v>292.09995782598406</v>
      </c>
      <c r="X25" s="5">
        <f>IF(M25="","",R25)</f>
        <v>4.1077123888605653</v>
      </c>
      <c r="Y25" s="7">
        <f t="shared" si="225"/>
        <v>-1.3451040568338355</v>
      </c>
      <c r="Z25" s="21">
        <f t="shared" si="6"/>
        <v>-0.15370352901053719</v>
      </c>
      <c r="AA25" s="5">
        <f t="shared" si="7"/>
        <v>-0.98576110199432887</v>
      </c>
      <c r="AB25" s="5">
        <f t="shared" si="8"/>
        <v>-6.8192924593636892E-2</v>
      </c>
      <c r="AC25" s="8">
        <f>IF(M25="","",SQRT(Z25^2+AA25^2+AB25^2))</f>
        <v>1</v>
      </c>
      <c r="AD25" s="9">
        <f>IF(M25="","",Z25*(1/SQRT(Z25^2+AA25^2+AB25^2)))</f>
        <v>-0.15370352901053719</v>
      </c>
      <c r="AE25" s="5">
        <f>IF(M25="","",AA25*(1/SQRT(Z25^2+AA25^2+AB25^2)))</f>
        <v>-0.98576110199432887</v>
      </c>
      <c r="AF25" s="10">
        <f>IF(M25="","",AB25*(1/SQRT(Z25^2+AA25^2+AB25^2)))</f>
        <v>-6.8192924593636892E-2</v>
      </c>
      <c r="AG25" s="622">
        <f>IF(M25="","",DEGREES(ATAN2(-AF25,AE25)))</f>
        <v>-86.042700505335361</v>
      </c>
      <c r="AH25" s="623">
        <f>IF(M25="","",DEGREES(ACOS(AD25)))</f>
        <v>98.841612931210321</v>
      </c>
      <c r="AI25" s="624">
        <f>IF(M25="","",DEGREES(-ACOS(-AF25)))</f>
        <v>-86.089798640277678</v>
      </c>
      <c r="AJ25" s="625">
        <f>IF(M25="","",DEGREES(ATAN2(-AE25,AD25)))</f>
        <v>-8.8624087934669831</v>
      </c>
      <c r="AK25" s="4">
        <f>IF(M25="","",(COS(RADIANS((90-$Q$8)-W25))*AD25)+(-SIN(RADIANS((90-$Q$8)-W25))*AE25))</f>
        <v>0.86494499473316033</v>
      </c>
      <c r="AL25" s="5">
        <f>IF(M25="","",(SIN(RADIANS((90-$Q$8)-W25))*AD25)+(COS(RADIANS((90-$Q$8)-W25))*AE25))</f>
        <v>-0.49721210878398781</v>
      </c>
      <c r="AM25" s="6">
        <f>IF(M25="","",AF25)</f>
        <v>-6.8192924593636892E-2</v>
      </c>
      <c r="AN25" s="612">
        <f>IF(M25="","",DEGREES(ATAN2(-AM25,AL25)))</f>
        <v>-82.190573731776624</v>
      </c>
      <c r="AO25" s="613">
        <f>IF(ROUND(IF(M25="",0,DEGREES(ACOS(AK25))),4)=90,0,IF(M25="","",DEGREES(ACOS(AK25))))</f>
        <v>30.123575035566969</v>
      </c>
      <c r="AP25" s="624">
        <f>IF(M25="","",DEGREES(ATAN2(AK25,AL25)))</f>
        <v>-29.892366773939941</v>
      </c>
      <c r="AQ25" s="625">
        <f t="shared" si="9"/>
        <v>3.0163391364013981</v>
      </c>
      <c r="AS25" s="56">
        <f t="shared" si="119"/>
        <v>-67.900042174015937</v>
      </c>
      <c r="AT25" s="77">
        <f t="shared" si="10"/>
        <v>-1.0845505647600666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2.129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7"/>
        <v/>
      </c>
      <c r="IK25" s="839" t="str">
        <f t="shared" si="68"/>
        <v/>
      </c>
      <c r="IL25" s="791" t="str">
        <f t="shared" si="227"/>
        <v/>
      </c>
      <c r="IM25" s="830"/>
      <c r="IN25" s="5" t="str">
        <f t="shared" si="228"/>
        <v/>
      </c>
      <c r="IO25" s="852"/>
      <c r="IP25" s="9" t="str">
        <f t="shared" si="229"/>
        <v/>
      </c>
      <c r="IQ25" s="5" t="str">
        <f t="shared" si="230"/>
        <v/>
      </c>
      <c r="IR25" s="5" t="str">
        <f t="shared" si="73"/>
        <v/>
      </c>
      <c r="IS25" s="5" t="str">
        <f t="shared" si="231"/>
        <v/>
      </c>
      <c r="IT25" s="791" t="str">
        <f t="shared" si="232"/>
        <v/>
      </c>
      <c r="IU25" s="9" t="str">
        <f t="shared" si="233"/>
        <v/>
      </c>
      <c r="IV25" s="5" t="str">
        <f t="shared" si="234"/>
        <v/>
      </c>
      <c r="IW25" s="5" t="str">
        <f t="shared" si="78"/>
        <v/>
      </c>
      <c r="IX25" s="5" t="str">
        <f t="shared" si="235"/>
        <v/>
      </c>
      <c r="IY25" s="833" t="str">
        <f t="shared" si="236"/>
        <v/>
      </c>
    </row>
    <row r="26" spans="1:259" ht="15" customHeight="1" x14ac:dyDescent="0.25">
      <c r="A26" s="84">
        <f t="shared" si="81"/>
        <v>0.02</v>
      </c>
      <c r="B26" s="770">
        <v>3.9160998185349518</v>
      </c>
      <c r="C26" s="771">
        <v>1.4914953521283627</v>
      </c>
      <c r="D26" s="772">
        <v>-2.0678062365036096</v>
      </c>
      <c r="E26" s="773">
        <v>0.24446191708215073</v>
      </c>
      <c r="F26" s="771">
        <v>0.9696588941975951</v>
      </c>
      <c r="G26" s="774">
        <v>1.3008419203324075E-7</v>
      </c>
      <c r="H26" s="773">
        <v>0.26600000000000001</v>
      </c>
      <c r="I26" s="771">
        <v>0.52</v>
      </c>
      <c r="J26" s="601">
        <v>2.1349999999999998</v>
      </c>
      <c r="K26" s="426" t="str">
        <f t="shared" si="82"/>
        <v>1313</v>
      </c>
      <c r="L26" s="327"/>
      <c r="M26" s="173">
        <f t="shared" si="1"/>
        <v>2.1349999999999998</v>
      </c>
      <c r="N26" s="21">
        <f t="shared" si="2"/>
        <v>3.9160998185349518</v>
      </c>
      <c r="O26" s="5">
        <f t="shared" si="3"/>
        <v>1.4914953521283627</v>
      </c>
      <c r="P26" s="10">
        <f t="shared" si="4"/>
        <v>-2.0678062365036096</v>
      </c>
      <c r="Q26" s="624">
        <f t="shared" si="116"/>
        <v>20.849958006461726</v>
      </c>
      <c r="R26" s="5">
        <f>IF(M26="","",SQRT(N26^2+O26^2))</f>
        <v>4.1905126385861182</v>
      </c>
      <c r="S26" s="6">
        <f>IF(M26="","",P26)</f>
        <v>-2.0678062365036096</v>
      </c>
      <c r="T26" s="4">
        <f>IF(M26="","",X26*COS(RADIANS(W26)))</f>
        <v>1.5643642681593275</v>
      </c>
      <c r="U26" s="5">
        <f>IF(M26="","",X26*SIN(RADIANS(W26)))</f>
        <v>-3.8875648689965705</v>
      </c>
      <c r="V26" s="8">
        <f>IF(M26="","",Y26)</f>
        <v>-2.0678062365036096</v>
      </c>
      <c r="W26" s="624">
        <f t="shared" si="226"/>
        <v>291.91995785197287</v>
      </c>
      <c r="X26" s="5">
        <f>IF(M26="","",R26)</f>
        <v>4.1905126385861182</v>
      </c>
      <c r="Y26" s="7">
        <f t="shared" si="225"/>
        <v>-2.0678062365036096</v>
      </c>
      <c r="Z26" s="21">
        <f t="shared" si="6"/>
        <v>-0.24446191708215073</v>
      </c>
      <c r="AA26" s="5">
        <f t="shared" si="7"/>
        <v>-0.9696588941975951</v>
      </c>
      <c r="AB26" s="5">
        <f t="shared" si="8"/>
        <v>-1.3008419203324075E-7</v>
      </c>
      <c r="AC26" s="8">
        <f>IF(M26="","",SQRT(Z26^2+AA26^2+AB26^2))</f>
        <v>1</v>
      </c>
      <c r="AD26" s="9">
        <f>IF(M26="","",Z26*(1/SQRT(Z26^2+AA26^2+AB26^2)))</f>
        <v>-0.24446191708215073</v>
      </c>
      <c r="AE26" s="5">
        <f>IF(M26="","",AA26*(1/SQRT(Z26^2+AA26^2+AB26^2)))</f>
        <v>-0.9696588941975951</v>
      </c>
      <c r="AF26" s="10">
        <f>IF(M26="","",AB26*(1/SQRT(Z26^2+AA26^2+AB26^2)))</f>
        <v>-1.3008419203324075E-7</v>
      </c>
      <c r="AG26" s="622">
        <f>IF(M26="","",DEGREES(ATAN2(-AF26,AE26)))</f>
        <v>-89.999992313508159</v>
      </c>
      <c r="AH26" s="623">
        <f>IF(M26="","",DEGREES(ACOS(AD26)))</f>
        <v>104.15003694016342</v>
      </c>
      <c r="AI26" s="624">
        <f>IF(M26="","",DEGREES(-ACOS(-AF26)))</f>
        <v>-89.999992546724812</v>
      </c>
      <c r="AJ26" s="625">
        <f>IF(M26="","",DEGREES(ATAN2(-AE26,AD26)))</f>
        <v>-14.150036940163544</v>
      </c>
      <c r="AK26" s="4">
        <f>IF(M26="","",(COS(RADIANS((90-$Q$8)-W26))*AD26)+(-SIN(RADIANS((90-$Q$8)-W26))*AE26))</f>
        <v>0.81915209487729213</v>
      </c>
      <c r="AL26" s="5">
        <f>IF(M26="","",(SIN(RADIANS((90-$Q$8)-W26))*AD26)+(COS(RADIANS((90-$Q$8)-W26))*AE26))</f>
        <v>-0.57357636410344448</v>
      </c>
      <c r="AM26" s="6">
        <f>IF(M26="","",AF26)</f>
        <v>-1.3008419203324075E-7</v>
      </c>
      <c r="AN26" s="612">
        <f>IF(M26="","",DEGREES(ATAN2(-AM26,AL26)))</f>
        <v>-89.999987005609626</v>
      </c>
      <c r="AO26" s="613">
        <f t="shared" si="98"/>
        <v>34.999994946625939</v>
      </c>
      <c r="AP26" s="624">
        <f>IF(M26="","",DEGREES(ATAN2(AK26,AL26)))</f>
        <v>-34.999994946625257</v>
      </c>
      <c r="AQ26" s="625">
        <f t="shared" si="9"/>
        <v>2.9568461818135963</v>
      </c>
      <c r="AS26" s="56">
        <f t="shared" si="119"/>
        <v>-68.080042148027132</v>
      </c>
      <c r="AT26" s="77">
        <f t="shared" si="10"/>
        <v>-1.8065727445280206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6"/>
        <v>2.1349999999999998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7"/>
        <v/>
      </c>
      <c r="IK26" s="839" t="str">
        <f t="shared" si="68"/>
        <v/>
      </c>
      <c r="IL26" s="791" t="str">
        <f t="shared" si="227"/>
        <v/>
      </c>
      <c r="IM26" s="830"/>
      <c r="IN26" s="5" t="str">
        <f t="shared" si="228"/>
        <v/>
      </c>
      <c r="IO26" s="852"/>
      <c r="IP26" s="9" t="str">
        <f t="shared" si="229"/>
        <v/>
      </c>
      <c r="IQ26" s="5" t="str">
        <f t="shared" si="230"/>
        <v/>
      </c>
      <c r="IR26" s="5" t="str">
        <f t="shared" si="73"/>
        <v/>
      </c>
      <c r="IS26" s="5" t="str">
        <f t="shared" si="231"/>
        <v/>
      </c>
      <c r="IT26" s="791" t="str">
        <f t="shared" si="232"/>
        <v/>
      </c>
      <c r="IU26" s="9" t="str">
        <f t="shared" si="233"/>
        <v/>
      </c>
      <c r="IV26" s="5" t="str">
        <f t="shared" si="234"/>
        <v/>
      </c>
      <c r="IW26" s="5" t="str">
        <f t="shared" si="78"/>
        <v/>
      </c>
      <c r="IX26" s="5" t="str">
        <f t="shared" si="235"/>
        <v/>
      </c>
      <c r="IY26" s="833" t="str">
        <f t="shared" si="236"/>
        <v/>
      </c>
    </row>
    <row r="27" spans="1:259" ht="15" customHeight="1" x14ac:dyDescent="0.25">
      <c r="A27" s="84">
        <f t="shared" si="81"/>
        <v>0</v>
      </c>
      <c r="B27" s="770">
        <v>3.2274392690043805</v>
      </c>
      <c r="C27" s="771">
        <v>0.22794660501654013</v>
      </c>
      <c r="D27" s="772">
        <v>-0.11948383103032871</v>
      </c>
      <c r="E27" s="773">
        <v>0.27913362756144322</v>
      </c>
      <c r="F27" s="771">
        <v>1.971479282345099E-2</v>
      </c>
      <c r="G27" s="774">
        <v>0.96004986584464347</v>
      </c>
      <c r="H27" s="773">
        <v>0.25700000000000001</v>
      </c>
      <c r="I27" s="771">
        <v>0.41499999999999992</v>
      </c>
      <c r="J27" s="601">
        <v>2.2170000000000001</v>
      </c>
      <c r="K27" s="426" t="str">
        <f t="shared" si="82"/>
        <v/>
      </c>
      <c r="L27" s="327"/>
      <c r="M27" s="173">
        <f t="shared" si="1"/>
        <v>2.2170000000000001</v>
      </c>
      <c r="N27" s="21">
        <f t="shared" si="2"/>
        <v>3.2274392690043805</v>
      </c>
      <c r="O27" s="5">
        <f t="shared" si="3"/>
        <v>0.22794660501654013</v>
      </c>
      <c r="P27" s="10">
        <f t="shared" si="4"/>
        <v>-0.11948383103032871</v>
      </c>
      <c r="Q27" s="624">
        <f t="shared" si="116"/>
        <v>4.039960433525084</v>
      </c>
      <c r="R27" s="5">
        <f t="shared" si="83"/>
        <v>3.2354789274310063</v>
      </c>
      <c r="S27" s="6">
        <f t="shared" si="84"/>
        <v>-0.11948383103032871</v>
      </c>
      <c r="T27" s="4">
        <f t="shared" si="85"/>
        <v>0.28817584777892152</v>
      </c>
      <c r="U27" s="5">
        <f t="shared" si="86"/>
        <v>-3.2226198302944447</v>
      </c>
      <c r="V27" s="8">
        <f t="shared" si="117"/>
        <v>-0.11948383103032871</v>
      </c>
      <c r="W27" s="624">
        <f t="shared" si="226"/>
        <v>275.10996027903622</v>
      </c>
      <c r="X27" s="5">
        <f t="shared" si="87"/>
        <v>3.2354789274310063</v>
      </c>
      <c r="Y27" s="7">
        <f t="shared" si="225"/>
        <v>-0.11948383103032871</v>
      </c>
      <c r="Z27" s="21">
        <f t="shared" si="6"/>
        <v>-0.27913362756144322</v>
      </c>
      <c r="AA27" s="5">
        <f t="shared" si="7"/>
        <v>-1.971479282345099E-2</v>
      </c>
      <c r="AB27" s="5">
        <f t="shared" si="8"/>
        <v>-0.96004986584464347</v>
      </c>
      <c r="AC27" s="8">
        <f t="shared" si="88"/>
        <v>1</v>
      </c>
      <c r="AD27" s="9">
        <f t="shared" si="118"/>
        <v>-0.27913362756144322</v>
      </c>
      <c r="AE27" s="5">
        <f t="shared" si="89"/>
        <v>-1.971479282345099E-2</v>
      </c>
      <c r="AF27" s="10">
        <f t="shared" si="90"/>
        <v>-0.96004986584464347</v>
      </c>
      <c r="AG27" s="622">
        <f t="shared" si="91"/>
        <v>-1.1764135646038285</v>
      </c>
      <c r="AH27" s="623">
        <f t="shared" si="92"/>
        <v>106.20850370873193</v>
      </c>
      <c r="AI27" s="624">
        <f t="shared" si="93"/>
        <v>-16.249997653795667</v>
      </c>
      <c r="AJ27" s="625">
        <f t="shared" si="94"/>
        <v>-85.959993129573917</v>
      </c>
      <c r="AK27" s="4">
        <f t="shared" si="213"/>
        <v>2.2679489657811969E-7</v>
      </c>
      <c r="AL27" s="5">
        <f t="shared" si="95"/>
        <v>-0.27982897471782769</v>
      </c>
      <c r="AM27" s="6">
        <f t="shared" si="96"/>
        <v>-0.96004986584464347</v>
      </c>
      <c r="AN27" s="612">
        <f t="shared" si="97"/>
        <v>-16.249997653790622</v>
      </c>
      <c r="AO27" s="613">
        <f t="shared" si="98"/>
        <v>0</v>
      </c>
      <c r="AP27" s="624">
        <f t="shared" si="99"/>
        <v>-89.999953563099027</v>
      </c>
      <c r="AQ27" s="625">
        <f t="shared" si="9"/>
        <v>3.8273348140894377</v>
      </c>
      <c r="AS27" s="56">
        <f t="shared" si="119"/>
        <v>-84.890039720963784</v>
      </c>
      <c r="AT27" s="77">
        <f t="shared" si="10"/>
        <v>0.20525409622079877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>
        <f>IFERROR(IF($IU27="","",IF($IU27&lt;(((Settings!$C$19/2)*-1)*$IE$8),"",1)),"")</f>
        <v>1</v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6"/>
        <v>2.2170000000000001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2.117</v>
      </c>
      <c r="II27" s="800" cm="1">
        <f t="array" ref="II27">IFERROR(IF($IH27&lt;1,$IH27+LARGE((IF($M$9:$M$150="",0,$M$9:$M$150)-MOD(IF($M$9:$M$150="",0,$M$9:$M$150),1)),1),$IH27),"")</f>
        <v>2.117</v>
      </c>
      <c r="IJ27" s="839" t="str">
        <f t="shared" si="67"/>
        <v>1613</v>
      </c>
      <c r="IK27" s="839" t="str">
        <f t="shared" si="68"/>
        <v/>
      </c>
      <c r="IL27" s="791">
        <f t="shared" si="227"/>
        <v>18.749997292835303</v>
      </c>
      <c r="IM27" s="830">
        <v>2.8768765905950601E-2</v>
      </c>
      <c r="IN27" s="5">
        <f t="shared" si="228"/>
        <v>0.64</v>
      </c>
      <c r="IO27" s="852">
        <v>320</v>
      </c>
      <c r="IP27" s="9">
        <f t="shared" si="229"/>
        <v>-3.2232097212005191</v>
      </c>
      <c r="IQ27" s="5">
        <f t="shared" si="230"/>
        <v>-0.12590037971554524</v>
      </c>
      <c r="IR27" s="5">
        <f t="shared" si="73"/>
        <v>0.314</v>
      </c>
      <c r="IS27" s="5">
        <f t="shared" si="231"/>
        <v>0.29861274861085468</v>
      </c>
      <c r="IT27" s="791">
        <f t="shared" si="232"/>
        <v>36.145328198022135</v>
      </c>
      <c r="IU27" s="9">
        <f t="shared" si="233"/>
        <v>-3.2354789274310063</v>
      </c>
      <c r="IV27" s="5">
        <f t="shared" si="234"/>
        <v>-0.11948383103032871</v>
      </c>
      <c r="IW27" s="5">
        <f t="shared" si="78"/>
        <v>0.25700000000000001</v>
      </c>
      <c r="IX27" s="5">
        <f t="shared" si="235"/>
        <v>0.25700000000000001</v>
      </c>
      <c r="IY27" s="833">
        <f t="shared" si="236"/>
        <v>16.249997653790622</v>
      </c>
    </row>
    <row r="28" spans="1:259" ht="15" customHeight="1" x14ac:dyDescent="0.25">
      <c r="A28" s="84">
        <f t="shared" si="81"/>
        <v>0.02</v>
      </c>
      <c r="B28" s="770">
        <v>3.8515739371429767</v>
      </c>
      <c r="C28" s="771">
        <v>0.44836453119371811</v>
      </c>
      <c r="D28" s="772">
        <v>-0.57460000000000011</v>
      </c>
      <c r="E28" s="773">
        <v>0.28025861409167369</v>
      </c>
      <c r="F28" s="771">
        <v>0.92911673665778305</v>
      </c>
      <c r="G28" s="774">
        <v>0.24124095607878498</v>
      </c>
      <c r="H28" s="773">
        <v>0.26600000000000001</v>
      </c>
      <c r="I28" s="771">
        <v>0.52</v>
      </c>
      <c r="J28" s="601">
        <v>2.2229999999999999</v>
      </c>
      <c r="K28" s="426" t="str">
        <f t="shared" si="82"/>
        <v>1313</v>
      </c>
      <c r="L28" s="327"/>
      <c r="M28" s="173">
        <f t="shared" si="1"/>
        <v>2.2229999999999999</v>
      </c>
      <c r="N28" s="21">
        <f t="shared" si="2"/>
        <v>3.8515739371429767</v>
      </c>
      <c r="O28" s="5">
        <f t="shared" si="3"/>
        <v>0.44836453119371811</v>
      </c>
      <c r="P28" s="10">
        <f t="shared" si="4"/>
        <v>-0.57460000000000011</v>
      </c>
      <c r="Q28" s="624">
        <f t="shared" si="116"/>
        <v>6.6399574072759426</v>
      </c>
      <c r="R28" s="5">
        <f t="shared" si="83"/>
        <v>3.8775833383837943</v>
      </c>
      <c r="S28" s="6">
        <f t="shared" si="84"/>
        <v>-0.57460000000000011</v>
      </c>
      <c r="T28" s="4">
        <f t="shared" si="85"/>
        <v>0.52021038910146111</v>
      </c>
      <c r="U28" s="5">
        <f t="shared" si="86"/>
        <v>-3.8425295961361856</v>
      </c>
      <c r="V28" s="8">
        <f t="shared" si="117"/>
        <v>-0.57460000000000011</v>
      </c>
      <c r="W28" s="624">
        <f t="shared" si="226"/>
        <v>277.70995725278704</v>
      </c>
      <c r="X28" s="5">
        <f t="shared" si="87"/>
        <v>3.8775833383837943</v>
      </c>
      <c r="Y28" s="7">
        <f t="shared" si="225"/>
        <v>-0.57460000000000011</v>
      </c>
      <c r="Z28" s="21">
        <f t="shared" si="6"/>
        <v>-0.28025861409167369</v>
      </c>
      <c r="AA28" s="5">
        <f t="shared" si="7"/>
        <v>-0.92911673665778305</v>
      </c>
      <c r="AB28" s="5">
        <f t="shared" si="8"/>
        <v>-0.24124095607878498</v>
      </c>
      <c r="AC28" s="8">
        <f t="shared" si="88"/>
        <v>1</v>
      </c>
      <c r="AD28" s="9">
        <f t="shared" si="118"/>
        <v>-0.28025861409167369</v>
      </c>
      <c r="AE28" s="5">
        <f t="shared" si="89"/>
        <v>-0.92911673665778305</v>
      </c>
      <c r="AF28" s="10">
        <f t="shared" si="90"/>
        <v>-0.24124095607878498</v>
      </c>
      <c r="AG28" s="622">
        <f t="shared" si="91"/>
        <v>-75.444812052695312</v>
      </c>
      <c r="AH28" s="623">
        <f t="shared" si="92"/>
        <v>106.27564020656257</v>
      </c>
      <c r="AI28" s="624">
        <f t="shared" si="93"/>
        <v>-76.040205836298028</v>
      </c>
      <c r="AJ28" s="625">
        <f t="shared" si="94"/>
        <v>-16.785402818188174</v>
      </c>
      <c r="AK28" s="4">
        <f t="shared" si="213"/>
        <v>0.89047829125277644</v>
      </c>
      <c r="AL28" s="5">
        <f t="shared" si="95"/>
        <v>-0.38581240767726649</v>
      </c>
      <c r="AM28" s="6">
        <f t="shared" si="96"/>
        <v>-0.24124095607878498</v>
      </c>
      <c r="AN28" s="612">
        <f t="shared" si="97"/>
        <v>-57.983063278670272</v>
      </c>
      <c r="AO28" s="613">
        <f t="shared" si="98"/>
        <v>27.066589602013998</v>
      </c>
      <c r="AP28" s="624">
        <f t="shared" si="99"/>
        <v>-23.425360225464097</v>
      </c>
      <c r="AQ28" s="625">
        <f t="shared" si="9"/>
        <v>3.1949940540226245</v>
      </c>
      <c r="AS28" s="56">
        <f t="shared" si="119"/>
        <v>-82.290042747212965</v>
      </c>
      <c r="AT28" s="77">
        <f t="shared" si="10"/>
        <v>-0.25968428353859796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2.2229999999999999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2.1230000000000002</v>
      </c>
      <c r="II28" s="800" cm="1">
        <f t="array" ref="II28">IFERROR(IF($IH28&lt;1,$IH28+LARGE((IF($M$9:$M$150="",0,$M$9:$M$150)-MOD(IF($M$9:$M$150="",0,$M$9:$M$150),1)),1),$IH28),"")</f>
        <v>2.1230000000000002</v>
      </c>
      <c r="IJ28" s="839" t="str">
        <f t="shared" si="67"/>
        <v>1613</v>
      </c>
      <c r="IK28" s="839" t="str">
        <f t="shared" si="68"/>
        <v>1313</v>
      </c>
      <c r="IL28" s="791">
        <f t="shared" si="227"/>
        <v>14.94000049378684</v>
      </c>
      <c r="IM28" s="830">
        <v>6.0971480281348297E-3</v>
      </c>
      <c r="IN28" s="5">
        <f t="shared" si="228"/>
        <v>0.16</v>
      </c>
      <c r="IO28" s="852">
        <v>80</v>
      </c>
      <c r="IP28" s="9">
        <f t="shared" si="229"/>
        <v>-3.8424115887133516</v>
      </c>
      <c r="IQ28" s="5">
        <f t="shared" si="230"/>
        <v>-0.6071018310191223</v>
      </c>
      <c r="IR28" s="5">
        <f t="shared" si="73"/>
        <v>0.314</v>
      </c>
      <c r="IS28" s="5">
        <f t="shared" si="231"/>
        <v>0.29043204319968197</v>
      </c>
      <c r="IT28" s="791">
        <f t="shared" si="232"/>
        <v>61.548905004707038</v>
      </c>
      <c r="IU28" s="9">
        <f t="shared" si="233"/>
        <v>-3.8775833383837943</v>
      </c>
      <c r="IV28" s="5">
        <f t="shared" si="234"/>
        <v>-0.57460000000000011</v>
      </c>
      <c r="IW28" s="5">
        <f t="shared" si="78"/>
        <v>0.26600000000000001</v>
      </c>
      <c r="IX28" s="5">
        <f t="shared" si="235"/>
        <v>0.23686722547323857</v>
      </c>
      <c r="IY28" s="833">
        <f t="shared" si="236"/>
        <v>57.983063278670272</v>
      </c>
    </row>
    <row r="29" spans="1:259" ht="15" customHeight="1" x14ac:dyDescent="0.25">
      <c r="A29" s="84">
        <f t="shared" si="81"/>
        <v>0.02</v>
      </c>
      <c r="B29" s="770">
        <v>4.1292241284940285</v>
      </c>
      <c r="C29" s="771">
        <v>0.47703410300397275</v>
      </c>
      <c r="D29" s="772">
        <v>-1.3304999999999993</v>
      </c>
      <c r="E29" s="773">
        <v>0.46606448198203931</v>
      </c>
      <c r="F29" s="771">
        <v>0.87916278048607299</v>
      </c>
      <c r="G29" s="774">
        <v>9.9280934941258947E-2</v>
      </c>
      <c r="H29" s="773">
        <v>0.26600000000000001</v>
      </c>
      <c r="I29" s="771">
        <v>0.52</v>
      </c>
      <c r="J29" s="601">
        <v>2.2290000000000001</v>
      </c>
      <c r="K29" s="426" t="str">
        <f t="shared" si="82"/>
        <v>1313</v>
      </c>
      <c r="L29" s="327"/>
      <c r="M29" s="173">
        <f t="shared" si="1"/>
        <v>2.2290000000000001</v>
      </c>
      <c r="N29" s="21">
        <f t="shared" si="2"/>
        <v>4.1292241284940285</v>
      </c>
      <c r="O29" s="5">
        <f t="shared" si="3"/>
        <v>0.47703410300397275</v>
      </c>
      <c r="P29" s="10">
        <f t="shared" si="4"/>
        <v>-1.3304999999999993</v>
      </c>
      <c r="Q29" s="624">
        <f t="shared" si="116"/>
        <v>6.5899574072759552</v>
      </c>
      <c r="R29" s="5">
        <f>IF(M29="","",SQRT(N29^2+O29^2))</f>
        <v>4.15668779664363</v>
      </c>
      <c r="S29" s="6">
        <f>IF(M29="","",P29)</f>
        <v>-1.3304999999999993</v>
      </c>
      <c r="T29" s="4">
        <f>IF(M29="","",X29*COS(RADIANS(W29)))</f>
        <v>0.55405978328317029</v>
      </c>
      <c r="U29" s="5">
        <f>IF(M29="","",X29*SIN(RADIANS(W29)))</f>
        <v>-4.1195959990409596</v>
      </c>
      <c r="V29" s="8">
        <f>IF(M29="","",Y29)</f>
        <v>-1.3304999999999993</v>
      </c>
      <c r="W29" s="624">
        <f t="shared" si="226"/>
        <v>277.65995725278708</v>
      </c>
      <c r="X29" s="5">
        <f>IF(M29="","",R29)</f>
        <v>4.15668779664363</v>
      </c>
      <c r="Y29" s="7">
        <f t="shared" si="225"/>
        <v>-1.3304999999999993</v>
      </c>
      <c r="Z29" s="21">
        <f t="shared" si="6"/>
        <v>-0.46606448198203931</v>
      </c>
      <c r="AA29" s="5">
        <f t="shared" si="7"/>
        <v>-0.87916278048607299</v>
      </c>
      <c r="AB29" s="5">
        <f t="shared" si="8"/>
        <v>-9.9280934941258947E-2</v>
      </c>
      <c r="AC29" s="8">
        <f>IF(M29="","",SQRT(Z29^2+AA29^2+AB29^2))</f>
        <v>1</v>
      </c>
      <c r="AD29" s="9">
        <f>IF(M29="","",Z29*(1/SQRT(Z29^2+AA29^2+AB29^2)))</f>
        <v>-0.46606448198203931</v>
      </c>
      <c r="AE29" s="5">
        <f>IF(M29="","",AA29*(1/SQRT(Z29^2+AA29^2+AB29^2)))</f>
        <v>-0.87916278048607299</v>
      </c>
      <c r="AF29" s="10">
        <f>IF(M29="","",AB29*(1/SQRT(Z29^2+AA29^2+AB29^2)))</f>
        <v>-9.9280934941258947E-2</v>
      </c>
      <c r="AG29" s="622">
        <f>IF(M29="","",DEGREES(ATAN2(-AF29,AE29)))</f>
        <v>-83.557072930296869</v>
      </c>
      <c r="AH29" s="623">
        <f>IF(M29="","",DEGREES(ACOS(AD29)))</f>
        <v>117.7791352704305</v>
      </c>
      <c r="AI29" s="624">
        <f>IF(M29="","",DEGREES(-ACOS(-AF29)))</f>
        <v>-84.302234970686385</v>
      </c>
      <c r="AJ29" s="625">
        <f>IF(M29="","",DEGREES(ATAN2(-AE29,AD29)))</f>
        <v>-27.929094960336062</v>
      </c>
      <c r="AK29" s="4">
        <f>IF(M29="","",(COS(RADIANS((90-$Q$8)-W29))*AD29)+(-SIN(RADIANS((90-$Q$8)-W29))*AE29))</f>
        <v>0.81986708665116848</v>
      </c>
      <c r="AL29" s="5">
        <f>IF(M29="","",(SIN(RADIANS((90-$Q$8)-W29))*AD29)+(COS(RADIANS((90-$Q$8)-W29))*AE29))</f>
        <v>-0.56388053360912804</v>
      </c>
      <c r="AM29" s="6">
        <f>IF(M29="","",AF29)</f>
        <v>-9.9280934941258947E-2</v>
      </c>
      <c r="AN29" s="612">
        <f>IF(M29="","",DEGREES(ATAN2(-AM29,AL29)))</f>
        <v>-80.014429434736442</v>
      </c>
      <c r="AO29" s="613">
        <f t="shared" si="98"/>
        <v>34.928509170089271</v>
      </c>
      <c r="AP29" s="624">
        <f>IF(M29="","",DEGREES(ATAN2(AK29,AL29)))</f>
        <v>-34.519052367612034</v>
      </c>
      <c r="AQ29" s="625">
        <f t="shared" si="9"/>
        <v>2.9808641524063773</v>
      </c>
      <c r="AS29" s="56">
        <f t="shared" si="119"/>
        <v>-82.340042747212919</v>
      </c>
      <c r="AT29" s="77">
        <f t="shared" si="10"/>
        <v>-1.0153953946497085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>
        <f>IFERROR(IF((((($IW29*COS(RADIANS(180-$IY29)))*COS(RADIANS($IY29)))-(($IX29*SIN(RADIANS(180-$IY29)))*SIN(RADIANS($IY29))))+$IU29)&lt;(((Settings!$C$19/2)*-1)+$IF$8),1,""),"")</f>
        <v>1</v>
      </c>
      <c r="IG29" s="836">
        <f t="shared" si="66"/>
        <v>2.2290000000000001</v>
      </c>
      <c r="IH29" s="797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2.129</v>
      </c>
      <c r="II29" s="800" cm="1">
        <f t="array" ref="II29">IFERROR(IF($IH29&lt;1,$IH29+LARGE((IF($M$9:$M$150="",0,$M$9:$M$150)-MOD(IF($M$9:$M$150="",0,$M$9:$M$150),1)),1),$IH29),"")</f>
        <v>2.129</v>
      </c>
      <c r="IJ29" s="839" t="str">
        <f t="shared" si="67"/>
        <v>1613</v>
      </c>
      <c r="IK29" s="839" t="str">
        <f t="shared" si="68"/>
        <v>1313</v>
      </c>
      <c r="IL29" s="791">
        <f t="shared" si="227"/>
        <v>14.440000573196983</v>
      </c>
      <c r="IM29" s="830">
        <v>2.7352422388583399E-3</v>
      </c>
      <c r="IN29" s="5">
        <f t="shared" si="228"/>
        <v>0.1</v>
      </c>
      <c r="IO29" s="852">
        <v>50</v>
      </c>
      <c r="IP29" s="9">
        <f t="shared" si="229"/>
        <v>-4.1077123888605653</v>
      </c>
      <c r="IQ29" s="5">
        <f t="shared" si="230"/>
        <v>-1.3451040568338355</v>
      </c>
      <c r="IR29" s="5">
        <f t="shared" si="73"/>
        <v>0.314</v>
      </c>
      <c r="IS29" s="5">
        <f t="shared" si="231"/>
        <v>0.27159272834621234</v>
      </c>
      <c r="IT29" s="791">
        <f t="shared" si="232"/>
        <v>82.190573731776624</v>
      </c>
      <c r="IU29" s="9">
        <f t="shared" si="233"/>
        <v>-4.15668779664363</v>
      </c>
      <c r="IV29" s="5">
        <f t="shared" si="234"/>
        <v>-1.3304999999999993</v>
      </c>
      <c r="IW29" s="5">
        <f t="shared" si="78"/>
        <v>0.26600000000000001</v>
      </c>
      <c r="IX29" s="5">
        <f t="shared" si="235"/>
        <v>0.21808464504921085</v>
      </c>
      <c r="IY29" s="833">
        <f t="shared" si="236"/>
        <v>80.014429434736442</v>
      </c>
    </row>
    <row r="30" spans="1:259" ht="15" customHeight="1" x14ac:dyDescent="0.25">
      <c r="A30" s="84">
        <f t="shared" si="81"/>
        <v>0.02</v>
      </c>
      <c r="B30" s="770">
        <v>0.71672453555246085</v>
      </c>
      <c r="C30" s="771">
        <v>-0.41380168148988511</v>
      </c>
      <c r="D30" s="772">
        <v>-0.3063009238035862</v>
      </c>
      <c r="E30" s="773">
        <v>0.43366433519237196</v>
      </c>
      <c r="F30" s="771">
        <v>0.84780930067746407</v>
      </c>
      <c r="G30" s="774">
        <v>0.30521244087839472</v>
      </c>
      <c r="H30" s="773">
        <v>0.314</v>
      </c>
      <c r="I30" s="771">
        <v>0.52</v>
      </c>
      <c r="J30" s="601">
        <v>3.1030000000000002</v>
      </c>
      <c r="K30" s="426" t="str">
        <f t="shared" si="82"/>
        <v>1613</v>
      </c>
      <c r="L30" s="327"/>
      <c r="M30" s="173">
        <f t="shared" si="1"/>
        <v>3.1030000000000002</v>
      </c>
      <c r="N30" s="21">
        <f t="shared" si="2"/>
        <v>0.71672453555246085</v>
      </c>
      <c r="O30" s="5">
        <f t="shared" si="3"/>
        <v>-0.41380168148988511</v>
      </c>
      <c r="P30" s="10">
        <f t="shared" si="4"/>
        <v>-0.3063009238035862</v>
      </c>
      <c r="Q30" s="624">
        <f t="shared" si="116"/>
        <v>329.99996534829228</v>
      </c>
      <c r="R30" s="5">
        <f>IF(M30="","",SQRT(N30^2+O30^2))</f>
        <v>0.82760249604912806</v>
      </c>
      <c r="S30" s="6">
        <f>IF(M30="","",P30)</f>
        <v>-0.3063009238035862</v>
      </c>
      <c r="T30" s="4">
        <f>IF(M30="","",X30*COS(RADIANS(W30)))</f>
        <v>-0.40034545834194329</v>
      </c>
      <c r="U30" s="5">
        <f>IF(M30="","",X30*SIN(RADIANS(W30)))</f>
        <v>-0.72432686368222354</v>
      </c>
      <c r="V30" s="8">
        <f>IF(M30="","",Y30)</f>
        <v>-0.3063009238035862</v>
      </c>
      <c r="W30" s="624">
        <f t="shared" si="226"/>
        <v>241.0699651938034</v>
      </c>
      <c r="X30" s="5">
        <f>IF(M30="","",R30)</f>
        <v>0.82760249604912806</v>
      </c>
      <c r="Y30" s="7">
        <f t="shared" si="225"/>
        <v>-0.3063009238035862</v>
      </c>
      <c r="Z30" s="21">
        <f t="shared" si="6"/>
        <v>-0.43366433519237196</v>
      </c>
      <c r="AA30" s="5">
        <f t="shared" si="7"/>
        <v>-0.84780930067746407</v>
      </c>
      <c r="AB30" s="5">
        <f t="shared" si="8"/>
        <v>-0.30521244087839472</v>
      </c>
      <c r="AC30" s="8">
        <f>IF(M30="","",SQRT(Z30^2+AA30^2+AB30^2))</f>
        <v>1</v>
      </c>
      <c r="AD30" s="9">
        <f>IF(M30="","",Z30*(1/SQRT(Z30^2+AA30^2+AB30^2)))</f>
        <v>-0.43366433519237196</v>
      </c>
      <c r="AE30" s="5">
        <f>IF(M30="","",AA30*(1/SQRT(Z30^2+AA30^2+AB30^2)))</f>
        <v>-0.84780930067746407</v>
      </c>
      <c r="AF30" s="10">
        <f>IF(M30="","",AB30*(1/SQRT(Z30^2+AA30^2+AB30^2)))</f>
        <v>-0.30521244087839472</v>
      </c>
      <c r="AG30" s="622">
        <f>IF(M30="","",DEGREES(ATAN2(-AF30,AE30)))</f>
        <v>-70.201058276073979</v>
      </c>
      <c r="AH30" s="623">
        <f>IF(M30="","",DEGREES(ACOS(AD30)))</f>
        <v>115.70033386482091</v>
      </c>
      <c r="AI30" s="624">
        <f>IF(M30="","",DEGREES(-ACOS(-AF30)))</f>
        <v>-72.229054688919192</v>
      </c>
      <c r="AJ30" s="625">
        <f>IF(M30="","",DEGREES(ATAN2(-AE30,AD30)))</f>
        <v>-27.090273146133892</v>
      </c>
      <c r="AK30" s="4">
        <f>IF(M30="","",(COS(RADIANS((90-$Q$8)-W30))*AD30)+(-SIN(RADIANS((90-$Q$8)-W30))*AE30))</f>
        <v>0.95105653031184811</v>
      </c>
      <c r="AL30" s="5">
        <f>IF(M30="","",(SIN(RADIANS((90-$Q$8)-W30))*AD30)+(COS(RADIANS((90-$Q$8)-W30))*AE30))</f>
        <v>4.8340894532903633E-2</v>
      </c>
      <c r="AM30" s="6">
        <f>IF(M30="","",AF30)</f>
        <v>-0.30521244087839472</v>
      </c>
      <c r="AN30" s="612">
        <f>IF(M30="","",DEGREES(ATAN2(-AM30,AL30)))</f>
        <v>8.9999987005609867</v>
      </c>
      <c r="AO30" s="613">
        <f>IF(ROUND(IF(M30="",0,DEGREES(ACOS(AK30))),4)=90,0,IF(M30="","",DEGREES(ACOS(AK30))))</f>
        <v>17.999997401121902</v>
      </c>
      <c r="AP30" s="624">
        <f>IF(M30="","",DEGREES(ATAN2(AK30,AL30)))</f>
        <v>2.9097615055738344</v>
      </c>
      <c r="AQ30" s="625">
        <f t="shared" si="9"/>
        <v>14.656805483303195</v>
      </c>
      <c r="AS30" s="56">
        <f t="shared" si="119"/>
        <v>-118.9300348061966</v>
      </c>
      <c r="AT30" s="77">
        <f t="shared" si="10"/>
        <v>0.14703254043619862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3.1030000000000002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7"/>
        <v/>
      </c>
      <c r="IK30" s="839" t="str">
        <f t="shared" si="68"/>
        <v/>
      </c>
      <c r="IL30" s="791" t="str">
        <f t="shared" si="227"/>
        <v/>
      </c>
      <c r="IM30" s="830"/>
      <c r="IN30" s="5" t="str">
        <f t="shared" si="228"/>
        <v/>
      </c>
      <c r="IO30" s="852"/>
      <c r="IP30" s="9" t="str">
        <f t="shared" si="229"/>
        <v/>
      </c>
      <c r="IQ30" s="5" t="str">
        <f t="shared" si="230"/>
        <v/>
      </c>
      <c r="IR30" s="5" t="str">
        <f t="shared" si="73"/>
        <v/>
      </c>
      <c r="IS30" s="5" t="str">
        <f t="shared" si="231"/>
        <v/>
      </c>
      <c r="IT30" s="791" t="str">
        <f t="shared" si="232"/>
        <v/>
      </c>
      <c r="IU30" s="9" t="str">
        <f t="shared" si="233"/>
        <v/>
      </c>
      <c r="IV30" s="5" t="str">
        <f t="shared" si="234"/>
        <v/>
      </c>
      <c r="IW30" s="5" t="str">
        <f t="shared" si="78"/>
        <v/>
      </c>
      <c r="IX30" s="5" t="str">
        <f t="shared" si="235"/>
        <v/>
      </c>
      <c r="IY30" s="833" t="str">
        <f t="shared" si="236"/>
        <v/>
      </c>
    </row>
    <row r="31" spans="1:259" ht="15" customHeight="1" x14ac:dyDescent="0.25">
      <c r="A31" s="84">
        <f t="shared" si="81"/>
        <v>0.02</v>
      </c>
      <c r="B31" s="770">
        <v>1.3561493126477424</v>
      </c>
      <c r="C31" s="771">
        <v>-0.78328988655073406</v>
      </c>
      <c r="D31" s="772">
        <v>-0.18930057093052191</v>
      </c>
      <c r="E31" s="773">
        <v>0.43843341855812967</v>
      </c>
      <c r="F31" s="771">
        <v>0.84504843977145339</v>
      </c>
      <c r="G31" s="774">
        <v>0.30605436107212131</v>
      </c>
      <c r="H31" s="773">
        <v>0.314</v>
      </c>
      <c r="I31" s="771">
        <v>0.52</v>
      </c>
      <c r="J31" s="601">
        <v>3.1059999999999999</v>
      </c>
      <c r="K31" s="426" t="str">
        <f t="shared" si="82"/>
        <v>1613</v>
      </c>
      <c r="L31" s="327"/>
      <c r="M31" s="173">
        <f t="shared" si="1"/>
        <v>3.1059999999999999</v>
      </c>
      <c r="N31" s="21">
        <f t="shared" si="2"/>
        <v>1.3561493126477424</v>
      </c>
      <c r="O31" s="5">
        <f t="shared" si="3"/>
        <v>-0.78328988655073406</v>
      </c>
      <c r="P31" s="10">
        <f t="shared" si="4"/>
        <v>-0.18930057093052191</v>
      </c>
      <c r="Q31" s="624">
        <f t="shared" si="116"/>
        <v>329.98996534973611</v>
      </c>
      <c r="R31" s="5">
        <f>IF(M31="","",SQRT(N31^2+O31^2))</f>
        <v>1.5661047233718461</v>
      </c>
      <c r="S31" s="6">
        <f>IF(M31="","",P31)</f>
        <v>-0.18930057093052191</v>
      </c>
      <c r="T31" s="4">
        <f>IF(M31="","",X31*COS(RADIANS(W31)))</f>
        <v>-0.7578286579846869</v>
      </c>
      <c r="U31" s="5">
        <f>IF(M31="","",X31*SIN(RADIANS(W31)))</f>
        <v>-1.3705399409374157</v>
      </c>
      <c r="V31" s="8">
        <f>IF(M31="","",Y31)</f>
        <v>-0.18930057093052191</v>
      </c>
      <c r="W31" s="624">
        <f t="shared" si="226"/>
        <v>241.05996519524723</v>
      </c>
      <c r="X31" s="5">
        <f>IF(M31="","",R31)</f>
        <v>1.5661047233718461</v>
      </c>
      <c r="Y31" s="7">
        <f t="shared" si="225"/>
        <v>-0.18930057093052191</v>
      </c>
      <c r="Z31" s="21">
        <f t="shared" si="6"/>
        <v>-0.43843341855812967</v>
      </c>
      <c r="AA31" s="5">
        <f t="shared" si="7"/>
        <v>-0.84504843977145339</v>
      </c>
      <c r="AB31" s="5">
        <f t="shared" si="8"/>
        <v>-0.30605436107212131</v>
      </c>
      <c r="AC31" s="8">
        <f>IF(M31="","",SQRT(Z31^2+AA31^2+AB31^2))</f>
        <v>1</v>
      </c>
      <c r="AD31" s="9">
        <f>IF(M31="","",Z31*(1/SQRT(Z31^2+AA31^2+AB31^2)))</f>
        <v>-0.43843341855812967</v>
      </c>
      <c r="AE31" s="5">
        <f>IF(M31="","",AA31*(1/SQRT(Z31^2+AA31^2+AB31^2)))</f>
        <v>-0.84504843977145339</v>
      </c>
      <c r="AF31" s="10">
        <f>IF(M31="","",AB31*(1/SQRT(Z31^2+AA31^2+AB31^2)))</f>
        <v>-0.30605436107212131</v>
      </c>
      <c r="AG31" s="622">
        <f>IF(M31="","",DEGREES(ATAN2(-AF31,AE31)))</f>
        <v>-70.090942840151186</v>
      </c>
      <c r="AH31" s="623">
        <f>IF(M31="","",DEGREES(ACOS(AD31)))</f>
        <v>116.00396973016493</v>
      </c>
      <c r="AI31" s="624">
        <f>IF(M31="","",DEGREES(-ACOS(-AF31)))</f>
        <v>-72.178391964510936</v>
      </c>
      <c r="AJ31" s="625">
        <f>IF(M31="","",DEGREES(ATAN2(-AE31,AD31)))</f>
        <v>-27.421475023052803</v>
      </c>
      <c r="AK31" s="4">
        <f>IF(M31="","",(COS(RADIANS((90-$Q$8)-W31))*AD31)+(-SIN(RADIANS((90-$Q$8)-W31))*AE31))</f>
        <v>0.95104260986186318</v>
      </c>
      <c r="AL31" s="5">
        <f>IF(M31="","",(SIN(RADIANS((90-$Q$8)-W31))*AD31)+(COS(RADIANS((90-$Q$8)-W31))*AE31))</f>
        <v>4.2996305607247154E-2</v>
      </c>
      <c r="AM31" s="6">
        <f>IF(M31="","",AF31)</f>
        <v>-0.30605436107212131</v>
      </c>
      <c r="AN31" s="612">
        <f>IF(M31="","",DEGREES(ATAN2(-AM31,AL31)))</f>
        <v>7.9969103386522731</v>
      </c>
      <c r="AO31" s="613">
        <f t="shared" si="98"/>
        <v>18.002578255500691</v>
      </c>
      <c r="AP31" s="624">
        <f>IF(M31="","",DEGREES(ATAN2(AK31,AL31)))</f>
        <v>2.5885596272111027</v>
      </c>
      <c r="AQ31" s="625">
        <f t="shared" si="9"/>
        <v>7.8689759048351133</v>
      </c>
      <c r="AS31" s="56">
        <f t="shared" si="119"/>
        <v>-118.94003480475277</v>
      </c>
      <c r="AT31" s="77">
        <f t="shared" si="10"/>
        <v>0.26407067108158622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3.1059999999999999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7"/>
        <v/>
      </c>
      <c r="IK31" s="839" t="str">
        <f t="shared" si="68"/>
        <v/>
      </c>
      <c r="IL31" s="791" t="str">
        <f t="shared" si="227"/>
        <v/>
      </c>
      <c r="IM31" s="830"/>
      <c r="IN31" s="5" t="str">
        <f t="shared" si="228"/>
        <v/>
      </c>
      <c r="IO31" s="852"/>
      <c r="IP31" s="9" t="str">
        <f t="shared" si="229"/>
        <v/>
      </c>
      <c r="IQ31" s="5" t="str">
        <f t="shared" si="230"/>
        <v/>
      </c>
      <c r="IR31" s="5" t="str">
        <f t="shared" si="73"/>
        <v/>
      </c>
      <c r="IS31" s="5" t="str">
        <f t="shared" si="231"/>
        <v/>
      </c>
      <c r="IT31" s="791" t="str">
        <f t="shared" si="232"/>
        <v/>
      </c>
      <c r="IU31" s="9" t="str">
        <f t="shared" si="233"/>
        <v/>
      </c>
      <c r="IV31" s="5" t="str">
        <f t="shared" si="234"/>
        <v/>
      </c>
      <c r="IW31" s="5" t="str">
        <f t="shared" si="78"/>
        <v/>
      </c>
      <c r="IX31" s="5" t="str">
        <f t="shared" si="235"/>
        <v/>
      </c>
      <c r="IY31" s="833" t="str">
        <f t="shared" si="236"/>
        <v/>
      </c>
    </row>
    <row r="32" spans="1:259" ht="15" customHeight="1" x14ac:dyDescent="0.25">
      <c r="A32" s="84">
        <f t="shared" si="81"/>
        <v>0.02</v>
      </c>
      <c r="B32" s="770">
        <v>1.9952412586968993</v>
      </c>
      <c r="C32" s="771">
        <v>-1.1842182366334573</v>
      </c>
      <c r="D32" s="772">
        <v>-6.9900210819035843E-2</v>
      </c>
      <c r="E32" s="773">
        <v>0.49590379549549607</v>
      </c>
      <c r="F32" s="771">
        <v>0.81596241277190595</v>
      </c>
      <c r="G32" s="774">
        <v>0.29712752574712975</v>
      </c>
      <c r="H32" s="773">
        <v>0.314</v>
      </c>
      <c r="I32" s="771">
        <v>0.52</v>
      </c>
      <c r="J32" s="601">
        <v>3.11</v>
      </c>
      <c r="K32" s="426" t="str">
        <f t="shared" si="82"/>
        <v>1613</v>
      </c>
      <c r="L32" s="327"/>
      <c r="M32" s="173">
        <f t="shared" si="1"/>
        <v>3.11</v>
      </c>
      <c r="N32" s="21">
        <f t="shared" si="2"/>
        <v>1.9952412586968993</v>
      </c>
      <c r="O32" s="5">
        <f t="shared" si="3"/>
        <v>-1.1842182366334573</v>
      </c>
      <c r="P32" s="10">
        <f t="shared" si="4"/>
        <v>-6.9900210819035843E-2</v>
      </c>
      <c r="Q32" s="624">
        <f t="shared" si="116"/>
        <v>329.30996544791594</v>
      </c>
      <c r="R32" s="5">
        <f t="shared" si="83"/>
        <v>2.3202069977443052</v>
      </c>
      <c r="S32" s="6">
        <f t="shared" si="84"/>
        <v>-6.9900210819035843E-2</v>
      </c>
      <c r="T32" s="4">
        <f t="shared" si="85"/>
        <v>-1.1467527355982663</v>
      </c>
      <c r="U32" s="5">
        <f t="shared" si="86"/>
        <v>-2.0170073564019382</v>
      </c>
      <c r="V32" s="8">
        <f t="shared" si="117"/>
        <v>-6.9900210819035843E-2</v>
      </c>
      <c r="W32" s="624">
        <f t="shared" si="226"/>
        <v>240.37996529342706</v>
      </c>
      <c r="X32" s="5">
        <f t="shared" si="87"/>
        <v>2.3202069977443052</v>
      </c>
      <c r="Y32" s="7">
        <f t="shared" si="225"/>
        <v>-6.9900210819035843E-2</v>
      </c>
      <c r="Z32" s="21">
        <f t="shared" si="6"/>
        <v>-0.49590379549549607</v>
      </c>
      <c r="AA32" s="5">
        <f t="shared" si="7"/>
        <v>-0.81596241277190595</v>
      </c>
      <c r="AB32" s="5">
        <f t="shared" si="8"/>
        <v>-0.29712752574712975</v>
      </c>
      <c r="AC32" s="8">
        <f t="shared" si="88"/>
        <v>1</v>
      </c>
      <c r="AD32" s="9">
        <f t="shared" si="118"/>
        <v>-0.49590379549549607</v>
      </c>
      <c r="AE32" s="5">
        <f t="shared" si="89"/>
        <v>-0.81596241277190595</v>
      </c>
      <c r="AF32" s="10">
        <f t="shared" si="90"/>
        <v>-0.29712752574712975</v>
      </c>
      <c r="AG32" s="622">
        <f t="shared" si="91"/>
        <v>-69.991227130527676</v>
      </c>
      <c r="AH32" s="623">
        <f t="shared" si="92"/>
        <v>119.72936530757495</v>
      </c>
      <c r="AI32" s="624">
        <f t="shared" si="93"/>
        <v>-72.714842925948034</v>
      </c>
      <c r="AJ32" s="625">
        <f t="shared" si="94"/>
        <v>-31.289277505381644</v>
      </c>
      <c r="AK32" s="4">
        <f t="shared" si="213"/>
        <v>0.95478558245173661</v>
      </c>
      <c r="AL32" s="5">
        <f t="shared" si="95"/>
        <v>-9.9862398172240185E-3</v>
      </c>
      <c r="AM32" s="6">
        <f t="shared" si="96"/>
        <v>-0.29712752574712975</v>
      </c>
      <c r="AN32" s="612">
        <f t="shared" si="97"/>
        <v>-1.9249448584459108</v>
      </c>
      <c r="AO32" s="613">
        <f t="shared" si="98"/>
        <v>17.295224383348351</v>
      </c>
      <c r="AP32" s="624">
        <f t="shared" si="99"/>
        <v>-0.59924295329758825</v>
      </c>
      <c r="AQ32" s="625">
        <f t="shared" si="9"/>
        <v>5.3296635108467862</v>
      </c>
      <c r="AS32" s="56">
        <f t="shared" si="119"/>
        <v>-119.62003470657294</v>
      </c>
      <c r="AT32" s="77">
        <f t="shared" si="10"/>
        <v>0.38603991971105955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3.11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2.6281191710369032</v>
      </c>
      <c r="C33" s="771">
        <v>-1.640320552769347</v>
      </c>
      <c r="D33" s="772">
        <v>-8.2900250027154093E-2</v>
      </c>
      <c r="E33" s="773">
        <v>0.63790201191425189</v>
      </c>
      <c r="F33" s="771">
        <v>0.72362868660719182</v>
      </c>
      <c r="G33" s="774">
        <v>0.26351953839307674</v>
      </c>
      <c r="H33" s="773">
        <v>0.314</v>
      </c>
      <c r="I33" s="771">
        <v>0.52</v>
      </c>
      <c r="J33" s="601">
        <v>3.1160000000000001</v>
      </c>
      <c r="K33" s="426" t="str">
        <f t="shared" si="82"/>
        <v>1613</v>
      </c>
      <c r="L33" s="327"/>
      <c r="M33" s="173">
        <f t="shared" si="1"/>
        <v>3.1160000000000001</v>
      </c>
      <c r="N33" s="21">
        <f t="shared" si="2"/>
        <v>2.6281191710369032</v>
      </c>
      <c r="O33" s="5">
        <f t="shared" si="3"/>
        <v>-1.640320552769347</v>
      </c>
      <c r="P33" s="10">
        <f t="shared" si="4"/>
        <v>-8.2900250027154093E-2</v>
      </c>
      <c r="Q33" s="624">
        <f t="shared" si="116"/>
        <v>328.02996563272507</v>
      </c>
      <c r="R33" s="5">
        <f t="shared" si="83"/>
        <v>3.0980093435961802</v>
      </c>
      <c r="S33" s="6">
        <f t="shared" si="84"/>
        <v>-8.2900250027154093E-2</v>
      </c>
      <c r="T33" s="4">
        <f t="shared" si="85"/>
        <v>-1.5909571988686191</v>
      </c>
      <c r="U33" s="5">
        <f t="shared" si="86"/>
        <v>-2.6582921367632553</v>
      </c>
      <c r="V33" s="8">
        <f t="shared" si="117"/>
        <v>-8.2900250027154093E-2</v>
      </c>
      <c r="W33" s="624">
        <f t="shared" si="226"/>
        <v>239.09996547823619</v>
      </c>
      <c r="X33" s="5">
        <f t="shared" si="87"/>
        <v>3.0980093435961802</v>
      </c>
      <c r="Y33" s="7">
        <f t="shared" si="225"/>
        <v>-8.2900250027154093E-2</v>
      </c>
      <c r="Z33" s="21">
        <f t="shared" si="6"/>
        <v>-0.63790201191425189</v>
      </c>
      <c r="AA33" s="5">
        <f t="shared" si="7"/>
        <v>-0.72362868660719182</v>
      </c>
      <c r="AB33" s="5">
        <f t="shared" si="8"/>
        <v>-0.26351953839307674</v>
      </c>
      <c r="AC33" s="8">
        <f t="shared" si="88"/>
        <v>1</v>
      </c>
      <c r="AD33" s="9">
        <f t="shared" si="118"/>
        <v>-0.63790201191425189</v>
      </c>
      <c r="AE33" s="5">
        <f t="shared" si="89"/>
        <v>-0.72362868660719182</v>
      </c>
      <c r="AF33" s="10">
        <f t="shared" si="90"/>
        <v>-0.26351953839307674</v>
      </c>
      <c r="AG33" s="622">
        <f t="shared" si="91"/>
        <v>-69.990195840801178</v>
      </c>
      <c r="AH33" s="623">
        <f t="shared" si="92"/>
        <v>129.63555511424713</v>
      </c>
      <c r="AI33" s="624">
        <f t="shared" si="93"/>
        <v>-74.720997926992624</v>
      </c>
      <c r="AJ33" s="625">
        <f t="shared" si="94"/>
        <v>-41.39721578871783</v>
      </c>
      <c r="AK33" s="4">
        <f t="shared" si="213"/>
        <v>0.95162598875775539</v>
      </c>
      <c r="AL33" s="5">
        <f t="shared" si="95"/>
        <v>-0.15800452653618546</v>
      </c>
      <c r="AM33" s="6">
        <f t="shared" si="96"/>
        <v>-0.26351953839307674</v>
      </c>
      <c r="AN33" s="612">
        <f t="shared" si="97"/>
        <v>-30.946615797017472</v>
      </c>
      <c r="AO33" s="613">
        <f t="shared" si="98"/>
        <v>17.894111178682408</v>
      </c>
      <c r="AP33" s="624">
        <f t="shared" si="99"/>
        <v>-9.4271814214429099</v>
      </c>
      <c r="AQ33" s="625">
        <f t="shared" si="9"/>
        <v>3.9966284088167625</v>
      </c>
      <c r="AS33" s="56">
        <f t="shared" si="119"/>
        <v>-120.90003452176381</v>
      </c>
      <c r="AT33" s="77">
        <f t="shared" si="10"/>
        <v>0.37787543536032908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3.1160000000000001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/>
      <c r="IN33" s="5" t="str">
        <f t="shared" si="228"/>
        <v/>
      </c>
      <c r="IO33" s="852"/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0.02</v>
      </c>
      <c r="B34" s="770">
        <v>3.1438334786216169</v>
      </c>
      <c r="C34" s="771">
        <v>-2.0619748818739749</v>
      </c>
      <c r="D34" s="772">
        <v>-0.50370151916378192</v>
      </c>
      <c r="E34" s="773">
        <v>0.76822689520200427</v>
      </c>
      <c r="F34" s="771">
        <v>0.61012055605624438</v>
      </c>
      <c r="G34" s="774">
        <v>0.19385650509051305</v>
      </c>
      <c r="H34" s="773">
        <v>0.314</v>
      </c>
      <c r="I34" s="771">
        <v>0.52</v>
      </c>
      <c r="J34" s="601">
        <v>3.1219999999999999</v>
      </c>
      <c r="K34" s="426" t="str">
        <f t="shared" si="82"/>
        <v>1613</v>
      </c>
      <c r="L34" s="327"/>
      <c r="M34" s="173">
        <f t="shared" si="1"/>
        <v>3.1219999999999999</v>
      </c>
      <c r="N34" s="21">
        <f t="shared" si="2"/>
        <v>3.1438334786216169</v>
      </c>
      <c r="O34" s="5">
        <f t="shared" si="3"/>
        <v>-2.0619748818739749</v>
      </c>
      <c r="P34" s="10">
        <f t="shared" si="4"/>
        <v>-0.50370151916378192</v>
      </c>
      <c r="Q34" s="624">
        <f t="shared" si="116"/>
        <v>326.73996581897796</v>
      </c>
      <c r="R34" s="5">
        <f>IF(M34="","",SQRT(N34^2+O34^2))</f>
        <v>3.7597113392893995</v>
      </c>
      <c r="S34" s="6">
        <f>IF(M34="","",P34)</f>
        <v>-0.50370151916378192</v>
      </c>
      <c r="T34" s="4">
        <f>IF(M34="","",X34*COS(RADIANS(W34)))</f>
        <v>-2.0029075874285307</v>
      </c>
      <c r="U34" s="5">
        <f>IF(M34="","",X34*SIN(RADIANS(W34)))</f>
        <v>-3.1817904630887486</v>
      </c>
      <c r="V34" s="8">
        <f>IF(M34="","",Y34)</f>
        <v>-0.50370151916378192</v>
      </c>
      <c r="W34" s="624">
        <f t="shared" si="226"/>
        <v>237.80996566448908</v>
      </c>
      <c r="X34" s="5">
        <f>IF(M34="","",R34)</f>
        <v>3.7597113392893995</v>
      </c>
      <c r="Y34" s="7">
        <f t="shared" si="225"/>
        <v>-0.50370151916378192</v>
      </c>
      <c r="Z34" s="21">
        <f t="shared" si="6"/>
        <v>-0.76822689520200427</v>
      </c>
      <c r="AA34" s="5">
        <f t="shared" si="7"/>
        <v>-0.61012055605624438</v>
      </c>
      <c r="AB34" s="5">
        <f t="shared" si="8"/>
        <v>-0.19385650509051305</v>
      </c>
      <c r="AC34" s="8">
        <f>IF(M34="","",SQRT(Z34^2+AA34^2+AB34^2))</f>
        <v>1</v>
      </c>
      <c r="AD34" s="9">
        <f>IF(M34="","",Z34*(1/SQRT(Z34^2+AA34^2+AB34^2)))</f>
        <v>-0.76822689520200427</v>
      </c>
      <c r="AE34" s="5">
        <f>IF(M34="","",AA34*(1/SQRT(Z34^2+AA34^2+AB34^2)))</f>
        <v>-0.61012055605624438</v>
      </c>
      <c r="AF34" s="10">
        <f>IF(M34="","",AB34*(1/SQRT(Z34^2+AA34^2+AB34^2)))</f>
        <v>-0.19385650509051305</v>
      </c>
      <c r="AG34" s="622">
        <f>IF(M34="","",DEGREES(ATAN2(-AF34,AE34)))</f>
        <v>-72.373138808886779</v>
      </c>
      <c r="AH34" s="623">
        <f>IF(M34="","",DEGREES(ACOS(AD34)))</f>
        <v>140.19493150064119</v>
      </c>
      <c r="AI34" s="624">
        <f>IF(M34="","",DEGREES(-ACOS(-AF34)))</f>
        <v>-78.822068453833282</v>
      </c>
      <c r="AJ34" s="625">
        <f>IF(M34="","",DEGREES(ATAN2(-AE34,AD34)))</f>
        <v>-51.543637072664602</v>
      </c>
      <c r="AK34" s="4">
        <f>IF(M34="","",(COS(RADIANS((90-$Q$8)-W34))*AD34)+(-SIN(RADIANS((90-$Q$8)-W34))*AE34))</f>
        <v>0.93150289359005622</v>
      </c>
      <c r="AL34" s="5">
        <f>IF(M34="","",(SIN(RADIANS((90-$Q$8)-W34))*AD34)+(COS(RADIANS((90-$Q$8)-W34))*AE34))</f>
        <v>-0.30776941801849733</v>
      </c>
      <c r="AM34" s="6">
        <f>IF(M34="","",AF34)</f>
        <v>-0.19385650509051305</v>
      </c>
      <c r="AN34" s="612">
        <f>IF(M34="","",DEGREES(ATAN2(-AM34,AL34)))</f>
        <v>-57.794167235684199</v>
      </c>
      <c r="AO34" s="613">
        <f t="shared" si="98"/>
        <v>21.329686281599571</v>
      </c>
      <c r="AP34" s="624">
        <f>IF(M34="","",DEGREES(ATAN2(AK34,AL34)))</f>
        <v>-18.283602891642587</v>
      </c>
      <c r="AQ34" s="625">
        <f t="shared" si="9"/>
        <v>3.2949440528160667</v>
      </c>
      <c r="AS34" s="56">
        <f t="shared" si="119"/>
        <v>-122.19003433551092</v>
      </c>
      <c r="AT34" s="77">
        <f t="shared" si="10"/>
        <v>-3.8052501146587481E-2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3.1219999999999999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/>
      <c r="IN34" s="5" t="str">
        <f t="shared" si="228"/>
        <v/>
      </c>
      <c r="IO34" s="852"/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0.02</v>
      </c>
      <c r="B35" s="770">
        <v>3.3958205315606986</v>
      </c>
      <c r="C35" s="771">
        <v>-2.2853424731848451</v>
      </c>
      <c r="D35" s="772">
        <v>-1.2135036599270383</v>
      </c>
      <c r="E35" s="773">
        <v>0.8837841831304597</v>
      </c>
      <c r="F35" s="771">
        <v>0.45783871311893215</v>
      </c>
      <c r="G35" s="774">
        <v>9.6484353229040393E-2</v>
      </c>
      <c r="H35" s="773">
        <v>0.314</v>
      </c>
      <c r="I35" s="771">
        <v>0.52</v>
      </c>
      <c r="J35" s="601">
        <v>3.1280000000000001</v>
      </c>
      <c r="K35" s="426" t="str">
        <f t="shared" si="82"/>
        <v>1613</v>
      </c>
      <c r="L35" s="327"/>
      <c r="M35" s="173">
        <f t="shared" si="1"/>
        <v>3.1280000000000001</v>
      </c>
      <c r="N35" s="21">
        <f t="shared" si="2"/>
        <v>3.3958205315606986</v>
      </c>
      <c r="O35" s="5">
        <f t="shared" si="3"/>
        <v>-2.2853424731848451</v>
      </c>
      <c r="P35" s="10">
        <f t="shared" si="4"/>
        <v>-1.2135036599270383</v>
      </c>
      <c r="Q35" s="624">
        <f t="shared" si="116"/>
        <v>326.0599659171578</v>
      </c>
      <c r="R35" s="5">
        <f>IF(M35="","",SQRT(N35^2+O35^2))</f>
        <v>4.0932123451284337</v>
      </c>
      <c r="S35" s="6">
        <f>IF(M35="","",P35)</f>
        <v>-1.2135036599270383</v>
      </c>
      <c r="T35" s="4">
        <f>IF(M35="","",X35*COS(RADIANS(W35)))</f>
        <v>-2.2215306396343379</v>
      </c>
      <c r="U35" s="5">
        <f>IF(M35="","",X35*SIN(RADIANS(W35)))</f>
        <v>-3.4379047280978661</v>
      </c>
      <c r="V35" s="8">
        <f>IF(M35="","",Y35)</f>
        <v>-1.2135036599270383</v>
      </c>
      <c r="W35" s="624">
        <f t="shared" si="226"/>
        <v>237.12996576266892</v>
      </c>
      <c r="X35" s="5">
        <f>IF(M35="","",R35)</f>
        <v>4.0932123451284337</v>
      </c>
      <c r="Y35" s="7">
        <f t="shared" si="225"/>
        <v>-1.2135036599270383</v>
      </c>
      <c r="Z35" s="21">
        <f t="shared" si="6"/>
        <v>-0.8837841831304597</v>
      </c>
      <c r="AA35" s="5">
        <f t="shared" si="7"/>
        <v>-0.45783871311893215</v>
      </c>
      <c r="AB35" s="5">
        <f t="shared" si="8"/>
        <v>-9.6484353229040393E-2</v>
      </c>
      <c r="AC35" s="8">
        <f>IF(M35="","",SQRT(Z35^2+AA35^2+AB35^2))</f>
        <v>1</v>
      </c>
      <c r="AD35" s="9">
        <f>IF(M35="","",Z35*(1/SQRT(Z35^2+AA35^2+AB35^2)))</f>
        <v>-0.8837841831304597</v>
      </c>
      <c r="AE35" s="5">
        <f>IF(M35="","",AA35*(1/SQRT(Z35^2+AA35^2+AB35^2)))</f>
        <v>-0.45783871311893215</v>
      </c>
      <c r="AF35" s="10">
        <f>IF(M35="","",AB35*(1/SQRT(Z35^2+AA35^2+AB35^2)))</f>
        <v>-9.6484353229040393E-2</v>
      </c>
      <c r="AG35" s="622">
        <f>IF(M35="","",DEGREES(ATAN2(-AF35,AE35)))</f>
        <v>-78.099688026000734</v>
      </c>
      <c r="AH35" s="623">
        <f>IF(M35="","",DEGREES(ACOS(AD35)))</f>
        <v>152.102271816761</v>
      </c>
      <c r="AI35" s="624">
        <f>IF(M35="","",DEGREES(-ACOS(-AF35)))</f>
        <v>-84.463240508463201</v>
      </c>
      <c r="AJ35" s="625">
        <f>IF(M35="","",DEGREES(ATAN2(-AE35,AD35)))</f>
        <v>-62.613875163508666</v>
      </c>
      <c r="AK35" s="4">
        <f>IF(M35="","",(COS(RADIANS((90-$Q$8)-W35))*AD35)+(-SIN(RADIANS((90-$Q$8)-W35))*AE35))</f>
        <v>0.87327197604195028</v>
      </c>
      <c r="AL35" s="5">
        <f>IF(M35="","",(SIN(RADIANS((90-$Q$8)-W35))*AD35)+(COS(RADIANS((90-$Q$8)-W35))*AE35))</f>
        <v>-0.47758436473754173</v>
      </c>
      <c r="AM35" s="6">
        <f>IF(M35="","",AF35)</f>
        <v>-9.6484353229040393E-2</v>
      </c>
      <c r="AN35" s="612">
        <f>IF(M35="","",DEGREES(ATAN2(-AM35,AL35)))</f>
        <v>-78.578506728561109</v>
      </c>
      <c r="AO35" s="613">
        <f t="shared" si="98"/>
        <v>29.158880377992286</v>
      </c>
      <c r="AP35" s="624">
        <f>IF(M35="","",DEGREES(ATAN2(AK35,AL35)))</f>
        <v>-28.673841080666445</v>
      </c>
      <c r="AQ35" s="625">
        <f t="shared" si="9"/>
        <v>3.0270045625380031</v>
      </c>
      <c r="AS35" s="56">
        <f t="shared" si="119"/>
        <v>-122.87003423733108</v>
      </c>
      <c r="AT35" s="77">
        <f t="shared" si="10"/>
        <v>-0.74528575339185665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3.1280000000000001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0.02</v>
      </c>
      <c r="B36" s="770">
        <v>3.4679443710882527</v>
      </c>
      <c r="C36" s="771">
        <v>-2.3523941024384718</v>
      </c>
      <c r="D36" s="772">
        <v>-1.9420058570896652</v>
      </c>
      <c r="E36" s="773">
        <v>0.93451561133879835</v>
      </c>
      <c r="F36" s="771">
        <v>0.35592214340225503</v>
      </c>
      <c r="G36" s="774">
        <v>1.3008419221766473E-7</v>
      </c>
      <c r="H36" s="773">
        <v>0.26600000000000001</v>
      </c>
      <c r="I36" s="771">
        <v>0.52</v>
      </c>
      <c r="J36" s="601">
        <v>3.1339999999999999</v>
      </c>
      <c r="K36" s="426" t="str">
        <f t="shared" si="82"/>
        <v>1313</v>
      </c>
      <c r="L36" s="327"/>
      <c r="M36" s="173">
        <f t="shared" si="1"/>
        <v>3.1339999999999999</v>
      </c>
      <c r="N36" s="21">
        <f t="shared" si="2"/>
        <v>3.4679443710882527</v>
      </c>
      <c r="O36" s="5">
        <f t="shared" si="3"/>
        <v>-2.3523941024384718</v>
      </c>
      <c r="P36" s="10">
        <f t="shared" si="4"/>
        <v>-1.9420058570896652</v>
      </c>
      <c r="Q36" s="624">
        <f t="shared" si="116"/>
        <v>325.84996594747804</v>
      </c>
      <c r="R36" s="5">
        <f>IF(M36="","",SQRT(N36^2+O36^2))</f>
        <v>4.1905126385861191</v>
      </c>
      <c r="S36" s="6">
        <f>IF(M36="","",P36)</f>
        <v>-1.9420058570896652</v>
      </c>
      <c r="T36" s="4">
        <f>IF(M36="","",X36*COS(RADIANS(W36)))</f>
        <v>-2.2872237410080825</v>
      </c>
      <c r="U36" s="5">
        <f>IF(M36="","",X36*SIN(RADIANS(W36)))</f>
        <v>-3.5112681089200506</v>
      </c>
      <c r="V36" s="8">
        <f>IF(M36="","",Y36)</f>
        <v>-1.9420058570896652</v>
      </c>
      <c r="W36" s="624">
        <f t="shared" si="226"/>
        <v>236.91996579298916</v>
      </c>
      <c r="X36" s="5">
        <f>IF(M36="","",R36)</f>
        <v>4.1905126385861191</v>
      </c>
      <c r="Y36" s="7">
        <f t="shared" si="225"/>
        <v>-1.9420058570896652</v>
      </c>
      <c r="Z36" s="21">
        <f t="shared" si="6"/>
        <v>-0.93451561133879835</v>
      </c>
      <c r="AA36" s="5">
        <f t="shared" si="7"/>
        <v>-0.35592214340225503</v>
      </c>
      <c r="AB36" s="5">
        <f t="shared" si="8"/>
        <v>-1.3008419221766473E-7</v>
      </c>
      <c r="AC36" s="8">
        <f>IF(M36="","",SQRT(Z36^2+AA36^2+AB36^2))</f>
        <v>1</v>
      </c>
      <c r="AD36" s="9">
        <f>IF(M36="","",Z36*(1/SQRT(Z36^2+AA36^2+AB36^2)))</f>
        <v>-0.93451561133879835</v>
      </c>
      <c r="AE36" s="5">
        <f>IF(M36="","",AA36*(1/SQRT(Z36^2+AA36^2+AB36^2)))</f>
        <v>-0.35592214340225503</v>
      </c>
      <c r="AF36" s="10">
        <f>IF(M36="","",AB36*(1/SQRT(Z36^2+AA36^2+AB36^2)))</f>
        <v>-1.3008419221766473E-7</v>
      </c>
      <c r="AG36" s="622">
        <f>IF(M36="","",DEGREES(ATAN2(-AF36,AE36)))</f>
        <v>-89.999979059254017</v>
      </c>
      <c r="AH36" s="623">
        <f>IF(M36="","",DEGREES(ACOS(AD36)))</f>
        <v>159.150028999146</v>
      </c>
      <c r="AI36" s="624">
        <f>IF(M36="","",DEGREES(-ACOS(-AF36)))</f>
        <v>-89.999992546724798</v>
      </c>
      <c r="AJ36" s="625">
        <f>IF(M36="","",DEGREES(ATAN2(-AE36,AD36)))</f>
        <v>-69.150028999147224</v>
      </c>
      <c r="AK36" s="4">
        <f>IF(M36="","",(COS(RADIANS((90-$Q$8)-W36))*AD36)+(-SIN(RADIANS((90-$Q$8)-W36))*AE36))</f>
        <v>0.81915209487729213</v>
      </c>
      <c r="AL36" s="5">
        <f>IF(M36="","",(SIN(RADIANS((90-$Q$8)-W36))*AD36)+(COS(RADIANS((90-$Q$8)-W36))*AE36))</f>
        <v>-0.5735763641034447</v>
      </c>
      <c r="AM36" s="6">
        <f>IF(M36="","",AF36)</f>
        <v>-1.3008419221766473E-7</v>
      </c>
      <c r="AN36" s="612">
        <f>IF(M36="","",DEGREES(ATAN2(-AM36,AL36)))</f>
        <v>-89.999987005609611</v>
      </c>
      <c r="AO36" s="613">
        <f t="shared" si="98"/>
        <v>34.999994946625939</v>
      </c>
      <c r="AP36" s="624">
        <f>IF(M36="","",DEGREES(ATAN2(AK36,AL36)))</f>
        <v>-34.999994946625272</v>
      </c>
      <c r="AQ36" s="625">
        <f t="shared" si="9"/>
        <v>2.9568461818135958</v>
      </c>
      <c r="AS36" s="56">
        <f t="shared" si="119"/>
        <v>-123.08003420701084</v>
      </c>
      <c r="AT36" s="77">
        <f t="shared" si="10"/>
        <v>-1.4729946173356934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3.1339999999999999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7"/>
        <v/>
      </c>
      <c r="IK36" s="839" t="str">
        <f t="shared" si="68"/>
        <v/>
      </c>
      <c r="IL36" s="791" t="str">
        <f t="shared" si="227"/>
        <v/>
      </c>
      <c r="IM36" s="830"/>
      <c r="IN36" s="5" t="str">
        <f t="shared" si="228"/>
        <v/>
      </c>
      <c r="IO36" s="852"/>
      <c r="IP36" s="9" t="str">
        <f t="shared" si="229"/>
        <v/>
      </c>
      <c r="IQ36" s="5" t="str">
        <f t="shared" si="230"/>
        <v/>
      </c>
      <c r="IR36" s="5" t="str">
        <f t="shared" si="73"/>
        <v/>
      </c>
      <c r="IS36" s="5" t="str">
        <f t="shared" si="231"/>
        <v/>
      </c>
      <c r="IT36" s="791" t="str">
        <f t="shared" si="232"/>
        <v/>
      </c>
      <c r="IU36" s="9" t="str">
        <f t="shared" si="233"/>
        <v/>
      </c>
      <c r="IV36" s="5" t="str">
        <f t="shared" si="234"/>
        <v/>
      </c>
      <c r="IW36" s="5" t="str">
        <f t="shared" si="78"/>
        <v/>
      </c>
      <c r="IX36" s="5" t="str">
        <f t="shared" si="235"/>
        <v/>
      </c>
      <c r="IY36" s="833" t="str">
        <f t="shared" si="236"/>
        <v/>
      </c>
    </row>
    <row r="37" spans="1:259" ht="15" customHeight="1" x14ac:dyDescent="0.25">
      <c r="A37" s="84">
        <f t="shared" si="81"/>
        <v>0</v>
      </c>
      <c r="B37" s="770">
        <v>0.68304585227775416</v>
      </c>
      <c r="C37" s="771">
        <v>-1.3967391900730433</v>
      </c>
      <c r="D37" s="772">
        <v>-0.16230554352500257</v>
      </c>
      <c r="E37" s="773">
        <v>-6.8723270111866297E-2</v>
      </c>
      <c r="F37" s="771">
        <v>0.14053059093755221</v>
      </c>
      <c r="G37" s="774">
        <v>0.98768834414296602</v>
      </c>
      <c r="H37" s="773">
        <v>0.19500000000000001</v>
      </c>
      <c r="I37" s="771">
        <v>0.21199999999999999</v>
      </c>
      <c r="J37" s="601">
        <v>3.206</v>
      </c>
      <c r="K37" s="426" t="str">
        <f t="shared" si="82"/>
        <v>Knuckle</v>
      </c>
      <c r="L37" s="327"/>
      <c r="M37" s="173">
        <f t="shared" si="1"/>
        <v>3.206</v>
      </c>
      <c r="N37" s="21">
        <f t="shared" si="2"/>
        <v>0.68304585227775416</v>
      </c>
      <c r="O37" s="5">
        <f t="shared" si="3"/>
        <v>-1.3967391900730433</v>
      </c>
      <c r="P37" s="10">
        <f t="shared" si="4"/>
        <v>-0.16230554352500257</v>
      </c>
      <c r="Q37" s="624">
        <f t="shared" si="116"/>
        <v>296.05997024862125</v>
      </c>
      <c r="R37" s="5">
        <f t="shared" si="83"/>
        <v>1.5548093135171734</v>
      </c>
      <c r="S37" s="6">
        <f t="shared" si="84"/>
        <v>-0.16230554352500257</v>
      </c>
      <c r="T37" s="4">
        <f t="shared" si="85"/>
        <v>-1.3837404825774022</v>
      </c>
      <c r="U37" s="5">
        <f t="shared" si="86"/>
        <v>-0.70900936402575265</v>
      </c>
      <c r="V37" s="8">
        <f t="shared" si="117"/>
        <v>-0.16230554352500257</v>
      </c>
      <c r="W37" s="624">
        <f t="shared" si="226"/>
        <v>207.12997009413237</v>
      </c>
      <c r="X37" s="5">
        <f t="shared" si="87"/>
        <v>1.5548093135171734</v>
      </c>
      <c r="Y37" s="7">
        <f t="shared" si="225"/>
        <v>-0.16230554352500257</v>
      </c>
      <c r="Z37" s="21">
        <f t="shared" si="6"/>
        <v>6.8723270111866297E-2</v>
      </c>
      <c r="AA37" s="5">
        <f t="shared" si="7"/>
        <v>-0.14053059093755221</v>
      </c>
      <c r="AB37" s="5">
        <f t="shared" si="8"/>
        <v>-0.98768834414296602</v>
      </c>
      <c r="AC37" s="8">
        <f t="shared" si="88"/>
        <v>1</v>
      </c>
      <c r="AD37" s="9">
        <f t="shared" si="118"/>
        <v>6.8723270111866297E-2</v>
      </c>
      <c r="AE37" s="5">
        <f t="shared" si="89"/>
        <v>-0.14053059093755221</v>
      </c>
      <c r="AF37" s="10">
        <f t="shared" si="90"/>
        <v>-0.98768834414296602</v>
      </c>
      <c r="AG37" s="622">
        <f t="shared" si="91"/>
        <v>-8.0978236425185877</v>
      </c>
      <c r="AH37" s="623">
        <f t="shared" si="92"/>
        <v>86.059340625307428</v>
      </c>
      <c r="AI37" s="624">
        <f t="shared" si="93"/>
        <v>-8.9999987005702131</v>
      </c>
      <c r="AJ37" s="625">
        <f t="shared" si="94"/>
        <v>26.059887182576627</v>
      </c>
      <c r="AK37" s="4">
        <f t="shared" si="213"/>
        <v>2.2679489664056973E-7</v>
      </c>
      <c r="AL37" s="5">
        <f t="shared" si="95"/>
        <v>0.15643444263995934</v>
      </c>
      <c r="AM37" s="6">
        <f t="shared" si="96"/>
        <v>-0.98768834414296602</v>
      </c>
      <c r="AN37" s="612">
        <f t="shared" si="97"/>
        <v>8.9999987005609636</v>
      </c>
      <c r="AO37" s="613">
        <f t="shared" si="98"/>
        <v>0</v>
      </c>
      <c r="AP37" s="624">
        <f t="shared" si="99"/>
        <v>89.999916933955376</v>
      </c>
      <c r="AQ37" s="625">
        <f t="shared" si="9"/>
        <v>7.9254187437216839</v>
      </c>
      <c r="AS37" s="56">
        <f t="shared" si="119"/>
        <v>-152.87002990586763</v>
      </c>
      <c r="AT37" s="77">
        <f t="shared" si="10"/>
        <v>0.41924567998020601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>
        <f>IFERROR(IF($IU37="","",IF($IU37&lt;(((Settings!$C$19/2)*-1)*$IE$8),"",1)),"")</f>
        <v>1</v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3.206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3.1059999999999999</v>
      </c>
      <c r="II37" s="800" cm="1">
        <f t="array" ref="II37">IFERROR(IF($IH37&lt;1,$IH37+LARGE((IF($M$9:$M$150="",0,$M$9:$M$150)-MOD(IF($M$9:$M$150="",0,$M$9:$M$150),1)),1),$IH37),"")</f>
        <v>3.1059999999999999</v>
      </c>
      <c r="IJ37" s="839" t="str">
        <f t="shared" si="67"/>
        <v>1613</v>
      </c>
      <c r="IK37" s="839" t="str">
        <f t="shared" si="68"/>
        <v>Knuckle</v>
      </c>
      <c r="IL37" s="791">
        <f t="shared" si="227"/>
        <v>33.929995101114855</v>
      </c>
      <c r="IM37" s="830">
        <v>7.4865018701079006E-2</v>
      </c>
      <c r="IN37" s="5">
        <f t="shared" si="228"/>
        <v>0.8</v>
      </c>
      <c r="IO37" s="852">
        <v>400</v>
      </c>
      <c r="IP37" s="9">
        <f t="shared" si="229"/>
        <v>-1.5661047233718461</v>
      </c>
      <c r="IQ37" s="5">
        <f t="shared" si="230"/>
        <v>-0.18930057093052191</v>
      </c>
      <c r="IR37" s="5">
        <f t="shared" si="73"/>
        <v>0.314</v>
      </c>
      <c r="IS37" s="5">
        <f t="shared" si="231"/>
        <v>0.29862737949662504</v>
      </c>
      <c r="IT37" s="791">
        <f t="shared" si="232"/>
        <v>-7.9969103386522731</v>
      </c>
      <c r="IU37" s="9">
        <f t="shared" si="233"/>
        <v>-1.5548093135171734</v>
      </c>
      <c r="IV37" s="5">
        <f t="shared" si="234"/>
        <v>-0.16230554352500257</v>
      </c>
      <c r="IW37" s="5">
        <f t="shared" si="78"/>
        <v>0.19500000000000001</v>
      </c>
      <c r="IX37" s="5">
        <f t="shared" si="235"/>
        <v>0.19500000000000001</v>
      </c>
      <c r="IY37" s="833">
        <f t="shared" si="236"/>
        <v>-8.9999987005609636</v>
      </c>
    </row>
    <row r="38" spans="1:259" ht="15" customHeight="1" x14ac:dyDescent="0.25">
      <c r="A38" s="84">
        <f t="shared" si="81"/>
        <v>0</v>
      </c>
      <c r="B38" s="770">
        <v>1.3687008620597458</v>
      </c>
      <c r="C38" s="771">
        <v>-1.8591788415457156</v>
      </c>
      <c r="D38" s="772">
        <v>-3.5032776817645717E-2</v>
      </c>
      <c r="E38" s="773">
        <v>-9.2742974902361233E-2</v>
      </c>
      <c r="F38" s="771">
        <v>0.12597807527655816</v>
      </c>
      <c r="G38" s="774">
        <v>0.98768834414296591</v>
      </c>
      <c r="H38" s="773">
        <v>0.19500000000000001</v>
      </c>
      <c r="I38" s="771">
        <v>0.21199999999999999</v>
      </c>
      <c r="J38" s="601">
        <v>3.21</v>
      </c>
      <c r="K38" s="426" t="str">
        <f t="shared" si="82"/>
        <v>Knuckle</v>
      </c>
      <c r="L38" s="327"/>
      <c r="M38" s="173">
        <f t="shared" si="1"/>
        <v>3.21</v>
      </c>
      <c r="N38" s="21">
        <f t="shared" si="2"/>
        <v>1.3687008620597458</v>
      </c>
      <c r="O38" s="5">
        <f t="shared" si="3"/>
        <v>-1.8591788415457156</v>
      </c>
      <c r="P38" s="10">
        <f t="shared" si="4"/>
        <v>-3.5032776817645717E-2</v>
      </c>
      <c r="Q38" s="624">
        <f t="shared" si="116"/>
        <v>306.3599687614855</v>
      </c>
      <c r="R38" s="5">
        <f t="shared" si="83"/>
        <v>2.3086550228768177</v>
      </c>
      <c r="S38" s="6">
        <f t="shared" si="84"/>
        <v>-3.5032776817645717E-2</v>
      </c>
      <c r="T38" s="4">
        <f t="shared" si="85"/>
        <v>-1.8332956200462998</v>
      </c>
      <c r="U38" s="5">
        <f t="shared" si="86"/>
        <v>-1.4031803819086885</v>
      </c>
      <c r="V38" s="8">
        <f t="shared" si="117"/>
        <v>-3.5032776817645717E-2</v>
      </c>
      <c r="W38" s="624">
        <f t="shared" si="226"/>
        <v>217.42996860699662</v>
      </c>
      <c r="X38" s="5">
        <f t="shared" si="87"/>
        <v>2.3086550228768177</v>
      </c>
      <c r="Y38" s="7">
        <f t="shared" si="225"/>
        <v>-3.5032776817645717E-2</v>
      </c>
      <c r="Z38" s="21">
        <f t="shared" si="6"/>
        <v>9.2742974902361233E-2</v>
      </c>
      <c r="AA38" s="5">
        <f t="shared" si="7"/>
        <v>-0.12597807527655816</v>
      </c>
      <c r="AB38" s="5">
        <f t="shared" si="8"/>
        <v>-0.98768834414296591</v>
      </c>
      <c r="AC38" s="8">
        <f t="shared" si="88"/>
        <v>1</v>
      </c>
      <c r="AD38" s="9">
        <f t="shared" si="118"/>
        <v>9.2742974902361233E-2</v>
      </c>
      <c r="AE38" s="5">
        <f t="shared" si="89"/>
        <v>-0.12597807527655816</v>
      </c>
      <c r="AF38" s="10">
        <f t="shared" si="90"/>
        <v>-0.98768834414296591</v>
      </c>
      <c r="AG38" s="622">
        <f t="shared" si="91"/>
        <v>-7.2687376025001118</v>
      </c>
      <c r="AH38" s="623">
        <f t="shared" si="92"/>
        <v>84.678571787738022</v>
      </c>
      <c r="AI38" s="624">
        <f t="shared" si="93"/>
        <v>-8.9999987005702629</v>
      </c>
      <c r="AJ38" s="625">
        <f t="shared" si="94"/>
        <v>36.359885695440852</v>
      </c>
      <c r="AK38" s="4">
        <f t="shared" si="213"/>
        <v>2.2679489670995867E-7</v>
      </c>
      <c r="AL38" s="5">
        <f t="shared" si="95"/>
        <v>0.15643444263995931</v>
      </c>
      <c r="AM38" s="6">
        <f t="shared" si="96"/>
        <v>-0.98768834414296591</v>
      </c>
      <c r="AN38" s="612">
        <f t="shared" si="97"/>
        <v>8.9999987005609619</v>
      </c>
      <c r="AO38" s="613">
        <f t="shared" si="98"/>
        <v>0</v>
      </c>
      <c r="AP38" s="624">
        <f t="shared" si="99"/>
        <v>89.999916933955348</v>
      </c>
      <c r="AQ38" s="625">
        <f t="shared" si="9"/>
        <v>5.3561771950243573</v>
      </c>
      <c r="AS38" s="56">
        <f t="shared" si="119"/>
        <v>-142.57003139300338</v>
      </c>
      <c r="AT38" s="77">
        <f t="shared" si="10"/>
        <v>0.50760734119452022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>
        <f>IFERROR(IF($IU38="","",IF($IU38&lt;(((Settings!$C$19/2)*-1)*$IE$8),"",1)),"")</f>
        <v>1</v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3.21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3.11</v>
      </c>
      <c r="II38" s="800" cm="1">
        <f t="array" ref="II38">IFERROR(IF($IH38&lt;1,$IH38+LARGE((IF($M$9:$M$150="",0,$M$9:$M$150)-MOD(IF($M$9:$M$150="",0,$M$9:$M$150),1)),1),$IH38),"")</f>
        <v>3.11</v>
      </c>
      <c r="IJ38" s="839" t="str">
        <f t="shared" si="67"/>
        <v>1613</v>
      </c>
      <c r="IK38" s="839" t="str">
        <f t="shared" si="68"/>
        <v>Knuckle</v>
      </c>
      <c r="IL38" s="791">
        <f t="shared" si="227"/>
        <v>22.949996686430438</v>
      </c>
      <c r="IM38" s="830">
        <v>6.9076904310724593E-2</v>
      </c>
      <c r="IN38" s="5">
        <f t="shared" si="228"/>
        <v>1.08</v>
      </c>
      <c r="IO38" s="852">
        <v>540</v>
      </c>
      <c r="IP38" s="9">
        <f t="shared" si="229"/>
        <v>-2.3202069977443052</v>
      </c>
      <c r="IQ38" s="5">
        <f t="shared" si="230"/>
        <v>-6.9900210819035843E-2</v>
      </c>
      <c r="IR38" s="5">
        <f t="shared" si="73"/>
        <v>0.314</v>
      </c>
      <c r="IS38" s="5">
        <f t="shared" si="231"/>
        <v>0.2998026728898453</v>
      </c>
      <c r="IT38" s="791">
        <f t="shared" si="232"/>
        <v>1.9249448584459108</v>
      </c>
      <c r="IU38" s="9">
        <f t="shared" si="233"/>
        <v>-2.3086550228768177</v>
      </c>
      <c r="IV38" s="5">
        <f t="shared" si="234"/>
        <v>-3.5032776817645717E-2</v>
      </c>
      <c r="IW38" s="5">
        <f t="shared" si="78"/>
        <v>0.19500000000000001</v>
      </c>
      <c r="IX38" s="5">
        <f t="shared" si="235"/>
        <v>0.19500000000000001</v>
      </c>
      <c r="IY38" s="833">
        <f t="shared" si="236"/>
        <v>-8.9999987005609619</v>
      </c>
    </row>
    <row r="39" spans="1:259" ht="15" customHeight="1" x14ac:dyDescent="0.25">
      <c r="A39" s="84">
        <f t="shared" si="81"/>
        <v>0</v>
      </c>
      <c r="B39" s="770">
        <v>1.9385594429566428</v>
      </c>
      <c r="C39" s="771">
        <v>-2.4283942147338675</v>
      </c>
      <c r="D39" s="772">
        <v>-7.6107887811721953E-2</v>
      </c>
      <c r="E39" s="773">
        <v>0.13173486598532902</v>
      </c>
      <c r="F39" s="771">
        <v>-0.16502123929571064</v>
      </c>
      <c r="G39" s="774">
        <v>0.97745276902013811</v>
      </c>
      <c r="H39" s="773">
        <v>0.25700000000000001</v>
      </c>
      <c r="I39" s="771">
        <v>0.41499999999999992</v>
      </c>
      <c r="J39" s="601">
        <v>3.2160000000000002</v>
      </c>
      <c r="K39" s="426" t="str">
        <f t="shared" si="82"/>
        <v/>
      </c>
      <c r="L39" s="327"/>
      <c r="M39" s="173">
        <f t="shared" si="1"/>
        <v>3.2160000000000002</v>
      </c>
      <c r="N39" s="21">
        <f t="shared" si="2"/>
        <v>1.9385594429566428</v>
      </c>
      <c r="O39" s="5">
        <f t="shared" si="3"/>
        <v>-2.4283942147338675</v>
      </c>
      <c r="P39" s="10">
        <f t="shared" si="4"/>
        <v>-7.6107887811721953E-2</v>
      </c>
      <c r="Q39" s="624">
        <f t="shared" si="116"/>
        <v>308.59996843806954</v>
      </c>
      <c r="R39" s="5">
        <f t="shared" si="83"/>
        <v>3.1072674773873725</v>
      </c>
      <c r="S39" s="6">
        <f t="shared" si="84"/>
        <v>-7.6107887811721953E-2</v>
      </c>
      <c r="T39" s="4">
        <f t="shared" si="85"/>
        <v>-2.3917702353791848</v>
      </c>
      <c r="U39" s="5">
        <f t="shared" si="86"/>
        <v>-1.9835690855585257</v>
      </c>
      <c r="V39" s="8">
        <f t="shared" si="117"/>
        <v>-7.6107887811721953E-2</v>
      </c>
      <c r="W39" s="624">
        <f t="shared" si="226"/>
        <v>219.66996828358066</v>
      </c>
      <c r="X39" s="5">
        <f t="shared" si="87"/>
        <v>3.1072674773873725</v>
      </c>
      <c r="Y39" s="7">
        <f t="shared" si="225"/>
        <v>-7.6107887811721953E-2</v>
      </c>
      <c r="Z39" s="21">
        <f t="shared" si="6"/>
        <v>-0.13173486598532902</v>
      </c>
      <c r="AA39" s="5">
        <f t="shared" si="7"/>
        <v>0.16502123929571064</v>
      </c>
      <c r="AB39" s="5">
        <f t="shared" si="8"/>
        <v>-0.97745276902013811</v>
      </c>
      <c r="AC39" s="8">
        <f t="shared" si="88"/>
        <v>1</v>
      </c>
      <c r="AD39" s="9">
        <f t="shared" si="118"/>
        <v>-0.13173486598532902</v>
      </c>
      <c r="AE39" s="5">
        <f t="shared" si="89"/>
        <v>0.16502123929571064</v>
      </c>
      <c r="AF39" s="10">
        <f t="shared" si="90"/>
        <v>-0.97745276902013811</v>
      </c>
      <c r="AG39" s="622">
        <f t="shared" si="91"/>
        <v>9.582759258494626</v>
      </c>
      <c r="AH39" s="623">
        <f t="shared" si="92"/>
        <v>97.56985510108052</v>
      </c>
      <c r="AI39" s="624">
        <f t="shared" si="93"/>
        <v>-12.189998239988789</v>
      </c>
      <c r="AJ39" s="625">
        <f t="shared" si="94"/>
        <v>-141.39997002210731</v>
      </c>
      <c r="AK39" s="4">
        <f t="shared" si="213"/>
        <v>2.267948967932254E-7</v>
      </c>
      <c r="AL39" s="5">
        <f t="shared" si="95"/>
        <v>-0.21115417195692193</v>
      </c>
      <c r="AM39" s="6">
        <f t="shared" si="96"/>
        <v>-0.97745276902013811</v>
      </c>
      <c r="AN39" s="612">
        <f t="shared" si="97"/>
        <v>-12.189998239982005</v>
      </c>
      <c r="AO39" s="613">
        <f t="shared" si="98"/>
        <v>0</v>
      </c>
      <c r="AP39" s="624">
        <f t="shared" si="99"/>
        <v>-89.99993846017685</v>
      </c>
      <c r="AQ39" s="625">
        <f t="shared" si="9"/>
        <v>3.9847588331235722</v>
      </c>
      <c r="AS39" s="56">
        <f t="shared" si="119"/>
        <v>-140.33003171641934</v>
      </c>
      <c r="AT39" s="77">
        <f t="shared" si="10"/>
        <v>0.45807000920001539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>
        <f>IFERROR(IF($IU39="","",IF($IU39&lt;(((Settings!$C$19/2)*-1)*$IE$8),"",1)),"")</f>
        <v>1</v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3.2160000000000002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3.1160000000000001</v>
      </c>
      <c r="II39" s="800" cm="1">
        <f t="array" ref="II39">IFERROR(IF($IH39&lt;1,$IH39+LARGE((IF($M$9:$M$150="",0,$M$9:$M$150)-MOD(IF($M$9:$M$150="",0,$M$9:$M$150),1)),1),$IH39),"")</f>
        <v>3.1160000000000001</v>
      </c>
      <c r="IJ39" s="839" t="str">
        <f t="shared" si="67"/>
        <v>1613</v>
      </c>
      <c r="IK39" s="839" t="str">
        <f t="shared" si="68"/>
        <v/>
      </c>
      <c r="IL39" s="791">
        <f t="shared" si="227"/>
        <v>19.429997194655527</v>
      </c>
      <c r="IM39" s="830">
        <v>3.09881487367113E-2</v>
      </c>
      <c r="IN39" s="5">
        <f t="shared" si="228"/>
        <v>0.62</v>
      </c>
      <c r="IO39" s="852">
        <v>310</v>
      </c>
      <c r="IP39" s="9">
        <f t="shared" si="229"/>
        <v>-3.0980093435961802</v>
      </c>
      <c r="IQ39" s="5">
        <f t="shared" si="230"/>
        <v>-8.2900250027154093E-2</v>
      </c>
      <c r="IR39" s="5">
        <f t="shared" si="73"/>
        <v>0.314</v>
      </c>
      <c r="IS39" s="5">
        <f t="shared" si="231"/>
        <v>0.2988105604699352</v>
      </c>
      <c r="IT39" s="791">
        <f t="shared" si="232"/>
        <v>30.946615797017472</v>
      </c>
      <c r="IU39" s="9">
        <f t="shared" si="233"/>
        <v>-3.1072674773873725</v>
      </c>
      <c r="IV39" s="5">
        <f t="shared" si="234"/>
        <v>-7.6107887811721953E-2</v>
      </c>
      <c r="IW39" s="5">
        <f t="shared" si="78"/>
        <v>0.25700000000000001</v>
      </c>
      <c r="IX39" s="5">
        <f t="shared" si="235"/>
        <v>0.25700000000000001</v>
      </c>
      <c r="IY39" s="833">
        <f t="shared" si="236"/>
        <v>12.189998239982005</v>
      </c>
    </row>
    <row r="40" spans="1:259" ht="15" customHeight="1" x14ac:dyDescent="0.25">
      <c r="A40" s="84">
        <f t="shared" si="81"/>
        <v>0.02</v>
      </c>
      <c r="B40" s="770">
        <v>2.5194784897912728</v>
      </c>
      <c r="C40" s="771">
        <v>-2.8337731789870233</v>
      </c>
      <c r="D40" s="772">
        <v>-0.46900000000000053</v>
      </c>
      <c r="E40" s="773">
        <v>0.90753072477553731</v>
      </c>
      <c r="F40" s="771">
        <v>0.33137257886796301</v>
      </c>
      <c r="G40" s="774">
        <v>0.25803138871614761</v>
      </c>
      <c r="H40" s="773">
        <v>0.26600000000000001</v>
      </c>
      <c r="I40" s="771">
        <v>0.52</v>
      </c>
      <c r="J40" s="601">
        <v>3.222</v>
      </c>
      <c r="K40" s="426" t="str">
        <f t="shared" si="82"/>
        <v>1313</v>
      </c>
      <c r="L40" s="327"/>
      <c r="M40" s="173">
        <f t="shared" si="1"/>
        <v>3.222</v>
      </c>
      <c r="N40" s="21">
        <f t="shared" si="2"/>
        <v>2.5194784897912728</v>
      </c>
      <c r="O40" s="5">
        <f t="shared" si="3"/>
        <v>-2.8337731789870233</v>
      </c>
      <c r="P40" s="10">
        <f t="shared" si="4"/>
        <v>-0.46900000000000053</v>
      </c>
      <c r="Q40" s="624">
        <f t="shared" si="116"/>
        <v>311.63996534829226</v>
      </c>
      <c r="R40" s="5">
        <f t="shared" si="83"/>
        <v>3.7918389061861704</v>
      </c>
      <c r="S40" s="6">
        <f t="shared" si="84"/>
        <v>-0.46900000000000053</v>
      </c>
      <c r="T40" s="4">
        <f t="shared" si="85"/>
        <v>-2.7862304680235472</v>
      </c>
      <c r="U40" s="5">
        <f t="shared" si="86"/>
        <v>-2.5719568560775699</v>
      </c>
      <c r="V40" s="8">
        <f t="shared" si="117"/>
        <v>-0.46900000000000053</v>
      </c>
      <c r="W40" s="624">
        <f t="shared" si="226"/>
        <v>222.70996519380338</v>
      </c>
      <c r="X40" s="5">
        <f t="shared" si="87"/>
        <v>3.7918389061861704</v>
      </c>
      <c r="Y40" s="7">
        <f t="shared" si="225"/>
        <v>-0.46900000000000053</v>
      </c>
      <c r="Z40" s="21">
        <f t="shared" si="6"/>
        <v>-0.90753072477553731</v>
      </c>
      <c r="AA40" s="5">
        <f t="shared" si="7"/>
        <v>-0.33137257886796301</v>
      </c>
      <c r="AB40" s="5">
        <f t="shared" si="8"/>
        <v>-0.25803138871614761</v>
      </c>
      <c r="AC40" s="8">
        <f t="shared" si="88"/>
        <v>1</v>
      </c>
      <c r="AD40" s="9">
        <f t="shared" si="118"/>
        <v>-0.90753072477553731</v>
      </c>
      <c r="AE40" s="5">
        <f t="shared" si="89"/>
        <v>-0.33137257886796301</v>
      </c>
      <c r="AF40" s="10">
        <f t="shared" si="90"/>
        <v>-0.25803138871614761</v>
      </c>
      <c r="AG40" s="622">
        <f t="shared" si="91"/>
        <v>-52.093016319708902</v>
      </c>
      <c r="AH40" s="623">
        <f t="shared" si="92"/>
        <v>155.16631567256715</v>
      </c>
      <c r="AI40" s="624">
        <f t="shared" si="93"/>
        <v>-75.046716281080577</v>
      </c>
      <c r="AJ40" s="625">
        <f t="shared" si="94"/>
        <v>-69.9410174852285</v>
      </c>
      <c r="AK40" s="4">
        <f t="shared" si="213"/>
        <v>0.89840902945068579</v>
      </c>
      <c r="AL40" s="5">
        <f t="shared" si="95"/>
        <v>-0.35536040612129705</v>
      </c>
      <c r="AM40" s="6">
        <f t="shared" si="96"/>
        <v>-0.25803138871614761</v>
      </c>
      <c r="AN40" s="612">
        <f t="shared" si="97"/>
        <v>-54.016155372963318</v>
      </c>
      <c r="AO40" s="613">
        <f t="shared" si="98"/>
        <v>26.050277069751811</v>
      </c>
      <c r="AP40" s="624">
        <f t="shared" si="99"/>
        <v>-21.580982833520746</v>
      </c>
      <c r="AQ40" s="625">
        <f t="shared" si="9"/>
        <v>3.2670873192140841</v>
      </c>
      <c r="AS40" s="56">
        <f t="shared" si="119"/>
        <v>-137.29003480619662</v>
      </c>
      <c r="AT40" s="77">
        <f t="shared" si="10"/>
        <v>5.3693464239784272E-2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6"/>
        <v>3.222</v>
      </c>
      <c r="IH40" s="797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3.1219999999999999</v>
      </c>
      <c r="II40" s="800" cm="1">
        <f t="array" ref="II40">IFERROR(IF($IH40&lt;1,$IH40+LARGE((IF($M$9:$M$150="",0,$M$9:$M$150)-MOD(IF($M$9:$M$150="",0,$M$9:$M$150),1)),1),$IH40),"")</f>
        <v>3.1219999999999999</v>
      </c>
      <c r="IJ40" s="839" t="str">
        <f t="shared" si="67"/>
        <v>1613</v>
      </c>
      <c r="IK40" s="839" t="str">
        <f t="shared" si="68"/>
        <v>1313</v>
      </c>
      <c r="IL40" s="791">
        <f t="shared" si="227"/>
        <v>15.1000004706857</v>
      </c>
      <c r="IM40" s="830">
        <v>6.63999437915401E-3</v>
      </c>
      <c r="IN40" s="5">
        <f t="shared" si="228"/>
        <v>0.16</v>
      </c>
      <c r="IO40" s="852">
        <v>80</v>
      </c>
      <c r="IP40" s="9">
        <f t="shared" si="229"/>
        <v>-3.7597113392893995</v>
      </c>
      <c r="IQ40" s="5">
        <f t="shared" si="230"/>
        <v>-0.50370151916378192</v>
      </c>
      <c r="IR40" s="5">
        <f t="shared" si="73"/>
        <v>0.314</v>
      </c>
      <c r="IS40" s="5">
        <f t="shared" si="231"/>
        <v>0.29249190858727764</v>
      </c>
      <c r="IT40" s="791">
        <f t="shared" si="232"/>
        <v>57.794167235684199</v>
      </c>
      <c r="IU40" s="9">
        <f t="shared" si="233"/>
        <v>-3.7918389061861704</v>
      </c>
      <c r="IV40" s="5">
        <f t="shared" si="234"/>
        <v>-0.46900000000000053</v>
      </c>
      <c r="IW40" s="5">
        <f t="shared" si="78"/>
        <v>0.26600000000000001</v>
      </c>
      <c r="IX40" s="5">
        <f t="shared" si="235"/>
        <v>0.23897680183388242</v>
      </c>
      <c r="IY40" s="833">
        <f t="shared" si="236"/>
        <v>54.016155372963318</v>
      </c>
    </row>
    <row r="41" spans="1:259" ht="15" customHeight="1" x14ac:dyDescent="0.25">
      <c r="A41" s="84">
        <f t="shared" si="81"/>
        <v>0.02</v>
      </c>
      <c r="B41" s="770">
        <v>2.7484412432044456</v>
      </c>
      <c r="C41" s="771">
        <v>-3.0967360999671611</v>
      </c>
      <c r="D41" s="772">
        <v>-1.1955000000000002</v>
      </c>
      <c r="E41" s="773">
        <v>0.98053490328671233</v>
      </c>
      <c r="F41" s="771">
        <v>0.14480976821114033</v>
      </c>
      <c r="G41" s="774">
        <v>0.13259500166730928</v>
      </c>
      <c r="H41" s="773">
        <v>0.26600000000000001</v>
      </c>
      <c r="I41" s="771">
        <v>0.52</v>
      </c>
      <c r="J41" s="601">
        <v>3.2280000000000002</v>
      </c>
      <c r="K41" s="426" t="str">
        <f t="shared" si="82"/>
        <v>1313</v>
      </c>
      <c r="L41" s="327"/>
      <c r="M41" s="173">
        <f t="shared" ref="M41:M72" si="241">IF(J41="","",VALUE(J41))</f>
        <v>3.2280000000000002</v>
      </c>
      <c r="N41" s="21">
        <f t="shared" ref="N41:N72" si="242">IF(M41="","",B41)</f>
        <v>2.7484412432044456</v>
      </c>
      <c r="O41" s="5">
        <f t="shared" ref="O41:O72" si="243">IF(M41="","",C41)</f>
        <v>-3.0967360999671611</v>
      </c>
      <c r="P41" s="10">
        <f t="shared" ref="P41:P72" si="244">IF(M41="","",D41)</f>
        <v>-1.1955000000000002</v>
      </c>
      <c r="Q41" s="624">
        <f t="shared" si="116"/>
        <v>311.58996534829225</v>
      </c>
      <c r="R41" s="5">
        <f t="shared" si="83"/>
        <v>4.1404955911324217</v>
      </c>
      <c r="S41" s="6">
        <f t="shared" si="84"/>
        <v>-1.1955000000000002</v>
      </c>
      <c r="T41" s="4">
        <f t="shared" si="85"/>
        <v>-3.0448718998057784</v>
      </c>
      <c r="U41" s="5">
        <f t="shared" si="86"/>
        <v>-2.8057902369849699</v>
      </c>
      <c r="V41" s="8">
        <f t="shared" si="117"/>
        <v>-1.1955000000000002</v>
      </c>
      <c r="W41" s="624">
        <f t="shared" si="226"/>
        <v>222.65996519380337</v>
      </c>
      <c r="X41" s="5">
        <f t="shared" si="87"/>
        <v>4.1404955911324217</v>
      </c>
      <c r="Y41" s="7">
        <f t="shared" si="225"/>
        <v>-1.1955000000000002</v>
      </c>
      <c r="Z41" s="21">
        <f t="shared" ref="Z41:Z72" si="245">IF(M41="","",-E41)</f>
        <v>-0.98053490328671233</v>
      </c>
      <c r="AA41" s="5">
        <f t="shared" ref="AA41:AA72" si="246">IF(M41="","",-F41)</f>
        <v>-0.14480976821114033</v>
      </c>
      <c r="AB41" s="5">
        <f t="shared" ref="AB41:AB72" si="247">IF(M41="","",-G41)</f>
        <v>-0.13259500166730928</v>
      </c>
      <c r="AC41" s="8">
        <f t="shared" si="88"/>
        <v>1</v>
      </c>
      <c r="AD41" s="9">
        <f t="shared" si="118"/>
        <v>-0.98053490328671233</v>
      </c>
      <c r="AE41" s="5">
        <f t="shared" si="89"/>
        <v>-0.14480976821114033</v>
      </c>
      <c r="AF41" s="10">
        <f t="shared" si="90"/>
        <v>-0.13259500166730928</v>
      </c>
      <c r="AG41" s="622">
        <f t="shared" si="91"/>
        <v>-47.521235643815153</v>
      </c>
      <c r="AH41" s="623">
        <f t="shared" si="92"/>
        <v>168.67670280637563</v>
      </c>
      <c r="AI41" s="624">
        <f t="shared" si="93"/>
        <v>-82.380426611100077</v>
      </c>
      <c r="AJ41" s="625">
        <f t="shared" si="94"/>
        <v>-81.599029494707594</v>
      </c>
      <c r="AK41" s="4">
        <f t="shared" si="213"/>
        <v>0.82948016633845145</v>
      </c>
      <c r="AL41" s="5">
        <f t="shared" si="95"/>
        <v>-0.54256909162242306</v>
      </c>
      <c r="AM41" s="6">
        <f t="shared" si="96"/>
        <v>-0.13259500166730928</v>
      </c>
      <c r="AN41" s="612">
        <f t="shared" si="97"/>
        <v>-76.267019932623157</v>
      </c>
      <c r="AO41" s="613">
        <f t="shared" si="98"/>
        <v>33.954624505892518</v>
      </c>
      <c r="AP41" s="624">
        <f t="shared" si="99"/>
        <v>-33.188994842999847</v>
      </c>
      <c r="AQ41" s="625">
        <f t="shared" ref="AQ41:AQ72" si="248">IF(M41="","",DEGREES(ATAN(($AS$5*SIN(RADIANS(90)))/(($X41*2*PI())-($AS$5*COS(RADIANS(90)))))))</f>
        <v>2.992500248928331</v>
      </c>
      <c r="AS41" s="56">
        <f t="shared" si="119"/>
        <v>-137.34003480619663</v>
      </c>
      <c r="AT41" s="77">
        <f t="shared" ref="AT41:AT72" si="249">IF(M41="","",Y41+(((AS41-$AS$9)*$AS$6)*-1))</f>
        <v>-0.67261764687132652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>
        <f>IFERROR(IF((((($IW41*COS(RADIANS(180-$IY41)))*COS(RADIANS($IY41)))-(($IX41*SIN(RADIANS(180-$IY41)))*SIN(RADIANS($IY41))))+$IU41)&lt;(((Settings!$C$19/2)*-1)+$IF$8),1,""),"")</f>
        <v>1</v>
      </c>
      <c r="IG41" s="836">
        <f t="shared" ref="IG41:IG72" si="384">M41</f>
        <v>3.2280000000000002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3.1280000000000001</v>
      </c>
      <c r="II41" s="800" cm="1">
        <f t="array" ref="II41">IFERROR(IF($IH41&lt;1,$IH41+LARGE((IF($M$9:$M$150="",0,$M$9:$M$150)-MOD(IF($M$9:$M$150="",0,$M$9:$M$150),1)),1),$IH41),"")</f>
        <v>3.1280000000000001</v>
      </c>
      <c r="IJ41" s="839" t="str">
        <f t="shared" ref="IJ41:IJ72" si="385">IF(ISNUMBER($II41),INDEX($K$9:$K$150,MATCH($II41,$M$9:$M$150,0)),"")</f>
        <v>1613</v>
      </c>
      <c r="IK41" s="839" t="str">
        <f t="shared" ref="IK41:IK72" si="386">IF(ISNUMBER($II41),INDEX($K$9:$K$150,MATCH($IG41,$M$9:$M$150,0)),"")</f>
        <v>1313</v>
      </c>
      <c r="IL41" s="791">
        <f t="shared" si="227"/>
        <v>14.470000568865544</v>
      </c>
      <c r="IM41" s="830">
        <v>3.32065672498516E-3</v>
      </c>
      <c r="IN41" s="5">
        <f t="shared" si="228"/>
        <v>0.12</v>
      </c>
      <c r="IO41" s="852">
        <v>60</v>
      </c>
      <c r="IP41" s="9">
        <f t="shared" si="229"/>
        <v>-4.0932123451284337</v>
      </c>
      <c r="IQ41" s="5">
        <f t="shared" si="230"/>
        <v>-1.2135036599270383</v>
      </c>
      <c r="IR41" s="5">
        <f t="shared" ref="IR41:IR72" si="387">IF(ISNUMBER($II41),INDEX($H$9:$H$150,MATCH($II41,$M$9:$M$150,0)),"")</f>
        <v>0.314</v>
      </c>
      <c r="IS41" s="5">
        <f t="shared" si="231"/>
        <v>0.2742074004771724</v>
      </c>
      <c r="IT41" s="791">
        <f t="shared" si="232"/>
        <v>78.578506728561109</v>
      </c>
      <c r="IU41" s="9">
        <f t="shared" si="233"/>
        <v>-4.1404955911324217</v>
      </c>
      <c r="IV41" s="5">
        <f t="shared" si="234"/>
        <v>-1.1955000000000002</v>
      </c>
      <c r="IW41" s="5">
        <f t="shared" ref="IW41:IW72" si="388">IF(ISNUMBER($II41),$H41,"")</f>
        <v>0.26600000000000001</v>
      </c>
      <c r="IX41" s="5">
        <f t="shared" si="235"/>
        <v>0.2206417242460281</v>
      </c>
      <c r="IY41" s="833">
        <f t="shared" si="236"/>
        <v>76.267019932623157</v>
      </c>
    </row>
    <row r="42" spans="1:259" ht="15" customHeight="1" x14ac:dyDescent="0.25">
      <c r="A42" s="84">
        <f t="shared" si="81"/>
        <v>0.02</v>
      </c>
      <c r="B42" s="770">
        <v>-9.6454132220127109E-2</v>
      </c>
      <c r="C42" s="771">
        <v>-2.1915851154863586</v>
      </c>
      <c r="D42" s="772">
        <v>-9.0000271440818666E-2</v>
      </c>
      <c r="E42" s="773">
        <v>0.95414224591463748</v>
      </c>
      <c r="F42" s="771">
        <v>-4.4388571399703779E-2</v>
      </c>
      <c r="G42" s="774">
        <v>0.29604430291776429</v>
      </c>
      <c r="H42" s="773">
        <v>0.314</v>
      </c>
      <c r="I42" s="771">
        <v>0.52</v>
      </c>
      <c r="J42" s="601">
        <v>4.109</v>
      </c>
      <c r="K42" s="426" t="str">
        <f t="shared" si="82"/>
        <v>1613</v>
      </c>
      <c r="L42" s="327"/>
      <c r="M42" s="173">
        <f t="shared" si="241"/>
        <v>4.109</v>
      </c>
      <c r="N42" s="21">
        <f t="shared" si="242"/>
        <v>-9.6454132220127109E-2</v>
      </c>
      <c r="O42" s="5">
        <f t="shared" si="243"/>
        <v>-2.1915851154863586</v>
      </c>
      <c r="P42" s="10">
        <f t="shared" si="244"/>
        <v>-9.0000271440818666E-2</v>
      </c>
      <c r="Q42" s="624">
        <f t="shared" si="116"/>
        <v>267.47997437506217</v>
      </c>
      <c r="R42" s="5">
        <f t="shared" ref="R42:R47" si="389">IF(M42="","",SQRT(N42^2+O42^2))</f>
        <v>2.193706616219155</v>
      </c>
      <c r="S42" s="6">
        <f t="shared" ref="S42:S47" si="390">IF(M42="","",P42)</f>
        <v>-9.0000271440818666E-2</v>
      </c>
      <c r="T42" s="4">
        <f t="shared" ref="T42:T47" si="391">IF(M42="","",X42*COS(RADIANS(W42)))</f>
        <v>-2.193004140121483</v>
      </c>
      <c r="U42" s="5">
        <f t="shared" ref="U42:U47" si="392">IF(M42="","",X42*SIN(RADIANS(W42)))</f>
        <v>5.5511795626955601E-2</v>
      </c>
      <c r="V42" s="8">
        <f t="shared" ref="V42:V47" si="393">IF(M42="","",Y42)</f>
        <v>-9.0000271440818666E-2</v>
      </c>
      <c r="W42" s="624">
        <f t="shared" si="226"/>
        <v>178.54997422057329</v>
      </c>
      <c r="X42" s="5">
        <f t="shared" ref="X42:X47" si="394">IF(M42="","",R42)</f>
        <v>2.193706616219155</v>
      </c>
      <c r="Y42" s="7">
        <f t="shared" si="225"/>
        <v>-9.0000271440818666E-2</v>
      </c>
      <c r="Z42" s="21">
        <f t="shared" si="245"/>
        <v>-0.95414224591463748</v>
      </c>
      <c r="AA42" s="5">
        <f t="shared" si="246"/>
        <v>4.4388571399703779E-2</v>
      </c>
      <c r="AB42" s="5">
        <f t="shared" si="247"/>
        <v>-0.29604430291776429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-0.95414224591463748</v>
      </c>
      <c r="AE42" s="5">
        <f t="shared" ref="AE42:AE47" si="397">IF(M42="","",AA42*(1/SQRT(Z42^2+AA42^2+AB42^2)))</f>
        <v>4.4388571399703779E-2</v>
      </c>
      <c r="AF42" s="10">
        <f t="shared" ref="AF42:AF47" si="398">IF(M42="","",AB42*(1/SQRT(Z42^2+AA42^2+AB42^2)))</f>
        <v>-0.29604430291776429</v>
      </c>
      <c r="AG42" s="622">
        <f t="shared" ref="AG42:AG47" si="399">IF(M42="","",DEGREES(ATAN2(-AF42,AE42)))</f>
        <v>8.527344542102691</v>
      </c>
      <c r="AH42" s="623">
        <f t="shared" ref="AH42:AH47" si="400">IF(M42="","",DEGREES(ACOS(AD42)))</f>
        <v>162.58121734029825</v>
      </c>
      <c r="AI42" s="624">
        <f t="shared" ref="AI42:AI47" si="401">IF(M42="","",DEGREES(-ACOS(-AF42)))</f>
        <v>-72.779831092800464</v>
      </c>
      <c r="AJ42" s="625">
        <f t="shared" ref="AJ42:AJ47" si="402">IF(M42="","",DEGREES(ATAN2(-AE42,AD42)))</f>
        <v>-92.663591712948048</v>
      </c>
      <c r="AK42" s="4">
        <f t="shared" ref="AK42:AK47" si="403">IF(M42="","",(COS(RADIANS((90-$Q$8)-W42))*AD42)+(-SIN(RADIANS((90-$Q$8)-W42))*AE42))</f>
        <v>0.95517121106624947</v>
      </c>
      <c r="AL42" s="5">
        <f t="shared" ref="AL42:AL47" si="404">IF(M42="","",(SIN(RADIANS((90-$Q$8)-W42))*AD42)+(COS(RADIANS((90-$Q$8)-W42))*AE42))</f>
        <v>-2.3933784008387179E-3</v>
      </c>
      <c r="AM42" s="6">
        <f t="shared" ref="AM42:AM47" si="405">IF(M42="","",AF42)</f>
        <v>-0.29604430291776429</v>
      </c>
      <c r="AN42" s="612">
        <f t="shared" ref="AN42:AN47" si="406">IF(M42="","",DEGREES(ATAN2(-AM42,AL42)))</f>
        <v>-0.46319923171680188</v>
      </c>
      <c r="AO42" s="613">
        <f t="shared" si="98"/>
        <v>17.220749230036642</v>
      </c>
      <c r="AP42" s="624">
        <f t="shared" ref="AP42:AP47" si="407">IF(M42="","",DEGREES(ATAN2(AK42,AL42)))</f>
        <v>-0.14356608801022305</v>
      </c>
      <c r="AQ42" s="625">
        <f t="shared" si="248"/>
        <v>5.635074615499053</v>
      </c>
      <c r="AS42" s="56">
        <f t="shared" si="119"/>
        <v>-181.45002577942671</v>
      </c>
      <c r="AT42" s="77">
        <f t="shared" si="249"/>
        <v>0.59951982536450199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4.109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5"/>
        <v/>
      </c>
      <c r="IK42" s="839" t="str">
        <f t="shared" si="386"/>
        <v/>
      </c>
      <c r="IL42" s="791" t="str">
        <f t="shared" si="227"/>
        <v/>
      </c>
      <c r="IM42" s="830"/>
      <c r="IN42" s="5" t="str">
        <f t="shared" si="228"/>
        <v/>
      </c>
      <c r="IO42" s="852"/>
      <c r="IP42" s="9" t="str">
        <f t="shared" si="229"/>
        <v/>
      </c>
      <c r="IQ42" s="5" t="str">
        <f t="shared" si="230"/>
        <v/>
      </c>
      <c r="IR42" s="5" t="str">
        <f t="shared" si="387"/>
        <v/>
      </c>
      <c r="IS42" s="5" t="str">
        <f t="shared" si="231"/>
        <v/>
      </c>
      <c r="IT42" s="791" t="str">
        <f t="shared" si="232"/>
        <v/>
      </c>
      <c r="IU42" s="9" t="str">
        <f t="shared" si="233"/>
        <v/>
      </c>
      <c r="IV42" s="5" t="str">
        <f t="shared" si="234"/>
        <v/>
      </c>
      <c r="IW42" s="5" t="str">
        <f t="shared" si="388"/>
        <v/>
      </c>
      <c r="IX42" s="5" t="str">
        <f t="shared" si="235"/>
        <v/>
      </c>
      <c r="IY42" s="833" t="str">
        <f t="shared" si="236"/>
        <v/>
      </c>
    </row>
    <row r="43" spans="1:259" ht="15" customHeight="1" x14ac:dyDescent="0.25">
      <c r="A43" s="84">
        <f t="shared" si="81"/>
        <v>0.02</v>
      </c>
      <c r="B43" s="770">
        <v>-0.19368627785476766</v>
      </c>
      <c r="C43" s="771">
        <v>-2.9629852005371315</v>
      </c>
      <c r="D43" s="772">
        <v>-5.1800156229271185E-2</v>
      </c>
      <c r="E43" s="773">
        <v>0.94664367504683422</v>
      </c>
      <c r="F43" s="771">
        <v>-0.19224310158300983</v>
      </c>
      <c r="G43" s="774">
        <v>0.25866646939170213</v>
      </c>
      <c r="H43" s="773">
        <v>0.314</v>
      </c>
      <c r="I43" s="771">
        <v>0.52</v>
      </c>
      <c r="J43" s="601">
        <v>4.1150000000000002</v>
      </c>
      <c r="K43" s="426" t="str">
        <f t="shared" si="82"/>
        <v>1613</v>
      </c>
      <c r="L43" s="327"/>
      <c r="M43" s="173">
        <f t="shared" si="241"/>
        <v>4.1150000000000002</v>
      </c>
      <c r="N43" s="21">
        <f t="shared" si="242"/>
        <v>-0.19368627785476766</v>
      </c>
      <c r="O43" s="5">
        <f t="shared" si="243"/>
        <v>-2.9629852005371315</v>
      </c>
      <c r="P43" s="10">
        <f t="shared" si="244"/>
        <v>-5.1800156229271185E-2</v>
      </c>
      <c r="Q43" s="624">
        <f t="shared" si="116"/>
        <v>266.2599745512083</v>
      </c>
      <c r="R43" s="5">
        <f t="shared" si="389"/>
        <v>2.9693089554358099</v>
      </c>
      <c r="S43" s="6">
        <f t="shared" si="390"/>
        <v>-5.1800156229271185E-2</v>
      </c>
      <c r="T43" s="4">
        <f t="shared" si="391"/>
        <v>-2.9660854204791596</v>
      </c>
      <c r="U43" s="5">
        <f t="shared" si="392"/>
        <v>0.13832191168526847</v>
      </c>
      <c r="V43" s="8">
        <f t="shared" si="393"/>
        <v>-5.1800156229271185E-2</v>
      </c>
      <c r="W43" s="624">
        <f t="shared" si="226"/>
        <v>177.32997439671942</v>
      </c>
      <c r="X43" s="5">
        <f t="shared" si="394"/>
        <v>2.9693089554358099</v>
      </c>
      <c r="Y43" s="7">
        <f t="shared" si="225"/>
        <v>-5.1800156229271185E-2</v>
      </c>
      <c r="Z43" s="21">
        <f t="shared" si="245"/>
        <v>-0.94664367504683422</v>
      </c>
      <c r="AA43" s="5">
        <f t="shared" si="246"/>
        <v>0.19224310158300983</v>
      </c>
      <c r="AB43" s="5">
        <f t="shared" si="247"/>
        <v>-0.25866646939170213</v>
      </c>
      <c r="AC43" s="8">
        <f t="shared" si="395"/>
        <v>1</v>
      </c>
      <c r="AD43" s="9">
        <f t="shared" si="396"/>
        <v>-0.94664367504683422</v>
      </c>
      <c r="AE43" s="5">
        <f t="shared" si="397"/>
        <v>0.19224310158300983</v>
      </c>
      <c r="AF43" s="10">
        <f t="shared" si="398"/>
        <v>-0.25866646939170213</v>
      </c>
      <c r="AG43" s="622">
        <f t="shared" si="399"/>
        <v>36.620042737173222</v>
      </c>
      <c r="AH43" s="623">
        <f t="shared" si="400"/>
        <v>161.19900705308109</v>
      </c>
      <c r="AI43" s="624">
        <f t="shared" si="401"/>
        <v>-75.009050135209364</v>
      </c>
      <c r="AJ43" s="625">
        <f t="shared" si="402"/>
        <v>-101.47943985748343</v>
      </c>
      <c r="AK43" s="4">
        <f t="shared" si="403"/>
        <v>0.95716750691494734</v>
      </c>
      <c r="AL43" s="5">
        <f t="shared" si="404"/>
        <v>-0.13008466980646044</v>
      </c>
      <c r="AM43" s="6">
        <f t="shared" si="405"/>
        <v>-0.25866646939170213</v>
      </c>
      <c r="AN43" s="612">
        <f t="shared" si="406"/>
        <v>-26.69805337693024</v>
      </c>
      <c r="AO43" s="613">
        <f t="shared" si="98"/>
        <v>16.830103437309674</v>
      </c>
      <c r="AP43" s="624">
        <f t="shared" si="407"/>
        <v>-7.7394144086917223</v>
      </c>
      <c r="AQ43" s="625">
        <f t="shared" si="248"/>
        <v>4.1692582310791195</v>
      </c>
      <c r="AS43" s="56">
        <f t="shared" ref="AS43:AS74" si="410">IF(G43="","",IF(AND(W43&lt;(AS42+180),W43&gt;(AS42-180)),W43,IF(W43&gt;(AS42+180),W43-360,IF(W43&lt;(AS42-180),W43+360,"Error"))))</f>
        <v>-182.67002560328058</v>
      </c>
      <c r="AT43" s="77">
        <f t="shared" si="249"/>
        <v>0.64232882879949749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4"/>
        <v>4.1150000000000002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5"/>
        <v/>
      </c>
      <c r="IK43" s="839" t="str">
        <f t="shared" si="386"/>
        <v/>
      </c>
      <c r="IL43" s="791" t="str">
        <f t="shared" si="227"/>
        <v/>
      </c>
      <c r="IM43" s="830"/>
      <c r="IN43" s="5" t="str">
        <f t="shared" si="228"/>
        <v/>
      </c>
      <c r="IO43" s="852"/>
      <c r="IP43" s="9" t="str">
        <f t="shared" si="229"/>
        <v/>
      </c>
      <c r="IQ43" s="5" t="str">
        <f t="shared" si="230"/>
        <v/>
      </c>
      <c r="IR43" s="5" t="str">
        <f t="shared" si="387"/>
        <v/>
      </c>
      <c r="IS43" s="5" t="str">
        <f t="shared" si="231"/>
        <v/>
      </c>
      <c r="IT43" s="791" t="str">
        <f t="shared" si="232"/>
        <v/>
      </c>
      <c r="IU43" s="9" t="str">
        <f t="shared" si="233"/>
        <v/>
      </c>
      <c r="IV43" s="5" t="str">
        <f t="shared" si="234"/>
        <v/>
      </c>
      <c r="IW43" s="5" t="str">
        <f t="shared" si="388"/>
        <v/>
      </c>
      <c r="IX43" s="5" t="str">
        <f t="shared" si="235"/>
        <v/>
      </c>
      <c r="IY43" s="833" t="str">
        <f t="shared" si="236"/>
        <v/>
      </c>
    </row>
    <row r="44" spans="1:259" ht="15" customHeight="1" x14ac:dyDescent="0.25">
      <c r="A44" s="84">
        <f t="shared" si="81"/>
        <v>0.02</v>
      </c>
      <c r="B44" s="770">
        <v>-0.32412735554817163</v>
      </c>
      <c r="C44" s="771">
        <v>-3.6533609033815599</v>
      </c>
      <c r="D44" s="772">
        <v>-0.40860123234131673</v>
      </c>
      <c r="E44" s="773">
        <v>0.90934762122261648</v>
      </c>
      <c r="F44" s="771">
        <v>-0.36259767107479507</v>
      </c>
      <c r="G44" s="774">
        <v>0.20398488352793118</v>
      </c>
      <c r="H44" s="773">
        <v>0.314</v>
      </c>
      <c r="I44" s="771">
        <v>0.52</v>
      </c>
      <c r="J44" s="601">
        <v>4.1210000000000004</v>
      </c>
      <c r="K44" s="426" t="str">
        <f t="shared" si="82"/>
        <v>1613</v>
      </c>
      <c r="L44" s="327"/>
      <c r="M44" s="173">
        <f t="shared" si="241"/>
        <v>4.1210000000000004</v>
      </c>
      <c r="N44" s="21">
        <f t="shared" si="242"/>
        <v>-0.32412735554817163</v>
      </c>
      <c r="O44" s="5">
        <f t="shared" si="243"/>
        <v>-3.6533609033815599</v>
      </c>
      <c r="P44" s="10">
        <f t="shared" si="244"/>
        <v>-0.40860123234131673</v>
      </c>
      <c r="Q44" s="624">
        <f t="shared" si="116"/>
        <v>264.92997474323653</v>
      </c>
      <c r="R44" s="5">
        <f t="shared" si="389"/>
        <v>3.6677110618165627</v>
      </c>
      <c r="S44" s="6">
        <f t="shared" si="390"/>
        <v>-0.40860123234131673</v>
      </c>
      <c r="T44" s="4">
        <f t="shared" si="391"/>
        <v>-3.6587765885376049</v>
      </c>
      <c r="U44" s="5">
        <f t="shared" si="392"/>
        <v>0.25584821308874989</v>
      </c>
      <c r="V44" s="8">
        <f t="shared" si="393"/>
        <v>-0.40860123234131673</v>
      </c>
      <c r="W44" s="624">
        <f t="shared" si="226"/>
        <v>175.99997458874765</v>
      </c>
      <c r="X44" s="5">
        <f t="shared" si="394"/>
        <v>3.6677110618165627</v>
      </c>
      <c r="Y44" s="7">
        <f t="shared" si="225"/>
        <v>-0.40860123234131673</v>
      </c>
      <c r="Z44" s="21">
        <f t="shared" si="245"/>
        <v>-0.90934762122261648</v>
      </c>
      <c r="AA44" s="5">
        <f t="shared" si="246"/>
        <v>0.36259767107479507</v>
      </c>
      <c r="AB44" s="5">
        <f t="shared" si="247"/>
        <v>-0.20398488352793118</v>
      </c>
      <c r="AC44" s="8">
        <f t="shared" si="395"/>
        <v>1</v>
      </c>
      <c r="AD44" s="9">
        <f t="shared" si="396"/>
        <v>-0.90934762122261648</v>
      </c>
      <c r="AE44" s="5">
        <f t="shared" si="397"/>
        <v>0.36259767107479507</v>
      </c>
      <c r="AF44" s="10">
        <f t="shared" si="398"/>
        <v>-0.20398488352793118</v>
      </c>
      <c r="AG44" s="622">
        <f t="shared" si="399"/>
        <v>60.63940248291879</v>
      </c>
      <c r="AH44" s="623">
        <f t="shared" si="400"/>
        <v>155.41535273173784</v>
      </c>
      <c r="AI44" s="624">
        <f t="shared" si="401"/>
        <v>-78.229918445832737</v>
      </c>
      <c r="AJ44" s="625">
        <f t="shared" si="402"/>
        <v>-111.73938662152817</v>
      </c>
      <c r="AK44" s="4">
        <f t="shared" si="403"/>
        <v>0.93783365517007122</v>
      </c>
      <c r="AL44" s="5">
        <f t="shared" si="404"/>
        <v>-0.28081702676732484</v>
      </c>
      <c r="AM44" s="6">
        <f t="shared" si="405"/>
        <v>-0.20398488352793118</v>
      </c>
      <c r="AN44" s="612">
        <f t="shared" si="406"/>
        <v>-54.005426009717404</v>
      </c>
      <c r="AO44" s="613">
        <f t="shared" si="98"/>
        <v>20.309127332008796</v>
      </c>
      <c r="AP44" s="624">
        <f t="shared" si="407"/>
        <v>-16.669361364764701</v>
      </c>
      <c r="AQ44" s="625">
        <f t="shared" si="248"/>
        <v>3.3774049104393034</v>
      </c>
      <c r="AS44" s="56">
        <f t="shared" si="410"/>
        <v>-184.00002541125235</v>
      </c>
      <c r="AT44" s="77">
        <f t="shared" si="249"/>
        <v>0.29055219640645635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4.1210000000000004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5"/>
        <v/>
      </c>
      <c r="IK44" s="839" t="str">
        <f t="shared" si="386"/>
        <v/>
      </c>
      <c r="IL44" s="791" t="str">
        <f t="shared" si="227"/>
        <v/>
      </c>
      <c r="IM44" s="830"/>
      <c r="IN44" s="5" t="str">
        <f t="shared" si="228"/>
        <v/>
      </c>
      <c r="IO44" s="852"/>
      <c r="IP44" s="9" t="str">
        <f t="shared" si="229"/>
        <v/>
      </c>
      <c r="IQ44" s="5" t="str">
        <f t="shared" si="230"/>
        <v/>
      </c>
      <c r="IR44" s="5" t="str">
        <f t="shared" si="387"/>
        <v/>
      </c>
      <c r="IS44" s="5" t="str">
        <f t="shared" si="231"/>
        <v/>
      </c>
      <c r="IT44" s="791" t="str">
        <f t="shared" si="232"/>
        <v/>
      </c>
      <c r="IU44" s="9" t="str">
        <f t="shared" si="233"/>
        <v/>
      </c>
      <c r="IV44" s="5" t="str">
        <f t="shared" si="234"/>
        <v/>
      </c>
      <c r="IW44" s="5" t="str">
        <f t="shared" si="388"/>
        <v/>
      </c>
      <c r="IX44" s="5" t="str">
        <f t="shared" si="235"/>
        <v/>
      </c>
      <c r="IY44" s="833" t="str">
        <f t="shared" si="236"/>
        <v/>
      </c>
    </row>
    <row r="45" spans="1:259" ht="15" customHeight="1" x14ac:dyDescent="0.25">
      <c r="A45" s="84">
        <f t="shared" si="81"/>
        <v>0.02</v>
      </c>
      <c r="B45" s="770">
        <v>-0.41729263731989791</v>
      </c>
      <c r="C45" s="771">
        <v>-4.0449444443753597</v>
      </c>
      <c r="D45" s="772">
        <v>-1.0838032687506587</v>
      </c>
      <c r="E45" s="773">
        <v>0.83893164203788206</v>
      </c>
      <c r="F45" s="771">
        <v>-0.53209801995835893</v>
      </c>
      <c r="G45" s="774">
        <v>0.11430396819015957</v>
      </c>
      <c r="H45" s="773">
        <v>0.314</v>
      </c>
      <c r="I45" s="771">
        <v>0.52</v>
      </c>
      <c r="J45" s="601">
        <v>4.1269999999999998</v>
      </c>
      <c r="K45" s="426" t="str">
        <f t="shared" si="82"/>
        <v>1613</v>
      </c>
      <c r="L45" s="327"/>
      <c r="M45" s="173">
        <f t="shared" si="241"/>
        <v>4.1269999999999998</v>
      </c>
      <c r="N45" s="21">
        <f t="shared" si="242"/>
        <v>-0.41729263731989791</v>
      </c>
      <c r="O45" s="5">
        <f t="shared" si="243"/>
        <v>-4.0449444443753597</v>
      </c>
      <c r="P45" s="10">
        <f t="shared" si="244"/>
        <v>-1.0838032687506587</v>
      </c>
      <c r="Q45" s="624">
        <f t="shared" si="116"/>
        <v>264.10997486162989</v>
      </c>
      <c r="R45" s="5">
        <f t="shared" si="389"/>
        <v>4.0664122642993892</v>
      </c>
      <c r="S45" s="6">
        <f t="shared" si="390"/>
        <v>-1.0838032687506587</v>
      </c>
      <c r="T45" s="4">
        <f t="shared" si="391"/>
        <v>-4.0520316102848586</v>
      </c>
      <c r="U45" s="5">
        <f t="shared" si="392"/>
        <v>0.34168484382071185</v>
      </c>
      <c r="V45" s="8">
        <f t="shared" si="393"/>
        <v>-1.0838032687506587</v>
      </c>
      <c r="W45" s="624">
        <f t="shared" si="226"/>
        <v>175.17997470714101</v>
      </c>
      <c r="X45" s="5">
        <f t="shared" si="394"/>
        <v>4.0664122642993892</v>
      </c>
      <c r="Y45" s="7">
        <f t="shared" si="225"/>
        <v>-1.0838032687506587</v>
      </c>
      <c r="Z45" s="21">
        <f t="shared" si="245"/>
        <v>-0.83893164203788206</v>
      </c>
      <c r="AA45" s="5">
        <f t="shared" si="246"/>
        <v>0.53209801995835893</v>
      </c>
      <c r="AB45" s="5">
        <f t="shared" si="247"/>
        <v>-0.11430396819015957</v>
      </c>
      <c r="AC45" s="8">
        <f t="shared" si="395"/>
        <v>1</v>
      </c>
      <c r="AD45" s="9">
        <f t="shared" si="396"/>
        <v>-0.83893164203788206</v>
      </c>
      <c r="AE45" s="5">
        <f t="shared" si="397"/>
        <v>0.53209801995835893</v>
      </c>
      <c r="AF45" s="10">
        <f t="shared" si="398"/>
        <v>-0.11430396819015957</v>
      </c>
      <c r="AG45" s="622">
        <f t="shared" si="399"/>
        <v>77.876114504804818</v>
      </c>
      <c r="AH45" s="623">
        <f t="shared" si="400"/>
        <v>147.02747502111961</v>
      </c>
      <c r="AI45" s="624">
        <f t="shared" si="401"/>
        <v>-83.436519360741769</v>
      </c>
      <c r="AJ45" s="625">
        <f t="shared" si="402"/>
        <v>-122.38518731873448</v>
      </c>
      <c r="AK45" s="4">
        <f t="shared" si="403"/>
        <v>0.88910622822840246</v>
      </c>
      <c r="AL45" s="5">
        <f t="shared" si="404"/>
        <v>-0.44319828269234884</v>
      </c>
      <c r="AM45" s="6">
        <f t="shared" si="405"/>
        <v>-0.11430396819015957</v>
      </c>
      <c r="AN45" s="612">
        <f t="shared" si="406"/>
        <v>-75.538164240608893</v>
      </c>
      <c r="AO45" s="613">
        <f t="shared" si="98"/>
        <v>27.238850077004159</v>
      </c>
      <c r="AP45" s="624">
        <f t="shared" si="407"/>
        <v>-26.495162180364368</v>
      </c>
      <c r="AQ45" s="625">
        <f t="shared" si="248"/>
        <v>3.0469168593198823</v>
      </c>
      <c r="AS45" s="56">
        <f t="shared" si="410"/>
        <v>-184.82002529285899</v>
      </c>
      <c r="AT45" s="77">
        <f t="shared" si="249"/>
        <v>-0.38155206267237163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4.1269999999999998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0.02</v>
      </c>
      <c r="B46" s="770">
        <v>-0.44893879571129292</v>
      </c>
      <c r="C46" s="771">
        <v>-4.1663953403218095</v>
      </c>
      <c r="D46" s="772">
        <v>-1.8162054776757208</v>
      </c>
      <c r="E46" s="773">
        <v>0.75298920707399963</v>
      </c>
      <c r="F46" s="771">
        <v>-0.65803286698314134</v>
      </c>
      <c r="G46" s="774">
        <v>1.300841921700934E-7</v>
      </c>
      <c r="H46" s="773">
        <v>0.26600000000000001</v>
      </c>
      <c r="I46" s="771">
        <v>0.52</v>
      </c>
      <c r="J46" s="601">
        <v>4.133</v>
      </c>
      <c r="K46" s="426" t="str">
        <f t="shared" si="82"/>
        <v>1313</v>
      </c>
      <c r="L46" s="327"/>
      <c r="M46" s="173">
        <f t="shared" si="241"/>
        <v>4.133</v>
      </c>
      <c r="N46" s="21">
        <f t="shared" si="242"/>
        <v>-0.44893879571129292</v>
      </c>
      <c r="O46" s="5">
        <f t="shared" si="243"/>
        <v>-4.1663953403218095</v>
      </c>
      <c r="P46" s="10">
        <f t="shared" si="244"/>
        <v>-1.8162054776757208</v>
      </c>
      <c r="Q46" s="624">
        <f t="shared" si="116"/>
        <v>263.84997489916924</v>
      </c>
      <c r="R46" s="5">
        <f t="shared" si="389"/>
        <v>4.1905126385861182</v>
      </c>
      <c r="S46" s="6">
        <f t="shared" si="390"/>
        <v>-1.8162054776757208</v>
      </c>
      <c r="T46" s="4">
        <f t="shared" si="391"/>
        <v>-4.174052286758104</v>
      </c>
      <c r="U46" s="5">
        <f t="shared" si="392"/>
        <v>0.37105751785866797</v>
      </c>
      <c r="V46" s="8">
        <f t="shared" si="393"/>
        <v>-1.8162054776757208</v>
      </c>
      <c r="W46" s="624">
        <f t="shared" si="226"/>
        <v>174.91997474468036</v>
      </c>
      <c r="X46" s="5">
        <f t="shared" si="394"/>
        <v>4.1905126385861182</v>
      </c>
      <c r="Y46" s="7">
        <f t="shared" si="225"/>
        <v>-1.8162054776757208</v>
      </c>
      <c r="Z46" s="21">
        <f t="shared" si="245"/>
        <v>-0.75298920707399963</v>
      </c>
      <c r="AA46" s="5">
        <f t="shared" si="246"/>
        <v>0.65803286698314134</v>
      </c>
      <c r="AB46" s="5">
        <f t="shared" si="247"/>
        <v>-1.300841921700934E-7</v>
      </c>
      <c r="AC46" s="8">
        <f t="shared" si="395"/>
        <v>1</v>
      </c>
      <c r="AD46" s="9">
        <f t="shared" si="396"/>
        <v>-0.75298920707399963</v>
      </c>
      <c r="AE46" s="5">
        <f t="shared" si="397"/>
        <v>0.65803286698314134</v>
      </c>
      <c r="AF46" s="10">
        <f t="shared" si="398"/>
        <v>-1.300841921700934E-7</v>
      </c>
      <c r="AG46" s="622">
        <f t="shared" si="399"/>
        <v>89.999988673399812</v>
      </c>
      <c r="AH46" s="623">
        <f t="shared" si="400"/>
        <v>138.84997995254341</v>
      </c>
      <c r="AI46" s="624">
        <f t="shared" si="401"/>
        <v>-89.999992546724812</v>
      </c>
      <c r="AJ46" s="625">
        <f t="shared" si="402"/>
        <v>-131.15002004745605</v>
      </c>
      <c r="AK46" s="4">
        <f t="shared" si="403"/>
        <v>0.81915209487729168</v>
      </c>
      <c r="AL46" s="5">
        <f t="shared" si="404"/>
        <v>-0.57357636410344504</v>
      </c>
      <c r="AM46" s="6">
        <f t="shared" si="405"/>
        <v>-1.300841921700934E-7</v>
      </c>
      <c r="AN46" s="612">
        <f t="shared" si="406"/>
        <v>-89.999987005609626</v>
      </c>
      <c r="AO46" s="613">
        <f t="shared" si="98"/>
        <v>34.999994946625982</v>
      </c>
      <c r="AP46" s="624">
        <f t="shared" si="407"/>
        <v>-34.9999949466253</v>
      </c>
      <c r="AQ46" s="625">
        <f t="shared" si="248"/>
        <v>2.9568461818135963</v>
      </c>
      <c r="AS46" s="56">
        <f t="shared" si="410"/>
        <v>-185.08002525531964</v>
      </c>
      <c r="AT46" s="77">
        <f t="shared" si="249"/>
        <v>-1.1129720495170268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4.133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5"/>
        <v/>
      </c>
      <c r="IK46" s="839" t="str">
        <f t="shared" si="386"/>
        <v/>
      </c>
      <c r="IL46" s="791" t="str">
        <f t="shared" si="227"/>
        <v/>
      </c>
      <c r="IM46" s="830"/>
      <c r="IN46" s="5" t="str">
        <f t="shared" si="228"/>
        <v/>
      </c>
      <c r="IO46" s="852"/>
      <c r="IP46" s="9" t="str">
        <f t="shared" si="229"/>
        <v/>
      </c>
      <c r="IQ46" s="5" t="str">
        <f t="shared" si="230"/>
        <v/>
      </c>
      <c r="IR46" s="5" t="str">
        <f t="shared" si="387"/>
        <v/>
      </c>
      <c r="IS46" s="5" t="str">
        <f t="shared" si="231"/>
        <v/>
      </c>
      <c r="IT46" s="791" t="str">
        <f t="shared" si="232"/>
        <v/>
      </c>
      <c r="IU46" s="9" t="str">
        <f t="shared" si="233"/>
        <v/>
      </c>
      <c r="IV46" s="5" t="str">
        <f t="shared" si="234"/>
        <v/>
      </c>
      <c r="IW46" s="5" t="str">
        <f t="shared" si="388"/>
        <v/>
      </c>
      <c r="IX46" s="5" t="str">
        <f t="shared" si="235"/>
        <v/>
      </c>
      <c r="IY46" s="833" t="str">
        <f t="shared" si="236"/>
        <v/>
      </c>
    </row>
    <row r="47" spans="1:259" ht="15" customHeight="1" x14ac:dyDescent="0.25">
      <c r="A47" s="84">
        <f t="shared" si="81"/>
        <v>0</v>
      </c>
      <c r="B47" s="770">
        <v>-1.2065420680324828</v>
      </c>
      <c r="C47" s="771">
        <v>-2.7201501850354037</v>
      </c>
      <c r="D47" s="772">
        <v>-4.3353463692677251E-2</v>
      </c>
      <c r="E47" s="773">
        <v>-5.7339919923505241E-2</v>
      </c>
      <c r="F47" s="771">
        <v>-0.12927346074575721</v>
      </c>
      <c r="G47" s="774">
        <v>0.98994974919436252</v>
      </c>
      <c r="H47" s="773">
        <v>0.25700000000000001</v>
      </c>
      <c r="I47" s="771">
        <v>0.41499999999999992</v>
      </c>
      <c r="J47" s="601">
        <v>4.2149999999999999</v>
      </c>
      <c r="K47" s="426" t="str">
        <f t="shared" si="82"/>
        <v/>
      </c>
      <c r="L47" s="327"/>
      <c r="M47" s="173">
        <f t="shared" si="241"/>
        <v>4.2149999999999999</v>
      </c>
      <c r="N47" s="21">
        <f t="shared" si="242"/>
        <v>-1.2065420680324828</v>
      </c>
      <c r="O47" s="5">
        <f t="shared" si="243"/>
        <v>-2.7201501850354037</v>
      </c>
      <c r="P47" s="10">
        <f t="shared" si="244"/>
        <v>-4.3353463692677251E-2</v>
      </c>
      <c r="Q47" s="624">
        <f t="shared" si="116"/>
        <v>246.07997746483943</v>
      </c>
      <c r="R47" s="5">
        <f t="shared" si="389"/>
        <v>2.9757286151596958</v>
      </c>
      <c r="S47" s="6">
        <f t="shared" si="390"/>
        <v>-4.3353463692677251E-2</v>
      </c>
      <c r="T47" s="4">
        <f t="shared" si="391"/>
        <v>-2.7422067518788897</v>
      </c>
      <c r="U47" s="5">
        <f t="shared" si="392"/>
        <v>1.1555357722849044</v>
      </c>
      <c r="V47" s="8">
        <f t="shared" si="393"/>
        <v>-4.3353463692677251E-2</v>
      </c>
      <c r="W47" s="624">
        <f t="shared" si="226"/>
        <v>157.14997731035055</v>
      </c>
      <c r="X47" s="5">
        <f t="shared" si="394"/>
        <v>2.9757286151596958</v>
      </c>
      <c r="Y47" s="7">
        <f t="shared" si="225"/>
        <v>-4.3353463692677251E-2</v>
      </c>
      <c r="Z47" s="21">
        <f t="shared" si="245"/>
        <v>5.7339919923505241E-2</v>
      </c>
      <c r="AA47" s="5">
        <f t="shared" si="246"/>
        <v>0.12927346074575721</v>
      </c>
      <c r="AB47" s="5">
        <f t="shared" si="247"/>
        <v>-0.98994974919436252</v>
      </c>
      <c r="AC47" s="8">
        <f t="shared" si="395"/>
        <v>1</v>
      </c>
      <c r="AD47" s="9">
        <f t="shared" si="396"/>
        <v>5.7339919923505241E-2</v>
      </c>
      <c r="AE47" s="5">
        <f t="shared" si="397"/>
        <v>0.12927346074575721</v>
      </c>
      <c r="AF47" s="10">
        <f t="shared" si="398"/>
        <v>-0.98994974919436252</v>
      </c>
      <c r="AG47" s="622">
        <f t="shared" si="399"/>
        <v>7.4399203157700615</v>
      </c>
      <c r="AH47" s="623">
        <f t="shared" si="400"/>
        <v>86.71286163127867</v>
      </c>
      <c r="AI47" s="624">
        <f t="shared" si="401"/>
        <v>-8.1299988261837033</v>
      </c>
      <c r="AJ47" s="625">
        <f t="shared" si="402"/>
        <v>156.08006935021726</v>
      </c>
      <c r="AK47" s="4">
        <f t="shared" si="403"/>
        <v>2.2679489665444752E-7</v>
      </c>
      <c r="AL47" s="5">
        <f t="shared" si="404"/>
        <v>-0.14141956749321286</v>
      </c>
      <c r="AM47" s="6">
        <f t="shared" si="405"/>
        <v>-0.98994974919436252</v>
      </c>
      <c r="AN47" s="612">
        <f t="shared" si="406"/>
        <v>-8.129998826173404</v>
      </c>
      <c r="AO47" s="613">
        <f t="shared" si="98"/>
        <v>0</v>
      </c>
      <c r="AP47" s="624">
        <f t="shared" si="407"/>
        <v>-89.999908114622158</v>
      </c>
      <c r="AQ47" s="625">
        <f t="shared" si="248"/>
        <v>4.1602953369742695</v>
      </c>
      <c r="AS47" s="56">
        <f t="shared" si="410"/>
        <v>-202.85002268964945</v>
      </c>
      <c r="AT47" s="77">
        <f t="shared" si="249"/>
        <v>0.72701106588459607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>
        <f>IFERROR(IF($IU47="","",IF($IU47&lt;(((Settings!$C$19/2)*-1)*$IE$8),"",1)),"")</f>
        <v>1</v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4.2149999999999999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4.1150000000000002</v>
      </c>
      <c r="II47" s="800" cm="1">
        <f t="array" ref="II47">IFERROR(IF($IH47&lt;1,$IH47+LARGE((IF($M$9:$M$150="",0,$M$9:$M$150)-MOD(IF($M$9:$M$150="",0,$M$9:$M$150),1)),1),$IH47),"")</f>
        <v>4.1150000000000002</v>
      </c>
      <c r="IJ47" s="839" t="str">
        <f t="shared" si="385"/>
        <v>1613</v>
      </c>
      <c r="IK47" s="839" t="str">
        <f t="shared" si="386"/>
        <v/>
      </c>
      <c r="IL47" s="791">
        <f t="shared" si="227"/>
        <v>20.179997086368871</v>
      </c>
      <c r="IM47" s="830">
        <v>3.3071930436036602E-2</v>
      </c>
      <c r="IN47" s="5">
        <f t="shared" si="228"/>
        <v>0.62</v>
      </c>
      <c r="IO47" s="852">
        <v>310</v>
      </c>
      <c r="IP47" s="9">
        <f t="shared" si="229"/>
        <v>-2.9693089554358099</v>
      </c>
      <c r="IQ47" s="5">
        <f t="shared" si="230"/>
        <v>-5.1800156229271185E-2</v>
      </c>
      <c r="IR47" s="5">
        <f t="shared" si="387"/>
        <v>0.314</v>
      </c>
      <c r="IS47" s="5">
        <f t="shared" si="231"/>
        <v>0.30055059717129345</v>
      </c>
      <c r="IT47" s="791">
        <f t="shared" si="232"/>
        <v>26.69805337693024</v>
      </c>
      <c r="IU47" s="9">
        <f t="shared" si="233"/>
        <v>-2.9757286151596958</v>
      </c>
      <c r="IV47" s="5">
        <f t="shared" si="234"/>
        <v>-4.3353463692677251E-2</v>
      </c>
      <c r="IW47" s="5">
        <f t="shared" si="388"/>
        <v>0.25700000000000001</v>
      </c>
      <c r="IX47" s="5">
        <f t="shared" si="235"/>
        <v>0.25700000000000001</v>
      </c>
      <c r="IY47" s="833">
        <f t="shared" si="236"/>
        <v>8.129998826173404</v>
      </c>
    </row>
    <row r="48" spans="1:259" ht="15" customHeight="1" x14ac:dyDescent="0.25">
      <c r="A48" s="84">
        <f t="shared" si="81"/>
        <v>0.02</v>
      </c>
      <c r="B48" s="770">
        <v>-1.2873375179957041</v>
      </c>
      <c r="C48" s="771">
        <v>-3.4652433895295367</v>
      </c>
      <c r="D48" s="772">
        <v>-0.37190000000000006</v>
      </c>
      <c r="E48" s="773">
        <v>0.73654304466353737</v>
      </c>
      <c r="F48" s="771">
        <v>-0.61934056341742982</v>
      </c>
      <c r="G48" s="774">
        <v>0.27188528806014356</v>
      </c>
      <c r="H48" s="773">
        <v>0.26600000000000001</v>
      </c>
      <c r="I48" s="771">
        <v>0.52</v>
      </c>
      <c r="J48" s="601">
        <v>4.2210000000000001</v>
      </c>
      <c r="K48" s="426" t="str">
        <f t="shared" si="82"/>
        <v>1313</v>
      </c>
      <c r="L48" s="327"/>
      <c r="M48" s="173">
        <f t="shared" si="241"/>
        <v>4.2210000000000001</v>
      </c>
      <c r="N48" s="21">
        <f t="shared" si="242"/>
        <v>-1.2873375179957041</v>
      </c>
      <c r="O48" s="5">
        <f t="shared" si="243"/>
        <v>-3.4652433895295367</v>
      </c>
      <c r="P48" s="10">
        <f t="shared" si="244"/>
        <v>-0.37190000000000006</v>
      </c>
      <c r="Q48" s="624">
        <f t="shared" si="116"/>
        <v>249.61997429998345</v>
      </c>
      <c r="R48" s="5">
        <f t="shared" si="83"/>
        <v>3.6966403170875974</v>
      </c>
      <c r="S48" s="6">
        <f t="shared" si="84"/>
        <v>-0.37190000000000006</v>
      </c>
      <c r="T48" s="4">
        <f t="shared" si="85"/>
        <v>-3.488678801109347</v>
      </c>
      <c r="U48" s="5">
        <f t="shared" si="86"/>
        <v>1.2224033117624233</v>
      </c>
      <c r="V48" s="8">
        <f t="shared" si="117"/>
        <v>-0.37190000000000006</v>
      </c>
      <c r="W48" s="624">
        <f t="shared" si="226"/>
        <v>160.6899741454946</v>
      </c>
      <c r="X48" s="5">
        <f t="shared" si="87"/>
        <v>3.6966403170875974</v>
      </c>
      <c r="Y48" s="7">
        <f t="shared" si="225"/>
        <v>-0.37190000000000006</v>
      </c>
      <c r="Z48" s="21">
        <f t="shared" si="245"/>
        <v>-0.73654304466353737</v>
      </c>
      <c r="AA48" s="5">
        <f t="shared" si="246"/>
        <v>0.61934056341742982</v>
      </c>
      <c r="AB48" s="5">
        <f t="shared" si="247"/>
        <v>-0.27188528806014356</v>
      </c>
      <c r="AC48" s="8">
        <f t="shared" si="88"/>
        <v>1.0000000000000002</v>
      </c>
      <c r="AD48" s="9">
        <f t="shared" si="118"/>
        <v>-0.73654304466353726</v>
      </c>
      <c r="AE48" s="5">
        <f t="shared" si="89"/>
        <v>0.61934056341742971</v>
      </c>
      <c r="AF48" s="10">
        <f t="shared" si="90"/>
        <v>-0.2718852880601435</v>
      </c>
      <c r="AG48" s="622">
        <f t="shared" si="91"/>
        <v>66.298930517892259</v>
      </c>
      <c r="AH48" s="623">
        <f t="shared" si="92"/>
        <v>137.43776267493695</v>
      </c>
      <c r="AI48" s="624">
        <f t="shared" si="93"/>
        <v>-74.223516676456271</v>
      </c>
      <c r="AJ48" s="625">
        <f t="shared" si="94"/>
        <v>-130.05963710036085</v>
      </c>
      <c r="AK48" s="4">
        <f t="shared" si="213"/>
        <v>0.90612041556889222</v>
      </c>
      <c r="AL48" s="5">
        <f t="shared" si="95"/>
        <v>-0.32407434737373275</v>
      </c>
      <c r="AM48" s="6">
        <f t="shared" si="96"/>
        <v>-0.2718852880601435</v>
      </c>
      <c r="AN48" s="612">
        <f t="shared" si="97"/>
        <v>-50.004708195185337</v>
      </c>
      <c r="AO48" s="613">
        <f t="shared" si="98"/>
        <v>25.025390516330862</v>
      </c>
      <c r="AP48" s="624">
        <f t="shared" si="99"/>
        <v>-19.679611400344314</v>
      </c>
      <c r="AQ48" s="625">
        <f t="shared" si="248"/>
        <v>3.3510344052339431</v>
      </c>
      <c r="AS48" s="56">
        <f t="shared" si="410"/>
        <v>-199.3100258545054</v>
      </c>
      <c r="AT48" s="77">
        <f t="shared" si="249"/>
        <v>0.38509120820006232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4.2210000000000001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4.1210000000000004</v>
      </c>
      <c r="II48" s="800" cm="1">
        <f t="array" ref="II48">IFERROR(IF($IH48&lt;1,$IH48+LARGE((IF($M$9:$M$150="",0,$M$9:$M$150)-MOD(IF($M$9:$M$150="",0,$M$9:$M$150),1)),1),$IH48),"")</f>
        <v>4.1210000000000004</v>
      </c>
      <c r="IJ48" s="839" t="str">
        <f t="shared" si="385"/>
        <v>1613</v>
      </c>
      <c r="IK48" s="839" t="str">
        <f t="shared" si="386"/>
        <v>1313</v>
      </c>
      <c r="IL48" s="791">
        <f t="shared" si="227"/>
        <v>15.310000443253045</v>
      </c>
      <c r="IM48" s="830">
        <v>7.1220445198598402E-3</v>
      </c>
      <c r="IN48" s="5">
        <f t="shared" si="228"/>
        <v>0.16</v>
      </c>
      <c r="IO48" s="852">
        <v>80</v>
      </c>
      <c r="IP48" s="9">
        <f t="shared" si="229"/>
        <v>-3.6677110618165627</v>
      </c>
      <c r="IQ48" s="5">
        <f t="shared" si="230"/>
        <v>-0.40860123234131673</v>
      </c>
      <c r="IR48" s="5">
        <f t="shared" si="387"/>
        <v>0.314</v>
      </c>
      <c r="IS48" s="5">
        <f t="shared" si="231"/>
        <v>0.29447976772340234</v>
      </c>
      <c r="IT48" s="791">
        <f t="shared" si="232"/>
        <v>54.005426009717404</v>
      </c>
      <c r="IU48" s="9">
        <f t="shared" si="233"/>
        <v>-3.6966403170875974</v>
      </c>
      <c r="IV48" s="5">
        <f t="shared" si="234"/>
        <v>-0.37190000000000006</v>
      </c>
      <c r="IW48" s="5">
        <f t="shared" si="388"/>
        <v>0.26600000000000001</v>
      </c>
      <c r="IX48" s="5">
        <f t="shared" si="235"/>
        <v>0.24102803054132535</v>
      </c>
      <c r="IY48" s="833">
        <f t="shared" si="236"/>
        <v>50.004708195185337</v>
      </c>
    </row>
    <row r="49" spans="1:259" ht="15" customHeight="1" x14ac:dyDescent="0.25">
      <c r="A49" s="84">
        <f t="shared" si="81"/>
        <v>0.02</v>
      </c>
      <c r="B49" s="770">
        <v>-1.4332486113021841</v>
      </c>
      <c r="C49" s="771">
        <v>-3.8538840845865745</v>
      </c>
      <c r="D49" s="772">
        <v>-1.0625</v>
      </c>
      <c r="E49" s="773">
        <v>0.61812012860707777</v>
      </c>
      <c r="F49" s="771">
        <v>-0.77050092745944254</v>
      </c>
      <c r="G49" s="774">
        <v>0.15574282453746768</v>
      </c>
      <c r="H49" s="773">
        <v>0.26600000000000001</v>
      </c>
      <c r="I49" s="771">
        <v>0.52</v>
      </c>
      <c r="J49" s="601">
        <v>4.2270000000000003</v>
      </c>
      <c r="K49" s="426" t="str">
        <f t="shared" si="82"/>
        <v>1313</v>
      </c>
      <c r="L49" s="327"/>
      <c r="M49" s="173">
        <f t="shared" si="241"/>
        <v>4.2270000000000003</v>
      </c>
      <c r="N49" s="21">
        <f t="shared" si="242"/>
        <v>-1.4332486113021841</v>
      </c>
      <c r="O49" s="5">
        <f t="shared" si="243"/>
        <v>-3.8538840845865745</v>
      </c>
      <c r="P49" s="10">
        <f t="shared" si="244"/>
        <v>-1.0625</v>
      </c>
      <c r="Q49" s="624">
        <f t="shared" si="116"/>
        <v>249.59997429998344</v>
      </c>
      <c r="R49" s="5">
        <f t="shared" si="83"/>
        <v>4.1117665448356062</v>
      </c>
      <c r="S49" s="6">
        <f t="shared" si="84"/>
        <v>-1.0625</v>
      </c>
      <c r="T49" s="4">
        <f t="shared" si="85"/>
        <v>-3.8799764619193611</v>
      </c>
      <c r="U49" s="5">
        <f t="shared" si="86"/>
        <v>1.3610315110904132</v>
      </c>
      <c r="V49" s="8">
        <f t="shared" si="117"/>
        <v>-1.0625</v>
      </c>
      <c r="W49" s="624">
        <f t="shared" si="226"/>
        <v>160.66997414549456</v>
      </c>
      <c r="X49" s="5">
        <f t="shared" si="87"/>
        <v>4.1117665448356062</v>
      </c>
      <c r="Y49" s="7">
        <f t="shared" si="225"/>
        <v>-1.0625</v>
      </c>
      <c r="Z49" s="21">
        <f t="shared" si="245"/>
        <v>-0.61812012860707777</v>
      </c>
      <c r="AA49" s="5">
        <f t="shared" si="246"/>
        <v>0.77050092745944254</v>
      </c>
      <c r="AB49" s="5">
        <f t="shared" si="247"/>
        <v>-0.15574282453746768</v>
      </c>
      <c r="AC49" s="8">
        <f t="shared" si="88"/>
        <v>1</v>
      </c>
      <c r="AD49" s="9">
        <f t="shared" si="118"/>
        <v>-0.61812012860707777</v>
      </c>
      <c r="AE49" s="5">
        <f t="shared" si="89"/>
        <v>0.77050092745944254</v>
      </c>
      <c r="AF49" s="10">
        <f t="shared" si="90"/>
        <v>-0.15574282453746768</v>
      </c>
      <c r="AG49" s="622">
        <f t="shared" si="91"/>
        <v>78.572664404354413</v>
      </c>
      <c r="AH49" s="623">
        <f t="shared" si="92"/>
        <v>128.17898588715624</v>
      </c>
      <c r="AI49" s="624">
        <f t="shared" si="93"/>
        <v>-81.040119829317277</v>
      </c>
      <c r="AJ49" s="625">
        <f t="shared" si="94"/>
        <v>-141.26231524915369</v>
      </c>
      <c r="AK49" s="4">
        <f t="shared" si="213"/>
        <v>0.84792817692160805</v>
      </c>
      <c r="AL49" s="5">
        <f t="shared" si="95"/>
        <v>-0.50671686313708741</v>
      </c>
      <c r="AM49" s="6">
        <f t="shared" si="96"/>
        <v>-0.15574282453746768</v>
      </c>
      <c r="AN49" s="612">
        <f t="shared" si="97"/>
        <v>-72.914838381165609</v>
      </c>
      <c r="AO49" s="613">
        <f t="shared" si="98"/>
        <v>32.012963526453873</v>
      </c>
      <c r="AP49" s="624">
        <f t="shared" si="99"/>
        <v>-30.862289549137142</v>
      </c>
      <c r="AQ49" s="625">
        <f t="shared" si="248"/>
        <v>3.0133705435969338</v>
      </c>
      <c r="AS49" s="56">
        <f t="shared" si="410"/>
        <v>-199.33002585450544</v>
      </c>
      <c r="AT49" s="77">
        <f t="shared" si="249"/>
        <v>-0.3054332362443819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4.2270000000000003</v>
      </c>
      <c r="IH49" s="797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4.1269999999999998</v>
      </c>
      <c r="II49" s="800" cm="1">
        <f t="array" ref="II49">IFERROR(IF($IH49&lt;1,$IH49+LARGE((IF($M$9:$M$150="",0,$M$9:$M$150)-MOD(IF($M$9:$M$150="",0,$M$9:$M$150),1)),1),$IH49),"")</f>
        <v>4.1269999999999998</v>
      </c>
      <c r="IJ49" s="839" t="str">
        <f t="shared" si="385"/>
        <v>1613</v>
      </c>
      <c r="IK49" s="839" t="str">
        <f t="shared" si="386"/>
        <v>1313</v>
      </c>
      <c r="IL49" s="791">
        <f t="shared" si="227"/>
        <v>14.51000056164645</v>
      </c>
      <c r="IM49" s="830">
        <v>3.9078854673142696E-3</v>
      </c>
      <c r="IN49" s="5">
        <f t="shared" si="228"/>
        <v>0.14000000000000001</v>
      </c>
      <c r="IO49" s="852">
        <v>70</v>
      </c>
      <c r="IP49" s="9">
        <f t="shared" si="229"/>
        <v>-4.0664122642993892</v>
      </c>
      <c r="IQ49" s="5">
        <f t="shared" si="230"/>
        <v>-1.0838032687506587</v>
      </c>
      <c r="IR49" s="5">
        <f t="shared" si="387"/>
        <v>0.314</v>
      </c>
      <c r="IS49" s="5">
        <f t="shared" si="231"/>
        <v>0.27917935566371838</v>
      </c>
      <c r="IT49" s="791">
        <f t="shared" si="232"/>
        <v>75.538164240608893</v>
      </c>
      <c r="IU49" s="9">
        <f t="shared" si="233"/>
        <v>-4.1117665448356062</v>
      </c>
      <c r="IV49" s="5">
        <f t="shared" si="234"/>
        <v>-1.0625</v>
      </c>
      <c r="IW49" s="5">
        <f t="shared" si="388"/>
        <v>0.26600000000000001</v>
      </c>
      <c r="IX49" s="5">
        <f t="shared" si="235"/>
        <v>0.22554889506114778</v>
      </c>
      <c r="IY49" s="833">
        <f t="shared" si="236"/>
        <v>72.914838381165609</v>
      </c>
    </row>
    <row r="50" spans="1:259" ht="15" customHeight="1" x14ac:dyDescent="0.25">
      <c r="A50" s="84">
        <f t="shared" si="81"/>
        <v>0.02</v>
      </c>
      <c r="B50" s="770">
        <v>-0.50645327201595536</v>
      </c>
      <c r="C50" s="771">
        <v>-0.29240072873304979</v>
      </c>
      <c r="D50" s="772">
        <v>-0.34480103991993644</v>
      </c>
      <c r="E50" s="773">
        <v>0.51686578639574654</v>
      </c>
      <c r="F50" s="771">
        <v>-0.7933782431643065</v>
      </c>
      <c r="G50" s="774">
        <v>0.32155982666842131</v>
      </c>
      <c r="H50" s="773">
        <v>0.314</v>
      </c>
      <c r="I50" s="771">
        <v>0.52</v>
      </c>
      <c r="J50" s="601">
        <v>5.1020000000000003</v>
      </c>
      <c r="K50" s="426" t="str">
        <f t="shared" si="82"/>
        <v>1613</v>
      </c>
      <c r="L50" s="327"/>
      <c r="M50" s="173">
        <f t="shared" si="241"/>
        <v>5.1020000000000003</v>
      </c>
      <c r="N50" s="21">
        <f t="shared" si="242"/>
        <v>-0.50645327201595536</v>
      </c>
      <c r="O50" s="5">
        <f t="shared" si="243"/>
        <v>-0.29240072873304979</v>
      </c>
      <c r="P50" s="10">
        <f t="shared" si="244"/>
        <v>-0.34480103991993644</v>
      </c>
      <c r="Q50" s="624">
        <f t="shared" si="116"/>
        <v>209.99998267414614</v>
      </c>
      <c r="R50" s="5">
        <f t="shared" si="83"/>
        <v>0.58480176376211956</v>
      </c>
      <c r="S50" s="6">
        <f t="shared" si="84"/>
        <v>-0.34480103991993644</v>
      </c>
      <c r="T50" s="4">
        <f t="shared" si="85"/>
        <v>-0.30180721729232041</v>
      </c>
      <c r="U50" s="5">
        <f t="shared" si="86"/>
        <v>0.50090468802912191</v>
      </c>
      <c r="V50" s="8">
        <f t="shared" si="117"/>
        <v>-0.34480103991993644</v>
      </c>
      <c r="W50" s="624">
        <f t="shared" si="226"/>
        <v>121.06998251965727</v>
      </c>
      <c r="X50" s="5">
        <f t="shared" si="87"/>
        <v>0.58480176376211956</v>
      </c>
      <c r="Y50" s="7">
        <f t="shared" si="225"/>
        <v>-0.34480103991993644</v>
      </c>
      <c r="Z50" s="21">
        <f t="shared" si="245"/>
        <v>-0.51686578639574654</v>
      </c>
      <c r="AA50" s="5">
        <f t="shared" si="246"/>
        <v>0.7933782431643065</v>
      </c>
      <c r="AB50" s="5">
        <f t="shared" si="247"/>
        <v>-0.32155982666842131</v>
      </c>
      <c r="AC50" s="8">
        <f t="shared" si="88"/>
        <v>1</v>
      </c>
      <c r="AD50" s="9">
        <f t="shared" si="118"/>
        <v>-0.51686578639574654</v>
      </c>
      <c r="AE50" s="5">
        <f t="shared" si="89"/>
        <v>0.7933782431643065</v>
      </c>
      <c r="AF50" s="10">
        <f t="shared" si="90"/>
        <v>-0.32155982666842131</v>
      </c>
      <c r="AG50" s="622">
        <f t="shared" si="91"/>
        <v>67.937062607393131</v>
      </c>
      <c r="AH50" s="623">
        <f t="shared" si="92"/>
        <v>121.12224848455341</v>
      </c>
      <c r="AI50" s="624">
        <f t="shared" si="93"/>
        <v>-71.242717153218521</v>
      </c>
      <c r="AJ50" s="625">
        <f t="shared" si="94"/>
        <v>-146.91677753552736</v>
      </c>
      <c r="AK50" s="4">
        <f t="shared" si="213"/>
        <v>0.9455185911871683</v>
      </c>
      <c r="AL50" s="5">
        <f t="shared" si="95"/>
        <v>5.0930065701975169E-2</v>
      </c>
      <c r="AM50" s="6">
        <f t="shared" si="96"/>
        <v>-0.32155982666842131</v>
      </c>
      <c r="AN50" s="612">
        <f t="shared" si="97"/>
        <v>8.9999987005609441</v>
      </c>
      <c r="AO50" s="613">
        <f t="shared" si="98"/>
        <v>18.999997256739782</v>
      </c>
      <c r="AP50" s="624">
        <f t="shared" si="99"/>
        <v>3.0832397903265023</v>
      </c>
      <c r="AQ50" s="625">
        <f t="shared" si="248"/>
        <v>20.310856583053859</v>
      </c>
      <c r="AS50" s="56">
        <f t="shared" si="410"/>
        <v>-238.93001748034271</v>
      </c>
      <c r="AT50" s="77">
        <f t="shared" si="249"/>
        <v>0.56186569219995586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5.1020000000000003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0.02</v>
      </c>
      <c r="B51" s="770">
        <v>-1.1415983296365124</v>
      </c>
      <c r="C51" s="771">
        <v>-0.65910164264005866</v>
      </c>
      <c r="D51" s="772">
        <v>-0.22860068945967943</v>
      </c>
      <c r="E51" s="773">
        <v>0.51739246610917367</v>
      </c>
      <c r="F51" s="771">
        <v>-0.7994688248746914</v>
      </c>
      <c r="G51" s="774">
        <v>0.30521244087839472</v>
      </c>
      <c r="H51" s="773">
        <v>0.314</v>
      </c>
      <c r="I51" s="771">
        <v>0.52</v>
      </c>
      <c r="J51" s="601">
        <v>5.1050000000000004</v>
      </c>
      <c r="K51" s="426" t="str">
        <f t="shared" si="82"/>
        <v>1613</v>
      </c>
      <c r="L51" s="327"/>
      <c r="M51" s="173">
        <f t="shared" si="241"/>
        <v>5.1050000000000004</v>
      </c>
      <c r="N51" s="21">
        <f t="shared" si="242"/>
        <v>-1.1415983296365124</v>
      </c>
      <c r="O51" s="5">
        <f t="shared" si="243"/>
        <v>-0.65910164264005866</v>
      </c>
      <c r="P51" s="10">
        <f t="shared" si="244"/>
        <v>-0.22860068945967943</v>
      </c>
      <c r="Q51" s="624">
        <f t="shared" si="116"/>
        <v>209.99998267414614</v>
      </c>
      <c r="R51" s="5">
        <f t="shared" si="83"/>
        <v>1.3182039757031909</v>
      </c>
      <c r="S51" s="6">
        <f t="shared" si="84"/>
        <v>-0.22860068945967943</v>
      </c>
      <c r="T51" s="4">
        <f t="shared" si="85"/>
        <v>-0.68030484581863337</v>
      </c>
      <c r="U51" s="5">
        <f t="shared" si="86"/>
        <v>1.1290912444596248</v>
      </c>
      <c r="V51" s="8">
        <f t="shared" si="117"/>
        <v>-0.22860068945967943</v>
      </c>
      <c r="W51" s="624">
        <f t="shared" si="226"/>
        <v>121.06998251965727</v>
      </c>
      <c r="X51" s="5">
        <f t="shared" si="87"/>
        <v>1.3182039757031909</v>
      </c>
      <c r="Y51" s="7">
        <f t="shared" si="225"/>
        <v>-0.22860068945967943</v>
      </c>
      <c r="Z51" s="21">
        <f t="shared" si="245"/>
        <v>-0.51739246610917367</v>
      </c>
      <c r="AA51" s="5">
        <f t="shared" si="246"/>
        <v>0.7994688248746914</v>
      </c>
      <c r="AB51" s="5">
        <f t="shared" si="247"/>
        <v>-0.30521244087839472</v>
      </c>
      <c r="AC51" s="8">
        <f t="shared" si="88"/>
        <v>1</v>
      </c>
      <c r="AD51" s="9">
        <f t="shared" si="118"/>
        <v>-0.51739246610917367</v>
      </c>
      <c r="AE51" s="5">
        <f t="shared" si="89"/>
        <v>0.7994688248746914</v>
      </c>
      <c r="AF51" s="10">
        <f t="shared" si="90"/>
        <v>-0.30521244087839472</v>
      </c>
      <c r="AG51" s="622">
        <f t="shared" si="91"/>
        <v>69.104692218835936</v>
      </c>
      <c r="AH51" s="623">
        <f t="shared" si="92"/>
        <v>121.15750524942098</v>
      </c>
      <c r="AI51" s="624">
        <f t="shared" si="93"/>
        <v>-72.229054688919192</v>
      </c>
      <c r="AJ51" s="625">
        <f t="shared" si="94"/>
        <v>-147.09025582028005</v>
      </c>
      <c r="AK51" s="4">
        <f t="shared" si="213"/>
        <v>0.95105653031184811</v>
      </c>
      <c r="AL51" s="5">
        <f t="shared" si="95"/>
        <v>4.8340894532903522E-2</v>
      </c>
      <c r="AM51" s="6">
        <f t="shared" si="96"/>
        <v>-0.30521244087839472</v>
      </c>
      <c r="AN51" s="612">
        <f t="shared" si="97"/>
        <v>8.9999987005609672</v>
      </c>
      <c r="AO51" s="613">
        <f t="shared" si="98"/>
        <v>17.999997401121902</v>
      </c>
      <c r="AP51" s="624">
        <f t="shared" si="99"/>
        <v>2.9097615055738282</v>
      </c>
      <c r="AQ51" s="625">
        <f t="shared" si="248"/>
        <v>9.3248265548350968</v>
      </c>
      <c r="AS51" s="56">
        <f t="shared" si="410"/>
        <v>-238.93001748034271</v>
      </c>
      <c r="AT51" s="77">
        <f t="shared" si="249"/>
        <v>0.67806604266021275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5.1050000000000004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5"/>
        <v/>
      </c>
      <c r="IK51" s="839" t="str">
        <f t="shared" si="386"/>
        <v/>
      </c>
      <c r="IL51" s="791" t="str">
        <f t="shared" si="227"/>
        <v/>
      </c>
      <c r="IM51" s="830"/>
      <c r="IN51" s="5" t="str">
        <f t="shared" si="228"/>
        <v/>
      </c>
      <c r="IO51" s="852"/>
      <c r="IP51" s="9" t="str">
        <f t="shared" si="229"/>
        <v/>
      </c>
      <c r="IQ51" s="5" t="str">
        <f t="shared" si="230"/>
        <v/>
      </c>
      <c r="IR51" s="5" t="str">
        <f t="shared" si="387"/>
        <v/>
      </c>
      <c r="IS51" s="5" t="str">
        <f t="shared" si="231"/>
        <v/>
      </c>
      <c r="IT51" s="791" t="str">
        <f t="shared" si="232"/>
        <v/>
      </c>
      <c r="IU51" s="9" t="str">
        <f t="shared" si="233"/>
        <v/>
      </c>
      <c r="IV51" s="5" t="str">
        <f t="shared" si="234"/>
        <v/>
      </c>
      <c r="IW51" s="5" t="str">
        <f t="shared" si="388"/>
        <v/>
      </c>
      <c r="IX51" s="5" t="str">
        <f t="shared" si="235"/>
        <v/>
      </c>
      <c r="IY51" s="833" t="str">
        <f t="shared" si="236"/>
        <v/>
      </c>
    </row>
    <row r="52" spans="1:259" ht="15" customHeight="1" x14ac:dyDescent="0.25">
      <c r="A52" s="84">
        <f t="shared" si="81"/>
        <v>0.02</v>
      </c>
      <c r="B52" s="770">
        <v>-1.79680384106507</v>
      </c>
      <c r="C52" s="771">
        <v>-1.0219707143542573</v>
      </c>
      <c r="D52" s="772">
        <v>-0.11000033176100059</v>
      </c>
      <c r="E52" s="773">
        <v>0.47673844246096075</v>
      </c>
      <c r="F52" s="771">
        <v>-0.82206126099954924</v>
      </c>
      <c r="G52" s="774">
        <v>0.31134505077763519</v>
      </c>
      <c r="H52" s="773">
        <v>0.314</v>
      </c>
      <c r="I52" s="771">
        <v>0.52</v>
      </c>
      <c r="J52" s="601">
        <v>5.1079999999999997</v>
      </c>
      <c r="K52" s="426" t="str">
        <f t="shared" si="82"/>
        <v>1613</v>
      </c>
      <c r="L52" s="327"/>
      <c r="M52" s="173">
        <f t="shared" si="241"/>
        <v>5.1079999999999997</v>
      </c>
      <c r="N52" s="21">
        <f t="shared" si="242"/>
        <v>-1.79680384106507</v>
      </c>
      <c r="O52" s="5">
        <f t="shared" si="243"/>
        <v>-1.0219707143542573</v>
      </c>
      <c r="P52" s="10">
        <f t="shared" si="244"/>
        <v>-0.11000033176100059</v>
      </c>
      <c r="Q52" s="624">
        <f t="shared" si="116"/>
        <v>209.62998272756752</v>
      </c>
      <c r="R52" s="5">
        <f t="shared" si="83"/>
        <v>2.0671062343924032</v>
      </c>
      <c r="S52" s="6">
        <f t="shared" si="84"/>
        <v>-0.11000033176100059</v>
      </c>
      <c r="T52" s="4">
        <f t="shared" si="85"/>
        <v>-1.0553459079291689</v>
      </c>
      <c r="U52" s="5">
        <f t="shared" si="86"/>
        <v>1.7774063122654591</v>
      </c>
      <c r="V52" s="8">
        <f t="shared" si="117"/>
        <v>-0.11000033176100059</v>
      </c>
      <c r="W52" s="624">
        <f t="shared" si="226"/>
        <v>120.69998257307866</v>
      </c>
      <c r="X52" s="5">
        <f t="shared" si="87"/>
        <v>2.0671062343924032</v>
      </c>
      <c r="Y52" s="7">
        <f t="shared" si="225"/>
        <v>-0.11000033176100059</v>
      </c>
      <c r="Z52" s="21">
        <f t="shared" si="245"/>
        <v>-0.47673844246096075</v>
      </c>
      <c r="AA52" s="5">
        <f t="shared" si="246"/>
        <v>0.82206126099954924</v>
      </c>
      <c r="AB52" s="5">
        <f t="shared" si="247"/>
        <v>-0.31134505077763519</v>
      </c>
      <c r="AC52" s="8">
        <f t="shared" si="88"/>
        <v>1</v>
      </c>
      <c r="AD52" s="9">
        <f t="shared" si="118"/>
        <v>-0.47673844246096075</v>
      </c>
      <c r="AE52" s="5">
        <f t="shared" si="89"/>
        <v>0.82206126099954924</v>
      </c>
      <c r="AF52" s="10">
        <f t="shared" si="90"/>
        <v>-0.31134505077763519</v>
      </c>
      <c r="AG52" s="622">
        <f t="shared" si="91"/>
        <v>69.256466993045436</v>
      </c>
      <c r="AH52" s="623">
        <f t="shared" si="92"/>
        <v>118.47260031649537</v>
      </c>
      <c r="AI52" s="624">
        <f t="shared" si="93"/>
        <v>-71.85969180029187</v>
      </c>
      <c r="AJ52" s="625">
        <f t="shared" si="94"/>
        <v>-149.88924431555785</v>
      </c>
      <c r="AK52" s="4">
        <f t="shared" si="213"/>
        <v>0.95026347716189163</v>
      </c>
      <c r="AL52" s="5">
        <f t="shared" si="95"/>
        <v>7.9739155038672793E-3</v>
      </c>
      <c r="AM52" s="6">
        <f t="shared" si="96"/>
        <v>-0.31134505077763519</v>
      </c>
      <c r="AN52" s="612">
        <f t="shared" si="97"/>
        <v>1.4670920586220058</v>
      </c>
      <c r="AO52" s="613">
        <f t="shared" si="98"/>
        <v>18.146463808998995</v>
      </c>
      <c r="AP52" s="624">
        <f t="shared" si="99"/>
        <v>0.48077295687465194</v>
      </c>
      <c r="AQ52" s="625">
        <f t="shared" si="248"/>
        <v>5.9777683284931395</v>
      </c>
      <c r="AS52" s="56">
        <f t="shared" si="410"/>
        <v>-239.30001742692133</v>
      </c>
      <c r="AT52" s="77">
        <f t="shared" si="249"/>
        <v>0.7980641779348554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4"/>
        <v>5.1079999999999997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5"/>
        <v/>
      </c>
      <c r="IK52" s="839" t="str">
        <f t="shared" si="386"/>
        <v/>
      </c>
      <c r="IL52" s="791" t="str">
        <f t="shared" si="227"/>
        <v/>
      </c>
      <c r="IM52" s="830"/>
      <c r="IN52" s="5" t="str">
        <f t="shared" si="228"/>
        <v/>
      </c>
      <c r="IO52" s="852"/>
      <c r="IP52" s="9" t="str">
        <f t="shared" si="229"/>
        <v/>
      </c>
      <c r="IQ52" s="5" t="str">
        <f t="shared" si="230"/>
        <v/>
      </c>
      <c r="IR52" s="5" t="str">
        <f t="shared" si="387"/>
        <v/>
      </c>
      <c r="IS52" s="5" t="str">
        <f t="shared" si="231"/>
        <v/>
      </c>
      <c r="IT52" s="791" t="str">
        <f t="shared" si="232"/>
        <v/>
      </c>
      <c r="IU52" s="9" t="str">
        <f t="shared" si="233"/>
        <v/>
      </c>
      <c r="IV52" s="5" t="str">
        <f t="shared" si="234"/>
        <v/>
      </c>
      <c r="IW52" s="5" t="str">
        <f t="shared" si="388"/>
        <v/>
      </c>
      <c r="IX52" s="5" t="str">
        <f t="shared" si="235"/>
        <v/>
      </c>
      <c r="IY52" s="833" t="str">
        <f t="shared" si="236"/>
        <v/>
      </c>
    </row>
    <row r="53" spans="1:259" ht="15" customHeight="1" x14ac:dyDescent="0.25">
      <c r="A53" s="84">
        <f t="shared" si="81"/>
        <v>0.02</v>
      </c>
      <c r="B53" s="770">
        <v>-2.494502983879149</v>
      </c>
      <c r="C53" s="771">
        <v>-1.3538399808269144</v>
      </c>
      <c r="D53" s="772">
        <v>-3.3000099528300179E-2</v>
      </c>
      <c r="E53" s="773">
        <v>0.36503599961138339</v>
      </c>
      <c r="F53" s="771">
        <v>-0.89161269278466004</v>
      </c>
      <c r="G53" s="774">
        <v>0.26790954640140346</v>
      </c>
      <c r="H53" s="773">
        <v>0.314</v>
      </c>
      <c r="I53" s="771">
        <v>0.52</v>
      </c>
      <c r="J53" s="601">
        <v>5.1139999999999999</v>
      </c>
      <c r="K53" s="426" t="str">
        <f t="shared" si="82"/>
        <v>1613</v>
      </c>
      <c r="L53" s="327"/>
      <c r="M53" s="173">
        <f t="shared" si="241"/>
        <v>5.1139999999999999</v>
      </c>
      <c r="N53" s="21">
        <f t="shared" si="242"/>
        <v>-2.494502983879149</v>
      </c>
      <c r="O53" s="5">
        <f t="shared" si="243"/>
        <v>-1.3538399808269144</v>
      </c>
      <c r="P53" s="10">
        <f t="shared" si="244"/>
        <v>-3.3000099528300179E-2</v>
      </c>
      <c r="Q53" s="624">
        <f t="shared" si="116"/>
        <v>208.48998289216314</v>
      </c>
      <c r="R53" s="5">
        <f t="shared" ref="R53:R58" si="414">IF(M53="","",SQRT(N53^2+O53^2))</f>
        <v>2.838208560037017</v>
      </c>
      <c r="S53" s="6">
        <f t="shared" ref="S53:S58" si="415">IF(M53="","",P53)</f>
        <v>-3.3000099528300179E-2</v>
      </c>
      <c r="T53" s="4">
        <f t="shared" ref="T53:T58" si="416">IF(M53="","",X53*COS(RADIANS(W53)))</f>
        <v>-1.40018609363352</v>
      </c>
      <c r="U53" s="5">
        <f t="shared" ref="U53:U58" si="417">IF(M53="","",X53*SIN(RADIANS(W53)))</f>
        <v>2.4687864900518841</v>
      </c>
      <c r="V53" s="8">
        <f t="shared" ref="V53:V58" si="418">IF(M53="","",Y53)</f>
        <v>-3.3000099528300179E-2</v>
      </c>
      <c r="W53" s="624">
        <f t="shared" si="226"/>
        <v>119.55998273767428</v>
      </c>
      <c r="X53" s="5">
        <f t="shared" ref="X53:X58" si="419">IF(M53="","",R53)</f>
        <v>2.838208560037017</v>
      </c>
      <c r="Y53" s="7">
        <f t="shared" si="225"/>
        <v>-3.3000099528300179E-2</v>
      </c>
      <c r="Z53" s="21">
        <f t="shared" si="245"/>
        <v>-0.36503599961138339</v>
      </c>
      <c r="AA53" s="5">
        <f t="shared" si="246"/>
        <v>0.89161269278466004</v>
      </c>
      <c r="AB53" s="5">
        <f t="shared" si="247"/>
        <v>-0.26790954640140346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-0.36503599961138339</v>
      </c>
      <c r="AE53" s="5">
        <f t="shared" ref="AE53:AE58" si="422">IF(M53="","",AA53*(1/SQRT(Z53^2+AA53^2+AB53^2)))</f>
        <v>0.89161269278466004</v>
      </c>
      <c r="AF53" s="10">
        <f t="shared" ref="AF53:AF58" si="423">IF(M53="","",AB53*(1/SQRT(Z53^2+AA53^2+AB53^2)))</f>
        <v>-0.26790954640140346</v>
      </c>
      <c r="AG53" s="622">
        <f t="shared" ref="AG53:AG58" si="424">IF(M53="","",DEGREES(ATAN2(-AF53,AE53)))</f>
        <v>73.275659692016561</v>
      </c>
      <c r="AH53" s="623">
        <f t="shared" ref="AH53:AH58" si="425">IF(M53="","",DEGREES(ACOS(AD53)))</f>
        <v>111.40979819770531</v>
      </c>
      <c r="AI53" s="624">
        <f t="shared" ref="AI53:AI58" si="426">IF(M53="","",DEGREES(-ACOS(-AF53)))</f>
        <v>-74.460089529653587</v>
      </c>
      <c r="AJ53" s="625">
        <f t="shared" ref="AJ53:AJ58" si="427">IF(M53="","",DEGREES(ATAN2(-AE53,AD53)))</f>
        <v>-157.73526995322879</v>
      </c>
      <c r="AK53" s="4">
        <f t="shared" ref="AK53:AK58" si="428">IF(M53="","",(COS(RADIANS((90-$Q$8)-W53))*AD53)+(-SIN(RADIANS((90-$Q$8)-W53))*AE53))</f>
        <v>0.95776289720421837</v>
      </c>
      <c r="AL53" s="5">
        <f t="shared" ref="AL53:AL58" si="429">IF(M53="","",(SIN(RADIANS((90-$Q$8)-W53))*AD53)+(COS(RADIANS((90-$Q$8)-W53))*AE53))</f>
        <v>-0.1044734783855511</v>
      </c>
      <c r="AM53" s="6">
        <f t="shared" ref="AM53:AM58" si="430">IF(M53="","",AF53)</f>
        <v>-0.26790954640140346</v>
      </c>
      <c r="AN53" s="612">
        <f t="shared" ref="AN53:AN58" si="431">IF(M53="","",DEGREES(ATAN2(-AM53,AL53)))</f>
        <v>-21.303696251204759</v>
      </c>
      <c r="AO53" s="613">
        <f t="shared" si="98"/>
        <v>16.711878854738092</v>
      </c>
      <c r="AP53" s="624">
        <f t="shared" ref="AP53:AP58" si="432">IF(M53="","",DEGREES(ATAN2(AK53,AL53)))</f>
        <v>-6.2252528453919425</v>
      </c>
      <c r="AQ53" s="625">
        <f t="shared" si="248"/>
        <v>4.3611148027259485</v>
      </c>
      <c r="AS53" s="56">
        <f t="shared" si="410"/>
        <v>-240.44001726232574</v>
      </c>
      <c r="AT53" s="77">
        <f t="shared" si="249"/>
        <v>0.87937107621241684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4"/>
        <v>5.1139999999999999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5"/>
        <v/>
      </c>
      <c r="IK53" s="839" t="str">
        <f t="shared" si="386"/>
        <v/>
      </c>
      <c r="IL53" s="791" t="str">
        <f t="shared" si="227"/>
        <v/>
      </c>
      <c r="IM53" s="830"/>
      <c r="IN53" s="5" t="str">
        <f t="shared" si="228"/>
        <v/>
      </c>
      <c r="IO53" s="852"/>
      <c r="IP53" s="9" t="str">
        <f t="shared" si="229"/>
        <v/>
      </c>
      <c r="IQ53" s="5" t="str">
        <f t="shared" si="230"/>
        <v/>
      </c>
      <c r="IR53" s="5" t="str">
        <f t="shared" si="387"/>
        <v/>
      </c>
      <c r="IS53" s="5" t="str">
        <f t="shared" si="231"/>
        <v/>
      </c>
      <c r="IT53" s="791" t="str">
        <f t="shared" si="232"/>
        <v/>
      </c>
      <c r="IU53" s="9" t="str">
        <f t="shared" si="233"/>
        <v/>
      </c>
      <c r="IV53" s="5" t="str">
        <f t="shared" si="234"/>
        <v/>
      </c>
      <c r="IW53" s="5" t="str">
        <f t="shared" si="388"/>
        <v/>
      </c>
      <c r="IX53" s="5" t="str">
        <f t="shared" si="235"/>
        <v/>
      </c>
      <c r="IY53" s="833" t="str">
        <f t="shared" si="236"/>
        <v/>
      </c>
    </row>
    <row r="54" spans="1:259" ht="15" customHeight="1" x14ac:dyDescent="0.25">
      <c r="A54" s="84">
        <f t="shared" si="81"/>
        <v>0.02</v>
      </c>
      <c r="B54" s="770">
        <v>-3.1746368803821929</v>
      </c>
      <c r="C54" s="771">
        <v>-1.6266406611336695</v>
      </c>
      <c r="D54" s="772">
        <v>-0.32250097266293359</v>
      </c>
      <c r="E54" s="773">
        <v>0.20466469002900967</v>
      </c>
      <c r="F54" s="771">
        <v>-0.95573254394476814</v>
      </c>
      <c r="G54" s="774">
        <v>0.21139458152987617</v>
      </c>
      <c r="H54" s="773">
        <v>0.314</v>
      </c>
      <c r="I54" s="771">
        <v>0.52</v>
      </c>
      <c r="J54" s="601">
        <v>5.12</v>
      </c>
      <c r="K54" s="426" t="str">
        <f t="shared" si="82"/>
        <v>1613</v>
      </c>
      <c r="L54" s="327"/>
      <c r="M54" s="173">
        <f t="shared" si="241"/>
        <v>5.12</v>
      </c>
      <c r="N54" s="21">
        <f t="shared" si="242"/>
        <v>-3.1746368803821929</v>
      </c>
      <c r="O54" s="5">
        <f t="shared" si="243"/>
        <v>-1.6266406611336695</v>
      </c>
      <c r="P54" s="10">
        <f t="shared" si="244"/>
        <v>-0.32250097266293359</v>
      </c>
      <c r="Q54" s="624">
        <f t="shared" si="116"/>
        <v>207.12998308852281</v>
      </c>
      <c r="R54" s="5">
        <f t="shared" si="414"/>
        <v>3.5671107584060469</v>
      </c>
      <c r="S54" s="6">
        <f t="shared" si="415"/>
        <v>-0.32250097266293359</v>
      </c>
      <c r="T54" s="4">
        <f t="shared" si="416"/>
        <v>-1.6856399808812537</v>
      </c>
      <c r="U54" s="5">
        <f t="shared" si="417"/>
        <v>3.1437075273617312</v>
      </c>
      <c r="V54" s="8">
        <f t="shared" si="418"/>
        <v>-0.32250097266293359</v>
      </c>
      <c r="W54" s="624">
        <f t="shared" si="226"/>
        <v>118.19998293403394</v>
      </c>
      <c r="X54" s="5">
        <f t="shared" si="419"/>
        <v>3.5671107584060469</v>
      </c>
      <c r="Y54" s="7">
        <f t="shared" si="225"/>
        <v>-0.32250097266293359</v>
      </c>
      <c r="Z54" s="21">
        <f t="shared" si="245"/>
        <v>-0.20466469002900967</v>
      </c>
      <c r="AA54" s="5">
        <f t="shared" si="246"/>
        <v>0.95573254394476814</v>
      </c>
      <c r="AB54" s="5">
        <f t="shared" si="247"/>
        <v>-0.21139458152987617</v>
      </c>
      <c r="AC54" s="8">
        <f t="shared" si="420"/>
        <v>1</v>
      </c>
      <c r="AD54" s="9">
        <f t="shared" si="421"/>
        <v>-0.20466469002900967</v>
      </c>
      <c r="AE54" s="5">
        <f t="shared" si="422"/>
        <v>0.95573254394476814</v>
      </c>
      <c r="AF54" s="10">
        <f t="shared" si="423"/>
        <v>-0.21139458152987617</v>
      </c>
      <c r="AG54" s="622">
        <f t="shared" si="424"/>
        <v>77.527786310349981</v>
      </c>
      <c r="AH54" s="623">
        <f t="shared" si="425"/>
        <v>101.80987103098357</v>
      </c>
      <c r="AI54" s="624">
        <f t="shared" si="426"/>
        <v>-77.795909191645691</v>
      </c>
      <c r="AJ54" s="625">
        <f t="shared" si="427"/>
        <v>-167.91298910299545</v>
      </c>
      <c r="AK54" s="4">
        <f t="shared" si="428"/>
        <v>0.94390668429723923</v>
      </c>
      <c r="AL54" s="5">
        <f t="shared" si="429"/>
        <v>-0.25367794984744108</v>
      </c>
      <c r="AM54" s="6">
        <f t="shared" si="430"/>
        <v>-0.21139458152987617</v>
      </c>
      <c r="AN54" s="612">
        <f t="shared" si="431"/>
        <v>-50.194923435571553</v>
      </c>
      <c r="AO54" s="613">
        <f t="shared" si="98"/>
        <v>19.281662499276798</v>
      </c>
      <c r="AP54" s="624">
        <f t="shared" si="432"/>
        <v>-15.04297219151824</v>
      </c>
      <c r="AQ54" s="625">
        <f t="shared" si="248"/>
        <v>3.4724252148665711</v>
      </c>
      <c r="AS54" s="56">
        <f t="shared" si="410"/>
        <v>-241.80001706596607</v>
      </c>
      <c r="AT54" s="77">
        <f t="shared" si="249"/>
        <v>0.59500798011375799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5.12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5"/>
        <v/>
      </c>
      <c r="IK54" s="839" t="str">
        <f t="shared" si="386"/>
        <v/>
      </c>
      <c r="IL54" s="791" t="str">
        <f t="shared" si="227"/>
        <v/>
      </c>
      <c r="IM54" s="830"/>
      <c r="IN54" s="5" t="str">
        <f t="shared" si="228"/>
        <v/>
      </c>
      <c r="IO54" s="852"/>
      <c r="IP54" s="9" t="str">
        <f t="shared" si="229"/>
        <v/>
      </c>
      <c r="IQ54" s="5" t="str">
        <f t="shared" si="230"/>
        <v/>
      </c>
      <c r="IR54" s="5" t="str">
        <f t="shared" si="387"/>
        <v/>
      </c>
      <c r="IS54" s="5" t="str">
        <f t="shared" si="231"/>
        <v/>
      </c>
      <c r="IT54" s="791" t="str">
        <f t="shared" si="232"/>
        <v/>
      </c>
      <c r="IU54" s="9" t="str">
        <f t="shared" si="233"/>
        <v/>
      </c>
      <c r="IV54" s="5" t="str">
        <f t="shared" si="234"/>
        <v/>
      </c>
      <c r="IW54" s="5" t="str">
        <f t="shared" si="388"/>
        <v/>
      </c>
      <c r="IX54" s="5" t="str">
        <f t="shared" si="235"/>
        <v/>
      </c>
      <c r="IY54" s="833" t="str">
        <f t="shared" si="236"/>
        <v/>
      </c>
    </row>
    <row r="55" spans="1:259" ht="15" customHeight="1" x14ac:dyDescent="0.25">
      <c r="A55" s="84">
        <f t="shared" si="81"/>
        <v>0.02</v>
      </c>
      <c r="B55" s="770">
        <v>-3.6140297974916025</v>
      </c>
      <c r="C55" s="771">
        <v>-1.7775383868955286</v>
      </c>
      <c r="D55" s="772">
        <v>-0.95730288722550794</v>
      </c>
      <c r="E55" s="773">
        <v>1.8468966883841465E-2</v>
      </c>
      <c r="F55" s="771">
        <v>-0.99031054419263975</v>
      </c>
      <c r="G55" s="774">
        <v>0.1376369257253349</v>
      </c>
      <c r="H55" s="773">
        <v>0.314</v>
      </c>
      <c r="I55" s="771">
        <v>0.52</v>
      </c>
      <c r="J55" s="601">
        <v>5.1260000000000003</v>
      </c>
      <c r="K55" s="426" t="str">
        <f t="shared" si="82"/>
        <v>1613</v>
      </c>
      <c r="L55" s="327"/>
      <c r="M55" s="173">
        <f t="shared" si="241"/>
        <v>5.1260000000000003</v>
      </c>
      <c r="N55" s="21">
        <f t="shared" si="242"/>
        <v>-3.6140297974916025</v>
      </c>
      <c r="O55" s="5">
        <f t="shared" si="243"/>
        <v>-1.7775383868955286</v>
      </c>
      <c r="P55" s="10">
        <f t="shared" si="244"/>
        <v>-0.95730288722550794</v>
      </c>
      <c r="Q55" s="624">
        <f t="shared" si="116"/>
        <v>206.18998322424198</v>
      </c>
      <c r="R55" s="5">
        <f t="shared" si="414"/>
        <v>4.027512146976636</v>
      </c>
      <c r="S55" s="6">
        <f t="shared" si="415"/>
        <v>-0.95730288722550794</v>
      </c>
      <c r="T55" s="4">
        <f t="shared" si="416"/>
        <v>-1.8447165888269297</v>
      </c>
      <c r="U55" s="5">
        <f t="shared" si="417"/>
        <v>3.5802059718612682</v>
      </c>
      <c r="V55" s="8">
        <f t="shared" si="418"/>
        <v>-0.95730288722550794</v>
      </c>
      <c r="W55" s="624">
        <f t="shared" si="226"/>
        <v>117.25998306975312</v>
      </c>
      <c r="X55" s="5">
        <f t="shared" si="419"/>
        <v>4.027512146976636</v>
      </c>
      <c r="Y55" s="7">
        <f t="shared" si="225"/>
        <v>-0.95730288722550794</v>
      </c>
      <c r="Z55" s="21">
        <f t="shared" si="245"/>
        <v>-1.8468966883841465E-2</v>
      </c>
      <c r="AA55" s="5">
        <f t="shared" si="246"/>
        <v>0.99031054419263975</v>
      </c>
      <c r="AB55" s="5">
        <f t="shared" si="247"/>
        <v>-0.1376369257253349</v>
      </c>
      <c r="AC55" s="8">
        <f t="shared" si="420"/>
        <v>1</v>
      </c>
      <c r="AD55" s="9">
        <f t="shared" si="421"/>
        <v>-1.8468966883841465E-2</v>
      </c>
      <c r="AE55" s="5">
        <f t="shared" si="422"/>
        <v>0.99031054419263975</v>
      </c>
      <c r="AF55" s="10">
        <f t="shared" si="423"/>
        <v>-0.1376369257253349</v>
      </c>
      <c r="AG55" s="622">
        <f t="shared" si="424"/>
        <v>82.087513449811141</v>
      </c>
      <c r="AH55" s="623">
        <f t="shared" si="425"/>
        <v>91.058254022450498</v>
      </c>
      <c r="AI55" s="624">
        <f t="shared" si="426"/>
        <v>-82.088871693596005</v>
      </c>
      <c r="AJ55" s="625">
        <f t="shared" si="427"/>
        <v>-178.93157635991145</v>
      </c>
      <c r="AK55" s="4">
        <f t="shared" si="428"/>
        <v>0.89679210919226759</v>
      </c>
      <c r="AL55" s="5">
        <f t="shared" si="429"/>
        <v>-0.42049969032968709</v>
      </c>
      <c r="AM55" s="6">
        <f t="shared" si="430"/>
        <v>-0.1376369257253349</v>
      </c>
      <c r="AN55" s="612">
        <f t="shared" si="431"/>
        <v>-71.87582041742597</v>
      </c>
      <c r="AO55" s="613">
        <f>IF(ROUND(IF(M55="",0,DEGREES(ACOS(AK55))),4)=90,0,IF(M55="","",DEGREES(ACOS(AK55))))</f>
        <v>26.260443493798942</v>
      </c>
      <c r="AP55" s="624">
        <f t="shared" si="432"/>
        <v>-25.121559584153449</v>
      </c>
      <c r="AQ55" s="625">
        <f t="shared" si="248"/>
        <v>3.0762895461343289</v>
      </c>
      <c r="AS55" s="56">
        <f t="shared" si="410"/>
        <v>-242.7400169302469</v>
      </c>
      <c r="AT55" s="77">
        <f t="shared" si="249"/>
        <v>-3.6242823850422101E-2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5.1260000000000003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5"/>
        <v/>
      </c>
      <c r="IK55" s="839" t="str">
        <f t="shared" si="386"/>
        <v/>
      </c>
      <c r="IL55" s="791" t="str">
        <f t="shared" si="227"/>
        <v/>
      </c>
      <c r="IM55" s="830"/>
      <c r="IN55" s="5" t="str">
        <f t="shared" si="228"/>
        <v/>
      </c>
      <c r="IO55" s="852"/>
      <c r="IP55" s="9" t="str">
        <f t="shared" si="229"/>
        <v/>
      </c>
      <c r="IQ55" s="5" t="str">
        <f t="shared" si="230"/>
        <v/>
      </c>
      <c r="IR55" s="5" t="str">
        <f t="shared" si="387"/>
        <v/>
      </c>
      <c r="IS55" s="5" t="str">
        <f t="shared" si="231"/>
        <v/>
      </c>
      <c r="IT55" s="791" t="str">
        <f t="shared" si="232"/>
        <v/>
      </c>
      <c r="IU55" s="9" t="str">
        <f t="shared" si="233"/>
        <v/>
      </c>
      <c r="IV55" s="5" t="str">
        <f t="shared" si="234"/>
        <v/>
      </c>
      <c r="IW55" s="5" t="str">
        <f t="shared" si="388"/>
        <v/>
      </c>
      <c r="IX55" s="5" t="str">
        <f t="shared" si="235"/>
        <v/>
      </c>
      <c r="IY55" s="833" t="str">
        <f t="shared" si="236"/>
        <v/>
      </c>
    </row>
    <row r="56" spans="1:259" ht="15" customHeight="1" x14ac:dyDescent="0.25">
      <c r="A56" s="84">
        <f t="shared" si="81"/>
        <v>0.02</v>
      </c>
      <c r="B56" s="770">
        <v>-3.7712046854564192</v>
      </c>
      <c r="C56" s="771">
        <v>-1.8271320134411593</v>
      </c>
      <c r="D56" s="772">
        <v>-1.6903050979601757</v>
      </c>
      <c r="E56" s="773">
        <v>-0.15901988916828855</v>
      </c>
      <c r="F56" s="771">
        <v>-0.98727537944024935</v>
      </c>
      <c r="G56" s="774">
        <v>1.3008419213987912E-7</v>
      </c>
      <c r="H56" s="773">
        <v>0.26600000000000001</v>
      </c>
      <c r="I56" s="771">
        <v>0.52</v>
      </c>
      <c r="J56" s="601">
        <v>5.1319999999999997</v>
      </c>
      <c r="K56" s="426" t="str">
        <f t="shared" si="82"/>
        <v>1313</v>
      </c>
      <c r="L56" s="327"/>
      <c r="M56" s="173">
        <f t="shared" si="241"/>
        <v>5.1319999999999997</v>
      </c>
      <c r="N56" s="21">
        <f t="shared" si="242"/>
        <v>-3.7712046854564192</v>
      </c>
      <c r="O56" s="5">
        <f t="shared" si="243"/>
        <v>-1.8271320134411593</v>
      </c>
      <c r="P56" s="10">
        <f t="shared" si="244"/>
        <v>-1.6903050979601757</v>
      </c>
      <c r="Q56" s="624">
        <f t="shared" si="116"/>
        <v>205.8499832733319</v>
      </c>
      <c r="R56" s="5">
        <f t="shared" si="414"/>
        <v>4.1905126385861182</v>
      </c>
      <c r="S56" s="6">
        <f t="shared" si="415"/>
        <v>-1.6903050979601757</v>
      </c>
      <c r="T56" s="4">
        <f t="shared" si="416"/>
        <v>-1.897236641189159</v>
      </c>
      <c r="U56" s="5">
        <f t="shared" si="417"/>
        <v>3.736427344600624</v>
      </c>
      <c r="V56" s="8">
        <f t="shared" si="418"/>
        <v>-1.6903050979601757</v>
      </c>
      <c r="W56" s="624">
        <f t="shared" si="226"/>
        <v>116.91998311884304</v>
      </c>
      <c r="X56" s="5">
        <f t="shared" si="419"/>
        <v>4.1905126385861182</v>
      </c>
      <c r="Y56" s="7">
        <f t="shared" si="225"/>
        <v>-1.6903050979601757</v>
      </c>
      <c r="Z56" s="21">
        <f t="shared" si="245"/>
        <v>0.15901988916828855</v>
      </c>
      <c r="AA56" s="5">
        <f t="shared" si="246"/>
        <v>0.98727537944024935</v>
      </c>
      <c r="AB56" s="5">
        <f t="shared" si="247"/>
        <v>-1.3008419213987912E-7</v>
      </c>
      <c r="AC56" s="8">
        <f t="shared" si="420"/>
        <v>1</v>
      </c>
      <c r="AD56" s="9">
        <f t="shared" si="421"/>
        <v>0.15901988916828855</v>
      </c>
      <c r="AE56" s="5">
        <f t="shared" si="422"/>
        <v>0.98727537944024935</v>
      </c>
      <c r="AF56" s="10">
        <f t="shared" si="423"/>
        <v>-1.3008419213987912E-7</v>
      </c>
      <c r="AG56" s="622">
        <f t="shared" si="424"/>
        <v>89.999992450662347</v>
      </c>
      <c r="AH56" s="623">
        <f t="shared" si="425"/>
        <v>80.849988326706736</v>
      </c>
      <c r="AI56" s="624">
        <f t="shared" si="426"/>
        <v>-89.999992546724812</v>
      </c>
      <c r="AJ56" s="625">
        <f t="shared" si="427"/>
        <v>170.84998832670664</v>
      </c>
      <c r="AK56" s="4">
        <f t="shared" si="428"/>
        <v>0.81915209487729201</v>
      </c>
      <c r="AL56" s="5">
        <f t="shared" si="429"/>
        <v>-0.57357636410344437</v>
      </c>
      <c r="AM56" s="6">
        <f t="shared" si="430"/>
        <v>-1.3008419213987912E-7</v>
      </c>
      <c r="AN56" s="612">
        <f t="shared" si="431"/>
        <v>-89.999987005609626</v>
      </c>
      <c r="AO56" s="613">
        <f t="shared" ref="AO56:AO119" si="465">IF(ROUND(IF(M56="",0,DEGREES(ACOS(AK56))),4)=90,0,IF(M56="","",DEGREES(ACOS(AK56))))</f>
        <v>34.999994946625954</v>
      </c>
      <c r="AP56" s="624">
        <f t="shared" si="432"/>
        <v>-34.999994946625257</v>
      </c>
      <c r="AQ56" s="625">
        <f t="shared" si="248"/>
        <v>2.9568461818135963</v>
      </c>
      <c r="AS56" s="56">
        <f t="shared" si="410"/>
        <v>-243.08001688115695</v>
      </c>
      <c r="AT56" s="77">
        <f t="shared" si="249"/>
        <v>-0.76796059032609632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4"/>
        <v>5.1319999999999997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5"/>
        <v/>
      </c>
      <c r="IK56" s="839" t="str">
        <f t="shared" si="386"/>
        <v/>
      </c>
      <c r="IL56" s="791" t="str">
        <f t="shared" si="227"/>
        <v/>
      </c>
      <c r="IM56" s="830"/>
      <c r="IN56" s="5" t="str">
        <f t="shared" si="228"/>
        <v/>
      </c>
      <c r="IO56" s="852"/>
      <c r="IP56" s="9" t="str">
        <f t="shared" si="229"/>
        <v/>
      </c>
      <c r="IQ56" s="5" t="str">
        <f t="shared" si="230"/>
        <v/>
      </c>
      <c r="IR56" s="5" t="str">
        <f t="shared" si="387"/>
        <v/>
      </c>
      <c r="IS56" s="5" t="str">
        <f t="shared" si="231"/>
        <v/>
      </c>
      <c r="IT56" s="791" t="str">
        <f t="shared" si="232"/>
        <v/>
      </c>
      <c r="IU56" s="9" t="str">
        <f t="shared" si="233"/>
        <v/>
      </c>
      <c r="IV56" s="5" t="str">
        <f t="shared" si="234"/>
        <v/>
      </c>
      <c r="IW56" s="5" t="str">
        <f t="shared" si="388"/>
        <v/>
      </c>
      <c r="IX56" s="5" t="str">
        <f t="shared" si="235"/>
        <v/>
      </c>
      <c r="IY56" s="833" t="str">
        <f t="shared" si="236"/>
        <v/>
      </c>
    </row>
    <row r="57" spans="1:259" ht="15" customHeight="1" x14ac:dyDescent="0.25">
      <c r="A57" s="84">
        <f t="shared" si="81"/>
        <v>0</v>
      </c>
      <c r="B57" s="770">
        <v>-1.2837595732260143</v>
      </c>
      <c r="C57" s="771">
        <v>0.24489050132414986</v>
      </c>
      <c r="D57" s="772">
        <v>-0.20551775718637227</v>
      </c>
      <c r="E57" s="773">
        <v>0.15366351023265451</v>
      </c>
      <c r="F57" s="771">
        <v>-2.9313144954184807E-2</v>
      </c>
      <c r="G57" s="774">
        <v>0.98768834414296602</v>
      </c>
      <c r="H57" s="773">
        <v>0.19500000000000001</v>
      </c>
      <c r="I57" s="771">
        <v>0.21199999999999999</v>
      </c>
      <c r="J57" s="601">
        <v>5.2050000000000001</v>
      </c>
      <c r="K57" s="426" t="str">
        <f t="shared" si="82"/>
        <v>Knuckle</v>
      </c>
      <c r="L57" s="327"/>
      <c r="M57" s="173">
        <f t="shared" si="241"/>
        <v>5.2050000000000001</v>
      </c>
      <c r="N57" s="21">
        <f t="shared" si="242"/>
        <v>-1.2837595732260143</v>
      </c>
      <c r="O57" s="5">
        <f t="shared" si="243"/>
        <v>0.24489050132414986</v>
      </c>
      <c r="P57" s="10">
        <f t="shared" si="244"/>
        <v>-0.20551775718637227</v>
      </c>
      <c r="Q57" s="624">
        <f t="shared" si="116"/>
        <v>169.19998856493643</v>
      </c>
      <c r="R57" s="5">
        <f t="shared" si="414"/>
        <v>1.3069085658485187</v>
      </c>
      <c r="S57" s="6">
        <f t="shared" si="415"/>
        <v>-0.20551775718637227</v>
      </c>
      <c r="T57" s="4">
        <f t="shared" si="416"/>
        <v>0.22087495641583249</v>
      </c>
      <c r="U57" s="5">
        <f t="shared" si="417"/>
        <v>1.2881087893173215</v>
      </c>
      <c r="V57" s="8">
        <f t="shared" si="418"/>
        <v>-0.20551775718637227</v>
      </c>
      <c r="W57" s="624">
        <f t="shared" si="226"/>
        <v>80.269988410447567</v>
      </c>
      <c r="X57" s="5">
        <f t="shared" si="419"/>
        <v>1.3069085658485187</v>
      </c>
      <c r="Y57" s="7">
        <f t="shared" si="225"/>
        <v>-0.20551775718637227</v>
      </c>
      <c r="Z57" s="21">
        <f t="shared" si="245"/>
        <v>-0.15366351023265451</v>
      </c>
      <c r="AA57" s="5">
        <f t="shared" si="246"/>
        <v>2.9313144954184807E-2</v>
      </c>
      <c r="AB57" s="5">
        <f t="shared" si="247"/>
        <v>-0.98768834414296602</v>
      </c>
      <c r="AC57" s="8">
        <f t="shared" si="420"/>
        <v>1</v>
      </c>
      <c r="AD57" s="9">
        <f t="shared" si="421"/>
        <v>-0.15366351023265451</v>
      </c>
      <c r="AE57" s="5">
        <f t="shared" si="422"/>
        <v>2.9313144954184807E-2</v>
      </c>
      <c r="AF57" s="10">
        <f t="shared" si="423"/>
        <v>-0.98768834414296602</v>
      </c>
      <c r="AG57" s="622">
        <f t="shared" si="424"/>
        <v>1.6999559070433616</v>
      </c>
      <c r="AH57" s="623">
        <f t="shared" si="425"/>
        <v>98.839292457188265</v>
      </c>
      <c r="AI57" s="624">
        <f t="shared" si="426"/>
        <v>-8.9999987005702131</v>
      </c>
      <c r="AJ57" s="625">
        <f t="shared" si="427"/>
        <v>-100.80009450110819</v>
      </c>
      <c r="AK57" s="4">
        <f t="shared" si="428"/>
        <v>2.2679489665097807E-7</v>
      </c>
      <c r="AL57" s="5">
        <f t="shared" si="429"/>
        <v>0.15643444263995937</v>
      </c>
      <c r="AM57" s="6">
        <f t="shared" si="430"/>
        <v>-0.98768834414296602</v>
      </c>
      <c r="AN57" s="612">
        <f t="shared" si="431"/>
        <v>8.9999987005609654</v>
      </c>
      <c r="AO57" s="613">
        <f t="shared" si="465"/>
        <v>0</v>
      </c>
      <c r="AP57" s="624">
        <f t="shared" si="432"/>
        <v>89.999916933955376</v>
      </c>
      <c r="AQ57" s="625">
        <f t="shared" si="248"/>
        <v>9.4039859815010338</v>
      </c>
      <c r="AS57" s="56">
        <f t="shared" si="410"/>
        <v>-279.73001158955242</v>
      </c>
      <c r="AT57" s="77">
        <f t="shared" si="249"/>
        <v>0.85528228601275669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>
        <f>IFERROR(IF($IU57="","",IF($IU57&lt;(((Settings!$C$19/2)*-1)*$IE$8),"",1)),"")</f>
        <v>1</v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4"/>
        <v>5.2050000000000001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5.1050000000000004</v>
      </c>
      <c r="II57" s="800" cm="1">
        <f t="array" ref="II57">IFERROR(IF($IH57&lt;1,$IH57+LARGE((IF($M$9:$M$150="",0,$M$9:$M$150)-MOD(IF($M$9:$M$150="",0,$M$9:$M$150),1)),1),$IH57),"")</f>
        <v>5.1050000000000004</v>
      </c>
      <c r="IJ57" s="839" t="str">
        <f t="shared" si="385"/>
        <v>1613</v>
      </c>
      <c r="IK57" s="839" t="str">
        <f t="shared" si="386"/>
        <v>Knuckle</v>
      </c>
      <c r="IL57" s="791">
        <f t="shared" si="227"/>
        <v>40.799994109209706</v>
      </c>
      <c r="IM57" s="830">
        <v>7.8560415993823199E-2</v>
      </c>
      <c r="IN57" s="5">
        <f t="shared" si="228"/>
        <v>0.7</v>
      </c>
      <c r="IO57" s="852">
        <v>350</v>
      </c>
      <c r="IP57" s="9">
        <f t="shared" si="229"/>
        <v>-1.3182039757031909</v>
      </c>
      <c r="IQ57" s="5">
        <f t="shared" si="230"/>
        <v>-0.22860068945967943</v>
      </c>
      <c r="IR57" s="5">
        <f t="shared" si="387"/>
        <v>0.314</v>
      </c>
      <c r="IS57" s="5">
        <f t="shared" si="231"/>
        <v>0.29863175051792029</v>
      </c>
      <c r="IT57" s="791">
        <f t="shared" si="232"/>
        <v>-8.9999987005609672</v>
      </c>
      <c r="IU57" s="9">
        <f t="shared" si="233"/>
        <v>-1.3069085658485187</v>
      </c>
      <c r="IV57" s="5">
        <f t="shared" si="234"/>
        <v>-0.20551775718637227</v>
      </c>
      <c r="IW57" s="5">
        <f t="shared" si="388"/>
        <v>0.19500000000000001</v>
      </c>
      <c r="IX57" s="5">
        <f t="shared" si="235"/>
        <v>0.19500000000000001</v>
      </c>
      <c r="IY57" s="833">
        <f t="shared" si="236"/>
        <v>-8.9999987005609654</v>
      </c>
    </row>
    <row r="58" spans="1:259" ht="15" customHeight="1" x14ac:dyDescent="0.25">
      <c r="A58" s="84">
        <f t="shared" si="81"/>
        <v>0</v>
      </c>
      <c r="B58" s="770">
        <v>-2.0507779464275511</v>
      </c>
      <c r="C58" s="771">
        <v>-0.14376355843154609</v>
      </c>
      <c r="D58" s="772">
        <v>-7.8273206750141516E-2</v>
      </c>
      <c r="E58" s="773">
        <v>0.15605148771638241</v>
      </c>
      <c r="F58" s="771">
        <v>1.0939288168336461E-2</v>
      </c>
      <c r="G58" s="774">
        <v>0.98768834414296591</v>
      </c>
      <c r="H58" s="773">
        <v>0.19500000000000001</v>
      </c>
      <c r="I58" s="771">
        <v>0.21199999999999999</v>
      </c>
      <c r="J58" s="601">
        <v>5.2080000000000002</v>
      </c>
      <c r="K58" s="426" t="str">
        <f t="shared" si="82"/>
        <v>Knuckle</v>
      </c>
      <c r="L58" s="327"/>
      <c r="M58" s="173">
        <f t="shared" si="241"/>
        <v>5.2080000000000002</v>
      </c>
      <c r="N58" s="21">
        <f t="shared" si="242"/>
        <v>-2.0507779464275511</v>
      </c>
      <c r="O58" s="5">
        <f t="shared" si="243"/>
        <v>-0.14376355843154609</v>
      </c>
      <c r="P58" s="10">
        <f t="shared" si="244"/>
        <v>-7.8273206750141516E-2</v>
      </c>
      <c r="Q58" s="624">
        <f t="shared" si="116"/>
        <v>184.00998642663731</v>
      </c>
      <c r="R58" s="5">
        <f t="shared" si="414"/>
        <v>2.0558108245377307</v>
      </c>
      <c r="S58" s="6">
        <f t="shared" si="415"/>
        <v>-7.8273206750141516E-2</v>
      </c>
      <c r="T58" s="4">
        <f t="shared" si="416"/>
        <v>-0.18203458361935099</v>
      </c>
      <c r="U58" s="5">
        <f t="shared" si="417"/>
        <v>2.0477357145523034</v>
      </c>
      <c r="V58" s="8">
        <f t="shared" si="418"/>
        <v>-7.8273206750141516E-2</v>
      </c>
      <c r="W58" s="624">
        <f t="shared" si="226"/>
        <v>95.079986272148446</v>
      </c>
      <c r="X58" s="5">
        <f t="shared" si="419"/>
        <v>2.0558108245377307</v>
      </c>
      <c r="Y58" s="7">
        <f t="shared" si="225"/>
        <v>-7.8273206750141516E-2</v>
      </c>
      <c r="Z58" s="21">
        <f t="shared" si="245"/>
        <v>-0.15605148771638241</v>
      </c>
      <c r="AA58" s="5">
        <f t="shared" si="246"/>
        <v>-1.0939288168336461E-2</v>
      </c>
      <c r="AB58" s="5">
        <f t="shared" si="247"/>
        <v>-0.98768834414296591</v>
      </c>
      <c r="AC58" s="8">
        <f t="shared" si="420"/>
        <v>1</v>
      </c>
      <c r="AD58" s="9">
        <f t="shared" si="421"/>
        <v>-0.15605148771638241</v>
      </c>
      <c r="AE58" s="5">
        <f t="shared" si="422"/>
        <v>-1.0939288168336461E-2</v>
      </c>
      <c r="AF58" s="10">
        <f t="shared" si="423"/>
        <v>-0.98768834414296591</v>
      </c>
      <c r="AG58" s="622">
        <f t="shared" si="424"/>
        <v>-0.6345619240118584</v>
      </c>
      <c r="AH58" s="623">
        <f t="shared" si="425"/>
        <v>98.977784175235726</v>
      </c>
      <c r="AI58" s="624">
        <f t="shared" si="426"/>
        <v>-8.9999987005702629</v>
      </c>
      <c r="AJ58" s="625">
        <f t="shared" si="427"/>
        <v>-85.990096639407312</v>
      </c>
      <c r="AK58" s="4">
        <f t="shared" si="428"/>
        <v>2.2679489667352948E-7</v>
      </c>
      <c r="AL58" s="5">
        <f t="shared" si="429"/>
        <v>0.15643444263995931</v>
      </c>
      <c r="AM58" s="6">
        <f t="shared" si="430"/>
        <v>-0.98768834414296591</v>
      </c>
      <c r="AN58" s="612">
        <f t="shared" si="431"/>
        <v>8.9999987005609619</v>
      </c>
      <c r="AO58" s="613">
        <f t="shared" si="465"/>
        <v>0</v>
      </c>
      <c r="AP58" s="624">
        <f t="shared" si="432"/>
        <v>89.999916933955362</v>
      </c>
      <c r="AQ58" s="625">
        <f t="shared" si="248"/>
        <v>6.0103727012775829</v>
      </c>
      <c r="AS58" s="56">
        <f t="shared" si="410"/>
        <v>-264.92001372785154</v>
      </c>
      <c r="AT58" s="77">
        <f t="shared" si="249"/>
        <v>0.92657795563811751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>
        <f>IFERROR(IF($IU58="","",IF($IU58&lt;(((Settings!$C$19/2)*-1)*$IE$8),"",1)),"")</f>
        <v>1</v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4"/>
        <v>5.2080000000000002</v>
      </c>
      <c r="IH58" s="797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5.1079999999999997</v>
      </c>
      <c r="II58" s="800" cm="1">
        <f t="array" ref="II58">IFERROR(IF($IH58&lt;1,$IH58+LARGE((IF($M$9:$M$150="",0,$M$9:$M$150)-MOD(IF($M$9:$M$150="",0,$M$9:$M$150),1)),1),$IH58),"")</f>
        <v>5.1079999999999997</v>
      </c>
      <c r="IJ58" s="839" t="str">
        <f t="shared" si="385"/>
        <v>1613</v>
      </c>
      <c r="IK58" s="839" t="str">
        <f t="shared" si="386"/>
        <v>Knuckle</v>
      </c>
      <c r="IL58" s="791">
        <f t="shared" si="227"/>
        <v>25.619996300930211</v>
      </c>
      <c r="IM58" s="830">
        <v>7.0522510563854099E-2</v>
      </c>
      <c r="IN58" s="5">
        <f t="shared" si="228"/>
        <v>0.98</v>
      </c>
      <c r="IO58" s="852">
        <v>490</v>
      </c>
      <c r="IP58" s="9">
        <f t="shared" si="229"/>
        <v>-2.0671062343924032</v>
      </c>
      <c r="IQ58" s="5">
        <f t="shared" si="230"/>
        <v>-0.11000033176100059</v>
      </c>
      <c r="IR58" s="5">
        <f t="shared" si="387"/>
        <v>0.314</v>
      </c>
      <c r="IS58" s="5">
        <f t="shared" si="231"/>
        <v>0.29838273182883396</v>
      </c>
      <c r="IT58" s="791">
        <f t="shared" si="232"/>
        <v>-1.4670920586220058</v>
      </c>
      <c r="IU58" s="9">
        <f t="shared" si="233"/>
        <v>-2.0558108245377307</v>
      </c>
      <c r="IV58" s="5">
        <f t="shared" si="234"/>
        <v>-7.8273206750141516E-2</v>
      </c>
      <c r="IW58" s="5">
        <f t="shared" si="388"/>
        <v>0.19500000000000001</v>
      </c>
      <c r="IX58" s="5">
        <f t="shared" si="235"/>
        <v>0.19500000000000001</v>
      </c>
      <c r="IY58" s="833">
        <f t="shared" si="236"/>
        <v>-8.9999987005609619</v>
      </c>
    </row>
    <row r="59" spans="1:259" ht="15" customHeight="1" x14ac:dyDescent="0.25">
      <c r="A59" s="84">
        <f t="shared" si="81"/>
        <v>0</v>
      </c>
      <c r="B59" s="770">
        <v>-2.8173076671012081</v>
      </c>
      <c r="C59" s="771">
        <v>-0.36940428375711237</v>
      </c>
      <c r="D59" s="772">
        <v>-2.4689435716384413E-2</v>
      </c>
      <c r="E59" s="773">
        <v>-7.0200160682933943E-2</v>
      </c>
      <c r="F59" s="771">
        <v>-9.2048464566620788E-3</v>
      </c>
      <c r="G59" s="774">
        <v>0.99749045521338187</v>
      </c>
      <c r="H59" s="773">
        <v>0.25700000000000001</v>
      </c>
      <c r="I59" s="771">
        <v>0.41499999999999992</v>
      </c>
      <c r="J59" s="601">
        <v>5.2140000000000004</v>
      </c>
      <c r="K59" s="426" t="str">
        <f t="shared" si="82"/>
        <v/>
      </c>
      <c r="L59" s="327"/>
      <c r="M59" s="173">
        <f t="shared" si="241"/>
        <v>5.2140000000000004</v>
      </c>
      <c r="N59" s="21">
        <f t="shared" si="242"/>
        <v>-2.8173076671012081</v>
      </c>
      <c r="O59" s="5">
        <f t="shared" si="243"/>
        <v>-0.36940428375711237</v>
      </c>
      <c r="P59" s="10">
        <f t="shared" si="244"/>
        <v>-2.4689435716384413E-2</v>
      </c>
      <c r="Q59" s="624">
        <f t="shared" si="116"/>
        <v>187.46998592707519</v>
      </c>
      <c r="R59" s="5">
        <f t="shared" si="83"/>
        <v>2.8414225338666821</v>
      </c>
      <c r="S59" s="6">
        <f t="shared" si="84"/>
        <v>-2.4689435716384413E-2</v>
      </c>
      <c r="T59" s="4">
        <f t="shared" si="85"/>
        <v>-0.42195008930328215</v>
      </c>
      <c r="U59" s="5">
        <f t="shared" si="86"/>
        <v>2.8099181728481541</v>
      </c>
      <c r="V59" s="8">
        <f t="shared" si="117"/>
        <v>-2.4689435716384413E-2</v>
      </c>
      <c r="W59" s="624">
        <f t="shared" si="226"/>
        <v>98.53998577258632</v>
      </c>
      <c r="X59" s="5">
        <f t="shared" si="87"/>
        <v>2.8414225338666821</v>
      </c>
      <c r="Y59" s="7">
        <f t="shared" si="225"/>
        <v>-2.4689435716384413E-2</v>
      </c>
      <c r="Z59" s="21">
        <f t="shared" si="245"/>
        <v>7.0200160682933943E-2</v>
      </c>
      <c r="AA59" s="5">
        <f t="shared" si="246"/>
        <v>9.2048464566620788E-3</v>
      </c>
      <c r="AB59" s="5">
        <f t="shared" si="247"/>
        <v>-0.99749045521338187</v>
      </c>
      <c r="AC59" s="8">
        <f t="shared" si="88"/>
        <v>1</v>
      </c>
      <c r="AD59" s="9">
        <f t="shared" si="118"/>
        <v>7.0200160682933943E-2</v>
      </c>
      <c r="AE59" s="5">
        <f t="shared" si="89"/>
        <v>9.2048464566620788E-3</v>
      </c>
      <c r="AF59" s="10">
        <f t="shared" si="90"/>
        <v>-0.99749045521338187</v>
      </c>
      <c r="AG59" s="622">
        <f t="shared" si="91"/>
        <v>0.52871070659070307</v>
      </c>
      <c r="AH59" s="623">
        <f t="shared" si="92"/>
        <v>85.974516137402134</v>
      </c>
      <c r="AI59" s="624">
        <f t="shared" si="93"/>
        <v>-4.0599994138292699</v>
      </c>
      <c r="AJ59" s="625">
        <f t="shared" si="94"/>
        <v>97.470169460884478</v>
      </c>
      <c r="AK59" s="4">
        <f t="shared" si="213"/>
        <v>2.2679489671689756E-7</v>
      </c>
      <c r="AL59" s="5">
        <f t="shared" si="95"/>
        <v>-7.0801071730229009E-2</v>
      </c>
      <c r="AM59" s="6">
        <f t="shared" si="96"/>
        <v>-0.99749045521338187</v>
      </c>
      <c r="AN59" s="612">
        <f t="shared" si="97"/>
        <v>-4.0599994138086162</v>
      </c>
      <c r="AO59" s="613">
        <f t="shared" si="465"/>
        <v>0</v>
      </c>
      <c r="AP59" s="624">
        <f t="shared" si="99"/>
        <v>-89.999816466190708</v>
      </c>
      <c r="AQ59" s="625">
        <f t="shared" si="248"/>
        <v>4.3562008819201061</v>
      </c>
      <c r="AS59" s="56">
        <f t="shared" si="410"/>
        <v>-261.46001422741369</v>
      </c>
      <c r="AT59" s="77">
        <f t="shared" si="249"/>
        <v>0.96709061744799829</v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>
        <f>IFERROR(IF($IU59="","",IF($IU59&lt;(((Settings!$C$19/2)*-1)*$IE$8),"",1)),"")</f>
        <v>1</v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4"/>
        <v>5.2140000000000004</v>
      </c>
      <c r="IH59" s="797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5.1139999999999999</v>
      </c>
      <c r="II59" s="800" cm="1">
        <f t="array" ref="II59">IFERROR(IF($IH59&lt;1,$IH59+LARGE((IF($M$9:$M$150="",0,$M$9:$M$150)-MOD(IF($M$9:$M$150="",0,$M$9:$M$150),1)),1),$IH59),"")</f>
        <v>5.1139999999999999</v>
      </c>
      <c r="IJ59" s="839" t="str">
        <f t="shared" si="385"/>
        <v>1613</v>
      </c>
      <c r="IK59" s="839" t="str">
        <f t="shared" si="386"/>
        <v/>
      </c>
      <c r="IL59" s="791">
        <f t="shared" si="227"/>
        <v>21.019996965087955</v>
      </c>
      <c r="IM59" s="830">
        <v>3.48420563248465E-2</v>
      </c>
      <c r="IN59" s="5">
        <f t="shared" si="228"/>
        <v>0.6</v>
      </c>
      <c r="IO59" s="852">
        <v>300</v>
      </c>
      <c r="IP59" s="9">
        <f t="shared" si="229"/>
        <v>-2.838208560037017</v>
      </c>
      <c r="IQ59" s="5">
        <f t="shared" si="230"/>
        <v>-3.3000099528300179E-2</v>
      </c>
      <c r="IR59" s="5">
        <f t="shared" si="387"/>
        <v>0.314</v>
      </c>
      <c r="IS59" s="5">
        <f t="shared" si="231"/>
        <v>0.30073754972212458</v>
      </c>
      <c r="IT59" s="791">
        <f t="shared" si="232"/>
        <v>21.303696251204759</v>
      </c>
      <c r="IU59" s="9">
        <f t="shared" si="233"/>
        <v>-2.8414225338666821</v>
      </c>
      <c r="IV59" s="5">
        <f t="shared" si="234"/>
        <v>-2.4689435716384413E-2</v>
      </c>
      <c r="IW59" s="5">
        <f t="shared" si="388"/>
        <v>0.25700000000000001</v>
      </c>
      <c r="IX59" s="5">
        <f t="shared" si="235"/>
        <v>0.25700000000000001</v>
      </c>
      <c r="IY59" s="833">
        <f t="shared" si="236"/>
        <v>4.0599994138086162</v>
      </c>
    </row>
    <row r="60" spans="1:259" ht="15" customHeight="1" x14ac:dyDescent="0.25">
      <c r="A60" s="84">
        <f t="shared" si="81"/>
        <v>0.02</v>
      </c>
      <c r="B60" s="770">
        <v>-3.5194461403403245</v>
      </c>
      <c r="C60" s="771">
        <v>-0.72179731260886171</v>
      </c>
      <c r="D60" s="772">
        <v>-0.28410000000000013</v>
      </c>
      <c r="E60" s="773">
        <v>-0.10279562854540457</v>
      </c>
      <c r="F60" s="771">
        <v>-0.95368224575287142</v>
      </c>
      <c r="G60" s="774">
        <v>0.28270697353923724</v>
      </c>
      <c r="H60" s="773">
        <v>0.26600000000000001</v>
      </c>
      <c r="I60" s="771">
        <v>0.52</v>
      </c>
      <c r="J60" s="601">
        <v>5.22</v>
      </c>
      <c r="K60" s="426" t="str">
        <f t="shared" si="82"/>
        <v>1313</v>
      </c>
      <c r="L60" s="327"/>
      <c r="M60" s="173">
        <f t="shared" si="241"/>
        <v>5.22</v>
      </c>
      <c r="N60" s="21">
        <f t="shared" si="242"/>
        <v>-3.5194461403403245</v>
      </c>
      <c r="O60" s="5">
        <f t="shared" si="243"/>
        <v>-0.72179731260886171</v>
      </c>
      <c r="P60" s="10">
        <f t="shared" si="244"/>
        <v>-0.28410000000000013</v>
      </c>
      <c r="Q60" s="624">
        <f t="shared" si="116"/>
        <v>191.58998267414614</v>
      </c>
      <c r="R60" s="5">
        <f t="shared" si="83"/>
        <v>3.5926998893931823</v>
      </c>
      <c r="S60" s="6">
        <f t="shared" si="84"/>
        <v>-0.28410000000000013</v>
      </c>
      <c r="T60" s="4">
        <f t="shared" si="85"/>
        <v>-0.78739335836114244</v>
      </c>
      <c r="U60" s="5">
        <f t="shared" si="86"/>
        <v>3.5053536475589087</v>
      </c>
      <c r="V60" s="8">
        <f t="shared" si="117"/>
        <v>-0.28410000000000013</v>
      </c>
      <c r="W60" s="624">
        <f t="shared" si="226"/>
        <v>102.65998251965728</v>
      </c>
      <c r="X60" s="5">
        <f t="shared" si="87"/>
        <v>3.5926998893931823</v>
      </c>
      <c r="Y60" s="7">
        <f t="shared" si="225"/>
        <v>-0.28410000000000013</v>
      </c>
      <c r="Z60" s="21">
        <f t="shared" si="245"/>
        <v>0.10279562854540457</v>
      </c>
      <c r="AA60" s="5">
        <f t="shared" si="246"/>
        <v>0.95368224575287142</v>
      </c>
      <c r="AB60" s="5">
        <f t="shared" si="247"/>
        <v>-0.28270697353923724</v>
      </c>
      <c r="AC60" s="8">
        <f t="shared" si="88"/>
        <v>1</v>
      </c>
      <c r="AD60" s="9">
        <f t="shared" si="118"/>
        <v>0.10279562854540457</v>
      </c>
      <c r="AE60" s="5">
        <f t="shared" si="89"/>
        <v>0.95368224575287142</v>
      </c>
      <c r="AF60" s="10">
        <f t="shared" si="90"/>
        <v>-0.28270697353923724</v>
      </c>
      <c r="AG60" s="622">
        <f t="shared" si="91"/>
        <v>73.488212913376984</v>
      </c>
      <c r="AH60" s="623">
        <f t="shared" si="92"/>
        <v>84.099821911912656</v>
      </c>
      <c r="AI60" s="624">
        <f t="shared" si="93"/>
        <v>-73.578168003921135</v>
      </c>
      <c r="AJ60" s="625">
        <f t="shared" si="94"/>
        <v>173.84794696734627</v>
      </c>
      <c r="AK60" s="4">
        <f t="shared" si="213"/>
        <v>0.91358471109269412</v>
      </c>
      <c r="AL60" s="5">
        <f t="shared" si="95"/>
        <v>-0.2923007744942932</v>
      </c>
      <c r="AM60" s="6">
        <f t="shared" si="96"/>
        <v>-0.28270697353923724</v>
      </c>
      <c r="AN60" s="612">
        <f t="shared" si="97"/>
        <v>-45.955871130508349</v>
      </c>
      <c r="AO60" s="613">
        <f t="shared" si="465"/>
        <v>23.994469883964548</v>
      </c>
      <c r="AP60" s="624">
        <f t="shared" si="99"/>
        <v>-17.742035706799875</v>
      </c>
      <c r="AQ60" s="625">
        <f t="shared" si="248"/>
        <v>3.4477526183700942</v>
      </c>
      <c r="AS60" s="56">
        <f t="shared" si="410"/>
        <v>-257.34001748034274</v>
      </c>
      <c r="AT60" s="77">
        <f t="shared" si="249"/>
        <v>0.6921156210087811</v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4"/>
        <v>5.22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5.12</v>
      </c>
      <c r="II60" s="800" cm="1">
        <f t="array" ref="II60">IFERROR(IF($IH60&lt;1,$IH60+LARGE((IF($M$9:$M$150="",0,$M$9:$M$150)-MOD(IF($M$9:$M$150="",0,$M$9:$M$150),1)),1),$IH60),"")</f>
        <v>5.12</v>
      </c>
      <c r="IJ60" s="839" t="str">
        <f t="shared" si="385"/>
        <v>1613</v>
      </c>
      <c r="IK60" s="839" t="str">
        <f t="shared" si="386"/>
        <v>1313</v>
      </c>
      <c r="IL60" s="791">
        <f t="shared" si="227"/>
        <v>15.540000414376664</v>
      </c>
      <c r="IM60" s="830">
        <v>7.6041682983055102E-3</v>
      </c>
      <c r="IN60" s="5">
        <f t="shared" si="228"/>
        <v>0.18</v>
      </c>
      <c r="IO60" s="852">
        <v>90</v>
      </c>
      <c r="IP60" s="9">
        <f t="shared" si="229"/>
        <v>-3.5671107584060469</v>
      </c>
      <c r="IQ60" s="5">
        <f t="shared" si="230"/>
        <v>-0.32250097266293359</v>
      </c>
      <c r="IR60" s="5">
        <f t="shared" si="387"/>
        <v>0.314</v>
      </c>
      <c r="IS60" s="5">
        <f t="shared" si="231"/>
        <v>0.29638669886933311</v>
      </c>
      <c r="IT60" s="791">
        <f t="shared" si="232"/>
        <v>50.194923435571553</v>
      </c>
      <c r="IU60" s="9">
        <f t="shared" si="233"/>
        <v>-3.5926998893931823</v>
      </c>
      <c r="IV60" s="5">
        <f t="shared" si="234"/>
        <v>-0.28410000000000013</v>
      </c>
      <c r="IW60" s="5">
        <f t="shared" si="388"/>
        <v>0.26600000000000001</v>
      </c>
      <c r="IX60" s="5">
        <f t="shared" si="235"/>
        <v>0.24301353315065666</v>
      </c>
      <c r="IY60" s="833">
        <f t="shared" si="236"/>
        <v>45.955871130508349</v>
      </c>
    </row>
    <row r="61" spans="1:259" ht="15" customHeight="1" x14ac:dyDescent="0.25">
      <c r="A61" s="84">
        <f t="shared" si="81"/>
        <v>0.02</v>
      </c>
      <c r="B61" s="770">
        <v>-3.9873712268004455</v>
      </c>
      <c r="C61" s="771">
        <v>-0.81921378680496382</v>
      </c>
      <c r="D61" s="772">
        <v>-0.93289999999999917</v>
      </c>
      <c r="E61" s="773">
        <v>-0.29918963986181984</v>
      </c>
      <c r="F61" s="771">
        <v>-0.93630069595348264</v>
      </c>
      <c r="G61" s="774">
        <v>0.1839199993376974</v>
      </c>
      <c r="H61" s="773">
        <v>0.26600000000000001</v>
      </c>
      <c r="I61" s="771">
        <v>0.52</v>
      </c>
      <c r="J61" s="601">
        <v>5.226</v>
      </c>
      <c r="K61" s="426" t="str">
        <f t="shared" si="82"/>
        <v>1313</v>
      </c>
      <c r="L61" s="327"/>
      <c r="M61" s="173">
        <f t="shared" si="241"/>
        <v>5.226</v>
      </c>
      <c r="N61" s="21">
        <f t="shared" si="242"/>
        <v>-3.9873712268004455</v>
      </c>
      <c r="O61" s="5">
        <f t="shared" si="243"/>
        <v>-0.81921378680496382</v>
      </c>
      <c r="P61" s="10">
        <f t="shared" si="244"/>
        <v>-0.93289999999999917</v>
      </c>
      <c r="Q61" s="624">
        <f t="shared" si="116"/>
        <v>191.60998267414615</v>
      </c>
      <c r="R61" s="5">
        <f t="shared" si="83"/>
        <v>4.0706560317481282</v>
      </c>
      <c r="S61" s="6">
        <f t="shared" si="84"/>
        <v>-0.93289999999999917</v>
      </c>
      <c r="T61" s="4">
        <f t="shared" si="85"/>
        <v>-0.89353084830449969</v>
      </c>
      <c r="U61" s="5">
        <f t="shared" si="86"/>
        <v>3.9713779915711447</v>
      </c>
      <c r="V61" s="8">
        <f t="shared" si="117"/>
        <v>-0.93289999999999917</v>
      </c>
      <c r="W61" s="624">
        <f t="shared" si="226"/>
        <v>102.67998251965729</v>
      </c>
      <c r="X61" s="5">
        <f t="shared" si="87"/>
        <v>4.0706560317481282</v>
      </c>
      <c r="Y61" s="7">
        <f t="shared" si="225"/>
        <v>-0.93289999999999917</v>
      </c>
      <c r="Z61" s="21">
        <f t="shared" si="245"/>
        <v>0.29918963986181984</v>
      </c>
      <c r="AA61" s="5">
        <f t="shared" si="246"/>
        <v>0.93630069595348264</v>
      </c>
      <c r="AB61" s="5">
        <f t="shared" si="247"/>
        <v>-0.1839199993376974</v>
      </c>
      <c r="AC61" s="8">
        <f t="shared" si="88"/>
        <v>1</v>
      </c>
      <c r="AD61" s="9">
        <f t="shared" si="118"/>
        <v>0.29918963986181984</v>
      </c>
      <c r="AE61" s="5">
        <f t="shared" si="89"/>
        <v>0.93630069595348264</v>
      </c>
      <c r="AF61" s="10">
        <f t="shared" si="90"/>
        <v>-0.1839199993376974</v>
      </c>
      <c r="AG61" s="622">
        <f t="shared" si="91"/>
        <v>78.88673608502188</v>
      </c>
      <c r="AH61" s="623">
        <f t="shared" si="92"/>
        <v>72.591062473641145</v>
      </c>
      <c r="AI61" s="624">
        <f t="shared" si="93"/>
        <v>-79.401827475613658</v>
      </c>
      <c r="AJ61" s="625">
        <f t="shared" si="94"/>
        <v>162.27901094775302</v>
      </c>
      <c r="AK61" s="4">
        <f t="shared" si="213"/>
        <v>0.85693267857272271</v>
      </c>
      <c r="AL61" s="5">
        <f t="shared" si="95"/>
        <v>-0.48149747479898591</v>
      </c>
      <c r="AM61" s="6">
        <f t="shared" si="96"/>
        <v>-0.1839199993376974</v>
      </c>
      <c r="AN61" s="612">
        <f t="shared" si="97"/>
        <v>-69.094392963554867</v>
      </c>
      <c r="AO61" s="613">
        <f t="shared" si="465"/>
        <v>31.02609082107276</v>
      </c>
      <c r="AP61" s="624">
        <f t="shared" si="99"/>
        <v>-29.330971726393123</v>
      </c>
      <c r="AQ61" s="625">
        <f t="shared" si="248"/>
        <v>3.0437463432312515</v>
      </c>
      <c r="AS61" s="56">
        <f t="shared" si="410"/>
        <v>-257.3200174803427</v>
      </c>
      <c r="AT61" s="77">
        <f t="shared" si="249"/>
        <v>4.3240065453226451E-2</v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4"/>
        <v>5.226</v>
      </c>
      <c r="IH61" s="797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5.1260000000000003</v>
      </c>
      <c r="II61" s="800" cm="1">
        <f t="array" ref="II61">IFERROR(IF($IH61&lt;1,$IH61+LARGE((IF($M$9:$M$150="",0,$M$9:$M$150)-MOD(IF($M$9:$M$150="",0,$M$9:$M$150),1)),1),$IH61),"")</f>
        <v>5.1260000000000003</v>
      </c>
      <c r="IJ61" s="839" t="str">
        <f t="shared" si="385"/>
        <v>1613</v>
      </c>
      <c r="IK61" s="839" t="str">
        <f t="shared" si="386"/>
        <v>1313</v>
      </c>
      <c r="IL61" s="791">
        <f t="shared" si="227"/>
        <v>14.580000550095832</v>
      </c>
      <c r="IM61" s="830">
        <v>4.4856885273577901E-3</v>
      </c>
      <c r="IN61" s="5">
        <f t="shared" si="228"/>
        <v>0.14000000000000001</v>
      </c>
      <c r="IO61" s="852">
        <v>70</v>
      </c>
      <c r="IP61" s="9">
        <f t="shared" si="229"/>
        <v>-4.027512146976636</v>
      </c>
      <c r="IQ61" s="5">
        <f t="shared" si="230"/>
        <v>-0.95730288722550794</v>
      </c>
      <c r="IR61" s="5">
        <f t="shared" si="387"/>
        <v>0.314</v>
      </c>
      <c r="IS61" s="5">
        <f t="shared" si="231"/>
        <v>0.281592722286372</v>
      </c>
      <c r="IT61" s="791">
        <f t="shared" si="232"/>
        <v>71.87582041742597</v>
      </c>
      <c r="IU61" s="9">
        <f t="shared" si="233"/>
        <v>-4.0706560317481282</v>
      </c>
      <c r="IV61" s="5">
        <f t="shared" si="234"/>
        <v>-0.93289999999999917</v>
      </c>
      <c r="IW61" s="5">
        <f t="shared" si="388"/>
        <v>0.26600000000000001</v>
      </c>
      <c r="IX61" s="5">
        <f t="shared" si="235"/>
        <v>0.22794409250034425</v>
      </c>
      <c r="IY61" s="833">
        <f t="shared" si="236"/>
        <v>69.094392963554867</v>
      </c>
    </row>
    <row r="62" spans="1:259" ht="15" customHeight="1" x14ac:dyDescent="0.25">
      <c r="A62" s="84">
        <f t="shared" si="81"/>
        <v>0.02</v>
      </c>
      <c r="B62" s="770">
        <v>-2.3124176871011204</v>
      </c>
      <c r="C62" s="771">
        <v>1.4054197271689619</v>
      </c>
      <c r="D62" s="772">
        <v>-2.6600080225841961E-2</v>
      </c>
      <c r="E62" s="773">
        <v>-0.56447499454849126</v>
      </c>
      <c r="F62" s="771">
        <v>-0.77836726879888984</v>
      </c>
      <c r="G62" s="774">
        <v>0.27479515168946805</v>
      </c>
      <c r="H62" s="773">
        <v>0.314</v>
      </c>
      <c r="I62" s="771">
        <v>0.52</v>
      </c>
      <c r="J62" s="601">
        <v>6.1130000000000004</v>
      </c>
      <c r="K62" s="426" t="str">
        <f t="shared" si="82"/>
        <v>1613</v>
      </c>
      <c r="L62" s="327"/>
      <c r="M62" s="173">
        <f t="shared" si="241"/>
        <v>6.1130000000000004</v>
      </c>
      <c r="N62" s="21">
        <f t="shared" si="242"/>
        <v>-2.3124176871011204</v>
      </c>
      <c r="O62" s="5">
        <f t="shared" si="243"/>
        <v>1.4054197271689619</v>
      </c>
      <c r="P62" s="10">
        <f t="shared" si="244"/>
        <v>-2.6600080225841961E-2</v>
      </c>
      <c r="Q62" s="624">
        <f t="shared" si="116"/>
        <v>148.70999152332601</v>
      </c>
      <c r="R62" s="5">
        <f t="shared" si="83"/>
        <v>2.7060081613206148</v>
      </c>
      <c r="S62" s="6">
        <f t="shared" si="84"/>
        <v>-2.6600080225841961E-2</v>
      </c>
      <c r="T62" s="4">
        <f t="shared" si="85"/>
        <v>1.3619927225904971</v>
      </c>
      <c r="U62" s="5">
        <f t="shared" si="86"/>
        <v>2.3382591799764842</v>
      </c>
      <c r="V62" s="8">
        <f t="shared" si="117"/>
        <v>-2.6600080225841961E-2</v>
      </c>
      <c r="W62" s="624">
        <f t="shared" si="226"/>
        <v>59.779991368837145</v>
      </c>
      <c r="X62" s="5">
        <f t="shared" si="87"/>
        <v>2.7060081613206148</v>
      </c>
      <c r="Y62" s="7">
        <f t="shared" si="225"/>
        <v>-2.6600080225841961E-2</v>
      </c>
      <c r="Z62" s="21">
        <f t="shared" si="245"/>
        <v>0.56447499454849126</v>
      </c>
      <c r="AA62" s="5">
        <f t="shared" si="246"/>
        <v>0.77836726879888984</v>
      </c>
      <c r="AB62" s="5">
        <f t="shared" si="247"/>
        <v>-0.27479515168946805</v>
      </c>
      <c r="AC62" s="8">
        <f t="shared" si="88"/>
        <v>1</v>
      </c>
      <c r="AD62" s="9">
        <f t="shared" si="118"/>
        <v>0.56447499454849126</v>
      </c>
      <c r="AE62" s="5">
        <f t="shared" si="89"/>
        <v>0.77836726879888984</v>
      </c>
      <c r="AF62" s="10">
        <f t="shared" si="90"/>
        <v>-0.27479515168946805</v>
      </c>
      <c r="AG62" s="622">
        <f t="shared" si="91"/>
        <v>70.554906060969273</v>
      </c>
      <c r="AH62" s="623">
        <f t="shared" si="92"/>
        <v>55.634158065922982</v>
      </c>
      <c r="AI62" s="624">
        <f t="shared" si="93"/>
        <v>-74.050193083073694</v>
      </c>
      <c r="AJ62" s="625">
        <f t="shared" si="94"/>
        <v>144.05023052970569</v>
      </c>
      <c r="AK62" s="4">
        <f t="shared" si="213"/>
        <v>0.95832472692824733</v>
      </c>
      <c r="AL62" s="5">
        <f t="shared" si="95"/>
        <v>-7.8111089903180497E-2</v>
      </c>
      <c r="AM62" s="6">
        <f t="shared" si="96"/>
        <v>-0.27479515168946805</v>
      </c>
      <c r="AN62" s="612">
        <f t="shared" si="97"/>
        <v>-15.86791000542639</v>
      </c>
      <c r="AO62" s="613">
        <f t="shared" si="465"/>
        <v>16.599568310703024</v>
      </c>
      <c r="AP62" s="624">
        <f t="shared" si="99"/>
        <v>-4.6597609936203206</v>
      </c>
      <c r="AQ62" s="625">
        <f t="shared" si="248"/>
        <v>4.5732915589288208</v>
      </c>
      <c r="AS62" s="56">
        <f t="shared" si="410"/>
        <v>-300.22000863116284</v>
      </c>
      <c r="AT62" s="77">
        <f t="shared" si="249"/>
        <v>1.1116066184638154</v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4"/>
        <v>6.1130000000000004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5"/>
        <v/>
      </c>
      <c r="IK62" s="839" t="str">
        <f t="shared" si="386"/>
        <v/>
      </c>
      <c r="IL62" s="791" t="str">
        <f t="shared" si="227"/>
        <v/>
      </c>
      <c r="IM62" s="830"/>
      <c r="IN62" s="5" t="str">
        <f t="shared" si="228"/>
        <v/>
      </c>
      <c r="IO62" s="852"/>
      <c r="IP62" s="9" t="str">
        <f t="shared" si="229"/>
        <v/>
      </c>
      <c r="IQ62" s="5" t="str">
        <f t="shared" si="230"/>
        <v/>
      </c>
      <c r="IR62" s="5" t="str">
        <f t="shared" si="387"/>
        <v/>
      </c>
      <c r="IS62" s="5" t="str">
        <f t="shared" si="231"/>
        <v/>
      </c>
      <c r="IT62" s="791" t="str">
        <f t="shared" si="232"/>
        <v/>
      </c>
      <c r="IU62" s="9" t="str">
        <f t="shared" si="233"/>
        <v/>
      </c>
      <c r="IV62" s="5" t="str">
        <f t="shared" si="234"/>
        <v/>
      </c>
      <c r="IW62" s="5" t="str">
        <f t="shared" si="388"/>
        <v/>
      </c>
      <c r="IX62" s="5" t="str">
        <f t="shared" si="235"/>
        <v/>
      </c>
      <c r="IY62" s="833" t="str">
        <f t="shared" si="236"/>
        <v/>
      </c>
    </row>
    <row r="63" spans="1:259" ht="15" customHeight="1" x14ac:dyDescent="0.25">
      <c r="A63" s="84">
        <f t="shared" si="81"/>
        <v>0.02</v>
      </c>
      <c r="B63" s="770">
        <v>-2.9119298130441824</v>
      </c>
      <c r="C63" s="771">
        <v>1.8665568212195147</v>
      </c>
      <c r="D63" s="772">
        <v>-0.2463007428430404</v>
      </c>
      <c r="E63" s="773">
        <v>-0.70609670970216865</v>
      </c>
      <c r="F63" s="771">
        <v>-0.66930017842858369</v>
      </c>
      <c r="G63" s="774">
        <v>0.23122436658630421</v>
      </c>
      <c r="H63" s="773">
        <v>0.314</v>
      </c>
      <c r="I63" s="771">
        <v>0.52</v>
      </c>
      <c r="J63" s="601">
        <v>6.1189999999999998</v>
      </c>
      <c r="K63" s="426" t="str">
        <f t="shared" si="82"/>
        <v>1613</v>
      </c>
      <c r="L63" s="327"/>
      <c r="M63" s="173">
        <f t="shared" si="241"/>
        <v>6.1189999999999998</v>
      </c>
      <c r="N63" s="21">
        <f t="shared" si="242"/>
        <v>-2.9119298130441824</v>
      </c>
      <c r="O63" s="5">
        <f t="shared" si="243"/>
        <v>1.8665568212195147</v>
      </c>
      <c r="P63" s="10">
        <f t="shared" si="244"/>
        <v>-0.2463007428430404</v>
      </c>
      <c r="Q63" s="624">
        <f t="shared" si="116"/>
        <v>147.33999172112948</v>
      </c>
      <c r="R63" s="5">
        <f t="shared" si="83"/>
        <v>3.458810431772263</v>
      </c>
      <c r="S63" s="6">
        <f t="shared" si="84"/>
        <v>-0.2463007428430404</v>
      </c>
      <c r="T63" s="4">
        <f t="shared" si="85"/>
        <v>1.8118541563657387</v>
      </c>
      <c r="U63" s="5">
        <f t="shared" si="86"/>
        <v>2.9462780111518372</v>
      </c>
      <c r="V63" s="8">
        <f t="shared" si="117"/>
        <v>-0.2463007428430404</v>
      </c>
      <c r="W63" s="624">
        <f t="shared" si="226"/>
        <v>58.409991566640613</v>
      </c>
      <c r="X63" s="5">
        <f t="shared" si="87"/>
        <v>3.458810431772263</v>
      </c>
      <c r="Y63" s="7">
        <f t="shared" si="225"/>
        <v>-0.2463007428430404</v>
      </c>
      <c r="Z63" s="21">
        <f t="shared" si="245"/>
        <v>0.70609670970216865</v>
      </c>
      <c r="AA63" s="5">
        <f t="shared" si="246"/>
        <v>0.66930017842858369</v>
      </c>
      <c r="AB63" s="5">
        <f t="shared" si="247"/>
        <v>-0.23122436658630421</v>
      </c>
      <c r="AC63" s="8">
        <f t="shared" si="88"/>
        <v>1</v>
      </c>
      <c r="AD63" s="9">
        <f t="shared" si="118"/>
        <v>0.70609670970216865</v>
      </c>
      <c r="AE63" s="5">
        <f t="shared" si="89"/>
        <v>0.66930017842858369</v>
      </c>
      <c r="AF63" s="10">
        <f t="shared" si="90"/>
        <v>-0.23122436658630421</v>
      </c>
      <c r="AG63" s="622">
        <f t="shared" si="91"/>
        <v>70.94141004987074</v>
      </c>
      <c r="AH63" s="623">
        <f t="shared" si="92"/>
        <v>45.081786200807294</v>
      </c>
      <c r="AI63" s="624">
        <f t="shared" si="93"/>
        <v>-76.630833961463665</v>
      </c>
      <c r="AJ63" s="625">
        <f t="shared" si="94"/>
        <v>133.46750913925263</v>
      </c>
      <c r="AK63" s="4">
        <f t="shared" si="213"/>
        <v>0.94452264378747108</v>
      </c>
      <c r="AL63" s="5">
        <f t="shared" si="95"/>
        <v>-0.23326437291084218</v>
      </c>
      <c r="AM63" s="6">
        <f t="shared" si="96"/>
        <v>-0.23122436658630421</v>
      </c>
      <c r="AN63" s="612">
        <f t="shared" si="97"/>
        <v>-45.251637964749392</v>
      </c>
      <c r="AO63" s="613">
        <f t="shared" si="465"/>
        <v>19.174499644632629</v>
      </c>
      <c r="AP63" s="624">
        <f t="shared" si="99"/>
        <v>-13.872482581876827</v>
      </c>
      <c r="AQ63" s="625">
        <f t="shared" si="248"/>
        <v>3.5808732138960413</v>
      </c>
      <c r="AS63" s="56">
        <f t="shared" si="410"/>
        <v>-301.5900084333594</v>
      </c>
      <c r="AT63" s="77">
        <f t="shared" si="249"/>
        <v>0.89708151065491504</v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4"/>
        <v>6.1189999999999998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0.02</v>
      </c>
      <c r="B64" s="770">
        <v>-3.3086080140114773</v>
      </c>
      <c r="C64" s="771">
        <v>2.2065679279269346</v>
      </c>
      <c r="D64" s="772">
        <v>-0.83490251806599514</v>
      </c>
      <c r="E64" s="773">
        <v>-0.83151555382680775</v>
      </c>
      <c r="F64" s="771">
        <v>-0.53237536468034885</v>
      </c>
      <c r="G64" s="774">
        <v>0.15861385445654705</v>
      </c>
      <c r="H64" s="773">
        <v>0.314</v>
      </c>
      <c r="I64" s="771">
        <v>0.52</v>
      </c>
      <c r="J64" s="601">
        <v>6.125</v>
      </c>
      <c r="K64" s="426" t="str">
        <f t="shared" si="82"/>
        <v>1613</v>
      </c>
      <c r="L64" s="327"/>
      <c r="M64" s="173">
        <f t="shared" si="241"/>
        <v>6.125</v>
      </c>
      <c r="N64" s="21">
        <f t="shared" si="242"/>
        <v>-3.3086080140114773</v>
      </c>
      <c r="O64" s="5">
        <f t="shared" si="243"/>
        <v>2.2065679279269346</v>
      </c>
      <c r="P64" s="10">
        <f t="shared" si="244"/>
        <v>-0.83490251806599514</v>
      </c>
      <c r="Q64" s="624">
        <f t="shared" si="116"/>
        <v>146.29999187128689</v>
      </c>
      <c r="R64" s="5">
        <f t="shared" si="83"/>
        <v>3.9769119943665761</v>
      </c>
      <c r="S64" s="6">
        <f t="shared" si="84"/>
        <v>-0.83490251806599514</v>
      </c>
      <c r="T64" s="4">
        <f t="shared" si="85"/>
        <v>2.1443984314075859</v>
      </c>
      <c r="U64" s="5">
        <f t="shared" si="86"/>
        <v>3.3492363873446469</v>
      </c>
      <c r="V64" s="8">
        <f t="shared" si="117"/>
        <v>-0.83490251806599514</v>
      </c>
      <c r="W64" s="624">
        <f t="shared" si="226"/>
        <v>57.369991716798026</v>
      </c>
      <c r="X64" s="5">
        <f t="shared" si="87"/>
        <v>3.9769119943665761</v>
      </c>
      <c r="Y64" s="7">
        <f t="shared" si="225"/>
        <v>-0.83490251806599514</v>
      </c>
      <c r="Z64" s="21">
        <f t="shared" si="245"/>
        <v>0.83151555382680775</v>
      </c>
      <c r="AA64" s="5">
        <f t="shared" si="246"/>
        <v>0.53237536468034885</v>
      </c>
      <c r="AB64" s="5">
        <f t="shared" si="247"/>
        <v>-0.15861385445654705</v>
      </c>
      <c r="AC64" s="8">
        <f t="shared" si="88"/>
        <v>1</v>
      </c>
      <c r="AD64" s="9">
        <f t="shared" si="118"/>
        <v>0.83151555382680775</v>
      </c>
      <c r="AE64" s="5">
        <f t="shared" si="89"/>
        <v>0.53237536468034885</v>
      </c>
      <c r="AF64" s="10">
        <f t="shared" si="90"/>
        <v>-0.15861385445654705</v>
      </c>
      <c r="AG64" s="622">
        <f t="shared" si="91"/>
        <v>73.409304627803152</v>
      </c>
      <c r="AH64" s="623">
        <f t="shared" si="92"/>
        <v>33.745261772152482</v>
      </c>
      <c r="AI64" s="624">
        <f t="shared" si="93"/>
        <v>-80.873551464178078</v>
      </c>
      <c r="AJ64" s="625">
        <f t="shared" si="94"/>
        <v>122.629282978969</v>
      </c>
      <c r="AK64" s="4">
        <f t="shared" si="213"/>
        <v>0.90427370678166341</v>
      </c>
      <c r="AL64" s="5">
        <f t="shared" si="95"/>
        <v>-0.39639715992649011</v>
      </c>
      <c r="AM64" s="6">
        <f t="shared" si="96"/>
        <v>-0.15861385445654705</v>
      </c>
      <c r="AN64" s="612">
        <f t="shared" si="97"/>
        <v>-68.191738773408247</v>
      </c>
      <c r="AO64" s="613">
        <f t="shared" si="465"/>
        <v>25.274359466678352</v>
      </c>
      <c r="AP64" s="624">
        <f t="shared" si="99"/>
        <v>-23.670708892317894</v>
      </c>
      <c r="AQ64" s="625">
        <f t="shared" si="248"/>
        <v>3.1153540315514339</v>
      </c>
      <c r="AS64" s="56">
        <f t="shared" si="410"/>
        <v>-302.63000828320196</v>
      </c>
      <c r="AT64" s="77">
        <f t="shared" si="249"/>
        <v>0.31240862375358758</v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4"/>
        <v>6.125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0.02</v>
      </c>
      <c r="B65" s="770">
        <v>-3.4679454381098505</v>
      </c>
      <c r="C65" s="771">
        <v>2.3523925294140575</v>
      </c>
      <c r="D65" s="772">
        <v>-1.5645047185462311</v>
      </c>
      <c r="E65" s="773">
        <v>-0.93451544989605073</v>
      </c>
      <c r="F65" s="771">
        <v>-0.35592256728896149</v>
      </c>
      <c r="G65" s="774">
        <v>1.3008419215807546E-7</v>
      </c>
      <c r="H65" s="773">
        <v>0.26600000000000001</v>
      </c>
      <c r="I65" s="771">
        <v>0.52</v>
      </c>
      <c r="J65" s="601">
        <v>6.1310000000000002</v>
      </c>
      <c r="K65" s="426" t="str">
        <f t="shared" si="82"/>
        <v>1313</v>
      </c>
      <c r="L65" s="327"/>
      <c r="M65" s="173">
        <f t="shared" si="241"/>
        <v>6.1310000000000002</v>
      </c>
      <c r="N65" s="21">
        <f t="shared" si="242"/>
        <v>-3.4679454381098505</v>
      </c>
      <c r="O65" s="5">
        <f t="shared" si="243"/>
        <v>2.3523925294140575</v>
      </c>
      <c r="P65" s="10">
        <f t="shared" si="244"/>
        <v>-1.5645047185462311</v>
      </c>
      <c r="Q65" s="624">
        <f t="shared" si="116"/>
        <v>145.84999193625885</v>
      </c>
      <c r="R65" s="5">
        <f t="shared" si="83"/>
        <v>4.1905126385861182</v>
      </c>
      <c r="S65" s="6">
        <f t="shared" si="84"/>
        <v>-1.5645047185462311</v>
      </c>
      <c r="T65" s="4">
        <f t="shared" si="85"/>
        <v>2.2872221483324702</v>
      </c>
      <c r="U65" s="5">
        <f t="shared" si="86"/>
        <v>3.5112691463810335</v>
      </c>
      <c r="V65" s="8">
        <f t="shared" si="117"/>
        <v>-1.5645047185462311</v>
      </c>
      <c r="W65" s="624">
        <f t="shared" si="226"/>
        <v>56.91999178176998</v>
      </c>
      <c r="X65" s="5">
        <f t="shared" si="87"/>
        <v>4.1905126385861182</v>
      </c>
      <c r="Y65" s="7">
        <f t="shared" si="225"/>
        <v>-1.5645047185462311</v>
      </c>
      <c r="Z65" s="21">
        <f t="shared" si="245"/>
        <v>0.93451544989605073</v>
      </c>
      <c r="AA65" s="5">
        <f t="shared" si="246"/>
        <v>0.35592256728896149</v>
      </c>
      <c r="AB65" s="5">
        <f t="shared" si="247"/>
        <v>-1.3008419215807546E-7</v>
      </c>
      <c r="AC65" s="8">
        <f t="shared" si="88"/>
        <v>1</v>
      </c>
      <c r="AD65" s="9">
        <f t="shared" si="118"/>
        <v>0.93451544989605073</v>
      </c>
      <c r="AE65" s="5">
        <f t="shared" si="89"/>
        <v>0.35592256728896149</v>
      </c>
      <c r="AF65" s="10">
        <f t="shared" si="90"/>
        <v>-1.3008419215807546E-7</v>
      </c>
      <c r="AG65" s="622">
        <f t="shared" si="91"/>
        <v>89.999979059278971</v>
      </c>
      <c r="AH65" s="623">
        <f t="shared" si="92"/>
        <v>20.849996989634814</v>
      </c>
      <c r="AI65" s="624">
        <f t="shared" si="93"/>
        <v>-89.999992546724812</v>
      </c>
      <c r="AJ65" s="625">
        <f t="shared" si="94"/>
        <v>110.84999698963357</v>
      </c>
      <c r="AK65" s="4">
        <f t="shared" si="213"/>
        <v>0.81915209487729213</v>
      </c>
      <c r="AL65" s="5">
        <f t="shared" si="95"/>
        <v>-0.57357636410344481</v>
      </c>
      <c r="AM65" s="6">
        <f t="shared" si="96"/>
        <v>-1.3008419215807546E-7</v>
      </c>
      <c r="AN65" s="612">
        <f t="shared" si="97"/>
        <v>-89.999987005609626</v>
      </c>
      <c r="AO65" s="613">
        <f t="shared" si="465"/>
        <v>34.999994946625939</v>
      </c>
      <c r="AP65" s="624">
        <f t="shared" si="99"/>
        <v>-34.999994946625279</v>
      </c>
      <c r="AQ65" s="625">
        <f t="shared" si="248"/>
        <v>2.9568461818135963</v>
      </c>
      <c r="AS65" s="56">
        <f t="shared" si="410"/>
        <v>-303.08000821823003</v>
      </c>
      <c r="AT65" s="77">
        <f t="shared" si="249"/>
        <v>-0.41549357697209777</v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4"/>
        <v>6.1310000000000002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</v>
      </c>
      <c r="B66" s="770">
        <v>-1.6190710514706694</v>
      </c>
      <c r="C66" s="771">
        <v>2.1681995063700752</v>
      </c>
      <c r="D66" s="772">
        <v>-1.8710776450977129E-2</v>
      </c>
      <c r="E66" s="773">
        <v>-1.8172028820667464E-7</v>
      </c>
      <c r="F66" s="771">
        <v>-1.356969491762922E-7</v>
      </c>
      <c r="G66" s="774">
        <v>0.99999999999997435</v>
      </c>
      <c r="H66" s="773">
        <v>0.25700000000000001</v>
      </c>
      <c r="I66" s="771">
        <v>0.41499999999999992</v>
      </c>
      <c r="J66" s="601">
        <v>6.2130000000000001</v>
      </c>
      <c r="K66" s="426" t="str">
        <f t="shared" si="82"/>
        <v/>
      </c>
      <c r="L66" s="327"/>
      <c r="M66" s="173">
        <f t="shared" si="241"/>
        <v>6.2130000000000001</v>
      </c>
      <c r="N66" s="21">
        <f t="shared" si="242"/>
        <v>-1.6190710514706694</v>
      </c>
      <c r="O66" s="5">
        <f t="shared" si="243"/>
        <v>2.1681995063700752</v>
      </c>
      <c r="P66" s="10">
        <f t="shared" si="244"/>
        <v>-1.8710776450977129E-2</v>
      </c>
      <c r="Q66" s="624">
        <f t="shared" si="116"/>
        <v>126.74999469395726</v>
      </c>
      <c r="R66" s="5">
        <f t="shared" si="83"/>
        <v>2.7060081613206153</v>
      </c>
      <c r="S66" s="6">
        <f t="shared" si="84"/>
        <v>-1.8710776450977129E-2</v>
      </c>
      <c r="T66" s="4">
        <f t="shared" si="85"/>
        <v>2.1375870033757409</v>
      </c>
      <c r="U66" s="5">
        <f t="shared" si="86"/>
        <v>1.6592775452385589</v>
      </c>
      <c r="V66" s="8">
        <f t="shared" si="117"/>
        <v>-1.8710776450977129E-2</v>
      </c>
      <c r="W66" s="624">
        <f t="shared" si="226"/>
        <v>37.819994539468397</v>
      </c>
      <c r="X66" s="5">
        <f t="shared" si="87"/>
        <v>2.7060081613206153</v>
      </c>
      <c r="Y66" s="7">
        <f t="shared" si="225"/>
        <v>-1.8710776450977129E-2</v>
      </c>
      <c r="Z66" s="21">
        <f t="shared" si="245"/>
        <v>1.8172028820667464E-7</v>
      </c>
      <c r="AA66" s="5">
        <f t="shared" si="246"/>
        <v>1.356969491762922E-7</v>
      </c>
      <c r="AB66" s="5">
        <f t="shared" si="247"/>
        <v>-0.99999999999997435</v>
      </c>
      <c r="AC66" s="8">
        <f t="shared" si="88"/>
        <v>1</v>
      </c>
      <c r="AD66" s="9">
        <f t="shared" si="118"/>
        <v>1.8172028820667464E-7</v>
      </c>
      <c r="AE66" s="5">
        <f t="shared" si="89"/>
        <v>1.356969491762922E-7</v>
      </c>
      <c r="AF66" s="10">
        <f t="shared" si="90"/>
        <v>-0.99999999999997435</v>
      </c>
      <c r="AG66" s="622">
        <f t="shared" si="91"/>
        <v>7.7748624806029284E-6</v>
      </c>
      <c r="AH66" s="623">
        <f t="shared" si="92"/>
        <v>89.999989588194438</v>
      </c>
      <c r="AI66" s="624">
        <f t="shared" si="93"/>
        <v>-1.2976235990044085E-5</v>
      </c>
      <c r="AJ66" s="625">
        <f t="shared" si="94"/>
        <v>126.74999470512572</v>
      </c>
      <c r="AK66" s="4">
        <f t="shared" si="213"/>
        <v>2.2679489668347944E-7</v>
      </c>
      <c r="AL66" s="5">
        <f t="shared" si="95"/>
        <v>4.4208317113316842E-17</v>
      </c>
      <c r="AM66" s="6">
        <f t="shared" si="96"/>
        <v>-0.99999999999997435</v>
      </c>
      <c r="AN66" s="612">
        <f t="shared" si="97"/>
        <v>2.5329499899690907E-15</v>
      </c>
      <c r="AO66" s="613">
        <f t="shared" si="465"/>
        <v>0</v>
      </c>
      <c r="AP66" s="624">
        <f t="shared" si="99"/>
        <v>1.116846113827717E-8</v>
      </c>
      <c r="AQ66" s="625">
        <f t="shared" si="248"/>
        <v>4.5732915589288208</v>
      </c>
      <c r="AS66" s="56">
        <f t="shared" si="410"/>
        <v>-322.18000546053162</v>
      </c>
      <c r="AT66" s="77">
        <f t="shared" si="249"/>
        <v>1.2024559102607399</v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>
        <f>IFERROR(IF($IU66="","",IF($IU66&lt;(((Settings!$C$19/2)*-1)*$IE$8),"",1)),"")</f>
        <v>1</v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4"/>
        <v>6.2130000000000001</v>
      </c>
      <c r="IH66" s="797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0.113</v>
      </c>
      <c r="II66" s="800" cm="1">
        <f t="array" ref="II66">IFERROR(IF($IH66&lt;1,$IH66+LARGE((IF($M$9:$M$150="",0,$M$9:$M$150)-MOD(IF($M$9:$M$150="",0,$M$9:$M$150),1)),1),$IH66),"")</f>
        <v>6.1130000000000004</v>
      </c>
      <c r="IJ66" s="839" t="str">
        <f t="shared" si="385"/>
        <v>1613</v>
      </c>
      <c r="IK66" s="839" t="str">
        <f t="shared" si="386"/>
        <v/>
      </c>
      <c r="IL66" s="791">
        <f t="shared" si="227"/>
        <v>21.959996829368748</v>
      </c>
      <c r="IM66" s="830">
        <v>3.6257855404998603E-2</v>
      </c>
      <c r="IN66" s="5">
        <f t="shared" si="228"/>
        <v>0.57999999999999996</v>
      </c>
      <c r="IO66" s="852">
        <v>290</v>
      </c>
      <c r="IP66" s="9">
        <f t="shared" si="229"/>
        <v>-2.7060081613206148</v>
      </c>
      <c r="IQ66" s="5">
        <f t="shared" si="230"/>
        <v>-2.6600080225841961E-2</v>
      </c>
      <c r="IR66" s="5">
        <f t="shared" si="387"/>
        <v>0.314</v>
      </c>
      <c r="IS66" s="5">
        <f t="shared" si="231"/>
        <v>0.30091396425546968</v>
      </c>
      <c r="IT66" s="791">
        <f t="shared" si="232"/>
        <v>15.86791000542639</v>
      </c>
      <c r="IU66" s="9">
        <f t="shared" si="233"/>
        <v>-2.7060081613206153</v>
      </c>
      <c r="IV66" s="5">
        <f t="shared" si="234"/>
        <v>-1.8710776450977129E-2</v>
      </c>
      <c r="IW66" s="5">
        <f t="shared" si="388"/>
        <v>0.25700000000000001</v>
      </c>
      <c r="IX66" s="5">
        <f t="shared" si="235"/>
        <v>0.25700000000000001</v>
      </c>
      <c r="IY66" s="833">
        <f t="shared" si="236"/>
        <v>-2.5329499899690907E-15</v>
      </c>
    </row>
    <row r="67" spans="1:259" ht="15" customHeight="1" x14ac:dyDescent="0.25">
      <c r="A67" s="84">
        <f t="shared" si="81"/>
        <v>0.02</v>
      </c>
      <c r="B67" s="770">
        <v>-2.3083930357724731</v>
      </c>
      <c r="C67" s="771">
        <v>2.6054969382974504</v>
      </c>
      <c r="D67" s="772">
        <v>-0.20639999999999967</v>
      </c>
      <c r="E67" s="773">
        <v>-0.86116003404108743</v>
      </c>
      <c r="F67" s="771">
        <v>-0.40656198530674104</v>
      </c>
      <c r="G67" s="774">
        <v>0.30514053790637946</v>
      </c>
      <c r="H67" s="773">
        <v>0.26600000000000001</v>
      </c>
      <c r="I67" s="771">
        <v>0.52</v>
      </c>
      <c r="J67" s="601">
        <v>6.2190000000000003</v>
      </c>
      <c r="K67" s="426" t="str">
        <f t="shared" si="82"/>
        <v>1313</v>
      </c>
      <c r="L67" s="327"/>
      <c r="M67" s="173">
        <f t="shared" si="241"/>
        <v>6.2190000000000003</v>
      </c>
      <c r="N67" s="21">
        <f t="shared" si="242"/>
        <v>-2.3083930357724731</v>
      </c>
      <c r="O67" s="5">
        <f t="shared" si="243"/>
        <v>2.6054969382974504</v>
      </c>
      <c r="P67" s="10">
        <f t="shared" si="244"/>
        <v>-0.20639999999999967</v>
      </c>
      <c r="Q67" s="624">
        <f t="shared" si="116"/>
        <v>131.53999133707308</v>
      </c>
      <c r="R67" s="5">
        <f>IF(M67="","",SQRT(N67^2+O67^2))</f>
        <v>3.4809901900293028</v>
      </c>
      <c r="S67" s="6">
        <f>IF(M67="","",P67)</f>
        <v>-0.20639999999999967</v>
      </c>
      <c r="T67" s="4">
        <f>IF(M67="","",X67*COS(RADIANS(W67)))</f>
        <v>2.5619358285835552</v>
      </c>
      <c r="U67" s="5">
        <f>IF(M67="","",X67*SIN(RADIANS(W67)))</f>
        <v>2.3566453940506484</v>
      </c>
      <c r="V67" s="8">
        <f>IF(M67="","",Y67)</f>
        <v>-0.20639999999999967</v>
      </c>
      <c r="W67" s="624">
        <f t="shared" si="226"/>
        <v>42.60999118258421</v>
      </c>
      <c r="X67" s="5">
        <f>IF(M67="","",R67)</f>
        <v>3.4809901900293028</v>
      </c>
      <c r="Y67" s="7">
        <f t="shared" si="225"/>
        <v>-0.20639999999999967</v>
      </c>
      <c r="Z67" s="21">
        <f t="shared" si="245"/>
        <v>0.86116003404108743</v>
      </c>
      <c r="AA67" s="5">
        <f t="shared" si="246"/>
        <v>0.40656198530674104</v>
      </c>
      <c r="AB67" s="5">
        <f t="shared" si="247"/>
        <v>-0.30514053790637946</v>
      </c>
      <c r="AC67" s="8">
        <f>IF(M67="","",SQRT(Z67^2+AA67^2+AB67^2))</f>
        <v>1</v>
      </c>
      <c r="AD67" s="9">
        <f>IF(M67="","",Z67*(1/SQRT(Z67^2+AA67^2+AB67^2)))</f>
        <v>0.86116003404108743</v>
      </c>
      <c r="AE67" s="5">
        <f>IF(M67="","",AA67*(1/SQRT(Z67^2+AA67^2+AB67^2)))</f>
        <v>0.40656198530674104</v>
      </c>
      <c r="AF67" s="10">
        <f>IF(M67="","",AB67*(1/SQRT(Z67^2+AA67^2+AB67^2)))</f>
        <v>-0.30514053790637946</v>
      </c>
      <c r="AG67" s="622">
        <f>IF(M67="","",DEGREES(ATAN2(-AF67,AE67)))</f>
        <v>53.110350646521724</v>
      </c>
      <c r="AH67" s="623">
        <f>IF(M67="","",DEGREES(ACOS(AD67)))</f>
        <v>30.552917991331455</v>
      </c>
      <c r="AI67" s="624">
        <f>IF(M67="","",DEGREES(-ACOS(-AF67)))</f>
        <v>-72.233380799343735</v>
      </c>
      <c r="AJ67" s="625">
        <f>IF(M67="","",DEGREES(ATAN2(-AE67,AD67)))</f>
        <v>115.27244938767592</v>
      </c>
      <c r="AK67" s="4">
        <f>IF(M67="","",(COS(RADIANS((90-$Q$8)-W67))*AD67)+(-SIN(RADIANS((90-$Q$8)-W67))*AE67))</f>
        <v>0.9141808835558094</v>
      </c>
      <c r="AL67" s="5">
        <f>IF(M67="","",(SIN(RADIANS((90-$Q$8)-W67))*AD67)+(COS(RADIANS((90-$Q$8)-W67))*AE67))</f>
        <v>-0.26676312388957601</v>
      </c>
      <c r="AM67" s="6">
        <f>IF(M67="","",AF67)</f>
        <v>-0.30514053790637946</v>
      </c>
      <c r="AN67" s="612">
        <f>IF(M67="","",DEGREES(ATAN2(-AM67,AL67)))</f>
        <v>-41.160940444269883</v>
      </c>
      <c r="AO67" s="613">
        <f t="shared" si="465"/>
        <v>23.910331813061376</v>
      </c>
      <c r="AP67" s="624">
        <f>IF(M67="","",DEGREES(ATAN2(AK67,AL67)))</f>
        <v>-16.267541949397142</v>
      </c>
      <c r="AQ67" s="625">
        <f t="shared" si="248"/>
        <v>3.5581158354405051</v>
      </c>
      <c r="AS67" s="56">
        <f t="shared" si="410"/>
        <v>-317.39000881741578</v>
      </c>
      <c r="AT67" s="77">
        <f t="shared" si="249"/>
        <v>0.99667114383772426</v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4"/>
        <v>6.2190000000000003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0.11899999999999999</v>
      </c>
      <c r="II67" s="800" cm="1">
        <f t="array" ref="II67">IFERROR(IF($IH67&lt;1,$IH67+LARGE((IF($M$9:$M$150="",0,$M$9:$M$150)-MOD(IF($M$9:$M$150="",0,$M$9:$M$150),1)),1),$IH67),"")</f>
        <v>6.1189999999999998</v>
      </c>
      <c r="IJ67" s="839" t="str">
        <f t="shared" si="385"/>
        <v>1613</v>
      </c>
      <c r="IK67" s="839" t="str">
        <f t="shared" si="386"/>
        <v>1313</v>
      </c>
      <c r="IL67" s="791">
        <f t="shared" si="227"/>
        <v>15.800000384056403</v>
      </c>
      <c r="IM67" s="830">
        <v>8.1042681075177408E-3</v>
      </c>
      <c r="IN67" s="5">
        <f t="shared" si="228"/>
        <v>0.18</v>
      </c>
      <c r="IO67" s="852">
        <v>90</v>
      </c>
      <c r="IP67" s="9">
        <f t="shared" si="229"/>
        <v>-3.458810431772263</v>
      </c>
      <c r="IQ67" s="5">
        <f t="shared" si="230"/>
        <v>-0.2463007428430404</v>
      </c>
      <c r="IR67" s="5">
        <f t="shared" si="387"/>
        <v>0.314</v>
      </c>
      <c r="IS67" s="5">
        <f t="shared" si="231"/>
        <v>0.29658011014926594</v>
      </c>
      <c r="IT67" s="791">
        <f t="shared" si="232"/>
        <v>45.251637964749392</v>
      </c>
      <c r="IU67" s="9">
        <f t="shared" si="233"/>
        <v>-3.4809901900293028</v>
      </c>
      <c r="IV67" s="5">
        <f t="shared" si="234"/>
        <v>-0.20639999999999967</v>
      </c>
      <c r="IW67" s="5">
        <f t="shared" si="388"/>
        <v>0.26600000000000001</v>
      </c>
      <c r="IX67" s="5">
        <f t="shared" si="235"/>
        <v>0.24317211502584532</v>
      </c>
      <c r="IY67" s="833">
        <f t="shared" si="236"/>
        <v>41.160940444269883</v>
      </c>
    </row>
    <row r="68" spans="1:259" ht="15" customHeight="1" x14ac:dyDescent="0.25">
      <c r="A68" s="84">
        <f t="shared" si="81"/>
        <v>0.02</v>
      </c>
      <c r="B68" s="770">
        <v>-2.6684521782766284</v>
      </c>
      <c r="C68" s="771">
        <v>3.0034386330836296</v>
      </c>
      <c r="D68" s="772">
        <v>-0.80759999999999965</v>
      </c>
      <c r="E68" s="773">
        <v>-0.9490732790816534</v>
      </c>
      <c r="F68" s="771">
        <v>-0.23524658791419048</v>
      </c>
      <c r="G68" s="774">
        <v>0.20956849431135671</v>
      </c>
      <c r="H68" s="773">
        <v>0.26600000000000001</v>
      </c>
      <c r="I68" s="771">
        <v>0.52</v>
      </c>
      <c r="J68" s="601">
        <v>6.2249999999999996</v>
      </c>
      <c r="K68" s="426" t="str">
        <f t="shared" si="82"/>
        <v>1313</v>
      </c>
      <c r="L68" s="327"/>
      <c r="M68" s="173">
        <f t="shared" si="241"/>
        <v>6.2249999999999996</v>
      </c>
      <c r="N68" s="21">
        <f t="shared" si="242"/>
        <v>-2.6684521782766284</v>
      </c>
      <c r="O68" s="5">
        <f t="shared" si="243"/>
        <v>3.0034386330836296</v>
      </c>
      <c r="P68" s="10">
        <f t="shared" si="244"/>
        <v>-0.80759999999999965</v>
      </c>
      <c r="Q68" s="624">
        <f t="shared" si="116"/>
        <v>131.61999133707306</v>
      </c>
      <c r="R68" s="5">
        <f>IF(M68="","",SQRT(N68^2+O68^2))</f>
        <v>4.0176212676717729</v>
      </c>
      <c r="S68" s="6">
        <f>IF(M68="","",P68)</f>
        <v>-0.80759999999999965</v>
      </c>
      <c r="T68" s="4">
        <f>IF(M68="","",X68*COS(RADIANS(W68)))</f>
        <v>2.9530844120772346</v>
      </c>
      <c r="U68" s="5">
        <f>IF(M68="","",X68*SIN(RADIANS(W68)))</f>
        <v>2.7240728891854191</v>
      </c>
      <c r="V68" s="8">
        <f>IF(M68="","",Y68)</f>
        <v>-0.80759999999999965</v>
      </c>
      <c r="W68" s="624">
        <f t="shared" si="226"/>
        <v>42.689991182584194</v>
      </c>
      <c r="X68" s="5">
        <f>IF(M68="","",R68)</f>
        <v>4.0176212676717729</v>
      </c>
      <c r="Y68" s="7">
        <f t="shared" si="225"/>
        <v>-0.80759999999999965</v>
      </c>
      <c r="Z68" s="21">
        <f t="shared" si="245"/>
        <v>0.9490732790816534</v>
      </c>
      <c r="AA68" s="5">
        <f t="shared" si="246"/>
        <v>0.23524658791419048</v>
      </c>
      <c r="AB68" s="5">
        <f t="shared" si="247"/>
        <v>-0.20956849431135671</v>
      </c>
      <c r="AC68" s="8">
        <f>IF(M68="","",SQRT(Z68^2+AA68^2+AB68^2))</f>
        <v>1</v>
      </c>
      <c r="AD68" s="9">
        <f>IF(M68="","",Z68*(1/SQRT(Z68^2+AA68^2+AB68^2)))</f>
        <v>0.9490732790816534</v>
      </c>
      <c r="AE68" s="5">
        <f>IF(M68="","",AA68*(1/SQRT(Z68^2+AA68^2+AB68^2)))</f>
        <v>0.23524658791419048</v>
      </c>
      <c r="AF68" s="10">
        <f>IF(M68="","",AB68*(1/SQRT(Z68^2+AA68^2+AB68^2)))</f>
        <v>-0.20956849431135671</v>
      </c>
      <c r="AG68" s="622">
        <f>IF(M68="","",DEGREES(ATAN2(-AF68,AE68)))</f>
        <v>48.303879324595293</v>
      </c>
      <c r="AH68" s="623">
        <f>IF(M68="","",DEGREES(ACOS(AD68)))</f>
        <v>18.364158834512658</v>
      </c>
      <c r="AI68" s="624">
        <f>IF(M68="","",DEGREES(-ACOS(-AF68)))</f>
        <v>-77.902933884711942</v>
      </c>
      <c r="AJ68" s="625">
        <f>IF(M68="","",DEGREES(ATAN2(-AE68,AD68)))</f>
        <v>103.92131313777659</v>
      </c>
      <c r="AK68" s="4">
        <f>IF(M68="","",(COS(RADIANS((90-$Q$8)-W68))*AD68)+(-SIN(RADIANS((90-$Q$8)-W68))*AE68))</f>
        <v>0.86574303306309697</v>
      </c>
      <c r="AL68" s="5">
        <f>IF(M68="","",(SIN(RADIANS((90-$Q$8)-W68))*AD68)+(COS(RADIANS((90-$Q$8)-W68))*AE68))</f>
        <v>-0.45449977656185947</v>
      </c>
      <c r="AM68" s="6">
        <f>IF(M68="","",AF68)</f>
        <v>-0.20956849431135671</v>
      </c>
      <c r="AN68" s="612">
        <f>IF(M68="","",DEGREES(ATAN2(-AM68,AL68)))</f>
        <v>-65.245713836994682</v>
      </c>
      <c r="AO68" s="613">
        <f t="shared" si="465"/>
        <v>30.032341493035908</v>
      </c>
      <c r="AP68" s="624">
        <f>IF(M68="","",DEGREES(ATAN2(AK68,AL68)))</f>
        <v>-27.698678199296467</v>
      </c>
      <c r="AQ68" s="625">
        <f t="shared" si="248"/>
        <v>3.0838483846804383</v>
      </c>
      <c r="AS68" s="56">
        <f t="shared" si="410"/>
        <v>-317.31000881741579</v>
      </c>
      <c r="AT68" s="77">
        <f t="shared" si="249"/>
        <v>0.3951689216155021</v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4"/>
        <v>6.2249999999999996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0.125</v>
      </c>
      <c r="II68" s="800" cm="1">
        <f t="array" ref="II68">IFERROR(IF($IH68&lt;1,$IH68+LARGE((IF($M$9:$M$150="",0,$M$9:$M$150)-MOD(IF($M$9:$M$150="",0,$M$9:$M$150),1)),1),$IH68),"")</f>
        <v>6.125</v>
      </c>
      <c r="IJ68" s="839" t="str">
        <f t="shared" si="385"/>
        <v>1613</v>
      </c>
      <c r="IK68" s="839" t="str">
        <f t="shared" si="386"/>
        <v>1313</v>
      </c>
      <c r="IL68" s="791">
        <f t="shared" si="227"/>
        <v>14.680000534213832</v>
      </c>
      <c r="IM68" s="830">
        <v>5.0435451518943599E-3</v>
      </c>
      <c r="IN68" s="5">
        <f t="shared" si="228"/>
        <v>0.16</v>
      </c>
      <c r="IO68" s="852">
        <v>80</v>
      </c>
      <c r="IP68" s="9">
        <f t="shared" si="229"/>
        <v>-3.9769119943665761</v>
      </c>
      <c r="IQ68" s="5">
        <f t="shared" si="230"/>
        <v>-0.83490251806599514</v>
      </c>
      <c r="IR68" s="5">
        <f t="shared" si="387"/>
        <v>0.314</v>
      </c>
      <c r="IS68" s="5">
        <f t="shared" si="231"/>
        <v>0.28394194392944233</v>
      </c>
      <c r="IT68" s="791">
        <f t="shared" si="232"/>
        <v>68.191738773408247</v>
      </c>
      <c r="IU68" s="9">
        <f t="shared" si="233"/>
        <v>-4.0176212676717729</v>
      </c>
      <c r="IV68" s="5">
        <f t="shared" si="234"/>
        <v>-0.80759999999999965</v>
      </c>
      <c r="IW68" s="5">
        <f t="shared" si="388"/>
        <v>0.26600000000000001</v>
      </c>
      <c r="IX68" s="5">
        <f t="shared" si="235"/>
        <v>0.23028764679478383</v>
      </c>
      <c r="IY68" s="833">
        <f t="shared" si="236"/>
        <v>65.245713836994682</v>
      </c>
    </row>
    <row r="69" spans="1:259" ht="15" customHeight="1" x14ac:dyDescent="0.25">
      <c r="A69" s="84">
        <f t="shared" si="81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82"/>
        <v/>
      </c>
      <c r="L69" s="327"/>
      <c r="M69" s="173" t="str">
        <f t="shared" si="241"/>
        <v/>
      </c>
      <c r="N69" s="21" t="str">
        <f t="shared" si="242"/>
        <v/>
      </c>
      <c r="O69" s="5" t="str">
        <f t="shared" si="243"/>
        <v/>
      </c>
      <c r="P69" s="10" t="str">
        <f t="shared" si="244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6"/>
        <v/>
      </c>
      <c r="X69" s="5" t="str">
        <f t="shared" si="87"/>
        <v/>
      </c>
      <c r="Y69" s="7" t="str">
        <f t="shared" si="225"/>
        <v/>
      </c>
      <c r="Z69" s="21" t="str">
        <f t="shared" si="245"/>
        <v/>
      </c>
      <c r="AA69" s="5" t="str">
        <f t="shared" si="246"/>
        <v/>
      </c>
      <c r="AB69" s="5" t="str">
        <f t="shared" si="247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5"/>
        <v/>
      </c>
      <c r="AP69" s="624" t="str">
        <f t="shared" si="99"/>
        <v/>
      </c>
      <c r="AQ69" s="625" t="str">
        <f t="shared" si="248"/>
        <v/>
      </c>
      <c r="AS69" s="56" t="str">
        <f t="shared" si="410"/>
        <v/>
      </c>
      <c r="AT69" s="77" t="str">
        <f t="shared" si="249"/>
        <v/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4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5"/>
        <v/>
      </c>
      <c r="IK69" s="839" t="str">
        <f t="shared" si="386"/>
        <v/>
      </c>
      <c r="IL69" s="791" t="str">
        <f t="shared" si="227"/>
        <v/>
      </c>
      <c r="IM69" s="830"/>
      <c r="IN69" s="5" t="str">
        <f t="shared" si="228"/>
        <v/>
      </c>
      <c r="IO69" s="852"/>
      <c r="IP69" s="9" t="str">
        <f t="shared" si="229"/>
        <v/>
      </c>
      <c r="IQ69" s="5" t="str">
        <f t="shared" si="230"/>
        <v/>
      </c>
      <c r="IR69" s="5" t="str">
        <f t="shared" si="387"/>
        <v/>
      </c>
      <c r="IS69" s="5" t="str">
        <f t="shared" si="231"/>
        <v/>
      </c>
      <c r="IT69" s="791" t="str">
        <f t="shared" si="232"/>
        <v/>
      </c>
      <c r="IU69" s="9" t="str">
        <f t="shared" si="233"/>
        <v/>
      </c>
      <c r="IV69" s="5" t="str">
        <f t="shared" si="234"/>
        <v/>
      </c>
      <c r="IW69" s="5" t="str">
        <f t="shared" si="388"/>
        <v/>
      </c>
      <c r="IX69" s="5" t="str">
        <f t="shared" si="235"/>
        <v/>
      </c>
      <c r="IY69" s="833" t="str">
        <f t="shared" si="236"/>
        <v/>
      </c>
    </row>
    <row r="70" spans="1:259" ht="15" customHeight="1" x14ac:dyDescent="0.25">
      <c r="A70" s="84">
        <f t="shared" si="81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82"/>
        <v/>
      </c>
      <c r="L70" s="327"/>
      <c r="M70" s="173" t="str">
        <f t="shared" si="241"/>
        <v/>
      </c>
      <c r="N70" s="21" t="str">
        <f t="shared" si="242"/>
        <v/>
      </c>
      <c r="O70" s="5" t="str">
        <f t="shared" si="243"/>
        <v/>
      </c>
      <c r="P70" s="10" t="str">
        <f t="shared" si="244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6"/>
        <v/>
      </c>
      <c r="X70" s="5" t="str">
        <f t="shared" si="87"/>
        <v/>
      </c>
      <c r="Y70" s="7" t="str">
        <f t="shared" si="225"/>
        <v/>
      </c>
      <c r="Z70" s="21" t="str">
        <f t="shared" si="245"/>
        <v/>
      </c>
      <c r="AA70" s="5" t="str">
        <f t="shared" si="246"/>
        <v/>
      </c>
      <c r="AB70" s="5" t="str">
        <f t="shared" si="247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5"/>
        <v/>
      </c>
      <c r="AP70" s="624" t="str">
        <f t="shared" si="99"/>
        <v/>
      </c>
      <c r="AQ70" s="625" t="str">
        <f t="shared" si="248"/>
        <v/>
      </c>
      <c r="AS70" s="56" t="str">
        <f t="shared" si="410"/>
        <v/>
      </c>
      <c r="AT70" s="77" t="str">
        <f t="shared" si="249"/>
        <v/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4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5"/>
        <v/>
      </c>
      <c r="IK70" s="839" t="str">
        <f t="shared" si="386"/>
        <v/>
      </c>
      <c r="IL70" s="791" t="str">
        <f t="shared" si="227"/>
        <v/>
      </c>
      <c r="IM70" s="830"/>
      <c r="IN70" s="5" t="str">
        <f t="shared" si="228"/>
        <v/>
      </c>
      <c r="IO70" s="852"/>
      <c r="IP70" s="9" t="str">
        <f t="shared" si="229"/>
        <v/>
      </c>
      <c r="IQ70" s="5" t="str">
        <f t="shared" si="230"/>
        <v/>
      </c>
      <c r="IR70" s="5" t="str">
        <f t="shared" si="387"/>
        <v/>
      </c>
      <c r="IS70" s="5" t="str">
        <f t="shared" si="231"/>
        <v/>
      </c>
      <c r="IT70" s="791" t="str">
        <f t="shared" si="232"/>
        <v/>
      </c>
      <c r="IU70" s="9" t="str">
        <f t="shared" si="233"/>
        <v/>
      </c>
      <c r="IV70" s="5" t="str">
        <f t="shared" si="234"/>
        <v/>
      </c>
      <c r="IW70" s="5" t="str">
        <f t="shared" si="388"/>
        <v/>
      </c>
      <c r="IX70" s="5" t="str">
        <f t="shared" si="235"/>
        <v/>
      </c>
      <c r="IY70" s="833" t="str">
        <f t="shared" si="236"/>
        <v/>
      </c>
    </row>
    <row r="71" spans="1:259" ht="15" customHeight="1" x14ac:dyDescent="0.25">
      <c r="A71" s="84">
        <f t="shared" si="81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82"/>
        <v/>
      </c>
      <c r="L71" s="327"/>
      <c r="M71" s="173" t="str">
        <f t="shared" si="241"/>
        <v/>
      </c>
      <c r="N71" s="21" t="str">
        <f t="shared" si="242"/>
        <v/>
      </c>
      <c r="O71" s="5" t="str">
        <f t="shared" si="243"/>
        <v/>
      </c>
      <c r="P71" s="10" t="str">
        <f t="shared" si="244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6"/>
        <v/>
      </c>
      <c r="X71" s="5" t="str">
        <f t="shared" si="87"/>
        <v/>
      </c>
      <c r="Y71" s="7" t="str">
        <f t="shared" si="225"/>
        <v/>
      </c>
      <c r="Z71" s="21" t="str">
        <f t="shared" si="245"/>
        <v/>
      </c>
      <c r="AA71" s="5" t="str">
        <f t="shared" si="246"/>
        <v/>
      </c>
      <c r="AB71" s="5" t="str">
        <f t="shared" si="247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5"/>
        <v/>
      </c>
      <c r="AP71" s="624" t="str">
        <f t="shared" si="99"/>
        <v/>
      </c>
      <c r="AQ71" s="625" t="str">
        <f t="shared" si="248"/>
        <v/>
      </c>
      <c r="AS71" s="56" t="str">
        <f t="shared" si="410"/>
        <v/>
      </c>
      <c r="AT71" s="77" t="str">
        <f t="shared" si="249"/>
        <v/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4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5"/>
        <v/>
      </c>
      <c r="IK71" s="839" t="str">
        <f t="shared" si="386"/>
        <v/>
      </c>
      <c r="IL71" s="791" t="str">
        <f t="shared" si="227"/>
        <v/>
      </c>
      <c r="IM71" s="830"/>
      <c r="IN71" s="5" t="str">
        <f t="shared" si="228"/>
        <v/>
      </c>
      <c r="IO71" s="852"/>
      <c r="IP71" s="9" t="str">
        <f t="shared" si="229"/>
        <v/>
      </c>
      <c r="IQ71" s="5" t="str">
        <f t="shared" si="230"/>
        <v/>
      </c>
      <c r="IR71" s="5" t="str">
        <f t="shared" si="387"/>
        <v/>
      </c>
      <c r="IS71" s="5" t="str">
        <f t="shared" si="231"/>
        <v/>
      </c>
      <c r="IT71" s="791" t="str">
        <f t="shared" si="232"/>
        <v/>
      </c>
      <c r="IU71" s="9" t="str">
        <f t="shared" si="233"/>
        <v/>
      </c>
      <c r="IV71" s="5" t="str">
        <f t="shared" si="234"/>
        <v/>
      </c>
      <c r="IW71" s="5" t="str">
        <f t="shared" si="388"/>
        <v/>
      </c>
      <c r="IX71" s="5" t="str">
        <f t="shared" si="235"/>
        <v/>
      </c>
      <c r="IY71" s="833" t="str">
        <f t="shared" si="236"/>
        <v/>
      </c>
    </row>
    <row r="72" spans="1:259" ht="15" customHeight="1" x14ac:dyDescent="0.25">
      <c r="A72" s="84">
        <f t="shared" si="81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82"/>
        <v/>
      </c>
      <c r="L72" s="327"/>
      <c r="M72" s="173" t="str">
        <f t="shared" si="241"/>
        <v/>
      </c>
      <c r="N72" s="21" t="str">
        <f t="shared" si="242"/>
        <v/>
      </c>
      <c r="O72" s="5" t="str">
        <f t="shared" si="243"/>
        <v/>
      </c>
      <c r="P72" s="10" t="str">
        <f t="shared" si="244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6"/>
        <v/>
      </c>
      <c r="X72" s="5" t="str">
        <f t="shared" si="87"/>
        <v/>
      </c>
      <c r="Y72" s="7" t="str">
        <f t="shared" si="225"/>
        <v/>
      </c>
      <c r="Z72" s="21" t="str">
        <f t="shared" si="245"/>
        <v/>
      </c>
      <c r="AA72" s="5" t="str">
        <f t="shared" si="246"/>
        <v/>
      </c>
      <c r="AB72" s="5" t="str">
        <f t="shared" si="247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5"/>
        <v/>
      </c>
      <c r="AP72" s="624" t="str">
        <f t="shared" si="99"/>
        <v/>
      </c>
      <c r="AQ72" s="625" t="str">
        <f t="shared" si="248"/>
        <v/>
      </c>
      <c r="AS72" s="56" t="str">
        <f t="shared" si="410"/>
        <v/>
      </c>
      <c r="AT72" s="77" t="str">
        <f t="shared" si="249"/>
        <v/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4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5"/>
        <v/>
      </c>
      <c r="IK72" s="839" t="str">
        <f t="shared" si="386"/>
        <v/>
      </c>
      <c r="IL72" s="791" t="str">
        <f t="shared" si="227"/>
        <v/>
      </c>
      <c r="IM72" s="830"/>
      <c r="IN72" s="5" t="str">
        <f t="shared" si="228"/>
        <v/>
      </c>
      <c r="IO72" s="852"/>
      <c r="IP72" s="9" t="str">
        <f t="shared" si="229"/>
        <v/>
      </c>
      <c r="IQ72" s="5" t="str">
        <f t="shared" si="230"/>
        <v/>
      </c>
      <c r="IR72" s="5" t="str">
        <f t="shared" si="387"/>
        <v/>
      </c>
      <c r="IS72" s="5" t="str">
        <f t="shared" si="231"/>
        <v/>
      </c>
      <c r="IT72" s="791" t="str">
        <f t="shared" si="232"/>
        <v/>
      </c>
      <c r="IU72" s="9" t="str">
        <f t="shared" si="233"/>
        <v/>
      </c>
      <c r="IV72" s="5" t="str">
        <f t="shared" si="234"/>
        <v/>
      </c>
      <c r="IW72" s="5" t="str">
        <f t="shared" si="388"/>
        <v/>
      </c>
      <c r="IX72" s="5" t="str">
        <f t="shared" si="235"/>
        <v/>
      </c>
      <c r="IY72" s="833" t="str">
        <f t="shared" si="236"/>
        <v/>
      </c>
    </row>
    <row r="73" spans="1:259" ht="15" customHeight="1" x14ac:dyDescent="0.25">
      <c r="A73" s="84">
        <f t="shared" si="81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82"/>
        <v/>
      </c>
      <c r="L73" s="327"/>
      <c r="M73" s="173" t="str">
        <f t="shared" ref="M73:M104" si="468">IF(J73="","",VALUE(J73))</f>
        <v/>
      </c>
      <c r="N73" s="21" t="str">
        <f t="shared" ref="N73:N104" si="469">IF(M73="","",B73)</f>
        <v/>
      </c>
      <c r="O73" s="5" t="str">
        <f t="shared" ref="O73:O104" si="470">IF(M73="","",C73)</f>
        <v/>
      </c>
      <c r="P73" s="10" t="str">
        <f t="shared" ref="P73:P104" si="471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6"/>
        <v/>
      </c>
      <c r="X73" s="5" t="str">
        <f>IF(M73="","",R73)</f>
        <v/>
      </c>
      <c r="Y73" s="7" t="str">
        <f t="shared" si="225"/>
        <v/>
      </c>
      <c r="Z73" s="21" t="str">
        <f t="shared" ref="Z73:Z104" si="472">IF(M73="","",-E73)</f>
        <v/>
      </c>
      <c r="AA73" s="5" t="str">
        <f t="shared" ref="AA73:AA104" si="473">IF(M73="","",-F73)</f>
        <v/>
      </c>
      <c r="AB73" s="5" t="str">
        <f t="shared" ref="AB73:AB104" si="474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5"/>
        <v/>
      </c>
      <c r="AP73" s="624" t="str">
        <f>IF(M73="","",DEGREES(ATAN2(AK73,AL73)))</f>
        <v/>
      </c>
      <c r="AQ73" s="625" t="str">
        <f t="shared" ref="AQ73:AQ104" si="475">IF(M73="","",DEGREES(ATAN(($AS$5*SIN(RADIANS(90)))/(($X73*2*PI())-($AS$5*COS(RADIANS(90)))))))</f>
        <v/>
      </c>
      <c r="AS73" s="56" t="str">
        <f t="shared" si="410"/>
        <v/>
      </c>
      <c r="AT73" s="77" t="str">
        <f t="shared" ref="AT73:AT104" si="476">IF(M73="","",Y73+(((AS73-$AS$9)*$AS$6)*-1))</f>
        <v/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1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2">IF(ISNUMBER($II73),INDEX($K$9:$K$150,MATCH($II73,$M$9:$M$150,0)),"")</f>
        <v/>
      </c>
      <c r="IK73" s="839" t="str">
        <f t="shared" ref="IK73:IK104" si="523">IF(ISNUMBER($II73),INDEX($K$9:$K$150,MATCH($IG73,$M$9:$M$150,0)),"")</f>
        <v/>
      </c>
      <c r="IL73" s="791" t="str">
        <f t="shared" si="227"/>
        <v/>
      </c>
      <c r="IM73" s="830"/>
      <c r="IN73" s="5" t="str">
        <f t="shared" si="228"/>
        <v/>
      </c>
      <c r="IO73" s="852"/>
      <c r="IP73" s="9" t="str">
        <f t="shared" si="229"/>
        <v/>
      </c>
      <c r="IQ73" s="5" t="str">
        <f t="shared" si="230"/>
        <v/>
      </c>
      <c r="IR73" s="5" t="str">
        <f t="shared" ref="IR73:IR104" si="524">IF(ISNUMBER($II73),INDEX($H$9:$H$150,MATCH($II73,$M$9:$M$150,0)),"")</f>
        <v/>
      </c>
      <c r="IS73" s="5" t="str">
        <f t="shared" si="231"/>
        <v/>
      </c>
      <c r="IT73" s="791" t="str">
        <f t="shared" si="232"/>
        <v/>
      </c>
      <c r="IU73" s="9" t="str">
        <f t="shared" si="233"/>
        <v/>
      </c>
      <c r="IV73" s="5" t="str">
        <f t="shared" si="234"/>
        <v/>
      </c>
      <c r="IW73" s="5" t="str">
        <f t="shared" ref="IW73:IW104" si="525">IF(ISNUMBER($II73),$H73,"")</f>
        <v/>
      </c>
      <c r="IX73" s="5" t="str">
        <f t="shared" si="235"/>
        <v/>
      </c>
      <c r="IY73" s="833" t="str">
        <f t="shared" si="236"/>
        <v/>
      </c>
    </row>
    <row r="74" spans="1:259" ht="15" customHeight="1" x14ac:dyDescent="0.25">
      <c r="A74" s="84">
        <f t="shared" ref="A74:A137" si="526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/>
      </c>
      <c r="L74" s="327"/>
      <c r="M74" s="173" t="str">
        <f t="shared" si="468"/>
        <v/>
      </c>
      <c r="N74" s="21" t="str">
        <f t="shared" si="469"/>
        <v/>
      </c>
      <c r="O74" s="5" t="str">
        <f t="shared" si="470"/>
        <v/>
      </c>
      <c r="P74" s="10" t="str">
        <f t="shared" si="471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6"/>
        <v/>
      </c>
      <c r="X74" s="5" t="str">
        <f>IF(M74="","",R74)</f>
        <v/>
      </c>
      <c r="Y74" s="7" t="str">
        <f t="shared" si="225"/>
        <v/>
      </c>
      <c r="Z74" s="21" t="str">
        <f t="shared" si="472"/>
        <v/>
      </c>
      <c r="AA74" s="5" t="str">
        <f t="shared" si="473"/>
        <v/>
      </c>
      <c r="AB74" s="5" t="str">
        <f t="shared" si="474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5"/>
        <v/>
      </c>
      <c r="AP74" s="624" t="str">
        <f>IF(M74="","",DEGREES(ATAN2(AK74,AL74)))</f>
        <v/>
      </c>
      <c r="AQ74" s="625" t="str">
        <f t="shared" si="475"/>
        <v/>
      </c>
      <c r="AS74" s="56" t="str">
        <f t="shared" si="410"/>
        <v/>
      </c>
      <c r="AT74" s="77" t="str">
        <f t="shared" si="476"/>
        <v/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1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527"/>
        <v/>
      </c>
      <c r="L75" s="327"/>
      <c r="M75" s="173" t="str">
        <f t="shared" si="468"/>
        <v/>
      </c>
      <c r="N75" s="21" t="str">
        <f t="shared" si="469"/>
        <v/>
      </c>
      <c r="O75" s="5" t="str">
        <f t="shared" si="470"/>
        <v/>
      </c>
      <c r="P75" s="10" t="str">
        <f t="shared" si="471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6"/>
        <v/>
      </c>
      <c r="X75" s="5" t="str">
        <f>IF(M75="","",R75)</f>
        <v/>
      </c>
      <c r="Y75" s="7" t="str">
        <f t="shared" si="225"/>
        <v/>
      </c>
      <c r="Z75" s="21" t="str">
        <f t="shared" si="472"/>
        <v/>
      </c>
      <c r="AA75" s="5" t="str">
        <f t="shared" si="473"/>
        <v/>
      </c>
      <c r="AB75" s="5" t="str">
        <f t="shared" si="474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5"/>
        <v/>
      </c>
      <c r="AP75" s="624" t="str">
        <f>IF(M75="","",DEGREES(ATAN2(AK75,AL75)))</f>
        <v/>
      </c>
      <c r="AQ75" s="625" t="str">
        <f t="shared" si="475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6"/>
        <v/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1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527"/>
        <v/>
      </c>
      <c r="L76" s="327"/>
      <c r="M76" s="173" t="str">
        <f t="shared" si="468"/>
        <v/>
      </c>
      <c r="N76" s="21" t="str">
        <f t="shared" si="469"/>
        <v/>
      </c>
      <c r="O76" s="5" t="str">
        <f t="shared" si="470"/>
        <v/>
      </c>
      <c r="P76" s="10" t="str">
        <f t="shared" si="471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6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2"/>
        <v/>
      </c>
      <c r="AA76" s="5" t="str">
        <f t="shared" si="473"/>
        <v/>
      </c>
      <c r="AB76" s="5" t="str">
        <f t="shared" si="474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5"/>
        <v/>
      </c>
      <c r="AP76" s="624" t="str">
        <f t="shared" si="99"/>
        <v/>
      </c>
      <c r="AQ76" s="625" t="str">
        <f t="shared" si="475"/>
        <v/>
      </c>
      <c r="AS76" s="56" t="str">
        <f t="shared" si="550"/>
        <v/>
      </c>
      <c r="AT76" s="77" t="str">
        <f t="shared" si="476"/>
        <v/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1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si="527"/>
        <v/>
      </c>
      <c r="L77" s="327"/>
      <c r="M77" s="173" t="str">
        <f t="shared" si="468"/>
        <v/>
      </c>
      <c r="N77" s="21" t="str">
        <f t="shared" si="469"/>
        <v/>
      </c>
      <c r="O77" s="5" t="str">
        <f t="shared" si="470"/>
        <v/>
      </c>
      <c r="P77" s="10" t="str">
        <f t="shared" si="471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6"/>
        <v/>
      </c>
      <c r="X77" s="5" t="str">
        <f t="shared" si="87"/>
        <v/>
      </c>
      <c r="Y77" s="7" t="str">
        <f t="shared" si="650"/>
        <v/>
      </c>
      <c r="Z77" s="21" t="str">
        <f t="shared" si="472"/>
        <v/>
      </c>
      <c r="AA77" s="5" t="str">
        <f t="shared" si="473"/>
        <v/>
      </c>
      <c r="AB77" s="5" t="str">
        <f t="shared" si="474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5"/>
        <v/>
      </c>
      <c r="AP77" s="624" t="str">
        <f t="shared" si="99"/>
        <v/>
      </c>
      <c r="AQ77" s="625" t="str">
        <f t="shared" si="475"/>
        <v/>
      </c>
      <c r="AS77" s="56" t="str">
        <f t="shared" si="550"/>
        <v/>
      </c>
      <c r="AT77" s="77" t="str">
        <f t="shared" si="476"/>
        <v/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1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527"/>
        <v/>
      </c>
      <c r="L78" s="327"/>
      <c r="M78" s="173" t="str">
        <f t="shared" si="468"/>
        <v/>
      </c>
      <c r="N78" s="21" t="str">
        <f t="shared" si="469"/>
        <v/>
      </c>
      <c r="O78" s="5" t="str">
        <f t="shared" si="470"/>
        <v/>
      </c>
      <c r="P78" s="10" t="str">
        <f t="shared" si="471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6"/>
        <v/>
      </c>
      <c r="X78" s="5" t="str">
        <f>IF(M78="","",R78)</f>
        <v/>
      </c>
      <c r="Y78" s="7" t="str">
        <f t="shared" si="650"/>
        <v/>
      </c>
      <c r="Z78" s="21" t="str">
        <f t="shared" si="472"/>
        <v/>
      </c>
      <c r="AA78" s="5" t="str">
        <f t="shared" si="473"/>
        <v/>
      </c>
      <c r="AB78" s="5" t="str">
        <f t="shared" si="474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5"/>
        <v/>
      </c>
      <c r="AP78" s="624" t="str">
        <f>IF(M78="","",DEGREES(ATAN2(AK78,AL78)))</f>
        <v/>
      </c>
      <c r="AQ78" s="625" t="str">
        <f t="shared" si="475"/>
        <v/>
      </c>
      <c r="AS78" s="56" t="str">
        <f t="shared" si="550"/>
        <v/>
      </c>
      <c r="AT78" s="77" t="str">
        <f t="shared" si="476"/>
        <v/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1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527"/>
        <v/>
      </c>
      <c r="L79" s="327"/>
      <c r="M79" s="173" t="str">
        <f t="shared" si="468"/>
        <v/>
      </c>
      <c r="N79" s="21" t="str">
        <f t="shared" si="469"/>
        <v/>
      </c>
      <c r="O79" s="5" t="str">
        <f t="shared" si="470"/>
        <v/>
      </c>
      <c r="P79" s="10" t="str">
        <f t="shared" si="471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1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2"/>
        <v/>
      </c>
      <c r="AA79" s="5" t="str">
        <f t="shared" si="473"/>
        <v/>
      </c>
      <c r="AB79" s="5" t="str">
        <f t="shared" si="474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5"/>
        <v/>
      </c>
      <c r="AP79" s="624" t="str">
        <f>IF(M79="","",DEGREES(ATAN2(AK79,AL79)))</f>
        <v/>
      </c>
      <c r="AQ79" s="625" t="str">
        <f t="shared" si="475"/>
        <v/>
      </c>
      <c r="AS79" s="56" t="str">
        <f t="shared" si="550"/>
        <v/>
      </c>
      <c r="AT79" s="77" t="str">
        <f t="shared" si="476"/>
        <v/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1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527"/>
        <v/>
      </c>
      <c r="L80" s="327"/>
      <c r="M80" s="173" t="str">
        <f t="shared" si="468"/>
        <v/>
      </c>
      <c r="N80" s="21" t="str">
        <f t="shared" si="469"/>
        <v/>
      </c>
      <c r="O80" s="5" t="str">
        <f t="shared" si="470"/>
        <v/>
      </c>
      <c r="P80" s="10" t="str">
        <f t="shared" si="471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1"/>
        <v/>
      </c>
      <c r="X80" s="5" t="str">
        <f t="shared" si="87"/>
        <v/>
      </c>
      <c r="Y80" s="7" t="str">
        <f t="shared" si="650"/>
        <v/>
      </c>
      <c r="Z80" s="21" t="str">
        <f t="shared" si="472"/>
        <v/>
      </c>
      <c r="AA80" s="5" t="str">
        <f t="shared" si="473"/>
        <v/>
      </c>
      <c r="AB80" s="5" t="str">
        <f t="shared" si="474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5"/>
        <v/>
      </c>
      <c r="AP80" s="624" t="str">
        <f t="shared" si="99"/>
        <v/>
      </c>
      <c r="AQ80" s="625" t="str">
        <f t="shared" si="475"/>
        <v/>
      </c>
      <c r="AS80" s="56" t="str">
        <f t="shared" si="550"/>
        <v/>
      </c>
      <c r="AT80" s="77" t="str">
        <f t="shared" si="476"/>
        <v/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1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527"/>
        <v/>
      </c>
      <c r="L81" s="327"/>
      <c r="M81" s="173" t="str">
        <f t="shared" si="468"/>
        <v/>
      </c>
      <c r="N81" s="21" t="str">
        <f t="shared" si="469"/>
        <v/>
      </c>
      <c r="O81" s="5" t="str">
        <f t="shared" si="470"/>
        <v/>
      </c>
      <c r="P81" s="10" t="str">
        <f t="shared" si="471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1"/>
        <v/>
      </c>
      <c r="X81" s="5" t="str">
        <f t="shared" si="87"/>
        <v/>
      </c>
      <c r="Y81" s="7" t="str">
        <f t="shared" si="650"/>
        <v/>
      </c>
      <c r="Z81" s="21" t="str">
        <f t="shared" si="472"/>
        <v/>
      </c>
      <c r="AA81" s="5" t="str">
        <f t="shared" si="473"/>
        <v/>
      </c>
      <c r="AB81" s="5" t="str">
        <f t="shared" si="474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5"/>
        <v/>
      </c>
      <c r="AP81" s="624" t="str">
        <f t="shared" si="99"/>
        <v/>
      </c>
      <c r="AQ81" s="625" t="str">
        <f t="shared" si="475"/>
        <v/>
      </c>
      <c r="AS81" s="56" t="str">
        <f t="shared" si="550"/>
        <v/>
      </c>
      <c r="AT81" s="77" t="str">
        <f t="shared" si="476"/>
        <v/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1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527"/>
        <v/>
      </c>
      <c r="L82" s="327"/>
      <c r="M82" s="173" t="str">
        <f t="shared" si="468"/>
        <v/>
      </c>
      <c r="N82" s="21" t="str">
        <f t="shared" si="469"/>
        <v/>
      </c>
      <c r="O82" s="5" t="str">
        <f t="shared" si="470"/>
        <v/>
      </c>
      <c r="P82" s="10" t="str">
        <f t="shared" si="471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1"/>
        <v/>
      </c>
      <c r="X82" s="5" t="str">
        <f t="shared" si="87"/>
        <v/>
      </c>
      <c r="Y82" s="7" t="str">
        <f t="shared" si="650"/>
        <v/>
      </c>
      <c r="Z82" s="21" t="str">
        <f t="shared" si="472"/>
        <v/>
      </c>
      <c r="AA82" s="5" t="str">
        <f t="shared" si="473"/>
        <v/>
      </c>
      <c r="AB82" s="5" t="str">
        <f t="shared" si="474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5"/>
        <v/>
      </c>
      <c r="AP82" s="624" t="str">
        <f t="shared" si="99"/>
        <v/>
      </c>
      <c r="AQ82" s="625" t="str">
        <f t="shared" si="475"/>
        <v/>
      </c>
      <c r="AS82" s="56" t="str">
        <f t="shared" si="550"/>
        <v/>
      </c>
      <c r="AT82" s="77" t="str">
        <f t="shared" si="476"/>
        <v/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1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527"/>
        <v/>
      </c>
      <c r="L83" s="327"/>
      <c r="M83" s="173" t="str">
        <f t="shared" si="468"/>
        <v/>
      </c>
      <c r="N83" s="21" t="str">
        <f t="shared" si="469"/>
        <v/>
      </c>
      <c r="O83" s="5" t="str">
        <f t="shared" si="470"/>
        <v/>
      </c>
      <c r="P83" s="10" t="str">
        <f t="shared" si="471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1"/>
        <v/>
      </c>
      <c r="X83" s="5" t="str">
        <f t="shared" si="87"/>
        <v/>
      </c>
      <c r="Y83" s="7" t="str">
        <f t="shared" si="650"/>
        <v/>
      </c>
      <c r="Z83" s="21" t="str">
        <f t="shared" si="472"/>
        <v/>
      </c>
      <c r="AA83" s="5" t="str">
        <f t="shared" si="473"/>
        <v/>
      </c>
      <c r="AB83" s="5" t="str">
        <f t="shared" si="474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5"/>
        <v/>
      </c>
      <c r="AP83" s="624" t="str">
        <f t="shared" si="99"/>
        <v/>
      </c>
      <c r="AQ83" s="625" t="str">
        <f t="shared" si="475"/>
        <v/>
      </c>
      <c r="AS83" s="56" t="str">
        <f t="shared" si="550"/>
        <v/>
      </c>
      <c r="AT83" s="77" t="str">
        <f t="shared" si="476"/>
        <v/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1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527"/>
        <v/>
      </c>
      <c r="L84" s="327"/>
      <c r="M84" s="173" t="str">
        <f t="shared" si="468"/>
        <v/>
      </c>
      <c r="N84" s="21" t="str">
        <f t="shared" si="469"/>
        <v/>
      </c>
      <c r="O84" s="5" t="str">
        <f t="shared" si="470"/>
        <v/>
      </c>
      <c r="P84" s="10" t="str">
        <f t="shared" si="471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1"/>
        <v/>
      </c>
      <c r="X84" s="5" t="str">
        <f t="shared" si="87"/>
        <v/>
      </c>
      <c r="Y84" s="7" t="str">
        <f t="shared" si="650"/>
        <v/>
      </c>
      <c r="Z84" s="21" t="str">
        <f t="shared" si="472"/>
        <v/>
      </c>
      <c r="AA84" s="5" t="str">
        <f t="shared" si="473"/>
        <v/>
      </c>
      <c r="AB84" s="5" t="str">
        <f t="shared" si="474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5"/>
        <v/>
      </c>
      <c r="AP84" s="624" t="str">
        <f t="shared" si="99"/>
        <v/>
      </c>
      <c r="AQ84" s="625" t="str">
        <f t="shared" si="475"/>
        <v/>
      </c>
      <c r="AS84" s="56" t="str">
        <f t="shared" si="550"/>
        <v/>
      </c>
      <c r="AT84" s="77" t="str">
        <f t="shared" si="476"/>
        <v/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1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527"/>
        <v/>
      </c>
      <c r="L85" s="327"/>
      <c r="M85" s="173" t="str">
        <f t="shared" si="468"/>
        <v/>
      </c>
      <c r="N85" s="21" t="str">
        <f t="shared" si="469"/>
        <v/>
      </c>
      <c r="O85" s="5" t="str">
        <f t="shared" si="470"/>
        <v/>
      </c>
      <c r="P85" s="10" t="str">
        <f t="shared" si="471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1"/>
        <v/>
      </c>
      <c r="X85" s="5" t="str">
        <f t="shared" si="87"/>
        <v/>
      </c>
      <c r="Y85" s="7" t="str">
        <f t="shared" si="650"/>
        <v/>
      </c>
      <c r="Z85" s="21" t="str">
        <f t="shared" si="472"/>
        <v/>
      </c>
      <c r="AA85" s="5" t="str">
        <f t="shared" si="473"/>
        <v/>
      </c>
      <c r="AB85" s="5" t="str">
        <f t="shared" si="474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5"/>
        <v/>
      </c>
      <c r="AP85" s="624" t="str">
        <f t="shared" si="99"/>
        <v/>
      </c>
      <c r="AQ85" s="625" t="str">
        <f t="shared" si="475"/>
        <v/>
      </c>
      <c r="AS85" s="56" t="str">
        <f t="shared" si="550"/>
        <v/>
      </c>
      <c r="AT85" s="77" t="str">
        <f t="shared" si="476"/>
        <v/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1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527"/>
        <v/>
      </c>
      <c r="L86" s="327"/>
      <c r="M86" s="173" t="str">
        <f t="shared" si="468"/>
        <v/>
      </c>
      <c r="N86" s="21" t="str">
        <f t="shared" si="469"/>
        <v/>
      </c>
      <c r="O86" s="5" t="str">
        <f t="shared" si="470"/>
        <v/>
      </c>
      <c r="P86" s="10" t="str">
        <f t="shared" si="471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1"/>
        <v/>
      </c>
      <c r="X86" s="5" t="str">
        <f t="shared" si="87"/>
        <v/>
      </c>
      <c r="Y86" s="7" t="str">
        <f t="shared" si="650"/>
        <v/>
      </c>
      <c r="Z86" s="21" t="str">
        <f t="shared" si="472"/>
        <v/>
      </c>
      <c r="AA86" s="5" t="str">
        <f t="shared" si="473"/>
        <v/>
      </c>
      <c r="AB86" s="5" t="str">
        <f t="shared" si="474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5"/>
        <v/>
      </c>
      <c r="AP86" s="624" t="str">
        <f t="shared" si="99"/>
        <v/>
      </c>
      <c r="AQ86" s="625" t="str">
        <f t="shared" si="475"/>
        <v/>
      </c>
      <c r="AS86" s="56" t="str">
        <f t="shared" si="550"/>
        <v/>
      </c>
      <c r="AT86" s="77" t="str">
        <f t="shared" si="476"/>
        <v/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1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527"/>
        <v/>
      </c>
      <c r="L87" s="327"/>
      <c r="M87" s="173" t="str">
        <f t="shared" si="468"/>
        <v/>
      </c>
      <c r="N87" s="21" t="str">
        <f t="shared" si="469"/>
        <v/>
      </c>
      <c r="O87" s="5" t="str">
        <f t="shared" si="470"/>
        <v/>
      </c>
      <c r="P87" s="10" t="str">
        <f t="shared" si="471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1"/>
        <v/>
      </c>
      <c r="X87" s="5" t="str">
        <f t="shared" si="87"/>
        <v/>
      </c>
      <c r="Y87" s="7" t="str">
        <f t="shared" si="650"/>
        <v/>
      </c>
      <c r="Z87" s="21" t="str">
        <f t="shared" si="472"/>
        <v/>
      </c>
      <c r="AA87" s="5" t="str">
        <f t="shared" si="473"/>
        <v/>
      </c>
      <c r="AB87" s="5" t="str">
        <f t="shared" si="474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5"/>
        <v/>
      </c>
      <c r="AP87" s="624" t="str">
        <f t="shared" si="99"/>
        <v/>
      </c>
      <c r="AQ87" s="625" t="str">
        <f t="shared" si="475"/>
        <v/>
      </c>
      <c r="AS87" s="56" t="str">
        <f t="shared" si="550"/>
        <v/>
      </c>
      <c r="AT87" s="77" t="str">
        <f t="shared" si="476"/>
        <v/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1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527"/>
        <v/>
      </c>
      <c r="L88" s="327"/>
      <c r="M88" s="173" t="str">
        <f t="shared" si="468"/>
        <v/>
      </c>
      <c r="N88" s="21" t="str">
        <f t="shared" si="469"/>
        <v/>
      </c>
      <c r="O88" s="5" t="str">
        <f t="shared" si="470"/>
        <v/>
      </c>
      <c r="P88" s="10" t="str">
        <f t="shared" si="471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1"/>
        <v/>
      </c>
      <c r="X88" s="5" t="str">
        <f t="shared" si="87"/>
        <v/>
      </c>
      <c r="Y88" s="7" t="str">
        <f t="shared" si="650"/>
        <v/>
      </c>
      <c r="Z88" s="21" t="str">
        <f t="shared" si="472"/>
        <v/>
      </c>
      <c r="AA88" s="5" t="str">
        <f t="shared" si="473"/>
        <v/>
      </c>
      <c r="AB88" s="5" t="str">
        <f t="shared" si="474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5"/>
        <v/>
      </c>
      <c r="AP88" s="624" t="str">
        <f t="shared" si="99"/>
        <v/>
      </c>
      <c r="AQ88" s="625" t="str">
        <f t="shared" si="475"/>
        <v/>
      </c>
      <c r="AS88" s="56" t="str">
        <f t="shared" si="550"/>
        <v/>
      </c>
      <c r="AT88" s="77" t="str">
        <f t="shared" si="476"/>
        <v/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1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527"/>
        <v/>
      </c>
      <c r="L89" s="327"/>
      <c r="M89" s="173" t="str">
        <f t="shared" si="468"/>
        <v/>
      </c>
      <c r="N89" s="21" t="str">
        <f t="shared" si="469"/>
        <v/>
      </c>
      <c r="O89" s="5" t="str">
        <f t="shared" si="470"/>
        <v/>
      </c>
      <c r="P89" s="10" t="str">
        <f t="shared" si="471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1"/>
        <v/>
      </c>
      <c r="X89" s="5" t="str">
        <f t="shared" si="87"/>
        <v/>
      </c>
      <c r="Y89" s="7" t="str">
        <f t="shared" si="650"/>
        <v/>
      </c>
      <c r="Z89" s="21" t="str">
        <f t="shared" si="472"/>
        <v/>
      </c>
      <c r="AA89" s="5" t="str">
        <f t="shared" si="473"/>
        <v/>
      </c>
      <c r="AB89" s="5" t="str">
        <f t="shared" si="474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5"/>
        <v/>
      </c>
      <c r="AP89" s="624" t="str">
        <f t="shared" si="99"/>
        <v/>
      </c>
      <c r="AQ89" s="625" t="str">
        <f t="shared" si="475"/>
        <v/>
      </c>
      <c r="AS89" s="56" t="str">
        <f t="shared" si="550"/>
        <v/>
      </c>
      <c r="AT89" s="77" t="str">
        <f t="shared" si="476"/>
        <v/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1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2"/>
        <v/>
      </c>
      <c r="IK89" s="839" t="str">
        <f t="shared" si="523"/>
        <v/>
      </c>
      <c r="IL89" s="791" t="str">
        <f t="shared" si="653"/>
        <v/>
      </c>
      <c r="IM89" s="830"/>
      <c r="IN89" s="5" t="str">
        <f t="shared" si="654"/>
        <v/>
      </c>
      <c r="IO89" s="852"/>
      <c r="IP89" s="9" t="str">
        <f t="shared" si="655"/>
        <v/>
      </c>
      <c r="IQ89" s="5" t="str">
        <f t="shared" si="656"/>
        <v/>
      </c>
      <c r="IR89" s="5" t="str">
        <f t="shared" si="524"/>
        <v/>
      </c>
      <c r="IS89" s="5" t="str">
        <f t="shared" si="657"/>
        <v/>
      </c>
      <c r="IT89" s="791" t="str">
        <f t="shared" si="658"/>
        <v/>
      </c>
      <c r="IU89" s="9" t="str">
        <f t="shared" si="659"/>
        <v/>
      </c>
      <c r="IV89" s="5" t="str">
        <f t="shared" si="660"/>
        <v/>
      </c>
      <c r="IW89" s="5" t="str">
        <f t="shared" si="525"/>
        <v/>
      </c>
      <c r="IX89" s="5" t="str">
        <f t="shared" si="661"/>
        <v/>
      </c>
      <c r="IY89" s="833" t="str">
        <f t="shared" si="662"/>
        <v/>
      </c>
    </row>
    <row r="90" spans="1:259" ht="15" customHeight="1" x14ac:dyDescent="0.25">
      <c r="A90" s="84">
        <f t="shared" si="526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527"/>
        <v/>
      </c>
      <c r="L90" s="327"/>
      <c r="M90" s="173" t="str">
        <f t="shared" si="468"/>
        <v/>
      </c>
      <c r="N90" s="21" t="str">
        <f t="shared" si="469"/>
        <v/>
      </c>
      <c r="O90" s="5" t="str">
        <f t="shared" si="470"/>
        <v/>
      </c>
      <c r="P90" s="10" t="str">
        <f t="shared" si="471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1"/>
        <v/>
      </c>
      <c r="X90" s="5" t="str">
        <f t="shared" si="87"/>
        <v/>
      </c>
      <c r="Y90" s="7" t="str">
        <f t="shared" si="650"/>
        <v/>
      </c>
      <c r="Z90" s="21" t="str">
        <f t="shared" si="472"/>
        <v/>
      </c>
      <c r="AA90" s="5" t="str">
        <f t="shared" si="473"/>
        <v/>
      </c>
      <c r="AB90" s="5" t="str">
        <f t="shared" si="474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5"/>
        <v/>
      </c>
      <c r="AP90" s="624" t="str">
        <f t="shared" si="99"/>
        <v/>
      </c>
      <c r="AQ90" s="625" t="str">
        <f t="shared" si="475"/>
        <v/>
      </c>
      <c r="AS90" s="56" t="str">
        <f t="shared" si="550"/>
        <v/>
      </c>
      <c r="AT90" s="77" t="str">
        <f t="shared" si="476"/>
        <v/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1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527"/>
        <v/>
      </c>
      <c r="L91" s="327"/>
      <c r="M91" s="173" t="str">
        <f t="shared" si="468"/>
        <v/>
      </c>
      <c r="N91" s="21" t="str">
        <f t="shared" si="469"/>
        <v/>
      </c>
      <c r="O91" s="5" t="str">
        <f t="shared" si="470"/>
        <v/>
      </c>
      <c r="P91" s="10" t="str">
        <f t="shared" si="471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1"/>
        <v/>
      </c>
      <c r="X91" s="5" t="str">
        <f t="shared" si="87"/>
        <v/>
      </c>
      <c r="Y91" s="7" t="str">
        <f t="shared" si="650"/>
        <v/>
      </c>
      <c r="Z91" s="21" t="str">
        <f t="shared" si="472"/>
        <v/>
      </c>
      <c r="AA91" s="5" t="str">
        <f t="shared" si="473"/>
        <v/>
      </c>
      <c r="AB91" s="5" t="str">
        <f t="shared" si="474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5"/>
        <v/>
      </c>
      <c r="AP91" s="624" t="str">
        <f t="shared" si="99"/>
        <v/>
      </c>
      <c r="AQ91" s="625" t="str">
        <f t="shared" si="475"/>
        <v/>
      </c>
      <c r="AS91" s="56" t="str">
        <f t="shared" si="550"/>
        <v/>
      </c>
      <c r="AT91" s="77" t="str">
        <f t="shared" si="476"/>
        <v/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1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527"/>
        <v/>
      </c>
      <c r="L92" s="327"/>
      <c r="M92" s="173" t="str">
        <f t="shared" si="468"/>
        <v/>
      </c>
      <c r="N92" s="21" t="str">
        <f t="shared" si="469"/>
        <v/>
      </c>
      <c r="O92" s="5" t="str">
        <f t="shared" si="470"/>
        <v/>
      </c>
      <c r="P92" s="10" t="str">
        <f t="shared" si="471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1"/>
        <v/>
      </c>
      <c r="X92" s="5" t="str">
        <f t="shared" si="87"/>
        <v/>
      </c>
      <c r="Y92" s="7" t="str">
        <f t="shared" si="650"/>
        <v/>
      </c>
      <c r="Z92" s="21" t="str">
        <f t="shared" si="472"/>
        <v/>
      </c>
      <c r="AA92" s="5" t="str">
        <f t="shared" si="473"/>
        <v/>
      </c>
      <c r="AB92" s="5" t="str">
        <f t="shared" si="474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5"/>
        <v/>
      </c>
      <c r="AP92" s="624" t="str">
        <f t="shared" si="99"/>
        <v/>
      </c>
      <c r="AQ92" s="625" t="str">
        <f t="shared" si="475"/>
        <v/>
      </c>
      <c r="AS92" s="56" t="str">
        <f t="shared" si="550"/>
        <v/>
      </c>
      <c r="AT92" s="78" t="str">
        <f t="shared" si="476"/>
        <v/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1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527"/>
        <v/>
      </c>
      <c r="L93" s="327"/>
      <c r="M93" s="173" t="str">
        <f t="shared" si="468"/>
        <v/>
      </c>
      <c r="N93" s="21" t="str">
        <f t="shared" si="469"/>
        <v/>
      </c>
      <c r="O93" s="5" t="str">
        <f t="shared" si="470"/>
        <v/>
      </c>
      <c r="P93" s="10" t="str">
        <f t="shared" si="471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1"/>
        <v/>
      </c>
      <c r="X93" s="5" t="str">
        <f t="shared" si="87"/>
        <v/>
      </c>
      <c r="Y93" s="7" t="str">
        <f t="shared" si="650"/>
        <v/>
      </c>
      <c r="Z93" s="21" t="str">
        <f t="shared" si="472"/>
        <v/>
      </c>
      <c r="AA93" s="5" t="str">
        <f t="shared" si="473"/>
        <v/>
      </c>
      <c r="AB93" s="5" t="str">
        <f t="shared" si="474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5"/>
        <v/>
      </c>
      <c r="AP93" s="624" t="str">
        <f t="shared" si="99"/>
        <v/>
      </c>
      <c r="AQ93" s="625" t="str">
        <f t="shared" si="475"/>
        <v/>
      </c>
      <c r="AS93" s="56" t="str">
        <f t="shared" si="550"/>
        <v/>
      </c>
      <c r="AT93" s="78" t="str">
        <f t="shared" si="476"/>
        <v/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1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527"/>
        <v/>
      </c>
      <c r="L94" s="327"/>
      <c r="M94" s="173" t="str">
        <f t="shared" si="468"/>
        <v/>
      </c>
      <c r="N94" s="21" t="str">
        <f t="shared" si="469"/>
        <v/>
      </c>
      <c r="O94" s="5" t="str">
        <f t="shared" si="470"/>
        <v/>
      </c>
      <c r="P94" s="10" t="str">
        <f t="shared" si="471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1"/>
        <v/>
      </c>
      <c r="X94" s="5" t="str">
        <f t="shared" si="87"/>
        <v/>
      </c>
      <c r="Y94" s="7" t="str">
        <f t="shared" si="650"/>
        <v/>
      </c>
      <c r="Z94" s="21" t="str">
        <f t="shared" si="472"/>
        <v/>
      </c>
      <c r="AA94" s="5" t="str">
        <f t="shared" si="473"/>
        <v/>
      </c>
      <c r="AB94" s="5" t="str">
        <f t="shared" si="474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5"/>
        <v/>
      </c>
      <c r="AP94" s="624" t="str">
        <f t="shared" si="99"/>
        <v/>
      </c>
      <c r="AQ94" s="625" t="str">
        <f t="shared" si="475"/>
        <v/>
      </c>
      <c r="AS94" s="56" t="str">
        <f t="shared" si="550"/>
        <v/>
      </c>
      <c r="AT94" s="78" t="str">
        <f t="shared" si="476"/>
        <v/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1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527"/>
        <v/>
      </c>
      <c r="L95" s="327"/>
      <c r="M95" s="173" t="str">
        <f t="shared" si="468"/>
        <v/>
      </c>
      <c r="N95" s="21" t="str">
        <f t="shared" si="469"/>
        <v/>
      </c>
      <c r="O95" s="5" t="str">
        <f t="shared" si="470"/>
        <v/>
      </c>
      <c r="P95" s="10" t="str">
        <f t="shared" si="471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1"/>
        <v/>
      </c>
      <c r="X95" s="5" t="str">
        <f t="shared" si="87"/>
        <v/>
      </c>
      <c r="Y95" s="7" t="str">
        <f t="shared" si="650"/>
        <v/>
      </c>
      <c r="Z95" s="21" t="str">
        <f t="shared" si="472"/>
        <v/>
      </c>
      <c r="AA95" s="5" t="str">
        <f t="shared" si="473"/>
        <v/>
      </c>
      <c r="AB95" s="5" t="str">
        <f t="shared" si="474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5"/>
        <v/>
      </c>
      <c r="AP95" s="624" t="str">
        <f t="shared" si="99"/>
        <v/>
      </c>
      <c r="AQ95" s="625" t="str">
        <f t="shared" si="475"/>
        <v/>
      </c>
      <c r="AS95" s="56" t="str">
        <f t="shared" si="550"/>
        <v/>
      </c>
      <c r="AT95" s="78" t="str">
        <f t="shared" si="476"/>
        <v/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1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527"/>
        <v/>
      </c>
      <c r="L96" s="327"/>
      <c r="M96" s="173" t="str">
        <f t="shared" si="468"/>
        <v/>
      </c>
      <c r="N96" s="21" t="str">
        <f t="shared" si="469"/>
        <v/>
      </c>
      <c r="O96" s="5" t="str">
        <f t="shared" si="470"/>
        <v/>
      </c>
      <c r="P96" s="10" t="str">
        <f t="shared" si="471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1"/>
        <v/>
      </c>
      <c r="X96" s="5" t="str">
        <f t="shared" si="87"/>
        <v/>
      </c>
      <c r="Y96" s="7" t="str">
        <f t="shared" si="650"/>
        <v/>
      </c>
      <c r="Z96" s="21" t="str">
        <f t="shared" si="472"/>
        <v/>
      </c>
      <c r="AA96" s="5" t="str">
        <f t="shared" si="473"/>
        <v/>
      </c>
      <c r="AB96" s="5" t="str">
        <f t="shared" si="474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5"/>
        <v/>
      </c>
      <c r="AP96" s="624" t="str">
        <f t="shared" si="99"/>
        <v/>
      </c>
      <c r="AQ96" s="625" t="str">
        <f t="shared" si="475"/>
        <v/>
      </c>
      <c r="AS96" s="56" t="str">
        <f t="shared" si="550"/>
        <v/>
      </c>
      <c r="AT96" s="78" t="str">
        <f t="shared" si="476"/>
        <v/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1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527"/>
        <v/>
      </c>
      <c r="L97" s="327"/>
      <c r="M97" s="173" t="str">
        <f t="shared" si="468"/>
        <v/>
      </c>
      <c r="N97" s="21" t="str">
        <f t="shared" si="469"/>
        <v/>
      </c>
      <c r="O97" s="5" t="str">
        <f t="shared" si="470"/>
        <v/>
      </c>
      <c r="P97" s="10" t="str">
        <f t="shared" si="471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1"/>
        <v/>
      </c>
      <c r="X97" s="5" t="str">
        <f t="shared" si="87"/>
        <v/>
      </c>
      <c r="Y97" s="7" t="str">
        <f t="shared" si="650"/>
        <v/>
      </c>
      <c r="Z97" s="21" t="str">
        <f t="shared" si="472"/>
        <v/>
      </c>
      <c r="AA97" s="5" t="str">
        <f t="shared" si="473"/>
        <v/>
      </c>
      <c r="AB97" s="5" t="str">
        <f t="shared" si="474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5"/>
        <v/>
      </c>
      <c r="AP97" s="624" t="str">
        <f t="shared" si="99"/>
        <v/>
      </c>
      <c r="AQ97" s="625" t="str">
        <f t="shared" si="475"/>
        <v/>
      </c>
      <c r="AS97" s="56" t="str">
        <f t="shared" si="550"/>
        <v/>
      </c>
      <c r="AT97" s="78" t="str">
        <f t="shared" si="476"/>
        <v/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1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527"/>
        <v/>
      </c>
      <c r="L98" s="327"/>
      <c r="M98" s="173" t="str">
        <f t="shared" si="468"/>
        <v/>
      </c>
      <c r="N98" s="21" t="str">
        <f t="shared" si="469"/>
        <v/>
      </c>
      <c r="O98" s="5" t="str">
        <f t="shared" si="470"/>
        <v/>
      </c>
      <c r="P98" s="10" t="str">
        <f t="shared" si="471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1"/>
        <v/>
      </c>
      <c r="X98" s="5" t="str">
        <f t="shared" si="87"/>
        <v/>
      </c>
      <c r="Y98" s="7" t="str">
        <f t="shared" si="650"/>
        <v/>
      </c>
      <c r="Z98" s="21" t="str">
        <f t="shared" si="472"/>
        <v/>
      </c>
      <c r="AA98" s="5" t="str">
        <f t="shared" si="473"/>
        <v/>
      </c>
      <c r="AB98" s="5" t="str">
        <f t="shared" si="474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5"/>
        <v/>
      </c>
      <c r="AP98" s="624" t="str">
        <f t="shared" si="99"/>
        <v/>
      </c>
      <c r="AQ98" s="625" t="str">
        <f t="shared" si="475"/>
        <v/>
      </c>
      <c r="AS98" s="56" t="str">
        <f t="shared" si="550"/>
        <v/>
      </c>
      <c r="AT98" s="78" t="str">
        <f t="shared" si="476"/>
        <v/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1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5.3503723084143334E-2</v>
      </c>
      <c r="G154" s="175">
        <f>G9*-1</f>
        <v>-0.33780926224850866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0.95105653031184811</v>
      </c>
      <c r="F155" s="175">
        <f t="shared" si="939"/>
        <v>4.8340894532903508E-2</v>
      </c>
      <c r="G155" s="175">
        <f t="shared" si="939"/>
        <v>-0.30521244087839472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0.95083829046286139</v>
      </c>
      <c r="F156" s="175">
        <f t="shared" si="941"/>
        <v>2.2555379785505012E-2</v>
      </c>
      <c r="G156" s="175">
        <f t="shared" si="941"/>
        <v>-0.30886534320378994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0.95763056682876135</v>
      </c>
      <c r="F157" s="175">
        <f t="shared" si="942"/>
        <v>-7.4210173948495925E-2</v>
      </c>
      <c r="G157" s="175">
        <f t="shared" si="942"/>
        <v>-0.27827423085467223</v>
      </c>
      <c r="H157" s="144"/>
      <c r="I157" s="91"/>
      <c r="J157" s="84">
        <f t="shared" si="940"/>
        <v>1.1120000000000001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0.94080759491040611</v>
      </c>
      <c r="F158" s="175">
        <f t="shared" si="945"/>
        <v>-0.24533728727131662</v>
      </c>
      <c r="G158" s="175">
        <f t="shared" si="945"/>
        <v>-0.23386039603414852</v>
      </c>
      <c r="H158" s="144"/>
      <c r="I158" s="91"/>
      <c r="J158" s="84">
        <f t="shared" si="940"/>
        <v>1.1180000000000001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0.89035711051072752</v>
      </c>
      <c r="F159" s="175">
        <f t="shared" si="946"/>
        <v>-0.42171109045089927</v>
      </c>
      <c r="G159" s="175">
        <f t="shared" si="946"/>
        <v>-0.17153417138780705</v>
      </c>
      <c r="H159" s="144"/>
      <c r="I159" s="91"/>
      <c r="J159" s="84">
        <f t="shared" si="940"/>
        <v>1.1240000000000001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0.81858306260352998</v>
      </c>
      <c r="F160" s="175">
        <f t="shared" si="947"/>
        <v>-0.57362652679059778</v>
      </c>
      <c r="G160" s="175">
        <f t="shared" si="947"/>
        <v>-2.9569872857032622E-2</v>
      </c>
      <c r="H160" s="144"/>
      <c r="I160" s="91"/>
      <c r="J160" s="84">
        <f t="shared" si="940"/>
        <v>1.1299999999999999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0.77549580545883434</v>
      </c>
      <c r="F161" s="175">
        <f t="shared" si="948"/>
        <v>-0.63135271894222245</v>
      </c>
      <c r="G161" s="175">
        <f t="shared" si="948"/>
        <v>-1.3008419228767658E-7</v>
      </c>
      <c r="H161" s="144"/>
      <c r="I161" s="91"/>
      <c r="J161" s="84">
        <f t="shared" si="940"/>
        <v>1.1359999999999999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7.6532647568068143E-2</v>
      </c>
      <c r="F162" s="175">
        <f t="shared" si="949"/>
        <v>0.13643492478228592</v>
      </c>
      <c r="G162" s="175">
        <f t="shared" si="949"/>
        <v>-0.98768834414296591</v>
      </c>
      <c r="H162" s="144"/>
      <c r="I162" s="91"/>
      <c r="J162" s="84">
        <f t="shared" si="940"/>
        <v>1.2070000000000001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1.9529352065302197E-2</v>
      </c>
      <c r="F163" s="175">
        <f t="shared" si="950"/>
        <v>4.8555699290678149E-2</v>
      </c>
      <c r="G163" s="175">
        <f t="shared" si="950"/>
        <v>-0.99862953515019914</v>
      </c>
      <c r="H163" s="144"/>
      <c r="I163" s="91"/>
      <c r="J163" s="84">
        <f t="shared" si="940"/>
        <v>1.212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-0.12206704888025019</v>
      </c>
      <c r="F164" s="175">
        <f t="shared" si="951"/>
        <v>-0.32492699679198522</v>
      </c>
      <c r="G164" s="175">
        <f t="shared" si="951"/>
        <v>-0.93782838639775024</v>
      </c>
      <c r="H164" s="144"/>
      <c r="I164" s="91"/>
      <c r="J164" s="84">
        <f t="shared" si="940"/>
        <v>1.218</v>
      </c>
    </row>
    <row r="165" spans="5:16" x14ac:dyDescent="0.25">
      <c r="E165" s="175">
        <f t="shared" ref="E165:G165" si="952">E20*-1</f>
        <v>0.70109113386916544</v>
      </c>
      <c r="F165" s="175">
        <f t="shared" si="952"/>
        <v>-0.67590905026372028</v>
      </c>
      <c r="G165" s="175">
        <f t="shared" si="952"/>
        <v>-0.22719634191959096</v>
      </c>
      <c r="H165" s="144"/>
      <c r="I165" s="91"/>
      <c r="J165" s="84">
        <f t="shared" si="940"/>
        <v>1.224</v>
      </c>
    </row>
    <row r="166" spans="5:16" x14ac:dyDescent="0.25">
      <c r="E166" s="175">
        <f t="shared" ref="E166:G166" si="953">E21*-1</f>
        <v>0.58423867409295049</v>
      </c>
      <c r="F166" s="175">
        <f t="shared" si="953"/>
        <v>-0.8097529074572638</v>
      </c>
      <c r="G166" s="175">
        <f t="shared" si="953"/>
        <v>-5.4455491537762767E-2</v>
      </c>
      <c r="H166" s="144"/>
      <c r="I166" s="91"/>
      <c r="J166" s="84">
        <f t="shared" si="940"/>
        <v>1.23</v>
      </c>
    </row>
    <row r="167" spans="5:16" x14ac:dyDescent="0.25">
      <c r="E167" s="175">
        <f t="shared" ref="E167:G167" si="954">E22*-1</f>
        <v>0.36047935648378354</v>
      </c>
      <c r="F167" s="175">
        <f t="shared" si="954"/>
        <v>-0.88967869281215628</v>
      </c>
      <c r="G167" s="175">
        <f t="shared" si="954"/>
        <v>-0.28022572527355549</v>
      </c>
      <c r="H167" s="144"/>
      <c r="I167" s="91"/>
      <c r="J167" s="84">
        <f t="shared" si="940"/>
        <v>2.1110000000000002</v>
      </c>
    </row>
    <row r="168" spans="5:16" x14ac:dyDescent="0.25">
      <c r="E168" s="175">
        <f t="shared" ref="E168:G168" si="955">E23*-1</f>
        <v>0.20023129245053417</v>
      </c>
      <c r="F168" s="175">
        <f t="shared" si="955"/>
        <v>-0.94739798001255082</v>
      </c>
      <c r="G168" s="175">
        <f t="shared" si="955"/>
        <v>-0.2496888002929385</v>
      </c>
      <c r="H168" s="144"/>
      <c r="I168" s="91"/>
      <c r="J168" s="84">
        <f t="shared" si="940"/>
        <v>2.117</v>
      </c>
    </row>
    <row r="169" spans="5:16" x14ac:dyDescent="0.25">
      <c r="E169" s="175">
        <f t="shared" ref="E169:G169" si="956">E24*-1</f>
        <v>2.9420295619311882E-2</v>
      </c>
      <c r="F169" s="175">
        <f t="shared" si="956"/>
        <v>-0.98302714037493077</v>
      </c>
      <c r="G169" s="175">
        <f t="shared" si="956"/>
        <v>-0.18108585668670671</v>
      </c>
      <c r="H169" s="144"/>
      <c r="I169" s="91"/>
      <c r="J169" s="84">
        <f t="shared" si="940"/>
        <v>2.1230000000000002</v>
      </c>
    </row>
    <row r="170" spans="5:16" x14ac:dyDescent="0.25">
      <c r="E170" s="175">
        <f t="shared" ref="E170:G170" si="957">E25*-1</f>
        <v>-0.15370352901053719</v>
      </c>
      <c r="F170" s="175">
        <f t="shared" si="957"/>
        <v>-0.98576110199432887</v>
      </c>
      <c r="G170" s="175">
        <f t="shared" si="957"/>
        <v>-6.8192924593636892E-2</v>
      </c>
      <c r="H170" s="144"/>
      <c r="I170" s="91"/>
      <c r="J170" s="84">
        <f t="shared" si="940"/>
        <v>2.129</v>
      </c>
    </row>
    <row r="171" spans="5:16" x14ac:dyDescent="0.25">
      <c r="E171" s="175">
        <f t="shared" ref="E171:G171" si="958">E26*-1</f>
        <v>-0.24446191708215073</v>
      </c>
      <c r="F171" s="175">
        <f t="shared" si="958"/>
        <v>-0.9696588941975951</v>
      </c>
      <c r="G171" s="175">
        <f t="shared" si="958"/>
        <v>-1.3008419203324075E-7</v>
      </c>
      <c r="H171" s="144"/>
      <c r="I171" s="91"/>
      <c r="J171" s="84">
        <f t="shared" si="940"/>
        <v>2.1349999999999998</v>
      </c>
    </row>
    <row r="172" spans="5:16" x14ac:dyDescent="0.25">
      <c r="E172" s="175">
        <f t="shared" ref="E172:G172" si="959">E27*-1</f>
        <v>-0.27913362756144322</v>
      </c>
      <c r="F172" s="175">
        <f t="shared" si="959"/>
        <v>-1.971479282345099E-2</v>
      </c>
      <c r="G172" s="175">
        <f t="shared" si="959"/>
        <v>-0.96004986584464347</v>
      </c>
      <c r="H172" s="144"/>
      <c r="I172" s="91"/>
      <c r="J172" s="84">
        <f t="shared" si="940"/>
        <v>2.2170000000000001</v>
      </c>
    </row>
    <row r="173" spans="5:16" x14ac:dyDescent="0.25">
      <c r="E173" s="175">
        <f t="shared" ref="E173:G173" si="960">E28*-1</f>
        <v>-0.28025861409167369</v>
      </c>
      <c r="F173" s="175">
        <f t="shared" si="960"/>
        <v>-0.92911673665778305</v>
      </c>
      <c r="G173" s="175">
        <f t="shared" si="960"/>
        <v>-0.24124095607878498</v>
      </c>
      <c r="H173" s="144"/>
      <c r="I173" s="91"/>
      <c r="J173" s="84">
        <f t="shared" si="940"/>
        <v>2.2229999999999999</v>
      </c>
    </row>
    <row r="174" spans="5:16" x14ac:dyDescent="0.25">
      <c r="E174" s="175">
        <f t="shared" ref="E174:G174" si="961">E29*-1</f>
        <v>-0.46606448198203931</v>
      </c>
      <c r="F174" s="175">
        <f t="shared" si="961"/>
        <v>-0.87916278048607299</v>
      </c>
      <c r="G174" s="175">
        <f t="shared" si="961"/>
        <v>-9.9280934941258947E-2</v>
      </c>
      <c r="H174" s="144"/>
      <c r="I174" s="91"/>
      <c r="J174" s="84">
        <f t="shared" si="940"/>
        <v>2.2290000000000001</v>
      </c>
    </row>
    <row r="175" spans="5:16" x14ac:dyDescent="0.25">
      <c r="E175" s="175">
        <f t="shared" ref="E175:G175" si="962">E30*-1</f>
        <v>-0.43366433519237196</v>
      </c>
      <c r="F175" s="175">
        <f t="shared" si="962"/>
        <v>-0.84780930067746407</v>
      </c>
      <c r="G175" s="175">
        <f t="shared" si="962"/>
        <v>-0.30521244087839472</v>
      </c>
      <c r="H175" s="144"/>
      <c r="I175" s="91"/>
      <c r="J175" s="84">
        <f t="shared" si="940"/>
        <v>3.1030000000000002</v>
      </c>
    </row>
    <row r="176" spans="5:16" x14ac:dyDescent="0.25">
      <c r="E176" s="175">
        <f t="shared" ref="E176:G176" si="963">E31*-1</f>
        <v>-0.43843341855812967</v>
      </c>
      <c r="F176" s="175">
        <f t="shared" si="963"/>
        <v>-0.84504843977145339</v>
      </c>
      <c r="G176" s="175">
        <f t="shared" si="963"/>
        <v>-0.30605436107212131</v>
      </c>
      <c r="H176" s="144"/>
      <c r="I176" s="91"/>
      <c r="J176" s="84">
        <f t="shared" si="940"/>
        <v>3.1059999999999999</v>
      </c>
    </row>
    <row r="177" spans="5:10" x14ac:dyDescent="0.25">
      <c r="E177" s="175">
        <f t="shared" ref="E177:G177" si="964">E32*-1</f>
        <v>-0.49590379549549607</v>
      </c>
      <c r="F177" s="175">
        <f t="shared" si="964"/>
        <v>-0.81596241277190595</v>
      </c>
      <c r="G177" s="175">
        <f t="shared" si="964"/>
        <v>-0.29712752574712975</v>
      </c>
      <c r="H177" s="144"/>
      <c r="I177" s="91"/>
      <c r="J177" s="84">
        <f t="shared" si="940"/>
        <v>3.11</v>
      </c>
    </row>
    <row r="178" spans="5:10" x14ac:dyDescent="0.25">
      <c r="E178" s="175">
        <f t="shared" ref="E178:G178" si="965">E33*-1</f>
        <v>-0.63790201191425189</v>
      </c>
      <c r="F178" s="175">
        <f t="shared" si="965"/>
        <v>-0.72362868660719182</v>
      </c>
      <c r="G178" s="175">
        <f t="shared" si="965"/>
        <v>-0.26351953839307674</v>
      </c>
      <c r="H178" s="144"/>
      <c r="I178" s="91"/>
      <c r="J178" s="84">
        <f t="shared" si="940"/>
        <v>3.1160000000000001</v>
      </c>
    </row>
    <row r="179" spans="5:10" x14ac:dyDescent="0.25">
      <c r="E179" s="175">
        <f t="shared" ref="E179:G179" si="966">E34*-1</f>
        <v>-0.76822689520200427</v>
      </c>
      <c r="F179" s="175">
        <f t="shared" si="966"/>
        <v>-0.61012055605624438</v>
      </c>
      <c r="G179" s="175">
        <f t="shared" si="966"/>
        <v>-0.19385650509051305</v>
      </c>
      <c r="H179" s="144"/>
      <c r="I179" s="91"/>
      <c r="J179" s="84">
        <f t="shared" si="940"/>
        <v>3.1219999999999999</v>
      </c>
    </row>
    <row r="180" spans="5:10" x14ac:dyDescent="0.25">
      <c r="E180" s="175">
        <f t="shared" ref="E180:G180" si="967">E35*-1</f>
        <v>-0.8837841831304597</v>
      </c>
      <c r="F180" s="175">
        <f t="shared" si="967"/>
        <v>-0.45783871311893215</v>
      </c>
      <c r="G180" s="175">
        <f t="shared" si="967"/>
        <v>-9.6484353229040393E-2</v>
      </c>
      <c r="H180" s="144"/>
      <c r="I180" s="91"/>
      <c r="J180" s="84">
        <f t="shared" si="940"/>
        <v>3.1280000000000001</v>
      </c>
    </row>
    <row r="181" spans="5:10" x14ac:dyDescent="0.25">
      <c r="E181" s="175">
        <f t="shared" ref="E181:G181" si="968">E36*-1</f>
        <v>-0.93451561133879835</v>
      </c>
      <c r="F181" s="175">
        <f t="shared" si="968"/>
        <v>-0.35592214340225503</v>
      </c>
      <c r="G181" s="175">
        <f t="shared" si="968"/>
        <v>-1.3008419221766473E-7</v>
      </c>
      <c r="H181" s="144"/>
      <c r="I181" s="91"/>
      <c r="J181" s="84">
        <f t="shared" si="940"/>
        <v>3.1339999999999999</v>
      </c>
    </row>
    <row r="182" spans="5:10" x14ac:dyDescent="0.25">
      <c r="E182" s="175">
        <f t="shared" ref="E182:G182" si="969">E37*-1</f>
        <v>6.8723270111866297E-2</v>
      </c>
      <c r="F182" s="175">
        <f t="shared" si="969"/>
        <v>-0.14053059093755221</v>
      </c>
      <c r="G182" s="175">
        <f t="shared" si="969"/>
        <v>-0.98768834414296602</v>
      </c>
      <c r="H182" s="144"/>
      <c r="I182" s="91"/>
      <c r="J182" s="84">
        <f t="shared" si="940"/>
        <v>3.206</v>
      </c>
    </row>
    <row r="183" spans="5:10" x14ac:dyDescent="0.25">
      <c r="E183" s="175">
        <f t="shared" ref="E183:G183" si="970">E38*-1</f>
        <v>9.2742974902361233E-2</v>
      </c>
      <c r="F183" s="175">
        <f t="shared" si="970"/>
        <v>-0.12597807527655816</v>
      </c>
      <c r="G183" s="175">
        <f t="shared" si="970"/>
        <v>-0.98768834414296591</v>
      </c>
      <c r="H183" s="144"/>
      <c r="I183" s="91"/>
      <c r="J183" s="84">
        <f t="shared" si="940"/>
        <v>3.21</v>
      </c>
    </row>
    <row r="184" spans="5:10" x14ac:dyDescent="0.25">
      <c r="E184" s="175">
        <f t="shared" ref="E184:G184" si="971">E39*-1</f>
        <v>-0.13173486598532902</v>
      </c>
      <c r="F184" s="175">
        <f t="shared" si="971"/>
        <v>0.16502123929571064</v>
      </c>
      <c r="G184" s="175">
        <f t="shared" si="971"/>
        <v>-0.97745276902013811</v>
      </c>
      <c r="H184" s="144"/>
      <c r="I184" s="91"/>
      <c r="J184" s="84">
        <f t="shared" si="940"/>
        <v>3.2160000000000002</v>
      </c>
    </row>
    <row r="185" spans="5:10" x14ac:dyDescent="0.25">
      <c r="E185" s="175">
        <f t="shared" ref="E185:G185" si="972">E40*-1</f>
        <v>-0.90753072477553731</v>
      </c>
      <c r="F185" s="175">
        <f t="shared" si="972"/>
        <v>-0.33137257886796301</v>
      </c>
      <c r="G185" s="175">
        <f t="shared" si="972"/>
        <v>-0.25803138871614761</v>
      </c>
      <c r="H185" s="144"/>
      <c r="I185" s="91"/>
      <c r="J185" s="84">
        <f t="shared" si="940"/>
        <v>3.222</v>
      </c>
    </row>
    <row r="186" spans="5:10" x14ac:dyDescent="0.25">
      <c r="E186" s="175">
        <f t="shared" ref="E186:G186" si="973">E41*-1</f>
        <v>-0.98053490328671233</v>
      </c>
      <c r="F186" s="175">
        <f t="shared" si="973"/>
        <v>-0.14480976821114033</v>
      </c>
      <c r="G186" s="175">
        <f t="shared" si="973"/>
        <v>-0.13259500166730928</v>
      </c>
      <c r="H186" s="144"/>
      <c r="I186" s="91"/>
      <c r="J186" s="84">
        <f t="shared" si="940"/>
        <v>3.2280000000000002</v>
      </c>
    </row>
    <row r="187" spans="5:10" x14ac:dyDescent="0.25">
      <c r="E187" s="175">
        <f t="shared" ref="E187:G187" si="974">E42*-1</f>
        <v>-0.95414224591463748</v>
      </c>
      <c r="F187" s="175">
        <f t="shared" si="974"/>
        <v>4.4388571399703779E-2</v>
      </c>
      <c r="G187" s="175">
        <f t="shared" si="974"/>
        <v>-0.29604430291776429</v>
      </c>
      <c r="H187" s="144"/>
      <c r="I187" s="91"/>
      <c r="J187" s="84">
        <f t="shared" si="940"/>
        <v>4.109</v>
      </c>
    </row>
    <row r="188" spans="5:10" x14ac:dyDescent="0.25">
      <c r="E188" s="175">
        <f t="shared" ref="E188:G188" si="975">E43*-1</f>
        <v>-0.94664367504683422</v>
      </c>
      <c r="F188" s="175">
        <f t="shared" si="975"/>
        <v>0.19224310158300983</v>
      </c>
      <c r="G188" s="175">
        <f t="shared" si="975"/>
        <v>-0.25866646939170213</v>
      </c>
      <c r="H188" s="144"/>
      <c r="I188" s="91"/>
      <c r="J188" s="84">
        <f t="shared" si="940"/>
        <v>4.1150000000000002</v>
      </c>
    </row>
    <row r="189" spans="5:10" x14ac:dyDescent="0.25">
      <c r="E189" s="175">
        <f t="shared" ref="E189:G189" si="976">E44*-1</f>
        <v>-0.90934762122261648</v>
      </c>
      <c r="F189" s="175">
        <f t="shared" si="976"/>
        <v>0.36259767107479507</v>
      </c>
      <c r="G189" s="175">
        <f t="shared" si="976"/>
        <v>-0.20398488352793118</v>
      </c>
      <c r="H189" s="144"/>
      <c r="I189" s="91"/>
      <c r="J189" s="84">
        <f t="shared" si="940"/>
        <v>4.1210000000000004</v>
      </c>
    </row>
    <row r="190" spans="5:10" x14ac:dyDescent="0.25">
      <c r="E190" s="175">
        <f t="shared" ref="E190:G190" si="977">E45*-1</f>
        <v>-0.83893164203788206</v>
      </c>
      <c r="F190" s="175">
        <f t="shared" si="977"/>
        <v>0.53209801995835893</v>
      </c>
      <c r="G190" s="175">
        <f t="shared" si="977"/>
        <v>-0.11430396819015957</v>
      </c>
      <c r="H190" s="144"/>
      <c r="I190" s="91"/>
      <c r="J190" s="84">
        <f t="shared" si="940"/>
        <v>4.1269999999999998</v>
      </c>
    </row>
    <row r="191" spans="5:10" x14ac:dyDescent="0.25">
      <c r="E191" s="175">
        <f t="shared" ref="E191:G191" si="978">E46*-1</f>
        <v>-0.75298920707399963</v>
      </c>
      <c r="F191" s="175">
        <f t="shared" si="978"/>
        <v>0.65803286698314134</v>
      </c>
      <c r="G191" s="175">
        <f t="shared" si="978"/>
        <v>-1.300841921700934E-7</v>
      </c>
      <c r="H191" s="144"/>
      <c r="I191" s="91"/>
      <c r="J191" s="84">
        <f t="shared" si="940"/>
        <v>4.133</v>
      </c>
    </row>
    <row r="192" spans="5:10" x14ac:dyDescent="0.25">
      <c r="E192" s="175">
        <f t="shared" ref="E192:G192" si="979">E47*-1</f>
        <v>5.7339919923505241E-2</v>
      </c>
      <c r="F192" s="175">
        <f t="shared" si="979"/>
        <v>0.12927346074575721</v>
      </c>
      <c r="G192" s="175">
        <f t="shared" si="979"/>
        <v>-0.98994974919436252</v>
      </c>
      <c r="H192" s="144"/>
      <c r="I192" s="91"/>
      <c r="J192" s="84">
        <f t="shared" si="940"/>
        <v>4.2149999999999999</v>
      </c>
    </row>
    <row r="193" spans="5:10" x14ac:dyDescent="0.25">
      <c r="E193" s="175">
        <f t="shared" ref="E193:G193" si="980">E48*-1</f>
        <v>-0.73654304466353737</v>
      </c>
      <c r="F193" s="175">
        <f t="shared" si="980"/>
        <v>0.61934056341742982</v>
      </c>
      <c r="G193" s="175">
        <f t="shared" si="980"/>
        <v>-0.27188528806014356</v>
      </c>
      <c r="H193" s="144"/>
      <c r="I193" s="91"/>
      <c r="J193" s="84">
        <f t="shared" si="940"/>
        <v>4.2210000000000001</v>
      </c>
    </row>
    <row r="194" spans="5:10" x14ac:dyDescent="0.25">
      <c r="E194" s="175">
        <f t="shared" ref="E194:G194" si="981">E49*-1</f>
        <v>-0.61812012860707777</v>
      </c>
      <c r="F194" s="175">
        <f t="shared" si="981"/>
        <v>0.77050092745944254</v>
      </c>
      <c r="G194" s="175">
        <f t="shared" si="981"/>
        <v>-0.15574282453746768</v>
      </c>
      <c r="H194" s="144"/>
      <c r="I194" s="91"/>
      <c r="J194" s="84">
        <f t="shared" si="940"/>
        <v>4.2270000000000003</v>
      </c>
    </row>
    <row r="195" spans="5:10" x14ac:dyDescent="0.25">
      <c r="E195" s="175">
        <f t="shared" ref="E195:G195" si="982">E50*-1</f>
        <v>-0.51686578639574654</v>
      </c>
      <c r="F195" s="175">
        <f t="shared" si="982"/>
        <v>0.7933782431643065</v>
      </c>
      <c r="G195" s="175">
        <f t="shared" si="982"/>
        <v>-0.32155982666842131</v>
      </c>
      <c r="H195" s="144"/>
      <c r="I195" s="91"/>
      <c r="J195" s="84">
        <f t="shared" si="940"/>
        <v>5.1020000000000003</v>
      </c>
    </row>
    <row r="196" spans="5:10" x14ac:dyDescent="0.25">
      <c r="E196" s="175">
        <f t="shared" ref="E196:G196" si="983">E51*-1</f>
        <v>-0.51739246610917367</v>
      </c>
      <c r="F196" s="175">
        <f t="shared" si="983"/>
        <v>0.7994688248746914</v>
      </c>
      <c r="G196" s="175">
        <f t="shared" si="983"/>
        <v>-0.30521244087839472</v>
      </c>
      <c r="H196" s="144"/>
      <c r="I196" s="91"/>
      <c r="J196" s="84">
        <f t="shared" si="940"/>
        <v>5.1050000000000004</v>
      </c>
    </row>
    <row r="197" spans="5:10" x14ac:dyDescent="0.25">
      <c r="E197" s="175">
        <f t="shared" ref="E197:G197" si="984">E52*-1</f>
        <v>-0.47673844246096075</v>
      </c>
      <c r="F197" s="175">
        <f t="shared" si="984"/>
        <v>0.82206126099954924</v>
      </c>
      <c r="G197" s="175">
        <f t="shared" si="984"/>
        <v>-0.31134505077763519</v>
      </c>
      <c r="H197" s="144"/>
      <c r="I197" s="91"/>
      <c r="J197" s="84">
        <f t="shared" si="940"/>
        <v>5.1079999999999997</v>
      </c>
    </row>
    <row r="198" spans="5:10" x14ac:dyDescent="0.25">
      <c r="E198" s="175">
        <f t="shared" ref="E198:G198" si="985">E53*-1</f>
        <v>-0.36503599961138339</v>
      </c>
      <c r="F198" s="175">
        <f t="shared" si="985"/>
        <v>0.89161269278466004</v>
      </c>
      <c r="G198" s="175">
        <f t="shared" si="985"/>
        <v>-0.26790954640140346</v>
      </c>
      <c r="H198" s="144"/>
      <c r="I198" s="91"/>
      <c r="J198" s="84">
        <f t="shared" si="940"/>
        <v>5.1139999999999999</v>
      </c>
    </row>
    <row r="199" spans="5:10" x14ac:dyDescent="0.25">
      <c r="E199" s="175">
        <f t="shared" ref="E199:G199" si="986">E54*-1</f>
        <v>-0.20466469002900967</v>
      </c>
      <c r="F199" s="175">
        <f t="shared" si="986"/>
        <v>0.95573254394476814</v>
      </c>
      <c r="G199" s="175">
        <f t="shared" si="986"/>
        <v>-0.21139458152987617</v>
      </c>
      <c r="H199" s="144"/>
      <c r="I199" s="91"/>
      <c r="J199" s="84">
        <f t="shared" si="940"/>
        <v>5.12</v>
      </c>
    </row>
    <row r="200" spans="5:10" x14ac:dyDescent="0.25">
      <c r="E200" s="175">
        <f t="shared" ref="E200:G200" si="987">E55*-1</f>
        <v>-1.8468966883841465E-2</v>
      </c>
      <c r="F200" s="175">
        <f t="shared" si="987"/>
        <v>0.99031054419263975</v>
      </c>
      <c r="G200" s="175">
        <f t="shared" si="987"/>
        <v>-0.1376369257253349</v>
      </c>
      <c r="H200" s="144"/>
      <c r="I200" s="91"/>
      <c r="J200" s="84">
        <f t="shared" si="940"/>
        <v>5.1260000000000003</v>
      </c>
    </row>
    <row r="201" spans="5:10" x14ac:dyDescent="0.25">
      <c r="E201" s="175">
        <f t="shared" ref="E201:G201" si="988">E56*-1</f>
        <v>0.15901988916828855</v>
      </c>
      <c r="F201" s="175">
        <f t="shared" si="988"/>
        <v>0.98727537944024935</v>
      </c>
      <c r="G201" s="175">
        <f t="shared" si="988"/>
        <v>-1.3008419213987912E-7</v>
      </c>
      <c r="H201" s="144"/>
      <c r="I201" s="91"/>
      <c r="J201" s="84">
        <f t="shared" si="940"/>
        <v>5.1319999999999997</v>
      </c>
    </row>
    <row r="202" spans="5:10" x14ac:dyDescent="0.25">
      <c r="E202" s="175">
        <f t="shared" ref="E202:G202" si="989">E57*-1</f>
        <v>-0.15366351023265451</v>
      </c>
      <c r="F202" s="175">
        <f t="shared" si="989"/>
        <v>2.9313144954184807E-2</v>
      </c>
      <c r="G202" s="175">
        <f t="shared" si="989"/>
        <v>-0.98768834414296602</v>
      </c>
      <c r="H202" s="144"/>
      <c r="I202" s="91"/>
      <c r="J202" s="84">
        <f t="shared" si="940"/>
        <v>5.2050000000000001</v>
      </c>
    </row>
    <row r="203" spans="5:10" x14ac:dyDescent="0.25">
      <c r="E203" s="175">
        <f t="shared" ref="E203:G203" si="990">E58*-1</f>
        <v>-0.15605148771638241</v>
      </c>
      <c r="F203" s="175">
        <f t="shared" si="990"/>
        <v>-1.0939288168336461E-2</v>
      </c>
      <c r="G203" s="175">
        <f t="shared" si="990"/>
        <v>-0.98768834414296591</v>
      </c>
      <c r="H203" s="144"/>
      <c r="I203" s="91"/>
      <c r="J203" s="84">
        <f t="shared" si="940"/>
        <v>5.2080000000000002</v>
      </c>
    </row>
    <row r="204" spans="5:10" x14ac:dyDescent="0.25">
      <c r="E204" s="175">
        <f t="shared" ref="E204:G204" si="991">E59*-1</f>
        <v>7.0200160682933943E-2</v>
      </c>
      <c r="F204" s="175">
        <f t="shared" si="991"/>
        <v>9.2048464566620788E-3</v>
      </c>
      <c r="G204" s="175">
        <f t="shared" si="991"/>
        <v>-0.99749045521338187</v>
      </c>
      <c r="H204" s="144"/>
      <c r="I204" s="91"/>
      <c r="J204" s="84">
        <f t="shared" si="940"/>
        <v>5.2140000000000004</v>
      </c>
    </row>
    <row r="205" spans="5:10" x14ac:dyDescent="0.25">
      <c r="E205" s="175">
        <f t="shared" ref="E205:G205" si="992">E60*-1</f>
        <v>0.10279562854540457</v>
      </c>
      <c r="F205" s="175">
        <f t="shared" si="992"/>
        <v>0.95368224575287142</v>
      </c>
      <c r="G205" s="175">
        <f t="shared" si="992"/>
        <v>-0.28270697353923724</v>
      </c>
      <c r="H205" s="144"/>
      <c r="I205" s="91"/>
      <c r="J205" s="84">
        <f t="shared" si="940"/>
        <v>5.22</v>
      </c>
    </row>
    <row r="206" spans="5:10" x14ac:dyDescent="0.25">
      <c r="E206" s="175">
        <f t="shared" ref="E206:G206" si="993">E61*-1</f>
        <v>0.29918963986181984</v>
      </c>
      <c r="F206" s="175">
        <f t="shared" si="993"/>
        <v>0.93630069595348264</v>
      </c>
      <c r="G206" s="175">
        <f t="shared" si="993"/>
        <v>-0.1839199993376974</v>
      </c>
      <c r="H206" s="144"/>
      <c r="I206" s="91"/>
      <c r="J206" s="84">
        <f t="shared" si="940"/>
        <v>5.226</v>
      </c>
    </row>
    <row r="207" spans="5:10" x14ac:dyDescent="0.25">
      <c r="E207" s="175">
        <f t="shared" ref="E207:G207" si="994">E62*-1</f>
        <v>0.56447499454849126</v>
      </c>
      <c r="F207" s="175">
        <f t="shared" si="994"/>
        <v>0.77836726879888984</v>
      </c>
      <c r="G207" s="175">
        <f t="shared" si="994"/>
        <v>-0.27479515168946805</v>
      </c>
      <c r="H207" s="144"/>
      <c r="I207" s="91"/>
      <c r="J207" s="84">
        <f t="shared" si="940"/>
        <v>6.1130000000000004</v>
      </c>
    </row>
    <row r="208" spans="5:10" x14ac:dyDescent="0.25">
      <c r="E208" s="175">
        <f t="shared" ref="E208:G208" si="995">E63*-1</f>
        <v>0.70609670970216865</v>
      </c>
      <c r="F208" s="175">
        <f t="shared" si="995"/>
        <v>0.66930017842858369</v>
      </c>
      <c r="G208" s="175">
        <f t="shared" si="995"/>
        <v>-0.23122436658630421</v>
      </c>
      <c r="H208" s="144"/>
      <c r="I208" s="91"/>
      <c r="J208" s="84">
        <f t="shared" si="940"/>
        <v>6.1189999999999998</v>
      </c>
    </row>
    <row r="209" spans="5:10" x14ac:dyDescent="0.25">
      <c r="E209" s="175">
        <f t="shared" ref="E209:G209" si="996">E64*-1</f>
        <v>0.83151555382680775</v>
      </c>
      <c r="F209" s="175">
        <f t="shared" si="996"/>
        <v>0.53237536468034885</v>
      </c>
      <c r="G209" s="175">
        <f t="shared" si="996"/>
        <v>-0.15861385445654705</v>
      </c>
      <c r="H209" s="144"/>
      <c r="I209" s="91"/>
      <c r="J209" s="84">
        <f t="shared" si="940"/>
        <v>6.125</v>
      </c>
    </row>
    <row r="210" spans="5:10" x14ac:dyDescent="0.25">
      <c r="E210" s="175">
        <f t="shared" ref="E210:G210" si="997">E65*-1</f>
        <v>0.93451544989605073</v>
      </c>
      <c r="F210" s="175">
        <f t="shared" si="997"/>
        <v>0.35592256728896149</v>
      </c>
      <c r="G210" s="175">
        <f t="shared" si="997"/>
        <v>-1.3008419215807546E-7</v>
      </c>
      <c r="H210" s="144"/>
      <c r="I210" s="91"/>
      <c r="J210" s="84">
        <f t="shared" si="940"/>
        <v>6.1310000000000002</v>
      </c>
    </row>
    <row r="211" spans="5:10" x14ac:dyDescent="0.25">
      <c r="E211" s="175">
        <f t="shared" ref="E211:G211" si="998">E66*-1</f>
        <v>1.8172028820667464E-7</v>
      </c>
      <c r="F211" s="175">
        <f t="shared" si="998"/>
        <v>1.356969491762922E-7</v>
      </c>
      <c r="G211" s="175">
        <f t="shared" si="998"/>
        <v>-0.99999999999997435</v>
      </c>
      <c r="H211" s="144"/>
      <c r="I211" s="91"/>
      <c r="J211" s="84">
        <f t="shared" si="940"/>
        <v>6.2130000000000001</v>
      </c>
    </row>
    <row r="212" spans="5:10" x14ac:dyDescent="0.25">
      <c r="E212" s="175">
        <f t="shared" ref="E212:G212" si="999">E67*-1</f>
        <v>0.86116003404108743</v>
      </c>
      <c r="F212" s="175">
        <f t="shared" si="999"/>
        <v>0.40656198530674104</v>
      </c>
      <c r="G212" s="175">
        <f t="shared" si="999"/>
        <v>-0.30514053790637946</v>
      </c>
      <c r="H212" s="144"/>
      <c r="I212" s="91"/>
      <c r="J212" s="84">
        <f t="shared" si="940"/>
        <v>6.2190000000000003</v>
      </c>
    </row>
    <row r="213" spans="5:10" x14ac:dyDescent="0.25">
      <c r="E213" s="175">
        <f t="shared" ref="E213:G213" si="1000">E68*-1</f>
        <v>0.9490732790816534</v>
      </c>
      <c r="F213" s="175">
        <f t="shared" si="1000"/>
        <v>0.23524658791419048</v>
      </c>
      <c r="G213" s="175">
        <f t="shared" si="1000"/>
        <v>-0.20956849431135671</v>
      </c>
      <c r="H213" s="144"/>
      <c r="I213" s="91"/>
      <c r="J213" s="84">
        <f t="shared" si="940"/>
        <v>6.2249999999999996</v>
      </c>
    </row>
    <row r="214" spans="5:10" x14ac:dyDescent="0.25">
      <c r="E214" s="175">
        <f t="shared" ref="E214:G214" si="1001">E69*-1</f>
        <v>0</v>
      </c>
      <c r="F214" s="175">
        <f t="shared" si="1001"/>
        <v>0</v>
      </c>
      <c r="G214" s="175">
        <f t="shared" si="1001"/>
        <v>0</v>
      </c>
      <c r="H214" s="144"/>
      <c r="I214" s="91"/>
      <c r="J214" s="84">
        <f t="shared" si="940"/>
        <v>0</v>
      </c>
    </row>
    <row r="215" spans="5:10" x14ac:dyDescent="0.25">
      <c r="E215" s="175">
        <f t="shared" ref="E215:G215" si="1002">E70*-1</f>
        <v>0</v>
      </c>
      <c r="F215" s="175">
        <f t="shared" si="1002"/>
        <v>0</v>
      </c>
      <c r="G215" s="175">
        <f t="shared" si="1002"/>
        <v>0</v>
      </c>
      <c r="H215" s="144"/>
      <c r="I215" s="91"/>
      <c r="J215" s="84">
        <f t="shared" si="940"/>
        <v>0</v>
      </c>
    </row>
    <row r="216" spans="5:10" x14ac:dyDescent="0.25">
      <c r="E216" s="175">
        <f t="shared" ref="E216:G216" si="1003">E71*-1</f>
        <v>0</v>
      </c>
      <c r="F216" s="175">
        <f t="shared" si="1003"/>
        <v>0</v>
      </c>
      <c r="G216" s="175">
        <f t="shared" si="1003"/>
        <v>0</v>
      </c>
      <c r="H216" s="144"/>
      <c r="I216" s="91"/>
      <c r="J216" s="84">
        <f t="shared" si="940"/>
        <v>0</v>
      </c>
    </row>
    <row r="217" spans="5:10" x14ac:dyDescent="0.25">
      <c r="E217" s="175">
        <f t="shared" ref="E217:G217" si="1004">E72*-1</f>
        <v>0</v>
      </c>
      <c r="F217" s="175">
        <f t="shared" si="1004"/>
        <v>0</v>
      </c>
      <c r="G217" s="175">
        <f t="shared" si="1004"/>
        <v>0</v>
      </c>
      <c r="H217" s="144"/>
      <c r="I217" s="91"/>
      <c r="J217" s="84">
        <f t="shared" si="940"/>
        <v>0</v>
      </c>
    </row>
    <row r="218" spans="5:10" x14ac:dyDescent="0.25">
      <c r="E218" s="175">
        <f t="shared" ref="E218:G218" si="1005">E73*-1</f>
        <v>0</v>
      </c>
      <c r="F218" s="175">
        <f t="shared" si="1005"/>
        <v>0</v>
      </c>
      <c r="G218" s="175">
        <f t="shared" si="1005"/>
        <v>0</v>
      </c>
      <c r="H218" s="144"/>
      <c r="I218" s="91"/>
      <c r="J218" s="84">
        <f t="shared" si="940"/>
        <v>0</v>
      </c>
    </row>
    <row r="219" spans="5:10" x14ac:dyDescent="0.25">
      <c r="E219" s="175">
        <f t="shared" ref="E219:G219" si="1006">E74*-1</f>
        <v>0</v>
      </c>
      <c r="F219" s="175">
        <f t="shared" si="1006"/>
        <v>0</v>
      </c>
      <c r="G219" s="175">
        <f t="shared" si="1006"/>
        <v>0</v>
      </c>
      <c r="H219" s="144"/>
      <c r="I219" s="91"/>
      <c r="J219" s="84">
        <f t="shared" ref="J219:J282" si="1007">J74</f>
        <v>0</v>
      </c>
    </row>
    <row r="220" spans="5:10" x14ac:dyDescent="0.25">
      <c r="E220" s="175">
        <f t="shared" ref="E220:G220" si="1008">E75*-1</f>
        <v>0</v>
      </c>
      <c r="F220" s="175">
        <f t="shared" si="1008"/>
        <v>0</v>
      </c>
      <c r="G220" s="175">
        <f t="shared" si="1008"/>
        <v>0</v>
      </c>
      <c r="H220" s="144"/>
      <c r="I220" s="91"/>
      <c r="J220" s="84">
        <f t="shared" si="1007"/>
        <v>0</v>
      </c>
    </row>
    <row r="221" spans="5:10" x14ac:dyDescent="0.25">
      <c r="E221" s="175">
        <f t="shared" ref="E221:G221" si="1009">E76*-1</f>
        <v>0</v>
      </c>
      <c r="F221" s="175">
        <f t="shared" si="1009"/>
        <v>0</v>
      </c>
      <c r="G221" s="175">
        <f t="shared" si="1009"/>
        <v>0</v>
      </c>
      <c r="H221" s="144"/>
      <c r="I221" s="91"/>
      <c r="J221" s="84">
        <f t="shared" si="1007"/>
        <v>0</v>
      </c>
    </row>
    <row r="222" spans="5:10" x14ac:dyDescent="0.25">
      <c r="E222" s="175">
        <f t="shared" ref="E222:G222" si="1010">E77*-1</f>
        <v>0</v>
      </c>
      <c r="F222" s="175">
        <f t="shared" si="1010"/>
        <v>0</v>
      </c>
      <c r="G222" s="175">
        <f t="shared" si="1010"/>
        <v>0</v>
      </c>
      <c r="H222" s="144"/>
      <c r="I222" s="91"/>
      <c r="J222" s="84">
        <f t="shared" si="1007"/>
        <v>0</v>
      </c>
    </row>
    <row r="223" spans="5:10" x14ac:dyDescent="0.25">
      <c r="E223" s="175">
        <f t="shared" ref="E223:G223" si="1011">E78*-1</f>
        <v>0</v>
      </c>
      <c r="F223" s="175">
        <f t="shared" si="1011"/>
        <v>0</v>
      </c>
      <c r="G223" s="175">
        <f t="shared" si="1011"/>
        <v>0</v>
      </c>
      <c r="H223" s="144"/>
      <c r="I223" s="91"/>
      <c r="J223" s="84">
        <f t="shared" si="1007"/>
        <v>0</v>
      </c>
    </row>
    <row r="224" spans="5:10" x14ac:dyDescent="0.25">
      <c r="E224" s="175">
        <f t="shared" ref="E224:G224" si="1012">E79*-1</f>
        <v>0</v>
      </c>
      <c r="F224" s="175">
        <f t="shared" si="1012"/>
        <v>0</v>
      </c>
      <c r="G224" s="175">
        <f t="shared" si="1012"/>
        <v>0</v>
      </c>
      <c r="H224" s="144"/>
      <c r="I224" s="91"/>
      <c r="J224" s="84">
        <f t="shared" si="1007"/>
        <v>0</v>
      </c>
    </row>
    <row r="225" spans="5:10" x14ac:dyDescent="0.25">
      <c r="E225" s="175">
        <f t="shared" ref="E225:G225" si="1013">E80*-1</f>
        <v>0</v>
      </c>
      <c r="F225" s="175">
        <f t="shared" si="1013"/>
        <v>0</v>
      </c>
      <c r="G225" s="175">
        <f t="shared" si="1013"/>
        <v>0</v>
      </c>
      <c r="H225" s="144"/>
      <c r="I225" s="91"/>
      <c r="J225" s="84">
        <f t="shared" si="1007"/>
        <v>0</v>
      </c>
    </row>
    <row r="226" spans="5:10" x14ac:dyDescent="0.25">
      <c r="E226" s="175">
        <f t="shared" ref="E226:G226" si="1014">E81*-1</f>
        <v>0</v>
      </c>
      <c r="F226" s="175">
        <f t="shared" si="1014"/>
        <v>0</v>
      </c>
      <c r="G226" s="175">
        <f t="shared" si="1014"/>
        <v>0</v>
      </c>
      <c r="H226" s="144"/>
      <c r="I226" s="91"/>
      <c r="J226" s="84">
        <f t="shared" si="1007"/>
        <v>0</v>
      </c>
    </row>
    <row r="227" spans="5:10" x14ac:dyDescent="0.25">
      <c r="E227" s="175">
        <f t="shared" ref="E227:G227" si="1015">E82*-1</f>
        <v>0</v>
      </c>
      <c r="F227" s="175">
        <f t="shared" si="1015"/>
        <v>0</v>
      </c>
      <c r="G227" s="175">
        <f t="shared" si="1015"/>
        <v>0</v>
      </c>
      <c r="H227" s="144"/>
      <c r="I227" s="91"/>
      <c r="J227" s="84">
        <f t="shared" si="1007"/>
        <v>0</v>
      </c>
    </row>
    <row r="228" spans="5:10" x14ac:dyDescent="0.25">
      <c r="E228" s="175">
        <f t="shared" ref="E228:G228" si="1016">E83*-1</f>
        <v>0</v>
      </c>
      <c r="F228" s="175">
        <f t="shared" si="1016"/>
        <v>0</v>
      </c>
      <c r="G228" s="175">
        <f t="shared" si="1016"/>
        <v>0</v>
      </c>
      <c r="H228" s="144"/>
      <c r="I228" s="91"/>
      <c r="J228" s="84">
        <f t="shared" si="1007"/>
        <v>0</v>
      </c>
    </row>
    <row r="229" spans="5:10" x14ac:dyDescent="0.25">
      <c r="E229" s="175">
        <f t="shared" ref="E229:G229" si="1017">E84*-1</f>
        <v>0</v>
      </c>
      <c r="F229" s="175">
        <f t="shared" si="1017"/>
        <v>0</v>
      </c>
      <c r="G229" s="175">
        <f t="shared" si="1017"/>
        <v>0</v>
      </c>
      <c r="H229" s="144"/>
      <c r="I229" s="91"/>
      <c r="J229" s="84">
        <f t="shared" si="1007"/>
        <v>0</v>
      </c>
    </row>
    <row r="230" spans="5:10" x14ac:dyDescent="0.25">
      <c r="E230" s="175">
        <f t="shared" ref="E230:G230" si="1018">E85*-1</f>
        <v>0</v>
      </c>
      <c r="F230" s="175">
        <f t="shared" si="1018"/>
        <v>0</v>
      </c>
      <c r="G230" s="175">
        <f t="shared" si="1018"/>
        <v>0</v>
      </c>
      <c r="H230" s="144"/>
      <c r="I230" s="91"/>
      <c r="J230" s="84">
        <f t="shared" si="1007"/>
        <v>0</v>
      </c>
    </row>
    <row r="231" spans="5:10" x14ac:dyDescent="0.25">
      <c r="E231" s="175">
        <f t="shared" ref="E231:G231" si="1019">E86*-1</f>
        <v>0</v>
      </c>
      <c r="F231" s="175">
        <f t="shared" si="1019"/>
        <v>0</v>
      </c>
      <c r="G231" s="175">
        <f t="shared" si="1019"/>
        <v>0</v>
      </c>
      <c r="H231" s="144"/>
      <c r="I231" s="91"/>
      <c r="J231" s="84">
        <f t="shared" si="1007"/>
        <v>0</v>
      </c>
    </row>
    <row r="232" spans="5:10" x14ac:dyDescent="0.25">
      <c r="E232" s="175">
        <f t="shared" ref="E232:G232" si="1020">E87*-1</f>
        <v>0</v>
      </c>
      <c r="F232" s="175">
        <f t="shared" si="1020"/>
        <v>0</v>
      </c>
      <c r="G232" s="175">
        <f t="shared" si="1020"/>
        <v>0</v>
      </c>
      <c r="H232" s="144"/>
      <c r="I232" s="91"/>
      <c r="J232" s="84">
        <f t="shared" si="1007"/>
        <v>0</v>
      </c>
    </row>
    <row r="233" spans="5:10" x14ac:dyDescent="0.25">
      <c r="E233" s="175">
        <f t="shared" ref="E233:G233" si="1021">E88*-1</f>
        <v>0</v>
      </c>
      <c r="F233" s="175">
        <f t="shared" si="1021"/>
        <v>0</v>
      </c>
      <c r="G233" s="175">
        <f t="shared" si="1021"/>
        <v>0</v>
      </c>
      <c r="H233" s="144"/>
      <c r="I233" s="91"/>
      <c r="J233" s="84">
        <f t="shared" si="1007"/>
        <v>0</v>
      </c>
    </row>
    <row r="234" spans="5:10" x14ac:dyDescent="0.25">
      <c r="E234" s="175">
        <f t="shared" ref="E234:G234" si="1022">E89*-1</f>
        <v>0</v>
      </c>
      <c r="F234" s="175">
        <f t="shared" si="1022"/>
        <v>0</v>
      </c>
      <c r="G234" s="175">
        <f t="shared" si="1022"/>
        <v>0</v>
      </c>
      <c r="H234" s="144"/>
      <c r="I234" s="91"/>
      <c r="J234" s="84">
        <f t="shared" si="1007"/>
        <v>0</v>
      </c>
    </row>
    <row r="235" spans="5:10" x14ac:dyDescent="0.25">
      <c r="E235" s="175">
        <f t="shared" ref="E235:G235" si="1023">E90*-1</f>
        <v>0</v>
      </c>
      <c r="F235" s="175">
        <f t="shared" si="1023"/>
        <v>0</v>
      </c>
      <c r="G235" s="175">
        <f t="shared" si="1023"/>
        <v>0</v>
      </c>
      <c r="H235" s="144"/>
      <c r="I235" s="91"/>
      <c r="J235" s="84">
        <f t="shared" si="1007"/>
        <v>0</v>
      </c>
    </row>
    <row r="236" spans="5:10" x14ac:dyDescent="0.25">
      <c r="E236" s="175">
        <f t="shared" ref="E236:G236" si="1024">E91*-1</f>
        <v>0</v>
      </c>
      <c r="F236" s="175">
        <f t="shared" si="1024"/>
        <v>0</v>
      </c>
      <c r="G236" s="175">
        <f t="shared" si="1024"/>
        <v>0</v>
      </c>
      <c r="H236" s="144"/>
      <c r="I236" s="91"/>
      <c r="J236" s="84">
        <f t="shared" si="1007"/>
        <v>0</v>
      </c>
    </row>
    <row r="237" spans="5:10" x14ac:dyDescent="0.25">
      <c r="E237" s="175">
        <f t="shared" ref="E237:G237" si="1025">E92*-1</f>
        <v>0</v>
      </c>
      <c r="F237" s="175">
        <f t="shared" si="1025"/>
        <v>0</v>
      </c>
      <c r="G237" s="175">
        <f t="shared" si="1025"/>
        <v>0</v>
      </c>
      <c r="H237" s="144"/>
      <c r="I237" s="91"/>
      <c r="J237" s="84">
        <f t="shared" si="1007"/>
        <v>0</v>
      </c>
    </row>
    <row r="238" spans="5:10" x14ac:dyDescent="0.25">
      <c r="E238" s="175">
        <f t="shared" ref="E238:G238" si="1026">E93*-1</f>
        <v>0</v>
      </c>
      <c r="F238" s="175">
        <f t="shared" si="1026"/>
        <v>0</v>
      </c>
      <c r="G238" s="175">
        <f t="shared" si="1026"/>
        <v>0</v>
      </c>
      <c r="H238" s="144"/>
      <c r="I238" s="91"/>
      <c r="J238" s="84">
        <f t="shared" si="1007"/>
        <v>0</v>
      </c>
    </row>
    <row r="239" spans="5:10" x14ac:dyDescent="0.25">
      <c r="E239" s="175">
        <f t="shared" ref="E239:G239" si="1027">E94*-1</f>
        <v>0</v>
      </c>
      <c r="F239" s="175">
        <f t="shared" si="1027"/>
        <v>0</v>
      </c>
      <c r="G239" s="175">
        <f t="shared" si="1027"/>
        <v>0</v>
      </c>
      <c r="H239" s="144"/>
      <c r="I239" s="91"/>
      <c r="J239" s="84">
        <f t="shared" si="1007"/>
        <v>0</v>
      </c>
    </row>
    <row r="240" spans="5:10" x14ac:dyDescent="0.25">
      <c r="E240" s="175">
        <f t="shared" ref="E240:G240" si="1028">E95*-1</f>
        <v>0</v>
      </c>
      <c r="F240" s="175">
        <f t="shared" si="1028"/>
        <v>0</v>
      </c>
      <c r="G240" s="175">
        <f t="shared" si="1028"/>
        <v>0</v>
      </c>
      <c r="H240" s="144"/>
      <c r="I240" s="91"/>
      <c r="J240" s="84">
        <f t="shared" si="1007"/>
        <v>0</v>
      </c>
    </row>
    <row r="241" spans="5:10" x14ac:dyDescent="0.25">
      <c r="E241" s="175">
        <f t="shared" ref="E241:G241" si="1029">E96*-1</f>
        <v>0</v>
      </c>
      <c r="F241" s="175">
        <f t="shared" si="1029"/>
        <v>0</v>
      </c>
      <c r="G241" s="175">
        <f t="shared" si="1029"/>
        <v>0</v>
      </c>
      <c r="H241" s="144"/>
      <c r="I241" s="91"/>
      <c r="J241" s="84">
        <f t="shared" si="1007"/>
        <v>0</v>
      </c>
    </row>
    <row r="242" spans="5:10" x14ac:dyDescent="0.25">
      <c r="E242" s="175">
        <f t="shared" ref="E242:G242" si="1030">E97*-1</f>
        <v>0</v>
      </c>
      <c r="F242" s="175">
        <f t="shared" si="1030"/>
        <v>0</v>
      </c>
      <c r="G242" s="175">
        <f t="shared" si="1030"/>
        <v>0</v>
      </c>
      <c r="H242" s="144"/>
      <c r="I242" s="91"/>
      <c r="J242" s="84">
        <f t="shared" si="1007"/>
        <v>0</v>
      </c>
    </row>
    <row r="243" spans="5:10" x14ac:dyDescent="0.25">
      <c r="E243" s="175">
        <f t="shared" ref="E243:G243" si="1031">E98*-1</f>
        <v>0</v>
      </c>
      <c r="F243" s="175">
        <f t="shared" si="1031"/>
        <v>0</v>
      </c>
      <c r="G243" s="175">
        <f t="shared" si="1031"/>
        <v>0</v>
      </c>
      <c r="H243" s="144"/>
      <c r="I243" s="91"/>
      <c r="J243" s="84">
        <f t="shared" si="1007"/>
        <v>0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P6:ER6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36"/>
      <c r="M3" s="1240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119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7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Q4</f>
        <v>Polar XY; Cartesian Z</v>
      </c>
      <c r="X4" s="1123"/>
      <c r="Y4" s="1193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36"/>
      <c r="M5" s="1240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&amp; Z; Z Axis")</f>
        <v>Relative to 's θ &amp; Z; Z Axis</v>
      </c>
      <c r="U5" s="1130"/>
      <c r="V5" s="1175"/>
      <c r="W5" s="1130" t="str">
        <f>CONCATENATE("Relative to ",M8,"'s θ &amp; Z; Z Axis")</f>
        <v>Relative to 's θ &amp; Z;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57">
        <f>((AS4*12)/60)/AS3</f>
        <v>0.25</v>
      </c>
      <c r="AT5" s="486" t="s">
        <v>47</v>
      </c>
      <c r="AV5" s="1243"/>
      <c r="AW5" s="1219" t="str">
        <f>W4</f>
        <v>Polar XY; Cartesian Z</v>
      </c>
      <c r="AX5" s="1123"/>
      <c r="AY5" s="1123"/>
      <c r="AZ5" s="963" t="s">
        <v>104</v>
      </c>
      <c r="BA5" s="1123" t="str">
        <f>AK4</f>
        <v>Polar Z Projection → XZ Plane</v>
      </c>
      <c r="BB5" s="1123"/>
      <c r="BC5" s="1124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36"/>
      <c r="M6" s="1240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Q6</f>
        <v>Projected XY</v>
      </c>
      <c r="X6" s="1126"/>
      <c r="Y6" s="1169" t="str">
        <f>S6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219" t="str">
        <f>AD6</f>
        <v>Unit Vector</v>
      </c>
      <c r="AL6" s="1123"/>
      <c r="AM6" s="1124"/>
      <c r="AN6" s="37" t="s">
        <v>15</v>
      </c>
      <c r="AO6" s="38" t="s">
        <v>16</v>
      </c>
      <c r="AP6" s="189" t="s">
        <v>17</v>
      </c>
      <c r="AQ6" s="1161" t="s">
        <v>108</v>
      </c>
      <c r="AS6" s="177">
        <f>AS5/360</f>
        <v>6.9444444444444447E-4</v>
      </c>
      <c r="AT6" s="487" t="s">
        <v>48</v>
      </c>
      <c r="AV6" s="1243"/>
      <c r="AW6" s="1147" t="str">
        <f>W5</f>
        <v>Relative to 's θ &amp; Z; Z Axis</v>
      </c>
      <c r="AX6" s="1130"/>
      <c r="AY6" s="1130"/>
      <c r="AZ6" s="1256"/>
      <c r="BA6" s="1130" t="str">
        <f>AK5</f>
        <v>Vector Along X Axis</v>
      </c>
      <c r="BB6" s="1130"/>
      <c r="BC6" s="1131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2" t="s">
        <v>40</v>
      </c>
      <c r="C7" s="1213"/>
      <c r="D7" s="1214"/>
      <c r="E7" s="1215" t="s">
        <v>41</v>
      </c>
      <c r="F7" s="1213"/>
      <c r="G7" s="1216"/>
      <c r="H7" s="878" t="s">
        <v>314</v>
      </c>
      <c r="I7" s="865"/>
      <c r="J7" s="866"/>
      <c r="K7" s="564"/>
      <c r="L7" s="36"/>
      <c r="M7" s="1241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Q7</f>
        <v>&lt; θ°</v>
      </c>
      <c r="X7" s="30" t="str">
        <f>R7</f>
        <v>r</v>
      </c>
      <c r="Y7" s="117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2"/>
      <c r="AS7" s="1167" t="s">
        <v>54</v>
      </c>
      <c r="AT7" s="1165" t="s">
        <v>53</v>
      </c>
      <c r="AV7" s="1243"/>
      <c r="AW7" s="1255" t="str">
        <f>$W$6</f>
        <v>Projected XY</v>
      </c>
      <c r="AX7" s="1126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8"/>
      <c r="AT8" s="1166"/>
      <c r="AV8" s="1244"/>
      <c r="AW8" s="49" t="str">
        <f>$W$7</f>
        <v>&lt; θ°</v>
      </c>
      <c r="AX8" s="30" t="str">
        <f>$X$7</f>
        <v>r</v>
      </c>
      <c r="AY8" s="1258"/>
      <c r="AZ8" s="96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3"/>
      <c r="C158" s="1153"/>
      <c r="D158" s="1153"/>
      <c r="E158" s="1153"/>
      <c r="F158" s="1153"/>
      <c r="G158" s="1153"/>
      <c r="H158" s="1153"/>
      <c r="I158" s="1153"/>
      <c r="J158" s="1153"/>
      <c r="K158" s="1204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5"/>
      <c r="C159" s="1206"/>
      <c r="D159" s="1206"/>
      <c r="E159" s="1206"/>
      <c r="F159" s="1206"/>
      <c r="G159" s="1206"/>
      <c r="H159" s="1206"/>
      <c r="I159" s="1206"/>
      <c r="J159" s="1206"/>
      <c r="K159" s="1207"/>
      <c r="AQ159" s="171"/>
    </row>
    <row r="160" spans="2:60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71"/>
    </row>
    <row r="161" spans="2:43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71"/>
    </row>
    <row r="162" spans="2:43" ht="15" customHeight="1" x14ac:dyDescent="0.25">
      <c r="B162" s="1212" t="s">
        <v>40</v>
      </c>
      <c r="C162" s="1213"/>
      <c r="D162" s="1214"/>
      <c r="E162" s="1215" t="s">
        <v>41</v>
      </c>
      <c r="F162" s="1213"/>
      <c r="G162" s="1216"/>
      <c r="H162" s="878" t="s">
        <v>314</v>
      </c>
      <c r="I162" s="865"/>
      <c r="J162" s="866"/>
      <c r="K162" s="564"/>
      <c r="M162" s="1048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1.1120000000000001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1.1180000000000001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1.1240000000000001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1.1299999999999999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1.1359999999999999</v>
      </c>
      <c r="N171" s="594" t="str">
        <f>Assy.Model!K16</f>
        <v>1313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1.2070000000000001</v>
      </c>
      <c r="N172" s="594" t="str">
        <f>Assy.Model!K17</f>
        <v>Knuckle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1.212</v>
      </c>
      <c r="N173" s="594" t="str">
        <f>Assy.Model!K18</f>
        <v>Knuckle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1.218</v>
      </c>
      <c r="N174" s="594" t="str">
        <f>Assy.Model!K19</f>
        <v/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1.224</v>
      </c>
      <c r="N175" s="594" t="str">
        <f>Assy.Model!K20</f>
        <v>1313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1.23</v>
      </c>
      <c r="N176" s="594" t="str">
        <f>Assy.Model!K21</f>
        <v>1313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2.1110000000000002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2.117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2.1230000000000002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2.129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2.1349999999999998</v>
      </c>
      <c r="N181" s="594" t="str">
        <f>Assy.Model!K26</f>
        <v>1313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2.2170000000000001</v>
      </c>
      <c r="N182" s="594" t="str">
        <f>Assy.Model!K27</f>
        <v/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2.2229999999999999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2.2290000000000001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3.1030000000000002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3.1059999999999999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3.11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3.1160000000000001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3.1219999999999999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3.1280000000000001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3.1339999999999999</v>
      </c>
      <c r="N191" s="594" t="str">
        <f>Assy.Model!K36</f>
        <v>1313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3.206</v>
      </c>
      <c r="N192" s="594" t="str">
        <f>Assy.Model!K37</f>
        <v>Knuckle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3.21</v>
      </c>
      <c r="N193" s="594" t="str">
        <f>Assy.Model!K38</f>
        <v>Knuckle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3.2160000000000002</v>
      </c>
      <c r="N194" s="594" t="str">
        <f>Assy.Model!K39</f>
        <v/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3.222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3.2280000000000002</v>
      </c>
      <c r="N196" s="594" t="str">
        <f>Assy.Model!K41</f>
        <v>1313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4.109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4.1150000000000002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4.1210000000000004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4.1269999999999998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4.133</v>
      </c>
      <c r="N201" s="594" t="str">
        <f>Assy.Model!K46</f>
        <v>1313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4.2149999999999999</v>
      </c>
      <c r="N202" s="594" t="str">
        <f>Assy.Model!K47</f>
        <v/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4.2210000000000001</v>
      </c>
      <c r="N203" s="594" t="str">
        <f>Assy.Model!K48</f>
        <v>1313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4.2270000000000003</v>
      </c>
      <c r="N204" s="594" t="str">
        <f>Assy.Model!K49</f>
        <v>1313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5.1020000000000003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5.1050000000000004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5.1079999999999997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5.1139999999999999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5.12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5.1260000000000003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5.1319999999999997</v>
      </c>
      <c r="N211" s="594" t="str">
        <f>Assy.Model!K56</f>
        <v>1313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5.2050000000000001</v>
      </c>
      <c r="N212" s="594" t="str">
        <f>Assy.Model!K57</f>
        <v>Knuckle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5.2080000000000002</v>
      </c>
      <c r="N213" s="594" t="str">
        <f>Assy.Model!K58</f>
        <v>Knuckle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5.2140000000000004</v>
      </c>
      <c r="N214" s="594" t="str">
        <f>Assy.Model!K59</f>
        <v/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5.22</v>
      </c>
      <c r="N215" s="594" t="str">
        <f>Assy.Model!K60</f>
        <v>1313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5.226</v>
      </c>
      <c r="N216" s="594" t="str">
        <f>Assy.Model!K61</f>
        <v>1313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6.1130000000000004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6.1189999999999998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6.125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6.1310000000000002</v>
      </c>
      <c r="N220" s="594" t="str">
        <f>Assy.Model!K65</f>
        <v>1313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6.2130000000000001</v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6.2190000000000003</v>
      </c>
      <c r="N222" s="594" t="str">
        <f>Assy.Model!K67</f>
        <v>1313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6.2249999999999996</v>
      </c>
      <c r="N223" s="594" t="str">
        <f>Assy.Model!K68</f>
        <v>1313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2023-03-21T13:11:24Z</dcterms:modified>
</cp:coreProperties>
</file>