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Sheet1!$A$3:$S$32</definedName>
  </definedNames>
  <calcPr calcId="125725"/>
  <pivotCaches>
    <pivotCache cacheId="5" r:id="rId4"/>
  </pivotCaches>
</workbook>
</file>

<file path=xl/calcChain.xml><?xml version="1.0" encoding="utf-8"?>
<calcChain xmlns="http://schemas.openxmlformats.org/spreadsheetml/2006/main">
  <c r="R32" i="1"/>
  <c r="Q32"/>
  <c r="F22"/>
  <c r="H22" s="1"/>
  <c r="N22" s="1"/>
  <c r="M22"/>
  <c r="F6"/>
  <c r="H6" s="1"/>
  <c r="N6" s="1"/>
  <c r="M6"/>
  <c r="F15"/>
  <c r="H15" s="1"/>
  <c r="N15" s="1"/>
  <c r="M15"/>
  <c r="F17"/>
  <c r="H17" s="1"/>
  <c r="N17" s="1"/>
  <c r="M17"/>
  <c r="F16"/>
  <c r="H16" s="1"/>
  <c r="N16" s="1"/>
  <c r="M16"/>
  <c r="F24"/>
  <c r="H24" s="1"/>
  <c r="N24" s="1"/>
  <c r="M24"/>
  <c r="F4"/>
  <c r="H4" s="1"/>
  <c r="N4" s="1"/>
  <c r="M4"/>
  <c r="F5"/>
  <c r="H5" s="1"/>
  <c r="N5" s="1"/>
  <c r="M5"/>
  <c r="F13"/>
  <c r="H13" s="1"/>
  <c r="N13" s="1"/>
  <c r="M13"/>
  <c r="F26"/>
  <c r="H26" s="1"/>
  <c r="N26" s="1"/>
  <c r="M26"/>
  <c r="F27"/>
  <c r="H27" s="1"/>
  <c r="N27" s="1"/>
  <c r="M27"/>
  <c r="F21"/>
  <c r="H21" s="1"/>
  <c r="N21" s="1"/>
  <c r="M21"/>
  <c r="F14"/>
  <c r="H14" s="1"/>
  <c r="N14" s="1"/>
  <c r="M14"/>
  <c r="F10"/>
  <c r="H10" s="1"/>
  <c r="N10" s="1"/>
  <c r="M10"/>
  <c r="F28"/>
  <c r="H28" s="1"/>
  <c r="N28" s="1"/>
  <c r="M28"/>
  <c r="F18"/>
  <c r="H18" s="1"/>
  <c r="N18" s="1"/>
  <c r="M18"/>
  <c r="F9"/>
  <c r="H9" s="1"/>
  <c r="N9" s="1"/>
  <c r="M9"/>
  <c r="F29"/>
  <c r="H29" s="1"/>
  <c r="N29" s="1"/>
  <c r="M29"/>
  <c r="F8"/>
  <c r="H8" s="1"/>
  <c r="N8" s="1"/>
  <c r="M8"/>
  <c r="F12"/>
  <c r="H12" s="1"/>
  <c r="N12" s="1"/>
  <c r="M12"/>
  <c r="F31"/>
  <c r="H31" s="1"/>
  <c r="N31" s="1"/>
  <c r="M31"/>
  <c r="F30"/>
  <c r="H30" s="1"/>
  <c r="N30" s="1"/>
  <c r="M30"/>
  <c r="F23"/>
  <c r="H23" s="1"/>
  <c r="N23" s="1"/>
  <c r="M23"/>
  <c r="F20"/>
  <c r="H20" s="1"/>
  <c r="N20" s="1"/>
  <c r="M20"/>
  <c r="F11"/>
  <c r="H11" s="1"/>
  <c r="N11" s="1"/>
  <c r="M11"/>
  <c r="F7"/>
  <c r="H7" s="1"/>
  <c r="N7" s="1"/>
  <c r="M7"/>
  <c r="F19"/>
  <c r="H19" s="1"/>
  <c r="N19" s="1"/>
  <c r="M19"/>
  <c r="M25"/>
  <c r="F25"/>
  <c r="H25" s="1"/>
  <c r="N25" s="1"/>
  <c r="S29" l="1"/>
  <c r="S30"/>
  <c r="S7"/>
  <c r="S6"/>
  <c r="S24"/>
  <c r="S26"/>
  <c r="S10"/>
  <c r="S25"/>
  <c r="S31"/>
  <c r="S11"/>
  <c r="S22"/>
  <c r="S16"/>
  <c r="S13"/>
  <c r="S14"/>
  <c r="S12"/>
  <c r="S20"/>
  <c r="S9"/>
  <c r="S17"/>
  <c r="S5"/>
  <c r="S21"/>
  <c r="S18"/>
  <c r="S8"/>
  <c r="S23"/>
  <c r="S19"/>
  <c r="S15"/>
  <c r="S4"/>
  <c r="S27"/>
  <c r="S28"/>
</calcChain>
</file>

<file path=xl/sharedStrings.xml><?xml version="1.0" encoding="utf-8"?>
<sst xmlns="http://schemas.openxmlformats.org/spreadsheetml/2006/main" count="127" uniqueCount="39">
  <si>
    <t>di</t>
  </si>
  <si>
    <t>do</t>
  </si>
  <si>
    <t>footage</t>
  </si>
  <si>
    <t>hr</t>
  </si>
  <si>
    <t>rop</t>
  </si>
  <si>
    <t>gal/min</t>
  </si>
  <si>
    <t>motor</t>
  </si>
  <si>
    <t>total</t>
  </si>
  <si>
    <t>rev/gal</t>
  </si>
  <si>
    <t>doc</t>
  </si>
  <si>
    <t>mfr</t>
  </si>
  <si>
    <t>type</t>
  </si>
  <si>
    <t>U</t>
  </si>
  <si>
    <t>u616s</t>
  </si>
  <si>
    <t>lat</t>
  </si>
  <si>
    <t>long</t>
  </si>
  <si>
    <t>H</t>
  </si>
  <si>
    <t>T606x</t>
  </si>
  <si>
    <t>wob</t>
  </si>
  <si>
    <t>t606x</t>
  </si>
  <si>
    <t>S</t>
  </si>
  <si>
    <t>mdsi619mepx</t>
  </si>
  <si>
    <t>i</t>
  </si>
  <si>
    <t>o</t>
  </si>
  <si>
    <t>Marathon:</t>
  </si>
  <si>
    <t>rig</t>
  </si>
  <si>
    <t>nabors</t>
  </si>
  <si>
    <t>h&amp;p</t>
  </si>
  <si>
    <t>trinidad</t>
  </si>
  <si>
    <t>N</t>
  </si>
  <si>
    <t>ds616M</t>
  </si>
  <si>
    <t>Row Labels</t>
  </si>
  <si>
    <t>Grand Total</t>
  </si>
  <si>
    <t>Count of mfr</t>
  </si>
  <si>
    <t>Column Labels</t>
  </si>
  <si>
    <t>Total Count of mfr</t>
  </si>
  <si>
    <t>Total Average of rop</t>
  </si>
  <si>
    <t>Average of rop</t>
  </si>
  <si>
    <t>mi from ave</t>
  </si>
</sst>
</file>

<file path=xl/styles.xml><?xml version="1.0" encoding="utf-8"?>
<styleSheet xmlns="http://schemas.openxmlformats.org/spreadsheetml/2006/main">
  <numFmts count="1">
    <numFmt numFmtId="166" formatCode="0.000000"/>
  </numFmts>
  <fonts count="2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 applyAlignment="1">
      <alignment horizontal="center" vertical="center"/>
    </xf>
    <xf numFmtId="2" fontId="1" fillId="3" borderId="0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9.5114569822741021E-3"/>
          <c:y val="2.5341454959639478E-2"/>
          <c:w val="0.89338065232118358"/>
          <c:h val="0.85417039851150678"/>
        </c:manualLayout>
      </c:layout>
      <c:scatterChart>
        <c:scatterStyle val="lineMarker"/>
        <c:ser>
          <c:idx val="0"/>
          <c:order val="0"/>
          <c:tx>
            <c:v>lat,long</c:v>
          </c:tx>
          <c:spPr>
            <a:ln w="28575">
              <a:noFill/>
            </a:ln>
          </c:spPr>
          <c:xVal>
            <c:numRef>
              <c:f>Sheet1!$R$4:$R$31</c:f>
              <c:numCache>
                <c:formatCode>0.000000</c:formatCode>
                <c:ptCount val="28"/>
                <c:pt idx="0">
                  <c:v>-97.930670000000006</c:v>
                </c:pt>
                <c:pt idx="1">
                  <c:v>-97.930589999999995</c:v>
                </c:pt>
                <c:pt idx="2">
                  <c:v>-97.968609999999998</c:v>
                </c:pt>
                <c:pt idx="3">
                  <c:v>-97.924840000000003</c:v>
                </c:pt>
                <c:pt idx="4">
                  <c:v>-98.013170000000002</c:v>
                </c:pt>
                <c:pt idx="5">
                  <c:v>-98.023269999999997</c:v>
                </c:pt>
                <c:pt idx="6">
                  <c:v>-97.947320000000005</c:v>
                </c:pt>
                <c:pt idx="7">
                  <c:v>-98.023449999999997</c:v>
                </c:pt>
                <c:pt idx="8">
                  <c:v>-97.970410000000001</c:v>
                </c:pt>
                <c:pt idx="9">
                  <c:v>-98.023089999999996</c:v>
                </c:pt>
                <c:pt idx="10">
                  <c:v>-97.912040000000005</c:v>
                </c:pt>
                <c:pt idx="11">
                  <c:v>-97.934939999999997</c:v>
                </c:pt>
                <c:pt idx="12">
                  <c:v>-98.017110000000002</c:v>
                </c:pt>
                <c:pt idx="13">
                  <c:v>-98.022999999999996</c:v>
                </c:pt>
                <c:pt idx="14">
                  <c:v>-98.068770000000001</c:v>
                </c:pt>
                <c:pt idx="15">
                  <c:v>-98.016840000000002</c:v>
                </c:pt>
                <c:pt idx="16">
                  <c:v>-97.947400000000002</c:v>
                </c:pt>
                <c:pt idx="17">
                  <c:v>-98.006410000000002</c:v>
                </c:pt>
                <c:pt idx="18">
                  <c:v>-98.029939999999996</c:v>
                </c:pt>
                <c:pt idx="19">
                  <c:v>-98.006320000000002</c:v>
                </c:pt>
                <c:pt idx="20">
                  <c:v>-97.984639999999999</c:v>
                </c:pt>
                <c:pt idx="21">
                  <c:v>-97.91319</c:v>
                </c:pt>
                <c:pt idx="22">
                  <c:v>-97.934259999999995</c:v>
                </c:pt>
                <c:pt idx="23">
                  <c:v>-97.913359999999997</c:v>
                </c:pt>
                <c:pt idx="24">
                  <c:v>-97.975390000000004</c:v>
                </c:pt>
                <c:pt idx="25">
                  <c:v>-97.873530000000002</c:v>
                </c:pt>
                <c:pt idx="26">
                  <c:v>-97.984870000000001</c:v>
                </c:pt>
                <c:pt idx="27">
                  <c:v>-97.767259999999993</c:v>
                </c:pt>
              </c:numCache>
            </c:numRef>
          </c:xVal>
          <c:yVal>
            <c:numRef>
              <c:f>Sheet1!$Q$4:$Q$31</c:f>
              <c:numCache>
                <c:formatCode>0.000000</c:formatCode>
                <c:ptCount val="28"/>
                <c:pt idx="0">
                  <c:v>28.83351</c:v>
                </c:pt>
                <c:pt idx="1">
                  <c:v>28.833539999999999</c:v>
                </c:pt>
                <c:pt idx="2">
                  <c:v>28.78135</c:v>
                </c:pt>
                <c:pt idx="3">
                  <c:v>28.864629999999998</c:v>
                </c:pt>
                <c:pt idx="4">
                  <c:v>28.81756</c:v>
                </c:pt>
                <c:pt idx="5">
                  <c:v>28.71443</c:v>
                </c:pt>
                <c:pt idx="6">
                  <c:v>28.827480000000001</c:v>
                </c:pt>
                <c:pt idx="7">
                  <c:v>28.714379999999998</c:v>
                </c:pt>
                <c:pt idx="8">
                  <c:v>28.795860000000001</c:v>
                </c:pt>
                <c:pt idx="9">
                  <c:v>28.714210000000001</c:v>
                </c:pt>
                <c:pt idx="10">
                  <c:v>28.895569999999999</c:v>
                </c:pt>
                <c:pt idx="11">
                  <c:v>28.886880000000001</c:v>
                </c:pt>
                <c:pt idx="12">
                  <c:v>28.78304</c:v>
                </c:pt>
                <c:pt idx="13">
                  <c:v>28.714510000000001</c:v>
                </c:pt>
                <c:pt idx="14">
                  <c:v>28.83699</c:v>
                </c:pt>
                <c:pt idx="15">
                  <c:v>28.78312</c:v>
                </c:pt>
                <c:pt idx="16">
                  <c:v>28.827449999999999</c:v>
                </c:pt>
                <c:pt idx="17">
                  <c:v>28.734819999999999</c:v>
                </c:pt>
                <c:pt idx="18">
                  <c:v>28.762810000000002</c:v>
                </c:pt>
                <c:pt idx="19">
                  <c:v>28.734819999999999</c:v>
                </c:pt>
                <c:pt idx="20">
                  <c:v>28.788019999999999</c:v>
                </c:pt>
                <c:pt idx="21">
                  <c:v>28.812349999999999</c:v>
                </c:pt>
                <c:pt idx="22">
                  <c:v>28.828250000000001</c:v>
                </c:pt>
                <c:pt idx="23">
                  <c:v>28.812290000000001</c:v>
                </c:pt>
                <c:pt idx="24">
                  <c:v>28.795249999999999</c:v>
                </c:pt>
                <c:pt idx="25">
                  <c:v>28.833690000000001</c:v>
                </c:pt>
                <c:pt idx="26">
                  <c:v>28.787870000000002</c:v>
                </c:pt>
                <c:pt idx="27">
                  <c:v>29.009689999999999</c:v>
                </c:pt>
              </c:numCache>
            </c:numRef>
          </c:yVal>
        </c:ser>
        <c:ser>
          <c:idx val="1"/>
          <c:order val="1"/>
          <c:tx>
            <c:v>ave</c:v>
          </c:tx>
          <c:spPr>
            <a:ln w="28575">
              <a:noFill/>
            </a:ln>
          </c:spPr>
          <c:xVal>
            <c:numRef>
              <c:f>Sheet1!$R$32</c:f>
              <c:numCache>
                <c:formatCode>0.000000</c:formatCode>
                <c:ptCount val="1"/>
                <c:pt idx="0">
                  <c:v>-97.966596071428597</c:v>
                </c:pt>
              </c:numCache>
            </c:numRef>
          </c:xVal>
          <c:yVal>
            <c:numRef>
              <c:f>Sheet1!$Q$32</c:f>
              <c:numCache>
                <c:formatCode>0.000000</c:formatCode>
                <c:ptCount val="1"/>
                <c:pt idx="0">
                  <c:v>28.804441785714285</c:v>
                </c:pt>
              </c:numCache>
            </c:numRef>
          </c:yVal>
        </c:ser>
        <c:ser>
          <c:idx val="2"/>
          <c:order val="2"/>
          <c:tx>
            <c:strRef>
              <c:f>Sheet1!$AA$3</c:f>
              <c:strCache>
                <c:ptCount val="1"/>
                <c:pt idx="0">
                  <c:v>nabors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7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Sheet1!$R$21:$R$30</c:f>
              <c:numCache>
                <c:formatCode>0.000000</c:formatCode>
                <c:ptCount val="10"/>
                <c:pt idx="0">
                  <c:v>-98.006410000000002</c:v>
                </c:pt>
                <c:pt idx="1">
                  <c:v>-98.029939999999996</c:v>
                </c:pt>
                <c:pt idx="2">
                  <c:v>-98.006320000000002</c:v>
                </c:pt>
                <c:pt idx="3">
                  <c:v>-97.984639999999999</c:v>
                </c:pt>
                <c:pt idx="4">
                  <c:v>-97.91319</c:v>
                </c:pt>
                <c:pt idx="5">
                  <c:v>-97.934259999999995</c:v>
                </c:pt>
                <c:pt idx="6">
                  <c:v>-97.913359999999997</c:v>
                </c:pt>
                <c:pt idx="7">
                  <c:v>-97.975390000000004</c:v>
                </c:pt>
                <c:pt idx="8">
                  <c:v>-97.873530000000002</c:v>
                </c:pt>
                <c:pt idx="9">
                  <c:v>-97.984870000000001</c:v>
                </c:pt>
              </c:numCache>
            </c:numRef>
          </c:xVal>
          <c:yVal>
            <c:numRef>
              <c:f>Sheet1!$Q$21:$Q$30</c:f>
              <c:numCache>
                <c:formatCode>0.000000</c:formatCode>
                <c:ptCount val="10"/>
                <c:pt idx="0">
                  <c:v>28.734819999999999</c:v>
                </c:pt>
                <c:pt idx="1">
                  <c:v>28.762810000000002</c:v>
                </c:pt>
                <c:pt idx="2">
                  <c:v>28.734819999999999</c:v>
                </c:pt>
                <c:pt idx="3">
                  <c:v>28.788019999999999</c:v>
                </c:pt>
                <c:pt idx="4">
                  <c:v>28.812349999999999</c:v>
                </c:pt>
                <c:pt idx="5">
                  <c:v>28.828250000000001</c:v>
                </c:pt>
                <c:pt idx="6">
                  <c:v>28.812290000000001</c:v>
                </c:pt>
                <c:pt idx="7">
                  <c:v>28.795249999999999</c:v>
                </c:pt>
                <c:pt idx="8">
                  <c:v>28.833690000000001</c:v>
                </c:pt>
                <c:pt idx="9">
                  <c:v>28.787870000000002</c:v>
                </c:pt>
              </c:numCache>
            </c:numRef>
          </c:yVal>
        </c:ser>
        <c:ser>
          <c:idx val="3"/>
          <c:order val="3"/>
          <c:tx>
            <c:strRef>
              <c:f>Sheet1!$AA$4</c:f>
              <c:strCache>
                <c:ptCount val="1"/>
                <c:pt idx="0">
                  <c:v>h&amp;p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Sheet1!$R$4:$R$20</c:f>
              <c:numCache>
                <c:formatCode>0.000000</c:formatCode>
                <c:ptCount val="17"/>
                <c:pt idx="0">
                  <c:v>-97.930670000000006</c:v>
                </c:pt>
                <c:pt idx="1">
                  <c:v>-97.930589999999995</c:v>
                </c:pt>
                <c:pt idx="2">
                  <c:v>-97.968609999999998</c:v>
                </c:pt>
                <c:pt idx="3">
                  <c:v>-97.924840000000003</c:v>
                </c:pt>
                <c:pt idx="4">
                  <c:v>-98.013170000000002</c:v>
                </c:pt>
                <c:pt idx="5">
                  <c:v>-98.023269999999997</c:v>
                </c:pt>
                <c:pt idx="6">
                  <c:v>-97.947320000000005</c:v>
                </c:pt>
                <c:pt idx="7">
                  <c:v>-98.023449999999997</c:v>
                </c:pt>
                <c:pt idx="8">
                  <c:v>-97.970410000000001</c:v>
                </c:pt>
                <c:pt idx="9">
                  <c:v>-98.023089999999996</c:v>
                </c:pt>
                <c:pt idx="10">
                  <c:v>-97.912040000000005</c:v>
                </c:pt>
                <c:pt idx="11">
                  <c:v>-97.934939999999997</c:v>
                </c:pt>
                <c:pt idx="12">
                  <c:v>-98.017110000000002</c:v>
                </c:pt>
                <c:pt idx="13">
                  <c:v>-98.022999999999996</c:v>
                </c:pt>
                <c:pt idx="14">
                  <c:v>-98.068770000000001</c:v>
                </c:pt>
                <c:pt idx="15">
                  <c:v>-98.016840000000002</c:v>
                </c:pt>
                <c:pt idx="16">
                  <c:v>-97.947400000000002</c:v>
                </c:pt>
              </c:numCache>
            </c:numRef>
          </c:xVal>
          <c:yVal>
            <c:numRef>
              <c:f>Sheet1!$Q$4:$Q$20</c:f>
              <c:numCache>
                <c:formatCode>0.000000</c:formatCode>
                <c:ptCount val="17"/>
                <c:pt idx="0">
                  <c:v>28.83351</c:v>
                </c:pt>
                <c:pt idx="1">
                  <c:v>28.833539999999999</c:v>
                </c:pt>
                <c:pt idx="2">
                  <c:v>28.78135</c:v>
                </c:pt>
                <c:pt idx="3">
                  <c:v>28.864629999999998</c:v>
                </c:pt>
                <c:pt idx="4">
                  <c:v>28.81756</c:v>
                </c:pt>
                <c:pt idx="5">
                  <c:v>28.71443</c:v>
                </c:pt>
                <c:pt idx="6">
                  <c:v>28.827480000000001</c:v>
                </c:pt>
                <c:pt idx="7">
                  <c:v>28.714379999999998</c:v>
                </c:pt>
                <c:pt idx="8">
                  <c:v>28.795860000000001</c:v>
                </c:pt>
                <c:pt idx="9">
                  <c:v>28.714210000000001</c:v>
                </c:pt>
                <c:pt idx="10">
                  <c:v>28.895569999999999</c:v>
                </c:pt>
                <c:pt idx="11">
                  <c:v>28.886880000000001</c:v>
                </c:pt>
                <c:pt idx="12">
                  <c:v>28.78304</c:v>
                </c:pt>
                <c:pt idx="13">
                  <c:v>28.714510000000001</c:v>
                </c:pt>
                <c:pt idx="14">
                  <c:v>28.83699</c:v>
                </c:pt>
                <c:pt idx="15">
                  <c:v>28.78312</c:v>
                </c:pt>
                <c:pt idx="16">
                  <c:v>28.827449999999999</c:v>
                </c:pt>
              </c:numCache>
            </c:numRef>
          </c:yVal>
        </c:ser>
        <c:ser>
          <c:idx val="4"/>
          <c:order val="4"/>
          <c:tx>
            <c:strRef>
              <c:f>Sheet1!$AA$5</c:f>
              <c:strCache>
                <c:ptCount val="1"/>
                <c:pt idx="0">
                  <c:v>trinidad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Sheet1!$R$31</c:f>
              <c:numCache>
                <c:formatCode>0.000000</c:formatCode>
                <c:ptCount val="1"/>
                <c:pt idx="0">
                  <c:v>-97.767259999999993</c:v>
                </c:pt>
              </c:numCache>
            </c:numRef>
          </c:xVal>
          <c:yVal>
            <c:numRef>
              <c:f>Sheet1!$Q$31</c:f>
              <c:numCache>
                <c:formatCode>0.000000</c:formatCode>
                <c:ptCount val="1"/>
                <c:pt idx="0">
                  <c:v>29.009689999999999</c:v>
                </c:pt>
              </c:numCache>
            </c:numRef>
          </c:yVal>
        </c:ser>
        <c:ser>
          <c:idx val="5"/>
          <c:order val="5"/>
          <c:tx>
            <c:v>Average</c:v>
          </c:tx>
          <c:spPr>
            <a:ln w="28575">
              <a:noFill/>
            </a:ln>
          </c:spPr>
          <c:xVal>
            <c:numRef>
              <c:f>Sheet1!$R$32</c:f>
              <c:numCache>
                <c:formatCode>0.000000</c:formatCode>
                <c:ptCount val="1"/>
                <c:pt idx="0">
                  <c:v>-97.966596071428597</c:v>
                </c:pt>
              </c:numCache>
            </c:numRef>
          </c:xVal>
          <c:yVal>
            <c:numRef>
              <c:f>Sheet1!$Q$32</c:f>
              <c:numCache>
                <c:formatCode>0.000000</c:formatCode>
                <c:ptCount val="1"/>
                <c:pt idx="0">
                  <c:v>28.804441785714285</c:v>
                </c:pt>
              </c:numCache>
            </c:numRef>
          </c:yVal>
        </c:ser>
        <c:axId val="62700928"/>
        <c:axId val="62699392"/>
      </c:scatterChart>
      <c:valAx>
        <c:axId val="62700928"/>
        <c:scaling>
          <c:orientation val="minMax"/>
        </c:scaling>
        <c:axPos val="b"/>
        <c:numFmt formatCode="0.000000" sourceLinked="1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62699392"/>
        <c:crosses val="autoZero"/>
        <c:crossBetween val="midCat"/>
      </c:valAx>
      <c:valAx>
        <c:axId val="62699392"/>
        <c:scaling>
          <c:orientation val="minMax"/>
        </c:scaling>
        <c:axPos val="l"/>
        <c:majorGridlines/>
        <c:numFmt formatCode="0.000000" sourceLinked="1"/>
        <c:tickLblPos val="high"/>
        <c:crossAx val="627009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41</xdr:row>
      <xdr:rowOff>66675</xdr:rowOff>
    </xdr:from>
    <xdr:to>
      <xdr:col>19</xdr:col>
      <xdr:colOff>476250</xdr:colOff>
      <xdr:row>78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vi Lunt" refreshedDate="42310.611955092594" createdVersion="3" refreshedVersion="3" minRefreshableVersion="3" recordCount="28">
  <cacheSource type="worksheet">
    <worksheetSource ref="A3:R31" sheet="Sheet1"/>
  </cacheSource>
  <cacheFields count="18">
    <cacheField name="rig" numFmtId="0">
      <sharedItems count="3">
        <s v="nabors"/>
        <s v="h&amp;p"/>
        <s v="trinidad"/>
      </sharedItems>
    </cacheField>
    <cacheField name="mfr" numFmtId="0">
      <sharedItems count="4">
        <s v="U"/>
        <s v="H"/>
        <s v="S"/>
        <s v="N"/>
      </sharedItems>
    </cacheField>
    <cacheField name="type" numFmtId="0">
      <sharedItems/>
    </cacheField>
    <cacheField name="di" numFmtId="0">
      <sharedItems containsSemiMixedTypes="0" containsString="0" containsNumber="1" containsInteger="1" minValue="105" maxValue="212"/>
    </cacheField>
    <cacheField name="do" numFmtId="0">
      <sharedItems containsSemiMixedTypes="0" containsString="0" containsNumber="1" containsInteger="1" minValue="3980" maxValue="6264"/>
    </cacheField>
    <cacheField name="footage" numFmtId="0">
      <sharedItems containsSemiMixedTypes="0" containsString="0" containsNumber="1" containsInteger="1" minValue="3855" maxValue="6158" count="26">
        <n v="5308"/>
        <n v="5745"/>
        <n v="5938"/>
        <n v="5565"/>
        <n v="3855"/>
        <n v="5988"/>
        <n v="5990"/>
        <n v="5766"/>
        <n v="6158"/>
        <n v="5819"/>
        <n v="5945"/>
        <n v="6132"/>
        <n v="6018"/>
        <n v="5841"/>
        <n v="5833"/>
        <n v="6156"/>
        <n v="5940"/>
        <n v="6048"/>
        <n v="5676"/>
        <n v="5652"/>
        <n v="6054"/>
        <n v="5664"/>
        <n v="5324"/>
        <n v="6000"/>
        <n v="5911"/>
        <n v="5348"/>
      </sharedItems>
    </cacheField>
    <cacheField name="hr" numFmtId="0">
      <sharedItems containsSemiMixedTypes="0" containsString="0" containsNumber="1" minValue="12" maxValue="25.5"/>
    </cacheField>
    <cacheField name="rop" numFmtId="1">
      <sharedItems containsSemiMixedTypes="0" containsString="0" containsNumber="1" minValue="230.64" maxValue="500"/>
    </cacheField>
    <cacheField name="wob" numFmtId="0">
      <sharedItems containsSemiMixedTypes="0" containsString="0" containsNumber="1" minValue="15" maxValue="32"/>
    </cacheField>
    <cacheField name="motor" numFmtId="0">
      <sharedItems containsSemiMixedTypes="0" containsString="0" containsNumber="1" containsInteger="1" minValue="0" maxValue="249"/>
    </cacheField>
    <cacheField name="total" numFmtId="0">
      <sharedItems containsSemiMixedTypes="0" containsString="0" containsNumber="1" containsInteger="1" minValue="60" maxValue="366"/>
    </cacheField>
    <cacheField name="gal/min" numFmtId="0">
      <sharedItems containsSemiMixedTypes="0" containsString="0" containsNumber="1" minValue="550" maxValue="1661"/>
    </cacheField>
    <cacheField name="rev/gal" numFmtId="2">
      <sharedItems containsSemiMixedTypes="0" containsString="0" containsNumber="1" minValue="0" maxValue="0.28763532210301468"/>
    </cacheField>
    <cacheField name="doc" numFmtId="2">
      <sharedItems containsSemiMixedTypes="0" containsString="0" containsNumber="1" minValue="0.14274782608695655" maxValue="1.1091666666666666"/>
    </cacheField>
    <cacheField name="i" numFmtId="0">
      <sharedItems containsString="0" containsBlank="1" containsNumber="1" containsInteger="1" minValue="0" maxValue="2"/>
    </cacheField>
    <cacheField name="o" numFmtId="0">
      <sharedItems containsString="0" containsBlank="1" containsNumber="1" containsInteger="1" minValue="0" maxValue="3"/>
    </cacheField>
    <cacheField name="lat" numFmtId="166">
      <sharedItems containsSemiMixedTypes="0" containsString="0" containsNumber="1" minValue="28.714210000000001" maxValue="29.788019999999999"/>
    </cacheField>
    <cacheField name="long" numFmtId="166">
      <sharedItems containsSemiMixedTypes="0" containsString="0" containsNumber="1" minValue="-98.068770000000001" maxValue="-97.76725999999999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0"/>
    <s v="u616s"/>
    <n v="112"/>
    <n v="5420"/>
    <x v="0"/>
    <n v="13.5"/>
    <n v="393.18518518518516"/>
    <n v="15"/>
    <n v="127"/>
    <n v="237"/>
    <n v="1158"/>
    <n v="0.10967184801381692"/>
    <n v="0.33180184403813096"/>
    <n v="1"/>
    <n v="1"/>
    <n v="28.812349999999999"/>
    <n v="-97.91319"/>
  </r>
  <r>
    <x v="0"/>
    <x v="1"/>
    <s v="T606x"/>
    <n v="112"/>
    <n v="5857"/>
    <x v="1"/>
    <n v="17.5"/>
    <n v="328.28571428571428"/>
    <n v="25"/>
    <n v="150"/>
    <n v="270"/>
    <n v="1000"/>
    <n v="0.15"/>
    <n v="0.24317460317460318"/>
    <m/>
    <m/>
    <n v="28.833690000000001"/>
    <n v="-97.873530000000002"/>
  </r>
  <r>
    <x v="1"/>
    <x v="1"/>
    <s v="T606x"/>
    <n v="106"/>
    <n v="6044"/>
    <x v="2"/>
    <n v="19"/>
    <n v="312.5263157894737"/>
    <n v="20"/>
    <n v="138"/>
    <n v="248"/>
    <n v="833"/>
    <n v="0.16566626650660263"/>
    <n v="0.25203735144312395"/>
    <n v="0"/>
    <n v="1"/>
    <n v="28.81756"/>
    <n v="-98.013170000000002"/>
  </r>
  <r>
    <x v="1"/>
    <x v="1"/>
    <s v="T606x"/>
    <n v="212"/>
    <n v="5777"/>
    <x v="3"/>
    <n v="19.5"/>
    <n v="285.38461538461536"/>
    <n v="20"/>
    <n v="138"/>
    <n v="227"/>
    <n v="833"/>
    <n v="0.16566626650660263"/>
    <n v="0.25144018976618093"/>
    <n v="1"/>
    <n v="1"/>
    <n v="28.795860000000001"/>
    <n v="-97.970410000000001"/>
  </r>
  <r>
    <x v="2"/>
    <x v="2"/>
    <s v="mdsi619mepx"/>
    <n v="125"/>
    <n v="3980"/>
    <x v="4"/>
    <n v="15.5"/>
    <n v="248.70967741935485"/>
    <n v="25"/>
    <n v="0"/>
    <n v="90"/>
    <n v="680"/>
    <n v="0"/>
    <n v="0.55268817204301079"/>
    <n v="1"/>
    <n v="1"/>
    <n v="29.009689999999999"/>
    <n v="-97.767259999999993"/>
  </r>
  <r>
    <x v="0"/>
    <x v="0"/>
    <s v="u616s"/>
    <n v="112"/>
    <n v="6100"/>
    <x v="5"/>
    <n v="24.5"/>
    <n v="244.40816326530611"/>
    <n v="20"/>
    <n v="169"/>
    <n v="269"/>
    <n v="1050"/>
    <n v="0.16095238095238096"/>
    <n v="0.18171610651695622"/>
    <n v="0"/>
    <n v="1"/>
    <n v="28.787870000000002"/>
    <n v="-97.984870000000001"/>
  </r>
  <r>
    <x v="0"/>
    <x v="1"/>
    <s v="T606x"/>
    <n v="112"/>
    <n v="6102"/>
    <x v="6"/>
    <n v="14.5"/>
    <n v="413.10344827586209"/>
    <n v="30"/>
    <n v="160"/>
    <n v="230"/>
    <n v="1158"/>
    <n v="0.1381692573402418"/>
    <n v="0.35922038980509746"/>
    <n v="1"/>
    <n v="1"/>
    <n v="28.734819999999999"/>
    <n v="-98.006320000000002"/>
  </r>
  <r>
    <x v="1"/>
    <x v="0"/>
    <s v="u616s"/>
    <n v="106"/>
    <n v="5872"/>
    <x v="7"/>
    <n v="25"/>
    <n v="230.64"/>
    <n v="16.899999999999999"/>
    <n v="139"/>
    <n v="235"/>
    <n v="874"/>
    <n v="0.15903890160183065"/>
    <n v="0.19628936170212766"/>
    <n v="1"/>
    <n v="1"/>
    <n v="28.827449999999999"/>
    <n v="-97.947400000000002"/>
  </r>
  <r>
    <x v="1"/>
    <x v="1"/>
    <s v="T606x"/>
    <n v="106"/>
    <n v="6264"/>
    <x v="8"/>
    <n v="21.5"/>
    <n v="286.41860465116281"/>
    <n v="26.5"/>
    <n v="246"/>
    <n v="366"/>
    <n v="915"/>
    <n v="0.26885245901639343"/>
    <n v="0.15651289871648241"/>
    <n v="1"/>
    <n v="3"/>
    <n v="28.714379999999998"/>
    <n v="-98.023449999999997"/>
  </r>
  <r>
    <x v="1"/>
    <x v="0"/>
    <s v="u616s"/>
    <n v="106"/>
    <n v="5925"/>
    <x v="9"/>
    <n v="17.5"/>
    <n v="332.51428571428573"/>
    <n v="30"/>
    <n v="156"/>
    <n v="226"/>
    <n v="944"/>
    <n v="0.1652542372881356"/>
    <n v="0.29426042983565109"/>
    <n v="0"/>
    <n v="1"/>
    <n v="28.864629999999998"/>
    <n v="-97.924840000000003"/>
  </r>
  <r>
    <x v="1"/>
    <x v="1"/>
    <s v="T606x"/>
    <n v="106"/>
    <n v="6051"/>
    <x v="10"/>
    <n v="25.5"/>
    <n v="233.13725490196077"/>
    <n v="15"/>
    <n v="143"/>
    <n v="243"/>
    <n v="899"/>
    <n v="0.15906562847608455"/>
    <n v="0.19188251432260145"/>
    <n v="0"/>
    <n v="0"/>
    <n v="28.78312"/>
    <n v="-98.016840000000002"/>
  </r>
  <r>
    <x v="1"/>
    <x v="1"/>
    <s v="T606x"/>
    <n v="106"/>
    <n v="6238"/>
    <x v="11"/>
    <n v="20"/>
    <n v="306.60000000000002"/>
    <n v="30"/>
    <n v="249"/>
    <n v="349"/>
    <n v="898"/>
    <n v="0.27728285077951004"/>
    <n v="0.17570200573065906"/>
    <n v="0"/>
    <n v="0"/>
    <n v="28.71443"/>
    <n v="-98.023269999999997"/>
  </r>
  <r>
    <x v="0"/>
    <x v="1"/>
    <s v="T606x"/>
    <n v="112"/>
    <n v="6130"/>
    <x v="12"/>
    <n v="14"/>
    <n v="429.85714285714283"/>
    <n v="30"/>
    <n v="127"/>
    <n v="267"/>
    <n v="1158"/>
    <n v="0.10967184801381692"/>
    <n v="0.32199036918138035"/>
    <m/>
    <m/>
    <n v="28.762810000000002"/>
    <n v="-98.029939999999996"/>
  </r>
  <r>
    <x v="1"/>
    <x v="1"/>
    <s v="T606x"/>
    <n v="106"/>
    <n v="5947"/>
    <x v="13"/>
    <n v="17.5"/>
    <n v="333.77142857142854"/>
    <n v="25"/>
    <n v="124"/>
    <n v="224"/>
    <n v="1017"/>
    <n v="0.12192723697148476"/>
    <n v="0.29801020408163265"/>
    <n v="0"/>
    <n v="0"/>
    <n v="28.78135"/>
    <n v="-97.968609999999998"/>
  </r>
  <r>
    <x v="1"/>
    <x v="1"/>
    <s v="T606x"/>
    <n v="105"/>
    <n v="5938"/>
    <x v="14"/>
    <n v="23"/>
    <n v="253.60869565217391"/>
    <n v="25"/>
    <n v="126"/>
    <n v="226"/>
    <n v="831"/>
    <n v="0.15162454873646208"/>
    <n v="0.2244324740284725"/>
    <n v="0"/>
    <n v="0"/>
    <n v="28.886880000000001"/>
    <n v="-97.934939999999997"/>
  </r>
  <r>
    <x v="1"/>
    <x v="1"/>
    <s v="T606x"/>
    <n v="106"/>
    <n v="6262"/>
    <x v="15"/>
    <n v="25"/>
    <n v="246.24"/>
    <n v="20"/>
    <n v="245"/>
    <n v="345"/>
    <n v="874"/>
    <n v="0.2803203661327231"/>
    <n v="0.14274782608695655"/>
    <n v="0"/>
    <n v="0"/>
    <n v="28.714510000000001"/>
    <n v="-98.022999999999996"/>
  </r>
  <r>
    <x v="1"/>
    <x v="1"/>
    <s v="T606x"/>
    <n v="106"/>
    <n v="6046"/>
    <x v="16"/>
    <n v="24"/>
    <n v="247.5"/>
    <n v="20"/>
    <n v="149"/>
    <n v="249"/>
    <n v="900"/>
    <n v="0.16555555555555557"/>
    <n v="0.19879518072289157"/>
    <n v="1"/>
    <n v="1"/>
    <n v="28.78304"/>
    <n v="-98.017110000000002"/>
  </r>
  <r>
    <x v="0"/>
    <x v="0"/>
    <s v="u616s"/>
    <n v="112"/>
    <n v="6160"/>
    <x v="17"/>
    <n v="15"/>
    <n v="403.2"/>
    <n v="25"/>
    <n v="116"/>
    <n v="216"/>
    <n v="1661"/>
    <n v="6.9837447320891033E-2"/>
    <n v="0.37333333333333335"/>
    <n v="0"/>
    <n v="1"/>
    <n v="29.788019999999999"/>
    <n v="-97.984639999999999"/>
  </r>
  <r>
    <x v="1"/>
    <x v="0"/>
    <s v="u616s"/>
    <n v="106"/>
    <n v="5782"/>
    <x v="18"/>
    <n v="14"/>
    <n v="405.42857142857144"/>
    <n v="20"/>
    <n v="150"/>
    <n v="260"/>
    <n v="900"/>
    <n v="0.16666666666666666"/>
    <n v="0.31186813186813189"/>
    <n v="0"/>
    <n v="1"/>
    <n v="28.83351"/>
    <n v="-97.930670000000006"/>
  </r>
  <r>
    <x v="1"/>
    <x v="0"/>
    <s v="u616s"/>
    <n v="106"/>
    <n v="5758"/>
    <x v="19"/>
    <n v="15"/>
    <n v="376.8"/>
    <n v="32"/>
    <n v="150"/>
    <n v="270"/>
    <n v="900"/>
    <n v="0.16666666666666666"/>
    <n v="0.27911111111111109"/>
    <n v="0"/>
    <n v="2"/>
    <n v="28.833539999999999"/>
    <n v="-97.930589999999995"/>
  </r>
  <r>
    <x v="1"/>
    <x v="1"/>
    <s v="T606x"/>
    <n v="106"/>
    <n v="6160"/>
    <x v="20"/>
    <n v="21.5"/>
    <n v="281.58139534883719"/>
    <n v="17.899999999999999"/>
    <n v="237"/>
    <n v="337"/>
    <n v="823.96"/>
    <n v="0.28763532210301468"/>
    <n v="0.16711062038506658"/>
    <n v="0"/>
    <n v="1"/>
    <n v="28.714210000000001"/>
    <n v="-98.023089999999996"/>
  </r>
  <r>
    <x v="0"/>
    <x v="3"/>
    <s v="ds616M"/>
    <n v="112"/>
    <n v="5776"/>
    <x v="21"/>
    <n v="15"/>
    <n v="377.6"/>
    <n v="30"/>
    <n v="0"/>
    <n v="120"/>
    <n v="1110"/>
    <n v="0"/>
    <n v="0.62933333333333341"/>
    <n v="1"/>
    <n v="2"/>
    <n v="28.828250000000001"/>
    <n v="-97.934259999999995"/>
  </r>
  <r>
    <x v="0"/>
    <x v="0"/>
    <s v="u616s"/>
    <n v="112"/>
    <n v="5436"/>
    <x v="22"/>
    <n v="16"/>
    <n v="332.75"/>
    <n v="15"/>
    <n v="0"/>
    <n v="60"/>
    <n v="550"/>
    <n v="0"/>
    <n v="1.1091666666666666"/>
    <n v="0"/>
    <n v="0"/>
    <n v="28.812290000000001"/>
    <n v="-97.913359999999997"/>
  </r>
  <r>
    <x v="0"/>
    <x v="0"/>
    <s v="u616s"/>
    <n v="112"/>
    <n v="6112"/>
    <x v="23"/>
    <n v="12"/>
    <n v="500"/>
    <n v="25"/>
    <n v="160"/>
    <n v="260"/>
    <n v="1158"/>
    <n v="0.1381692573402418"/>
    <n v="0.38461538461538464"/>
    <n v="1"/>
    <n v="1"/>
    <n v="28.734819999999999"/>
    <n v="-98.006410000000002"/>
  </r>
  <r>
    <x v="1"/>
    <x v="0"/>
    <s v="u616s"/>
    <n v="106"/>
    <n v="6017"/>
    <x v="24"/>
    <n v="22"/>
    <n v="268.68181818181819"/>
    <n v="20"/>
    <n v="138"/>
    <n v="208"/>
    <n v="834"/>
    <n v="0.16546762589928057"/>
    <n v="0.25834790209790209"/>
    <n v="0"/>
    <n v="0"/>
    <n v="28.895569999999999"/>
    <n v="-97.912040000000005"/>
  </r>
  <r>
    <x v="1"/>
    <x v="0"/>
    <s v="u616s"/>
    <n v="106"/>
    <n v="5872"/>
    <x v="7"/>
    <n v="20"/>
    <n v="288.3"/>
    <n v="25"/>
    <n v="140"/>
    <n v="210"/>
    <n v="874"/>
    <n v="0.16018306636155608"/>
    <n v="0.27457142857142858"/>
    <n v="2"/>
    <n v="2"/>
    <n v="28.827480000000001"/>
    <n v="-97.947320000000005"/>
  </r>
  <r>
    <x v="0"/>
    <x v="1"/>
    <s v="T606x"/>
    <n v="112"/>
    <n v="5764"/>
    <x v="19"/>
    <n v="17"/>
    <n v="332.47058823529414"/>
    <n v="24"/>
    <n v="186"/>
    <n v="336"/>
    <n v="1162"/>
    <n v="0.16006884681583478"/>
    <n v="0.19789915966386556"/>
    <n v="1"/>
    <n v="1"/>
    <n v="28.795249999999999"/>
    <n v="-97.975390000000004"/>
  </r>
  <r>
    <x v="1"/>
    <x v="0"/>
    <s v="u616s"/>
    <n v="108"/>
    <n v="5456"/>
    <x v="25"/>
    <n v="22"/>
    <n v="243.09090909090909"/>
    <n v="25"/>
    <n v="138"/>
    <n v="208"/>
    <n v="834"/>
    <n v="0.16546762589928057"/>
    <n v="0.23374125874125873"/>
    <m/>
    <m/>
    <n v="28.83699"/>
    <n v="-98.06877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5:K41" firstHeaderRow="1" firstDataRow="3" firstDataCol="1"/>
  <pivotFields count="18">
    <pivotField axis="axisRow" showAll="0">
      <items count="4">
        <item x="1"/>
        <item x="0"/>
        <item x="2"/>
        <item t="default"/>
      </items>
    </pivotField>
    <pivotField axis="axisCol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>
      <items count="27">
        <item x="4"/>
        <item x="0"/>
        <item x="22"/>
        <item x="25"/>
        <item x="3"/>
        <item x="19"/>
        <item x="21"/>
        <item x="18"/>
        <item x="1"/>
        <item x="7"/>
        <item x="9"/>
        <item x="14"/>
        <item x="13"/>
        <item x="24"/>
        <item x="2"/>
        <item x="16"/>
        <item x="10"/>
        <item x="5"/>
        <item x="6"/>
        <item x="23"/>
        <item x="12"/>
        <item x="17"/>
        <item x="20"/>
        <item x="11"/>
        <item x="15"/>
        <item x="8"/>
        <item t="default"/>
      </items>
    </pivotField>
    <pivotField showAll="0"/>
    <pivotField dataField="1" numFmtId="1"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numFmtId="166" showAll="0"/>
    <pivotField numFmtId="166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mfr" fld="1" subtotal="count" baseField="0" baseItem="0"/>
    <dataField name="Average of rop" fld="7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237"/>
  <sheetViews>
    <sheetView tabSelected="1" workbookViewId="0">
      <pane ySplit="3" topLeftCell="A4" activePane="bottomLeft" state="frozen"/>
      <selection pane="bottomLeft" activeCell="I15" sqref="I15"/>
    </sheetView>
  </sheetViews>
  <sheetFormatPr defaultRowHeight="15"/>
  <cols>
    <col min="1" max="1" width="13.140625" style="1" customWidth="1"/>
    <col min="2" max="2" width="16.28515625" style="1" bestFit="1" customWidth="1"/>
    <col min="3" max="3" width="14.140625" style="1" bestFit="1" customWidth="1"/>
    <col min="4" max="4" width="12.140625" style="1" bestFit="1" customWidth="1"/>
    <col min="5" max="5" width="14.140625" style="1" bestFit="1" customWidth="1"/>
    <col min="6" max="6" width="12.140625" style="1" bestFit="1" customWidth="1"/>
    <col min="7" max="7" width="14.140625" style="1" bestFit="1" customWidth="1"/>
    <col min="8" max="8" width="12.140625" style="1" bestFit="1" customWidth="1"/>
    <col min="9" max="9" width="14.140625" style="1" bestFit="1" customWidth="1"/>
    <col min="10" max="10" width="17.28515625" style="1" bestFit="1" customWidth="1"/>
    <col min="11" max="11" width="19.140625" style="1" bestFit="1" customWidth="1"/>
    <col min="12" max="12" width="7.85546875" style="1" bestFit="1" customWidth="1"/>
    <col min="13" max="13" width="7.28515625" style="1" bestFit="1" customWidth="1"/>
    <col min="14" max="14" width="4.5703125" style="1" bestFit="1" customWidth="1"/>
    <col min="15" max="16" width="3.5703125" style="1" customWidth="1"/>
    <col min="17" max="17" width="9.5703125" style="1" customWidth="1"/>
    <col min="18" max="18" width="10.28515625" style="1" customWidth="1"/>
    <col min="19" max="19" width="11.5703125" bestFit="1" customWidth="1"/>
    <col min="20" max="20" width="19" customWidth="1"/>
    <col min="21" max="21" width="15.7109375" style="1" customWidth="1"/>
    <col min="22" max="31" width="5" style="1" customWidth="1"/>
    <col min="32" max="32" width="7.28515625" style="1" customWidth="1"/>
    <col min="33" max="33" width="11.28515625" style="1" bestFit="1" customWidth="1"/>
    <col min="34" max="16384" width="9.140625" style="1"/>
  </cols>
  <sheetData>
    <row r="1" spans="1:27">
      <c r="C1" s="1" t="s">
        <v>24</v>
      </c>
    </row>
    <row r="3" spans="1:27">
      <c r="A3" s="6" t="s">
        <v>25</v>
      </c>
      <c r="B3" s="6" t="s">
        <v>10</v>
      </c>
      <c r="C3" s="6" t="s">
        <v>11</v>
      </c>
      <c r="D3" s="6" t="s">
        <v>0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18</v>
      </c>
      <c r="J3" s="6" t="s">
        <v>6</v>
      </c>
      <c r="K3" s="6" t="s">
        <v>7</v>
      </c>
      <c r="L3" s="6" t="s">
        <v>5</v>
      </c>
      <c r="M3" s="6" t="s">
        <v>8</v>
      </c>
      <c r="N3" s="6" t="s">
        <v>9</v>
      </c>
      <c r="O3" s="6" t="s">
        <v>22</v>
      </c>
      <c r="P3" s="6" t="s">
        <v>23</v>
      </c>
      <c r="Q3" s="6" t="s">
        <v>14</v>
      </c>
      <c r="R3" s="6" t="s">
        <v>15</v>
      </c>
      <c r="S3" s="6" t="s">
        <v>38</v>
      </c>
      <c r="T3" s="1"/>
      <c r="AA3" s="1" t="s">
        <v>26</v>
      </c>
    </row>
    <row r="4" spans="1:27">
      <c r="A4" s="1" t="s">
        <v>27</v>
      </c>
      <c r="B4" s="1" t="s">
        <v>12</v>
      </c>
      <c r="C4" s="1" t="s">
        <v>13</v>
      </c>
      <c r="D4" s="1">
        <v>106</v>
      </c>
      <c r="E4" s="1">
        <v>5782</v>
      </c>
      <c r="F4" s="2">
        <f>E4-D4</f>
        <v>5676</v>
      </c>
      <c r="G4" s="1">
        <v>14</v>
      </c>
      <c r="H4" s="3">
        <f>F4/G4</f>
        <v>405.42857142857144</v>
      </c>
      <c r="I4" s="1">
        <v>20</v>
      </c>
      <c r="J4" s="1">
        <v>150</v>
      </c>
      <c r="K4" s="1">
        <v>260</v>
      </c>
      <c r="L4" s="1">
        <v>900</v>
      </c>
      <c r="M4" s="4">
        <f>J4/L4</f>
        <v>0.16666666666666666</v>
      </c>
      <c r="N4" s="4">
        <f>H4/5/K4</f>
        <v>0.31186813186813189</v>
      </c>
      <c r="O4" s="1">
        <v>0</v>
      </c>
      <c r="P4" s="1">
        <v>1</v>
      </c>
      <c r="Q4" s="5">
        <v>28.83351</v>
      </c>
      <c r="R4" s="5">
        <v>-97.930670000000006</v>
      </c>
      <c r="S4" s="19">
        <f>IF(OR(R4="",Q4=""),"",3958.7559*2*ASIN(SQRT(SIN(RADIANS((Q4-$Q$32)/2))^2+(COS(RADIANS(Q4))*COS(RADIANS($Q$32))*SIN(RADIANS((R4-$R$32)/2))^2))))</f>
        <v>2.9603345255343116</v>
      </c>
      <c r="T4" s="1"/>
      <c r="AA4" s="1" t="s">
        <v>27</v>
      </c>
    </row>
    <row r="5" spans="1:27">
      <c r="A5" s="1" t="s">
        <v>27</v>
      </c>
      <c r="B5" s="1" t="s">
        <v>12</v>
      </c>
      <c r="C5" s="1" t="s">
        <v>13</v>
      </c>
      <c r="D5" s="1">
        <v>106</v>
      </c>
      <c r="E5" s="1">
        <v>5758</v>
      </c>
      <c r="F5" s="2">
        <f>E5-D5</f>
        <v>5652</v>
      </c>
      <c r="G5" s="1">
        <v>15</v>
      </c>
      <c r="H5" s="3">
        <f>F5/G5</f>
        <v>376.8</v>
      </c>
      <c r="I5" s="1">
        <v>32</v>
      </c>
      <c r="J5" s="1">
        <v>150</v>
      </c>
      <c r="K5" s="1">
        <v>270</v>
      </c>
      <c r="L5" s="1">
        <v>900</v>
      </c>
      <c r="M5" s="4">
        <f>J5/L5</f>
        <v>0.16666666666666666</v>
      </c>
      <c r="N5" s="4">
        <f>H5/5/K5</f>
        <v>0.27911111111111109</v>
      </c>
      <c r="O5" s="1">
        <v>0</v>
      </c>
      <c r="P5" s="1">
        <v>2</v>
      </c>
      <c r="Q5" s="5">
        <v>28.833539999999999</v>
      </c>
      <c r="R5" s="5">
        <v>-97.930589999999995</v>
      </c>
      <c r="S5" s="19">
        <f>IF(OR(R5="",Q5=""),"",3958.7559*2*ASIN(SQRT(SIN(RADIANS((Q5-$Q$32)/2))^2+(COS(RADIANS(Q5))*COS(RADIANS($Q$32))*SIN(RADIANS((R5-$R$32)/2))^2))))</f>
        <v>2.9652989254824504</v>
      </c>
      <c r="T5" s="1"/>
      <c r="AA5" s="1" t="s">
        <v>28</v>
      </c>
    </row>
    <row r="6" spans="1:27">
      <c r="A6" s="1" t="s">
        <v>27</v>
      </c>
      <c r="B6" s="1" t="s">
        <v>16</v>
      </c>
      <c r="C6" s="1" t="s">
        <v>19</v>
      </c>
      <c r="D6" s="1">
        <v>106</v>
      </c>
      <c r="E6" s="1">
        <v>5947</v>
      </c>
      <c r="F6" s="2">
        <f>E6-D6</f>
        <v>5841</v>
      </c>
      <c r="G6" s="1">
        <v>17.5</v>
      </c>
      <c r="H6" s="3">
        <f>F6/G6</f>
        <v>333.77142857142854</v>
      </c>
      <c r="I6" s="1">
        <v>25</v>
      </c>
      <c r="J6" s="1">
        <v>124</v>
      </c>
      <c r="K6" s="1">
        <v>224</v>
      </c>
      <c r="L6" s="1">
        <v>1017</v>
      </c>
      <c r="M6" s="4">
        <f>J6/L6</f>
        <v>0.12192723697148476</v>
      </c>
      <c r="N6" s="4">
        <f>H6/5/K6</f>
        <v>0.29801020408163265</v>
      </c>
      <c r="O6" s="1">
        <v>0</v>
      </c>
      <c r="P6" s="1">
        <v>0</v>
      </c>
      <c r="Q6" s="5">
        <v>28.78135</v>
      </c>
      <c r="R6" s="5">
        <v>-97.968609999999998</v>
      </c>
      <c r="S6" s="19">
        <f>IF(OR(R6="",Q6=""),"",3958.7559*2*ASIN(SQRT(SIN(RADIANS((Q6-$Q$32)/2))^2+(COS(RADIANS(Q6))*COS(RADIANS($Q$32))*SIN(RADIANS((R6-$R$32)/2))^2))))</f>
        <v>1.6001417013335606</v>
      </c>
      <c r="T6" s="1"/>
    </row>
    <row r="7" spans="1:27">
      <c r="A7" s="1" t="s">
        <v>27</v>
      </c>
      <c r="B7" s="1" t="s">
        <v>12</v>
      </c>
      <c r="C7" s="1" t="s">
        <v>13</v>
      </c>
      <c r="D7" s="1">
        <v>106</v>
      </c>
      <c r="E7" s="1">
        <v>5925</v>
      </c>
      <c r="F7" s="2">
        <f>E7-D7</f>
        <v>5819</v>
      </c>
      <c r="G7" s="1">
        <v>17.5</v>
      </c>
      <c r="H7" s="3">
        <f>F7/G7</f>
        <v>332.51428571428573</v>
      </c>
      <c r="I7" s="1">
        <v>30</v>
      </c>
      <c r="J7" s="1">
        <v>156</v>
      </c>
      <c r="K7" s="1">
        <v>226</v>
      </c>
      <c r="L7" s="1">
        <v>944</v>
      </c>
      <c r="M7" s="4">
        <f>J7/L7</f>
        <v>0.1652542372881356</v>
      </c>
      <c r="N7" s="4">
        <f>H7/5/K7</f>
        <v>0.29426042983565109</v>
      </c>
      <c r="O7" s="1">
        <v>0</v>
      </c>
      <c r="P7" s="1">
        <v>1</v>
      </c>
      <c r="Q7" s="5">
        <v>28.864629999999998</v>
      </c>
      <c r="R7" s="5">
        <v>-97.924840000000003</v>
      </c>
      <c r="S7" s="19">
        <f>IF(OR(R7="",Q7=""),"",3958.7559*2*ASIN(SQRT(SIN(RADIANS((Q7-$Q$32)/2))^2+(COS(RADIANS(Q7))*COS(RADIANS($Q$32))*SIN(RADIANS((R7-$R$32)/2))^2))))</f>
        <v>4.8663697415637452</v>
      </c>
      <c r="T7" s="1"/>
    </row>
    <row r="8" spans="1:27">
      <c r="A8" s="1" t="s">
        <v>27</v>
      </c>
      <c r="B8" s="1" t="s">
        <v>16</v>
      </c>
      <c r="C8" s="1" t="s">
        <v>19</v>
      </c>
      <c r="D8" s="1">
        <v>106</v>
      </c>
      <c r="E8" s="1">
        <v>6044</v>
      </c>
      <c r="F8" s="2">
        <f>E8-D8</f>
        <v>5938</v>
      </c>
      <c r="G8" s="1">
        <v>19</v>
      </c>
      <c r="H8" s="3">
        <f>F8/G8</f>
        <v>312.5263157894737</v>
      </c>
      <c r="I8" s="1">
        <v>20</v>
      </c>
      <c r="J8" s="1">
        <v>138</v>
      </c>
      <c r="K8" s="1">
        <v>248</v>
      </c>
      <c r="L8" s="1">
        <v>833</v>
      </c>
      <c r="M8" s="4">
        <f>J8/L8</f>
        <v>0.16566626650660263</v>
      </c>
      <c r="N8" s="4">
        <f>H8/5/K8</f>
        <v>0.25203735144312395</v>
      </c>
      <c r="O8" s="1">
        <v>0</v>
      </c>
      <c r="P8" s="1">
        <v>1</v>
      </c>
      <c r="Q8" s="5">
        <v>28.81756</v>
      </c>
      <c r="R8" s="5">
        <v>-98.013170000000002</v>
      </c>
      <c r="S8" s="19">
        <f>IF(OR(R8="",Q8=""),"",3958.7559*2*ASIN(SQRT(SIN(RADIANS((Q8-$Q$32)/2))^2+(COS(RADIANS(Q8))*COS(RADIANS($Q$32))*SIN(RADIANS((R8-$R$32)/2))^2))))</f>
        <v>2.9617113317173027</v>
      </c>
      <c r="T8" s="1"/>
    </row>
    <row r="9" spans="1:27">
      <c r="A9" s="1" t="s">
        <v>27</v>
      </c>
      <c r="B9" s="1" t="s">
        <v>16</v>
      </c>
      <c r="C9" s="1" t="s">
        <v>19</v>
      </c>
      <c r="D9" s="1">
        <v>106</v>
      </c>
      <c r="E9" s="1">
        <v>6238</v>
      </c>
      <c r="F9" s="2">
        <f>E9-D9</f>
        <v>6132</v>
      </c>
      <c r="G9" s="1">
        <v>20</v>
      </c>
      <c r="H9" s="3">
        <f>F9/G9</f>
        <v>306.60000000000002</v>
      </c>
      <c r="I9" s="1">
        <v>30</v>
      </c>
      <c r="J9" s="1">
        <v>249</v>
      </c>
      <c r="K9" s="1">
        <v>349</v>
      </c>
      <c r="L9" s="1">
        <v>898</v>
      </c>
      <c r="M9" s="4">
        <f>J9/L9</f>
        <v>0.27728285077951004</v>
      </c>
      <c r="N9" s="4">
        <f>H9/5/K9</f>
        <v>0.17570200573065906</v>
      </c>
      <c r="O9" s="1">
        <v>0</v>
      </c>
      <c r="P9" s="1">
        <v>0</v>
      </c>
      <c r="Q9" s="5">
        <v>28.71443</v>
      </c>
      <c r="R9" s="5">
        <v>-98.023269999999997</v>
      </c>
      <c r="S9" s="19">
        <f>IF(OR(R9="",Q9=""),"",3958.7559*2*ASIN(SQRT(SIN(RADIANS((Q9-$Q$32)/2))^2+(COS(RADIANS(Q9))*COS(RADIANS($Q$32))*SIN(RADIANS((R9-$R$32)/2))^2))))</f>
        <v>7.1036966978679121</v>
      </c>
      <c r="T9" s="1"/>
    </row>
    <row r="10" spans="1:27">
      <c r="A10" s="1" t="s">
        <v>27</v>
      </c>
      <c r="B10" s="1" t="s">
        <v>12</v>
      </c>
      <c r="C10" s="1" t="s">
        <v>13</v>
      </c>
      <c r="D10" s="1">
        <v>106</v>
      </c>
      <c r="E10" s="1">
        <v>5872</v>
      </c>
      <c r="F10" s="2">
        <f>E10-D10</f>
        <v>5766</v>
      </c>
      <c r="G10" s="1">
        <v>20</v>
      </c>
      <c r="H10" s="3">
        <f>F10/G10</f>
        <v>288.3</v>
      </c>
      <c r="I10" s="1">
        <v>25</v>
      </c>
      <c r="J10" s="1">
        <v>140</v>
      </c>
      <c r="K10" s="1">
        <v>210</v>
      </c>
      <c r="L10" s="1">
        <v>874</v>
      </c>
      <c r="M10" s="4">
        <f>J10/L10</f>
        <v>0.16018306636155608</v>
      </c>
      <c r="N10" s="4">
        <f>H10/5/K10</f>
        <v>0.27457142857142858</v>
      </c>
      <c r="O10" s="1">
        <v>2</v>
      </c>
      <c r="P10" s="1">
        <v>2</v>
      </c>
      <c r="Q10" s="5">
        <v>28.827480000000001</v>
      </c>
      <c r="R10" s="5">
        <v>-97.947320000000005</v>
      </c>
      <c r="S10" s="19">
        <f>IF(OR(R10="",Q10=""),"",3958.7559*2*ASIN(SQRT(SIN(RADIANS((Q10-$Q$32)/2))^2+(COS(RADIANS(Q10))*COS(RADIANS($Q$32))*SIN(RADIANS((R10-$R$32)/2))^2))))</f>
        <v>1.973703911182046</v>
      </c>
      <c r="T10" s="1"/>
    </row>
    <row r="11" spans="1:27">
      <c r="A11" s="1" t="s">
        <v>27</v>
      </c>
      <c r="B11" s="1" t="s">
        <v>16</v>
      </c>
      <c r="C11" s="1" t="s">
        <v>19</v>
      </c>
      <c r="D11" s="1">
        <v>106</v>
      </c>
      <c r="E11" s="1">
        <v>6264</v>
      </c>
      <c r="F11" s="2">
        <f>E11-D11</f>
        <v>6158</v>
      </c>
      <c r="G11" s="1">
        <v>21.5</v>
      </c>
      <c r="H11" s="3">
        <f>F11/G11</f>
        <v>286.41860465116281</v>
      </c>
      <c r="I11" s="1">
        <v>26.5</v>
      </c>
      <c r="J11" s="1">
        <v>246</v>
      </c>
      <c r="K11" s="1">
        <v>366</v>
      </c>
      <c r="L11" s="1">
        <v>915</v>
      </c>
      <c r="M11" s="4">
        <f>J11/L11</f>
        <v>0.26885245901639343</v>
      </c>
      <c r="N11" s="4">
        <f>H11/5/K11</f>
        <v>0.15651289871648241</v>
      </c>
      <c r="O11" s="1">
        <v>1</v>
      </c>
      <c r="P11" s="1">
        <v>3</v>
      </c>
      <c r="Q11" s="5">
        <v>28.714379999999998</v>
      </c>
      <c r="R11" s="5">
        <v>-98.023449999999997</v>
      </c>
      <c r="S11" s="19">
        <f>IF(OR(R11="",Q11=""),"",3958.7559*2*ASIN(SQRT(SIN(RADIANS((Q11-$Q$32)/2))^2+(COS(RADIANS(Q11))*COS(RADIANS($Q$32))*SIN(RADIANS((R11-$R$32)/2))^2))))</f>
        <v>7.1119945607086947</v>
      </c>
      <c r="T11" s="1"/>
    </row>
    <row r="12" spans="1:27">
      <c r="A12" s="1" t="s">
        <v>27</v>
      </c>
      <c r="B12" s="1" t="s">
        <v>16</v>
      </c>
      <c r="C12" s="1" t="s">
        <v>19</v>
      </c>
      <c r="D12" s="1">
        <v>212</v>
      </c>
      <c r="E12" s="1">
        <v>5777</v>
      </c>
      <c r="F12" s="2">
        <f>E12-D12</f>
        <v>5565</v>
      </c>
      <c r="G12" s="1">
        <v>19.5</v>
      </c>
      <c r="H12" s="3">
        <f>F12/G12</f>
        <v>285.38461538461536</v>
      </c>
      <c r="I12" s="1">
        <v>20</v>
      </c>
      <c r="J12" s="1">
        <v>138</v>
      </c>
      <c r="K12" s="1">
        <v>227</v>
      </c>
      <c r="L12" s="1">
        <v>833</v>
      </c>
      <c r="M12" s="4">
        <f>J12/L12</f>
        <v>0.16566626650660263</v>
      </c>
      <c r="N12" s="4">
        <f>H12/5/K12</f>
        <v>0.25144018976618093</v>
      </c>
      <c r="O12" s="1">
        <v>1</v>
      </c>
      <c r="P12" s="1">
        <v>1</v>
      </c>
      <c r="Q12" s="5">
        <v>28.795860000000001</v>
      </c>
      <c r="R12" s="5">
        <v>-97.970410000000001</v>
      </c>
      <c r="S12" s="19">
        <f>IF(OR(R12="",Q12=""),"",3958.7559*2*ASIN(SQRT(SIN(RADIANS((Q12-$Q$32)/2))^2+(COS(RADIANS(Q12))*COS(RADIANS($Q$32))*SIN(RADIANS((R12-$R$32)/2))^2))))</f>
        <v>0.63632334291867376</v>
      </c>
      <c r="T12" s="1"/>
    </row>
    <row r="13" spans="1:27">
      <c r="A13" s="1" t="s">
        <v>27</v>
      </c>
      <c r="B13" s="1" t="s">
        <v>16</v>
      </c>
      <c r="C13" s="1" t="s">
        <v>19</v>
      </c>
      <c r="D13" s="1">
        <v>106</v>
      </c>
      <c r="E13" s="1">
        <v>6160</v>
      </c>
      <c r="F13" s="2">
        <f>E13-D13</f>
        <v>6054</v>
      </c>
      <c r="G13" s="1">
        <v>21.5</v>
      </c>
      <c r="H13" s="3">
        <f>F13/G13</f>
        <v>281.58139534883719</v>
      </c>
      <c r="I13" s="1">
        <v>17.899999999999999</v>
      </c>
      <c r="J13" s="1">
        <v>237</v>
      </c>
      <c r="K13" s="1">
        <v>337</v>
      </c>
      <c r="L13" s="1">
        <v>823.96</v>
      </c>
      <c r="M13" s="4">
        <f>J13/L13</f>
        <v>0.28763532210301468</v>
      </c>
      <c r="N13" s="4">
        <f>H13/5/K13</f>
        <v>0.16711062038506658</v>
      </c>
      <c r="O13" s="1">
        <v>0</v>
      </c>
      <c r="P13" s="1">
        <v>1</v>
      </c>
      <c r="Q13" s="5">
        <v>28.714210000000001</v>
      </c>
      <c r="R13" s="5">
        <v>-98.023089999999996</v>
      </c>
      <c r="S13" s="19">
        <f>IF(OR(R13="",Q13=""),"",3958.7559*2*ASIN(SQRT(SIN(RADIANS((Q13-$Q$32)/2))^2+(COS(RADIANS(Q13))*COS(RADIANS($Q$32))*SIN(RADIANS((R13-$R$32)/2))^2))))</f>
        <v>7.1117578200276172</v>
      </c>
      <c r="T13" s="1"/>
    </row>
    <row r="14" spans="1:27">
      <c r="A14" s="1" t="s">
        <v>27</v>
      </c>
      <c r="B14" s="1" t="s">
        <v>12</v>
      </c>
      <c r="C14" s="1" t="s">
        <v>13</v>
      </c>
      <c r="D14" s="1">
        <v>106</v>
      </c>
      <c r="E14" s="1">
        <v>6017</v>
      </c>
      <c r="F14" s="2">
        <f>E14-D14</f>
        <v>5911</v>
      </c>
      <c r="G14" s="1">
        <v>22</v>
      </c>
      <c r="H14" s="3">
        <f>F14/G14</f>
        <v>268.68181818181819</v>
      </c>
      <c r="I14" s="1">
        <v>20</v>
      </c>
      <c r="J14" s="1">
        <v>138</v>
      </c>
      <c r="K14" s="1">
        <v>208</v>
      </c>
      <c r="L14" s="1">
        <v>834</v>
      </c>
      <c r="M14" s="4">
        <f>J14/L14</f>
        <v>0.16546762589928057</v>
      </c>
      <c r="N14" s="4">
        <f>H14/5/K14</f>
        <v>0.25834790209790209</v>
      </c>
      <c r="O14" s="1">
        <v>0</v>
      </c>
      <c r="P14" s="1">
        <v>0</v>
      </c>
      <c r="Q14" s="5">
        <v>28.895569999999999</v>
      </c>
      <c r="R14" s="5">
        <v>-97.912040000000005</v>
      </c>
      <c r="S14" s="19">
        <f>IF(OR(R14="",Q14=""),"",3958.7559*2*ASIN(SQRT(SIN(RADIANS((Q14-$Q$32)/2))^2+(COS(RADIANS(Q14))*COS(RADIANS($Q$32))*SIN(RADIANS((R14-$R$32)/2))^2))))</f>
        <v>7.1094803487245528</v>
      </c>
      <c r="T14" s="1"/>
    </row>
    <row r="15" spans="1:27">
      <c r="A15" s="1" t="s">
        <v>27</v>
      </c>
      <c r="B15" s="1" t="s">
        <v>16</v>
      </c>
      <c r="C15" s="1" t="s">
        <v>19</v>
      </c>
      <c r="D15" s="1">
        <v>105</v>
      </c>
      <c r="E15" s="1">
        <v>5938</v>
      </c>
      <c r="F15" s="2">
        <f>E15-D15</f>
        <v>5833</v>
      </c>
      <c r="G15" s="1">
        <v>23</v>
      </c>
      <c r="H15" s="3">
        <f>F15/G15</f>
        <v>253.60869565217391</v>
      </c>
      <c r="I15" s="1">
        <v>25</v>
      </c>
      <c r="J15" s="1">
        <v>126</v>
      </c>
      <c r="K15" s="1">
        <v>226</v>
      </c>
      <c r="L15" s="1">
        <v>831</v>
      </c>
      <c r="M15" s="4">
        <f>J15/L15</f>
        <v>0.15162454873646208</v>
      </c>
      <c r="N15" s="4">
        <f>H15/5/K15</f>
        <v>0.2244324740284725</v>
      </c>
      <c r="O15" s="1">
        <v>0</v>
      </c>
      <c r="P15" s="1">
        <v>0</v>
      </c>
      <c r="Q15" s="5">
        <v>28.886880000000001</v>
      </c>
      <c r="R15" s="5">
        <v>-97.934939999999997</v>
      </c>
      <c r="S15" s="19">
        <f>IF(OR(R15="",Q15=""),"",3958.7559*2*ASIN(SQRT(SIN(RADIANS((Q15-$Q$32)/2))^2+(COS(RADIANS(Q15))*COS(RADIANS($Q$32))*SIN(RADIANS((R15-$R$32)/2))^2))))</f>
        <v>6.0094971540117461</v>
      </c>
      <c r="T15" s="1"/>
    </row>
    <row r="16" spans="1:27">
      <c r="A16" s="1" t="s">
        <v>27</v>
      </c>
      <c r="B16" s="1" t="s">
        <v>16</v>
      </c>
      <c r="C16" s="1" t="s">
        <v>17</v>
      </c>
      <c r="D16" s="1">
        <v>106</v>
      </c>
      <c r="E16" s="1">
        <v>6046</v>
      </c>
      <c r="F16" s="2">
        <f>E16-D16</f>
        <v>5940</v>
      </c>
      <c r="G16" s="1">
        <v>24</v>
      </c>
      <c r="H16" s="3">
        <f>F16/G16</f>
        <v>247.5</v>
      </c>
      <c r="I16" s="1">
        <v>20</v>
      </c>
      <c r="J16" s="1">
        <v>149</v>
      </c>
      <c r="K16" s="1">
        <v>249</v>
      </c>
      <c r="L16" s="1">
        <v>900</v>
      </c>
      <c r="M16" s="4">
        <f>J16/L16</f>
        <v>0.16555555555555557</v>
      </c>
      <c r="N16" s="4">
        <f>H16/5/K16</f>
        <v>0.19879518072289157</v>
      </c>
      <c r="O16" s="1">
        <v>1</v>
      </c>
      <c r="P16" s="1">
        <v>1</v>
      </c>
      <c r="Q16" s="5">
        <v>28.78304</v>
      </c>
      <c r="R16" s="5">
        <v>-98.017110000000002</v>
      </c>
      <c r="S16" s="19">
        <f>IF(OR(R16="",Q16=""),"",3958.7559*2*ASIN(SQRT(SIN(RADIANS((Q16-$Q$32)/2))^2+(COS(RADIANS(Q16))*COS(RADIANS($Q$32))*SIN(RADIANS((R16-$R$32)/2))^2))))</f>
        <v>3.3973429310960253</v>
      </c>
      <c r="T16" s="1"/>
    </row>
    <row r="17" spans="1:20">
      <c r="A17" s="1" t="s">
        <v>27</v>
      </c>
      <c r="B17" s="1" t="s">
        <v>16</v>
      </c>
      <c r="C17" s="1" t="s">
        <v>19</v>
      </c>
      <c r="D17" s="1">
        <v>106</v>
      </c>
      <c r="E17" s="1">
        <v>6262</v>
      </c>
      <c r="F17" s="2">
        <f>E17-D17</f>
        <v>6156</v>
      </c>
      <c r="G17" s="1">
        <v>25</v>
      </c>
      <c r="H17" s="3">
        <f>F17/G17</f>
        <v>246.24</v>
      </c>
      <c r="I17" s="1">
        <v>20</v>
      </c>
      <c r="J17" s="1">
        <v>245</v>
      </c>
      <c r="K17" s="1">
        <v>345</v>
      </c>
      <c r="L17" s="1">
        <v>874</v>
      </c>
      <c r="M17" s="4">
        <f>J17/L17</f>
        <v>0.2803203661327231</v>
      </c>
      <c r="N17" s="4">
        <f>H17/5/K17</f>
        <v>0.14274782608695655</v>
      </c>
      <c r="O17" s="1">
        <v>0</v>
      </c>
      <c r="P17" s="1">
        <v>0</v>
      </c>
      <c r="Q17" s="5">
        <v>28.714510000000001</v>
      </c>
      <c r="R17" s="5">
        <v>-98.022999999999996</v>
      </c>
      <c r="S17" s="19">
        <f>IF(OR(R17="",Q17=""),"",3958.7559*2*ASIN(SQRT(SIN(RADIANS((Q17-$Q$32)/2))^2+(COS(RADIANS(Q17))*COS(RADIANS($Q$32))*SIN(RADIANS((R17-$R$32)/2))^2))))</f>
        <v>7.0909635253088474</v>
      </c>
      <c r="T17" s="1"/>
    </row>
    <row r="18" spans="1:20">
      <c r="A18" s="1" t="s">
        <v>27</v>
      </c>
      <c r="B18" s="1" t="s">
        <v>12</v>
      </c>
      <c r="C18" s="1" t="s">
        <v>13</v>
      </c>
      <c r="D18" s="1">
        <v>108</v>
      </c>
      <c r="E18" s="1">
        <v>5456</v>
      </c>
      <c r="F18" s="2">
        <f>E18-D18</f>
        <v>5348</v>
      </c>
      <c r="G18" s="1">
        <v>22</v>
      </c>
      <c r="H18" s="3">
        <f>F18/G18</f>
        <v>243.09090909090909</v>
      </c>
      <c r="I18" s="1">
        <v>25</v>
      </c>
      <c r="J18" s="1">
        <v>138</v>
      </c>
      <c r="K18" s="1">
        <v>208</v>
      </c>
      <c r="L18" s="1">
        <v>834</v>
      </c>
      <c r="M18" s="4">
        <f>J18/L18</f>
        <v>0.16546762589928057</v>
      </c>
      <c r="N18" s="4">
        <f>H18/5/K18</f>
        <v>0.23374125874125873</v>
      </c>
      <c r="Q18" s="5">
        <v>28.83699</v>
      </c>
      <c r="R18" s="5">
        <v>-98.068770000000001</v>
      </c>
      <c r="S18" s="19">
        <f>IF(OR(R18="",Q18=""),"",3958.7559*2*ASIN(SQRT(SIN(RADIANS((Q18-$Q$32)/2))^2+(COS(RADIANS(Q18))*COS(RADIANS($Q$32))*SIN(RADIANS((R18-$R$32)/2))^2))))</f>
        <v>6.5812393098931574</v>
      </c>
      <c r="T18" s="1"/>
    </row>
    <row r="19" spans="1:20">
      <c r="A19" s="1" t="s">
        <v>27</v>
      </c>
      <c r="B19" s="1" t="s">
        <v>16</v>
      </c>
      <c r="C19" s="1" t="s">
        <v>19</v>
      </c>
      <c r="D19" s="1">
        <v>106</v>
      </c>
      <c r="E19" s="1">
        <v>6051</v>
      </c>
      <c r="F19" s="2">
        <f>E19-D19</f>
        <v>5945</v>
      </c>
      <c r="G19" s="1">
        <v>25.5</v>
      </c>
      <c r="H19" s="3">
        <f>F19/G19</f>
        <v>233.13725490196077</v>
      </c>
      <c r="I19" s="1">
        <v>15</v>
      </c>
      <c r="J19" s="1">
        <v>143</v>
      </c>
      <c r="K19" s="1">
        <v>243</v>
      </c>
      <c r="L19" s="1">
        <v>899</v>
      </c>
      <c r="M19" s="4">
        <f>J19/L19</f>
        <v>0.15906562847608455</v>
      </c>
      <c r="N19" s="4">
        <f>H19/5/K19</f>
        <v>0.19188251432260145</v>
      </c>
      <c r="O19" s="1">
        <v>0</v>
      </c>
      <c r="P19" s="1">
        <v>0</v>
      </c>
      <c r="Q19" s="5">
        <v>28.78312</v>
      </c>
      <c r="R19" s="5">
        <v>-98.016840000000002</v>
      </c>
      <c r="S19" s="19">
        <f>IF(OR(R19="",Q19=""),"",3958.7559*2*ASIN(SQRT(SIN(RADIANS((Q19-$Q$32)/2))^2+(COS(RADIANS(Q19))*COS(RADIANS($Q$32))*SIN(RADIANS((R19-$R$32)/2))^2))))</f>
        <v>3.3802178950589945</v>
      </c>
      <c r="T19" s="1"/>
    </row>
    <row r="20" spans="1:20">
      <c r="A20" s="1" t="s">
        <v>27</v>
      </c>
      <c r="B20" s="1" t="s">
        <v>12</v>
      </c>
      <c r="C20" s="1" t="s">
        <v>13</v>
      </c>
      <c r="D20" s="1">
        <v>106</v>
      </c>
      <c r="E20" s="1">
        <v>5872</v>
      </c>
      <c r="F20" s="2">
        <f>E20-D20</f>
        <v>5766</v>
      </c>
      <c r="G20" s="1">
        <v>25</v>
      </c>
      <c r="H20" s="3">
        <f>F20/G20</f>
        <v>230.64</v>
      </c>
      <c r="I20" s="1">
        <v>16.899999999999999</v>
      </c>
      <c r="J20" s="1">
        <v>139</v>
      </c>
      <c r="K20" s="1">
        <v>235</v>
      </c>
      <c r="L20" s="1">
        <v>874</v>
      </c>
      <c r="M20" s="4">
        <f>J20/L20</f>
        <v>0.15903890160183065</v>
      </c>
      <c r="N20" s="4">
        <f>H20/5/K20</f>
        <v>0.19628936170212766</v>
      </c>
      <c r="O20" s="1">
        <v>1</v>
      </c>
      <c r="P20" s="1">
        <v>1</v>
      </c>
      <c r="Q20" s="5">
        <v>28.827449999999999</v>
      </c>
      <c r="R20" s="5">
        <v>-97.947400000000002</v>
      </c>
      <c r="S20" s="19">
        <f>IF(OR(R20="",Q20=""),"",3958.7559*2*ASIN(SQRT(SIN(RADIANS((Q20-$Q$32)/2))^2+(COS(RADIANS(Q20))*COS(RADIANS($Q$32))*SIN(RADIANS((R20-$R$32)/2))^2))))</f>
        <v>1.9691707542547927</v>
      </c>
      <c r="T20" s="1"/>
    </row>
    <row r="21" spans="1:20">
      <c r="A21" s="1" t="s">
        <v>26</v>
      </c>
      <c r="B21" s="1" t="s">
        <v>12</v>
      </c>
      <c r="C21" s="1" t="s">
        <v>13</v>
      </c>
      <c r="D21" s="1">
        <v>112</v>
      </c>
      <c r="E21" s="1">
        <v>6112</v>
      </c>
      <c r="F21" s="2">
        <f>E21-D21</f>
        <v>6000</v>
      </c>
      <c r="G21" s="1">
        <v>12</v>
      </c>
      <c r="H21" s="3">
        <f>F21/G21</f>
        <v>500</v>
      </c>
      <c r="I21" s="1">
        <v>25</v>
      </c>
      <c r="J21" s="1">
        <v>160</v>
      </c>
      <c r="K21" s="1">
        <v>260</v>
      </c>
      <c r="L21" s="1">
        <v>1158</v>
      </c>
      <c r="M21" s="4">
        <f>J21/L21</f>
        <v>0.1381692573402418</v>
      </c>
      <c r="N21" s="4">
        <f>H21/5/K21</f>
        <v>0.38461538461538464</v>
      </c>
      <c r="O21" s="1">
        <v>1</v>
      </c>
      <c r="P21" s="1">
        <v>1</v>
      </c>
      <c r="Q21" s="5">
        <v>28.734819999999999</v>
      </c>
      <c r="R21" s="5">
        <v>-98.006410000000002</v>
      </c>
      <c r="S21" s="19">
        <f>IF(OR(R21="",Q21=""),"",3958.7559*2*ASIN(SQRT(SIN(RADIANS((Q21-$Q$32)/2))^2+(COS(RADIANS(Q21))*COS(RADIANS($Q$32))*SIN(RADIANS((R21-$R$32)/2))^2))))</f>
        <v>5.3809280653975105</v>
      </c>
      <c r="T21" s="1"/>
    </row>
    <row r="22" spans="1:20">
      <c r="A22" s="1" t="s">
        <v>26</v>
      </c>
      <c r="B22" s="1" t="s">
        <v>16</v>
      </c>
      <c r="C22" s="1" t="s">
        <v>19</v>
      </c>
      <c r="D22" s="1">
        <v>112</v>
      </c>
      <c r="E22" s="1">
        <v>6130</v>
      </c>
      <c r="F22" s="2">
        <f>E22-D22</f>
        <v>6018</v>
      </c>
      <c r="G22" s="1">
        <v>14</v>
      </c>
      <c r="H22" s="3">
        <f>F22/G22</f>
        <v>429.85714285714283</v>
      </c>
      <c r="I22" s="1">
        <v>30</v>
      </c>
      <c r="J22" s="1">
        <v>127</v>
      </c>
      <c r="K22" s="1">
        <v>267</v>
      </c>
      <c r="L22" s="1">
        <v>1158</v>
      </c>
      <c r="M22" s="4">
        <f>J22/L22</f>
        <v>0.10967184801381692</v>
      </c>
      <c r="N22" s="4">
        <f>H22/5/K22</f>
        <v>0.32199036918138035</v>
      </c>
      <c r="Q22" s="5">
        <v>28.762810000000002</v>
      </c>
      <c r="R22" s="5">
        <v>-98.029939999999996</v>
      </c>
      <c r="S22" s="19">
        <f>IF(OR(R22="",Q22=""),"",3958.7559*2*ASIN(SQRT(SIN(RADIANS((Q22-$Q$32)/2))^2+(COS(RADIANS(Q22))*COS(RADIANS($Q$32))*SIN(RADIANS((R22-$R$32)/2))^2))))</f>
        <v>4.7945938013062488</v>
      </c>
      <c r="T22" s="1"/>
    </row>
    <row r="23" spans="1:20">
      <c r="A23" s="1" t="s">
        <v>26</v>
      </c>
      <c r="B23" s="1" t="s">
        <v>16</v>
      </c>
      <c r="C23" s="1" t="s">
        <v>19</v>
      </c>
      <c r="D23" s="1">
        <v>112</v>
      </c>
      <c r="E23" s="1">
        <v>6102</v>
      </c>
      <c r="F23" s="2">
        <f>E23-D23</f>
        <v>5990</v>
      </c>
      <c r="G23" s="1">
        <v>14.5</v>
      </c>
      <c r="H23" s="3">
        <f>F23/G23</f>
        <v>413.10344827586209</v>
      </c>
      <c r="I23" s="1">
        <v>30</v>
      </c>
      <c r="J23" s="1">
        <v>160</v>
      </c>
      <c r="K23" s="1">
        <v>230</v>
      </c>
      <c r="L23" s="1">
        <v>1158</v>
      </c>
      <c r="M23" s="4">
        <f>J23/L23</f>
        <v>0.1381692573402418</v>
      </c>
      <c r="N23" s="4">
        <f>H23/5/K23</f>
        <v>0.35922038980509746</v>
      </c>
      <c r="O23" s="1">
        <v>1</v>
      </c>
      <c r="P23" s="1">
        <v>1</v>
      </c>
      <c r="Q23" s="5">
        <v>28.734819999999999</v>
      </c>
      <c r="R23" s="5">
        <v>-98.006320000000002</v>
      </c>
      <c r="S23" s="19">
        <f>IF(OR(R23="",Q23=""),"",3958.7559*2*ASIN(SQRT(SIN(RADIANS((Q23-$Q$32)/2))^2+(COS(RADIANS(Q23))*COS(RADIANS($Q$32))*SIN(RADIANS((R23-$R$32)/2))^2))))</f>
        <v>5.3784876431983939</v>
      </c>
      <c r="T23" s="1"/>
    </row>
    <row r="24" spans="1:20">
      <c r="A24" s="1" t="s">
        <v>26</v>
      </c>
      <c r="B24" s="1" t="s">
        <v>12</v>
      </c>
      <c r="C24" s="1" t="s">
        <v>13</v>
      </c>
      <c r="D24" s="1">
        <v>112</v>
      </c>
      <c r="E24" s="1">
        <v>6160</v>
      </c>
      <c r="F24" s="2">
        <f>E24-D24</f>
        <v>6048</v>
      </c>
      <c r="G24" s="1">
        <v>15</v>
      </c>
      <c r="H24" s="3">
        <f>F24/G24</f>
        <v>403.2</v>
      </c>
      <c r="I24" s="1">
        <v>25</v>
      </c>
      <c r="J24" s="1">
        <v>116</v>
      </c>
      <c r="K24" s="1">
        <v>216</v>
      </c>
      <c r="L24" s="1">
        <v>1661</v>
      </c>
      <c r="M24" s="4">
        <f>J24/L24</f>
        <v>6.9837447320891033E-2</v>
      </c>
      <c r="N24" s="4">
        <f>H24/5/K24</f>
        <v>0.37333333333333335</v>
      </c>
      <c r="O24" s="1">
        <v>0</v>
      </c>
      <c r="P24" s="1">
        <v>1</v>
      </c>
      <c r="Q24" s="5">
        <v>28.788019999999999</v>
      </c>
      <c r="R24" s="5">
        <v>-97.984639999999999</v>
      </c>
      <c r="S24" s="19">
        <f>IF(OR(R24="",Q24=""),"",3958.7559*2*ASIN(SQRT(SIN(RADIANS((Q24-$Q$32)/2))^2+(COS(RADIANS(Q24))*COS(RADIANS($Q$32))*SIN(RADIANS((R24-$R$32)/2))^2))))</f>
        <v>1.5751352827354921</v>
      </c>
      <c r="T24" s="1"/>
    </row>
    <row r="25" spans="1:20">
      <c r="A25" s="1" t="s">
        <v>26</v>
      </c>
      <c r="B25" s="1" t="s">
        <v>12</v>
      </c>
      <c r="C25" s="1" t="s">
        <v>13</v>
      </c>
      <c r="D25" s="1">
        <v>112</v>
      </c>
      <c r="E25" s="1">
        <v>5420</v>
      </c>
      <c r="F25" s="2">
        <f>E25-D25</f>
        <v>5308</v>
      </c>
      <c r="G25" s="1">
        <v>13.5</v>
      </c>
      <c r="H25" s="3">
        <f>F25/G25</f>
        <v>393.18518518518516</v>
      </c>
      <c r="I25" s="1">
        <v>15</v>
      </c>
      <c r="J25" s="1">
        <v>127</v>
      </c>
      <c r="K25" s="1">
        <v>237</v>
      </c>
      <c r="L25" s="1">
        <v>1158</v>
      </c>
      <c r="M25" s="4">
        <f>J25/L25</f>
        <v>0.10967184801381692</v>
      </c>
      <c r="N25" s="4">
        <f>H25/5/K25</f>
        <v>0.33180184403813096</v>
      </c>
      <c r="O25" s="1">
        <v>1</v>
      </c>
      <c r="P25" s="1">
        <v>1</v>
      </c>
      <c r="Q25" s="5">
        <v>28.812349999999999</v>
      </c>
      <c r="R25" s="5">
        <v>-97.91319</v>
      </c>
      <c r="S25" s="19">
        <f>IF(OR(R25="",Q25=""),"",3958.7559*2*ASIN(SQRT(SIN(RADIANS((Q25-$Q$32)/2))^2+(COS(RADIANS(Q25))*COS(RADIANS($Q$32))*SIN(RADIANS((R25-$R$32)/2))^2))))</f>
        <v>3.2791578236242689</v>
      </c>
      <c r="T25" s="1"/>
    </row>
    <row r="26" spans="1:20">
      <c r="A26" s="1" t="s">
        <v>26</v>
      </c>
      <c r="B26" s="1" t="s">
        <v>29</v>
      </c>
      <c r="C26" s="1" t="s">
        <v>30</v>
      </c>
      <c r="D26" s="1">
        <v>112</v>
      </c>
      <c r="E26" s="1">
        <v>5776</v>
      </c>
      <c r="F26" s="2">
        <f>E26-D26</f>
        <v>5664</v>
      </c>
      <c r="G26" s="1">
        <v>15</v>
      </c>
      <c r="H26" s="3">
        <f>F26/G26</f>
        <v>377.6</v>
      </c>
      <c r="I26" s="1">
        <v>30</v>
      </c>
      <c r="J26" s="1">
        <v>0</v>
      </c>
      <c r="K26" s="1">
        <v>120</v>
      </c>
      <c r="L26" s="1">
        <v>1110</v>
      </c>
      <c r="M26" s="4">
        <f>J26/L26</f>
        <v>0</v>
      </c>
      <c r="N26" s="4">
        <f>H26/5/K26</f>
        <v>0.62933333333333341</v>
      </c>
      <c r="O26" s="1">
        <v>1</v>
      </c>
      <c r="P26" s="1">
        <v>2</v>
      </c>
      <c r="Q26" s="5">
        <v>28.828250000000001</v>
      </c>
      <c r="R26" s="5">
        <v>-97.934259999999995</v>
      </c>
      <c r="S26" s="19">
        <f>IF(OR(R26="",Q26=""),"",3958.7559*2*ASIN(SQRT(SIN(RADIANS((Q26-$Q$32)/2))^2+(COS(RADIANS(Q26))*COS(RADIANS($Q$32))*SIN(RADIANS((R26-$R$32)/2))^2))))</f>
        <v>2.5569439957990818</v>
      </c>
      <c r="T26" s="1"/>
    </row>
    <row r="27" spans="1:20">
      <c r="A27" s="1" t="s">
        <v>26</v>
      </c>
      <c r="B27" s="1" t="s">
        <v>12</v>
      </c>
      <c r="C27" s="1" t="s">
        <v>13</v>
      </c>
      <c r="D27" s="1">
        <v>112</v>
      </c>
      <c r="E27" s="1">
        <v>5436</v>
      </c>
      <c r="F27" s="2">
        <f>E27-D27</f>
        <v>5324</v>
      </c>
      <c r="G27" s="1">
        <v>16</v>
      </c>
      <c r="H27" s="3">
        <f>F27/G27</f>
        <v>332.75</v>
      </c>
      <c r="I27" s="1">
        <v>15</v>
      </c>
      <c r="J27" s="1">
        <v>0</v>
      </c>
      <c r="K27" s="1">
        <v>60</v>
      </c>
      <c r="L27" s="1">
        <v>550</v>
      </c>
      <c r="M27" s="4">
        <f>J27/L27</f>
        <v>0</v>
      </c>
      <c r="N27" s="4">
        <f>H27/5/K27</f>
        <v>1.1091666666666666</v>
      </c>
      <c r="O27" s="1">
        <v>0</v>
      </c>
      <c r="P27" s="1">
        <v>0</v>
      </c>
      <c r="Q27" s="5">
        <v>28.812290000000001</v>
      </c>
      <c r="R27" s="5">
        <v>-97.913359999999997</v>
      </c>
      <c r="S27" s="19">
        <f>IF(OR(R27="",Q27=""),"",3958.7559*2*ASIN(SQRT(SIN(RADIANS((Q27-$Q$32)/2))^2+(COS(RADIANS(Q27))*COS(RADIANS($Q$32))*SIN(RADIANS((R27-$R$32)/2))^2))))</f>
        <v>3.2683205587124062</v>
      </c>
      <c r="T27" s="1"/>
    </row>
    <row r="28" spans="1:20">
      <c r="A28" s="1" t="s">
        <v>26</v>
      </c>
      <c r="B28" s="1" t="s">
        <v>16</v>
      </c>
      <c r="C28" s="1" t="s">
        <v>19</v>
      </c>
      <c r="D28" s="1">
        <v>112</v>
      </c>
      <c r="E28" s="1">
        <v>5764</v>
      </c>
      <c r="F28" s="2">
        <f>E28-D28</f>
        <v>5652</v>
      </c>
      <c r="G28" s="1">
        <v>17</v>
      </c>
      <c r="H28" s="3">
        <f>F28/G28</f>
        <v>332.47058823529414</v>
      </c>
      <c r="I28" s="1">
        <v>24</v>
      </c>
      <c r="J28" s="1">
        <v>186</v>
      </c>
      <c r="K28" s="1">
        <v>336</v>
      </c>
      <c r="L28" s="1">
        <v>1162</v>
      </c>
      <c r="M28" s="4">
        <f>J28/L28</f>
        <v>0.16006884681583478</v>
      </c>
      <c r="N28" s="4">
        <f>H28/5/K28</f>
        <v>0.19789915966386556</v>
      </c>
      <c r="O28" s="1">
        <v>1</v>
      </c>
      <c r="P28" s="1">
        <v>1</v>
      </c>
      <c r="Q28" s="5">
        <v>28.795249999999999</v>
      </c>
      <c r="R28" s="5">
        <v>-97.975390000000004</v>
      </c>
      <c r="S28" s="19">
        <f>IF(OR(R28="",Q28=""),"",3958.7559*2*ASIN(SQRT(SIN(RADIANS((Q28-$Q$32)/2))^2+(COS(RADIANS(Q28))*COS(RADIANS($Q$32))*SIN(RADIANS((R28-$R$32)/2))^2))))</f>
        <v>0.82875789762200502</v>
      </c>
      <c r="T28" s="1"/>
    </row>
    <row r="29" spans="1:20">
      <c r="A29" s="1" t="s">
        <v>26</v>
      </c>
      <c r="B29" s="1" t="s">
        <v>16</v>
      </c>
      <c r="C29" s="1" t="s">
        <v>17</v>
      </c>
      <c r="D29" s="1">
        <v>112</v>
      </c>
      <c r="E29" s="1">
        <v>5857</v>
      </c>
      <c r="F29" s="2">
        <f>E29-D29</f>
        <v>5745</v>
      </c>
      <c r="G29" s="1">
        <v>17.5</v>
      </c>
      <c r="H29" s="3">
        <f>F29/G29</f>
        <v>328.28571428571428</v>
      </c>
      <c r="I29" s="1">
        <v>25</v>
      </c>
      <c r="J29" s="1">
        <v>150</v>
      </c>
      <c r="K29" s="1">
        <v>270</v>
      </c>
      <c r="L29" s="1">
        <v>1000</v>
      </c>
      <c r="M29" s="4">
        <f>J29/L29</f>
        <v>0.15</v>
      </c>
      <c r="N29" s="4">
        <f>H29/5/K29</f>
        <v>0.24317460317460318</v>
      </c>
      <c r="Q29" s="5">
        <v>28.833690000000001</v>
      </c>
      <c r="R29" s="5">
        <v>-97.873530000000002</v>
      </c>
      <c r="S29" s="19">
        <f>IF(OR(R29="",Q29=""),"",3958.7559*2*ASIN(SQRT(SIN(RADIANS((Q29-$Q$32)/2))^2+(COS(RADIANS(Q29))*COS(RADIANS($Q$32))*SIN(RADIANS((R29-$R$32)/2))^2))))</f>
        <v>5.985311443133793</v>
      </c>
      <c r="T29" s="1"/>
    </row>
    <row r="30" spans="1:20">
      <c r="A30" s="1" t="s">
        <v>26</v>
      </c>
      <c r="B30" s="1" t="s">
        <v>12</v>
      </c>
      <c r="C30" s="1" t="s">
        <v>13</v>
      </c>
      <c r="D30" s="1">
        <v>112</v>
      </c>
      <c r="E30" s="1">
        <v>6100</v>
      </c>
      <c r="F30" s="2">
        <f>E30-D30</f>
        <v>5988</v>
      </c>
      <c r="G30" s="1">
        <v>24.5</v>
      </c>
      <c r="H30" s="3">
        <f>F30/G30</f>
        <v>244.40816326530611</v>
      </c>
      <c r="I30" s="1">
        <v>20</v>
      </c>
      <c r="J30" s="1">
        <v>169</v>
      </c>
      <c r="K30" s="1">
        <v>269</v>
      </c>
      <c r="L30" s="1">
        <v>1050</v>
      </c>
      <c r="M30" s="4">
        <f>J30/L30</f>
        <v>0.16095238095238096</v>
      </c>
      <c r="N30" s="4">
        <f>H30/5/K30</f>
        <v>0.18171610651695622</v>
      </c>
      <c r="O30" s="1">
        <v>0</v>
      </c>
      <c r="P30" s="1">
        <v>1</v>
      </c>
      <c r="Q30" s="5">
        <v>28.787870000000002</v>
      </c>
      <c r="R30" s="5">
        <v>-97.984870000000001</v>
      </c>
      <c r="S30" s="19">
        <f>IF(OR(R30="",Q30=""),"",3958.7559*2*ASIN(SQRT(SIN(RADIANS((Q30-$Q$32)/2))^2+(COS(RADIANS(Q30))*COS(RADIANS($Q$32))*SIN(RADIANS((R30-$R$32)/2))^2))))</f>
        <v>1.5922635456594907</v>
      </c>
      <c r="T30" s="1"/>
    </row>
    <row r="31" spans="1:20">
      <c r="A31" s="6" t="s">
        <v>28</v>
      </c>
      <c r="B31" s="6" t="s">
        <v>20</v>
      </c>
      <c r="C31" s="6" t="s">
        <v>21</v>
      </c>
      <c r="D31" s="6">
        <v>125</v>
      </c>
      <c r="E31" s="6">
        <v>3980</v>
      </c>
      <c r="F31" s="11">
        <f>E31-D31</f>
        <v>3855</v>
      </c>
      <c r="G31" s="6">
        <v>15.5</v>
      </c>
      <c r="H31" s="12">
        <f>F31/G31</f>
        <v>248.70967741935485</v>
      </c>
      <c r="I31" s="6">
        <v>25</v>
      </c>
      <c r="J31" s="6">
        <v>0</v>
      </c>
      <c r="K31" s="6">
        <v>90</v>
      </c>
      <c r="L31" s="6">
        <v>680</v>
      </c>
      <c r="M31" s="13">
        <f>J31/L31</f>
        <v>0</v>
      </c>
      <c r="N31" s="13">
        <f>H31/5/K31</f>
        <v>0.55268817204301079</v>
      </c>
      <c r="O31" s="6">
        <v>1</v>
      </c>
      <c r="P31" s="6">
        <v>1</v>
      </c>
      <c r="Q31" s="14">
        <v>29.009689999999999</v>
      </c>
      <c r="R31" s="14">
        <v>-97.767259999999993</v>
      </c>
      <c r="S31" s="20">
        <f>IF(OR(R31="",Q31=""),"",3958.7559*2*ASIN(SQRT(SIN(RADIANS((Q31-$Q$32)/2))^2+(COS(RADIANS(Q31))*COS(RADIANS($Q$32))*SIN(RADIANS((R31-$R$32)/2))^2))))</f>
        <v>18.61381508336499</v>
      </c>
      <c r="T31" s="1"/>
    </row>
    <row r="32" spans="1:20">
      <c r="A32" s="7"/>
      <c r="B32" s="7"/>
      <c r="C32" s="7"/>
      <c r="D32" s="7"/>
      <c r="E32" s="7"/>
      <c r="F32" s="7"/>
      <c r="G32" s="7"/>
      <c r="H32" s="8"/>
      <c r="I32" s="7"/>
      <c r="J32" s="7"/>
      <c r="K32" s="7"/>
      <c r="L32" s="7"/>
      <c r="M32" s="9"/>
      <c r="N32" s="9"/>
      <c r="O32" s="7"/>
      <c r="P32" s="7"/>
      <c r="Q32" s="10">
        <f>AVERAGE(Q4:Q31)</f>
        <v>28.804441785714285</v>
      </c>
      <c r="R32" s="10">
        <f>AVERAGE(R4:R31)</f>
        <v>-97.966596071428597</v>
      </c>
      <c r="S32" s="20"/>
      <c r="T32" s="1"/>
    </row>
    <row r="33" spans="1:33">
      <c r="A33" s="7"/>
      <c r="B33" s="7"/>
      <c r="C33" s="7"/>
      <c r="D33" s="7"/>
      <c r="E33" s="7"/>
      <c r="F33" s="7"/>
      <c r="G33" s="7"/>
      <c r="H33" s="8"/>
      <c r="I33" s="7"/>
      <c r="J33" s="7"/>
      <c r="K33" s="7"/>
      <c r="L33" s="7"/>
      <c r="M33" s="9"/>
      <c r="N33" s="9"/>
      <c r="O33" s="7"/>
      <c r="P33" s="7"/>
      <c r="Q33" s="10"/>
      <c r="R33" s="10"/>
      <c r="S33" s="18"/>
      <c r="T33" s="1"/>
    </row>
    <row r="34" spans="1:33">
      <c r="A34" s="7"/>
      <c r="B34" s="7"/>
      <c r="C34" s="7"/>
      <c r="D34" s="7"/>
      <c r="E34" s="7"/>
      <c r="F34" s="7"/>
      <c r="G34" s="7"/>
      <c r="H34" s="8"/>
      <c r="I34" s="7"/>
      <c r="J34" s="7"/>
      <c r="K34" s="7"/>
      <c r="L34" s="7"/>
      <c r="M34" s="9"/>
      <c r="N34" s="9"/>
      <c r="O34" s="7"/>
      <c r="P34" s="7"/>
      <c r="Q34" s="10"/>
      <c r="R34" s="10"/>
      <c r="S34" s="1"/>
      <c r="T34" s="1"/>
    </row>
    <row r="35" spans="1:33">
      <c r="A35"/>
      <c r="B35" s="15" t="s">
        <v>34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1:33">
      <c r="A36"/>
      <c r="B36" t="s">
        <v>16</v>
      </c>
      <c r="C36"/>
      <c r="D36" t="s">
        <v>29</v>
      </c>
      <c r="E36"/>
      <c r="F36" t="s">
        <v>20</v>
      </c>
      <c r="G36"/>
      <c r="H36" t="s">
        <v>12</v>
      </c>
      <c r="I36"/>
      <c r="J36" t="s">
        <v>35</v>
      </c>
      <c r="K36" t="s">
        <v>36</v>
      </c>
      <c r="L36"/>
      <c r="M36"/>
      <c r="N36"/>
      <c r="O36"/>
      <c r="P36"/>
      <c r="Q36"/>
      <c r="R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>
      <c r="A37" s="15" t="s">
        <v>31</v>
      </c>
      <c r="B37" t="s">
        <v>33</v>
      </c>
      <c r="C37" t="s">
        <v>37</v>
      </c>
      <c r="D37" t="s">
        <v>33</v>
      </c>
      <c r="E37" t="s">
        <v>37</v>
      </c>
      <c r="F37" t="s">
        <v>33</v>
      </c>
      <c r="G37" t="s">
        <v>37</v>
      </c>
      <c r="H37" t="s">
        <v>33</v>
      </c>
      <c r="I37" t="s">
        <v>37</v>
      </c>
      <c r="J37"/>
      <c r="K37"/>
      <c r="L37"/>
      <c r="M37"/>
      <c r="N37"/>
      <c r="O37"/>
      <c r="P37"/>
      <c r="Q37"/>
      <c r="R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>
      <c r="A38" s="16" t="s">
        <v>27</v>
      </c>
      <c r="B38" s="17">
        <v>10</v>
      </c>
      <c r="C38" s="17">
        <v>278.67683102996523</v>
      </c>
      <c r="D38" s="17"/>
      <c r="E38" s="17"/>
      <c r="F38" s="17"/>
      <c r="G38" s="17"/>
      <c r="H38" s="17">
        <v>7</v>
      </c>
      <c r="I38" s="17">
        <v>306.49365491651207</v>
      </c>
      <c r="J38" s="17">
        <v>17</v>
      </c>
      <c r="K38" s="17">
        <v>290.13081733619043</v>
      </c>
      <c r="L38"/>
      <c r="M38"/>
      <c r="N38"/>
      <c r="O38"/>
      <c r="P38"/>
      <c r="Q38"/>
      <c r="R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1:33">
      <c r="A39" s="16" t="s">
        <v>26</v>
      </c>
      <c r="B39" s="17">
        <v>4</v>
      </c>
      <c r="C39" s="17">
        <v>375.92922341350334</v>
      </c>
      <c r="D39" s="17">
        <v>1</v>
      </c>
      <c r="E39" s="17">
        <v>377.6</v>
      </c>
      <c r="F39" s="17"/>
      <c r="G39" s="17"/>
      <c r="H39" s="17">
        <v>5</v>
      </c>
      <c r="I39" s="17">
        <v>374.70866969009825</v>
      </c>
      <c r="J39" s="17">
        <v>10</v>
      </c>
      <c r="K39" s="17">
        <v>375.48602421045041</v>
      </c>
      <c r="L39"/>
      <c r="M39"/>
      <c r="N39"/>
      <c r="O39"/>
      <c r="P39"/>
      <c r="Q39"/>
      <c r="R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spans="1:33">
      <c r="A40" s="16" t="s">
        <v>28</v>
      </c>
      <c r="B40" s="17"/>
      <c r="C40" s="17"/>
      <c r="D40" s="17"/>
      <c r="E40" s="17"/>
      <c r="F40" s="17">
        <v>1</v>
      </c>
      <c r="G40" s="17">
        <v>248.70967741935485</v>
      </c>
      <c r="H40" s="17"/>
      <c r="I40" s="17"/>
      <c r="J40" s="17">
        <v>1</v>
      </c>
      <c r="K40" s="17">
        <v>248.70967741935485</v>
      </c>
      <c r="L40"/>
      <c r="M40"/>
      <c r="N40"/>
      <c r="O40"/>
      <c r="P40"/>
      <c r="Q40"/>
      <c r="R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3">
      <c r="A41" s="16" t="s">
        <v>32</v>
      </c>
      <c r="B41" s="17">
        <v>14</v>
      </c>
      <c r="C41" s="17">
        <v>306.46322885383324</v>
      </c>
      <c r="D41" s="17">
        <v>1</v>
      </c>
      <c r="E41" s="17">
        <v>377.6</v>
      </c>
      <c r="F41" s="17">
        <v>1</v>
      </c>
      <c r="G41" s="17">
        <v>248.70967741935485</v>
      </c>
      <c r="H41" s="17">
        <v>12</v>
      </c>
      <c r="I41" s="17">
        <v>334.91657773883964</v>
      </c>
      <c r="J41" s="17">
        <v>28</v>
      </c>
      <c r="K41" s="17">
        <v>319.13549336568201</v>
      </c>
      <c r="L41"/>
      <c r="M41"/>
      <c r="N41"/>
      <c r="O41"/>
      <c r="P41"/>
      <c r="Q41"/>
      <c r="R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4" spans="1:33">
      <c r="A44"/>
      <c r="B44"/>
      <c r="C44"/>
      <c r="D44" s="7"/>
      <c r="E44" s="7"/>
      <c r="F44" s="7"/>
      <c r="G44" s="7"/>
      <c r="H44" s="8"/>
      <c r="I44" s="7"/>
      <c r="J44" s="7"/>
      <c r="K44" s="7"/>
      <c r="L44" s="7"/>
      <c r="M44" s="9"/>
      <c r="N44" s="9"/>
      <c r="O44" s="7"/>
      <c r="P44" s="7"/>
      <c r="Q44" s="10"/>
      <c r="R44" s="10"/>
      <c r="S44" s="1"/>
      <c r="T44" s="1"/>
    </row>
    <row r="45" spans="1:33">
      <c r="A45"/>
      <c r="B45"/>
      <c r="C45"/>
      <c r="D45" s="7"/>
      <c r="E45" s="7"/>
      <c r="F45" s="7"/>
      <c r="G45" s="7"/>
      <c r="H45" s="8"/>
      <c r="I45" s="7"/>
      <c r="J45" s="7"/>
      <c r="K45" s="7"/>
      <c r="L45" s="7"/>
      <c r="M45" s="9"/>
      <c r="N45" s="9"/>
      <c r="O45" s="7"/>
      <c r="P45" s="7"/>
      <c r="Q45" s="10"/>
      <c r="R45" s="10"/>
      <c r="S45" s="1"/>
      <c r="T45" s="1"/>
    </row>
    <row r="46" spans="1:33">
      <c r="A46"/>
      <c r="B46"/>
      <c r="C46"/>
      <c r="D46" s="7"/>
      <c r="E46" s="7"/>
      <c r="F46" s="7"/>
      <c r="G46" s="7"/>
      <c r="H46" s="8"/>
      <c r="I46" s="7"/>
      <c r="J46" s="7"/>
      <c r="K46" s="7"/>
      <c r="L46" s="7"/>
      <c r="M46" s="9"/>
      <c r="N46" s="9"/>
      <c r="O46" s="7"/>
      <c r="P46" s="7"/>
      <c r="Q46" s="10"/>
      <c r="R46" s="10"/>
      <c r="S46" s="1"/>
      <c r="T46" s="1"/>
    </row>
    <row r="47" spans="1:33">
      <c r="A47"/>
      <c r="B47"/>
      <c r="C47"/>
      <c r="D47" s="7"/>
      <c r="E47" s="7"/>
      <c r="F47" s="7"/>
      <c r="G47" s="7"/>
      <c r="H47" s="8"/>
      <c r="I47" s="7"/>
      <c r="J47" s="7"/>
      <c r="K47" s="7"/>
      <c r="L47" s="7"/>
      <c r="M47" s="9"/>
      <c r="N47" s="9"/>
      <c r="O47" s="7"/>
      <c r="P47" s="7"/>
      <c r="Q47" s="10"/>
      <c r="R47" s="10"/>
      <c r="S47" s="1"/>
      <c r="T47" s="1"/>
    </row>
    <row r="48" spans="1:33">
      <c r="A48"/>
      <c r="B48"/>
      <c r="C48"/>
      <c r="D48" s="7"/>
      <c r="E48" s="7"/>
      <c r="F48" s="7"/>
      <c r="G48" s="7"/>
      <c r="H48" s="8"/>
      <c r="I48" s="7"/>
      <c r="J48" s="7"/>
      <c r="K48" s="7"/>
      <c r="L48" s="7"/>
      <c r="M48" s="9"/>
      <c r="N48" s="9"/>
      <c r="O48" s="7"/>
      <c r="P48" s="7"/>
      <c r="Q48" s="10"/>
      <c r="R48" s="10"/>
    </row>
    <row r="49" spans="1:18">
      <c r="A49"/>
      <c r="B49"/>
      <c r="C49"/>
      <c r="D49" s="7"/>
      <c r="E49" s="7"/>
      <c r="F49" s="7"/>
      <c r="G49" s="7"/>
      <c r="H49" s="8"/>
      <c r="I49" s="7"/>
      <c r="J49" s="7"/>
      <c r="K49" s="7"/>
      <c r="L49" s="7"/>
      <c r="M49" s="9"/>
      <c r="N49" s="9"/>
      <c r="O49" s="7"/>
      <c r="P49" s="7"/>
      <c r="Q49" s="10"/>
      <c r="R49" s="10"/>
    </row>
    <row r="50" spans="1:18">
      <c r="A50"/>
      <c r="B50"/>
      <c r="C50"/>
      <c r="D50" s="7"/>
      <c r="E50" s="7"/>
      <c r="F50" s="7"/>
      <c r="G50" s="7"/>
      <c r="H50" s="8"/>
      <c r="I50" s="7"/>
      <c r="J50" s="7"/>
      <c r="K50" s="7"/>
      <c r="L50" s="7"/>
      <c r="M50" s="9"/>
      <c r="N50" s="9"/>
      <c r="O50" s="7"/>
      <c r="P50" s="7"/>
      <c r="Q50" s="10"/>
      <c r="R50" s="10"/>
    </row>
    <row r="51" spans="1:18">
      <c r="A51"/>
      <c r="B51"/>
      <c r="C51"/>
      <c r="D51" s="7"/>
      <c r="E51" s="7"/>
      <c r="F51" s="7"/>
      <c r="G51" s="7"/>
      <c r="H51" s="8"/>
      <c r="I51" s="7"/>
      <c r="J51" s="7"/>
      <c r="K51" s="7"/>
      <c r="L51" s="7"/>
      <c r="M51" s="9"/>
      <c r="N51" s="9"/>
      <c r="O51" s="7"/>
      <c r="P51" s="7"/>
      <c r="Q51" s="10"/>
      <c r="R51" s="10"/>
    </row>
    <row r="52" spans="1:18">
      <c r="A52"/>
      <c r="B52"/>
      <c r="C52"/>
      <c r="D52" s="7"/>
      <c r="E52" s="7"/>
      <c r="F52" s="7"/>
      <c r="G52" s="7"/>
      <c r="H52" s="8"/>
      <c r="I52" s="7"/>
      <c r="J52" s="7"/>
      <c r="K52" s="7"/>
      <c r="L52" s="7"/>
      <c r="M52" s="9"/>
      <c r="N52" s="9"/>
      <c r="O52" s="7"/>
      <c r="P52" s="7"/>
      <c r="Q52" s="10"/>
      <c r="R52" s="10"/>
    </row>
    <row r="53" spans="1:18">
      <c r="A53" s="7"/>
      <c r="B53" s="7"/>
      <c r="C53" s="7"/>
      <c r="D53" s="7"/>
      <c r="E53" s="7"/>
      <c r="F53" s="7"/>
      <c r="G53" s="7"/>
      <c r="H53" s="8"/>
      <c r="I53" s="7"/>
      <c r="J53" s="7"/>
      <c r="K53" s="7"/>
      <c r="L53" s="7"/>
      <c r="M53" s="9"/>
      <c r="N53" s="9"/>
      <c r="O53" s="7"/>
      <c r="P53" s="7"/>
      <c r="Q53" s="10"/>
      <c r="R53" s="10"/>
    </row>
    <row r="54" spans="1:18">
      <c r="A54" s="7"/>
      <c r="B54" s="7"/>
      <c r="C54" s="7"/>
      <c r="D54" s="7"/>
      <c r="E54" s="7"/>
      <c r="F54" s="7"/>
      <c r="G54" s="7"/>
      <c r="H54" s="8"/>
      <c r="I54" s="7"/>
      <c r="J54" s="7"/>
      <c r="K54" s="7"/>
      <c r="L54" s="7"/>
      <c r="M54" s="9"/>
      <c r="N54" s="9"/>
      <c r="O54" s="7"/>
      <c r="P54" s="7"/>
      <c r="Q54" s="10"/>
      <c r="R54" s="10"/>
    </row>
    <row r="55" spans="1:18">
      <c r="A55" s="7"/>
      <c r="B55" s="7"/>
      <c r="C55" s="7"/>
      <c r="D55" s="7"/>
      <c r="E55" s="7"/>
      <c r="F55" s="7"/>
      <c r="G55" s="7"/>
      <c r="H55" s="8"/>
      <c r="I55" s="7"/>
      <c r="J55" s="7"/>
      <c r="K55" s="7"/>
      <c r="L55" s="7"/>
      <c r="M55" s="9"/>
      <c r="N55" s="9"/>
      <c r="O55" s="7"/>
      <c r="P55" s="7"/>
      <c r="Q55" s="10"/>
      <c r="R55" s="10"/>
    </row>
    <row r="56" spans="1:18">
      <c r="A56" s="7"/>
      <c r="B56" s="7"/>
      <c r="C56" s="7"/>
      <c r="D56" s="7"/>
      <c r="E56" s="7"/>
      <c r="F56" s="7"/>
      <c r="G56" s="7"/>
      <c r="H56" s="8"/>
      <c r="I56" s="7"/>
      <c r="J56" s="7"/>
      <c r="K56" s="7"/>
      <c r="L56" s="7"/>
      <c r="M56" s="9"/>
      <c r="N56" s="9"/>
      <c r="O56" s="7"/>
      <c r="P56" s="7"/>
      <c r="Q56" s="10"/>
      <c r="R56" s="10"/>
    </row>
    <row r="57" spans="1:18">
      <c r="A57" s="7"/>
      <c r="B57" s="7"/>
      <c r="C57" s="7"/>
      <c r="D57" s="7"/>
      <c r="E57" s="7"/>
      <c r="F57" s="7"/>
      <c r="G57" s="7"/>
      <c r="H57" s="8"/>
      <c r="I57" s="7"/>
      <c r="J57" s="7"/>
      <c r="K57" s="7"/>
      <c r="L57" s="7"/>
      <c r="M57" s="9"/>
      <c r="N57" s="9"/>
      <c r="O57" s="7"/>
      <c r="P57" s="7"/>
      <c r="Q57" s="10"/>
      <c r="R57" s="10"/>
    </row>
    <row r="58" spans="1:18">
      <c r="A58" s="7"/>
      <c r="B58" s="7"/>
      <c r="C58" s="7"/>
      <c r="D58" s="7"/>
      <c r="E58" s="7"/>
      <c r="F58" s="7"/>
      <c r="G58" s="7"/>
      <c r="H58" s="8"/>
      <c r="I58" s="7"/>
      <c r="J58" s="7"/>
      <c r="K58" s="7"/>
      <c r="L58" s="7"/>
      <c r="M58" s="9"/>
      <c r="N58" s="9"/>
      <c r="O58" s="7"/>
      <c r="P58" s="7"/>
      <c r="Q58" s="10"/>
      <c r="R58" s="10"/>
    </row>
    <row r="59" spans="1:18">
      <c r="A59" s="7"/>
      <c r="B59" s="7"/>
      <c r="C59" s="7"/>
      <c r="D59" s="7"/>
      <c r="E59" s="7"/>
      <c r="F59" s="7"/>
      <c r="G59" s="7"/>
      <c r="H59" s="8"/>
      <c r="I59" s="7"/>
      <c r="J59" s="7"/>
      <c r="K59" s="7"/>
      <c r="L59" s="7"/>
      <c r="M59" s="9"/>
      <c r="N59" s="9"/>
      <c r="O59" s="7"/>
      <c r="P59" s="7"/>
      <c r="Q59" s="10"/>
      <c r="R59" s="10"/>
    </row>
    <row r="60" spans="1:18">
      <c r="A60" s="7"/>
      <c r="B60" s="7"/>
      <c r="C60" s="7"/>
      <c r="D60" s="7"/>
      <c r="E60" s="7"/>
      <c r="F60" s="7"/>
      <c r="G60" s="7"/>
      <c r="H60" s="8"/>
      <c r="I60" s="7"/>
      <c r="J60" s="7"/>
      <c r="K60" s="7"/>
      <c r="L60" s="7"/>
      <c r="M60" s="9"/>
      <c r="N60" s="9"/>
      <c r="O60" s="7"/>
      <c r="P60" s="7"/>
      <c r="Q60" s="10"/>
      <c r="R60" s="10"/>
    </row>
    <row r="61" spans="1:18">
      <c r="A61" s="7"/>
      <c r="B61" s="7"/>
      <c r="C61" s="7"/>
      <c r="D61" s="7"/>
      <c r="E61" s="7"/>
      <c r="F61" s="7"/>
      <c r="G61" s="7"/>
      <c r="H61" s="8"/>
      <c r="I61" s="7"/>
      <c r="J61" s="7"/>
      <c r="K61" s="7"/>
      <c r="L61" s="7"/>
      <c r="M61" s="9"/>
      <c r="N61" s="9"/>
      <c r="O61" s="7"/>
      <c r="P61" s="7"/>
      <c r="Q61" s="10"/>
      <c r="R61" s="10"/>
    </row>
    <row r="62" spans="1:18">
      <c r="A62" s="7"/>
      <c r="B62" s="7"/>
      <c r="C62" s="7"/>
      <c r="D62" s="7"/>
      <c r="E62" s="7"/>
      <c r="F62" s="7"/>
      <c r="G62" s="7"/>
      <c r="H62" s="8"/>
      <c r="I62" s="7"/>
      <c r="J62" s="7"/>
      <c r="K62" s="7"/>
      <c r="L62" s="7"/>
      <c r="M62" s="9"/>
      <c r="N62" s="9"/>
      <c r="O62" s="7"/>
      <c r="P62" s="7"/>
      <c r="Q62" s="10"/>
      <c r="R62" s="10"/>
    </row>
    <row r="63" spans="1:18">
      <c r="A63" s="7"/>
      <c r="B63" s="7"/>
      <c r="C63" s="7"/>
      <c r="D63" s="7"/>
      <c r="E63" s="7"/>
      <c r="F63" s="7"/>
      <c r="G63" s="7"/>
      <c r="H63" s="8"/>
      <c r="I63" s="7"/>
      <c r="J63" s="7"/>
      <c r="K63" s="7"/>
      <c r="L63" s="7"/>
      <c r="M63" s="9"/>
      <c r="N63" s="9"/>
      <c r="O63" s="7"/>
      <c r="P63" s="7"/>
      <c r="Q63" s="10"/>
      <c r="R63" s="10"/>
    </row>
    <row r="64" spans="1:18">
      <c r="A64" s="7"/>
      <c r="B64" s="7"/>
      <c r="C64" s="7"/>
      <c r="D64" s="7"/>
      <c r="E64" s="7"/>
      <c r="F64" s="7"/>
      <c r="G64" s="7"/>
      <c r="H64" s="8"/>
      <c r="I64" s="7"/>
      <c r="J64" s="7"/>
      <c r="K64" s="7"/>
      <c r="L64" s="7"/>
      <c r="M64" s="9"/>
      <c r="N64" s="9"/>
      <c r="O64" s="7"/>
      <c r="P64" s="7"/>
      <c r="Q64" s="10"/>
      <c r="R64" s="10"/>
    </row>
    <row r="65" spans="1:18">
      <c r="A65" s="7"/>
      <c r="B65" s="7"/>
      <c r="C65" s="7"/>
      <c r="D65" s="7"/>
      <c r="E65" s="7"/>
      <c r="F65" s="7"/>
      <c r="G65" s="7"/>
      <c r="H65" s="8"/>
      <c r="I65" s="7"/>
      <c r="J65" s="7"/>
      <c r="K65" s="7"/>
      <c r="L65" s="7"/>
      <c r="M65" s="9"/>
      <c r="N65" s="9"/>
      <c r="O65" s="7"/>
      <c r="P65" s="7"/>
      <c r="Q65" s="10"/>
      <c r="R65" s="10"/>
    </row>
    <row r="66" spans="1:18">
      <c r="A66" s="7"/>
      <c r="B66" s="7"/>
      <c r="C66" s="7"/>
      <c r="D66" s="7"/>
      <c r="E66" s="7"/>
      <c r="F66" s="7"/>
      <c r="G66" s="7"/>
      <c r="H66" s="8"/>
      <c r="I66" s="7"/>
      <c r="J66" s="7"/>
      <c r="K66" s="7"/>
      <c r="L66" s="7"/>
      <c r="M66" s="9"/>
      <c r="N66" s="9"/>
      <c r="O66" s="7"/>
      <c r="P66" s="7"/>
      <c r="Q66" s="10"/>
      <c r="R66" s="10"/>
    </row>
    <row r="67" spans="1:18">
      <c r="A67" s="7"/>
      <c r="B67" s="7"/>
      <c r="C67" s="7"/>
      <c r="D67" s="7"/>
      <c r="E67" s="7"/>
      <c r="F67" s="7"/>
      <c r="G67" s="7"/>
      <c r="H67" s="8"/>
      <c r="I67" s="7"/>
      <c r="J67" s="7"/>
      <c r="K67" s="7"/>
      <c r="L67" s="7"/>
      <c r="M67" s="9"/>
      <c r="N67" s="9"/>
      <c r="O67" s="7"/>
      <c r="P67" s="7"/>
      <c r="Q67" s="10"/>
      <c r="R67" s="10"/>
    </row>
    <row r="68" spans="1:18">
      <c r="A68" s="7"/>
      <c r="B68" s="7"/>
      <c r="C68" s="7"/>
      <c r="D68" s="7"/>
      <c r="E68" s="7"/>
      <c r="F68" s="7"/>
      <c r="G68" s="7"/>
      <c r="H68" s="8"/>
      <c r="I68" s="7"/>
      <c r="J68" s="7"/>
      <c r="K68" s="7"/>
      <c r="L68" s="7"/>
      <c r="M68" s="9"/>
      <c r="N68" s="9"/>
      <c r="O68" s="7"/>
      <c r="P68" s="7"/>
      <c r="Q68" s="10"/>
      <c r="R68" s="10"/>
    </row>
    <row r="69" spans="1:18">
      <c r="A69" s="7"/>
      <c r="B69" s="7"/>
      <c r="C69" s="7"/>
      <c r="D69" s="7"/>
      <c r="E69" s="7"/>
      <c r="F69" s="7"/>
      <c r="G69" s="7"/>
      <c r="H69" s="8"/>
      <c r="I69" s="7"/>
      <c r="J69" s="7"/>
      <c r="K69" s="7"/>
      <c r="L69" s="7"/>
      <c r="M69" s="9"/>
      <c r="N69" s="9"/>
      <c r="O69" s="7"/>
      <c r="P69" s="7"/>
      <c r="Q69" s="10"/>
      <c r="R69" s="10"/>
    </row>
    <row r="70" spans="1:18">
      <c r="A70" s="7"/>
      <c r="B70" s="7"/>
      <c r="C70" s="7"/>
      <c r="D70" s="7"/>
      <c r="E70" s="7"/>
      <c r="F70" s="7"/>
      <c r="G70" s="7"/>
      <c r="H70" s="8"/>
      <c r="I70" s="7"/>
      <c r="J70" s="7"/>
      <c r="K70" s="7"/>
      <c r="L70" s="7"/>
      <c r="M70" s="9"/>
      <c r="N70" s="9"/>
      <c r="O70" s="7"/>
      <c r="P70" s="7"/>
      <c r="Q70" s="10"/>
      <c r="R70" s="10"/>
    </row>
    <row r="71" spans="1:18">
      <c r="A71" s="7"/>
      <c r="B71" s="7"/>
      <c r="C71" s="7"/>
      <c r="D71" s="7"/>
      <c r="E71" s="7"/>
      <c r="F71" s="7"/>
      <c r="G71" s="7"/>
      <c r="H71" s="8"/>
      <c r="I71" s="7"/>
      <c r="J71" s="7"/>
      <c r="K71" s="7"/>
      <c r="L71" s="7"/>
      <c r="M71" s="9"/>
      <c r="N71" s="9"/>
      <c r="O71" s="7"/>
      <c r="P71" s="7"/>
      <c r="Q71" s="10"/>
      <c r="R71" s="10"/>
    </row>
    <row r="72" spans="1:18">
      <c r="A72" s="7"/>
      <c r="B72" s="7"/>
      <c r="C72" s="7"/>
      <c r="D72" s="7"/>
      <c r="E72" s="7"/>
      <c r="F72" s="7"/>
      <c r="G72" s="7"/>
      <c r="H72" s="8"/>
      <c r="I72" s="7"/>
      <c r="J72" s="7"/>
      <c r="K72" s="7"/>
      <c r="L72" s="7"/>
      <c r="M72" s="9"/>
      <c r="N72" s="9"/>
      <c r="O72" s="7"/>
      <c r="P72" s="7"/>
      <c r="Q72" s="10"/>
      <c r="R72" s="10"/>
    </row>
    <row r="73" spans="1:18">
      <c r="A73" s="7"/>
      <c r="B73" s="7"/>
      <c r="C73" s="7"/>
      <c r="D73" s="7"/>
      <c r="E73" s="7"/>
      <c r="F73" s="7"/>
      <c r="G73" s="7"/>
      <c r="H73" s="8"/>
      <c r="I73" s="7"/>
      <c r="J73" s="7"/>
      <c r="K73" s="7"/>
      <c r="L73" s="7"/>
      <c r="M73" s="9"/>
      <c r="N73" s="9"/>
      <c r="O73" s="7"/>
      <c r="P73" s="7"/>
      <c r="Q73" s="10"/>
      <c r="R73" s="10"/>
    </row>
    <row r="74" spans="1:18">
      <c r="A74" s="7"/>
      <c r="B74" s="7"/>
      <c r="C74" s="7"/>
      <c r="D74" s="7"/>
      <c r="E74" s="7"/>
      <c r="F74" s="7"/>
      <c r="G74" s="7"/>
      <c r="H74" s="8"/>
      <c r="I74" s="7"/>
      <c r="J74" s="7"/>
      <c r="K74" s="7"/>
      <c r="L74" s="7"/>
      <c r="M74" s="9"/>
      <c r="N74" s="9"/>
      <c r="O74" s="7"/>
      <c r="P74" s="7"/>
      <c r="Q74" s="10"/>
      <c r="R74" s="10"/>
    </row>
    <row r="75" spans="1:18">
      <c r="A75" s="7"/>
      <c r="B75" s="7"/>
      <c r="C75" s="7"/>
      <c r="D75" s="7"/>
      <c r="E75" s="7"/>
      <c r="F75" s="7"/>
      <c r="G75" s="7"/>
      <c r="H75" s="8"/>
      <c r="I75" s="7"/>
      <c r="J75" s="7"/>
      <c r="K75" s="7"/>
      <c r="L75" s="7"/>
      <c r="M75" s="9"/>
      <c r="N75" s="9"/>
      <c r="O75" s="7"/>
      <c r="P75" s="7"/>
      <c r="Q75" s="10"/>
      <c r="R75" s="10"/>
    </row>
    <row r="76" spans="1:18">
      <c r="A76" s="7"/>
      <c r="B76" s="7"/>
      <c r="C76" s="7"/>
      <c r="D76" s="7"/>
      <c r="E76" s="7"/>
      <c r="F76" s="7"/>
      <c r="G76" s="7"/>
      <c r="H76" s="8"/>
      <c r="I76" s="7"/>
      <c r="J76" s="7"/>
      <c r="K76" s="7"/>
      <c r="L76" s="7"/>
      <c r="M76" s="9"/>
      <c r="N76" s="9"/>
      <c r="O76" s="7"/>
      <c r="P76" s="7"/>
      <c r="Q76" s="10"/>
      <c r="R76" s="10"/>
    </row>
    <row r="77" spans="1:18">
      <c r="A77" s="7"/>
      <c r="B77" s="7"/>
      <c r="C77" s="7"/>
      <c r="D77" s="7"/>
      <c r="E77" s="7"/>
      <c r="F77" s="7"/>
      <c r="G77" s="7"/>
      <c r="H77" s="8"/>
      <c r="I77" s="7"/>
      <c r="J77" s="7"/>
      <c r="K77" s="7"/>
      <c r="L77" s="7"/>
      <c r="M77" s="9"/>
      <c r="N77" s="9"/>
      <c r="O77" s="7"/>
      <c r="P77" s="7"/>
      <c r="Q77" s="10"/>
      <c r="R77" s="10"/>
    </row>
    <row r="78" spans="1:18">
      <c r="A78" s="7"/>
      <c r="B78" s="7"/>
      <c r="C78" s="7"/>
      <c r="D78" s="7"/>
      <c r="E78" s="7"/>
      <c r="F78" s="7"/>
      <c r="G78" s="7"/>
      <c r="H78" s="8"/>
      <c r="I78" s="7"/>
      <c r="J78" s="7"/>
      <c r="K78" s="7"/>
      <c r="L78" s="7"/>
      <c r="M78" s="9"/>
      <c r="N78" s="9"/>
      <c r="O78" s="7"/>
      <c r="P78" s="7"/>
      <c r="Q78" s="10"/>
      <c r="R78" s="10"/>
    </row>
    <row r="79" spans="1:18">
      <c r="A79" s="7"/>
      <c r="B79" s="7"/>
      <c r="C79" s="7"/>
      <c r="D79" s="7"/>
      <c r="E79" s="7"/>
      <c r="F79" s="7"/>
      <c r="G79" s="7"/>
      <c r="H79" s="8"/>
      <c r="I79" s="7"/>
      <c r="J79" s="7"/>
      <c r="K79" s="7"/>
      <c r="L79" s="7"/>
      <c r="M79" s="9"/>
      <c r="N79" s="9"/>
      <c r="O79" s="7"/>
      <c r="P79" s="7"/>
      <c r="Q79" s="10"/>
      <c r="R79" s="10"/>
    </row>
    <row r="80" spans="1:18">
      <c r="A80" s="7"/>
      <c r="B80" s="7"/>
      <c r="C80" s="7"/>
      <c r="D80" s="7"/>
      <c r="E80" s="7"/>
      <c r="F80" s="7"/>
      <c r="G80" s="7"/>
      <c r="H80" s="8"/>
      <c r="I80" s="7"/>
      <c r="J80" s="7"/>
      <c r="K80" s="7"/>
      <c r="L80" s="7"/>
      <c r="M80" s="9"/>
      <c r="N80" s="9"/>
      <c r="O80" s="7"/>
      <c r="P80" s="7"/>
      <c r="Q80" s="10"/>
      <c r="R80" s="10"/>
    </row>
    <row r="81" spans="1:18">
      <c r="A81" s="7"/>
      <c r="B81" s="7"/>
      <c r="C81" s="7"/>
      <c r="D81" s="7"/>
      <c r="E81" s="7"/>
      <c r="F81" s="7"/>
      <c r="G81" s="7"/>
      <c r="H81" s="8"/>
      <c r="I81" s="7"/>
      <c r="J81" s="7"/>
      <c r="K81" s="7"/>
      <c r="L81" s="7"/>
      <c r="M81" s="9"/>
      <c r="N81" s="9"/>
      <c r="O81" s="7"/>
      <c r="P81" s="7"/>
      <c r="Q81" s="10"/>
      <c r="R81" s="10"/>
    </row>
    <row r="82" spans="1:18">
      <c r="A82" s="7"/>
      <c r="B82" s="7"/>
      <c r="C82" s="7"/>
      <c r="D82" s="7"/>
      <c r="E82" s="7"/>
      <c r="F82" s="7"/>
      <c r="G82" s="7"/>
      <c r="H82" s="8"/>
      <c r="I82" s="7"/>
      <c r="J82" s="7"/>
      <c r="K82" s="7"/>
      <c r="L82" s="7"/>
      <c r="M82" s="9"/>
      <c r="N82" s="9"/>
      <c r="O82" s="7"/>
      <c r="P82" s="7"/>
      <c r="Q82" s="10"/>
      <c r="R82" s="10"/>
    </row>
    <row r="83" spans="1:18">
      <c r="A83" s="7"/>
      <c r="B83" s="7"/>
      <c r="C83" s="7"/>
      <c r="D83" s="7"/>
      <c r="E83" s="7"/>
      <c r="F83" s="7"/>
      <c r="G83" s="7"/>
      <c r="H83" s="8"/>
      <c r="I83" s="7"/>
      <c r="J83" s="7"/>
      <c r="K83" s="7"/>
      <c r="L83" s="7"/>
      <c r="M83" s="9"/>
      <c r="N83" s="9"/>
      <c r="O83" s="7"/>
      <c r="P83" s="7"/>
      <c r="Q83" s="10"/>
      <c r="R83" s="10"/>
    </row>
    <row r="84" spans="1:18">
      <c r="A84" s="7"/>
      <c r="B84" s="7"/>
      <c r="C84" s="7"/>
      <c r="D84" s="7"/>
      <c r="E84" s="7"/>
      <c r="F84" s="7"/>
      <c r="G84" s="7"/>
      <c r="H84" s="8"/>
      <c r="I84" s="7"/>
      <c r="J84" s="7"/>
      <c r="K84" s="7"/>
      <c r="L84" s="7"/>
      <c r="M84" s="9"/>
      <c r="N84" s="9"/>
      <c r="O84" s="7"/>
      <c r="P84" s="7"/>
      <c r="Q84" s="10"/>
      <c r="R84" s="10"/>
    </row>
    <row r="85" spans="1:18">
      <c r="A85" s="7"/>
      <c r="B85" s="7"/>
      <c r="C85" s="7"/>
      <c r="D85" s="7"/>
      <c r="E85" s="7"/>
      <c r="F85" s="7"/>
      <c r="G85" s="7"/>
      <c r="H85" s="8"/>
      <c r="I85" s="7"/>
      <c r="J85" s="7"/>
      <c r="K85" s="7"/>
      <c r="L85" s="7"/>
      <c r="M85" s="9"/>
      <c r="N85" s="9"/>
      <c r="O85" s="7"/>
      <c r="P85" s="7"/>
      <c r="Q85" s="10"/>
      <c r="R85" s="10"/>
    </row>
    <row r="86" spans="1:18">
      <c r="A86" s="7"/>
      <c r="B86" s="7"/>
      <c r="C86" s="7"/>
      <c r="D86" s="7"/>
      <c r="E86" s="7"/>
      <c r="F86" s="7"/>
      <c r="G86" s="7"/>
      <c r="H86" s="8"/>
      <c r="I86" s="7"/>
      <c r="J86" s="7"/>
      <c r="K86" s="7"/>
      <c r="L86" s="7"/>
      <c r="M86" s="9"/>
      <c r="N86" s="9"/>
      <c r="O86" s="7"/>
      <c r="P86" s="7"/>
      <c r="Q86" s="10"/>
      <c r="R86" s="10"/>
    </row>
    <row r="87" spans="1:18">
      <c r="A87" s="7"/>
      <c r="B87" s="7"/>
      <c r="C87" s="7"/>
      <c r="D87" s="7"/>
      <c r="E87" s="7"/>
      <c r="F87" s="7"/>
      <c r="G87" s="7"/>
      <c r="H87" s="8"/>
      <c r="I87" s="7"/>
      <c r="J87" s="7"/>
      <c r="K87" s="7"/>
      <c r="L87" s="7"/>
      <c r="M87" s="9"/>
      <c r="N87" s="9"/>
      <c r="O87" s="7"/>
      <c r="P87" s="7"/>
      <c r="Q87" s="10"/>
      <c r="R87" s="10"/>
    </row>
    <row r="88" spans="1:18">
      <c r="A88" s="7"/>
      <c r="B88" s="7"/>
      <c r="C88" s="7"/>
      <c r="D88" s="7"/>
      <c r="E88" s="7"/>
      <c r="F88" s="7"/>
      <c r="G88" s="7"/>
      <c r="H88" s="8"/>
      <c r="I88" s="7"/>
      <c r="J88" s="7"/>
      <c r="K88" s="7"/>
      <c r="L88" s="7"/>
      <c r="M88" s="9"/>
      <c r="N88" s="9"/>
      <c r="O88" s="7"/>
      <c r="P88" s="7"/>
      <c r="Q88" s="10"/>
      <c r="R88" s="10"/>
    </row>
    <row r="89" spans="1:18">
      <c r="A89" s="7"/>
      <c r="B89" s="7"/>
      <c r="C89" s="7"/>
      <c r="D89" s="7"/>
      <c r="E89" s="7"/>
      <c r="F89" s="7"/>
      <c r="G89" s="7"/>
      <c r="H89" s="8"/>
      <c r="I89" s="7"/>
      <c r="J89" s="7"/>
      <c r="K89" s="7"/>
      <c r="L89" s="7"/>
      <c r="M89" s="9"/>
      <c r="N89" s="9"/>
      <c r="O89" s="7"/>
      <c r="P89" s="7"/>
      <c r="Q89" s="10"/>
      <c r="R89" s="10"/>
    </row>
    <row r="90" spans="1:18">
      <c r="A90" s="7"/>
      <c r="B90" s="7"/>
      <c r="C90" s="7"/>
      <c r="D90" s="7"/>
      <c r="E90" s="7"/>
      <c r="F90" s="7"/>
      <c r="G90" s="7"/>
      <c r="H90" s="8"/>
      <c r="I90" s="7"/>
      <c r="J90" s="7"/>
      <c r="K90" s="7"/>
      <c r="L90" s="7"/>
      <c r="M90" s="9"/>
      <c r="N90" s="9"/>
      <c r="O90" s="7"/>
      <c r="P90" s="7"/>
      <c r="Q90" s="10"/>
      <c r="R90" s="10"/>
    </row>
    <row r="91" spans="1:18">
      <c r="A91" s="7"/>
      <c r="B91" s="7"/>
      <c r="C91" s="7"/>
      <c r="D91" s="7"/>
      <c r="E91" s="7"/>
      <c r="F91" s="7"/>
      <c r="G91" s="7"/>
      <c r="H91" s="8"/>
      <c r="I91" s="7"/>
      <c r="J91" s="7"/>
      <c r="K91" s="7"/>
      <c r="L91" s="7"/>
      <c r="M91" s="9"/>
      <c r="N91" s="9"/>
      <c r="O91" s="7"/>
      <c r="P91" s="7"/>
      <c r="Q91" s="10"/>
      <c r="R91" s="10"/>
    </row>
    <row r="92" spans="1:18">
      <c r="A92" s="7"/>
      <c r="B92" s="7"/>
      <c r="C92" s="7"/>
      <c r="D92" s="7"/>
      <c r="E92" s="7"/>
      <c r="F92" s="7"/>
      <c r="G92" s="7"/>
      <c r="H92" s="8"/>
      <c r="I92" s="7"/>
      <c r="J92" s="7"/>
      <c r="K92" s="7"/>
      <c r="L92" s="7"/>
      <c r="M92" s="9"/>
      <c r="N92" s="9"/>
      <c r="O92" s="7"/>
      <c r="P92" s="7"/>
      <c r="Q92" s="10"/>
      <c r="R92" s="10"/>
    </row>
    <row r="93" spans="1:18">
      <c r="A93" s="7"/>
      <c r="B93" s="7"/>
      <c r="C93" s="7"/>
      <c r="D93" s="7"/>
      <c r="E93" s="7"/>
      <c r="F93" s="7"/>
      <c r="G93" s="7"/>
      <c r="H93" s="8"/>
      <c r="I93" s="7"/>
      <c r="J93" s="7"/>
      <c r="K93" s="7"/>
      <c r="L93" s="7"/>
      <c r="M93" s="9"/>
      <c r="N93" s="9"/>
      <c r="O93" s="7"/>
      <c r="P93" s="7"/>
      <c r="Q93" s="10"/>
      <c r="R93" s="10"/>
    </row>
    <row r="94" spans="1:18">
      <c r="A94" s="7"/>
      <c r="B94" s="7"/>
      <c r="C94" s="7"/>
      <c r="D94" s="7"/>
      <c r="E94" s="7"/>
      <c r="F94" s="7"/>
      <c r="G94" s="7"/>
      <c r="H94" s="8"/>
      <c r="I94" s="7"/>
      <c r="J94" s="7"/>
      <c r="K94" s="7"/>
      <c r="L94" s="7"/>
      <c r="M94" s="9"/>
      <c r="N94" s="9"/>
      <c r="O94" s="7"/>
      <c r="P94" s="7"/>
      <c r="Q94" s="10"/>
      <c r="R94" s="10"/>
    </row>
    <row r="95" spans="1:18">
      <c r="A95" s="7"/>
      <c r="B95" s="7"/>
      <c r="C95" s="7"/>
      <c r="D95" s="7"/>
      <c r="E95" s="7"/>
      <c r="F95" s="7"/>
      <c r="G95" s="7"/>
      <c r="H95" s="8"/>
      <c r="I95" s="7"/>
      <c r="J95" s="7"/>
      <c r="K95" s="7"/>
      <c r="L95" s="7"/>
      <c r="M95" s="9"/>
      <c r="N95" s="9"/>
      <c r="O95" s="7"/>
      <c r="P95" s="7"/>
      <c r="Q95" s="10"/>
      <c r="R95" s="10"/>
    </row>
    <row r="96" spans="1:18">
      <c r="A96" s="7"/>
      <c r="B96" s="7"/>
      <c r="C96" s="7"/>
      <c r="D96" s="7"/>
      <c r="E96" s="7"/>
      <c r="F96" s="7"/>
      <c r="G96" s="7"/>
      <c r="H96" s="8"/>
      <c r="I96" s="7"/>
      <c r="J96" s="7"/>
      <c r="K96" s="7"/>
      <c r="L96" s="7"/>
      <c r="M96" s="9"/>
      <c r="N96" s="9"/>
      <c r="O96" s="7"/>
      <c r="P96" s="7"/>
      <c r="Q96" s="10"/>
      <c r="R96" s="10"/>
    </row>
    <row r="97" spans="1:18">
      <c r="A97" s="7"/>
      <c r="B97" s="7"/>
      <c r="C97" s="7"/>
      <c r="D97" s="7"/>
      <c r="E97" s="7"/>
      <c r="F97" s="7"/>
      <c r="G97" s="7"/>
      <c r="H97" s="8"/>
      <c r="I97" s="7"/>
      <c r="J97" s="7"/>
      <c r="K97" s="7"/>
      <c r="L97" s="7"/>
      <c r="M97" s="9"/>
      <c r="N97" s="9"/>
      <c r="O97" s="7"/>
      <c r="P97" s="7"/>
      <c r="Q97" s="10"/>
      <c r="R97" s="10"/>
    </row>
    <row r="98" spans="1:18">
      <c r="A98" s="7"/>
      <c r="B98" s="7"/>
      <c r="C98" s="7"/>
      <c r="D98" s="7"/>
      <c r="E98" s="7"/>
      <c r="F98" s="7"/>
      <c r="G98" s="7"/>
      <c r="H98" s="8"/>
      <c r="I98" s="7"/>
      <c r="J98" s="7"/>
      <c r="K98" s="7"/>
      <c r="L98" s="7"/>
      <c r="M98" s="9"/>
      <c r="N98" s="9"/>
      <c r="O98" s="7"/>
      <c r="P98" s="7"/>
      <c r="Q98" s="10"/>
      <c r="R98" s="10"/>
    </row>
    <row r="99" spans="1:18">
      <c r="A99" s="7"/>
      <c r="B99" s="7"/>
      <c r="C99" s="7"/>
      <c r="D99" s="7"/>
      <c r="E99" s="7"/>
      <c r="F99" s="7"/>
      <c r="G99" s="7"/>
      <c r="H99" s="8"/>
      <c r="I99" s="7"/>
      <c r="J99" s="7"/>
      <c r="K99" s="7"/>
      <c r="L99" s="7"/>
      <c r="M99" s="9"/>
      <c r="N99" s="9"/>
      <c r="O99" s="7"/>
      <c r="P99" s="7"/>
      <c r="Q99" s="10"/>
      <c r="R99" s="10"/>
    </row>
    <row r="100" spans="1:18">
      <c r="A100" s="7"/>
      <c r="B100" s="7"/>
      <c r="C100" s="7"/>
      <c r="D100" s="7"/>
      <c r="E100" s="7"/>
      <c r="F100" s="7"/>
      <c r="G100" s="7"/>
      <c r="H100" s="8"/>
      <c r="I100" s="7"/>
      <c r="J100" s="7"/>
      <c r="K100" s="7"/>
      <c r="L100" s="7"/>
      <c r="M100" s="9"/>
      <c r="N100" s="9"/>
      <c r="O100" s="7"/>
      <c r="P100" s="7"/>
      <c r="Q100" s="10"/>
      <c r="R100" s="10"/>
    </row>
    <row r="101" spans="1:18">
      <c r="A101" s="7"/>
      <c r="B101" s="7"/>
      <c r="C101" s="7"/>
      <c r="D101" s="7"/>
      <c r="E101" s="7"/>
      <c r="F101" s="7"/>
      <c r="G101" s="7"/>
      <c r="H101" s="8"/>
      <c r="I101" s="7"/>
      <c r="J101" s="7"/>
      <c r="K101" s="7"/>
      <c r="L101" s="7"/>
      <c r="M101" s="9"/>
      <c r="N101" s="9"/>
      <c r="O101" s="7"/>
      <c r="P101" s="7"/>
      <c r="Q101" s="10"/>
      <c r="R101" s="10"/>
    </row>
    <row r="102" spans="1:18">
      <c r="A102" s="7"/>
      <c r="B102" s="7"/>
      <c r="C102" s="7"/>
      <c r="D102" s="7"/>
      <c r="E102" s="7"/>
      <c r="F102" s="7"/>
      <c r="G102" s="7"/>
      <c r="H102" s="8"/>
      <c r="I102" s="7"/>
      <c r="J102" s="7"/>
      <c r="K102" s="7"/>
      <c r="L102" s="7"/>
      <c r="M102" s="9"/>
      <c r="N102" s="9"/>
      <c r="O102" s="7"/>
      <c r="P102" s="7"/>
      <c r="Q102" s="10"/>
      <c r="R102" s="10"/>
    </row>
    <row r="103" spans="1:18">
      <c r="A103" s="7"/>
      <c r="B103" s="7"/>
      <c r="C103" s="7"/>
      <c r="D103" s="7"/>
      <c r="E103" s="7"/>
      <c r="F103" s="7"/>
      <c r="G103" s="7"/>
      <c r="H103" s="8"/>
      <c r="I103" s="7"/>
      <c r="J103" s="7"/>
      <c r="K103" s="7"/>
      <c r="L103" s="7"/>
      <c r="M103" s="9"/>
      <c r="N103" s="9"/>
      <c r="O103" s="7"/>
      <c r="P103" s="7"/>
      <c r="Q103" s="10"/>
      <c r="R103" s="10"/>
    </row>
    <row r="104" spans="1:18">
      <c r="A104" s="7"/>
      <c r="B104" s="7"/>
      <c r="C104" s="7"/>
      <c r="D104" s="7"/>
      <c r="E104" s="7"/>
      <c r="F104" s="7"/>
      <c r="G104" s="7"/>
      <c r="H104" s="8"/>
      <c r="I104" s="7"/>
      <c r="J104" s="7"/>
      <c r="K104" s="7"/>
      <c r="L104" s="7"/>
      <c r="M104" s="9"/>
      <c r="N104" s="9"/>
      <c r="O104" s="7"/>
      <c r="P104" s="7"/>
      <c r="Q104" s="10"/>
      <c r="R104" s="10"/>
    </row>
    <row r="105" spans="1:18">
      <c r="A105" s="7"/>
      <c r="B105" s="7"/>
      <c r="C105" s="7"/>
      <c r="D105" s="7"/>
      <c r="E105" s="7"/>
      <c r="F105" s="7"/>
      <c r="G105" s="7"/>
      <c r="H105" s="8"/>
      <c r="I105" s="7"/>
      <c r="J105" s="7"/>
      <c r="K105" s="7"/>
      <c r="L105" s="7"/>
      <c r="M105" s="9"/>
      <c r="N105" s="9"/>
      <c r="O105" s="7"/>
      <c r="P105" s="7"/>
      <c r="Q105" s="10"/>
      <c r="R105" s="10"/>
    </row>
    <row r="106" spans="1:18">
      <c r="A106" s="7"/>
      <c r="B106" s="7"/>
      <c r="C106" s="7"/>
      <c r="D106" s="7"/>
      <c r="E106" s="7"/>
      <c r="F106" s="7"/>
      <c r="G106" s="7"/>
      <c r="H106" s="8"/>
      <c r="I106" s="7"/>
      <c r="J106" s="7"/>
      <c r="K106" s="7"/>
      <c r="L106" s="7"/>
      <c r="M106" s="9"/>
      <c r="N106" s="9"/>
      <c r="O106" s="7"/>
      <c r="P106" s="7"/>
      <c r="Q106" s="10"/>
      <c r="R106" s="10"/>
    </row>
    <row r="107" spans="1:18">
      <c r="A107" s="7"/>
      <c r="B107" s="7"/>
      <c r="C107" s="7"/>
      <c r="D107" s="7"/>
      <c r="E107" s="7"/>
      <c r="F107" s="7"/>
      <c r="G107" s="7"/>
      <c r="H107" s="8"/>
      <c r="I107" s="7"/>
      <c r="J107" s="7"/>
      <c r="K107" s="7"/>
      <c r="L107" s="7"/>
      <c r="M107" s="9"/>
      <c r="N107" s="9"/>
      <c r="O107" s="7"/>
      <c r="P107" s="7"/>
      <c r="Q107" s="10"/>
      <c r="R107" s="10"/>
    </row>
    <row r="108" spans="1:18">
      <c r="A108" s="7"/>
      <c r="B108" s="7"/>
      <c r="C108" s="7"/>
      <c r="D108" s="7"/>
      <c r="E108" s="7"/>
      <c r="F108" s="7"/>
      <c r="G108" s="7"/>
      <c r="H108" s="8"/>
      <c r="I108" s="7"/>
      <c r="J108" s="7"/>
      <c r="K108" s="7"/>
      <c r="L108" s="7"/>
      <c r="M108" s="9"/>
      <c r="N108" s="9"/>
      <c r="O108" s="7"/>
      <c r="P108" s="7"/>
      <c r="Q108" s="10"/>
      <c r="R108" s="10"/>
    </row>
    <row r="109" spans="1:18">
      <c r="A109" s="7"/>
      <c r="B109" s="7"/>
      <c r="C109" s="7"/>
      <c r="D109" s="7"/>
      <c r="E109" s="7"/>
      <c r="F109" s="7"/>
      <c r="G109" s="7"/>
      <c r="H109" s="8"/>
      <c r="I109" s="7"/>
      <c r="J109" s="7"/>
      <c r="K109" s="7"/>
      <c r="L109" s="7"/>
      <c r="M109" s="9"/>
      <c r="N109" s="9"/>
      <c r="O109" s="7"/>
      <c r="P109" s="7"/>
      <c r="Q109" s="10"/>
      <c r="R109" s="10"/>
    </row>
    <row r="110" spans="1:18">
      <c r="A110" s="7"/>
      <c r="B110" s="7"/>
      <c r="C110" s="7"/>
      <c r="D110" s="7"/>
      <c r="E110" s="7"/>
      <c r="F110" s="7"/>
      <c r="G110" s="7"/>
      <c r="H110" s="8"/>
      <c r="I110" s="7"/>
      <c r="J110" s="7"/>
      <c r="K110" s="7"/>
      <c r="L110" s="7"/>
      <c r="M110" s="9"/>
      <c r="N110" s="9"/>
      <c r="O110" s="7"/>
      <c r="P110" s="7"/>
      <c r="Q110" s="10"/>
      <c r="R110" s="10"/>
    </row>
    <row r="111" spans="1:18">
      <c r="A111" s="7"/>
      <c r="B111" s="7"/>
      <c r="C111" s="7"/>
      <c r="D111" s="7"/>
      <c r="E111" s="7"/>
      <c r="F111" s="7"/>
      <c r="G111" s="7"/>
      <c r="H111" s="8"/>
      <c r="I111" s="7"/>
      <c r="J111" s="7"/>
      <c r="K111" s="7"/>
      <c r="L111" s="7"/>
      <c r="M111" s="9"/>
      <c r="N111" s="9"/>
      <c r="O111" s="7"/>
      <c r="P111" s="7"/>
      <c r="Q111" s="10"/>
      <c r="R111" s="10"/>
    </row>
    <row r="112" spans="1:18">
      <c r="A112" s="7"/>
      <c r="B112" s="7"/>
      <c r="C112" s="7"/>
      <c r="D112" s="7"/>
      <c r="E112" s="7"/>
      <c r="F112" s="7"/>
      <c r="G112" s="7"/>
      <c r="H112" s="8"/>
      <c r="I112" s="7"/>
      <c r="J112" s="7"/>
      <c r="K112" s="7"/>
      <c r="L112" s="7"/>
      <c r="M112" s="9"/>
      <c r="N112" s="9"/>
      <c r="O112" s="7"/>
      <c r="P112" s="7"/>
      <c r="Q112" s="10"/>
      <c r="R112" s="10"/>
    </row>
    <row r="113" spans="1:18">
      <c r="A113" s="7"/>
      <c r="B113" s="7"/>
      <c r="C113" s="7"/>
      <c r="D113" s="7"/>
      <c r="E113" s="7"/>
      <c r="F113" s="7"/>
      <c r="G113" s="7"/>
      <c r="H113" s="8"/>
      <c r="I113" s="7"/>
      <c r="J113" s="7"/>
      <c r="K113" s="7"/>
      <c r="L113" s="7"/>
      <c r="M113" s="9"/>
      <c r="N113" s="9"/>
      <c r="O113" s="7"/>
      <c r="P113" s="7"/>
      <c r="Q113" s="10"/>
      <c r="R113" s="10"/>
    </row>
    <row r="114" spans="1:18">
      <c r="A114" s="7"/>
      <c r="B114" s="7"/>
      <c r="C114" s="7"/>
      <c r="D114" s="7"/>
      <c r="E114" s="7"/>
      <c r="F114" s="7"/>
      <c r="G114" s="7"/>
      <c r="H114" s="8"/>
      <c r="I114" s="7"/>
      <c r="J114" s="7"/>
      <c r="K114" s="7"/>
      <c r="L114" s="7"/>
      <c r="M114" s="9"/>
      <c r="N114" s="9"/>
      <c r="O114" s="7"/>
      <c r="P114" s="7"/>
      <c r="Q114" s="10"/>
      <c r="R114" s="10"/>
    </row>
    <row r="115" spans="1:18">
      <c r="A115" s="7"/>
      <c r="B115" s="7"/>
      <c r="C115" s="7"/>
      <c r="D115" s="7"/>
      <c r="E115" s="7"/>
      <c r="F115" s="7"/>
      <c r="G115" s="7"/>
      <c r="H115" s="8"/>
      <c r="I115" s="7"/>
      <c r="J115" s="7"/>
      <c r="K115" s="7"/>
      <c r="L115" s="7"/>
      <c r="M115" s="9"/>
      <c r="N115" s="9"/>
      <c r="O115" s="7"/>
      <c r="P115" s="7"/>
      <c r="Q115" s="10"/>
      <c r="R115" s="10"/>
    </row>
    <row r="116" spans="1:18">
      <c r="A116" s="7"/>
      <c r="B116" s="7"/>
      <c r="C116" s="7"/>
      <c r="D116" s="7"/>
      <c r="E116" s="7"/>
      <c r="F116" s="7"/>
      <c r="G116" s="7"/>
      <c r="H116" s="8"/>
      <c r="I116" s="7"/>
      <c r="J116" s="7"/>
      <c r="K116" s="7"/>
      <c r="L116" s="7"/>
      <c r="M116" s="9"/>
      <c r="N116" s="9"/>
      <c r="O116" s="7"/>
      <c r="P116" s="7"/>
      <c r="Q116" s="10"/>
      <c r="R116" s="10"/>
    </row>
    <row r="117" spans="1:18">
      <c r="A117" s="7"/>
      <c r="B117" s="7"/>
      <c r="C117" s="7"/>
      <c r="D117" s="7"/>
      <c r="E117" s="7"/>
      <c r="F117" s="7"/>
      <c r="G117" s="7"/>
      <c r="H117" s="8"/>
      <c r="I117" s="7"/>
      <c r="J117" s="7"/>
      <c r="K117" s="7"/>
      <c r="L117" s="7"/>
      <c r="M117" s="9"/>
      <c r="N117" s="9"/>
      <c r="O117" s="7"/>
      <c r="P117" s="7"/>
      <c r="Q117" s="10"/>
      <c r="R117" s="10"/>
    </row>
    <row r="118" spans="1:18">
      <c r="A118" s="7"/>
      <c r="B118" s="7"/>
      <c r="C118" s="7"/>
      <c r="D118" s="7"/>
      <c r="E118" s="7"/>
      <c r="F118" s="7"/>
      <c r="G118" s="7"/>
      <c r="H118" s="8"/>
      <c r="I118" s="7"/>
      <c r="J118" s="7"/>
      <c r="K118" s="7"/>
      <c r="L118" s="7"/>
      <c r="M118" s="9"/>
      <c r="N118" s="9"/>
      <c r="O118" s="7"/>
      <c r="P118" s="7"/>
      <c r="Q118" s="10"/>
      <c r="R118" s="10"/>
    </row>
    <row r="119" spans="1:18">
      <c r="A119" s="7"/>
      <c r="B119" s="7"/>
      <c r="C119" s="7"/>
      <c r="D119" s="7"/>
      <c r="E119" s="7"/>
      <c r="F119" s="7"/>
      <c r="G119" s="7"/>
      <c r="H119" s="8"/>
      <c r="I119" s="7"/>
      <c r="J119" s="7"/>
      <c r="K119" s="7"/>
      <c r="L119" s="7"/>
      <c r="M119" s="9"/>
      <c r="N119" s="9"/>
      <c r="O119" s="7"/>
      <c r="P119" s="7"/>
      <c r="Q119" s="10"/>
      <c r="R119" s="10"/>
    </row>
    <row r="120" spans="1:18">
      <c r="A120" s="7"/>
      <c r="B120" s="7"/>
      <c r="C120" s="7"/>
      <c r="D120" s="7"/>
      <c r="E120" s="7"/>
      <c r="F120" s="7"/>
      <c r="G120" s="7"/>
      <c r="H120" s="8"/>
      <c r="I120" s="7"/>
      <c r="J120" s="7"/>
      <c r="K120" s="7"/>
      <c r="L120" s="7"/>
      <c r="M120" s="9"/>
      <c r="N120" s="9"/>
      <c r="O120" s="7"/>
      <c r="P120" s="7"/>
      <c r="Q120" s="10"/>
      <c r="R120" s="10"/>
    </row>
    <row r="121" spans="1:18">
      <c r="A121" s="7"/>
      <c r="B121" s="7"/>
      <c r="C121" s="7"/>
      <c r="D121" s="7"/>
      <c r="E121" s="7"/>
      <c r="F121" s="7"/>
      <c r="G121" s="7"/>
      <c r="H121" s="8"/>
      <c r="I121" s="7"/>
      <c r="J121" s="7"/>
      <c r="K121" s="7"/>
      <c r="L121" s="7"/>
      <c r="M121" s="9"/>
      <c r="N121" s="9"/>
      <c r="O121" s="7"/>
      <c r="P121" s="7"/>
      <c r="Q121" s="10"/>
      <c r="R121" s="10"/>
    </row>
    <row r="122" spans="1:18">
      <c r="A122" s="7"/>
      <c r="B122" s="7"/>
      <c r="C122" s="7"/>
      <c r="D122" s="7"/>
      <c r="E122" s="7"/>
      <c r="F122" s="7"/>
      <c r="G122" s="7"/>
      <c r="H122" s="8"/>
      <c r="I122" s="7"/>
      <c r="J122" s="7"/>
      <c r="K122" s="7"/>
      <c r="L122" s="7"/>
      <c r="M122" s="9"/>
      <c r="N122" s="9"/>
      <c r="O122" s="7"/>
      <c r="P122" s="7"/>
      <c r="Q122" s="10"/>
      <c r="R122" s="10"/>
    </row>
    <row r="123" spans="1:18">
      <c r="A123" s="7"/>
      <c r="B123" s="7"/>
      <c r="C123" s="7"/>
      <c r="D123" s="7"/>
      <c r="E123" s="7"/>
      <c r="F123" s="7"/>
      <c r="G123" s="7"/>
      <c r="H123" s="8"/>
      <c r="I123" s="7"/>
      <c r="J123" s="7"/>
      <c r="K123" s="7"/>
      <c r="L123" s="7"/>
      <c r="M123" s="9"/>
      <c r="N123" s="9"/>
      <c r="O123" s="7"/>
      <c r="P123" s="7"/>
      <c r="Q123" s="10"/>
      <c r="R123" s="10"/>
    </row>
    <row r="124" spans="1:18">
      <c r="A124" s="7"/>
      <c r="B124" s="7"/>
      <c r="C124" s="7"/>
      <c r="D124" s="7"/>
      <c r="E124" s="7"/>
      <c r="F124" s="7"/>
      <c r="G124" s="7"/>
      <c r="H124" s="8"/>
      <c r="I124" s="7"/>
      <c r="J124" s="7"/>
      <c r="K124" s="7"/>
      <c r="L124" s="7"/>
      <c r="M124" s="9"/>
      <c r="N124" s="9"/>
      <c r="O124" s="7"/>
      <c r="P124" s="7"/>
      <c r="Q124" s="10"/>
      <c r="R124" s="10"/>
    </row>
    <row r="125" spans="1:18">
      <c r="A125" s="7"/>
      <c r="B125" s="7"/>
      <c r="C125" s="7"/>
      <c r="D125" s="7"/>
      <c r="E125" s="7"/>
      <c r="F125" s="7"/>
      <c r="G125" s="7"/>
      <c r="H125" s="8"/>
      <c r="I125" s="7"/>
      <c r="J125" s="7"/>
      <c r="K125" s="7"/>
      <c r="L125" s="7"/>
      <c r="M125" s="9"/>
      <c r="N125" s="9"/>
      <c r="O125" s="7"/>
      <c r="P125" s="7"/>
      <c r="Q125" s="10"/>
      <c r="R125" s="10"/>
    </row>
    <row r="126" spans="1:18">
      <c r="A126" s="7"/>
      <c r="B126" s="7"/>
      <c r="C126" s="7"/>
      <c r="D126" s="7"/>
      <c r="E126" s="7"/>
      <c r="F126" s="7"/>
      <c r="G126" s="7"/>
      <c r="H126" s="8"/>
      <c r="I126" s="7"/>
      <c r="J126" s="7"/>
      <c r="K126" s="7"/>
      <c r="L126" s="7"/>
      <c r="M126" s="9"/>
      <c r="N126" s="9"/>
      <c r="O126" s="7"/>
      <c r="P126" s="7"/>
      <c r="Q126" s="10"/>
      <c r="R126" s="10"/>
    </row>
    <row r="127" spans="1:18">
      <c r="A127" s="7"/>
      <c r="B127" s="7"/>
      <c r="C127" s="7"/>
      <c r="D127" s="7"/>
      <c r="E127" s="7"/>
      <c r="F127" s="7"/>
      <c r="G127" s="7"/>
      <c r="H127" s="8"/>
      <c r="I127" s="7"/>
      <c r="J127" s="7"/>
      <c r="K127" s="7"/>
      <c r="L127" s="7"/>
      <c r="M127" s="9"/>
      <c r="N127" s="9"/>
      <c r="O127" s="7"/>
      <c r="P127" s="7"/>
      <c r="Q127" s="10"/>
      <c r="R127" s="10"/>
    </row>
    <row r="128" spans="1:18">
      <c r="A128" s="7"/>
      <c r="B128" s="7"/>
      <c r="C128" s="7"/>
      <c r="D128" s="7"/>
      <c r="E128" s="7"/>
      <c r="F128" s="7"/>
      <c r="G128" s="7"/>
      <c r="H128" s="8"/>
      <c r="I128" s="7"/>
      <c r="J128" s="7"/>
      <c r="K128" s="7"/>
      <c r="L128" s="7"/>
      <c r="M128" s="9"/>
      <c r="N128" s="9"/>
      <c r="O128" s="7"/>
      <c r="P128" s="7"/>
      <c r="Q128" s="10"/>
      <c r="R128" s="10"/>
    </row>
    <row r="129" spans="1:18">
      <c r="A129" s="7"/>
      <c r="B129" s="7"/>
      <c r="C129" s="7"/>
      <c r="D129" s="7"/>
      <c r="E129" s="7"/>
      <c r="F129" s="7"/>
      <c r="G129" s="7"/>
      <c r="H129" s="8"/>
      <c r="I129" s="7"/>
      <c r="J129" s="7"/>
      <c r="K129" s="7"/>
      <c r="L129" s="7"/>
      <c r="M129" s="9"/>
      <c r="N129" s="9"/>
      <c r="O129" s="7"/>
      <c r="P129" s="7"/>
      <c r="Q129" s="10"/>
      <c r="R129" s="10"/>
    </row>
    <row r="130" spans="1:18">
      <c r="A130" s="7"/>
      <c r="B130" s="7"/>
      <c r="C130" s="7"/>
      <c r="D130" s="7"/>
      <c r="E130" s="7"/>
      <c r="F130" s="7"/>
      <c r="G130" s="7"/>
      <c r="H130" s="8"/>
      <c r="I130" s="7"/>
      <c r="J130" s="7"/>
      <c r="K130" s="7"/>
      <c r="L130" s="7"/>
      <c r="M130" s="9"/>
      <c r="N130" s="9"/>
      <c r="O130" s="7"/>
      <c r="P130" s="7"/>
      <c r="Q130" s="10"/>
      <c r="R130" s="10"/>
    </row>
    <row r="131" spans="1:18">
      <c r="A131" s="7"/>
      <c r="B131" s="7"/>
      <c r="C131" s="7"/>
      <c r="D131" s="7"/>
      <c r="E131" s="7"/>
      <c r="F131" s="7"/>
      <c r="G131" s="7"/>
      <c r="H131" s="8"/>
      <c r="I131" s="7"/>
      <c r="J131" s="7"/>
      <c r="K131" s="7"/>
      <c r="L131" s="7"/>
      <c r="M131" s="9"/>
      <c r="N131" s="9"/>
      <c r="O131" s="7"/>
      <c r="P131" s="7"/>
      <c r="Q131" s="10"/>
      <c r="R131" s="10"/>
    </row>
    <row r="132" spans="1:18">
      <c r="A132" s="7"/>
      <c r="B132" s="7"/>
      <c r="C132" s="7"/>
      <c r="D132" s="7"/>
      <c r="E132" s="7"/>
      <c r="F132" s="7"/>
      <c r="G132" s="7"/>
      <c r="H132" s="8"/>
      <c r="I132" s="7"/>
      <c r="J132" s="7"/>
      <c r="K132" s="7"/>
      <c r="L132" s="7"/>
      <c r="M132" s="9"/>
      <c r="N132" s="9"/>
      <c r="O132" s="7"/>
      <c r="P132" s="7"/>
      <c r="Q132" s="10"/>
      <c r="R132" s="10"/>
    </row>
    <row r="133" spans="1:18">
      <c r="A133" s="7"/>
      <c r="B133" s="7"/>
      <c r="C133" s="7"/>
      <c r="D133" s="7"/>
      <c r="E133" s="7"/>
      <c r="F133" s="7"/>
      <c r="G133" s="7"/>
      <c r="H133" s="8"/>
      <c r="I133" s="7"/>
      <c r="J133" s="7"/>
      <c r="K133" s="7"/>
      <c r="L133" s="7"/>
      <c r="M133" s="9"/>
      <c r="N133" s="9"/>
      <c r="O133" s="7"/>
      <c r="P133" s="7"/>
      <c r="Q133" s="10"/>
      <c r="R133" s="10"/>
    </row>
    <row r="134" spans="1:18">
      <c r="A134" s="7"/>
      <c r="B134" s="7"/>
      <c r="C134" s="7"/>
      <c r="D134" s="7"/>
      <c r="E134" s="7"/>
      <c r="F134" s="7"/>
      <c r="G134" s="7"/>
      <c r="H134" s="8"/>
      <c r="I134" s="7"/>
      <c r="J134" s="7"/>
      <c r="K134" s="7"/>
      <c r="L134" s="7"/>
      <c r="M134" s="9"/>
      <c r="N134" s="9"/>
      <c r="O134" s="7"/>
      <c r="P134" s="7"/>
      <c r="Q134" s="10"/>
      <c r="R134" s="10"/>
    </row>
    <row r="135" spans="1:18">
      <c r="A135" s="7"/>
      <c r="B135" s="7"/>
      <c r="C135" s="7"/>
      <c r="D135" s="7"/>
      <c r="E135" s="7"/>
      <c r="F135" s="7"/>
      <c r="G135" s="7"/>
      <c r="H135" s="8"/>
      <c r="I135" s="7"/>
      <c r="J135" s="7"/>
      <c r="K135" s="7"/>
      <c r="L135" s="7"/>
      <c r="M135" s="9"/>
      <c r="N135" s="9"/>
      <c r="O135" s="7"/>
      <c r="P135" s="7"/>
      <c r="Q135" s="10"/>
      <c r="R135" s="10"/>
    </row>
    <row r="136" spans="1:18">
      <c r="A136" s="7"/>
      <c r="B136" s="7"/>
      <c r="C136" s="7"/>
      <c r="D136" s="7"/>
      <c r="E136" s="7"/>
      <c r="F136" s="7"/>
      <c r="G136" s="7"/>
      <c r="H136" s="8"/>
      <c r="I136" s="7"/>
      <c r="J136" s="7"/>
      <c r="K136" s="7"/>
      <c r="L136" s="7"/>
      <c r="M136" s="9"/>
      <c r="N136" s="9"/>
      <c r="O136" s="7"/>
      <c r="P136" s="7"/>
      <c r="Q136" s="10"/>
      <c r="R136" s="10"/>
    </row>
    <row r="137" spans="1:18">
      <c r="A137" s="7"/>
      <c r="B137" s="7"/>
      <c r="C137" s="7"/>
      <c r="D137" s="7"/>
      <c r="E137" s="7"/>
      <c r="F137" s="7"/>
      <c r="G137" s="7"/>
      <c r="H137" s="8"/>
      <c r="I137" s="7"/>
      <c r="J137" s="7"/>
      <c r="K137" s="7"/>
      <c r="L137" s="7"/>
      <c r="M137" s="9"/>
      <c r="N137" s="9"/>
      <c r="O137" s="7"/>
      <c r="P137" s="7"/>
      <c r="Q137" s="10"/>
      <c r="R137" s="10"/>
    </row>
    <row r="138" spans="1:18">
      <c r="A138" s="7"/>
      <c r="B138" s="7"/>
      <c r="C138" s="7"/>
      <c r="D138" s="7"/>
      <c r="E138" s="7"/>
      <c r="F138" s="7"/>
      <c r="G138" s="7"/>
      <c r="H138" s="8"/>
      <c r="I138" s="7"/>
      <c r="J138" s="7"/>
      <c r="K138" s="7"/>
      <c r="L138" s="7"/>
      <c r="M138" s="9"/>
      <c r="N138" s="9"/>
      <c r="O138" s="7"/>
      <c r="P138" s="7"/>
      <c r="Q138" s="10"/>
      <c r="R138" s="10"/>
    </row>
    <row r="139" spans="1:18">
      <c r="A139" s="7"/>
      <c r="B139" s="7"/>
      <c r="C139" s="7"/>
      <c r="D139" s="7"/>
      <c r="E139" s="7"/>
      <c r="F139" s="7"/>
      <c r="G139" s="7"/>
      <c r="H139" s="8"/>
      <c r="I139" s="7"/>
      <c r="J139" s="7"/>
      <c r="K139" s="7"/>
      <c r="L139" s="7"/>
      <c r="M139" s="9"/>
      <c r="N139" s="9"/>
      <c r="O139" s="7"/>
      <c r="P139" s="7"/>
      <c r="Q139" s="10"/>
      <c r="R139" s="10"/>
    </row>
    <row r="140" spans="1:18">
      <c r="A140" s="7"/>
      <c r="B140" s="7"/>
      <c r="C140" s="7"/>
      <c r="D140" s="7"/>
      <c r="E140" s="7"/>
      <c r="F140" s="7"/>
      <c r="G140" s="7"/>
      <c r="H140" s="8"/>
      <c r="I140" s="7"/>
      <c r="J140" s="7"/>
      <c r="K140" s="7"/>
      <c r="L140" s="7"/>
      <c r="M140" s="9"/>
      <c r="N140" s="9"/>
      <c r="O140" s="7"/>
      <c r="P140" s="7"/>
      <c r="Q140" s="10"/>
      <c r="R140" s="10"/>
    </row>
    <row r="141" spans="1:18">
      <c r="A141" s="7"/>
      <c r="B141" s="7"/>
      <c r="C141" s="7"/>
      <c r="D141" s="7"/>
      <c r="E141" s="7"/>
      <c r="F141" s="7"/>
      <c r="G141" s="7"/>
      <c r="H141" s="8"/>
      <c r="I141" s="7"/>
      <c r="J141" s="7"/>
      <c r="K141" s="7"/>
      <c r="L141" s="7"/>
      <c r="M141" s="9"/>
      <c r="N141" s="9"/>
      <c r="O141" s="7"/>
      <c r="P141" s="7"/>
      <c r="Q141" s="10"/>
      <c r="R141" s="10"/>
    </row>
    <row r="142" spans="1:18">
      <c r="A142" s="7"/>
      <c r="B142" s="7"/>
      <c r="C142" s="7"/>
      <c r="D142" s="7"/>
      <c r="E142" s="7"/>
      <c r="F142" s="7"/>
      <c r="G142" s="7"/>
      <c r="H142" s="8"/>
      <c r="I142" s="7"/>
      <c r="J142" s="7"/>
      <c r="K142" s="7"/>
      <c r="L142" s="7"/>
      <c r="M142" s="9"/>
      <c r="N142" s="9"/>
      <c r="O142" s="7"/>
      <c r="P142" s="7"/>
      <c r="Q142" s="10"/>
      <c r="R142" s="10"/>
    </row>
    <row r="143" spans="1:18">
      <c r="A143" s="7"/>
      <c r="B143" s="7"/>
      <c r="C143" s="7"/>
      <c r="D143" s="7"/>
      <c r="E143" s="7"/>
      <c r="F143" s="7"/>
      <c r="G143" s="7"/>
      <c r="H143" s="8"/>
      <c r="I143" s="7"/>
      <c r="J143" s="7"/>
      <c r="K143" s="7"/>
      <c r="L143" s="7"/>
      <c r="M143" s="9"/>
      <c r="N143" s="9"/>
      <c r="O143" s="7"/>
      <c r="P143" s="7"/>
      <c r="Q143" s="10"/>
      <c r="R143" s="10"/>
    </row>
    <row r="144" spans="1:18">
      <c r="A144" s="7"/>
      <c r="B144" s="7"/>
      <c r="C144" s="7"/>
      <c r="D144" s="7"/>
      <c r="E144" s="7"/>
      <c r="F144" s="7"/>
      <c r="G144" s="7"/>
      <c r="H144" s="8"/>
      <c r="I144" s="7"/>
      <c r="J144" s="7"/>
      <c r="K144" s="7"/>
      <c r="L144" s="7"/>
      <c r="M144" s="9"/>
      <c r="N144" s="9"/>
      <c r="O144" s="7"/>
      <c r="P144" s="7"/>
      <c r="Q144" s="10"/>
      <c r="R144" s="10"/>
    </row>
    <row r="145" spans="1:18">
      <c r="A145" s="7"/>
      <c r="B145" s="7"/>
      <c r="C145" s="7"/>
      <c r="D145" s="7"/>
      <c r="E145" s="7"/>
      <c r="F145" s="7"/>
      <c r="G145" s="7"/>
      <c r="H145" s="8"/>
      <c r="I145" s="7"/>
      <c r="J145" s="7"/>
      <c r="K145" s="7"/>
      <c r="L145" s="7"/>
      <c r="M145" s="9"/>
      <c r="N145" s="9"/>
      <c r="O145" s="7"/>
      <c r="P145" s="7"/>
      <c r="Q145" s="10"/>
      <c r="R145" s="10"/>
    </row>
    <row r="146" spans="1:18">
      <c r="A146" s="7"/>
      <c r="B146" s="7"/>
      <c r="C146" s="7"/>
      <c r="D146" s="7"/>
      <c r="E146" s="7"/>
      <c r="F146" s="7"/>
      <c r="G146" s="7"/>
      <c r="H146" s="8"/>
      <c r="I146" s="7"/>
      <c r="J146" s="7"/>
      <c r="K146" s="7"/>
      <c r="L146" s="7"/>
      <c r="M146" s="9"/>
      <c r="N146" s="9"/>
      <c r="O146" s="7"/>
      <c r="P146" s="7"/>
      <c r="Q146" s="10"/>
      <c r="R146" s="10"/>
    </row>
    <row r="147" spans="1:18">
      <c r="A147" s="7"/>
      <c r="B147" s="7"/>
      <c r="C147" s="7"/>
      <c r="D147" s="7"/>
      <c r="E147" s="7"/>
      <c r="F147" s="7"/>
      <c r="G147" s="7"/>
      <c r="H147" s="8"/>
      <c r="I147" s="7"/>
      <c r="J147" s="7"/>
      <c r="K147" s="7"/>
      <c r="L147" s="7"/>
      <c r="M147" s="9"/>
      <c r="N147" s="9"/>
      <c r="O147" s="7"/>
      <c r="P147" s="7"/>
      <c r="Q147" s="10"/>
      <c r="R147" s="10"/>
    </row>
    <row r="148" spans="1:18">
      <c r="A148" s="7"/>
      <c r="B148" s="7"/>
      <c r="C148" s="7"/>
      <c r="D148" s="7"/>
      <c r="E148" s="7"/>
      <c r="F148" s="7"/>
      <c r="G148" s="7"/>
      <c r="H148" s="8"/>
      <c r="I148" s="7"/>
      <c r="J148" s="7"/>
      <c r="K148" s="7"/>
      <c r="L148" s="7"/>
      <c r="M148" s="9"/>
      <c r="N148" s="9"/>
      <c r="O148" s="7"/>
      <c r="P148" s="7"/>
      <c r="Q148" s="10"/>
      <c r="R148" s="10"/>
    </row>
    <row r="149" spans="1:18">
      <c r="A149" s="7"/>
      <c r="B149" s="7"/>
      <c r="C149" s="7"/>
      <c r="D149" s="7"/>
      <c r="E149" s="7"/>
      <c r="F149" s="7"/>
      <c r="G149" s="7"/>
      <c r="H149" s="8"/>
      <c r="I149" s="7"/>
      <c r="J149" s="7"/>
      <c r="K149" s="7"/>
      <c r="L149" s="7"/>
      <c r="M149" s="9"/>
      <c r="N149" s="9"/>
      <c r="O149" s="7"/>
      <c r="P149" s="7"/>
      <c r="Q149" s="10"/>
      <c r="R149" s="10"/>
    </row>
    <row r="150" spans="1:18">
      <c r="A150" s="7"/>
      <c r="B150" s="7"/>
      <c r="C150" s="7"/>
      <c r="D150" s="7"/>
      <c r="E150" s="7"/>
      <c r="F150" s="7"/>
      <c r="G150" s="7"/>
      <c r="H150" s="8"/>
      <c r="I150" s="7"/>
      <c r="J150" s="7"/>
      <c r="K150" s="7"/>
      <c r="L150" s="7"/>
      <c r="M150" s="9"/>
      <c r="N150" s="9"/>
      <c r="O150" s="7"/>
      <c r="P150" s="7"/>
      <c r="Q150" s="10"/>
      <c r="R150" s="10"/>
    </row>
    <row r="151" spans="1:18">
      <c r="A151" s="7"/>
      <c r="B151" s="7"/>
      <c r="C151" s="7"/>
      <c r="D151" s="7"/>
      <c r="E151" s="7"/>
      <c r="F151" s="7"/>
      <c r="G151" s="7"/>
      <c r="H151" s="8"/>
      <c r="I151" s="7"/>
      <c r="J151" s="7"/>
      <c r="K151" s="7"/>
      <c r="L151" s="7"/>
      <c r="M151" s="9"/>
      <c r="N151" s="9"/>
      <c r="O151" s="7"/>
      <c r="P151" s="7"/>
      <c r="Q151" s="10"/>
      <c r="R151" s="10"/>
    </row>
    <row r="152" spans="1:18">
      <c r="A152" s="7"/>
      <c r="B152" s="7"/>
      <c r="C152" s="7"/>
      <c r="D152" s="7"/>
      <c r="E152" s="7"/>
      <c r="F152" s="7"/>
      <c r="G152" s="7"/>
      <c r="H152" s="8"/>
      <c r="I152" s="7"/>
      <c r="J152" s="7"/>
      <c r="K152" s="7"/>
      <c r="L152" s="7"/>
      <c r="M152" s="9"/>
      <c r="N152" s="9"/>
      <c r="O152" s="7"/>
      <c r="P152" s="7"/>
      <c r="Q152" s="10"/>
      <c r="R152" s="10"/>
    </row>
    <row r="153" spans="1:18">
      <c r="A153" s="7"/>
      <c r="B153" s="7"/>
      <c r="C153" s="7"/>
      <c r="D153" s="7"/>
      <c r="E153" s="7"/>
      <c r="F153" s="7"/>
      <c r="G153" s="7"/>
      <c r="H153" s="8"/>
      <c r="I153" s="7"/>
      <c r="J153" s="7"/>
      <c r="K153" s="7"/>
      <c r="L153" s="7"/>
      <c r="M153" s="9"/>
      <c r="N153" s="9"/>
      <c r="O153" s="7"/>
      <c r="P153" s="7"/>
      <c r="Q153" s="10"/>
      <c r="R153" s="10"/>
    </row>
    <row r="154" spans="1:18">
      <c r="A154" s="7"/>
      <c r="B154" s="7"/>
      <c r="C154" s="7"/>
      <c r="D154" s="7"/>
      <c r="E154" s="7"/>
      <c r="F154" s="7"/>
      <c r="G154" s="7"/>
      <c r="H154" s="8"/>
      <c r="I154" s="7"/>
      <c r="J154" s="7"/>
      <c r="K154" s="7"/>
      <c r="L154" s="7"/>
      <c r="M154" s="9"/>
      <c r="N154" s="9"/>
      <c r="O154" s="7"/>
      <c r="P154" s="7"/>
      <c r="Q154" s="10"/>
      <c r="R154" s="10"/>
    </row>
    <row r="155" spans="1:18">
      <c r="A155" s="7"/>
      <c r="B155" s="7"/>
      <c r="C155" s="7"/>
      <c r="D155" s="7"/>
      <c r="E155" s="7"/>
      <c r="F155" s="7"/>
      <c r="G155" s="7"/>
      <c r="H155" s="8"/>
      <c r="I155" s="7"/>
      <c r="J155" s="7"/>
      <c r="K155" s="7"/>
      <c r="L155" s="7"/>
      <c r="M155" s="9"/>
      <c r="N155" s="9"/>
      <c r="O155" s="7"/>
      <c r="P155" s="7"/>
      <c r="Q155" s="10"/>
      <c r="R155" s="10"/>
    </row>
    <row r="156" spans="1:18">
      <c r="A156" s="7"/>
      <c r="B156" s="7"/>
      <c r="C156" s="7"/>
      <c r="D156" s="7"/>
      <c r="E156" s="7"/>
      <c r="F156" s="7"/>
      <c r="G156" s="7"/>
      <c r="H156" s="8"/>
      <c r="I156" s="7"/>
      <c r="J156" s="7"/>
      <c r="K156" s="7"/>
      <c r="L156" s="7"/>
      <c r="M156" s="9"/>
      <c r="N156" s="9"/>
      <c r="O156" s="7"/>
      <c r="P156" s="7"/>
      <c r="Q156" s="10"/>
      <c r="R156" s="10"/>
    </row>
    <row r="157" spans="1:18">
      <c r="A157" s="7"/>
      <c r="B157" s="7"/>
      <c r="C157" s="7"/>
      <c r="D157" s="7"/>
      <c r="E157" s="7"/>
      <c r="F157" s="7"/>
      <c r="G157" s="7"/>
      <c r="H157" s="8"/>
      <c r="I157" s="7"/>
      <c r="J157" s="7"/>
      <c r="K157" s="7"/>
      <c r="L157" s="7"/>
      <c r="M157" s="9"/>
      <c r="N157" s="9"/>
      <c r="O157" s="7"/>
      <c r="P157" s="7"/>
      <c r="Q157" s="10"/>
      <c r="R157" s="10"/>
    </row>
    <row r="158" spans="1:18">
      <c r="A158" s="7"/>
      <c r="B158" s="7"/>
      <c r="C158" s="7"/>
      <c r="D158" s="7"/>
      <c r="E158" s="7"/>
      <c r="F158" s="7"/>
      <c r="G158" s="7"/>
      <c r="H158" s="8"/>
      <c r="I158" s="7"/>
      <c r="J158" s="7"/>
      <c r="K158" s="7"/>
      <c r="L158" s="7"/>
      <c r="M158" s="9"/>
      <c r="N158" s="9"/>
      <c r="O158" s="7"/>
      <c r="P158" s="7"/>
      <c r="Q158" s="10"/>
      <c r="R158" s="10"/>
    </row>
    <row r="159" spans="1:18">
      <c r="A159" s="7"/>
      <c r="B159" s="7"/>
      <c r="C159" s="7"/>
      <c r="D159" s="7"/>
      <c r="E159" s="7"/>
      <c r="F159" s="7"/>
      <c r="G159" s="7"/>
      <c r="H159" s="8"/>
      <c r="I159" s="7"/>
      <c r="J159" s="7"/>
      <c r="K159" s="7"/>
      <c r="L159" s="7"/>
      <c r="M159" s="9"/>
      <c r="N159" s="9"/>
      <c r="O159" s="7"/>
      <c r="P159" s="7"/>
      <c r="Q159" s="10"/>
      <c r="R159" s="10"/>
    </row>
    <row r="160" spans="1:18">
      <c r="A160" s="7"/>
      <c r="B160" s="7"/>
      <c r="C160" s="7"/>
      <c r="D160" s="7"/>
      <c r="E160" s="7"/>
      <c r="F160" s="7"/>
      <c r="G160" s="7"/>
      <c r="H160" s="8"/>
      <c r="I160" s="7"/>
      <c r="J160" s="7"/>
      <c r="K160" s="7"/>
      <c r="L160" s="7"/>
      <c r="M160" s="9"/>
      <c r="N160" s="9"/>
      <c r="O160" s="7"/>
      <c r="P160" s="7"/>
      <c r="Q160" s="10"/>
      <c r="R160" s="10"/>
    </row>
    <row r="161" spans="1:18">
      <c r="A161" s="7"/>
      <c r="B161" s="7"/>
      <c r="C161" s="7"/>
      <c r="D161" s="7"/>
      <c r="E161" s="7"/>
      <c r="F161" s="7"/>
      <c r="G161" s="7"/>
      <c r="H161" s="8"/>
      <c r="I161" s="7"/>
      <c r="J161" s="7"/>
      <c r="K161" s="7"/>
      <c r="L161" s="7"/>
      <c r="M161" s="9"/>
      <c r="N161" s="9"/>
      <c r="O161" s="7"/>
      <c r="P161" s="7"/>
      <c r="Q161" s="10"/>
      <c r="R161" s="10"/>
    </row>
    <row r="162" spans="1:18">
      <c r="A162" s="7"/>
      <c r="B162" s="7"/>
      <c r="C162" s="7"/>
      <c r="D162" s="7"/>
      <c r="E162" s="7"/>
      <c r="F162" s="7"/>
      <c r="G162" s="7"/>
      <c r="H162" s="8"/>
      <c r="I162" s="7"/>
      <c r="J162" s="7"/>
      <c r="K162" s="7"/>
      <c r="L162" s="7"/>
      <c r="M162" s="9"/>
      <c r="N162" s="9"/>
      <c r="O162" s="7"/>
      <c r="P162" s="7"/>
      <c r="Q162" s="10"/>
      <c r="R162" s="10"/>
    </row>
    <row r="163" spans="1:18">
      <c r="A163" s="7"/>
      <c r="B163" s="7"/>
      <c r="C163" s="7"/>
      <c r="D163" s="7"/>
      <c r="E163" s="7"/>
      <c r="F163" s="7"/>
      <c r="G163" s="7"/>
      <c r="H163" s="8"/>
      <c r="I163" s="7"/>
      <c r="J163" s="7"/>
      <c r="K163" s="7"/>
      <c r="L163" s="7"/>
      <c r="M163" s="9"/>
      <c r="N163" s="9"/>
      <c r="O163" s="7"/>
      <c r="P163" s="7"/>
      <c r="Q163" s="10"/>
      <c r="R163" s="10"/>
    </row>
    <row r="164" spans="1:18">
      <c r="A164" s="7"/>
      <c r="B164" s="7"/>
      <c r="C164" s="7"/>
      <c r="D164" s="7"/>
      <c r="E164" s="7"/>
      <c r="F164" s="7"/>
      <c r="G164" s="7"/>
      <c r="H164" s="8"/>
      <c r="I164" s="7"/>
      <c r="J164" s="7"/>
      <c r="K164" s="7"/>
      <c r="L164" s="7"/>
      <c r="M164" s="9"/>
      <c r="N164" s="9"/>
      <c r="O164" s="7"/>
      <c r="P164" s="7"/>
      <c r="Q164" s="10"/>
      <c r="R164" s="10"/>
    </row>
    <row r="165" spans="1:18">
      <c r="A165" s="7"/>
      <c r="B165" s="7"/>
      <c r="C165" s="7"/>
      <c r="D165" s="7"/>
      <c r="E165" s="7"/>
      <c r="F165" s="7"/>
      <c r="G165" s="7"/>
      <c r="H165" s="8"/>
      <c r="I165" s="7"/>
      <c r="J165" s="7"/>
      <c r="K165" s="7"/>
      <c r="L165" s="7"/>
      <c r="M165" s="9"/>
      <c r="N165" s="9"/>
      <c r="O165" s="7"/>
      <c r="P165" s="7"/>
      <c r="Q165" s="10"/>
      <c r="R165" s="10"/>
    </row>
    <row r="166" spans="1:18">
      <c r="A166" s="7"/>
      <c r="B166" s="7"/>
      <c r="C166" s="7"/>
      <c r="D166" s="7"/>
      <c r="E166" s="7"/>
      <c r="F166" s="7"/>
      <c r="G166" s="7"/>
      <c r="H166" s="8"/>
      <c r="I166" s="7"/>
      <c r="J166" s="7"/>
      <c r="K166" s="7"/>
      <c r="L166" s="7"/>
      <c r="M166" s="9"/>
      <c r="N166" s="9"/>
      <c r="O166" s="7"/>
      <c r="P166" s="7"/>
      <c r="Q166" s="10"/>
      <c r="R166" s="10"/>
    </row>
    <row r="167" spans="1:18">
      <c r="A167" s="7"/>
      <c r="B167" s="7"/>
      <c r="C167" s="7"/>
      <c r="D167" s="7"/>
      <c r="E167" s="7"/>
      <c r="F167" s="7"/>
      <c r="G167" s="7"/>
      <c r="H167" s="8"/>
      <c r="I167" s="7"/>
      <c r="J167" s="7"/>
      <c r="K167" s="7"/>
      <c r="L167" s="7"/>
      <c r="M167" s="9"/>
      <c r="N167" s="9"/>
      <c r="O167" s="7"/>
      <c r="P167" s="7"/>
      <c r="Q167" s="10"/>
      <c r="R167" s="10"/>
    </row>
    <row r="168" spans="1:18">
      <c r="A168" s="7"/>
      <c r="B168" s="7"/>
      <c r="C168" s="7"/>
      <c r="D168" s="7"/>
      <c r="E168" s="7"/>
      <c r="F168" s="7"/>
      <c r="G168" s="7"/>
      <c r="H168" s="8"/>
      <c r="I168" s="7"/>
      <c r="J168" s="7"/>
      <c r="K168" s="7"/>
      <c r="L168" s="7"/>
      <c r="M168" s="9"/>
      <c r="N168" s="9"/>
      <c r="O168" s="7"/>
      <c r="P168" s="7"/>
      <c r="Q168" s="10"/>
      <c r="R168" s="10"/>
    </row>
    <row r="169" spans="1:18">
      <c r="A169" s="7"/>
      <c r="B169" s="7"/>
      <c r="C169" s="7"/>
      <c r="D169" s="7"/>
      <c r="E169" s="7"/>
      <c r="F169" s="7"/>
      <c r="G169" s="7"/>
      <c r="H169" s="8"/>
      <c r="I169" s="7"/>
      <c r="J169" s="7"/>
      <c r="K169" s="7"/>
      <c r="L169" s="7"/>
      <c r="M169" s="9"/>
      <c r="N169" s="9"/>
      <c r="O169" s="7"/>
      <c r="P169" s="7"/>
      <c r="Q169" s="10"/>
      <c r="R169" s="10"/>
    </row>
    <row r="170" spans="1:18">
      <c r="A170" s="7"/>
      <c r="B170" s="7"/>
      <c r="C170" s="7"/>
      <c r="D170" s="7"/>
      <c r="E170" s="7"/>
      <c r="F170" s="7"/>
      <c r="G170" s="7"/>
      <c r="H170" s="8"/>
      <c r="I170" s="7"/>
      <c r="J170" s="7"/>
      <c r="K170" s="7"/>
      <c r="L170" s="7"/>
      <c r="M170" s="9"/>
      <c r="N170" s="9"/>
      <c r="O170" s="7"/>
      <c r="P170" s="7"/>
      <c r="Q170" s="10"/>
      <c r="R170" s="10"/>
    </row>
    <row r="171" spans="1:18">
      <c r="A171" s="7"/>
      <c r="B171" s="7"/>
      <c r="C171" s="7"/>
      <c r="D171" s="7"/>
      <c r="E171" s="7"/>
      <c r="F171" s="7"/>
      <c r="G171" s="7"/>
      <c r="H171" s="8"/>
      <c r="I171" s="7"/>
      <c r="J171" s="7"/>
      <c r="K171" s="7"/>
      <c r="L171" s="7"/>
      <c r="M171" s="9"/>
      <c r="N171" s="9"/>
      <c r="O171" s="7"/>
      <c r="P171" s="7"/>
      <c r="Q171" s="10"/>
      <c r="R171" s="10"/>
    </row>
    <row r="172" spans="1:18">
      <c r="A172" s="7"/>
      <c r="B172" s="7"/>
      <c r="C172" s="7"/>
      <c r="D172" s="7"/>
      <c r="E172" s="7"/>
      <c r="F172" s="7"/>
      <c r="G172" s="7"/>
      <c r="H172" s="8"/>
      <c r="I172" s="7"/>
      <c r="J172" s="7"/>
      <c r="K172" s="7"/>
      <c r="L172" s="7"/>
      <c r="M172" s="9"/>
      <c r="N172" s="9"/>
      <c r="O172" s="7"/>
      <c r="P172" s="7"/>
      <c r="Q172" s="10"/>
      <c r="R172" s="10"/>
    </row>
    <row r="173" spans="1:18">
      <c r="A173" s="7"/>
      <c r="B173" s="7"/>
      <c r="C173" s="7"/>
      <c r="D173" s="7"/>
      <c r="E173" s="7"/>
      <c r="F173" s="7"/>
      <c r="G173" s="7"/>
      <c r="H173" s="8"/>
      <c r="I173" s="7"/>
      <c r="J173" s="7"/>
      <c r="K173" s="7"/>
      <c r="L173" s="7"/>
      <c r="M173" s="9"/>
      <c r="N173" s="9"/>
      <c r="O173" s="7"/>
      <c r="P173" s="7"/>
      <c r="Q173" s="10"/>
      <c r="R173" s="10"/>
    </row>
    <row r="174" spans="1:18">
      <c r="A174" s="7"/>
      <c r="B174" s="7"/>
      <c r="C174" s="7"/>
      <c r="D174" s="7"/>
      <c r="E174" s="7"/>
      <c r="F174" s="7"/>
      <c r="G174" s="7"/>
      <c r="H174" s="8"/>
      <c r="I174" s="7"/>
      <c r="J174" s="7"/>
      <c r="K174" s="7"/>
      <c r="L174" s="7"/>
      <c r="M174" s="9"/>
      <c r="N174" s="9"/>
      <c r="O174" s="7"/>
      <c r="P174" s="7"/>
      <c r="Q174" s="10"/>
      <c r="R174" s="10"/>
    </row>
    <row r="175" spans="1:18">
      <c r="A175" s="7"/>
      <c r="B175" s="7"/>
      <c r="C175" s="7"/>
      <c r="D175" s="7"/>
      <c r="E175" s="7"/>
      <c r="F175" s="7"/>
      <c r="G175" s="7"/>
      <c r="H175" s="8"/>
      <c r="I175" s="7"/>
      <c r="J175" s="7"/>
      <c r="K175" s="7"/>
      <c r="L175" s="7"/>
      <c r="M175" s="9"/>
      <c r="N175" s="9"/>
      <c r="O175" s="7"/>
      <c r="P175" s="7"/>
      <c r="Q175" s="10"/>
      <c r="R175" s="10"/>
    </row>
    <row r="176" spans="1:18">
      <c r="A176" s="7"/>
      <c r="B176" s="7"/>
      <c r="C176" s="7"/>
      <c r="D176" s="7"/>
      <c r="E176" s="7"/>
      <c r="F176" s="7"/>
      <c r="G176" s="7"/>
      <c r="H176" s="8"/>
      <c r="I176" s="7"/>
      <c r="J176" s="7"/>
      <c r="K176" s="7"/>
      <c r="L176" s="7"/>
      <c r="M176" s="9"/>
      <c r="N176" s="9"/>
      <c r="O176" s="7"/>
      <c r="P176" s="7"/>
      <c r="Q176" s="10"/>
      <c r="R176" s="10"/>
    </row>
    <row r="177" spans="1:18">
      <c r="A177" s="7"/>
      <c r="B177" s="7"/>
      <c r="C177" s="7"/>
      <c r="D177" s="7"/>
      <c r="E177" s="7"/>
      <c r="F177" s="7"/>
      <c r="G177" s="7"/>
      <c r="H177" s="8"/>
      <c r="I177" s="7"/>
      <c r="J177" s="7"/>
      <c r="K177" s="7"/>
      <c r="L177" s="7"/>
      <c r="M177" s="9"/>
      <c r="N177" s="9"/>
      <c r="O177" s="7"/>
      <c r="P177" s="7"/>
      <c r="Q177" s="10"/>
      <c r="R177" s="10"/>
    </row>
    <row r="178" spans="1:18">
      <c r="A178" s="7"/>
      <c r="B178" s="7"/>
      <c r="C178" s="7"/>
      <c r="D178" s="7"/>
      <c r="E178" s="7"/>
      <c r="F178" s="7"/>
      <c r="G178" s="7"/>
      <c r="H178" s="8"/>
      <c r="I178" s="7"/>
      <c r="J178" s="7"/>
      <c r="K178" s="7"/>
      <c r="L178" s="7"/>
      <c r="M178" s="9"/>
      <c r="N178" s="9"/>
      <c r="O178" s="7"/>
      <c r="P178" s="7"/>
      <c r="Q178" s="10"/>
      <c r="R178" s="10"/>
    </row>
    <row r="179" spans="1:18">
      <c r="A179" s="7"/>
      <c r="B179" s="7"/>
      <c r="C179" s="7"/>
      <c r="D179" s="7"/>
      <c r="E179" s="7"/>
      <c r="F179" s="7"/>
      <c r="G179" s="7"/>
      <c r="H179" s="8"/>
      <c r="I179" s="7"/>
      <c r="J179" s="7"/>
      <c r="K179" s="7"/>
      <c r="L179" s="7"/>
      <c r="M179" s="9"/>
      <c r="N179" s="9"/>
      <c r="O179" s="7"/>
      <c r="P179" s="7"/>
      <c r="Q179" s="10"/>
      <c r="R179" s="10"/>
    </row>
    <row r="180" spans="1:18">
      <c r="A180" s="7"/>
      <c r="B180" s="7"/>
      <c r="C180" s="7"/>
      <c r="D180" s="7"/>
      <c r="E180" s="7"/>
      <c r="F180" s="7"/>
      <c r="G180" s="7"/>
      <c r="H180" s="8"/>
      <c r="I180" s="7"/>
      <c r="J180" s="7"/>
      <c r="K180" s="7"/>
      <c r="L180" s="7"/>
      <c r="M180" s="9"/>
      <c r="N180" s="9"/>
      <c r="O180" s="7"/>
      <c r="P180" s="7"/>
      <c r="Q180" s="10"/>
      <c r="R180" s="10"/>
    </row>
    <row r="181" spans="1:18">
      <c r="A181" s="7"/>
      <c r="B181" s="7"/>
      <c r="C181" s="7"/>
      <c r="D181" s="7"/>
      <c r="E181" s="7"/>
      <c r="F181" s="7"/>
      <c r="G181" s="7"/>
      <c r="H181" s="8"/>
      <c r="I181" s="7"/>
      <c r="J181" s="7"/>
      <c r="K181" s="7"/>
      <c r="L181" s="7"/>
      <c r="M181" s="9"/>
      <c r="N181" s="9"/>
      <c r="O181" s="7"/>
      <c r="P181" s="7"/>
      <c r="Q181" s="10"/>
      <c r="R181" s="10"/>
    </row>
    <row r="182" spans="1:18">
      <c r="A182" s="7"/>
      <c r="B182" s="7"/>
      <c r="C182" s="7"/>
      <c r="D182" s="7"/>
      <c r="E182" s="7"/>
      <c r="F182" s="7"/>
      <c r="G182" s="7"/>
      <c r="H182" s="8"/>
      <c r="I182" s="7"/>
      <c r="J182" s="7"/>
      <c r="K182" s="7"/>
      <c r="L182" s="7"/>
      <c r="M182" s="9"/>
      <c r="N182" s="9"/>
      <c r="O182" s="7"/>
      <c r="P182" s="7"/>
      <c r="Q182" s="10"/>
      <c r="R182" s="10"/>
    </row>
    <row r="183" spans="1:18">
      <c r="A183" s="7"/>
      <c r="B183" s="7"/>
      <c r="C183" s="7"/>
      <c r="D183" s="7"/>
      <c r="E183" s="7"/>
      <c r="F183" s="7"/>
      <c r="G183" s="7"/>
      <c r="H183" s="8"/>
      <c r="I183" s="7"/>
      <c r="J183" s="7"/>
      <c r="K183" s="7"/>
      <c r="L183" s="7"/>
      <c r="M183" s="9"/>
      <c r="N183" s="9"/>
      <c r="O183" s="7"/>
      <c r="P183" s="7"/>
      <c r="Q183" s="10"/>
      <c r="R183" s="10"/>
    </row>
    <row r="184" spans="1:18">
      <c r="A184" s="7"/>
      <c r="B184" s="7"/>
      <c r="C184" s="7"/>
      <c r="D184" s="7"/>
      <c r="E184" s="7"/>
      <c r="F184" s="7"/>
      <c r="G184" s="7"/>
      <c r="H184" s="8"/>
      <c r="I184" s="7"/>
      <c r="J184" s="7"/>
      <c r="K184" s="7"/>
      <c r="L184" s="7"/>
      <c r="M184" s="9"/>
      <c r="N184" s="9"/>
      <c r="O184" s="7"/>
      <c r="P184" s="7"/>
      <c r="Q184" s="10"/>
      <c r="R184" s="10"/>
    </row>
    <row r="185" spans="1:18">
      <c r="A185" s="7"/>
      <c r="B185" s="7"/>
      <c r="C185" s="7"/>
      <c r="D185" s="7"/>
      <c r="E185" s="7"/>
      <c r="F185" s="7"/>
      <c r="G185" s="7"/>
      <c r="H185" s="8"/>
      <c r="I185" s="7"/>
      <c r="J185" s="7"/>
      <c r="K185" s="7"/>
      <c r="L185" s="7"/>
      <c r="M185" s="9"/>
      <c r="N185" s="9"/>
      <c r="O185" s="7"/>
      <c r="P185" s="7"/>
      <c r="Q185" s="10"/>
      <c r="R185" s="10"/>
    </row>
    <row r="186" spans="1:18">
      <c r="A186" s="7"/>
      <c r="B186" s="7"/>
      <c r="C186" s="7"/>
      <c r="D186" s="7"/>
      <c r="E186" s="7"/>
      <c r="F186" s="7"/>
      <c r="G186" s="7"/>
      <c r="H186" s="8"/>
      <c r="I186" s="7"/>
      <c r="J186" s="7"/>
      <c r="K186" s="7"/>
      <c r="L186" s="7"/>
      <c r="M186" s="9"/>
      <c r="N186" s="9"/>
      <c r="O186" s="7"/>
      <c r="P186" s="7"/>
      <c r="Q186" s="10"/>
      <c r="R186" s="10"/>
    </row>
    <row r="187" spans="1:18">
      <c r="A187" s="7"/>
      <c r="B187" s="7"/>
      <c r="C187" s="7"/>
      <c r="D187" s="7"/>
      <c r="E187" s="7"/>
      <c r="F187" s="7"/>
      <c r="G187" s="7"/>
      <c r="H187" s="8"/>
      <c r="I187" s="7"/>
      <c r="J187" s="7"/>
      <c r="K187" s="7"/>
      <c r="L187" s="7"/>
      <c r="M187" s="9"/>
      <c r="N187" s="9"/>
      <c r="O187" s="7"/>
      <c r="P187" s="7"/>
      <c r="Q187" s="10"/>
      <c r="R187" s="10"/>
    </row>
    <row r="188" spans="1:18">
      <c r="A188" s="7"/>
      <c r="B188" s="7"/>
      <c r="C188" s="7"/>
      <c r="D188" s="7"/>
      <c r="E188" s="7"/>
      <c r="F188" s="7"/>
      <c r="G188" s="7"/>
      <c r="H188" s="8"/>
      <c r="I188" s="7"/>
      <c r="J188" s="7"/>
      <c r="K188" s="7"/>
      <c r="L188" s="7"/>
      <c r="M188" s="9"/>
      <c r="N188" s="9"/>
      <c r="O188" s="7"/>
      <c r="P188" s="7"/>
      <c r="Q188" s="10"/>
      <c r="R188" s="10"/>
    </row>
    <row r="189" spans="1:18">
      <c r="A189" s="7"/>
      <c r="B189" s="7"/>
      <c r="C189" s="7"/>
      <c r="D189" s="7"/>
      <c r="E189" s="7"/>
      <c r="F189" s="7"/>
      <c r="G189" s="7"/>
      <c r="H189" s="8"/>
      <c r="I189" s="7"/>
      <c r="J189" s="7"/>
      <c r="K189" s="7"/>
      <c r="L189" s="7"/>
      <c r="M189" s="9"/>
      <c r="N189" s="9"/>
      <c r="O189" s="7"/>
      <c r="P189" s="7"/>
      <c r="Q189" s="10"/>
      <c r="R189" s="10"/>
    </row>
    <row r="190" spans="1:18">
      <c r="A190" s="7"/>
      <c r="B190" s="7"/>
      <c r="C190" s="7"/>
      <c r="D190" s="7"/>
      <c r="E190" s="7"/>
      <c r="F190" s="7"/>
      <c r="G190" s="7"/>
      <c r="H190" s="8"/>
      <c r="I190" s="7"/>
      <c r="J190" s="7"/>
      <c r="K190" s="7"/>
      <c r="L190" s="7"/>
      <c r="M190" s="9"/>
      <c r="N190" s="9"/>
      <c r="O190" s="7"/>
      <c r="P190" s="7"/>
      <c r="Q190" s="10"/>
      <c r="R190" s="10"/>
    </row>
    <row r="191" spans="1:18">
      <c r="A191" s="7"/>
      <c r="B191" s="7"/>
      <c r="C191" s="7"/>
      <c r="D191" s="7"/>
      <c r="E191" s="7"/>
      <c r="F191" s="7"/>
      <c r="G191" s="7"/>
      <c r="H191" s="8"/>
      <c r="I191" s="7"/>
      <c r="J191" s="7"/>
      <c r="K191" s="7"/>
      <c r="L191" s="7"/>
      <c r="M191" s="9"/>
      <c r="N191" s="9"/>
      <c r="O191" s="7"/>
      <c r="P191" s="7"/>
      <c r="Q191" s="10"/>
      <c r="R191" s="10"/>
    </row>
    <row r="192" spans="1:18">
      <c r="A192" s="7"/>
      <c r="B192" s="7"/>
      <c r="C192" s="7"/>
      <c r="D192" s="7"/>
      <c r="E192" s="7"/>
      <c r="F192" s="7"/>
      <c r="G192" s="7"/>
      <c r="H192" s="8"/>
      <c r="I192" s="7"/>
      <c r="J192" s="7"/>
      <c r="K192" s="7"/>
      <c r="L192" s="7"/>
      <c r="M192" s="9"/>
      <c r="N192" s="9"/>
      <c r="O192" s="7"/>
      <c r="P192" s="7"/>
      <c r="Q192" s="10"/>
      <c r="R192" s="10"/>
    </row>
    <row r="193" spans="1:18">
      <c r="A193" s="7"/>
      <c r="B193" s="7"/>
      <c r="C193" s="7"/>
      <c r="D193" s="7"/>
      <c r="E193" s="7"/>
      <c r="F193" s="7"/>
      <c r="G193" s="7"/>
      <c r="H193" s="8"/>
      <c r="I193" s="7"/>
      <c r="J193" s="7"/>
      <c r="K193" s="7"/>
      <c r="L193" s="7"/>
      <c r="M193" s="9"/>
      <c r="N193" s="9"/>
      <c r="O193" s="7"/>
      <c r="P193" s="7"/>
      <c r="Q193" s="10"/>
      <c r="R193" s="10"/>
    </row>
    <row r="194" spans="1:18">
      <c r="A194" s="7"/>
      <c r="B194" s="7"/>
      <c r="C194" s="7"/>
      <c r="D194" s="7"/>
      <c r="E194" s="7"/>
      <c r="F194" s="7"/>
      <c r="G194" s="7"/>
      <c r="H194" s="8"/>
      <c r="I194" s="7"/>
      <c r="J194" s="7"/>
      <c r="K194" s="7"/>
      <c r="L194" s="7"/>
      <c r="M194" s="9"/>
      <c r="N194" s="9"/>
      <c r="O194" s="7"/>
      <c r="P194" s="7"/>
      <c r="Q194" s="10"/>
      <c r="R194" s="10"/>
    </row>
    <row r="195" spans="1:18">
      <c r="A195" s="7"/>
      <c r="B195" s="7"/>
      <c r="C195" s="7"/>
      <c r="D195" s="7"/>
      <c r="E195" s="7"/>
      <c r="F195" s="7"/>
      <c r="G195" s="7"/>
      <c r="H195" s="8"/>
      <c r="I195" s="7"/>
      <c r="J195" s="7"/>
      <c r="K195" s="7"/>
      <c r="L195" s="7"/>
      <c r="M195" s="9"/>
      <c r="N195" s="9"/>
      <c r="O195" s="7"/>
      <c r="P195" s="7"/>
      <c r="Q195" s="10"/>
      <c r="R195" s="10"/>
    </row>
    <row r="196" spans="1:18">
      <c r="A196" s="7"/>
      <c r="B196" s="7"/>
      <c r="C196" s="7"/>
      <c r="D196" s="7"/>
      <c r="E196" s="7"/>
      <c r="F196" s="7"/>
      <c r="G196" s="7"/>
      <c r="H196" s="8"/>
      <c r="I196" s="7"/>
      <c r="J196" s="7"/>
      <c r="K196" s="7"/>
      <c r="L196" s="7"/>
      <c r="M196" s="9"/>
      <c r="N196" s="9"/>
      <c r="O196" s="7"/>
      <c r="P196" s="7"/>
      <c r="Q196" s="10"/>
      <c r="R196" s="10"/>
    </row>
    <row r="197" spans="1:18">
      <c r="A197" s="7"/>
      <c r="B197" s="7"/>
      <c r="C197" s="7"/>
      <c r="D197" s="7"/>
      <c r="E197" s="7"/>
      <c r="F197" s="7"/>
      <c r="G197" s="7"/>
      <c r="H197" s="8"/>
      <c r="I197" s="7"/>
      <c r="J197" s="7"/>
      <c r="K197" s="7"/>
      <c r="L197" s="7"/>
      <c r="M197" s="9"/>
      <c r="N197" s="9"/>
      <c r="O197" s="7"/>
      <c r="P197" s="7"/>
      <c r="Q197" s="10"/>
      <c r="R197" s="10"/>
    </row>
    <row r="198" spans="1:18">
      <c r="A198" s="7"/>
      <c r="B198" s="7"/>
      <c r="C198" s="7"/>
      <c r="D198" s="7"/>
      <c r="E198" s="7"/>
      <c r="F198" s="7"/>
      <c r="G198" s="7"/>
      <c r="H198" s="8"/>
      <c r="I198" s="7"/>
      <c r="J198" s="7"/>
      <c r="K198" s="7"/>
      <c r="L198" s="7"/>
      <c r="M198" s="9"/>
      <c r="N198" s="9"/>
      <c r="O198" s="7"/>
      <c r="P198" s="7"/>
      <c r="Q198" s="10"/>
      <c r="R198" s="10"/>
    </row>
    <row r="199" spans="1:18">
      <c r="A199" s="7"/>
      <c r="B199" s="7"/>
      <c r="C199" s="7"/>
      <c r="D199" s="7"/>
      <c r="E199" s="7"/>
      <c r="F199" s="7"/>
      <c r="G199" s="7"/>
      <c r="H199" s="8"/>
      <c r="I199" s="7"/>
      <c r="J199" s="7"/>
      <c r="K199" s="7"/>
      <c r="L199" s="7"/>
      <c r="M199" s="9"/>
      <c r="N199" s="9"/>
      <c r="O199" s="7"/>
      <c r="P199" s="7"/>
      <c r="Q199" s="10"/>
      <c r="R199" s="10"/>
    </row>
    <row r="200" spans="1:18">
      <c r="A200" s="7"/>
      <c r="B200" s="7"/>
      <c r="C200" s="7"/>
      <c r="D200" s="7"/>
      <c r="E200" s="7"/>
      <c r="F200" s="7"/>
      <c r="G200" s="7"/>
      <c r="H200" s="8"/>
      <c r="I200" s="7"/>
      <c r="J200" s="7"/>
      <c r="K200" s="7"/>
      <c r="L200" s="7"/>
      <c r="M200" s="9"/>
      <c r="N200" s="9"/>
      <c r="O200" s="7"/>
      <c r="P200" s="7"/>
      <c r="Q200" s="10"/>
      <c r="R200" s="10"/>
    </row>
    <row r="201" spans="1:18">
      <c r="A201" s="7"/>
      <c r="B201" s="7"/>
      <c r="C201" s="7"/>
      <c r="D201" s="7"/>
      <c r="E201" s="7"/>
      <c r="F201" s="7"/>
      <c r="G201" s="7"/>
      <c r="H201" s="8"/>
      <c r="I201" s="7"/>
      <c r="J201" s="7"/>
      <c r="K201" s="7"/>
      <c r="L201" s="7"/>
      <c r="M201" s="9"/>
      <c r="N201" s="9"/>
      <c r="O201" s="7"/>
      <c r="P201" s="7"/>
      <c r="Q201" s="10"/>
      <c r="R201" s="10"/>
    </row>
    <row r="202" spans="1:18">
      <c r="A202" s="7"/>
      <c r="B202" s="7"/>
      <c r="C202" s="7"/>
      <c r="D202" s="7"/>
      <c r="E202" s="7"/>
      <c r="F202" s="7"/>
      <c r="G202" s="7"/>
      <c r="H202" s="8"/>
      <c r="I202" s="7"/>
      <c r="J202" s="7"/>
      <c r="K202" s="7"/>
      <c r="L202" s="7"/>
      <c r="M202" s="9"/>
      <c r="N202" s="9"/>
      <c r="O202" s="7"/>
      <c r="P202" s="7"/>
      <c r="Q202" s="10"/>
      <c r="R202" s="10"/>
    </row>
    <row r="203" spans="1:18">
      <c r="A203" s="7"/>
      <c r="B203" s="7"/>
      <c r="C203" s="7"/>
      <c r="D203" s="7"/>
      <c r="E203" s="7"/>
      <c r="F203" s="7"/>
      <c r="G203" s="7"/>
      <c r="H203" s="8"/>
      <c r="I203" s="7"/>
      <c r="J203" s="7"/>
      <c r="K203" s="7"/>
      <c r="L203" s="7"/>
      <c r="M203" s="9"/>
      <c r="N203" s="9"/>
      <c r="O203" s="7"/>
      <c r="P203" s="7"/>
      <c r="Q203" s="10"/>
      <c r="R203" s="10"/>
    </row>
    <row r="204" spans="1:18">
      <c r="A204" s="7"/>
      <c r="B204" s="7"/>
      <c r="C204" s="7"/>
      <c r="D204" s="7"/>
      <c r="E204" s="7"/>
      <c r="F204" s="7"/>
      <c r="G204" s="7"/>
      <c r="H204" s="8"/>
      <c r="I204" s="7"/>
      <c r="J204" s="7"/>
      <c r="K204" s="7"/>
      <c r="L204" s="7"/>
      <c r="M204" s="9"/>
      <c r="N204" s="9"/>
      <c r="O204" s="7"/>
      <c r="P204" s="7"/>
      <c r="Q204" s="10"/>
      <c r="R204" s="10"/>
    </row>
    <row r="205" spans="1:18">
      <c r="A205" s="7"/>
      <c r="B205" s="7"/>
      <c r="C205" s="7"/>
      <c r="D205" s="7"/>
      <c r="E205" s="7"/>
      <c r="F205" s="7"/>
      <c r="G205" s="7"/>
      <c r="H205" s="8"/>
      <c r="I205" s="7"/>
      <c r="J205" s="7"/>
      <c r="K205" s="7"/>
      <c r="L205" s="7"/>
      <c r="M205" s="9"/>
      <c r="N205" s="9"/>
      <c r="O205" s="7"/>
      <c r="P205" s="7"/>
      <c r="Q205" s="10"/>
      <c r="R205" s="10"/>
    </row>
    <row r="206" spans="1:18">
      <c r="A206" s="7"/>
      <c r="B206" s="7"/>
      <c r="C206" s="7"/>
      <c r="D206" s="7"/>
      <c r="E206" s="7"/>
      <c r="F206" s="7"/>
      <c r="G206" s="7"/>
      <c r="H206" s="8"/>
      <c r="I206" s="7"/>
      <c r="J206" s="7"/>
      <c r="K206" s="7"/>
      <c r="L206" s="7"/>
      <c r="M206" s="9"/>
      <c r="N206" s="9"/>
      <c r="O206" s="7"/>
      <c r="P206" s="7"/>
      <c r="Q206" s="10"/>
      <c r="R206" s="10"/>
    </row>
    <row r="207" spans="1:18">
      <c r="A207" s="7"/>
      <c r="B207" s="7"/>
      <c r="C207" s="7"/>
      <c r="D207" s="7"/>
      <c r="E207" s="7"/>
      <c r="F207" s="7"/>
      <c r="G207" s="7"/>
      <c r="H207" s="8"/>
      <c r="I207" s="7"/>
      <c r="J207" s="7"/>
      <c r="K207" s="7"/>
      <c r="L207" s="7"/>
      <c r="M207" s="9"/>
      <c r="N207" s="9"/>
      <c r="O207" s="7"/>
      <c r="P207" s="7"/>
      <c r="Q207" s="10"/>
      <c r="R207" s="10"/>
    </row>
    <row r="208" spans="1:18">
      <c r="A208" s="7"/>
      <c r="B208" s="7"/>
      <c r="C208" s="7"/>
      <c r="D208" s="7"/>
      <c r="E208" s="7"/>
      <c r="F208" s="7"/>
      <c r="G208" s="7"/>
      <c r="H208" s="8"/>
      <c r="I208" s="7"/>
      <c r="J208" s="7"/>
      <c r="K208" s="7"/>
      <c r="L208" s="7"/>
      <c r="M208" s="9"/>
      <c r="N208" s="9"/>
      <c r="O208" s="7"/>
      <c r="P208" s="7"/>
      <c r="Q208" s="10"/>
      <c r="R208" s="10"/>
    </row>
    <row r="209" spans="1:18">
      <c r="A209" s="7"/>
      <c r="B209" s="7"/>
      <c r="C209" s="7"/>
      <c r="D209" s="7"/>
      <c r="E209" s="7"/>
      <c r="F209" s="7"/>
      <c r="G209" s="7"/>
      <c r="H209" s="8"/>
      <c r="I209" s="7"/>
      <c r="J209" s="7"/>
      <c r="K209" s="7"/>
      <c r="L209" s="7"/>
      <c r="M209" s="9"/>
      <c r="N209" s="9"/>
      <c r="O209" s="7"/>
      <c r="P209" s="7"/>
      <c r="Q209" s="10"/>
      <c r="R209" s="10"/>
    </row>
    <row r="210" spans="1:18">
      <c r="A210" s="7"/>
      <c r="B210" s="7"/>
      <c r="C210" s="7"/>
      <c r="D210" s="7"/>
      <c r="E210" s="7"/>
      <c r="F210" s="7"/>
      <c r="G210" s="7"/>
      <c r="H210" s="8"/>
      <c r="I210" s="7"/>
      <c r="J210" s="7"/>
      <c r="K210" s="7"/>
      <c r="L210" s="7"/>
      <c r="M210" s="9"/>
      <c r="N210" s="9"/>
      <c r="O210" s="7"/>
      <c r="P210" s="7"/>
      <c r="Q210" s="10"/>
      <c r="R210" s="10"/>
    </row>
    <row r="211" spans="1:18">
      <c r="A211" s="7"/>
      <c r="B211" s="7"/>
      <c r="C211" s="7"/>
      <c r="D211" s="7"/>
      <c r="E211" s="7"/>
      <c r="F211" s="7"/>
      <c r="G211" s="7"/>
      <c r="H211" s="8"/>
      <c r="I211" s="7"/>
      <c r="J211" s="7"/>
      <c r="K211" s="7"/>
      <c r="L211" s="7"/>
      <c r="M211" s="9"/>
      <c r="N211" s="9"/>
      <c r="O211" s="7"/>
      <c r="P211" s="7"/>
      <c r="Q211" s="10"/>
      <c r="R211" s="10"/>
    </row>
    <row r="212" spans="1:18">
      <c r="A212" s="7"/>
      <c r="B212" s="7"/>
      <c r="C212" s="7"/>
      <c r="D212" s="7"/>
      <c r="E212" s="7"/>
      <c r="F212" s="7"/>
      <c r="G212" s="7"/>
      <c r="H212" s="8"/>
      <c r="I212" s="7"/>
      <c r="J212" s="7"/>
      <c r="K212" s="7"/>
      <c r="L212" s="7"/>
      <c r="M212" s="9"/>
      <c r="N212" s="9"/>
      <c r="O212" s="7"/>
      <c r="P212" s="7"/>
      <c r="Q212" s="10"/>
      <c r="R212" s="10"/>
    </row>
    <row r="213" spans="1:18">
      <c r="A213" s="7"/>
      <c r="B213" s="7"/>
      <c r="C213" s="7"/>
      <c r="D213" s="7"/>
      <c r="E213" s="7"/>
      <c r="F213" s="7"/>
      <c r="G213" s="7"/>
      <c r="H213" s="8"/>
      <c r="I213" s="7"/>
      <c r="J213" s="7"/>
      <c r="K213" s="7"/>
      <c r="L213" s="7"/>
      <c r="M213" s="9"/>
      <c r="N213" s="9"/>
      <c r="O213" s="7"/>
      <c r="P213" s="7"/>
      <c r="Q213" s="10"/>
      <c r="R213" s="10"/>
    </row>
    <row r="214" spans="1:18">
      <c r="A214" s="7"/>
      <c r="B214" s="7"/>
      <c r="C214" s="7"/>
      <c r="D214" s="7"/>
      <c r="E214" s="7"/>
      <c r="F214" s="7"/>
      <c r="G214" s="7"/>
      <c r="H214" s="8"/>
      <c r="I214" s="7"/>
      <c r="J214" s="7"/>
      <c r="K214" s="7"/>
      <c r="L214" s="7"/>
      <c r="M214" s="9"/>
      <c r="N214" s="9"/>
      <c r="O214" s="7"/>
      <c r="P214" s="7"/>
      <c r="Q214" s="10"/>
      <c r="R214" s="10"/>
    </row>
    <row r="215" spans="1:18">
      <c r="A215" s="7"/>
      <c r="B215" s="7"/>
      <c r="C215" s="7"/>
      <c r="D215" s="7"/>
      <c r="E215" s="7"/>
      <c r="F215" s="7"/>
      <c r="G215" s="7"/>
      <c r="H215" s="8"/>
      <c r="I215" s="7"/>
      <c r="J215" s="7"/>
      <c r="K215" s="7"/>
      <c r="L215" s="7"/>
      <c r="M215" s="9"/>
      <c r="N215" s="9"/>
      <c r="O215" s="7"/>
      <c r="P215" s="7"/>
      <c r="Q215" s="10"/>
      <c r="R215" s="10"/>
    </row>
    <row r="216" spans="1:18">
      <c r="A216" s="7"/>
      <c r="B216" s="7"/>
      <c r="C216" s="7"/>
      <c r="D216" s="7"/>
      <c r="E216" s="7"/>
      <c r="F216" s="7"/>
      <c r="G216" s="7"/>
      <c r="H216" s="8"/>
      <c r="I216" s="7"/>
      <c r="J216" s="7"/>
      <c r="K216" s="7"/>
      <c r="L216" s="7"/>
      <c r="M216" s="9"/>
      <c r="N216" s="9"/>
      <c r="O216" s="7"/>
      <c r="P216" s="7"/>
      <c r="Q216" s="10"/>
      <c r="R216" s="10"/>
    </row>
    <row r="217" spans="1:18">
      <c r="A217" s="7"/>
      <c r="B217" s="7"/>
      <c r="C217" s="7"/>
      <c r="D217" s="7"/>
      <c r="E217" s="7"/>
      <c r="F217" s="7"/>
      <c r="G217" s="7"/>
      <c r="H217" s="8"/>
      <c r="I217" s="7"/>
      <c r="J217" s="7"/>
      <c r="K217" s="7"/>
      <c r="L217" s="7"/>
      <c r="M217" s="9"/>
      <c r="N217" s="9"/>
      <c r="O217" s="7"/>
      <c r="P217" s="7"/>
      <c r="Q217" s="10"/>
      <c r="R217" s="10"/>
    </row>
    <row r="218" spans="1:18">
      <c r="A218" s="7"/>
      <c r="B218" s="7"/>
      <c r="C218" s="7"/>
      <c r="D218" s="7"/>
      <c r="E218" s="7"/>
      <c r="F218" s="7"/>
      <c r="G218" s="7"/>
      <c r="H218" s="8"/>
      <c r="I218" s="7"/>
      <c r="J218" s="7"/>
      <c r="K218" s="7"/>
      <c r="L218" s="7"/>
      <c r="M218" s="9"/>
      <c r="N218" s="9"/>
      <c r="O218" s="7"/>
      <c r="P218" s="7"/>
      <c r="Q218" s="10"/>
      <c r="R218" s="10"/>
    </row>
    <row r="219" spans="1:18">
      <c r="A219" s="7"/>
      <c r="B219" s="7"/>
      <c r="C219" s="7"/>
      <c r="D219" s="7"/>
      <c r="E219" s="7"/>
      <c r="F219" s="7"/>
      <c r="G219" s="7"/>
      <c r="H219" s="8"/>
      <c r="I219" s="7"/>
      <c r="J219" s="7"/>
      <c r="K219" s="7"/>
      <c r="L219" s="7"/>
      <c r="M219" s="9"/>
      <c r="N219" s="9"/>
      <c r="O219" s="7"/>
      <c r="P219" s="7"/>
      <c r="Q219" s="10"/>
      <c r="R219" s="10"/>
    </row>
    <row r="220" spans="1:18">
      <c r="A220" s="7"/>
      <c r="B220" s="7"/>
      <c r="C220" s="7"/>
      <c r="D220" s="7"/>
      <c r="E220" s="7"/>
      <c r="F220" s="7"/>
      <c r="G220" s="7"/>
      <c r="H220" s="8"/>
      <c r="I220" s="7"/>
      <c r="J220" s="7"/>
      <c r="K220" s="7"/>
      <c r="L220" s="7"/>
      <c r="M220" s="9"/>
      <c r="N220" s="9"/>
      <c r="O220" s="7"/>
      <c r="P220" s="7"/>
      <c r="Q220" s="10"/>
      <c r="R220" s="10"/>
    </row>
    <row r="221" spans="1:18">
      <c r="A221" s="7"/>
      <c r="B221" s="7"/>
      <c r="C221" s="7"/>
      <c r="D221" s="7"/>
      <c r="E221" s="7"/>
      <c r="F221" s="7"/>
      <c r="G221" s="7"/>
      <c r="H221" s="8"/>
      <c r="I221" s="7"/>
      <c r="J221" s="7"/>
      <c r="K221" s="7"/>
      <c r="L221" s="7"/>
      <c r="M221" s="9"/>
      <c r="N221" s="9"/>
      <c r="O221" s="7"/>
      <c r="P221" s="7"/>
      <c r="Q221" s="10"/>
      <c r="R221" s="10"/>
    </row>
    <row r="222" spans="1:18">
      <c r="A222" s="7"/>
      <c r="B222" s="7"/>
      <c r="C222" s="7"/>
      <c r="D222" s="7"/>
      <c r="E222" s="7"/>
      <c r="F222" s="7"/>
      <c r="G222" s="7"/>
      <c r="H222" s="8"/>
      <c r="I222" s="7"/>
      <c r="J222" s="7"/>
      <c r="K222" s="7"/>
      <c r="L222" s="7"/>
      <c r="M222" s="9"/>
      <c r="N222" s="9"/>
      <c r="O222" s="7"/>
      <c r="P222" s="7"/>
      <c r="Q222" s="10"/>
      <c r="R222" s="10"/>
    </row>
    <row r="223" spans="1:18">
      <c r="A223" s="7"/>
      <c r="B223" s="7"/>
      <c r="C223" s="7"/>
      <c r="D223" s="7"/>
      <c r="E223" s="7"/>
      <c r="F223" s="7"/>
      <c r="G223" s="7"/>
      <c r="H223" s="8"/>
      <c r="I223" s="7"/>
      <c r="J223" s="7"/>
      <c r="K223" s="7"/>
      <c r="L223" s="7"/>
      <c r="M223" s="9"/>
      <c r="N223" s="9"/>
      <c r="O223" s="7"/>
      <c r="P223" s="7"/>
      <c r="Q223" s="10"/>
      <c r="R223" s="10"/>
    </row>
    <row r="224" spans="1:18">
      <c r="A224" s="7"/>
      <c r="B224" s="7"/>
      <c r="C224" s="7"/>
      <c r="D224" s="7"/>
      <c r="E224" s="7"/>
      <c r="F224" s="7"/>
      <c r="G224" s="7"/>
      <c r="H224" s="8"/>
      <c r="I224" s="7"/>
      <c r="J224" s="7"/>
      <c r="K224" s="7"/>
      <c r="L224" s="7"/>
      <c r="M224" s="9"/>
      <c r="N224" s="9"/>
      <c r="O224" s="7"/>
      <c r="P224" s="7"/>
      <c r="Q224" s="10"/>
      <c r="R224" s="10"/>
    </row>
    <row r="225" spans="1:18">
      <c r="A225" s="7"/>
      <c r="B225" s="7"/>
      <c r="C225" s="7"/>
      <c r="D225" s="7"/>
      <c r="E225" s="7"/>
      <c r="F225" s="7"/>
      <c r="G225" s="7"/>
      <c r="H225" s="8"/>
      <c r="I225" s="7"/>
      <c r="J225" s="7"/>
      <c r="K225" s="7"/>
      <c r="L225" s="7"/>
      <c r="M225" s="9"/>
      <c r="N225" s="9"/>
      <c r="O225" s="7"/>
      <c r="P225" s="7"/>
      <c r="Q225" s="10"/>
      <c r="R225" s="10"/>
    </row>
    <row r="226" spans="1:18">
      <c r="A226" s="7"/>
      <c r="B226" s="7"/>
      <c r="C226" s="7"/>
      <c r="D226" s="7"/>
      <c r="E226" s="7"/>
      <c r="F226" s="7"/>
      <c r="G226" s="7"/>
      <c r="H226" s="8"/>
      <c r="I226" s="7"/>
      <c r="J226" s="7"/>
      <c r="K226" s="7"/>
      <c r="L226" s="7"/>
      <c r="M226" s="9"/>
      <c r="N226" s="9"/>
      <c r="O226" s="7"/>
      <c r="P226" s="7"/>
      <c r="Q226" s="10"/>
      <c r="R226" s="10"/>
    </row>
    <row r="227" spans="1:18">
      <c r="A227" s="7"/>
      <c r="B227" s="7"/>
      <c r="C227" s="7"/>
      <c r="D227" s="7"/>
      <c r="E227" s="7"/>
      <c r="F227" s="7"/>
      <c r="G227" s="7"/>
      <c r="H227" s="8"/>
      <c r="I227" s="7"/>
      <c r="J227" s="7"/>
      <c r="K227" s="7"/>
      <c r="L227" s="7"/>
      <c r="M227" s="9"/>
      <c r="N227" s="9"/>
      <c r="O227" s="7"/>
      <c r="P227" s="7"/>
      <c r="Q227" s="10"/>
      <c r="R227" s="10"/>
    </row>
    <row r="228" spans="1:18">
      <c r="A228" s="7"/>
      <c r="B228" s="7"/>
      <c r="C228" s="7"/>
      <c r="D228" s="7"/>
      <c r="E228" s="7"/>
      <c r="F228" s="7"/>
      <c r="G228" s="7"/>
      <c r="H228" s="8"/>
      <c r="I228" s="7"/>
      <c r="J228" s="7"/>
      <c r="K228" s="7"/>
      <c r="L228" s="7"/>
      <c r="M228" s="9"/>
      <c r="N228" s="9"/>
      <c r="O228" s="7"/>
      <c r="P228" s="7"/>
      <c r="Q228" s="10"/>
      <c r="R228" s="10"/>
    </row>
    <row r="229" spans="1:18">
      <c r="A229" s="7"/>
      <c r="B229" s="7"/>
      <c r="C229" s="7"/>
      <c r="D229" s="7"/>
      <c r="E229" s="7"/>
      <c r="F229" s="7"/>
      <c r="G229" s="7"/>
      <c r="H229" s="8"/>
      <c r="I229" s="7"/>
      <c r="J229" s="7"/>
      <c r="K229" s="7"/>
      <c r="L229" s="7"/>
      <c r="M229" s="9"/>
      <c r="N229" s="9"/>
      <c r="O229" s="7"/>
      <c r="P229" s="7"/>
      <c r="Q229" s="10"/>
      <c r="R229" s="10"/>
    </row>
    <row r="230" spans="1:18">
      <c r="A230" s="7"/>
      <c r="B230" s="7"/>
      <c r="C230" s="7"/>
      <c r="D230" s="7"/>
      <c r="E230" s="7"/>
      <c r="F230" s="7"/>
      <c r="G230" s="7"/>
      <c r="H230" s="8"/>
      <c r="I230" s="7"/>
      <c r="J230" s="7"/>
      <c r="K230" s="7"/>
      <c r="L230" s="7"/>
      <c r="M230" s="9"/>
      <c r="N230" s="9"/>
      <c r="O230" s="7"/>
      <c r="P230" s="7"/>
      <c r="Q230" s="10"/>
      <c r="R230" s="10"/>
    </row>
    <row r="231" spans="1:18">
      <c r="A231" s="7"/>
      <c r="B231" s="7"/>
      <c r="C231" s="7"/>
      <c r="D231" s="7"/>
      <c r="E231" s="7"/>
      <c r="F231" s="7"/>
      <c r="G231" s="7"/>
      <c r="H231" s="8"/>
      <c r="I231" s="7"/>
      <c r="J231" s="7"/>
      <c r="K231" s="7"/>
      <c r="L231" s="7"/>
      <c r="M231" s="9"/>
      <c r="N231" s="9"/>
      <c r="O231" s="7"/>
      <c r="P231" s="7"/>
      <c r="Q231" s="10"/>
      <c r="R231" s="10"/>
    </row>
    <row r="232" spans="1:18">
      <c r="A232" s="7"/>
      <c r="B232" s="7"/>
      <c r="C232" s="7"/>
      <c r="D232" s="7"/>
      <c r="E232" s="7"/>
      <c r="F232" s="7"/>
      <c r="G232" s="7"/>
      <c r="H232" s="8"/>
      <c r="I232" s="7"/>
      <c r="J232" s="7"/>
      <c r="K232" s="7"/>
      <c r="L232" s="7"/>
      <c r="M232" s="9"/>
      <c r="N232" s="9"/>
      <c r="O232" s="7"/>
      <c r="P232" s="7"/>
      <c r="Q232" s="10"/>
      <c r="R232" s="10"/>
    </row>
    <row r="233" spans="1:18">
      <c r="A233" s="7"/>
      <c r="B233" s="7"/>
      <c r="C233" s="7"/>
      <c r="D233" s="7"/>
      <c r="E233" s="7"/>
      <c r="F233" s="7"/>
      <c r="G233" s="7"/>
      <c r="H233" s="8"/>
      <c r="I233" s="7"/>
      <c r="J233" s="7"/>
      <c r="K233" s="7"/>
      <c r="L233" s="7"/>
      <c r="M233" s="9"/>
      <c r="N233" s="9"/>
      <c r="O233" s="7"/>
      <c r="P233" s="7"/>
      <c r="Q233" s="10"/>
      <c r="R233" s="10"/>
    </row>
    <row r="234" spans="1:18">
      <c r="A234" s="7"/>
      <c r="B234" s="7"/>
      <c r="C234" s="7"/>
      <c r="D234" s="7"/>
      <c r="E234" s="7"/>
      <c r="F234" s="7"/>
      <c r="G234" s="7"/>
      <c r="H234" s="8"/>
      <c r="I234" s="7"/>
      <c r="J234" s="7"/>
      <c r="K234" s="7"/>
      <c r="L234" s="7"/>
      <c r="M234" s="9"/>
      <c r="N234" s="9"/>
      <c r="O234" s="7"/>
      <c r="P234" s="7"/>
      <c r="Q234" s="10"/>
      <c r="R234" s="10"/>
    </row>
    <row r="235" spans="1:18">
      <c r="A235" s="7"/>
      <c r="B235" s="7"/>
      <c r="C235" s="7"/>
      <c r="D235" s="7"/>
      <c r="E235" s="7"/>
      <c r="F235" s="7"/>
      <c r="G235" s="7"/>
      <c r="H235" s="8"/>
      <c r="I235" s="7"/>
      <c r="J235" s="7"/>
      <c r="K235" s="7"/>
      <c r="L235" s="7"/>
      <c r="M235" s="9"/>
      <c r="N235" s="9"/>
      <c r="O235" s="7"/>
      <c r="P235" s="7"/>
      <c r="Q235" s="10"/>
      <c r="R235" s="10"/>
    </row>
    <row r="236" spans="1:18">
      <c r="A236" s="7"/>
      <c r="B236" s="7"/>
      <c r="C236" s="7"/>
      <c r="D236" s="7"/>
      <c r="E236" s="7"/>
      <c r="F236" s="7"/>
      <c r="G236" s="7"/>
      <c r="H236" s="8"/>
      <c r="I236" s="7"/>
      <c r="J236" s="7"/>
      <c r="K236" s="7"/>
      <c r="L236" s="7"/>
      <c r="M236" s="9"/>
      <c r="N236" s="9"/>
      <c r="O236" s="7"/>
      <c r="P236" s="7"/>
      <c r="Q236" s="10"/>
      <c r="R236" s="10"/>
    </row>
    <row r="237" spans="1:18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</sheetData>
  <sortState ref="A4:S31">
    <sortCondition ref="A4:A31"/>
    <sortCondition descending="1" ref="H4:H31"/>
  </sortState>
  <dataValidations count="2">
    <dataValidation type="list" allowBlank="1" showInputMessage="1" showErrorMessage="1" sqref="A53:A236 A16:A34">
      <formula1>$AA$2:$AA$34</formula1>
    </dataValidation>
    <dataValidation type="list" allowBlank="1" showInputMessage="1" showErrorMessage="1" sqref="A4:A15">
      <formula1>$AA$3:$AA$34</formula1>
    </dataValidation>
  </dataValidations>
  <pageMargins left="0.7" right="0.7" top="0.75" bottom="0.75" header="0.3" footer="0.3"/>
  <pageSetup scale="56" orientation="landscape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Lunt</dc:creator>
  <cp:lastModifiedBy>Levi Lunt</cp:lastModifiedBy>
  <cp:lastPrinted>2015-11-02T21:28:53Z</cp:lastPrinted>
  <dcterms:created xsi:type="dcterms:W3CDTF">2015-11-02T19:31:45Z</dcterms:created>
  <dcterms:modified xsi:type="dcterms:W3CDTF">2015-11-02T21:28:55Z</dcterms:modified>
</cp:coreProperties>
</file>