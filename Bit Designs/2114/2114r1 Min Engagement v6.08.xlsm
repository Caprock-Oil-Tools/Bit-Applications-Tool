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14\"/>
    </mc:Choice>
  </mc:AlternateContent>
  <xr:revisionPtr revIDLastSave="0" documentId="13_ncr:1_{C5426A73-6DD3-4583-9066-083C0D765C1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" l="1"/>
  <c r="IG19" i="1" l="1"/>
  <c r="L87" i="1" l="1"/>
  <c r="AQ31" i="4" l="1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AU31" i="4" l="1"/>
  <c r="AW31" i="4" s="1"/>
  <c r="AI31" i="4"/>
  <c r="AX33" i="4"/>
  <c r="AI33" i="4"/>
  <c r="AU33" i="4"/>
  <c r="AW33" i="4" s="1"/>
  <c r="AT34" i="4" l="1"/>
  <c r="AS34" i="4"/>
  <c r="AP34" i="4"/>
  <c r="AV34" i="4" s="1"/>
  <c r="AX34" i="4" s="1"/>
  <c r="AO34" i="4"/>
  <c r="AR34" i="4" s="1"/>
  <c r="AJ34" i="4"/>
  <c r="AQ34" i="4" l="1"/>
  <c r="AI34" i="4"/>
  <c r="AU34" i="4"/>
  <c r="AW34" i="4" s="1"/>
  <c r="AJ29" i="4" l="1"/>
  <c r="AQ29" i="4"/>
  <c r="AT29" i="4"/>
  <c r="AS29" i="4"/>
  <c r="AP29" i="4"/>
  <c r="AV29" i="4" s="1"/>
  <c r="AX29" i="4" s="1"/>
  <c r="AO29" i="4"/>
  <c r="AR29" i="4" s="1"/>
  <c r="AU29" i="4" l="1"/>
  <c r="AW29" i="4" s="1"/>
  <c r="AI29" i="4"/>
  <c r="AJ36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V23" i="4" s="1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D24" i="7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V24" i="4"/>
  <c r="AX24" i="4" s="1"/>
  <c r="AV27" i="4"/>
  <c r="AX27" i="4" s="1"/>
  <c r="AV30" i="4"/>
  <c r="AV26" i="4"/>
  <c r="AX26" i="4" s="1"/>
  <c r="AV18" i="4"/>
  <c r="AX18" i="4" s="1"/>
  <c r="AV32" i="4"/>
  <c r="AV19" i="4"/>
  <c r="AX19" i="4" s="1"/>
  <c r="AV35" i="4"/>
  <c r="AU19" i="4"/>
  <c r="AW19" i="4" s="1"/>
  <c r="AU27" i="4"/>
  <c r="AW27" i="4" s="1"/>
  <c r="AV16" i="4"/>
  <c r="AX16" i="4" s="1"/>
  <c r="AV20" i="4"/>
  <c r="AX20" i="4" s="1"/>
  <c r="AV36" i="4"/>
  <c r="AU20" i="4"/>
  <c r="AW20" i="4" s="1"/>
  <c r="AU28" i="4"/>
  <c r="AV17" i="4"/>
  <c r="AX17" i="4" s="1"/>
  <c r="AV22" i="4"/>
  <c r="AX22" i="4" s="1"/>
  <c r="AW36" i="4"/>
  <c r="AX14" i="4"/>
  <c r="AW14" i="4"/>
  <c r="AX23" i="4"/>
  <c r="AX15" i="4"/>
  <c r="AX25" i="4"/>
  <c r="AX21" i="4"/>
  <c r="AW15" i="4"/>
  <c r="AW18" i="4"/>
  <c r="AW22" i="4"/>
  <c r="K9" i="1" l="1"/>
  <c r="K112" i="1"/>
  <c r="K27" i="1"/>
  <c r="K99" i="1"/>
  <c r="K61" i="1"/>
  <c r="K98" i="1"/>
  <c r="K97" i="1"/>
  <c r="K96" i="1"/>
  <c r="K38" i="1"/>
  <c r="K92" i="1"/>
  <c r="K78" i="1"/>
  <c r="K77" i="1"/>
  <c r="K115" i="1"/>
  <c r="K114" i="1"/>
  <c r="K74" i="1"/>
  <c r="K110" i="1"/>
  <c r="K57" i="1"/>
  <c r="K76" i="1"/>
  <c r="K113" i="1"/>
  <c r="K64" i="1"/>
  <c r="K63" i="1"/>
  <c r="K62" i="1"/>
  <c r="K24" i="1"/>
  <c r="K40" i="1"/>
  <c r="K102" i="1"/>
  <c r="K90" i="1"/>
  <c r="K107" i="1"/>
  <c r="K118" i="1"/>
  <c r="K45" i="1"/>
  <c r="K79" i="1"/>
  <c r="K33" i="1"/>
  <c r="K82" i="1"/>
  <c r="K66" i="1"/>
  <c r="K15" i="1"/>
  <c r="K49" i="1"/>
  <c r="K106" i="1"/>
  <c r="K67" i="1"/>
  <c r="K116" i="1"/>
  <c r="K70" i="1"/>
  <c r="K83" i="1"/>
  <c r="K12" i="1"/>
  <c r="K28" i="1"/>
  <c r="K51" i="1"/>
  <c r="K47" i="1"/>
  <c r="K14" i="1"/>
  <c r="K71" i="1"/>
  <c r="K89" i="1"/>
  <c r="K11" i="1"/>
  <c r="K56" i="1"/>
  <c r="K30" i="1"/>
  <c r="K72" i="1"/>
  <c r="K65" i="1"/>
  <c r="K108" i="1"/>
  <c r="K117" i="1"/>
  <c r="K44" i="1"/>
  <c r="K10" i="1"/>
  <c r="K32" i="1"/>
  <c r="K13" i="1"/>
  <c r="K104" i="1"/>
  <c r="K29" i="1"/>
  <c r="K50" i="1"/>
  <c r="K84" i="1"/>
  <c r="K16" i="1"/>
  <c r="K46" i="1"/>
  <c r="K31" i="1"/>
  <c r="K109" i="1"/>
  <c r="K48" i="1"/>
  <c r="K81" i="1"/>
  <c r="K103" i="1"/>
  <c r="K88" i="1"/>
  <c r="K80" i="1"/>
  <c r="AS5" i="1"/>
  <c r="AS6" i="1" s="1"/>
  <c r="AS5" i="7"/>
  <c r="AS6" i="7" s="1"/>
  <c r="C1" i="7"/>
  <c r="C1" i="1" l="1"/>
  <c r="AO36" i="4" l="1"/>
  <c r="AQ36" i="4" s="1"/>
  <c r="AO35" i="4"/>
  <c r="AO32" i="4"/>
  <c r="AO30" i="4"/>
  <c r="AO28" i="4"/>
  <c r="L151" i="1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K41" i="1" l="1"/>
  <c r="K20" i="1"/>
  <c r="K37" i="1"/>
  <c r="K101" i="1"/>
  <c r="K100" i="1"/>
  <c r="K55" i="1"/>
  <c r="K85" i="1"/>
  <c r="K68" i="1"/>
  <c r="K105" i="1"/>
  <c r="K69" i="1"/>
  <c r="K91" i="1"/>
  <c r="K73" i="1"/>
  <c r="K86" i="1"/>
  <c r="K87" i="1"/>
  <c r="K52" i="1"/>
  <c r="K54" i="1"/>
  <c r="K42" i="1"/>
  <c r="K25" i="1"/>
  <c r="K36" i="1"/>
  <c r="K35" i="1"/>
  <c r="K34" i="1"/>
  <c r="K43" i="1"/>
  <c r="K26" i="1"/>
  <c r="K17" i="1"/>
  <c r="K53" i="1"/>
  <c r="K19" i="1"/>
  <c r="K18" i="1"/>
  <c r="K60" i="1"/>
  <c r="K22" i="1"/>
  <c r="K23" i="1"/>
  <c r="K59" i="1"/>
  <c r="K39" i="1"/>
  <c r="K95" i="1"/>
  <c r="K111" i="1"/>
  <c r="K94" i="1"/>
  <c r="K58" i="1"/>
  <c r="K93" i="1"/>
  <c r="K21" i="1"/>
  <c r="K75" i="1"/>
  <c r="L5" i="1" l="1" a="1"/>
  <c r="L5" i="1" s="1"/>
  <c r="L2" i="1" a="1"/>
  <c r="L2" i="1" s="1"/>
  <c r="L6" i="1" a="1"/>
  <c r="L6" i="1" s="1"/>
  <c r="Q8" i="7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8" i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H19" i="1" l="1" a="1"/>
  <c r="IH19" i="1" s="1"/>
  <c r="II19" i="1" s="1" a="1"/>
  <c r="II19" i="1" s="1"/>
  <c r="IV19" i="1" s="1"/>
  <c r="IG18" i="1"/>
  <c r="IG4" i="1" s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R19" i="1" l="1"/>
  <c r="IN19" i="1"/>
  <c r="IK19" i="1"/>
  <c r="IJ19" i="1"/>
  <c r="IJ9" i="1"/>
  <c r="JA9" i="1" a="1"/>
  <c r="IK21" i="1"/>
  <c r="IJ21" i="1"/>
  <c r="IK59" i="1"/>
  <c r="IJ59" i="1"/>
  <c r="IR16" i="1"/>
  <c r="IK16" i="1"/>
  <c r="IW16" i="1"/>
  <c r="IN16" i="1"/>
  <c r="Q16" i="1"/>
  <c r="IR47" i="1"/>
  <c r="IW47" i="1"/>
  <c r="IN47" i="1"/>
  <c r="IK47" i="1"/>
  <c r="IN92" i="1"/>
  <c r="IR92" i="1"/>
  <c r="IW92" i="1"/>
  <c r="IK92" i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K68" i="1"/>
  <c r="IN68" i="1"/>
  <c r="IR68" i="1"/>
  <c r="IW68" i="1"/>
  <c r="IW80" i="1"/>
  <c r="IK80" i="1"/>
  <c r="IN80" i="1"/>
  <c r="IR80" i="1"/>
  <c r="IN87" i="1"/>
  <c r="IW87" i="1"/>
  <c r="IK87" i="1"/>
  <c r="IR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N69" i="1"/>
  <c r="IR69" i="1"/>
  <c r="IW69" i="1"/>
  <c r="IK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N57" i="1"/>
  <c r="IR113" i="1"/>
  <c r="IW113" i="1"/>
  <c r="IN113" i="1"/>
  <c r="IK113" i="1"/>
  <c r="IW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R73" i="1"/>
  <c r="IW73" i="1"/>
  <c r="IK73" i="1"/>
  <c r="IN73" i="1"/>
  <c r="IN108" i="1"/>
  <c r="IK108" i="1"/>
  <c r="IW108" i="1"/>
  <c r="IR108" i="1"/>
  <c r="IR106" i="1"/>
  <c r="IW106" i="1"/>
  <c r="IN106" i="1"/>
  <c r="IK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N83" i="1"/>
  <c r="IR83" i="1"/>
  <c r="IK83" i="1"/>
  <c r="IW83" i="1"/>
  <c r="IW118" i="1"/>
  <c r="IR118" i="1"/>
  <c r="IK118" i="1"/>
  <c r="IN118" i="1"/>
  <c r="IR38" i="1"/>
  <c r="IN38" i="1"/>
  <c r="IW38" i="1"/>
  <c r="IK38" i="1"/>
  <c r="IK91" i="1"/>
  <c r="IW91" i="1"/>
  <c r="IR91" i="1"/>
  <c r="IN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W19" i="1"/>
  <c r="IK20" i="1"/>
  <c r="IR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N105" i="1"/>
  <c r="IW105" i="1"/>
  <c r="IK105" i="1"/>
  <c r="IR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N70" i="1"/>
  <c r="IW70" i="1"/>
  <c r="IK70" i="1"/>
  <c r="IR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K90" i="1"/>
  <c r="IR90" i="1"/>
  <c r="IW90" i="1"/>
  <c r="IN90" i="1"/>
  <c r="IK93" i="1"/>
  <c r="IN93" i="1"/>
  <c r="IW93" i="1"/>
  <c r="IR93" i="1"/>
  <c r="IK58" i="1"/>
  <c r="IW58" i="1"/>
  <c r="IN58" i="1"/>
  <c r="IR58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N71" i="1"/>
  <c r="IW71" i="1"/>
  <c r="IK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K85" i="1"/>
  <c r="IR85" i="1"/>
  <c r="IW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N50" i="1"/>
  <c r="IR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K107" i="1"/>
  <c r="IW107" i="1"/>
  <c r="IN107" i="1"/>
  <c r="IR107" i="1"/>
  <c r="IK104" i="1"/>
  <c r="IN104" i="1"/>
  <c r="IR104" i="1"/>
  <c r="IW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W49" i="1"/>
  <c r="IN49" i="1"/>
  <c r="IW72" i="1"/>
  <c r="IK72" i="1"/>
  <c r="IR72" i="1"/>
  <c r="IN72" i="1"/>
  <c r="IR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W89" i="1"/>
  <c r="IR89" i="1"/>
  <c r="IK89" i="1"/>
  <c r="IN89" i="1"/>
  <c r="IK103" i="1"/>
  <c r="IN103" i="1"/>
  <c r="IW103" i="1"/>
  <c r="IR103" i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R88" i="1"/>
  <c r="IW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W86" i="1"/>
  <c r="IK86" i="1"/>
  <c r="IN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DQ143" i="1" l="1"/>
  <c r="JA9" i="1"/>
  <c r="JB11" i="1" a="1"/>
  <c r="JB11" i="1" s="1"/>
  <c r="JB10" i="1" a="1"/>
  <c r="JB10" i="1" s="1"/>
  <c r="JA23" i="1" a="1"/>
  <c r="JA23" i="1" s="1"/>
  <c r="IF129" i="1"/>
  <c r="IF74" i="1"/>
  <c r="IF138" i="1"/>
  <c r="IF10" i="1"/>
  <c r="IF150" i="1"/>
  <c r="IF148" i="1"/>
  <c r="IF127" i="1"/>
  <c r="IF15" i="1"/>
  <c r="IF128" i="1"/>
  <c r="IF9" i="1"/>
  <c r="IF122" i="1"/>
  <c r="IF147" i="1"/>
  <c r="IF142" i="1"/>
  <c r="IF143" i="1"/>
  <c r="IF137" i="1"/>
  <c r="IF135" i="1"/>
  <c r="IF109" i="1"/>
  <c r="IF145" i="1"/>
  <c r="IF13" i="1"/>
  <c r="IF131" i="1"/>
  <c r="IF123" i="1"/>
  <c r="IF141" i="1"/>
  <c r="IF124" i="1"/>
  <c r="IF146" i="1"/>
  <c r="IF11" i="1"/>
  <c r="IF134" i="1"/>
  <c r="IF84" i="1"/>
  <c r="IF12" i="1"/>
  <c r="IF133" i="1"/>
  <c r="IF149" i="1"/>
  <c r="IF130" i="1"/>
  <c r="IF132" i="1"/>
  <c r="IF119" i="1"/>
  <c r="IF110" i="1"/>
  <c r="IF125" i="1"/>
  <c r="IF144" i="1"/>
  <c r="IF12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IV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Q113" i="1" l="1"/>
  <c r="IV106" i="1"/>
  <c r="IV90" i="1"/>
  <c r="IV81" i="1"/>
  <c r="IV62" i="1"/>
  <c r="IQ69" i="1"/>
  <c r="IQ75" i="1"/>
  <c r="IV71" i="1"/>
  <c r="IV36" i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IP108" i="1" s="1"/>
  <c r="O110" i="1"/>
  <c r="AB62" i="1"/>
  <c r="Z118" i="1"/>
  <c r="O30" i="1"/>
  <c r="P86" i="1"/>
  <c r="S86" i="1" s="1"/>
  <c r="Y86" i="1" s="1"/>
  <c r="O129" i="1"/>
  <c r="Z46" i="1"/>
  <c r="Z102" i="1"/>
  <c r="AF102" i="1" s="1"/>
  <c r="AI102" i="1" s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IV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GY21" i="1"/>
  <c r="EA21" i="1"/>
  <c r="AB40" i="1"/>
  <c r="O94" i="1"/>
  <c r="P66" i="1"/>
  <c r="S66" i="1" s="1"/>
  <c r="Y66" i="1" s="1"/>
  <c r="IQ73" i="1" s="1"/>
  <c r="AA86" i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19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IQ108" i="1" s="1"/>
  <c r="P22" i="1"/>
  <c r="S22" i="1" s="1"/>
  <c r="Y22" i="1" s="1"/>
  <c r="AB74" i="1"/>
  <c r="O98" i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P107" i="1" s="1"/>
  <c r="P101" i="1"/>
  <c r="S101" i="1" s="1"/>
  <c r="Y101" i="1" s="1"/>
  <c r="IQ107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IQ106" i="1" s="1"/>
  <c r="P92" i="1"/>
  <c r="S92" i="1" s="1"/>
  <c r="Y92" i="1" s="1"/>
  <c r="IV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IQ87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6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E102" i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AB104" i="1"/>
  <c r="O104" i="1"/>
  <c r="AA104" i="1"/>
  <c r="AB96" i="1"/>
  <c r="P96" i="1"/>
  <c r="S96" i="1" s="1"/>
  <c r="Y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V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IV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IV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V56" i="1" s="1"/>
  <c r="P30" i="1"/>
  <c r="S30" i="1" s="1"/>
  <c r="Y30" i="1" s="1"/>
  <c r="IQ38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AC102" i="1" l="1"/>
  <c r="IQ115" i="1"/>
  <c r="IV108" i="1"/>
  <c r="Q62" i="1"/>
  <c r="IQ91" i="1"/>
  <c r="IV83" i="1"/>
  <c r="IV75" i="1"/>
  <c r="IQ82" i="1"/>
  <c r="AE69" i="1"/>
  <c r="IQ89" i="1"/>
  <c r="IQ92" i="1"/>
  <c r="IQ37" i="1"/>
  <c r="IQ114" i="1"/>
  <c r="IV107" i="1"/>
  <c r="IV76" i="1"/>
  <c r="IQ83" i="1"/>
  <c r="AD102" i="1"/>
  <c r="AH102" i="1" s="1"/>
  <c r="IQ31" i="1"/>
  <c r="AF86" i="1"/>
  <c r="AM86" i="1" s="1"/>
  <c r="IQ61" i="1"/>
  <c r="IQ88" i="1"/>
  <c r="IQ99" i="1"/>
  <c r="Y14" i="4"/>
  <c r="AQ91" i="1"/>
  <c r="IU91" i="1"/>
  <c r="IE91" i="1" s="1"/>
  <c r="AD86" i="1"/>
  <c r="AH86" i="1" s="1"/>
  <c r="IV47" i="1"/>
  <c r="IQ55" i="1"/>
  <c r="IQ95" i="1"/>
  <c r="IV86" i="1"/>
  <c r="IQ112" i="1"/>
  <c r="IV105" i="1"/>
  <c r="IQ111" i="1"/>
  <c r="IV104" i="1"/>
  <c r="IQ98" i="1"/>
  <c r="IV89" i="1"/>
  <c r="IQ97" i="1"/>
  <c r="IV88" i="1"/>
  <c r="IQ102" i="1"/>
  <c r="IQ90" i="1"/>
  <c r="IU57" i="1"/>
  <c r="IE57" i="1" s="1"/>
  <c r="IQ94" i="1"/>
  <c r="IV85" i="1"/>
  <c r="IV98" i="1"/>
  <c r="IQ105" i="1"/>
  <c r="IV96" i="1"/>
  <c r="IQ103" i="1"/>
  <c r="Q78" i="1"/>
  <c r="IV63" i="1"/>
  <c r="IQ70" i="1"/>
  <c r="IV97" i="1"/>
  <c r="IQ104" i="1"/>
  <c r="IQ72" i="1"/>
  <c r="IV57" i="1"/>
  <c r="IV78" i="1"/>
  <c r="IQ86" i="1"/>
  <c r="IQ76" i="1"/>
  <c r="IV70" i="1"/>
  <c r="IQ68" i="1"/>
  <c r="IQ57" i="1"/>
  <c r="IV77" i="1"/>
  <c r="IQ85" i="1"/>
  <c r="IQ96" i="1"/>
  <c r="IV87" i="1"/>
  <c r="Q98" i="1"/>
  <c r="R90" i="1"/>
  <c r="X90" i="1" s="1"/>
  <c r="IU90" i="1" s="1"/>
  <c r="IE90" i="1" s="1"/>
  <c r="IQ20" i="1"/>
  <c r="IQ77" i="1"/>
  <c r="IQ78" i="1"/>
  <c r="IV72" i="1"/>
  <c r="IV35" i="1"/>
  <c r="IQ49" i="1"/>
  <c r="IQ59" i="1"/>
  <c r="IQ71" i="1"/>
  <c r="IQ47" i="1"/>
  <c r="IQ32" i="1"/>
  <c r="IV49" i="1"/>
  <c r="IQ50" i="1"/>
  <c r="IQ48" i="1"/>
  <c r="IV37" i="1"/>
  <c r="IU36" i="1"/>
  <c r="IE36" i="1" s="1"/>
  <c r="IQ54" i="1"/>
  <c r="IV50" i="1"/>
  <c r="IQ64" i="1"/>
  <c r="IV55" i="1"/>
  <c r="IQ52" i="1"/>
  <c r="IV48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IQ25" i="1" s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IP69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IP99" i="1" s="1"/>
  <c r="AE47" i="1"/>
  <c r="R85" i="1"/>
  <c r="X85" i="1" s="1"/>
  <c r="HE82" i="1"/>
  <c r="BU82" i="1"/>
  <c r="BM97" i="1"/>
  <c r="AD75" i="1"/>
  <c r="AH75" i="1" s="1"/>
  <c r="AF97" i="1"/>
  <c r="R75" i="1"/>
  <c r="X75" i="1" s="1"/>
  <c r="IP82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IU104" i="1" s="1"/>
  <c r="IE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IU106" i="1" s="1"/>
  <c r="IE106" i="1" s="1"/>
  <c r="R70" i="1"/>
  <c r="X70" i="1" s="1"/>
  <c r="IU70" i="1" s="1"/>
  <c r="IE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IP72" i="1" s="1"/>
  <c r="R69" i="1"/>
  <c r="X69" i="1" s="1"/>
  <c r="IU69" i="1" s="1"/>
  <c r="IE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19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IP38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IU105" i="1" s="1"/>
  <c r="IE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IU37" i="1" s="1"/>
  <c r="IE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6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E108" i="1"/>
  <c r="AG108" i="1" s="1"/>
  <c r="AF43" i="1"/>
  <c r="AM43" i="1" s="1"/>
  <c r="AD126" i="1"/>
  <c r="AH126" i="1" s="1"/>
  <c r="AD120" i="1"/>
  <c r="AH120" i="1" s="1"/>
  <c r="AD16" i="1"/>
  <c r="AH16" i="1" s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IP87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P106" i="1" s="1"/>
  <c r="R108" i="1"/>
  <c r="X108" i="1" s="1"/>
  <c r="IU108" i="1" s="1"/>
  <c r="IE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U87" i="1" s="1"/>
  <c r="IE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IU88" i="1" s="1"/>
  <c r="IE88" i="1" s="1"/>
  <c r="Q86" i="1"/>
  <c r="R86" i="1"/>
  <c r="X86" i="1" s="1"/>
  <c r="IU86" i="1" s="1"/>
  <c r="IE86" i="1" s="1"/>
  <c r="R84" i="1"/>
  <c r="X84" i="1" s="1"/>
  <c r="Q84" i="1"/>
  <c r="R83" i="1"/>
  <c r="X83" i="1" s="1"/>
  <c r="IU83" i="1" s="1"/>
  <c r="IE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IP86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IU107" i="1" s="1"/>
  <c r="IE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IP103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U89" i="1" s="1"/>
  <c r="IE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IP88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IP85" i="1" s="1"/>
  <c r="V76" i="1"/>
  <c r="R76" i="1"/>
  <c r="X76" i="1" s="1"/>
  <c r="IP83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IU72" i="1" s="1"/>
  <c r="IE72" i="1" s="1"/>
  <c r="AF71" i="1"/>
  <c r="Q71" i="1"/>
  <c r="R71" i="1"/>
  <c r="X71" i="1" s="1"/>
  <c r="IU71" i="1" s="1"/>
  <c r="IE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IP70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IP73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U56" i="1" s="1"/>
  <c r="IE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7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M54" i="1" l="1"/>
  <c r="AJ62" i="1"/>
  <c r="AI75" i="1"/>
  <c r="AQ92" i="1"/>
  <c r="IU92" i="1"/>
  <c r="IE92" i="1" s="1"/>
  <c r="AG75" i="1"/>
  <c r="IP105" i="1"/>
  <c r="IU85" i="1"/>
  <c r="IE85" i="1" s="1"/>
  <c r="IP92" i="1"/>
  <c r="IP104" i="1"/>
  <c r="IP31" i="1"/>
  <c r="AQ90" i="1"/>
  <c r="IP90" i="1"/>
  <c r="AG97" i="1"/>
  <c r="IU47" i="1"/>
  <c r="IE47" i="1" s="1"/>
  <c r="IP55" i="1"/>
  <c r="IP102" i="1"/>
  <c r="IP89" i="1"/>
  <c r="AQ83" i="1"/>
  <c r="IP91" i="1"/>
  <c r="AQ103" i="1"/>
  <c r="IU103" i="1"/>
  <c r="IE103" i="1" s="1"/>
  <c r="IP68" i="1"/>
  <c r="IP57" i="1"/>
  <c r="AQ68" i="1"/>
  <c r="IU68" i="1"/>
  <c r="IE68" i="1" s="1"/>
  <c r="AQ73" i="1"/>
  <c r="IU73" i="1"/>
  <c r="IE73" i="1" s="1"/>
  <c r="IU35" i="1"/>
  <c r="IE35" i="1" s="1"/>
  <c r="IP49" i="1"/>
  <c r="IP59" i="1"/>
  <c r="IP71" i="1"/>
  <c r="AQ11" i="1"/>
  <c r="IP20" i="1"/>
  <c r="AQ20" i="1"/>
  <c r="IU20" i="1"/>
  <c r="IE20" i="1" s="1"/>
  <c r="IP47" i="1"/>
  <c r="IU19" i="1"/>
  <c r="IE19" i="1" s="1"/>
  <c r="IP32" i="1"/>
  <c r="IU49" i="1"/>
  <c r="IE49" i="1" s="1"/>
  <c r="IP50" i="1"/>
  <c r="IP28" i="1"/>
  <c r="AQ37" i="1"/>
  <c r="IP48" i="1"/>
  <c r="IP54" i="1"/>
  <c r="IU50" i="1"/>
  <c r="IE50" i="1" s="1"/>
  <c r="IP52" i="1"/>
  <c r="IU48" i="1"/>
  <c r="IE48" i="1" s="1"/>
  <c r="IP35" i="1"/>
  <c r="IU31" i="1"/>
  <c r="IE31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 l="1"/>
  <c r="JH22" i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IL108" i="1" s="1"/>
  <c r="W122" i="1"/>
  <c r="W131" i="1"/>
  <c r="W110" i="1"/>
  <c r="W127" i="1"/>
  <c r="W97" i="1"/>
  <c r="IL104" i="1" s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IL92" i="1" s="1"/>
  <c r="W86" i="1"/>
  <c r="W83" i="1"/>
  <c r="W84" i="1"/>
  <c r="W81" i="1"/>
  <c r="IL89" i="1" s="1"/>
  <c r="W82" i="1"/>
  <c r="IL90" i="1" s="1"/>
  <c r="W79" i="1"/>
  <c r="W80" i="1"/>
  <c r="W77" i="1"/>
  <c r="IL85" i="1" s="1"/>
  <c r="W78" i="1"/>
  <c r="IL86" i="1" s="1"/>
  <c r="W75" i="1"/>
  <c r="W76" i="1"/>
  <c r="IL83" i="1" s="1"/>
  <c r="W73" i="1"/>
  <c r="W74" i="1"/>
  <c r="W71" i="1"/>
  <c r="W72" i="1"/>
  <c r="W69" i="1"/>
  <c r="W70" i="1"/>
  <c r="W67" i="1"/>
  <c r="W68" i="1"/>
  <c r="W65" i="1"/>
  <c r="W66" i="1"/>
  <c r="W63" i="1"/>
  <c r="IL70" i="1" s="1"/>
  <c r="W64" i="1"/>
  <c r="W61" i="1"/>
  <c r="W62" i="1"/>
  <c r="W59" i="1"/>
  <c r="W60" i="1"/>
  <c r="W57" i="1"/>
  <c r="IL72" i="1" s="1"/>
  <c r="W58" i="1"/>
  <c r="W55" i="1"/>
  <c r="W56" i="1"/>
  <c r="IL71" i="1" s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9" i="1" l="1"/>
  <c r="IL82" i="1"/>
  <c r="IL91" i="1"/>
  <c r="IL106" i="1"/>
  <c r="IL105" i="1"/>
  <c r="IL107" i="1"/>
  <c r="IL87" i="1"/>
  <c r="IL56" i="1"/>
  <c r="IL88" i="1"/>
  <c r="IL69" i="1"/>
  <c r="IL21" i="1"/>
  <c r="IL103" i="1"/>
  <c r="IL68" i="1"/>
  <c r="IL57" i="1"/>
  <c r="IL73" i="1"/>
  <c r="IL20" i="1"/>
  <c r="IL37" i="1"/>
  <c r="IL49" i="1"/>
  <c r="IL50" i="1"/>
  <c r="IL16" i="1"/>
  <c r="IL55" i="1"/>
  <c r="IL48" i="1"/>
  <c r="IL46" i="1"/>
  <c r="IL47" i="1"/>
  <c r="IL45" i="1"/>
  <c r="IL32" i="1"/>
  <c r="IL31" i="1"/>
  <c r="IL23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IT106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IT107" i="1" s="1"/>
  <c r="AL102" i="1"/>
  <c r="AN102" i="1" s="1"/>
  <c r="IT108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IY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IY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IY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AK106" i="1"/>
  <c r="T106" i="1"/>
  <c r="AL97" i="1"/>
  <c r="AN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Y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2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AW55" i="7"/>
  <c r="AL63" i="1"/>
  <c r="AN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U90" i="1"/>
  <c r="U89" i="1"/>
  <c r="AL89" i="1"/>
  <c r="AN89" i="1" s="1"/>
  <c r="T89" i="1"/>
  <c r="T88" i="1"/>
  <c r="AL88" i="1"/>
  <c r="AN88" i="1" s="1"/>
  <c r="AK88" i="1"/>
  <c r="U88" i="1"/>
  <c r="T87" i="1"/>
  <c r="AK87" i="1"/>
  <c r="AL87" i="1"/>
  <c r="AN87" i="1" s="1"/>
  <c r="U85" i="1"/>
  <c r="AL86" i="1"/>
  <c r="AN86" i="1" s="1"/>
  <c r="U86" i="1"/>
  <c r="AK86" i="1"/>
  <c r="T86" i="1"/>
  <c r="T85" i="1"/>
  <c r="AL85" i="1"/>
  <c r="AN85" i="1" s="1"/>
  <c r="IT92" i="1" s="1"/>
  <c r="AK83" i="1"/>
  <c r="AL84" i="1"/>
  <c r="AN84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AK81" i="1"/>
  <c r="T81" i="1"/>
  <c r="AL79" i="1"/>
  <c r="AN79" i="1" s="1"/>
  <c r="U80" i="1"/>
  <c r="AL80" i="1"/>
  <c r="AN80" i="1" s="1"/>
  <c r="IT88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AK76" i="1"/>
  <c r="T76" i="1"/>
  <c r="AL76" i="1"/>
  <c r="AN76" i="1" s="1"/>
  <c r="U76" i="1"/>
  <c r="AK75" i="1"/>
  <c r="T75" i="1"/>
  <c r="AL75" i="1"/>
  <c r="AN75" i="1" s="1"/>
  <c r="AK74" i="1"/>
  <c r="T74" i="1"/>
  <c r="U74" i="1"/>
  <c r="AL74" i="1"/>
  <c r="AN74" i="1" s="1"/>
  <c r="AL73" i="1"/>
  <c r="AN73" i="1" s="1"/>
  <c r="IY73" i="1" s="1"/>
  <c r="T73" i="1"/>
  <c r="AK73" i="1"/>
  <c r="U73" i="1"/>
  <c r="T71" i="1"/>
  <c r="AK71" i="1"/>
  <c r="AO71" i="1" s="1"/>
  <c r="AL71" i="1"/>
  <c r="AN71" i="1" s="1"/>
  <c r="AK72" i="1"/>
  <c r="T72" i="1"/>
  <c r="U72" i="1"/>
  <c r="AL72" i="1"/>
  <c r="AN72" i="1" s="1"/>
  <c r="AK70" i="1"/>
  <c r="T70" i="1"/>
  <c r="U70" i="1"/>
  <c r="AL70" i="1"/>
  <c r="AN70" i="1" s="1"/>
  <c r="IY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IT73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Y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AL41" i="1"/>
  <c r="AN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19" i="1" l="1"/>
  <c r="IT114" i="1"/>
  <c r="IY107" i="1"/>
  <c r="IT113" i="1"/>
  <c r="IY106" i="1"/>
  <c r="IY75" i="1"/>
  <c r="IT82" i="1"/>
  <c r="IT115" i="1"/>
  <c r="IY108" i="1"/>
  <c r="IT38" i="1"/>
  <c r="IT93" i="1"/>
  <c r="IY76" i="1"/>
  <c r="IT83" i="1"/>
  <c r="IT90" i="1"/>
  <c r="IY82" i="1"/>
  <c r="IT87" i="1"/>
  <c r="IT57" i="1"/>
  <c r="IT56" i="1"/>
  <c r="IT91" i="1"/>
  <c r="IY62" i="1"/>
  <c r="IT69" i="1"/>
  <c r="IT99" i="1"/>
  <c r="IY90" i="1"/>
  <c r="IY63" i="1"/>
  <c r="IT70" i="1"/>
  <c r="IS98" i="1"/>
  <c r="IX89" i="1"/>
  <c r="IY77" i="1"/>
  <c r="IT85" i="1"/>
  <c r="IY81" i="1"/>
  <c r="IT89" i="1"/>
  <c r="IT97" i="1"/>
  <c r="IY88" i="1"/>
  <c r="IT95" i="1"/>
  <c r="IY86" i="1"/>
  <c r="IY96" i="1"/>
  <c r="IT103" i="1"/>
  <c r="IT49" i="1"/>
  <c r="IY38" i="1"/>
  <c r="IY78" i="1"/>
  <c r="IT86" i="1"/>
  <c r="IY98" i="1"/>
  <c r="IT105" i="1"/>
  <c r="IT71" i="1"/>
  <c r="IY56" i="1"/>
  <c r="IX57" i="1"/>
  <c r="IT96" i="1"/>
  <c r="IY87" i="1"/>
  <c r="IT98" i="1"/>
  <c r="IY89" i="1"/>
  <c r="IT111" i="1"/>
  <c r="IY104" i="1"/>
  <c r="IT20" i="1"/>
  <c r="IT94" i="1"/>
  <c r="IY85" i="1"/>
  <c r="IX85" i="1"/>
  <c r="IY97" i="1"/>
  <c r="IT104" i="1"/>
  <c r="IT112" i="1"/>
  <c r="IY105" i="1"/>
  <c r="IY49" i="1"/>
  <c r="IT68" i="1"/>
  <c r="IT76" i="1"/>
  <c r="IT75" i="1"/>
  <c r="IX49" i="1"/>
  <c r="IT78" i="1"/>
  <c r="IY72" i="1"/>
  <c r="IT77" i="1"/>
  <c r="IY71" i="1"/>
  <c r="IX71" i="1"/>
  <c r="IT32" i="1"/>
  <c r="IY36" i="1"/>
  <c r="IT37" i="1"/>
  <c r="IT31" i="1"/>
  <c r="IT47" i="1"/>
  <c r="IT48" i="1"/>
  <c r="IT50" i="1"/>
  <c r="IY41" i="1"/>
  <c r="IY55" i="1"/>
  <c r="IX41" i="1"/>
  <c r="IX55" i="1"/>
  <c r="IY48" i="1"/>
  <c r="IT35" i="1"/>
  <c r="IY31" i="1"/>
  <c r="IF25" i="1"/>
  <c r="IF43" i="1"/>
  <c r="IT102" i="1"/>
  <c r="AS10" i="1"/>
  <c r="AS11" i="1" s="1"/>
  <c r="AS12" i="1" s="1"/>
  <c r="AT12" i="1" s="1"/>
  <c r="AT15" i="7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Y53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Y18" i="1"/>
  <c r="IT27" i="1"/>
  <c r="IY22" i="1"/>
  <c r="IY33" i="1"/>
  <c r="IT40" i="1"/>
  <c r="IT53" i="1"/>
  <c r="IT58" i="1"/>
  <c r="IY54" i="1"/>
  <c r="IT63" i="1"/>
  <c r="IT26" i="1"/>
  <c r="IY23" i="1"/>
  <c r="IY66" i="1"/>
  <c r="IT80" i="1"/>
  <c r="IT116" i="1"/>
  <c r="IY100" i="1"/>
  <c r="AT27" i="7"/>
  <c r="IX30" i="1"/>
  <c r="IT24" i="1"/>
  <c r="IY21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IS108" i="1" s="1"/>
  <c r="AP102" i="1"/>
  <c r="AO101" i="1"/>
  <c r="IS107" i="1" s="1"/>
  <c r="AP101" i="1"/>
  <c r="AO128" i="1"/>
  <c r="AP128" i="1"/>
  <c r="AO122" i="1"/>
  <c r="AP122" i="1"/>
  <c r="BA77" i="7"/>
  <c r="BA81" i="7"/>
  <c r="AO98" i="1"/>
  <c r="AP98" i="1"/>
  <c r="AO106" i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AP108" i="1"/>
  <c r="AO133" i="1"/>
  <c r="AP133" i="1"/>
  <c r="AP93" i="1"/>
  <c r="AO93" i="1"/>
  <c r="IX93" i="1" s="1"/>
  <c r="IF93" i="1" s="1"/>
  <c r="AO104" i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IX103" i="1" s="1"/>
  <c r="IF103" i="1" s="1"/>
  <c r="AP103" i="1"/>
  <c r="AP91" i="1"/>
  <c r="AO91" i="1"/>
  <c r="IX91" i="1" s="1"/>
  <c r="IF91" i="1" s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AO130" i="1"/>
  <c r="AP130" i="1"/>
  <c r="AP137" i="1"/>
  <c r="AO137" i="1"/>
  <c r="AO127" i="1"/>
  <c r="AP127" i="1"/>
  <c r="AP131" i="1"/>
  <c r="AO131" i="1"/>
  <c r="AO96" i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AP100" i="1"/>
  <c r="AO100" i="1"/>
  <c r="IS106" i="1" s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IX92" i="1" s="1"/>
  <c r="IF92" i="1" s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IS94" i="1" s="1"/>
  <c r="AP87" i="1"/>
  <c r="AO88" i="1"/>
  <c r="AP88" i="1"/>
  <c r="AP86" i="1"/>
  <c r="AO86" i="1"/>
  <c r="AP85" i="1"/>
  <c r="AP84" i="1"/>
  <c r="AO84" i="1"/>
  <c r="IS93" i="1" s="1"/>
  <c r="AP83" i="1"/>
  <c r="AO83" i="1"/>
  <c r="AO81" i="1"/>
  <c r="AP81" i="1"/>
  <c r="AO82" i="1"/>
  <c r="AP82" i="1"/>
  <c r="AO79" i="1"/>
  <c r="AP79" i="1"/>
  <c r="AP80" i="1"/>
  <c r="AO80" i="1"/>
  <c r="IS88" i="1" s="1"/>
  <c r="AO77" i="1"/>
  <c r="AP77" i="1"/>
  <c r="AP78" i="1"/>
  <c r="AO78" i="1"/>
  <c r="AO75" i="1"/>
  <c r="AP75" i="1"/>
  <c r="AO76" i="1"/>
  <c r="AP76" i="1"/>
  <c r="AP73" i="1"/>
  <c r="AO73" i="1"/>
  <c r="IX73" i="1" s="1"/>
  <c r="IF73" i="1" s="1"/>
  <c r="AP74" i="1"/>
  <c r="AO74" i="1"/>
  <c r="AP71" i="1"/>
  <c r="AO72" i="1"/>
  <c r="AP72" i="1"/>
  <c r="AO69" i="1"/>
  <c r="IX69" i="1" s="1"/>
  <c r="IF69" i="1" s="1"/>
  <c r="AP69" i="1"/>
  <c r="AP70" i="1"/>
  <c r="AO70" i="1"/>
  <c r="IX70" i="1" s="1"/>
  <c r="IF70" i="1" s="1"/>
  <c r="AO67" i="1"/>
  <c r="AP67" i="1"/>
  <c r="AO68" i="1"/>
  <c r="IX68" i="1" s="1"/>
  <c r="IF68" i="1" s="1"/>
  <c r="AP68" i="1"/>
  <c r="AO65" i="1"/>
  <c r="IS72" i="1" s="1"/>
  <c r="AP65" i="1"/>
  <c r="AP66" i="1"/>
  <c r="AO66" i="1"/>
  <c r="AO63" i="1"/>
  <c r="AP63" i="1"/>
  <c r="AO64" i="1"/>
  <c r="IX64" i="1" s="1"/>
  <c r="IF64" i="1" s="1"/>
  <c r="AP64" i="1"/>
  <c r="AP62" i="1"/>
  <c r="AO62" i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X50" i="1" s="1"/>
  <c r="IF50" i="1" s="1"/>
  <c r="AN47" i="1"/>
  <c r="IT52" i="1" s="1"/>
  <c r="AP47" i="1"/>
  <c r="AO48" i="1"/>
  <c r="IS56" i="1" s="1"/>
  <c r="AP48" i="1"/>
  <c r="AP45" i="1"/>
  <c r="AO45" i="1"/>
  <c r="IX45" i="1" s="1"/>
  <c r="IF45" i="1" s="1"/>
  <c r="AP46" i="1"/>
  <c r="AO46" i="1"/>
  <c r="IS64" i="1" s="1"/>
  <c r="AP43" i="1"/>
  <c r="AO44" i="1"/>
  <c r="AP44" i="1"/>
  <c r="AO42" i="1"/>
  <c r="IX42" i="1" s="1"/>
  <c r="IF42" i="1" s="1"/>
  <c r="AP42" i="1"/>
  <c r="AP41" i="1"/>
  <c r="AO40" i="1"/>
  <c r="AP40" i="1"/>
  <c r="AO39" i="1"/>
  <c r="IS50" i="1" s="1"/>
  <c r="AP39" i="1"/>
  <c r="AP37" i="1"/>
  <c r="AO37" i="1"/>
  <c r="IX37" i="1" s="1"/>
  <c r="IF37" i="1" s="1"/>
  <c r="AO38" i="1"/>
  <c r="IX38" i="1" s="1"/>
  <c r="AP38" i="1"/>
  <c r="AP35" i="1"/>
  <c r="AO35" i="1"/>
  <c r="IX35" i="1" s="1"/>
  <c r="IF35" i="1" s="1"/>
  <c r="AP36" i="1"/>
  <c r="AO36" i="1"/>
  <c r="AO33" i="1"/>
  <c r="AP33" i="1"/>
  <c r="AO34" i="1"/>
  <c r="IX34" i="1" s="1"/>
  <c r="IF34" i="1" s="1"/>
  <c r="AP34" i="1"/>
  <c r="AO31" i="1"/>
  <c r="IS38" i="1" s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IT43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59" i="1" l="1"/>
  <c r="IS19" i="1"/>
  <c r="IS55" i="1"/>
  <c r="IS113" i="1"/>
  <c r="IX106" i="1"/>
  <c r="IF106" i="1" s="1"/>
  <c r="IS91" i="1"/>
  <c r="IX83" i="1"/>
  <c r="IF83" i="1" s="1"/>
  <c r="IT54" i="1"/>
  <c r="IX76" i="1"/>
  <c r="IF76" i="1" s="1"/>
  <c r="IS83" i="1"/>
  <c r="IX75" i="1"/>
  <c r="IF75" i="1" s="1"/>
  <c r="IS82" i="1"/>
  <c r="IS114" i="1"/>
  <c r="IX107" i="1"/>
  <c r="IF107" i="1" s="1"/>
  <c r="IS115" i="1"/>
  <c r="IX108" i="1"/>
  <c r="IF108" i="1" s="1"/>
  <c r="IS90" i="1"/>
  <c r="IX82" i="1"/>
  <c r="IF82" i="1" s="1"/>
  <c r="IS87" i="1"/>
  <c r="IS57" i="1"/>
  <c r="IS34" i="1"/>
  <c r="IT21" i="1"/>
  <c r="IF89" i="1"/>
  <c r="IF85" i="1"/>
  <c r="IF49" i="1"/>
  <c r="IX63" i="1"/>
  <c r="IF63" i="1" s="1"/>
  <c r="IS70" i="1"/>
  <c r="IF38" i="1"/>
  <c r="IS95" i="1"/>
  <c r="IX86" i="1"/>
  <c r="IF86" i="1" s="1"/>
  <c r="IS73" i="1"/>
  <c r="IS111" i="1"/>
  <c r="IX104" i="1"/>
  <c r="IF104" i="1" s="1"/>
  <c r="IX62" i="1"/>
  <c r="IF62" i="1" s="1"/>
  <c r="IS69" i="1"/>
  <c r="IX77" i="1"/>
  <c r="IF77" i="1" s="1"/>
  <c r="IS85" i="1"/>
  <c r="IX81" i="1"/>
  <c r="IF81" i="1" s="1"/>
  <c r="IS89" i="1"/>
  <c r="IX96" i="1"/>
  <c r="IF96" i="1" s="1"/>
  <c r="IS103" i="1"/>
  <c r="IS68" i="1"/>
  <c r="IT22" i="1"/>
  <c r="IY57" i="1"/>
  <c r="IF57" i="1" s="1"/>
  <c r="IS97" i="1"/>
  <c r="IX88" i="1"/>
  <c r="IF88" i="1" s="1"/>
  <c r="IX97" i="1"/>
  <c r="IF97" i="1" s="1"/>
  <c r="IS104" i="1"/>
  <c r="IX98" i="1"/>
  <c r="IF98" i="1" s="1"/>
  <c r="IS105" i="1"/>
  <c r="IS112" i="1"/>
  <c r="IX105" i="1"/>
  <c r="IF105" i="1" s="1"/>
  <c r="IS99" i="1"/>
  <c r="IX90" i="1"/>
  <c r="IF90" i="1" s="1"/>
  <c r="IT55" i="1"/>
  <c r="IX78" i="1"/>
  <c r="IF78" i="1" s="1"/>
  <c r="IS86" i="1"/>
  <c r="IS96" i="1"/>
  <c r="IX87" i="1"/>
  <c r="IF87" i="1" s="1"/>
  <c r="IS58" i="1"/>
  <c r="IS71" i="1"/>
  <c r="IX56" i="1"/>
  <c r="IF56" i="1" s="1"/>
  <c r="IS76" i="1"/>
  <c r="IS51" i="1"/>
  <c r="IS75" i="1"/>
  <c r="IS77" i="1"/>
  <c r="IS20" i="1"/>
  <c r="IT65" i="1"/>
  <c r="IS49" i="1"/>
  <c r="IS78" i="1"/>
  <c r="IX72" i="1"/>
  <c r="IF72" i="1" s="1"/>
  <c r="IF71" i="1"/>
  <c r="IT60" i="1"/>
  <c r="IT72" i="1"/>
  <c r="IT64" i="1"/>
  <c r="IS32" i="1"/>
  <c r="IS46" i="1"/>
  <c r="IX36" i="1"/>
  <c r="IF36" i="1" s="1"/>
  <c r="IS37" i="1"/>
  <c r="IS31" i="1"/>
  <c r="IS47" i="1"/>
  <c r="IF41" i="1"/>
  <c r="IS54" i="1"/>
  <c r="IT17" i="1"/>
  <c r="IF55" i="1"/>
  <c r="IS53" i="1"/>
  <c r="IS48" i="1"/>
  <c r="IS52" i="1"/>
  <c r="IX48" i="1"/>
  <c r="IF48" i="1" s="1"/>
  <c r="IT29" i="1"/>
  <c r="IY47" i="1"/>
  <c r="IF47" i="1" s="1"/>
  <c r="IS35" i="1"/>
  <c r="IX31" i="1"/>
  <c r="IF31" i="1" s="1"/>
  <c r="IT25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JH29" i="1" a="1"/>
  <c r="JH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L15" i="1" l="1"/>
  <c r="L13" i="1"/>
  <c r="L22" i="1"/>
  <c r="L20" i="1"/>
  <c r="AS15" i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<sst xmlns="http://schemas.openxmlformats.org/spreadsheetml/2006/main" count="742" uniqueCount="394">
  <si>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</si>
  <si>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</si>
  <si>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</si>
  <si>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</si>
  <si>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</si>
  <si>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</si>
  <si>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</si>
  <si>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</si>
  <si>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</si>
  <si>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</si>
  <si>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</si>
  <si>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</si>
  <si>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</si>
  <si>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</si>
  <si>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</si>
  <si>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</si>
  <si>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</si>
  <si>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</si>
  <si>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</si>
  <si>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</si>
  <si>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</si>
  <si>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</si>
  <si>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</si>
  <si>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</si>
  <si>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</si>
  <si>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</si>
  <si>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</si>
  <si>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</si>
  <si>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</si>
  <si>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</si>
  <si>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</si>
  <si>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</si>
  <si>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</si>
  <si>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</si>
  <si>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</si>
  <si>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</si>
  <si>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</si>
  <si>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</si>
  <si>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</si>
  <si>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</si>
  <si>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</si>
  <si>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</si>
  <si>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</si>
  <si>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</si>
  <si>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</si>
  <si>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</si>
  <si>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</si>
  <si>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</si>
  <si>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</si>
  <si>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</si>
  <si>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</si>
  <si>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</si>
  <si>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</si>
  <si>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</si>
  <si>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</si>
  <si>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</si>
  <si>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</si>
  <si>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</si>
  <si>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</si>
  <si>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</si>
  <si>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</si>
  <si>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</si>
  <si>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</si>
  <si>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</si>
  <si>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</si>
  <si>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</si>
  <si>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</si>
  <si>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</si>
  <si>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</si>
  <si>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</si>
  <si>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</si>
  <si>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</si>
  <si>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</si>
  <si>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</si>
  <si>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</si>
  <si>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</si>
  <si>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</si>
  <si>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</si>
  <si>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</si>
  <si>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</si>
  <si>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</si>
  <si>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</si>
  <si>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</si>
  <si>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</si>
  <si>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</si>
  <si>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</si>
  <si>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</si>
  <si>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</si>
  <si>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</si>
  <si>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</si>
  <si>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</si>
  <si>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</si>
  <si>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</si>
  <si>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</si>
  <si>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</si>
  <si>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</si>
  <si>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</si>
  <si>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</si>
  <si>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</si>
  <si>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</si>
  <si>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</si>
  <si>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</si>
  <si>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</si>
  <si>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</si>
  <si>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</si>
  <si>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</si>
  <si>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</si>
  <si>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</si>
  <si>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</si>
  <si>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</si>
  <si>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</si>
  <si>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</si>
  <si>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</si>
  <si>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</si>
  <si>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</si>
  <si>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</si>
  <si>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</si>
  <si>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</si>
  <si>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</si>
  <si>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</si>
  <si>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</si>
  <si>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</si>
  <si>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</si>
  <si>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</si>
  <si>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</si>
  <si>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</si>
  <si>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</si>
  <si>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</si>
  <si>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</si>
  <si>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</si>
  <si>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</si>
  <si>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</si>
  <si>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</si>
  <si>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</si>
  <si>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</si>
  <si>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</si>
  <si>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</si>
  <si>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</si>
  <si>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</si>
  <si>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</si>
  <si>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</si>
  <si>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</si>
  <si>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</si>
  <si>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</si>
  <si>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</si>
  <si>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</si>
  <si>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</si>
  <si>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</si>
  <si>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</si>
  <si>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</si>
  <si>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</si>
  <si>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</si>
  <si>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</si>
  <si>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</si>
  <si>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</si>
  <si>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</si>
  <si>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</si>
  <si>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</si>
  <si>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</si>
  <si>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</si>
  <si>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</si>
  <si>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</si>
  <si>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</si>
  <si>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</si>
  <si>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</si>
  <si>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</si>
  <si>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</si>
  <si>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</si>
  <si>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</si>
  <si>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</si>
  <si>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</si>
  <si>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</si>
  <si>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</si>
  <si>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</si>
  <si>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</si>
  <si>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</si>
  <si>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</si>
  <si>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</si>
  <si>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</si>
  <si>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</si>
  <si>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</si>
  <si>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</si>
  <si>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</si>
  <si>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</si>
  <si>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</si>
  <si>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</si>
  <si>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</si>
  <si>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</si>
  <si>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</si>
  <si>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</si>
  <si>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</si>
  <si>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</si>
  <si>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</si>
  <si>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</si>
  <si>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</si>
  <si>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</si>
  <si>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</si>
  <si>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</si>
  <si>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</si>
  <si>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</si>
  <si>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</si>
  <si>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</si>
  <si>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</si>
  <si>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</si>
  <si>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</si>
  <si>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</si>
  <si>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</si>
  <si>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</si>
  <si>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</si>
  <si>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</si>
  <si>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</si>
  <si>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</si>
  <si>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</si>
  <si>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</si>
  <si>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</si>
  <si>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</si>
  <si>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</si>
  <si>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</si>
  <si>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</si>
  <si>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</si>
  <si>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</si>
  <si>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</si>
  <si>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</si>
  <si>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</si>
  <si>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</si>
  <si>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</si>
  <si>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</si>
  <si>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</si>
  <si>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</si>
  <si>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</si>
  <si>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</si>
  <si>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</si>
  <si>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</si>
  <si>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</si>
  <si>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</si>
  <si>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</si>
  <si>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</si>
  <si>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</si>
  <si>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</si>
  <si>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</si>
  <si>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</si>
  <si>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</si>
  <si>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</si>
  <si>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</si>
  <si>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</si>
  <si>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</si>
  <si>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</si>
  <si>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</si>
  <si>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</si>
  <si>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</si>
  <si>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</si>
  <si>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</si>
  <si>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</si>
  <si>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</si>
  <si>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</si>
  <si>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</si>
  <si>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</si>
  <si>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</si>
  <si>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</si>
  <si>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</si>
  <si>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</si>
  <si>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</si>
  <si>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</si>
  <si>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</si>
  <si>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</si>
  <si>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</si>
  <si>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</si>
  <si>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</si>
  <si>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</si>
  <si>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</si>
  <si>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</si>
  <si>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</si>
  <si>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</si>
  <si>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</si>
  <si>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</si>
  <si>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</si>
  <si>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</si>
  <si>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</si>
  <si>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</si>
  <si>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</si>
  <si>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</si>
  <si>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</si>
  <si>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</si>
  <si>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</si>
  <si>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</si>
  <si>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</si>
  <si>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</si>
  <si>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</si>
  <si>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</si>
  <si>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</si>
  <si>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</si>
  <si>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</si>
  <si>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</si>
  <si>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</si>
  <si>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</si>
  <si>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</si>
  <si>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</si>
  <si>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</si>
  <si>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</si>
  <si>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</si>
  <si>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</si>
  <si>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</si>
  <si>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</si>
  <si>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</si>
  <si>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</si>
  <si>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</si>
  <si>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</si>
  <si>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</si>
  <si>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</si>
  <si>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</si>
  <si>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</si>
  <si>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</si>
  <si>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</si>
  <si>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</si>
  <si>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</si>
  <si>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</si>
  <si>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</si>
  <si>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</si>
  <si>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</si>
  <si>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</si>
  <si>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</si>
  <si>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</si>
  <si>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</si>
  <si>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</si>
  <si>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</si>
  <si>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</si>
  <si>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</si>
  <si>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</si>
  <si>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</si>
  <si>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</si>
  <si>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</si>
  <si>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</si>
  <si>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</si>
  <si>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</si>
  <si>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</si>
  <si>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</si>
  <si>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</si>
  <si>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</si>
  <si>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</si>
  <si>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</si>
  <si>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</si>
  <si>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</si>
  <si>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</si>
  <si>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</si>
  <si>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</si>
  <si>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</si>
  <si>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</si>
  <si>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</si>
  <si>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</si>
  <si>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</si>
  <si>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</si>
  <si>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</si>
  <si>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</si>
  <si>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</si>
  <si>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</si>
  <si>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</si>
  <si>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</si>
  <si>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</si>
  <si>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</si>
  <si>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</si>
  <si>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</si>
  <si>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</si>
  <si>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</si>
  <si>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</si>
  <si>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</si>
  <si>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</si>
  <si>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</si>
  <si>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</si>
  <si>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</si>
  <si>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</si>
  <si>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</si>
  <si>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</si>
  <si>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</si>
  <si>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</si>
  <si>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</si>
  <si>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</si>
  <si>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</si>
  <si>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</si>
  <si>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</si>
  <si>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</si>
  <si>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</si>
  <si>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</si>
  <si>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</si>
  <si>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</si>
  <si>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</si>
  <si>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</si>
  <si>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</si>
  <si>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</si>
  <si>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</si>
  <si>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</si>
  <si>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</si>
  <si>
    <t>&lt;&gt;CS CPS-31783r1</t>
  </si>
  <si>
    <t>&lt;&gt;CS CPS-32193r1</t>
  </si>
  <si>
    <t>&lt;&gt;CS CPS-31837r1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</si>
</sst>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5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3" fontId="26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4" t="s">
        <v>77</v>
      </c>
      <c r="D1" s="914"/>
      <c r="E1" s="914"/>
      <c r="F1" s="914"/>
      <c r="G1" s="914"/>
      <c r="H1" s="914"/>
      <c r="I1" s="914"/>
      <c r="J1" s="914"/>
      <c r="K1" s="914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901" t="s">
        <v>80</v>
      </c>
      <c r="B6" s="901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900" t="s">
        <v>379</v>
      </c>
      <c r="AQ7" s="900"/>
      <c r="AR7" s="900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6">
        <v>9</v>
      </c>
      <c r="D9" s="876"/>
      <c r="E9" s="876"/>
      <c r="F9" s="876"/>
      <c r="G9" s="876"/>
      <c r="H9" s="876"/>
      <c r="I9" s="876"/>
      <c r="J9" s="876"/>
      <c r="K9" s="907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5"/>
      <c r="C10" s="896"/>
      <c r="D10" s="896"/>
      <c r="E10" s="896"/>
      <c r="F10" s="896"/>
      <c r="G10" s="896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12"/>
      <c r="B11" s="902" t="s">
        <v>33</v>
      </c>
      <c r="C11" s="911" t="s">
        <v>34</v>
      </c>
      <c r="D11" s="911"/>
      <c r="E11" s="908" t="s">
        <v>39</v>
      </c>
      <c r="F11" s="902" t="s">
        <v>35</v>
      </c>
      <c r="G11" s="902" t="s">
        <v>36</v>
      </c>
      <c r="H11" s="902" t="s">
        <v>43</v>
      </c>
      <c r="I11" s="909" t="s">
        <v>67</v>
      </c>
      <c r="J11" s="911" t="s">
        <v>56</v>
      </c>
      <c r="K11" s="911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5" t="s">
        <v>347</v>
      </c>
      <c r="AN11" s="876"/>
      <c r="AO11" s="876"/>
      <c r="AP11" s="876"/>
      <c r="AQ11" s="876"/>
      <c r="AR11" s="877"/>
      <c r="AS11" s="886" t="s">
        <v>354</v>
      </c>
      <c r="AT11" s="887"/>
      <c r="AU11" s="887"/>
      <c r="AV11" s="888"/>
      <c r="BC11" s="470"/>
    </row>
    <row r="12" spans="1:55" ht="15.75" thickBot="1" x14ac:dyDescent="0.3">
      <c r="A12" s="913"/>
      <c r="B12" s="903"/>
      <c r="C12" s="48" t="s">
        <v>8</v>
      </c>
      <c r="D12" s="49" t="s">
        <v>10</v>
      </c>
      <c r="E12" s="903"/>
      <c r="F12" s="903"/>
      <c r="G12" s="903"/>
      <c r="H12" s="903"/>
      <c r="I12" s="910"/>
      <c r="J12" s="53" t="s">
        <v>8</v>
      </c>
      <c r="K12" s="54" t="s">
        <v>10</v>
      </c>
      <c r="M12" s="31"/>
      <c r="N12" s="31"/>
      <c r="O12" s="923" t="s">
        <v>46</v>
      </c>
      <c r="P12" s="924"/>
      <c r="Q12" s="904" t="s">
        <v>45</v>
      </c>
      <c r="R12" s="905"/>
      <c r="S12" s="905"/>
      <c r="T12" s="905"/>
      <c r="U12" s="905"/>
      <c r="V12" s="905"/>
      <c r="W12" s="905"/>
      <c r="X12" s="905"/>
      <c r="Y12" s="905"/>
      <c r="Z12" s="905"/>
      <c r="AA12" s="905"/>
      <c r="AB12" s="905"/>
      <c r="AC12" s="905"/>
      <c r="AD12" s="905"/>
      <c r="AE12" s="906"/>
      <c r="AF12" s="917" t="s">
        <v>56</v>
      </c>
      <c r="AG12" s="918"/>
      <c r="AH12" s="31"/>
      <c r="AK12" s="881" t="s">
        <v>355</v>
      </c>
      <c r="AL12" s="897"/>
      <c r="AM12" s="878" t="s">
        <v>352</v>
      </c>
      <c r="AN12" s="879"/>
      <c r="AO12" s="880"/>
      <c r="AP12" s="881" t="s">
        <v>380</v>
      </c>
      <c r="AQ12" s="880"/>
      <c r="AR12" s="802" t="s">
        <v>378</v>
      </c>
      <c r="AS12" s="883" t="s">
        <v>352</v>
      </c>
      <c r="AT12" s="880"/>
      <c r="AU12" s="884" t="s">
        <v>353</v>
      </c>
      <c r="AV12" s="885"/>
      <c r="AW12" s="889" t="s">
        <v>351</v>
      </c>
      <c r="AX12" s="890"/>
      <c r="AZ12" s="881" t="s">
        <v>60</v>
      </c>
      <c r="BA12" s="880"/>
      <c r="BC12" s="882" t="s">
        <v>383</v>
      </c>
    </row>
    <row r="13" spans="1:55" ht="15.75" thickBot="1" x14ac:dyDescent="0.3">
      <c r="A13" s="64" t="s">
        <v>57</v>
      </c>
      <c r="B13" s="891" t="s">
        <v>97</v>
      </c>
      <c r="C13" s="893" t="str">
        <f>SUBSTITUTE(ADDRESS(1,COLUMN(Assy.Model!X9),4),"1","")</f>
        <v>X</v>
      </c>
      <c r="D13" s="101" t="str">
        <f>SUBSTITUTE(ADDRESS(1,COLUMN(Assy.Model!Y9),4),"1","")</f>
        <v>Y</v>
      </c>
      <c r="E13" s="898" t="str">
        <f>SUBSTITUTE(ADDRESS(1,COLUMN(Assy.Model!H9),4),"1","")</f>
        <v>H</v>
      </c>
      <c r="F13" s="898" t="str">
        <f>SUBSTITUTE(ADDRESS(1,COLUMN(Assy.Model!AN9),4),"1","")</f>
        <v>AN</v>
      </c>
      <c r="G13" s="898" t="str">
        <f>SUBSTITUTE(ADDRESS(1,COLUMN(Assy.Model!AO9),4),"1","")</f>
        <v>AO</v>
      </c>
      <c r="H13" s="898" t="str">
        <f>SUBSTITUTE(ADDRESS(1,COLUMN(Assy.Model!AO9),4),"1","")</f>
        <v>AO</v>
      </c>
      <c r="I13" s="898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5"/>
      <c r="P13" s="926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82"/>
    </row>
    <row r="14" spans="1:55" x14ac:dyDescent="0.25">
      <c r="A14" s="62" t="s">
        <v>58</v>
      </c>
      <c r="B14" s="892"/>
      <c r="C14" s="894"/>
      <c r="D14" s="102" t="str">
        <f>SUBSTITUTE(ADDRESS(1,COLUMN(Assy.Model!AT9),4),"1","")</f>
        <v>AT</v>
      </c>
      <c r="E14" s="899"/>
      <c r="F14" s="899"/>
      <c r="G14" s="899"/>
      <c r="H14" s="899"/>
      <c r="I14" s="899"/>
      <c r="J14" s="91">
        <v>0</v>
      </c>
      <c r="K14" s="92">
        <v>0</v>
      </c>
      <c r="L14" s="31"/>
      <c r="M14" s="190">
        <v>6.25E-2</v>
      </c>
      <c r="N14" s="31">
        <v>32</v>
      </c>
      <c r="O14" s="921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29" si="10">($AU14-$AT14)/2</f>
        <v>2.5000000000000022E-3</v>
      </c>
      <c r="AX14" s="755">
        <f t="shared" ref="AX14:AX29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31">_xlfn._xlws.FILTER(IF(AJ14:AJ36,AK14:AK36,""),IF(AJ14:AJ36,AK14:AK36,"")&lt;&gt;"")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21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28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21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21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21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12.25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21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22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29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6" t="s">
        <v>64</v>
      </c>
      <c r="C21" s="876"/>
      <c r="D21" s="876"/>
      <c r="E21" s="876"/>
      <c r="F21" s="907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12"/>
      <c r="C22" s="906" t="s">
        <v>63</v>
      </c>
      <c r="D22" s="907"/>
      <c r="E22" s="909" t="s">
        <v>60</v>
      </c>
      <c r="F22" s="909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7"/>
      <c r="C23" s="57" t="s">
        <v>8</v>
      </c>
      <c r="D23" s="57" t="s">
        <v>9</v>
      </c>
      <c r="E23" s="910"/>
      <c r="F23" s="910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9">
        <v>0</v>
      </c>
      <c r="E24" s="919">
        <v>2</v>
      </c>
      <c r="F24" s="919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6.125</v>
      </c>
      <c r="D25" s="920"/>
      <c r="E25" s="920"/>
      <c r="F25" s="920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5" t="s">
        <v>311</v>
      </c>
      <c r="C27" s="915"/>
      <c r="D27" s="915"/>
      <c r="E27" s="915"/>
      <c r="F27" s="915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6" t="s">
        <v>390</v>
      </c>
      <c r="C28" s="916"/>
      <c r="D28" s="916"/>
      <c r="E28" s="916"/>
      <c r="F28" s="916"/>
      <c r="G28" s="31"/>
      <c r="H28" s="31"/>
      <c r="I28" s="31"/>
      <c r="AI28" s="842">
        <f t="shared" si="13"/>
        <v>390000.212</v>
      </c>
      <c r="AJ28" s="839" t="b">
        <v>1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 t="shared" ref="AP28:AP33" si="19"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CPS-31783r1</v>
      </c>
    </row>
    <row r="29" spans="2:55" x14ac:dyDescent="0.25">
      <c r="B29" s="100"/>
      <c r="D29" s="100"/>
      <c r="AI29" s="842">
        <f t="shared" ref="AI29" si="20">ROUND(((ROUND(AP29,6)*1000000)+AQ29),6)</f>
        <v>390000.43800000002</v>
      </c>
      <c r="AJ29" s="839" t="b">
        <f>TRUE</f>
        <v>1</v>
      </c>
      <c r="AK29" s="874" t="s">
        <v>391</v>
      </c>
      <c r="AL29" s="744" t="s">
        <v>341</v>
      </c>
      <c r="AM29" s="746">
        <v>0.38</v>
      </c>
      <c r="AN29" s="741">
        <v>0.438</v>
      </c>
      <c r="AO29" s="748">
        <f>0.225*2</f>
        <v>0.45</v>
      </c>
      <c r="AP29" s="829">
        <f t="shared" si="19"/>
        <v>0.39</v>
      </c>
      <c r="AQ29" s="833">
        <f>AN29</f>
        <v>0.438</v>
      </c>
      <c r="AR29" s="181">
        <f t="shared" si="18"/>
        <v>0.19</v>
      </c>
      <c r="AS29" s="4">
        <f t="shared" si="14"/>
        <v>0.379</v>
      </c>
      <c r="AT29" s="8">
        <f t="shared" si="14"/>
        <v>0.38100000000000001</v>
      </c>
      <c r="AU29" s="821">
        <f>($AP29+AU$9)-0.002</f>
        <v>0.38900000000000001</v>
      </c>
      <c r="AV29" s="822">
        <f>($AP29+AV$9)-0.002</f>
        <v>0.39200000000000002</v>
      </c>
      <c r="AW29" s="177">
        <f t="shared" si="10"/>
        <v>4.0000000000000036E-3</v>
      </c>
      <c r="AX29" s="8">
        <f t="shared" si="11"/>
        <v>6.5000000000000058E-3</v>
      </c>
      <c r="BC29" s="86" t="str">
        <v>&lt;&gt;CS CPS-31783r1</v>
      </c>
    </row>
    <row r="30" spans="2:55" x14ac:dyDescent="0.25">
      <c r="AF30" s="100"/>
      <c r="AI30" s="842">
        <f t="shared" ref="AI30:AI36" si="21">ROUND(((ROUND(AP30,6)*1000000)+AQ30),6)</f>
        <v>514000.45500000002</v>
      </c>
      <c r="AJ30" s="839" t="b">
        <v>0</v>
      </c>
      <c r="AK30" s="740" t="s">
        <v>336</v>
      </c>
      <c r="AL30" s="744" t="s">
        <v>342</v>
      </c>
      <c r="AM30" s="746">
        <v>0.504</v>
      </c>
      <c r="AN30" s="741">
        <v>0.71</v>
      </c>
      <c r="AO30" s="748">
        <f>0.255*2</f>
        <v>0.51</v>
      </c>
      <c r="AP30" s="829">
        <f t="shared" si="19"/>
        <v>0.51400000000000001</v>
      </c>
      <c r="AQ30" s="8">
        <f>($AN30-($AO30/2))</f>
        <v>0.45499999999999996</v>
      </c>
      <c r="AR30" s="181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ref="AW30:AW36" si="24">($AU30-$AT30)/2</f>
        <v>3.5000000000000031E-3</v>
      </c>
      <c r="AX30" s="8">
        <f t="shared" ref="AX30:AX36" si="25">($AV30-$AS30)/2</f>
        <v>5.5000000000000049E-3</v>
      </c>
      <c r="BC30" s="86" t="str">
        <v>CPS-32193r1</v>
      </c>
    </row>
    <row r="31" spans="2:55" x14ac:dyDescent="0.25">
      <c r="AF31" s="100"/>
      <c r="AI31" s="842">
        <f t="shared" si="21"/>
        <v>514000.71</v>
      </c>
      <c r="AJ31" s="839" t="b">
        <v>0</v>
      </c>
      <c r="AK31" s="874" t="s">
        <v>393</v>
      </c>
      <c r="AL31" s="744" t="s">
        <v>342</v>
      </c>
      <c r="AM31" s="746">
        <v>0.504</v>
      </c>
      <c r="AN31" s="741">
        <v>0.71</v>
      </c>
      <c r="AO31" s="748">
        <f>0.255*2</f>
        <v>0.51</v>
      </c>
      <c r="AP31" s="829">
        <f t="shared" si="19"/>
        <v>0.51400000000000001</v>
      </c>
      <c r="AQ31" s="833">
        <f>AN31</f>
        <v>0.71</v>
      </c>
      <c r="AR31" s="181">
        <f t="shared" si="22"/>
        <v>0.252</v>
      </c>
      <c r="AS31" s="4">
        <f t="shared" si="23"/>
        <v>0.503</v>
      </c>
      <c r="AT31" s="8">
        <f t="shared" si="23"/>
        <v>0.505</v>
      </c>
      <c r="AU31" s="821">
        <f>($AP31+AU$9)-0.003</f>
        <v>0.51200000000000001</v>
      </c>
      <c r="AV31" s="822">
        <f>($AP31+AV$9)-0.004</f>
        <v>0.51400000000000001</v>
      </c>
      <c r="AW31" s="177">
        <f t="shared" si="24"/>
        <v>3.5000000000000031E-3</v>
      </c>
      <c r="AX31" s="8">
        <f t="shared" si="25"/>
        <v>5.5000000000000049E-3</v>
      </c>
      <c r="BC31" s="86" t="str">
        <v>&lt;&gt;CS CPS-32193r1</v>
      </c>
    </row>
    <row r="32" spans="2:55" x14ac:dyDescent="0.25">
      <c r="AI32" s="842">
        <f t="shared" si="21"/>
        <v>514000.41499999998</v>
      </c>
      <c r="AJ32" s="839" t="b">
        <f>TRUE</f>
        <v>1</v>
      </c>
      <c r="AK32" s="740" t="s">
        <v>334</v>
      </c>
      <c r="AL32" s="744" t="s">
        <v>342</v>
      </c>
      <c r="AM32" s="746">
        <v>0.504</v>
      </c>
      <c r="AN32" s="741">
        <v>0.67</v>
      </c>
      <c r="AO32" s="748">
        <f>0.255*2</f>
        <v>0.51</v>
      </c>
      <c r="AP32" s="829">
        <f t="shared" si="19"/>
        <v>0.51400000000000001</v>
      </c>
      <c r="AQ32" s="8">
        <f>($AN32-($AO32/2))</f>
        <v>0.41500000000000004</v>
      </c>
      <c r="AR32" s="181">
        <f t="shared" si="22"/>
        <v>0.252</v>
      </c>
      <c r="AS32" s="4">
        <f t="shared" si="23"/>
        <v>0.503</v>
      </c>
      <c r="AT32" s="8">
        <f t="shared" si="23"/>
        <v>0.505</v>
      </c>
      <c r="AU32" s="821">
        <f>($AP32+AU$9)-0.003</f>
        <v>0.51200000000000001</v>
      </c>
      <c r="AV32" s="822">
        <f>($AP32+AV$9)-0.004</f>
        <v>0.51400000000000001</v>
      </c>
      <c r="AW32" s="177">
        <f t="shared" si="24"/>
        <v>3.5000000000000031E-3</v>
      </c>
      <c r="AX32" s="8">
        <f t="shared" si="25"/>
        <v>5.5000000000000049E-3</v>
      </c>
    </row>
    <row r="33" spans="35:50" x14ac:dyDescent="0.25">
      <c r="AI33" s="842">
        <f t="shared" si="21"/>
        <v>514000.67</v>
      </c>
      <c r="AJ33" s="839" t="b">
        <f>TRUE</f>
        <v>1</v>
      </c>
      <c r="AK33" s="874" t="s">
        <v>392</v>
      </c>
      <c r="AL33" s="744" t="s">
        <v>342</v>
      </c>
      <c r="AM33" s="746">
        <v>0.504</v>
      </c>
      <c r="AN33" s="741">
        <v>0.67</v>
      </c>
      <c r="AO33" s="748">
        <f>0.255*2</f>
        <v>0.51</v>
      </c>
      <c r="AP33" s="829">
        <f t="shared" si="19"/>
        <v>0.51400000000000001</v>
      </c>
      <c r="AQ33" s="833">
        <f>AN33</f>
        <v>0.67</v>
      </c>
      <c r="AR33" s="181">
        <f t="shared" si="22"/>
        <v>0.252</v>
      </c>
      <c r="AS33" s="4">
        <f t="shared" si="23"/>
        <v>0.503</v>
      </c>
      <c r="AT33" s="8">
        <f t="shared" si="23"/>
        <v>0.505</v>
      </c>
      <c r="AU33" s="821">
        <f>($AP33+AU$9)-0.003</f>
        <v>0.51200000000000001</v>
      </c>
      <c r="AV33" s="822">
        <f>($AP33+AV$9)-0.004</f>
        <v>0.51400000000000001</v>
      </c>
      <c r="AW33" s="177">
        <f t="shared" si="24"/>
        <v>3.5000000000000031E-3</v>
      </c>
      <c r="AX33" s="8">
        <f t="shared" si="25"/>
        <v>5.5000000000000049E-3</v>
      </c>
    </row>
    <row r="34" spans="35:50" x14ac:dyDescent="0.25">
      <c r="AI34" s="842">
        <f t="shared" si="21"/>
        <v>450000.33189999999</v>
      </c>
      <c r="AJ34" s="839" t="b">
        <f>FALSE</f>
        <v>0</v>
      </c>
      <c r="AK34" s="740" t="s">
        <v>340</v>
      </c>
      <c r="AL34" s="744" t="s">
        <v>343</v>
      </c>
      <c r="AM34" s="746">
        <v>0.4415</v>
      </c>
      <c r="AN34" s="741">
        <v>0.55000000000000004</v>
      </c>
      <c r="AO34" s="748">
        <f>0.2181*2</f>
        <v>0.43619999999999998</v>
      </c>
      <c r="AP34" s="829">
        <f>($AM34+AP$9)+0.0055</f>
        <v>0.45</v>
      </c>
      <c r="AQ34" s="8">
        <f>($AN34-($AO34/2))</f>
        <v>0.33190000000000008</v>
      </c>
      <c r="AR34" s="181">
        <f t="shared" si="22"/>
        <v>0.22075</v>
      </c>
      <c r="AS34" s="834">
        <f>($AM34+AS$9)+0.0008</f>
        <v>0.44130000000000003</v>
      </c>
      <c r="AT34" s="833">
        <f>($AM34+AT$9)-0.0008</f>
        <v>0.44169999999999998</v>
      </c>
      <c r="AU34" s="821">
        <f>($AP34+AU$9)-0.005</f>
        <v>0.44600000000000001</v>
      </c>
      <c r="AV34" s="822">
        <f>($AP34+AV$9)-0.002</f>
        <v>0.45200000000000001</v>
      </c>
      <c r="AW34" s="177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842">
        <f t="shared" si="21"/>
        <v>450000.33199999999</v>
      </c>
      <c r="AJ35" s="839" t="b">
        <f>FALSE</f>
        <v>0</v>
      </c>
      <c r="AK35" s="740" t="s">
        <v>340</v>
      </c>
      <c r="AL35" s="744" t="s">
        <v>343</v>
      </c>
      <c r="AM35" s="746">
        <v>0.4415</v>
      </c>
      <c r="AN35" s="741">
        <v>0.55000000000000004</v>
      </c>
      <c r="AO35" s="748">
        <f>0.2181*2</f>
        <v>0.43619999999999998</v>
      </c>
      <c r="AP35" s="829">
        <f>($AM35+AP$9)+0.0055</f>
        <v>0.45</v>
      </c>
      <c r="AQ35" s="833">
        <f>($AN35-($AO35/2))+0.0001</f>
        <v>0.33200000000000007</v>
      </c>
      <c r="AR35" s="181">
        <f t="shared" si="22"/>
        <v>0.22075</v>
      </c>
      <c r="AS35" s="834">
        <f>($AM35+AS$9)+0.0008</f>
        <v>0.44130000000000003</v>
      </c>
      <c r="AT35" s="833">
        <f>($AM35+AT$9)-0.0008</f>
        <v>0.44169999999999998</v>
      </c>
      <c r="AU35" s="821">
        <f>($AP35+AU$9)-0.005</f>
        <v>0.44600000000000001</v>
      </c>
      <c r="AV35" s="822">
        <f>($AP35+AV$9)-0.002</f>
        <v>0.45200000000000001</v>
      </c>
      <c r="AW35" s="177">
        <f t="shared" si="24"/>
        <v>2.150000000000013E-3</v>
      </c>
      <c r="AX35" s="8">
        <f t="shared" si="25"/>
        <v>5.3499999999999936E-3</v>
      </c>
    </row>
    <row r="36" spans="35:50" x14ac:dyDescent="0.25">
      <c r="AI36" s="842">
        <f t="shared" si="21"/>
        <v>525000.40700000001</v>
      </c>
      <c r="AJ36" s="839" t="b">
        <f>FALSE</f>
        <v>0</v>
      </c>
      <c r="AK36" s="742" t="s">
        <v>335</v>
      </c>
      <c r="AL36" s="745" t="s">
        <v>344</v>
      </c>
      <c r="AM36" s="747">
        <v>0.51459999999999995</v>
      </c>
      <c r="AN36" s="743">
        <v>0.67</v>
      </c>
      <c r="AO36" s="749">
        <f>0.263*2</f>
        <v>0.52600000000000002</v>
      </c>
      <c r="AP36" s="832">
        <f>($AM36+AP$9)+0.0074</f>
        <v>0.52499999999999991</v>
      </c>
      <c r="AQ36" s="722">
        <f>($AN36-($AO36/2))</f>
        <v>0.40700000000000003</v>
      </c>
      <c r="AR36" s="827">
        <f t="shared" si="22"/>
        <v>0.25729999999999997</v>
      </c>
      <c r="AS36" s="835">
        <f>($AM36+AS$9)+0.0008</f>
        <v>0.51439999999999997</v>
      </c>
      <c r="AT36" s="836">
        <f>($AM36+AT$9)-0.0008</f>
        <v>0.51479999999999992</v>
      </c>
      <c r="AU36" s="823">
        <f>($AP36+AU$9)-0.005</f>
        <v>0.52099999999999991</v>
      </c>
      <c r="AV36" s="824">
        <f>($AP36+AV$9)-0.002</f>
        <v>0.52699999999999991</v>
      </c>
      <c r="AW36" s="180">
        <f t="shared" si="24"/>
        <v>3.0999999999999917E-3</v>
      </c>
      <c r="AX36" s="722">
        <f t="shared" si="25"/>
        <v>6.2999999999999723E-3</v>
      </c>
    </row>
    <row r="37" spans="35:50" x14ac:dyDescent="0.25">
      <c r="AI37" s="468"/>
      <c r="AJ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K39" s="468"/>
      <c r="AL39" s="468"/>
    </row>
    <row r="40" spans="35:50" x14ac:dyDescent="0.25">
      <c r="AI40" s="468"/>
      <c r="AJ40" s="468"/>
      <c r="AK40" s="468"/>
      <c r="AL40" s="468"/>
    </row>
    <row r="41" spans="35:50" x14ac:dyDescent="0.25">
      <c r="AI41" s="468"/>
      <c r="AJ41" s="468"/>
      <c r="AK41" s="468"/>
      <c r="AL41" s="468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68"/>
      <c r="AJ46" s="468"/>
      <c r="AK46" s="468"/>
      <c r="AL46" s="468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68"/>
      <c r="AJ47" s="468"/>
      <c r="AK47" s="468"/>
      <c r="AL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I51" s="468"/>
      <c r="AJ51" s="468"/>
      <c r="AK51" s="468"/>
      <c r="AL51" s="468"/>
      <c r="AM51" s="468"/>
      <c r="AN51" s="468"/>
      <c r="AO51" s="468"/>
      <c r="AP51" s="468"/>
      <c r="AQ51" s="468"/>
      <c r="AR51" s="468"/>
    </row>
    <row r="52" spans="2:44" x14ac:dyDescent="0.25">
      <c r="AI52" s="468"/>
      <c r="AJ52" s="468"/>
      <c r="AK52" s="468"/>
      <c r="AL52" s="468"/>
      <c r="AM52" s="468"/>
      <c r="AN52" s="468"/>
      <c r="AO52" s="468"/>
      <c r="AP52" s="468"/>
      <c r="AQ52" s="468"/>
      <c r="AR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57" spans="2:44" x14ac:dyDescent="0.25">
      <c r="AJ57" s="468"/>
      <c r="AK57" s="468"/>
      <c r="AL57" s="468"/>
    </row>
    <row r="58" spans="2:44" x14ac:dyDescent="0.25">
      <c r="AJ58" s="468"/>
      <c r="AK58" s="468"/>
      <c r="AL58" s="468"/>
    </row>
    <row r="62" spans="2:44" x14ac:dyDescent="0.25">
      <c r="B62" s="31"/>
    </row>
    <row r="63" spans="2:44" x14ac:dyDescent="0.25">
      <c r="B63" s="31"/>
    </row>
    <row r="65" spans="2:11" x14ac:dyDescent="0.25">
      <c r="I65" s="508"/>
      <c r="K65" s="508"/>
    </row>
    <row r="66" spans="2:11" x14ac:dyDescent="0.25">
      <c r="I66" s="508"/>
      <c r="K66" s="508"/>
    </row>
    <row r="67" spans="2:11" x14ac:dyDescent="0.25">
      <c r="I67" s="508"/>
      <c r="K67" s="508"/>
    </row>
    <row r="68" spans="2:11" x14ac:dyDescent="0.25">
      <c r="I68" s="508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6" t="s">
        <v>95</v>
      </c>
      <c r="D3" s="876"/>
      <c r="E3" s="876"/>
      <c r="F3" s="876"/>
      <c r="G3" s="876"/>
      <c r="H3" s="876"/>
      <c r="I3" s="876"/>
      <c r="J3" s="876"/>
      <c r="K3" s="877"/>
      <c r="L3" s="933"/>
      <c r="M3" s="876"/>
      <c r="N3" s="876"/>
      <c r="O3" s="876"/>
      <c r="P3" s="876"/>
      <c r="Q3" s="876"/>
      <c r="R3" s="907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5" t="s">
        <v>86</v>
      </c>
      <c r="C4" s="972" t="s">
        <v>82</v>
      </c>
      <c r="D4" s="876" t="s">
        <v>83</v>
      </c>
      <c r="E4" s="876"/>
      <c r="F4" s="876"/>
      <c r="G4" s="876"/>
      <c r="H4" s="876"/>
      <c r="I4" s="876"/>
      <c r="J4" s="876"/>
      <c r="K4" s="876"/>
      <c r="L4" s="150" t="s">
        <v>91</v>
      </c>
      <c r="M4" s="906" t="s">
        <v>94</v>
      </c>
      <c r="N4" s="876"/>
      <c r="O4" s="876"/>
      <c r="P4" s="877"/>
      <c r="Q4" s="876" t="s">
        <v>52</v>
      </c>
      <c r="R4" s="907"/>
      <c r="S4" s="107"/>
      <c r="T4" s="906">
        <v>350</v>
      </c>
      <c r="U4" s="876"/>
      <c r="V4" s="876" t="s">
        <v>76</v>
      </c>
      <c r="W4" s="876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6"/>
      <c r="C5" s="973"/>
      <c r="D5" s="961" t="s">
        <v>85</v>
      </c>
      <c r="E5" s="975" t="s">
        <v>89</v>
      </c>
      <c r="F5" s="911" t="s">
        <v>34</v>
      </c>
      <c r="G5" s="911"/>
      <c r="H5" s="908" t="s">
        <v>39</v>
      </c>
      <c r="I5" s="902" t="s">
        <v>35</v>
      </c>
      <c r="J5" s="902" t="s">
        <v>36</v>
      </c>
      <c r="K5" s="945" t="s">
        <v>67</v>
      </c>
      <c r="L5" s="151" t="s">
        <v>92</v>
      </c>
      <c r="M5" s="909" t="s">
        <v>90</v>
      </c>
      <c r="N5" s="909" t="s">
        <v>47</v>
      </c>
      <c r="O5" s="928" t="s">
        <v>84</v>
      </c>
      <c r="P5" s="929"/>
      <c r="Q5" s="930" t="s">
        <v>84</v>
      </c>
      <c r="R5" s="931"/>
      <c r="S5" s="107"/>
      <c r="T5" s="923" t="s">
        <v>46</v>
      </c>
      <c r="U5" s="934"/>
      <c r="V5" s="890" t="s">
        <v>45</v>
      </c>
      <c r="W5" s="918"/>
      <c r="X5" s="918"/>
      <c r="Y5" s="918"/>
      <c r="Z5" s="918"/>
      <c r="AA5" s="918"/>
      <c r="AB5" s="918"/>
      <c r="AC5" s="918"/>
      <c r="AD5" s="918"/>
      <c r="AE5" s="918"/>
      <c r="AF5" s="918"/>
      <c r="AG5" s="918"/>
      <c r="AH5" s="918"/>
      <c r="AI5" s="918"/>
      <c r="AJ5" s="918"/>
      <c r="AK5" s="31"/>
      <c r="AL5" s="31"/>
    </row>
    <row r="6" spans="2:38" ht="15" customHeight="1" thickBot="1" x14ac:dyDescent="0.3">
      <c r="B6" s="957"/>
      <c r="C6" s="974"/>
      <c r="D6" s="962"/>
      <c r="E6" s="976"/>
      <c r="F6" s="108" t="s">
        <v>8</v>
      </c>
      <c r="G6" s="109" t="s">
        <v>10</v>
      </c>
      <c r="H6" s="946"/>
      <c r="I6" s="946"/>
      <c r="J6" s="946"/>
      <c r="K6" s="935"/>
      <c r="L6" s="152" t="s">
        <v>93</v>
      </c>
      <c r="M6" s="932"/>
      <c r="N6" s="932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5"/>
      <c r="U6" s="936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3">
        <f>ROW(Assy.Model!B9)</f>
        <v>9</v>
      </c>
      <c r="D7" s="952" t="str">
        <f>SUBSTITUTE(ADDRESS(1,COLUMN(Assy.Model!B9),4),"1","")</f>
        <v>B</v>
      </c>
      <c r="E7" s="966" t="str">
        <f>SUBSTITUTE(ADDRESS(1,COLUMN(Assy.Model!M9),4),"1","")</f>
        <v>M</v>
      </c>
      <c r="F7" s="969" t="str">
        <f>SUBSTITUTE(ADDRESS(1,COLUMN(Assy.Model!X9),4),"1","")</f>
        <v>X</v>
      </c>
      <c r="G7" s="958" t="str">
        <f>SUBSTITUTE(ADDRESS(1,COLUMN(Assy.Model!AT9),4),"1","")</f>
        <v>AT</v>
      </c>
      <c r="H7" s="937" t="str">
        <f>SUBSTITUTE(ADDRESS(1,COLUMN(Assy.Model!H9),4),"1","")</f>
        <v>H</v>
      </c>
      <c r="I7" s="937" t="str">
        <f>SUBSTITUTE(ADDRESS(1,COLUMN(Assy.Model!AN9),4),"1","")</f>
        <v>AN</v>
      </c>
      <c r="J7" s="937" t="str">
        <f>SUBSTITUTE(ADDRESS(1,COLUMN(Assy.Model!AO9),4),"1","")</f>
        <v>AO</v>
      </c>
      <c r="K7" s="94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9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7" t="s">
        <v>81</v>
      </c>
      <c r="C8" s="964"/>
      <c r="D8" s="953"/>
      <c r="E8" s="967"/>
      <c r="F8" s="970"/>
      <c r="G8" s="959"/>
      <c r="H8" s="938"/>
      <c r="I8" s="938"/>
      <c r="J8" s="938"/>
      <c r="K8" s="941"/>
      <c r="L8" s="153" t="s">
        <v>93</v>
      </c>
      <c r="M8" s="94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50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7"/>
      <c r="C9" s="964"/>
      <c r="D9" s="953"/>
      <c r="E9" s="967"/>
      <c r="F9" s="970"/>
      <c r="G9" s="959"/>
      <c r="H9" s="938"/>
      <c r="I9" s="938"/>
      <c r="J9" s="938"/>
      <c r="K9" s="941"/>
      <c r="L9" s="153" t="s">
        <v>92</v>
      </c>
      <c r="M9" s="94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50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7"/>
      <c r="C10" s="964"/>
      <c r="D10" s="953"/>
      <c r="E10" s="967"/>
      <c r="F10" s="970"/>
      <c r="G10" s="959"/>
      <c r="H10" s="938"/>
      <c r="I10" s="938"/>
      <c r="J10" s="938"/>
      <c r="K10" s="941"/>
      <c r="L10" s="153" t="s">
        <v>92</v>
      </c>
      <c r="M10" s="94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50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7"/>
      <c r="C11" s="964"/>
      <c r="D11" s="953"/>
      <c r="E11" s="967"/>
      <c r="F11" s="970"/>
      <c r="G11" s="959"/>
      <c r="H11" s="938"/>
      <c r="I11" s="938"/>
      <c r="J11" s="938"/>
      <c r="K11" s="941"/>
      <c r="L11" s="153" t="s">
        <v>92</v>
      </c>
      <c r="M11" s="94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50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7"/>
      <c r="C12" s="964"/>
      <c r="D12" s="953"/>
      <c r="E12" s="967"/>
      <c r="F12" s="970"/>
      <c r="G12" s="959"/>
      <c r="H12" s="938"/>
      <c r="I12" s="938"/>
      <c r="J12" s="938"/>
      <c r="K12" s="941"/>
      <c r="L12" s="153" t="s">
        <v>92</v>
      </c>
      <c r="M12" s="94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50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7"/>
      <c r="C13" s="964"/>
      <c r="D13" s="953"/>
      <c r="E13" s="967"/>
      <c r="F13" s="970"/>
      <c r="G13" s="959"/>
      <c r="H13" s="938"/>
      <c r="I13" s="938"/>
      <c r="J13" s="938"/>
      <c r="K13" s="941"/>
      <c r="L13" s="153" t="s">
        <v>92</v>
      </c>
      <c r="M13" s="94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50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8"/>
      <c r="C14" s="965"/>
      <c r="D14" s="954"/>
      <c r="E14" s="968"/>
      <c r="F14" s="971"/>
      <c r="G14" s="960"/>
      <c r="H14" s="939"/>
      <c r="I14" s="939"/>
      <c r="J14" s="939"/>
      <c r="K14" s="942"/>
      <c r="L14" s="154" t="s">
        <v>93</v>
      </c>
      <c r="M14" s="94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51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28515625" bestFit="1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30" t="str">
        <f>CONCATENATE(Settings!$C$19," ",Settings!$B$28)</f>
        <v>12.25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41" t="s">
        <v>315</v>
      </c>
      <c r="C2" s="1242"/>
      <c r="D2" s="1242"/>
      <c r="E2" s="1242"/>
      <c r="F2" s="1242"/>
      <c r="G2" s="1242"/>
      <c r="H2" s="1242"/>
      <c r="I2" s="1242"/>
      <c r="J2" s="1242"/>
      <c r="K2" s="1243"/>
      <c r="L2" s="985" t="str" cm="1">
        <f t="array" ref="L2">IF(OR($K$9:$K$150="Undefined"),"Undefined Element","")</f>
        <v/>
      </c>
      <c r="M2" s="1249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01" t="s">
        <v>0</v>
      </c>
      <c r="AW2" s="1143" t="s">
        <v>109</v>
      </c>
      <c r="AX2" s="1144"/>
      <c r="AY2" s="1144"/>
      <c r="AZ2" s="1144"/>
      <c r="BA2" s="1144"/>
      <c r="BB2" s="1144"/>
      <c r="BC2" s="1144"/>
      <c r="BD2" s="1144"/>
      <c r="BE2" s="1145"/>
      <c r="BF2" s="1155" t="s">
        <v>115</v>
      </c>
      <c r="BG2" s="1144"/>
      <c r="BH2" s="1144"/>
      <c r="BI2" s="1144"/>
      <c r="BJ2" s="1144"/>
      <c r="BK2" s="1144"/>
      <c r="BL2" s="1144"/>
      <c r="BM2" s="1144"/>
      <c r="BN2" s="1144"/>
      <c r="BO2" s="1144"/>
      <c r="BP2" s="1144"/>
      <c r="BQ2" s="1144"/>
      <c r="BR2" s="1144"/>
      <c r="BS2" s="1144"/>
      <c r="BT2" s="1144"/>
      <c r="BU2" s="1144"/>
      <c r="BV2" s="1144"/>
      <c r="BW2" s="1144"/>
      <c r="BX2" s="1144"/>
      <c r="BY2" s="1144"/>
      <c r="BZ2" s="1144"/>
      <c r="CA2" s="1144"/>
      <c r="CB2" s="1144"/>
      <c r="CC2" s="1144"/>
      <c r="CD2" s="1144"/>
      <c r="CE2" s="1144"/>
      <c r="CF2" s="1144"/>
      <c r="CG2" s="1144"/>
      <c r="CH2" s="1144"/>
      <c r="CI2" s="1144"/>
      <c r="CJ2" s="1144"/>
      <c r="CK2" s="1144"/>
      <c r="CL2" s="1144"/>
      <c r="CM2" s="1144"/>
      <c r="CN2" s="1144"/>
      <c r="CO2" s="1144"/>
      <c r="CP2" s="1144"/>
      <c r="CQ2" s="1144"/>
      <c r="CR2" s="1144"/>
      <c r="CS2" s="1144"/>
      <c r="CT2" s="1144"/>
      <c r="CU2" s="1144"/>
      <c r="CV2" s="1144"/>
      <c r="CW2" s="1144"/>
      <c r="CX2" s="1144"/>
      <c r="CY2" s="1144"/>
      <c r="CZ2" s="1144"/>
      <c r="DA2" s="1144"/>
      <c r="DB2" s="1144"/>
      <c r="DC2" s="1144"/>
      <c r="DD2" s="1144"/>
      <c r="DE2" s="1144"/>
      <c r="DF2" s="1144"/>
      <c r="DG2" s="1144"/>
      <c r="DH2" s="1144"/>
      <c r="DI2" s="1144"/>
      <c r="DJ2" s="1144"/>
      <c r="DK2" s="1144"/>
      <c r="DL2" s="1144"/>
      <c r="DM2" s="1144"/>
      <c r="DN2" s="1144"/>
      <c r="DO2" s="1144"/>
      <c r="DP2" s="1144"/>
      <c r="DQ2" s="1144"/>
      <c r="DR2" s="1144"/>
      <c r="DS2" s="1144"/>
      <c r="DT2" s="1144"/>
      <c r="DU2" s="1144"/>
      <c r="DV2" s="1144"/>
      <c r="DW2" s="1144"/>
      <c r="DX2" s="1144"/>
      <c r="DY2" s="1144"/>
      <c r="DZ2" s="1144"/>
      <c r="EA2" s="1144"/>
      <c r="EB2" s="1144"/>
      <c r="EC2" s="1144"/>
      <c r="ED2" s="1144"/>
      <c r="EE2" s="1144"/>
      <c r="EF2" s="1144"/>
      <c r="EG2" s="1144"/>
      <c r="EH2" s="1144"/>
      <c r="EI2" s="1144"/>
      <c r="EJ2" s="1144"/>
      <c r="EK2" s="1144"/>
      <c r="EL2" s="1144"/>
      <c r="EM2" s="1144"/>
      <c r="EN2" s="1144"/>
      <c r="EO2" s="1144"/>
      <c r="EP2" s="1144"/>
      <c r="EQ2" s="1144"/>
      <c r="ER2" s="1156"/>
      <c r="ES2" s="1046" t="s">
        <v>197</v>
      </c>
      <c r="ET2" s="1047"/>
      <c r="EU2" s="1047"/>
      <c r="EV2" s="1047"/>
      <c r="EW2" s="1047"/>
      <c r="EX2" s="1047"/>
      <c r="EY2" s="1047"/>
      <c r="EZ2" s="1047"/>
      <c r="FA2" s="1047"/>
      <c r="FB2" s="1047"/>
      <c r="FC2" s="1047"/>
      <c r="FD2" s="1047"/>
      <c r="FE2" s="1047"/>
      <c r="FF2" s="1048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3" t="s">
        <v>266</v>
      </c>
      <c r="HQ2" s="1074" t="str">
        <f>IFERROR(CONCATENATE("Sum of Lateral Forces = ",ROUND(HE3,0)," lbs @ ",ROUND(HF3,1),"° Relative to Blade 1"),"")</f>
        <v/>
      </c>
      <c r="HR2" s="1075"/>
      <c r="HS2" s="1075"/>
      <c r="HT2" s="1075"/>
      <c r="HU2" s="1075"/>
      <c r="HV2" s="1076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4"/>
      <c r="C3" s="1199"/>
      <c r="D3" s="1199"/>
      <c r="E3" s="1199"/>
      <c r="F3" s="1199"/>
      <c r="G3" s="1199"/>
      <c r="H3" s="1199"/>
      <c r="I3" s="1199"/>
      <c r="J3" s="1199"/>
      <c r="K3" s="1245"/>
      <c r="L3" s="985"/>
      <c r="M3" s="1244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146"/>
      <c r="AA3" s="1147"/>
      <c r="AB3" s="1147"/>
      <c r="AC3" s="1147"/>
      <c r="AD3" s="1147"/>
      <c r="AE3" s="1147"/>
      <c r="AF3" s="1147"/>
      <c r="AG3" s="1147"/>
      <c r="AH3" s="1147"/>
      <c r="AI3" s="1147"/>
      <c r="AJ3" s="1147"/>
      <c r="AK3" s="1147"/>
      <c r="AL3" s="1147"/>
      <c r="AM3" s="1147"/>
      <c r="AN3" s="1147"/>
      <c r="AO3" s="1147"/>
      <c r="AP3" s="1147"/>
      <c r="AQ3" s="1148"/>
      <c r="AS3" s="466">
        <v>100</v>
      </c>
      <c r="AT3" s="463" t="s">
        <v>45</v>
      </c>
      <c r="AV3" s="1202"/>
      <c r="AW3" s="1049"/>
      <c r="AX3" s="1050"/>
      <c r="AY3" s="1050"/>
      <c r="AZ3" s="1050"/>
      <c r="BA3" s="1050"/>
      <c r="BB3" s="1050"/>
      <c r="BC3" s="1050"/>
      <c r="BD3" s="1050"/>
      <c r="BE3" s="1164"/>
      <c r="BF3" s="1157"/>
      <c r="BG3" s="1050"/>
      <c r="BH3" s="1050"/>
      <c r="BI3" s="1050"/>
      <c r="BJ3" s="1050"/>
      <c r="BK3" s="1050"/>
      <c r="BL3" s="1050"/>
      <c r="BM3" s="1050"/>
      <c r="BN3" s="1050"/>
      <c r="BO3" s="1050"/>
      <c r="BP3" s="1050"/>
      <c r="BQ3" s="1050"/>
      <c r="BR3" s="1050"/>
      <c r="BS3" s="1050"/>
      <c r="BT3" s="1050"/>
      <c r="BU3" s="1050"/>
      <c r="BV3" s="1050"/>
      <c r="BW3" s="1050"/>
      <c r="BX3" s="1050"/>
      <c r="BY3" s="1050"/>
      <c r="BZ3" s="1050"/>
      <c r="CA3" s="1050"/>
      <c r="CB3" s="1050"/>
      <c r="CC3" s="1050"/>
      <c r="CD3" s="1050"/>
      <c r="CE3" s="1050"/>
      <c r="CF3" s="1050"/>
      <c r="CG3" s="1050"/>
      <c r="CH3" s="1050"/>
      <c r="CI3" s="1050"/>
      <c r="CJ3" s="1050"/>
      <c r="CK3" s="1050"/>
      <c r="CL3" s="1050"/>
      <c r="CM3" s="1050"/>
      <c r="CN3" s="1050"/>
      <c r="CO3" s="1050"/>
      <c r="CP3" s="1050"/>
      <c r="CQ3" s="1050"/>
      <c r="CR3" s="1050"/>
      <c r="CS3" s="1050"/>
      <c r="CT3" s="1050"/>
      <c r="CU3" s="1050"/>
      <c r="CV3" s="1050"/>
      <c r="CW3" s="1050"/>
      <c r="CX3" s="1050"/>
      <c r="CY3" s="1050"/>
      <c r="CZ3" s="1050"/>
      <c r="DA3" s="1050"/>
      <c r="DB3" s="1050"/>
      <c r="DC3" s="1050"/>
      <c r="DD3" s="1050"/>
      <c r="DE3" s="1050"/>
      <c r="DF3" s="1050"/>
      <c r="DG3" s="1050"/>
      <c r="DH3" s="1050"/>
      <c r="DI3" s="1050"/>
      <c r="DJ3" s="1050"/>
      <c r="DK3" s="1050"/>
      <c r="DL3" s="1050"/>
      <c r="DM3" s="1050"/>
      <c r="DN3" s="1050"/>
      <c r="DO3" s="1050"/>
      <c r="DP3" s="1050"/>
      <c r="DQ3" s="1050"/>
      <c r="DR3" s="1050"/>
      <c r="DS3" s="1050"/>
      <c r="DT3" s="1050"/>
      <c r="DU3" s="1050"/>
      <c r="DV3" s="1050"/>
      <c r="DW3" s="1050"/>
      <c r="DX3" s="1050"/>
      <c r="DY3" s="1050"/>
      <c r="DZ3" s="1050"/>
      <c r="EA3" s="1050"/>
      <c r="EB3" s="1050"/>
      <c r="EC3" s="1050"/>
      <c r="ED3" s="1050"/>
      <c r="EE3" s="1050"/>
      <c r="EF3" s="1050"/>
      <c r="EG3" s="1050"/>
      <c r="EH3" s="1050"/>
      <c r="EI3" s="1050"/>
      <c r="EJ3" s="1050"/>
      <c r="EK3" s="1050"/>
      <c r="EL3" s="1050"/>
      <c r="EM3" s="1050"/>
      <c r="EN3" s="1050"/>
      <c r="EO3" s="1050"/>
      <c r="EP3" s="1050"/>
      <c r="EQ3" s="1050"/>
      <c r="ER3" s="1051"/>
      <c r="ES3" s="1049"/>
      <c r="ET3" s="1050"/>
      <c r="EU3" s="1050"/>
      <c r="EV3" s="1050"/>
      <c r="EW3" s="1050"/>
      <c r="EX3" s="1050"/>
      <c r="EY3" s="1050"/>
      <c r="EZ3" s="1050"/>
      <c r="FA3" s="1050"/>
      <c r="FB3" s="1050"/>
      <c r="FC3" s="1050"/>
      <c r="FD3" s="1050"/>
      <c r="FE3" s="1050"/>
      <c r="FF3" s="1051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4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6"/>
      <c r="C4" s="1247"/>
      <c r="D4" s="1247"/>
      <c r="E4" s="1247"/>
      <c r="F4" s="1247"/>
      <c r="G4" s="1247"/>
      <c r="H4" s="1247"/>
      <c r="I4" s="1247"/>
      <c r="J4" s="1247"/>
      <c r="K4" s="1248"/>
      <c r="L4" s="985"/>
      <c r="M4" s="1244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$Q$4</f>
        <v>Polar XY; Cartesian Z</v>
      </c>
      <c r="X4" s="1168"/>
      <c r="Y4" s="1234"/>
      <c r="Z4" s="1187" t="s">
        <v>3</v>
      </c>
      <c r="AA4" s="1185"/>
      <c r="AB4" s="1185"/>
      <c r="AC4" s="1185"/>
      <c r="AD4" s="1185"/>
      <c r="AE4" s="1185"/>
      <c r="AF4" s="1185"/>
      <c r="AG4" s="1197" t="s">
        <v>31</v>
      </c>
      <c r="AH4" s="1185"/>
      <c r="AI4" s="1185"/>
      <c r="AJ4" s="1186"/>
      <c r="AK4" s="1149" t="s">
        <v>32</v>
      </c>
      <c r="AL4" s="1150"/>
      <c r="AM4" s="1150"/>
      <c r="AN4" s="1150"/>
      <c r="AO4" s="1150"/>
      <c r="AP4" s="1150"/>
      <c r="AQ4" s="1151"/>
      <c r="AS4" s="467">
        <v>125</v>
      </c>
      <c r="AT4" s="464" t="s">
        <v>46</v>
      </c>
      <c r="AV4" s="1202"/>
      <c r="AW4" s="1097" t="s">
        <v>112</v>
      </c>
      <c r="AX4" s="1001"/>
      <c r="AY4" s="924"/>
      <c r="AZ4" s="1162"/>
      <c r="BA4" s="1163"/>
      <c r="BB4" s="1165" t="s">
        <v>113</v>
      </c>
      <c r="BC4" s="1168" t="str">
        <f>$Q$4</f>
        <v>Polar XY; Cartesian Z</v>
      </c>
      <c r="BD4" s="1168"/>
      <c r="BE4" s="1169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158" t="s">
        <v>193</v>
      </c>
      <c r="CP4" s="1159"/>
      <c r="CQ4" s="1159"/>
      <c r="CR4" s="1159"/>
      <c r="CS4" s="1159"/>
      <c r="CT4" s="1159"/>
      <c r="CU4" s="1159"/>
      <c r="CV4" s="1159"/>
      <c r="CW4" s="1159"/>
      <c r="CX4" s="1159"/>
      <c r="CY4" s="1159"/>
      <c r="CZ4" s="1159"/>
      <c r="DA4" s="1160"/>
      <c r="DB4" s="1043" t="s">
        <v>162</v>
      </c>
      <c r="DC4" s="1044"/>
      <c r="DD4" s="1044"/>
      <c r="DE4" s="1044"/>
      <c r="DF4" s="1044"/>
      <c r="DG4" s="1044"/>
      <c r="DH4" s="1044"/>
      <c r="DI4" s="1044"/>
      <c r="DJ4" s="1044"/>
      <c r="DK4" s="1044"/>
      <c r="DL4" s="1044"/>
      <c r="DM4" s="1044"/>
      <c r="DN4" s="1044"/>
      <c r="DO4" s="1044"/>
      <c r="DP4" s="1044"/>
      <c r="DQ4" s="1044"/>
      <c r="DR4" s="1044"/>
      <c r="DS4" s="1044"/>
      <c r="DT4" s="1044"/>
      <c r="DU4" s="1044"/>
      <c r="DV4" s="1044"/>
      <c r="DW4" s="1044"/>
      <c r="DX4" s="1044"/>
      <c r="DY4" s="1044"/>
      <c r="DZ4" s="1044"/>
      <c r="EA4" s="1044"/>
      <c r="EB4" s="1044"/>
      <c r="EC4" s="1044"/>
      <c r="ED4" s="1044"/>
      <c r="EE4" s="1044"/>
      <c r="EF4" s="1044"/>
      <c r="EG4" s="1044"/>
      <c r="EH4" s="1044"/>
      <c r="EI4" s="1044"/>
      <c r="EJ4" s="1044"/>
      <c r="EK4" s="1044"/>
      <c r="EL4" s="1044"/>
      <c r="EM4" s="1044"/>
      <c r="EN4" s="1044"/>
      <c r="EO4" s="1044"/>
      <c r="EP4" s="1044"/>
      <c r="EQ4" s="1044"/>
      <c r="ER4" s="1045"/>
      <c r="ES4" s="1066" t="s">
        <v>196</v>
      </c>
      <c r="ET4" s="1067"/>
      <c r="EU4" s="1067"/>
      <c r="EV4" s="1067"/>
      <c r="EW4" s="1067"/>
      <c r="EX4" s="1067"/>
      <c r="EY4" s="1068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3" t="s">
        <v>229</v>
      </c>
      <c r="FZ4" s="1033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4" t="s">
        <v>236</v>
      </c>
      <c r="GK4" s="905"/>
      <c r="GL4" s="905"/>
      <c r="GM4" s="905"/>
      <c r="GN4" s="991"/>
      <c r="GO4" s="993" t="s">
        <v>229</v>
      </c>
      <c r="GP4" s="997" t="s">
        <v>228</v>
      </c>
      <c r="GR4" s="1003" t="s">
        <v>261</v>
      </c>
      <c r="GS4" s="933" t="s">
        <v>259</v>
      </c>
      <c r="GT4" s="876"/>
      <c r="GU4" s="876"/>
      <c r="GV4" s="876"/>
      <c r="GW4" s="876"/>
      <c r="GX4" s="876"/>
      <c r="GY4" s="876"/>
      <c r="GZ4" s="876"/>
      <c r="HA4" s="1080" t="str">
        <f>IFERROR(CONCATENATE("Lateral Forces = ",ROUND(HE3,0)," lbs @ ",ROUND(HF3,1),"° Relative to Blade 1"),"")</f>
        <v/>
      </c>
      <c r="HB4" s="1081"/>
      <c r="HC4" s="1081"/>
      <c r="HD4" s="1081"/>
      <c r="HE4" s="1081"/>
      <c r="HF4" s="1081"/>
      <c r="HG4" s="1081"/>
      <c r="HH4" s="1082"/>
      <c r="HI4" s="1088" t="s">
        <v>0</v>
      </c>
      <c r="HO4" s="1035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901" t="s">
        <v>381</v>
      </c>
      <c r="IF4" s="901"/>
      <c r="IG4" s="767" cm="1">
        <f t="array" ref="IG4">MAX(MOD(IF($IG$9:$IG$150="",0,($IG$9:$IG$150*1000)),100))</f>
        <v>44</v>
      </c>
      <c r="IL4" s="31"/>
      <c r="IM4" s="767"/>
    </row>
    <row r="5" spans="1:283" ht="15" customHeight="1" x14ac:dyDescent="0.25">
      <c r="B5" s="1235" t="str">
        <f>CONCATENATE(B7," ; ",E7," ; ",H7)</f>
        <v>Absolute-Point ; Incremental-Vector Point ; Pocket Info.</v>
      </c>
      <c r="C5" s="1236"/>
      <c r="D5" s="1236"/>
      <c r="E5" s="1236"/>
      <c r="F5" s="1236"/>
      <c r="G5" s="1236"/>
      <c r="H5" s="1236"/>
      <c r="I5" s="1236"/>
      <c r="J5" s="1236"/>
      <c r="K5" s="1237"/>
      <c r="L5" s="872" t="str" cm="1">
        <f t="array" ref="L5">IF(OR(IF(LEFT($K$9:$K$150,4)="&lt;&gt;CS",TRUE,FALSE)),"Wrong CS","")</f>
        <v/>
      </c>
      <c r="M5" s="1244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about Z Axis")</f>
        <v>Relative to 1.113's θ about Z Axis</v>
      </c>
      <c r="U5" s="1138"/>
      <c r="V5" s="1139"/>
      <c r="W5" s="1138" t="str">
        <f>CONCATENATE("Relative to ",M8,"'s θ about Z Axis")</f>
        <v>Relative to 1.113's θ about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02"/>
      <c r="AW5" s="1178"/>
      <c r="AX5" s="1179"/>
      <c r="AY5" s="1180"/>
      <c r="AZ5" s="1009"/>
      <c r="BA5" s="914"/>
      <c r="BB5" s="1166"/>
      <c r="BC5" s="1174" t="str">
        <f>$W$5</f>
        <v>Relative to 1.113's θ about Z Axis</v>
      </c>
      <c r="BD5" s="1138"/>
      <c r="BE5" s="1175"/>
      <c r="BF5" s="933" t="s">
        <v>128</v>
      </c>
      <c r="BG5" s="876"/>
      <c r="BH5" s="876"/>
      <c r="BI5" s="876"/>
      <c r="BJ5" s="876"/>
      <c r="BK5" s="876"/>
      <c r="BL5" s="876"/>
      <c r="BM5" s="876"/>
      <c r="BN5" s="876"/>
      <c r="BO5" s="876"/>
      <c r="BP5" s="876"/>
      <c r="BQ5" s="876"/>
      <c r="BR5" s="877"/>
      <c r="BS5" s="933" t="s">
        <v>130</v>
      </c>
      <c r="BT5" s="876"/>
      <c r="BU5" s="876"/>
      <c r="BV5" s="876"/>
      <c r="BW5" s="876"/>
      <c r="BX5" s="876"/>
      <c r="BY5" s="876"/>
      <c r="BZ5" s="876"/>
      <c r="CA5" s="876"/>
      <c r="CB5" s="876"/>
      <c r="CC5" s="876"/>
      <c r="CD5" s="876"/>
      <c r="CE5" s="877"/>
      <c r="CF5" s="933" t="s">
        <v>138</v>
      </c>
      <c r="CG5" s="876"/>
      <c r="CH5" s="877"/>
      <c r="CI5" s="933" t="s">
        <v>139</v>
      </c>
      <c r="CJ5" s="876"/>
      <c r="CK5" s="876"/>
      <c r="CL5" s="876"/>
      <c r="CM5" s="876"/>
      <c r="CN5" s="877"/>
      <c r="CO5" s="1015" t="s">
        <v>275</v>
      </c>
      <c r="CP5" s="1015" t="s">
        <v>149</v>
      </c>
      <c r="CQ5" s="1001"/>
      <c r="CR5" s="1001"/>
      <c r="CS5" s="934"/>
      <c r="CT5" s="1001" t="s">
        <v>150</v>
      </c>
      <c r="CU5" s="924"/>
      <c r="CV5" s="933" t="s">
        <v>161</v>
      </c>
      <c r="CW5" s="876"/>
      <c r="CX5" s="876"/>
      <c r="CY5" s="876"/>
      <c r="CZ5" s="876"/>
      <c r="DA5" s="877"/>
      <c r="DB5" s="933" t="s">
        <v>163</v>
      </c>
      <c r="DC5" s="876"/>
      <c r="DD5" s="876"/>
      <c r="DE5" s="876"/>
      <c r="DF5" s="876"/>
      <c r="DG5" s="876"/>
      <c r="DH5" s="877"/>
      <c r="DI5" s="1022" t="s">
        <v>173</v>
      </c>
      <c r="DJ5" s="1022"/>
      <c r="DK5" s="1130"/>
      <c r="DL5" s="1021" t="s">
        <v>174</v>
      </c>
      <c r="DM5" s="1022"/>
      <c r="DN5" s="1023"/>
      <c r="DO5" s="1132" t="s">
        <v>175</v>
      </c>
      <c r="DP5" s="1133"/>
      <c r="DQ5" s="1133"/>
      <c r="DR5" s="1014" t="s">
        <v>187</v>
      </c>
      <c r="DS5" s="1014"/>
      <c r="DT5" s="1014"/>
      <c r="DU5" s="1014"/>
      <c r="DV5" s="1014"/>
      <c r="DW5" s="1014"/>
      <c r="DX5" s="1015" t="s">
        <v>190</v>
      </c>
      <c r="DY5" s="955" t="s">
        <v>149</v>
      </c>
      <c r="DZ5" s="1014"/>
      <c r="EA5" s="1014"/>
      <c r="EB5" s="1014"/>
      <c r="EC5" s="1014" t="s">
        <v>150</v>
      </c>
      <c r="ED5" s="1014"/>
      <c r="EE5" s="1003" t="s">
        <v>194</v>
      </c>
      <c r="EF5" s="1003"/>
      <c r="EG5" s="1011"/>
      <c r="EH5" s="1027" t="s">
        <v>195</v>
      </c>
      <c r="EI5" s="1028"/>
      <c r="EJ5" s="1029"/>
      <c r="EK5" s="1014" t="s">
        <v>188</v>
      </c>
      <c r="EL5" s="1015"/>
      <c r="EM5" s="933" t="s">
        <v>189</v>
      </c>
      <c r="EN5" s="876"/>
      <c r="EO5" s="876"/>
      <c r="EP5" s="876"/>
      <c r="EQ5" s="876"/>
      <c r="ER5" s="1123"/>
      <c r="ES5" s="1097" t="s">
        <v>202</v>
      </c>
      <c r="ET5" s="1001"/>
      <c r="EU5" s="934"/>
      <c r="EV5" s="1069" t="s">
        <v>222</v>
      </c>
      <c r="EW5" s="1070"/>
      <c r="EX5" s="1070"/>
      <c r="EY5" s="1071"/>
      <c r="EZ5" s="1058" t="s">
        <v>200</v>
      </c>
      <c r="FA5" s="928" t="s">
        <v>202</v>
      </c>
      <c r="FB5" s="1111"/>
      <c r="FC5" s="929"/>
      <c r="FD5" s="1115" t="s">
        <v>222</v>
      </c>
      <c r="FE5" s="1116"/>
      <c r="FF5" s="1117"/>
      <c r="FP5" s="1035"/>
      <c r="FQ5" s="31"/>
      <c r="FR5" s="31"/>
      <c r="FS5" s="31"/>
      <c r="FT5" s="31"/>
      <c r="FZ5" s="1035"/>
      <c r="GJ5" s="989" t="s">
        <v>269</v>
      </c>
      <c r="GK5" s="1037" t="s">
        <v>267</v>
      </c>
      <c r="GL5" s="1039" t="s">
        <v>110</v>
      </c>
      <c r="GM5" s="1039" t="s">
        <v>111</v>
      </c>
      <c r="GN5" s="1040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6"/>
      <c r="HA5" s="1077" t="s">
        <v>248</v>
      </c>
      <c r="HB5" s="1078"/>
      <c r="HC5" s="1078"/>
      <c r="HD5" s="1079"/>
      <c r="HE5" s="1094" t="s">
        <v>249</v>
      </c>
      <c r="HF5" s="1078"/>
      <c r="HG5" s="1078"/>
      <c r="HH5" s="1095"/>
      <c r="HI5" s="1089"/>
      <c r="HN5" s="386" t="s">
        <v>263</v>
      </c>
      <c r="HO5" s="58" t="s">
        <v>264</v>
      </c>
      <c r="HS5" s="1083" t="s">
        <v>274</v>
      </c>
      <c r="HZ5" s="383"/>
    </row>
    <row r="6" spans="1:283" ht="15" customHeight="1" thickBot="1" x14ac:dyDescent="0.4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>Inactive Element</v>
      </c>
      <c r="M6" s="1244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$Q$6</f>
        <v>Projected XY</v>
      </c>
      <c r="X6" s="1171"/>
      <c r="Y6" s="1212" t="str">
        <f>$S$6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140" t="str">
        <f>AD6</f>
        <v>Unit Vector</v>
      </c>
      <c r="AL6" s="1141"/>
      <c r="AM6" s="1142"/>
      <c r="AN6" s="34" t="s">
        <v>15</v>
      </c>
      <c r="AO6" s="35" t="s">
        <v>16</v>
      </c>
      <c r="AP6" s="737" t="s">
        <v>17</v>
      </c>
      <c r="AQ6" s="1204" t="s">
        <v>108</v>
      </c>
      <c r="AS6" s="172">
        <f>(AS5/360)</f>
        <v>6.9444444444444447E-4</v>
      </c>
      <c r="AT6" s="465" t="s">
        <v>48</v>
      </c>
      <c r="AV6" s="1202"/>
      <c r="AW6" s="1195" t="s">
        <v>105</v>
      </c>
      <c r="AX6" s="1196"/>
      <c r="AY6" s="195" t="s">
        <v>110</v>
      </c>
      <c r="AZ6" s="1176" t="s">
        <v>111</v>
      </c>
      <c r="BA6" s="1177"/>
      <c r="BB6" s="1167"/>
      <c r="BC6" s="1170" t="str">
        <f>$Q$6</f>
        <v>Projected XY</v>
      </c>
      <c r="BD6" s="1171"/>
      <c r="BE6" s="1172" t="str">
        <f>$S$6</f>
        <v>Z</v>
      </c>
      <c r="BF6" s="883" t="s">
        <v>125</v>
      </c>
      <c r="BG6" s="879"/>
      <c r="BH6" s="988"/>
      <c r="BI6" s="881" t="s">
        <v>126</v>
      </c>
      <c r="BJ6" s="879"/>
      <c r="BK6" s="880"/>
      <c r="BL6" s="884" t="s">
        <v>127</v>
      </c>
      <c r="BM6" s="879"/>
      <c r="BN6" s="885"/>
      <c r="BO6" s="883" t="s">
        <v>135</v>
      </c>
      <c r="BP6" s="879"/>
      <c r="BQ6" s="879"/>
      <c r="BR6" s="885"/>
      <c r="BS6" s="883" t="s">
        <v>125</v>
      </c>
      <c r="BT6" s="879"/>
      <c r="BU6" s="988"/>
      <c r="BV6" s="881" t="s">
        <v>126</v>
      </c>
      <c r="BW6" s="879"/>
      <c r="BX6" s="880"/>
      <c r="BY6" s="884" t="s">
        <v>127</v>
      </c>
      <c r="BZ6" s="879"/>
      <c r="CA6" s="885"/>
      <c r="CB6" s="883" t="s">
        <v>135</v>
      </c>
      <c r="CC6" s="879"/>
      <c r="CD6" s="879"/>
      <c r="CE6" s="885"/>
      <c r="CF6" s="889" t="s">
        <v>136</v>
      </c>
      <c r="CG6" s="1125"/>
      <c r="CH6" s="1125"/>
      <c r="CI6" s="1127" t="s">
        <v>137</v>
      </c>
      <c r="CJ6" s="1125"/>
      <c r="CK6" s="890"/>
      <c r="CL6" s="1124" t="s">
        <v>140</v>
      </c>
      <c r="CM6" s="1125"/>
      <c r="CN6" s="1126"/>
      <c r="CO6" s="1017"/>
      <c r="CP6" s="1017"/>
      <c r="CQ6" s="1099"/>
      <c r="CR6" s="1099"/>
      <c r="CS6" s="1100"/>
      <c r="CT6" s="1099"/>
      <c r="CU6" s="1161"/>
      <c r="CV6" s="1183" t="s">
        <v>147</v>
      </c>
      <c r="CW6" s="879"/>
      <c r="CX6" s="880"/>
      <c r="CY6" s="1118" t="s">
        <v>148</v>
      </c>
      <c r="CZ6" s="1073"/>
      <c r="DA6" s="1119"/>
      <c r="DB6" s="1128" t="s">
        <v>176</v>
      </c>
      <c r="DC6" s="1064"/>
      <c r="DD6" s="1065"/>
      <c r="DE6" s="1129" t="s">
        <v>177</v>
      </c>
      <c r="DF6" s="1064"/>
      <c r="DG6" s="1065"/>
      <c r="DH6" s="253" t="s">
        <v>29</v>
      </c>
      <c r="DI6" s="1025"/>
      <c r="DJ6" s="1025"/>
      <c r="DK6" s="1131"/>
      <c r="DL6" s="1024"/>
      <c r="DM6" s="1025"/>
      <c r="DN6" s="1026"/>
      <c r="DO6" s="1134"/>
      <c r="DP6" s="1135"/>
      <c r="DQ6" s="1135"/>
      <c r="DR6" s="1016"/>
      <c r="DS6" s="1016"/>
      <c r="DT6" s="1016"/>
      <c r="DU6" s="1016"/>
      <c r="DV6" s="1016"/>
      <c r="DW6" s="1016"/>
      <c r="DX6" s="1017"/>
      <c r="DY6" s="1136"/>
      <c r="DZ6" s="1016"/>
      <c r="EA6" s="1016"/>
      <c r="EB6" s="1016"/>
      <c r="EC6" s="1016"/>
      <c r="ED6" s="1016"/>
      <c r="EE6" s="1012"/>
      <c r="EF6" s="1012"/>
      <c r="EG6" s="1013"/>
      <c r="EH6" s="1030"/>
      <c r="EI6" s="1031"/>
      <c r="EJ6" s="1032"/>
      <c r="EK6" s="1016"/>
      <c r="EL6" s="1017"/>
      <c r="EM6" s="1018" t="s">
        <v>199</v>
      </c>
      <c r="EN6" s="1019"/>
      <c r="EO6" s="1020"/>
      <c r="EP6" s="1104" t="s">
        <v>198</v>
      </c>
      <c r="EQ6" s="1019"/>
      <c r="ER6" s="1106"/>
      <c r="ES6" s="1098"/>
      <c r="ET6" s="1099"/>
      <c r="EU6" s="1100"/>
      <c r="EV6" s="274" t="s">
        <v>221</v>
      </c>
      <c r="EW6" s="1104" t="s">
        <v>202</v>
      </c>
      <c r="EX6" s="1019"/>
      <c r="EY6" s="1105"/>
      <c r="EZ6" s="1059"/>
      <c r="FA6" s="1112"/>
      <c r="FB6" s="1113"/>
      <c r="FC6" s="1114"/>
      <c r="FD6" s="1018" t="s">
        <v>202</v>
      </c>
      <c r="FE6" s="1019"/>
      <c r="FF6" s="1106"/>
      <c r="FG6" s="1108" t="s">
        <v>224</v>
      </c>
      <c r="FH6" s="1109"/>
      <c r="FI6" s="1110"/>
      <c r="FJ6" s="1014" t="s">
        <v>203</v>
      </c>
      <c r="FK6" s="1015" t="s">
        <v>214</v>
      </c>
      <c r="FL6" s="1001"/>
      <c r="FM6" s="934"/>
      <c r="FN6" s="1054" t="s">
        <v>204</v>
      </c>
      <c r="FO6" s="1061" t="s">
        <v>227</v>
      </c>
      <c r="FP6" s="1052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5" t="s">
        <v>218</v>
      </c>
      <c r="FV6" s="1001"/>
      <c r="FW6" s="934"/>
      <c r="FX6" s="1054" t="s">
        <v>219</v>
      </c>
      <c r="FY6" s="1061" t="s">
        <v>227</v>
      </c>
      <c r="FZ6" s="1052" t="s">
        <v>225</v>
      </c>
      <c r="GA6" s="1056" t="s">
        <v>239</v>
      </c>
      <c r="GB6" s="336" t="s">
        <v>207</v>
      </c>
      <c r="GC6" s="337" t="s">
        <v>240</v>
      </c>
      <c r="GD6" s="338" t="s">
        <v>226</v>
      </c>
      <c r="GE6" s="986"/>
      <c r="GF6" s="1011" t="s">
        <v>260</v>
      </c>
      <c r="GG6" s="336" t="s">
        <v>207</v>
      </c>
      <c r="GH6" s="337" t="s">
        <v>240</v>
      </c>
      <c r="GI6" s="338" t="s">
        <v>226</v>
      </c>
      <c r="GJ6" s="990"/>
      <c r="GK6" s="1038"/>
      <c r="GL6" s="1041"/>
      <c r="GM6" s="1041"/>
      <c r="GN6" s="1042"/>
      <c r="GO6" s="995" t="s">
        <v>238</v>
      </c>
      <c r="GP6" s="999" t="s">
        <v>225</v>
      </c>
      <c r="GQ6" s="1001" t="s">
        <v>203</v>
      </c>
      <c r="GR6" s="985"/>
      <c r="GS6" s="1086" t="s">
        <v>252</v>
      </c>
      <c r="GT6" s="1087"/>
      <c r="GU6" s="1072" t="s">
        <v>251</v>
      </c>
      <c r="GV6" s="1073"/>
      <c r="GW6" s="1073"/>
      <c r="GX6" s="361" t="s">
        <v>106</v>
      </c>
      <c r="GY6" s="881" t="s">
        <v>250</v>
      </c>
      <c r="GZ6" s="988"/>
      <c r="HA6" s="1063" t="s">
        <v>252</v>
      </c>
      <c r="HB6" s="1064"/>
      <c r="HC6" s="1064"/>
      <c r="HD6" s="1065"/>
      <c r="HE6" s="881" t="s">
        <v>251</v>
      </c>
      <c r="HF6" s="879"/>
      <c r="HG6" s="879"/>
      <c r="HH6" s="885"/>
      <c r="HI6" s="1089"/>
      <c r="HN6" s="972" t="s">
        <v>238</v>
      </c>
      <c r="HO6" s="975" t="s">
        <v>265</v>
      </c>
      <c r="HP6" s="955" t="s">
        <v>203</v>
      </c>
      <c r="HQ6" s="391"/>
      <c r="HS6" s="1084"/>
      <c r="HT6" s="907" t="s">
        <v>270</v>
      </c>
      <c r="HU6" s="905"/>
      <c r="HV6" s="991"/>
      <c r="HW6" s="933" t="s">
        <v>258</v>
      </c>
      <c r="HX6" s="876"/>
      <c r="HY6" s="877"/>
      <c r="HZ6" s="933" t="s">
        <v>249</v>
      </c>
      <c r="IA6" s="907"/>
      <c r="IE6" s="853"/>
      <c r="IF6" s="853"/>
    </row>
    <row r="7" spans="1:283" ht="15" customHeight="1" thickBot="1" x14ac:dyDescent="0.4">
      <c r="A7" s="143"/>
      <c r="B7" s="1252" t="s">
        <v>40</v>
      </c>
      <c r="C7" s="1253"/>
      <c r="D7" s="1254"/>
      <c r="E7" s="1255" t="s">
        <v>41</v>
      </c>
      <c r="F7" s="1253"/>
      <c r="G7" s="1256"/>
      <c r="H7" s="1231" t="s">
        <v>98</v>
      </c>
      <c r="I7" s="1232"/>
      <c r="J7" s="1233"/>
      <c r="K7" s="173"/>
      <c r="L7" s="985"/>
      <c r="M7" s="125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$Q$7</f>
        <v>&lt; θ°</v>
      </c>
      <c r="X7" s="27" t="str">
        <f>$R$7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5"/>
      <c r="AS7" s="1210" t="s">
        <v>54</v>
      </c>
      <c r="AT7" s="1208" t="s">
        <v>53</v>
      </c>
      <c r="AV7" s="1202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7"/>
      <c r="BC7" s="37" t="str">
        <f>$Q$7</f>
        <v>&lt; θ°</v>
      </c>
      <c r="BD7" s="27" t="str">
        <f>$R$7</f>
        <v>r</v>
      </c>
      <c r="BE7" s="1173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60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55"/>
      <c r="FO7" s="1062"/>
      <c r="FP7" s="1053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55"/>
      <c r="FY7" s="1062"/>
      <c r="FZ7" s="1053"/>
      <c r="GA7" s="1057"/>
      <c r="GB7" s="223" t="s">
        <v>232</v>
      </c>
      <c r="GC7" s="131" t="s">
        <v>233</v>
      </c>
      <c r="GD7" s="224" t="s">
        <v>234</v>
      </c>
      <c r="GE7" s="987"/>
      <c r="GF7" s="1036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90"/>
      <c r="HJ7" s="31"/>
      <c r="HK7" s="1033" t="s">
        <v>246</v>
      </c>
      <c r="HL7" s="1033" t="s">
        <v>237</v>
      </c>
      <c r="HM7" s="923" t="s">
        <v>245</v>
      </c>
      <c r="HN7" s="973"/>
      <c r="HO7" s="1096"/>
      <c r="HP7" s="1091"/>
      <c r="HQ7" s="392"/>
      <c r="HR7" s="412"/>
      <c r="HS7" s="1084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221" t="s">
        <v>364</v>
      </c>
      <c r="JC7" s="1221"/>
      <c r="JD7" s="1221"/>
      <c r="JE7" s="1222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89.420000083741641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-0.14560043913092444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11"/>
      <c r="AT8" s="1209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93"/>
      <c r="HL8" s="1093"/>
      <c r="HM8" s="935"/>
      <c r="HN8" s="974"/>
      <c r="HO8" s="976"/>
      <c r="HP8" s="1092"/>
      <c r="HQ8" s="393" t="s">
        <v>49</v>
      </c>
      <c r="HR8" s="413" t="s">
        <v>51</v>
      </c>
      <c r="HS8" s="1085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0.40410121876927579</v>
      </c>
      <c r="D9" s="704">
        <v>-0.86950262241990928</v>
      </c>
      <c r="E9" s="705">
        <v>-0.90630781366099955</v>
      </c>
      <c r="F9" s="703">
        <v>-0.10938162473876807</v>
      </c>
      <c r="G9" s="706">
        <v>0.40821784266066352</v>
      </c>
      <c r="H9" s="705">
        <v>0.3765</v>
      </c>
      <c r="I9" s="703">
        <v>0.52</v>
      </c>
      <c r="J9" s="569">
        <v>1.101</v>
      </c>
      <c r="K9" s="864">
        <f>IF($J9="","",IF(IFERROR(INDEX(Settings!$AK$14:$AK$36,MATCH((((ROUND($H9,6)*2)*1000000)+ROUND($I9,6)),Settings!$AI$14:$AI$36,0)),"Undefined")="Undefined","Undefined",IFERROR(INDEX(_xlfn.ANCHORARRAY(Settings!$BC$14),MATCH(IFERROR(INDEX(Settings!$AK$14:$AK$36,MATCH((((ROUND($H9,6)*2)*1000000)+ROUND($I9,6)),Settings!$AI$14:$AI$36,0)),"Undefined"),_xlfn.ANCHORARRAY(Settings!$BC$14),0)),"Inactive")))</f>
        <v>1913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0.40410121876927579</v>
      </c>
      <c r="P9" s="625">
        <f t="shared" ref="P9:P40" si="4">IF(M9="","",D9)</f>
        <v>-0.86950262241990928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0.40410121876927579</v>
      </c>
      <c r="S9" s="626">
        <f>IF(M9="","",P9)</f>
        <v>-0.86950262241990928</v>
      </c>
      <c r="T9" s="627">
        <f>IF(M9="","",X9*COS(RADIANS(W9)))</f>
        <v>0.40408051415934731</v>
      </c>
      <c r="U9" s="624">
        <f>IF(M9="","",X9*SIN(RADIANS(W9)))</f>
        <v>4.0906096772488822E-3</v>
      </c>
      <c r="V9" s="628">
        <f>IF(M9="","",Y9)</f>
        <v>-0.86950262241990928</v>
      </c>
      <c r="W9" s="583">
        <f t="shared" ref="W9:W14" si="5">IF(M9="","",IF(Q9-$Q$8&lt;0,360+Q9-$Q$8,Q9-$Q$8))</f>
        <v>0.57999991625835889</v>
      </c>
      <c r="X9" s="629">
        <f>IF(M9="","",R9)</f>
        <v>0.40410121876927579</v>
      </c>
      <c r="Y9" s="630">
        <f>IF(M9="","",S9)</f>
        <v>-0.86950262241990928</v>
      </c>
      <c r="Z9" s="623">
        <f t="shared" ref="Z9:Z40" si="6">IF(M9="","",-E9)</f>
        <v>0.90630781366099955</v>
      </c>
      <c r="AA9" s="624">
        <f t="shared" ref="AA9:AA40" si="7">IF(M9="","",-F9)</f>
        <v>0.10938162473876807</v>
      </c>
      <c r="AB9" s="624">
        <f t="shared" ref="AB9:AB40" si="8">IF(M9="","",-G9)</f>
        <v>-0.40821784266066352</v>
      </c>
      <c r="AC9" s="628">
        <f>IF(M9="","",SQRT(Z9^2+AA9^2+AB9^2))</f>
        <v>1</v>
      </c>
      <c r="AD9" s="631">
        <f>IF(M9="","",Z9*(1/SQRT(Z9^2+AA9^2+AB9^2)))</f>
        <v>0.90630781366099955</v>
      </c>
      <c r="AE9" s="624">
        <f>IF(M9="","",AA9*(1/SQRT(Z9^2+AA9^2+AB9^2)))</f>
        <v>0.10938162473876807</v>
      </c>
      <c r="AF9" s="625">
        <f>IF(M9="","",AB9*(1/SQRT(Z9^2+AA9^2+AB9^2)))</f>
        <v>-0.40821784266066352</v>
      </c>
      <c r="AG9" s="599">
        <f>IF(M9="","",DEGREES(ATAN2(-AF9,AE9)))</f>
        <v>14.999997834268271</v>
      </c>
      <c r="AH9" s="600">
        <f>IF(M9="","",DEGREES(ACOS(AD9)))</f>
        <v>24.999996390447112</v>
      </c>
      <c r="AI9" s="583">
        <f>IF(M9="","",DEGREES(-ACOS(-AF9)))</f>
        <v>-65.907068471181375</v>
      </c>
      <c r="AJ9" s="601">
        <f>IF(M9="","",DEGREES(ATAN2(-AE9,AD9)))</f>
        <v>96.881701648961752</v>
      </c>
      <c r="AK9" s="627">
        <f>IF(M9="","",(COS(RADIANS((90-$Q$8)-W9))*AD9)+(-SIN(RADIANS((90-$Q$8)-W9))*AE9))</f>
        <v>0.90630781366099955</v>
      </c>
      <c r="AL9" s="624">
        <f>IF(M9="","",(SIN(RADIANS((90-$Q$8)-W9))*AD9)+(COS(RADIANS((90-$Q$8)-W9))*AE9))</f>
        <v>0.10938162473876807</v>
      </c>
      <c r="AM9" s="626">
        <f>IF(M9="","",AF9)</f>
        <v>-0.40821784266066352</v>
      </c>
      <c r="AN9" s="581">
        <f>IF(M9="","",DEGREES(ATAN2(-AM9,AL9)))</f>
        <v>14.999997834268271</v>
      </c>
      <c r="AO9" s="582">
        <f>IF(ROUND(IF(M9="",0,DEGREES(ACOS(AK9))),4)=90,0,IF(M9="","",DEGREES(ACOS(AK9))))</f>
        <v>24.999996390447112</v>
      </c>
      <c r="AP9" s="781">
        <f>IF(M9="","",DEGREES(ATAN2(AK9,AL9)))</f>
        <v>6.8817016489617542</v>
      </c>
      <c r="AQ9" s="584">
        <f t="shared" ref="AQ9:AQ40" si="9">IF(M9="","",DEGREES(ATAN(($AS$5*SIN(RADIANS(90)))/(($X9*2*PI())-($AS$5*COS(RADIANS(90)))))))</f>
        <v>5.6233485638099197</v>
      </c>
      <c r="AS9" s="51">
        <f>IF(M9="","",W9)</f>
        <v>0.57999991625835889</v>
      </c>
      <c r="AT9" s="71">
        <f t="shared" ref="AT9:AT40" si="10">IF(M9="","",Y9+(((AS9-$AS$9)*$AS$6)*-1))</f>
        <v>-0.86950262241990928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1913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1913</v>
      </c>
      <c r="JB9" s="786" cm="1">
        <f t="array" ref="JB9">IF($JA9="","",COUNT(IF(IF($II$9:$II$150="",$IJ$9:$IJ$150,"")=$JA9,$IG$9:$IG$150,"")))</f>
        <v>43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1.3097039500671137</v>
      </c>
      <c r="D10" s="709">
        <v>-0.62690189073610247</v>
      </c>
      <c r="E10" s="710">
        <v>-0.96592583607220739</v>
      </c>
      <c r="F10" s="708">
        <v>-6.6987279208207198E-2</v>
      </c>
      <c r="G10" s="711">
        <v>0.24999996726497561</v>
      </c>
      <c r="H10" s="710">
        <v>0.3765</v>
      </c>
      <c r="I10" s="708">
        <v>0.52</v>
      </c>
      <c r="J10" s="570">
        <v>1.1040000000000001</v>
      </c>
      <c r="K10" s="865">
        <f>IF($J10="","",IF(IFERROR(INDEX(Settings!$AK$14:$AK$36,MATCH((((ROUND($H10,6)*2)*1000000)+ROUND($I10,6)),Settings!$AI$14:$AI$36,0)),"Undefined")="Undefined","Undefined",IFERROR(INDEX(_xlfn.ANCHORARRAY(Settings!$BC$14),MATCH(IFERROR(INDEX(Settings!$AK$14:$AK$36,MATCH((((ROUND($H10,6)*2)*1000000)+ROUND($I10,6)),Settings!$AI$14:$AI$36,0)),"Undefined"),_xlfn.ANCHORARRAY(Settings!$BC$14),0)),"Inactive")))</f>
        <v>1913</v>
      </c>
      <c r="M10" s="168">
        <f t="shared" si="1"/>
        <v>1.1040000000000001</v>
      </c>
      <c r="N10" s="632">
        <f t="shared" si="2"/>
        <v>0</v>
      </c>
      <c r="O10" s="629">
        <f t="shared" si="3"/>
        <v>1.3097039500671137</v>
      </c>
      <c r="P10" s="633">
        <f t="shared" si="4"/>
        <v>-0.62690189073610247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1.3097039500671137</v>
      </c>
      <c r="S10" s="634">
        <f t="shared" ref="S10:S105" si="80">IF(M10="","",P10)</f>
        <v>-0.62690189073610247</v>
      </c>
      <c r="T10" s="635">
        <f t="shared" ref="T10:T105" si="81">IF(M10="","",X10*COS(RADIANS(W10)))</f>
        <v>1.309636845816623</v>
      </c>
      <c r="U10" s="629">
        <f t="shared" ref="U10:U105" si="82">IF(M10="","",X10*SIN(RADIANS(W10)))</f>
        <v>1.3257786424877165E-2</v>
      </c>
      <c r="V10" s="636">
        <f>IF(M10="","",Y10)</f>
        <v>-0.62690189073610247</v>
      </c>
      <c r="W10" s="585">
        <f t="shared" si="5"/>
        <v>0.57999991625835889</v>
      </c>
      <c r="X10" s="629">
        <f t="shared" ref="X10:X105" si="83">IF(M10="","",R10)</f>
        <v>1.3097039500671137</v>
      </c>
      <c r="Y10" s="630">
        <f>IF(M10="","",S10)</f>
        <v>-0.62690189073610247</v>
      </c>
      <c r="Z10" s="632">
        <f t="shared" si="6"/>
        <v>0.96592583607220739</v>
      </c>
      <c r="AA10" s="629">
        <f t="shared" si="7"/>
        <v>6.6987279208207198E-2</v>
      </c>
      <c r="AB10" s="629">
        <f t="shared" si="8"/>
        <v>-0.24999996726497561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6.6987279208207198E-2</v>
      </c>
      <c r="AF10" s="633">
        <f t="shared" ref="AF10:AF105" si="86">IF(M10="","",AB10*(1/SQRT(Z10^2+AA10^2+AB10^2)))</f>
        <v>-0.24999996726497561</v>
      </c>
      <c r="AG10" s="602">
        <f t="shared" ref="AG10:AG105" si="87">IF(M10="","",DEGREES(ATAN2(-AF10,AE10)))</f>
        <v>14.999997834268267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6.6987279208207198E-2</v>
      </c>
      <c r="AM10" s="634">
        <f t="shared" ref="AM10:AM105" si="92">IF(M10="","",AF10)</f>
        <v>-0.24999996726497561</v>
      </c>
      <c r="AN10" s="581">
        <f t="shared" ref="AN10:AN105" si="93">IF(M10="","",DEGREES(ATAN2(-AM10,AL10)))</f>
        <v>14.999997834268267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3.9671296450865712</v>
      </c>
      <c r="AQ10" s="586">
        <f t="shared" si="9"/>
        <v>1.7401075020018935</v>
      </c>
      <c r="AS10" s="52">
        <f>IF($M10="","",IF(AND($W10&lt;($AS$9+180),$W10&gt;($AS$9-180)),$W10,IF($W10&gt;($AS$9+180),$W10-360,IF($W10&lt;($AS$9-180),$W10+360,"Error"))))</f>
        <v>0.57999991625835889</v>
      </c>
      <c r="AT10" s="72">
        <f t="shared" si="10"/>
        <v>-0.62690189073610247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1913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1.1598792854381828E-3</v>
      </c>
      <c r="C11" s="708">
        <v>2.2152063774077004</v>
      </c>
      <c r="D11" s="709">
        <v>-0.38420115875069483</v>
      </c>
      <c r="E11" s="710">
        <v>-0.965904720991271</v>
      </c>
      <c r="F11" s="708">
        <v>-5.6565339788180805E-2</v>
      </c>
      <c r="G11" s="711">
        <v>0.25264289481681984</v>
      </c>
      <c r="H11" s="710">
        <v>0.3765</v>
      </c>
      <c r="I11" s="708">
        <v>0.52</v>
      </c>
      <c r="J11" s="570">
        <v>1.107</v>
      </c>
      <c r="K11" s="865">
        <f>IF($J11="","",IF(IFERROR(INDEX(Settings!$AK$14:$AK$36,MATCH((((ROUND($H11,6)*2)*1000000)+ROUND($I11,6)),Settings!$AI$14:$AI$36,0)),"Undefined")="Undefined","Undefined",IFERROR(INDEX(_xlfn.ANCHORARRAY(Settings!$BC$14),MATCH(IFERROR(INDEX(Settings!$AK$14:$AK$36,MATCH((((ROUND($H11,6)*2)*1000000)+ROUND($I11,6)),Settings!$AI$14:$AI$36,0)),"Undefined"),_xlfn.ANCHORARRAY(Settings!$BC$14),0)),"Inactive")))</f>
        <v>1913</v>
      </c>
      <c r="L11" s="779" t="s">
        <v>332</v>
      </c>
      <c r="M11" s="168">
        <f t="shared" si="1"/>
        <v>1.107</v>
      </c>
      <c r="N11" s="632">
        <f t="shared" si="2"/>
        <v>1.1598792854381828E-3</v>
      </c>
      <c r="O11" s="629">
        <f t="shared" si="3"/>
        <v>2.2152063774077004</v>
      </c>
      <c r="P11" s="633">
        <f t="shared" si="4"/>
        <v>-0.38420115875069483</v>
      </c>
      <c r="Q11" s="585">
        <f t="shared" ref="Q11:Q73" si="113">IF(M11="","",IF(DEGREES(ATAN2(N11,O11))&lt;0,DEGREES(ATAN2(N11,O11))+360,IF(DEGREES(ATAN2(N11,O11))&gt;360,DEGREES(ATAN2(N11,O11))-360,DEGREES(ATAN2(N11,O11)))))</f>
        <v>89.970000004331467</v>
      </c>
      <c r="R11" s="629">
        <f t="shared" si="79"/>
        <v>2.2152066810633504</v>
      </c>
      <c r="S11" s="634">
        <f t="shared" si="80"/>
        <v>-0.38420115875069483</v>
      </c>
      <c r="T11" s="635">
        <f t="shared" si="81"/>
        <v>2.215104619806842</v>
      </c>
      <c r="U11" s="629">
        <f t="shared" si="82"/>
        <v>2.1264127964461678E-2</v>
      </c>
      <c r="V11" s="636">
        <f t="shared" ref="V11:V105" si="114">IF(M11="","",Y11)</f>
        <v>-0.38420115875069483</v>
      </c>
      <c r="W11" s="585">
        <f t="shared" si="5"/>
        <v>0.54999992058982627</v>
      </c>
      <c r="X11" s="629">
        <f>IF(M11="","",R11)</f>
        <v>2.2152066810633504</v>
      </c>
      <c r="Y11" s="630">
        <f>IF(M11="","",S11)</f>
        <v>-0.38420115875069483</v>
      </c>
      <c r="Z11" s="632">
        <f t="shared" si="6"/>
        <v>0.965904720991271</v>
      </c>
      <c r="AA11" s="629">
        <f t="shared" si="7"/>
        <v>5.6565339788180805E-2</v>
      </c>
      <c r="AB11" s="629">
        <f t="shared" si="8"/>
        <v>-0.25264289481681984</v>
      </c>
      <c r="AC11" s="636">
        <f t="shared" si="84"/>
        <v>1</v>
      </c>
      <c r="AD11" s="637">
        <f t="shared" ref="AD11:AD105" si="115">IF(M11="","",Z11*(1/SQRT(Z11^2+AA11^2+AB11^2)))</f>
        <v>0.965904720991271</v>
      </c>
      <c r="AE11" s="629">
        <f t="shared" si="85"/>
        <v>5.6565339788180805E-2</v>
      </c>
      <c r="AF11" s="633">
        <f t="shared" si="86"/>
        <v>-0.25264289481681984</v>
      </c>
      <c r="AG11" s="602">
        <f>IF(M11="","",DEGREES(ATAN2(-AF11,AE11)))</f>
        <v>12.620077650854016</v>
      </c>
      <c r="AH11" s="603">
        <f t="shared" si="88"/>
        <v>15.004671451214623</v>
      </c>
      <c r="AI11" s="585">
        <f t="shared" si="89"/>
        <v>-75.366039627453375</v>
      </c>
      <c r="AJ11" s="586">
        <f t="shared" si="90"/>
        <v>93.351529200824459</v>
      </c>
      <c r="AK11" s="635">
        <f>IF(M11="","",(COS(RADIANS((90-$Q$8)-W11))*AD11)+(-SIN(RADIANS((90-$Q$8)-W11))*AE11))</f>
        <v>0.96587497105015574</v>
      </c>
      <c r="AL11" s="629">
        <f t="shared" si="91"/>
        <v>5.7071078467454635E-2</v>
      </c>
      <c r="AM11" s="634">
        <f t="shared" si="92"/>
        <v>-0.25264289481681984</v>
      </c>
      <c r="AN11" s="581">
        <f>IF(M11="","",DEGREES(ATAN2(-AM11,AL11)))</f>
        <v>12.729250171091511</v>
      </c>
      <c r="AO11" s="582">
        <f>IF(ROUND(IF(M11="",0,DEGREES(ACOS(AK11))),4)=90,0,IF(M11="","",DEGREES(ACOS(AK11))))</f>
        <v>15.011253897493043</v>
      </c>
      <c r="AP11" s="585">
        <f t="shared" si="95"/>
        <v>3.3815291964929952</v>
      </c>
      <c r="AQ11" s="586">
        <f t="shared" si="9"/>
        <v>1.0290152773583179</v>
      </c>
      <c r="AS11" s="52">
        <f t="shared" ref="AS11:AS42" si="116">IF(G11="","",IF(AND(W11&lt;(AS10+180),W11&gt;(AS10-180)),W11,IF(W11&gt;(AS10+180),W11-360,IF(W11&lt;(AS10-180),W11+360,"Error"))))</f>
        <v>0.54999992058982627</v>
      </c>
      <c r="AT11" s="72">
        <f t="shared" si="10"/>
        <v>-0.38418032542036945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1913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3.1601250409393405E-2</v>
      </c>
      <c r="C12" s="708">
        <v>3.1216494657328639</v>
      </c>
      <c r="D12" s="709">
        <v>-0.14560043913092444</v>
      </c>
      <c r="E12" s="710">
        <v>-0.96489880223363744</v>
      </c>
      <c r="F12" s="708">
        <v>4.6063535638957908E-3</v>
      </c>
      <c r="G12" s="711">
        <v>0.26258157390596953</v>
      </c>
      <c r="H12" s="710">
        <v>0.3765</v>
      </c>
      <c r="I12" s="708">
        <v>0.52</v>
      </c>
      <c r="J12" s="570">
        <v>1.113</v>
      </c>
      <c r="K12" s="865">
        <f>IF($J12="","",IF(IFERROR(INDEX(Settings!$AK$14:$AK$36,MATCH((((ROUND($H12,6)*2)*1000000)+ROUND($I12,6)),Settings!$AI$14:$AI$36,0)),"Undefined")="Undefined","Undefined",IFERROR(INDEX(_xlfn.ANCHORARRAY(Settings!$BC$14),MATCH(IFERROR(INDEX(Settings!$AK$14:$AK$36,MATCH((((ROUND($H12,6)*2)*1000000)+ROUND($I12,6)),Settings!$AI$14:$AI$36,0)),"Undefined"),_xlfn.ANCHORARRAY(Settings!$BC$14),0)),"Inactive")))</f>
        <v>1913</v>
      </c>
      <c r="L12" s="773" t="s">
        <v>366</v>
      </c>
      <c r="M12" s="168">
        <f t="shared" si="1"/>
        <v>1.113</v>
      </c>
      <c r="N12" s="632">
        <f t="shared" si="2"/>
        <v>3.1601250409393405E-2</v>
      </c>
      <c r="O12" s="629">
        <f t="shared" si="3"/>
        <v>3.1216494657328639</v>
      </c>
      <c r="P12" s="633">
        <f t="shared" si="4"/>
        <v>-0.14560043913092444</v>
      </c>
      <c r="Q12" s="585">
        <f>IF(M12="","",IF(DEGREES(ATAN2(N12,O12))&lt;0,DEGREES(ATAN2(N12,O12))+360,IF(DEGREES(ATAN2(N12,O12))&gt;360,DEGREES(ATAN2(N12,O12))-360,DEGREES(ATAN2(N12,O12)))))</f>
        <v>89.420000083741641</v>
      </c>
      <c r="R12" s="629">
        <f t="shared" si="79"/>
        <v>3.121809415377196</v>
      </c>
      <c r="S12" s="634">
        <f t="shared" si="80"/>
        <v>-0.14560043913092444</v>
      </c>
      <c r="T12" s="635">
        <f>IF(M12="","",X12*COS(RADIANS(W12)))</f>
        <v>3.121809415377196</v>
      </c>
      <c r="U12" s="629">
        <f t="shared" si="82"/>
        <v>0</v>
      </c>
      <c r="V12" s="636">
        <f t="shared" si="114"/>
        <v>-0.14560043913092444</v>
      </c>
      <c r="W12" s="585">
        <f>IF(M12="","",IF(Q12-$Q$8&lt;0,360+Q12-$Q$8,Q12-$Q$8))</f>
        <v>0</v>
      </c>
      <c r="X12" s="629">
        <f t="shared" si="83"/>
        <v>3.121809415377196</v>
      </c>
      <c r="Y12" s="630">
        <f>IF(M12="","",S12)</f>
        <v>-0.14560043913092444</v>
      </c>
      <c r="Z12" s="632">
        <f t="shared" si="6"/>
        <v>0.96489880223363744</v>
      </c>
      <c r="AA12" s="629">
        <f t="shared" si="7"/>
        <v>-4.6063535638957908E-3</v>
      </c>
      <c r="AB12" s="629">
        <f t="shared" si="8"/>
        <v>-0.26258157390596953</v>
      </c>
      <c r="AC12" s="636">
        <f t="shared" si="84"/>
        <v>1</v>
      </c>
      <c r="AD12" s="637">
        <f t="shared" si="115"/>
        <v>0.96489880223363744</v>
      </c>
      <c r="AE12" s="629">
        <f t="shared" si="85"/>
        <v>-4.6063535638957908E-3</v>
      </c>
      <c r="AF12" s="633">
        <f t="shared" si="86"/>
        <v>-0.26258157390596953</v>
      </c>
      <c r="AG12" s="602">
        <f t="shared" si="87"/>
        <v>-1.0050116834577258</v>
      </c>
      <c r="AH12" s="603">
        <f t="shared" si="88"/>
        <v>15.225697885439747</v>
      </c>
      <c r="AI12" s="585">
        <f t="shared" si="89"/>
        <v>-74.776701087107057</v>
      </c>
      <c r="AJ12" s="586">
        <f t="shared" si="90"/>
        <v>89.726476380119294</v>
      </c>
      <c r="AK12" s="635">
        <f t="shared" ref="AK12:AK105" si="211">IF(M12="","",(COS(RADIANS((90-$Q$8)-W12))*AD12)+(-SIN(RADIANS((90-$Q$8)-W12))*AE12))</f>
        <v>0.96489599338574816</v>
      </c>
      <c r="AL12" s="629">
        <f>IF(M12="","",(SIN(RADIANS((90-$Q$8)-W12))*AD12)+(COS(RADIANS((90-$Q$8)-W12))*AE12))</f>
        <v>5.1612976269563198E-3</v>
      </c>
      <c r="AM12" s="634">
        <f t="shared" si="92"/>
        <v>-0.26258157390596953</v>
      </c>
      <c r="AN12" s="581">
        <f>IF(M12="","",DEGREES(ATAN2(-AM12,AL12)))</f>
        <v>1.126059573206708</v>
      </c>
      <c r="AO12" s="582">
        <f t="shared" si="94"/>
        <v>15.22631067485991</v>
      </c>
      <c r="AP12" s="585">
        <f t="shared" si="95"/>
        <v>0.30647629637764889</v>
      </c>
      <c r="AQ12" s="586">
        <f t="shared" si="9"/>
        <v>0.73021856780459882</v>
      </c>
      <c r="AS12" s="52">
        <f t="shared" si="116"/>
        <v>0</v>
      </c>
      <c r="AT12" s="72">
        <f>IF(M12="","",Y12+(((AS12-$AS$9)*$AS$6)*-1))</f>
        <v>-0.14519766141130058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1913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0.10647286349064655</v>
      </c>
      <c r="C13" s="708">
        <v>4.0579156490225428</v>
      </c>
      <c r="D13" s="709">
        <v>-0.15390046416379993</v>
      </c>
      <c r="E13" s="710">
        <v>-0.95968023013164039</v>
      </c>
      <c r="F13" s="708">
        <v>0.14112978207422419</v>
      </c>
      <c r="G13" s="711">
        <v>0.24309718325427765</v>
      </c>
      <c r="H13" s="710">
        <v>0.3765</v>
      </c>
      <c r="I13" s="708">
        <v>0.52</v>
      </c>
      <c r="J13" s="570">
        <v>1.119</v>
      </c>
      <c r="K13" s="865">
        <f>IF($J13="","",IF(IFERROR(INDEX(Settings!$AK$14:$AK$36,MATCH((((ROUND($H13,6)*2)*1000000)+ROUND($I13,6)),Settings!$AI$14:$AI$36,0)),"Undefined")="Undefined","Undefined",IFERROR(INDEX(_xlfn.ANCHORARRAY(Settings!$BC$14),MATCH(IFERROR(INDEX(Settings!$AK$14:$AK$36,MATCH((((ROUND($H13,6)*2)*1000000)+ROUND($I13,6)),Settings!$AI$14:$AI$36,0)),"Undefined"),_xlfn.ANCHORARRAY(Settings!$BC$14),0)),"Inactive")))</f>
        <v>1913</v>
      </c>
      <c r="L13" s="774" t="str">
        <f>IF($L12=$JH$22,$JH$29,IF($L12=$JI$22,$JI$29,""))</f>
        <v/>
      </c>
      <c r="M13" s="168">
        <f t="shared" si="1"/>
        <v>1.119</v>
      </c>
      <c r="N13" s="632">
        <f t="shared" si="2"/>
        <v>0.10647286349064655</v>
      </c>
      <c r="O13" s="629">
        <f t="shared" si="3"/>
        <v>4.0579156490225428</v>
      </c>
      <c r="P13" s="633">
        <f t="shared" si="4"/>
        <v>-0.15390046416379993</v>
      </c>
      <c r="Q13" s="585">
        <f t="shared" si="113"/>
        <v>88.497000217006317</v>
      </c>
      <c r="R13" s="629">
        <f t="shared" si="79"/>
        <v>4.059312242885726</v>
      </c>
      <c r="S13" s="634">
        <f t="shared" si="80"/>
        <v>-0.15390046416379993</v>
      </c>
      <c r="T13" s="635">
        <f>IF(M13="","",X13*COS(RADIANS(W13)))</f>
        <v>4.058785533469301</v>
      </c>
      <c r="U13" s="629">
        <f t="shared" si="82"/>
        <v>-6.5390202188562466E-2</v>
      </c>
      <c r="V13" s="636">
        <f t="shared" si="114"/>
        <v>-0.15390046416379993</v>
      </c>
      <c r="W13" s="585">
        <f t="shared" si="5"/>
        <v>359.07700013326468</v>
      </c>
      <c r="X13" s="629">
        <f t="shared" si="83"/>
        <v>4.059312242885726</v>
      </c>
      <c r="Y13" s="630">
        <f>IF(M13="","",S13)</f>
        <v>-0.15390046416379993</v>
      </c>
      <c r="Z13" s="632">
        <f t="shared" si="6"/>
        <v>0.95968023013164039</v>
      </c>
      <c r="AA13" s="629">
        <f t="shared" si="7"/>
        <v>-0.14112978207422419</v>
      </c>
      <c r="AB13" s="629">
        <f t="shared" si="8"/>
        <v>-0.24309718325427765</v>
      </c>
      <c r="AC13" s="636">
        <f t="shared" si="84"/>
        <v>1</v>
      </c>
      <c r="AD13" s="637">
        <f>IF(M13="","",Z13*(1/SQRT(Z13^2+AA13^2+AB13^2)))</f>
        <v>0.95968023013164039</v>
      </c>
      <c r="AE13" s="629">
        <f t="shared" si="85"/>
        <v>-0.14112978207422419</v>
      </c>
      <c r="AF13" s="633">
        <f t="shared" si="86"/>
        <v>-0.24309718325427765</v>
      </c>
      <c r="AG13" s="602">
        <f>IF(M13="","",DEGREES(ATAN2(-AF13,AE13)))</f>
        <v>-30.137257087822945</v>
      </c>
      <c r="AH13" s="603">
        <f t="shared" si="88"/>
        <v>16.325510916476549</v>
      </c>
      <c r="AI13" s="585">
        <f t="shared" si="89"/>
        <v>-75.930588986080565</v>
      </c>
      <c r="AJ13" s="586">
        <f t="shared" si="90"/>
        <v>81.634094213138653</v>
      </c>
      <c r="AK13" s="635">
        <f t="shared" si="211"/>
        <v>0.96305178858349882</v>
      </c>
      <c r="AL13" s="629">
        <f t="shared" si="91"/>
        <v>-0.11590949917914517</v>
      </c>
      <c r="AM13" s="634">
        <f t="shared" si="92"/>
        <v>-0.24309718325427765</v>
      </c>
      <c r="AN13" s="581">
        <f t="shared" si="93"/>
        <v>-25.491952542143366</v>
      </c>
      <c r="AO13" s="582">
        <f t="shared" si="94"/>
        <v>15.623584906963545</v>
      </c>
      <c r="AP13" s="585">
        <f t="shared" si="95"/>
        <v>-6.8629060038676712</v>
      </c>
      <c r="AQ13" s="586">
        <f t="shared" si="9"/>
        <v>0.56158617289796009</v>
      </c>
      <c r="AS13" s="52">
        <f t="shared" si="116"/>
        <v>-0.9229998667353243</v>
      </c>
      <c r="AT13" s="72">
        <f t="shared" si="10"/>
        <v>-0.15285671431449877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1.119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1913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0.2131456006326358</v>
      </c>
      <c r="C14" s="708">
        <v>4.9073881538086201</v>
      </c>
      <c r="D14" s="709">
        <v>-0.54350163920094385</v>
      </c>
      <c r="E14" s="710">
        <v>-0.94071058272569819</v>
      </c>
      <c r="F14" s="708">
        <v>0.26313084330132552</v>
      </c>
      <c r="G14" s="711">
        <v>0.21406951873494445</v>
      </c>
      <c r="H14" s="710">
        <v>0.3765</v>
      </c>
      <c r="I14" s="708">
        <v>0.52</v>
      </c>
      <c r="J14" s="570">
        <v>1.125</v>
      </c>
      <c r="K14" s="865">
        <f>IF($J14="","",IF(IFERROR(INDEX(Settings!$AK$14:$AK$36,MATCH((((ROUND($H14,6)*2)*1000000)+ROUND($I14,6)),Settings!$AI$14:$AI$36,0)),"Undefined")="Undefined","Undefined",IFERROR(INDEX(_xlfn.ANCHORARRAY(Settings!$BC$14),MATCH(IFERROR(INDEX(Settings!$AK$14:$AK$36,MATCH((((ROUND($H14,6)*2)*1000000)+ROUND($I14,6)),Settings!$AI$14:$AI$36,0)),"Undefined"),_xlfn.ANCHORARRAY(Settings!$BC$14),0)),"Inactive")))</f>
        <v>1913</v>
      </c>
      <c r="L14" s="776" t="s">
        <v>367</v>
      </c>
      <c r="M14" s="168">
        <f t="shared" si="1"/>
        <v>1.125</v>
      </c>
      <c r="N14" s="632">
        <f t="shared" si="2"/>
        <v>0.2131456006326358</v>
      </c>
      <c r="O14" s="629">
        <f t="shared" si="3"/>
        <v>4.9073881538086201</v>
      </c>
      <c r="P14" s="633">
        <f t="shared" si="4"/>
        <v>-0.54350163920094385</v>
      </c>
      <c r="Q14" s="585">
        <f t="shared" si="113"/>
        <v>87.513000359078319</v>
      </c>
      <c r="R14" s="629">
        <f t="shared" si="79"/>
        <v>4.9120148146366809</v>
      </c>
      <c r="S14" s="634">
        <f t="shared" si="80"/>
        <v>-0.54350163920094385</v>
      </c>
      <c r="T14" s="635">
        <f t="shared" si="81"/>
        <v>4.909294334397396</v>
      </c>
      <c r="U14" s="629">
        <f t="shared" si="82"/>
        <v>-0.16345848850350814</v>
      </c>
      <c r="V14" s="636">
        <f t="shared" si="114"/>
        <v>-0.54350163920094385</v>
      </c>
      <c r="W14" s="585">
        <f t="shared" si="5"/>
        <v>358.09300027533669</v>
      </c>
      <c r="X14" s="629">
        <f t="shared" si="83"/>
        <v>4.9120148146366809</v>
      </c>
      <c r="Y14" s="630">
        <f t="shared" ref="Y14:Y75" si="223">IF(M14="","",S14)</f>
        <v>-0.54350163920094385</v>
      </c>
      <c r="Z14" s="632">
        <f t="shared" si="6"/>
        <v>0.94071058272569819</v>
      </c>
      <c r="AA14" s="629">
        <f t="shared" si="7"/>
        <v>-0.26313084330132552</v>
      </c>
      <c r="AB14" s="629">
        <f t="shared" si="8"/>
        <v>-0.21406951873494445</v>
      </c>
      <c r="AC14" s="636">
        <f t="shared" si="84"/>
        <v>1</v>
      </c>
      <c r="AD14" s="637">
        <f>IF(M14="","",Z14*(1/SQRT(Z14^2+AA14^2+AB14^2)))</f>
        <v>0.94071058272569819</v>
      </c>
      <c r="AE14" s="629">
        <f t="shared" si="85"/>
        <v>-0.26313084330132552</v>
      </c>
      <c r="AF14" s="633">
        <f t="shared" si="86"/>
        <v>-0.21406951873494445</v>
      </c>
      <c r="AG14" s="602">
        <f t="shared" si="87"/>
        <v>-50.869997677561308</v>
      </c>
      <c r="AH14" s="603">
        <f t="shared" si="88"/>
        <v>19.828766070107203</v>
      </c>
      <c r="AI14" s="585">
        <f t="shared" si="89"/>
        <v>-77.639056250971763</v>
      </c>
      <c r="AJ14" s="586">
        <f t="shared" si="90"/>
        <v>74.372897795247894</v>
      </c>
      <c r="AK14" s="635">
        <f>IF(M14="","",(COS(RADIANS((90-$Q$8)-W14))*AD14)+(-SIN(RADIANS((90-$Q$8)-W14))*AE14))</f>
        <v>0.9512424794705211</v>
      </c>
      <c r="AL14" s="629">
        <f t="shared" si="91"/>
        <v>-0.22206302348514598</v>
      </c>
      <c r="AM14" s="634">
        <f t="shared" si="92"/>
        <v>-0.21406951873494445</v>
      </c>
      <c r="AN14" s="581">
        <f t="shared" si="93"/>
        <v>-46.050008353860626</v>
      </c>
      <c r="AO14" s="582">
        <f t="shared" si="94"/>
        <v>17.965488010953511</v>
      </c>
      <c r="AP14" s="585">
        <f>IF(M14="","",DEGREES(ATAN2(AK14,AL14)))</f>
        <v>-13.140102563830419</v>
      </c>
      <c r="AQ14" s="586">
        <f t="shared" si="9"/>
        <v>0.46410217777699697</v>
      </c>
      <c r="AS14" s="52">
        <f t="shared" si="116"/>
        <v>-1.9069997246633079</v>
      </c>
      <c r="AT14" s="72">
        <f t="shared" si="10"/>
        <v>-0.54177455611697045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1.125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1913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0.31371612698056089</v>
      </c>
      <c r="C15" s="708">
        <v>5.5230140678142803</v>
      </c>
      <c r="D15" s="709">
        <v>-1.2468037603601412</v>
      </c>
      <c r="E15" s="710">
        <v>-0.89205354491473465</v>
      </c>
      <c r="F15" s="708">
        <v>0.40852991868774424</v>
      </c>
      <c r="G15" s="711">
        <v>0.19324538427098531</v>
      </c>
      <c r="H15" s="710">
        <v>0.3765</v>
      </c>
      <c r="I15" s="708">
        <v>0.52</v>
      </c>
      <c r="J15" s="570">
        <v>1.131</v>
      </c>
      <c r="K15" s="865">
        <f>IF($J15="","",IF(IFERROR(INDEX(Settings!$AK$14:$AK$36,MATCH((((ROUND($H15,6)*2)*1000000)+ROUND($I15,6)),Settings!$AI$14:$AI$36,0)),"Undefined")="Undefined","Undefined",IFERROR(INDEX(_xlfn.ANCHORARRAY(Settings!$BC$14),MATCH(IFERROR(INDEX(Settings!$AK$14:$AK$36,MATCH((((ROUND($H15,6)*2)*1000000)+ROUND($I15,6)),Settings!$AI$14:$AI$36,0)),"Undefined"),_xlfn.ANCHORARRAY(Settings!$BC$14),0)),"Inactive")))</f>
        <v>1913</v>
      </c>
      <c r="L15" s="873" t="str">
        <f>IF($L14=$JH$22,$JH$29,IF($L14=$JI$22,$JI$29,""))</f>
        <v/>
      </c>
      <c r="M15" s="168">
        <f t="shared" si="1"/>
        <v>1.131</v>
      </c>
      <c r="N15" s="632">
        <f t="shared" si="2"/>
        <v>0.31371612698056089</v>
      </c>
      <c r="O15" s="629">
        <f t="shared" si="3"/>
        <v>5.5230140678142803</v>
      </c>
      <c r="P15" s="633">
        <f t="shared" si="4"/>
        <v>-1.2468037603601412</v>
      </c>
      <c r="Q15" s="585">
        <f t="shared" si="113"/>
        <v>86.74900046938626</v>
      </c>
      <c r="R15" s="629">
        <f t="shared" si="79"/>
        <v>5.5319166842607208</v>
      </c>
      <c r="S15" s="634">
        <f t="shared" si="80"/>
        <v>-1.2468037603601412</v>
      </c>
      <c r="T15" s="635">
        <f t="shared" si="81"/>
        <v>5.5259067548905341</v>
      </c>
      <c r="U15" s="629">
        <f t="shared" si="82"/>
        <v>-0.25779204382078452</v>
      </c>
      <c r="V15" s="636">
        <f t="shared" si="114"/>
        <v>-1.2468037603601412</v>
      </c>
      <c r="W15" s="585">
        <f t="shared" ref="W15:W78" si="224">IF(M15="","",IF(Q15-$Q$8&lt;0,360+Q15-$Q$8,Q15-$Q$8))</f>
        <v>357.32900038564463</v>
      </c>
      <c r="X15" s="629">
        <f>IF(M15="","",R15)</f>
        <v>5.5319166842607208</v>
      </c>
      <c r="Y15" s="630">
        <f>IF(M15="","",S15)</f>
        <v>-1.2468037603601412</v>
      </c>
      <c r="Z15" s="632">
        <f t="shared" si="6"/>
        <v>0.89205354491473465</v>
      </c>
      <c r="AA15" s="629">
        <f t="shared" si="7"/>
        <v>-0.40852991868774424</v>
      </c>
      <c r="AB15" s="629">
        <f t="shared" si="8"/>
        <v>-0.19324538427098531</v>
      </c>
      <c r="AC15" s="636">
        <f t="shared" si="84"/>
        <v>1</v>
      </c>
      <c r="AD15" s="637">
        <f t="shared" si="115"/>
        <v>0.89205354491473465</v>
      </c>
      <c r="AE15" s="629">
        <f t="shared" si="85"/>
        <v>-0.40852991868774424</v>
      </c>
      <c r="AF15" s="633">
        <f t="shared" si="86"/>
        <v>-0.19324538427098531</v>
      </c>
      <c r="AG15" s="602">
        <f t="shared" si="87"/>
        <v>-64.684620721706523</v>
      </c>
      <c r="AH15" s="603">
        <f t="shared" si="88"/>
        <v>26.867560430645632</v>
      </c>
      <c r="AI15" s="585">
        <f t="shared" si="89"/>
        <v>-78.857757979048216</v>
      </c>
      <c r="AJ15" s="586">
        <f t="shared" si="90"/>
        <v>65.393845164781823</v>
      </c>
      <c r="AK15" s="635">
        <f t="shared" si="211"/>
        <v>0.91378576182038473</v>
      </c>
      <c r="AL15" s="629">
        <f t="shared" si="91"/>
        <v>-0.35728392484451127</v>
      </c>
      <c r="AM15" s="634">
        <f t="shared" si="92"/>
        <v>-0.19324538427098531</v>
      </c>
      <c r="AN15" s="581">
        <f>IF(M15="","",DEGREES(ATAN2(-AM15,AL15)))</f>
        <v>-61.592221936119287</v>
      </c>
      <c r="AO15" s="582">
        <f t="shared" si="94"/>
        <v>23.966126574570623</v>
      </c>
      <c r="AP15" s="585">
        <f t="shared" si="95"/>
        <v>-21.355155304604441</v>
      </c>
      <c r="AQ15" s="586">
        <f t="shared" si="9"/>
        <v>0.41209718996135153</v>
      </c>
      <c r="AS15" s="52">
        <f t="shared" si="116"/>
        <v>-2.6709996143553667</v>
      </c>
      <c r="AT15" s="72">
        <f t="shared" si="10"/>
        <v>-1.2445461217972149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1.131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1913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43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0.36550924037767757</v>
      </c>
      <c r="C16" s="708">
        <v>5.7999117813166556</v>
      </c>
      <c r="D16" s="709">
        <v>-2.1416064590850805</v>
      </c>
      <c r="E16" s="710">
        <v>-0.83515352297630274</v>
      </c>
      <c r="F16" s="708">
        <v>0.5385240477561678</v>
      </c>
      <c r="G16" s="711">
        <v>0.11185009185773148</v>
      </c>
      <c r="H16" s="710">
        <v>0.3765</v>
      </c>
      <c r="I16" s="708">
        <v>0.52</v>
      </c>
      <c r="J16" s="570">
        <v>1.137</v>
      </c>
      <c r="K16" s="865">
        <f>IF($J16="","",IF(IFERROR(INDEX(Settings!$AK$14:$AK$36,MATCH((((ROUND($H16,6)*2)*1000000)+ROUND($I16,6)),Settings!$AI$14:$AI$36,0)),"Undefined")="Undefined","Undefined",IFERROR(INDEX(_xlfn.ANCHORARRAY(Settings!$BC$14),MATCH(IFERROR(INDEX(Settings!$AK$14:$AK$36,MATCH((((ROUND($H16,6)*2)*1000000)+ROUND($I16,6)),Settings!$AI$14:$AI$36,0)),"Undefined"),_xlfn.ANCHORARRAY(Settings!$BC$14),0)),"Inactive")))</f>
        <v>1913</v>
      </c>
      <c r="L16" s="320"/>
      <c r="M16" s="168">
        <f t="shared" si="1"/>
        <v>1.137</v>
      </c>
      <c r="N16" s="632">
        <f t="shared" si="2"/>
        <v>0.36550924037767757</v>
      </c>
      <c r="O16" s="629">
        <f t="shared" si="3"/>
        <v>5.7999117813166556</v>
      </c>
      <c r="P16" s="633">
        <f t="shared" si="4"/>
        <v>-2.1416064590850805</v>
      </c>
      <c r="Q16" s="585">
        <f>IF(M16="","",IF(DEGREES(ATAN2(N16,O16))&lt;0,DEGREES(ATAN2(N16,O16))+360,IF(DEGREES(ATAN2(N16,O16))&gt;360,DEGREES(ATAN2(N16,O16))-360,DEGREES(ATAN2(N16,O16)))))</f>
        <v>86.39400052064191</v>
      </c>
      <c r="R16" s="629">
        <f t="shared" si="79"/>
        <v>5.8114175272352622</v>
      </c>
      <c r="S16" s="634">
        <f t="shared" si="80"/>
        <v>-2.1416064590850805</v>
      </c>
      <c r="T16" s="635">
        <f t="shared" si="81"/>
        <v>5.8033145691848755</v>
      </c>
      <c r="U16" s="629">
        <f t="shared" si="82"/>
        <v>-0.30677954127315649</v>
      </c>
      <c r="V16" s="636">
        <f t="shared" si="114"/>
        <v>-2.1416064590850805</v>
      </c>
      <c r="W16" s="585">
        <f>IF(M16="","",IF(Q16-$Q$8&lt;0,360+Q16-$Q$8,Q16-$Q$8))</f>
        <v>356.97400043690027</v>
      </c>
      <c r="X16" s="629">
        <f t="shared" si="83"/>
        <v>5.8114175272352622</v>
      </c>
      <c r="Y16" s="630">
        <f t="shared" si="223"/>
        <v>-2.1416064590850805</v>
      </c>
      <c r="Z16" s="632">
        <f t="shared" si="6"/>
        <v>0.83515352297630274</v>
      </c>
      <c r="AA16" s="629">
        <f t="shared" si="7"/>
        <v>-0.5385240477561678</v>
      </c>
      <c r="AB16" s="629">
        <f t="shared" si="8"/>
        <v>-0.11185009185773148</v>
      </c>
      <c r="AC16" s="636">
        <f t="shared" si="84"/>
        <v>1</v>
      </c>
      <c r="AD16" s="637">
        <f t="shared" si="115"/>
        <v>0.83515352297630274</v>
      </c>
      <c r="AE16" s="629">
        <f t="shared" si="85"/>
        <v>-0.5385240477561678</v>
      </c>
      <c r="AF16" s="633">
        <f t="shared" si="86"/>
        <v>-0.11185009185773148</v>
      </c>
      <c r="AG16" s="602">
        <f t="shared" si="87"/>
        <v>-78.266631316944327</v>
      </c>
      <c r="AH16" s="603">
        <f t="shared" si="88"/>
        <v>33.368172560507624</v>
      </c>
      <c r="AI16" s="585">
        <f t="shared" si="89"/>
        <v>-83.578023732446596</v>
      </c>
      <c r="AJ16" s="586">
        <f t="shared" si="90"/>
        <v>57.185250645401247</v>
      </c>
      <c r="AK16" s="635">
        <f t="shared" si="211"/>
        <v>0.86737052519729907</v>
      </c>
      <c r="AL16" s="629">
        <f t="shared" si="91"/>
        <v>-0.48493084967898115</v>
      </c>
      <c r="AM16" s="634">
        <f t="shared" si="92"/>
        <v>-0.11185009185773148</v>
      </c>
      <c r="AN16" s="581">
        <f t="shared" si="93"/>
        <v>-77.011780608169957</v>
      </c>
      <c r="AO16" s="582">
        <f t="shared" si="94"/>
        <v>29.845499451939698</v>
      </c>
      <c r="AP16" s="585">
        <f t="shared" si="95"/>
        <v>-29.208749875240638</v>
      </c>
      <c r="AQ16" s="586">
        <f t="shared" si="9"/>
        <v>0.39227795977912161</v>
      </c>
      <c r="AS16" s="52">
        <f t="shared" si="116"/>
        <v>-3.0259995630997309</v>
      </c>
      <c r="AT16" s="72">
        <f t="shared" si="10"/>
        <v>-2.1391022927799708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1.137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>
        <f t="shared" si="112"/>
        <v>1913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0.37248414005214092</v>
      </c>
      <c r="C17" s="708">
        <v>5.8359426557522251</v>
      </c>
      <c r="D17" s="709">
        <v>-3.0784092844824023</v>
      </c>
      <c r="E17" s="710">
        <v>-0.78095399630736195</v>
      </c>
      <c r="F17" s="708">
        <v>0.62458854908775274</v>
      </c>
      <c r="G17" s="711">
        <v>1.3008419208739032E-7</v>
      </c>
      <c r="H17" s="710">
        <v>0.3765</v>
      </c>
      <c r="I17" s="708">
        <v>0.52</v>
      </c>
      <c r="J17" s="570">
        <v>1.143</v>
      </c>
      <c r="K17" s="865">
        <f>IF($J17="","",IF(IFERROR(INDEX(Settings!$AK$14:$AK$36,MATCH((((ROUND($H17,6)*2)*1000000)+ROUND($I17,6)),Settings!$AI$14:$AI$36,0)),"Undefined")="Undefined","Undefined",IFERROR(INDEX(_xlfn.ANCHORARRAY(Settings!$BC$14),MATCH(IFERROR(INDEX(Settings!$AK$14:$AK$36,MATCH((((ROUND($H17,6)*2)*1000000)+ROUND($I17,6)),Settings!$AI$14:$AI$36,0)),"Undefined"),_xlfn.ANCHORARRAY(Settings!$BC$14),0)),"Inactive")))</f>
        <v>1913</v>
      </c>
      <c r="M17" s="168">
        <f t="shared" si="1"/>
        <v>1.143</v>
      </c>
      <c r="N17" s="632">
        <f t="shared" si="2"/>
        <v>0.37248414005214092</v>
      </c>
      <c r="O17" s="629">
        <f t="shared" si="3"/>
        <v>5.8359426557522251</v>
      </c>
      <c r="P17" s="633">
        <f t="shared" si="4"/>
        <v>-3.0784092844824023</v>
      </c>
      <c r="Q17" s="585">
        <f>IF(M17="","",IF(DEGREES(ATAN2(N17,O17))&lt;0,DEGREES(ATAN2(N17,O17))+360,IF(DEGREES(ATAN2(N17,O17))&gt;360,DEGREES(ATAN2(N17,O17))-360,DEGREES(ATAN2(N17,O17)))))</f>
        <v>86.348000527283489</v>
      </c>
      <c r="R17" s="629">
        <f>IF(M17="","",SQRT(N17^2+O17^2))</f>
        <v>5.847817637017994</v>
      </c>
      <c r="S17" s="634">
        <f>IF(M17="","",P17)</f>
        <v>-3.0784092844824023</v>
      </c>
      <c r="T17" s="635">
        <f>IF(M17="","",X17*COS(RADIANS(W17)))</f>
        <v>5.8394142025986788</v>
      </c>
      <c r="U17" s="629">
        <f>IF(M17="","",X17*SIN(RADIANS(W17)))</f>
        <v>-0.31338935257527284</v>
      </c>
      <c r="V17" s="636">
        <f>IF(M17="","",Y17)</f>
        <v>-3.0784092844824023</v>
      </c>
      <c r="W17" s="585">
        <f t="shared" si="224"/>
        <v>356.92800044354186</v>
      </c>
      <c r="X17" s="629">
        <f>IF(M17="","",R17)</f>
        <v>5.847817637017994</v>
      </c>
      <c r="Y17" s="630">
        <f t="shared" si="223"/>
        <v>-3.0784092844824023</v>
      </c>
      <c r="Z17" s="632">
        <f t="shared" si="6"/>
        <v>0.78095399630736195</v>
      </c>
      <c r="AA17" s="629">
        <f t="shared" si="7"/>
        <v>-0.62458854908775274</v>
      </c>
      <c r="AB17" s="629">
        <f t="shared" si="8"/>
        <v>-1.3008419208739032E-7</v>
      </c>
      <c r="AC17" s="636">
        <f>IF(M17="","",SQRT(Z17^2+AA17^2+AB17^2))</f>
        <v>1</v>
      </c>
      <c r="AD17" s="637">
        <f>IF(M17="","",Z17*(1/SQRT(Z17^2+AA17^2+AB17^2)))</f>
        <v>0.78095399630736195</v>
      </c>
      <c r="AE17" s="629">
        <f>IF(M17="","",AA17*(1/SQRT(Z17^2+AA17^2+AB17^2)))</f>
        <v>-0.62458854908775274</v>
      </c>
      <c r="AF17" s="633">
        <f>IF(M17="","",AB17*(1/SQRT(Z17^2+AA17^2+AB17^2)))</f>
        <v>-1.3008419208739032E-7</v>
      </c>
      <c r="AG17" s="602">
        <f>IF(M17="","",DEGREES(ATAN2(-AF17,AE17)))</f>
        <v>-89.999988066903882</v>
      </c>
      <c r="AH17" s="603">
        <f>IF(M17="","",DEGREES(ACOS(AD17)))</f>
        <v>38.65199441934238</v>
      </c>
      <c r="AI17" s="585">
        <f>IF(M17="","",DEGREES(-ACOS(-AF17)))</f>
        <v>-89.999992546724812</v>
      </c>
      <c r="AJ17" s="586">
        <f>IF(M17="","",DEGREES(ATAN2(-AE17,AD17)))</f>
        <v>51.348005580658217</v>
      </c>
      <c r="AK17" s="635">
        <f>IF(M17="","",(COS(RADIANS((90-$Q$8)-W17))*AD17)+(-SIN(RADIANS((90-$Q$8)-W17))*AE17))</f>
        <v>0.8191520948772919</v>
      </c>
      <c r="AL17" s="629">
        <f>IF(M17="","",(SIN(RADIANS((90-$Q$8)-W17))*AD17)+(COS(RADIANS((90-$Q$8)-W17))*AE17))</f>
        <v>-0.57357636410344459</v>
      </c>
      <c r="AM17" s="634">
        <f>IF(M17="","",AF17)</f>
        <v>-1.3008419208739032E-7</v>
      </c>
      <c r="AN17" s="581">
        <f>IF(M17="","",DEGREES(ATAN2(-AM17,AL17)))</f>
        <v>-89.999987005609626</v>
      </c>
      <c r="AO17" s="582">
        <f t="shared" si="94"/>
        <v>34.999994946625968</v>
      </c>
      <c r="AP17" s="585">
        <f>IF(M17="","",DEGREES(ATAN2(AK17,AL17)))</f>
        <v>-34.999994946625272</v>
      </c>
      <c r="AQ17" s="586">
        <f t="shared" si="9"/>
        <v>0.38983627646572433</v>
      </c>
      <c r="AS17" s="52">
        <f t="shared" si="116"/>
        <v>-3.0719995564581382</v>
      </c>
      <c r="AT17" s="72">
        <f t="shared" si="10"/>
        <v>-3.0758731737374601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1.143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>
        <f t="shared" si="112"/>
        <v>1913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2.0096717902129608</v>
      </c>
      <c r="C18" s="708">
        <v>5.5215278641250594</v>
      </c>
      <c r="D18" s="709">
        <v>-2.1461526188006692</v>
      </c>
      <c r="E18" s="710">
        <v>0.30997528242617417</v>
      </c>
      <c r="F18" s="708">
        <v>0.85165075215889929</v>
      </c>
      <c r="G18" s="711">
        <v>0.42261841019055801</v>
      </c>
      <c r="H18" s="710">
        <v>0.25700000000000001</v>
      </c>
      <c r="I18" s="708">
        <v>0.45500000000000002</v>
      </c>
      <c r="J18" s="570">
        <v>1.337</v>
      </c>
      <c r="K18" s="865" t="str">
        <f>IF($J18="","",IF(IFERROR(INDEX(Settings!$AK$14:$AK$36,MATCH((((ROUND($H18,6)*2)*1000000)+ROUND($I18,6)),Settings!$AI$14:$AI$36,0)),"Undefined")="Undefined","Undefined",IFERROR(INDEX(_xlfn.ANCHORARRAY(Settings!$BC$14),MATCH(IFERROR(INDEX(Settings!$AK$14:$AK$36,MATCH((((ROUND($H18,6)*2)*1000000)+ROUND($I18,6)),Settings!$AI$14:$AI$36,0)),"Undefined"),_xlfn.ANCHORARRAY(Settings!$BC$14),0)),"Inactive")))</f>
        <v>Inactive</v>
      </c>
      <c r="L18" s="779" t="s">
        <v>331</v>
      </c>
      <c r="M18" s="168">
        <f t="shared" si="1"/>
        <v>1.337</v>
      </c>
      <c r="N18" s="632">
        <f t="shared" si="2"/>
        <v>2.0096717902129608</v>
      </c>
      <c r="O18" s="629">
        <f t="shared" si="3"/>
        <v>5.5215278641250594</v>
      </c>
      <c r="P18" s="633">
        <f t="shared" si="4"/>
        <v>-2.1461526188006692</v>
      </c>
      <c r="Q18" s="585">
        <f t="shared" si="113"/>
        <v>70.000000000000014</v>
      </c>
      <c r="R18" s="629">
        <f>IF(M18="","",SQRT(N18^2+O18^2))</f>
        <v>5.8758872231082862</v>
      </c>
      <c r="S18" s="634">
        <f>IF(M18="","",P18)</f>
        <v>-2.1461526188006692</v>
      </c>
      <c r="T18" s="635">
        <f>IF(M18="","",X18*COS(RADIANS(W18)))</f>
        <v>5.5415883376301682</v>
      </c>
      <c r="U18" s="629">
        <f>IF(M18="","",X18*SIN(RADIANS(W18)))</f>
        <v>-1.95367585718013</v>
      </c>
      <c r="V18" s="636">
        <f>IF(M18="","",Y18)</f>
        <v>-2.1461526188006692</v>
      </c>
      <c r="W18" s="585">
        <f t="shared" si="224"/>
        <v>340.57999991625837</v>
      </c>
      <c r="X18" s="629">
        <f>IF(M18="","",R18)</f>
        <v>5.8758872231082862</v>
      </c>
      <c r="Y18" s="630">
        <f t="shared" si="223"/>
        <v>-2.1461526188006692</v>
      </c>
      <c r="Z18" s="632">
        <f t="shared" si="6"/>
        <v>-0.30997528242617417</v>
      </c>
      <c r="AA18" s="629">
        <f t="shared" si="7"/>
        <v>-0.85165075215889929</v>
      </c>
      <c r="AB18" s="629">
        <f t="shared" si="8"/>
        <v>-0.42261841019055801</v>
      </c>
      <c r="AC18" s="636">
        <f>IF(M18="","",SQRT(Z18^2+AA18^2+AB18^2))</f>
        <v>1</v>
      </c>
      <c r="AD18" s="637">
        <f>IF(M18="","",Z18*(1/SQRT(Z18^2+AA18^2+AB18^2)))</f>
        <v>-0.30997528242617417</v>
      </c>
      <c r="AE18" s="629">
        <f>IF(M18="","",AA18*(1/SQRT(Z18^2+AA18^2+AB18^2)))</f>
        <v>-0.85165075215889929</v>
      </c>
      <c r="AF18" s="633">
        <f>IF(M18="","",AB18*(1/SQRT(Z18^2+AA18^2+AB18^2)))</f>
        <v>-0.42261841019055801</v>
      </c>
      <c r="AG18" s="602">
        <f>IF(M18="","",DEGREES(ATAN2(-AF18,AE18)))</f>
        <v>-63.607810511377579</v>
      </c>
      <c r="AH18" s="603">
        <f>IF(M18="","",DEGREES(ACOS(AD18)))</f>
        <v>108.05774090184563</v>
      </c>
      <c r="AI18" s="585">
        <f>IF(M18="","",DEGREES(-ACOS(-AF18)))</f>
        <v>-64.999990615163185</v>
      </c>
      <c r="AJ18" s="586">
        <f>IF(M18="","",DEGREES(ATAN2(-AE18,AD18)))</f>
        <v>-19.999985662275481</v>
      </c>
      <c r="AK18" s="635">
        <f>IF(M18="","",(COS(RADIANS((90-$Q$8)-W18))*AD18)+(-SIN(RADIANS((90-$Q$8)-W18))*AE18))</f>
        <v>2.2679489647403628E-7</v>
      </c>
      <c r="AL18" s="629">
        <f>IF(M18="","",(SIN(RADIANS((90-$Q$8)-W18))*AD18)+(COS(RADIANS((90-$Q$8)-W18))*AE18))</f>
        <v>-0.90630771781330088</v>
      </c>
      <c r="AM18" s="634">
        <f>IF(M18="","",AF18)</f>
        <v>-0.42261841019055801</v>
      </c>
      <c r="AN18" s="581">
        <f>IF(M18="","",DEGREES(ATAN2(-AM18,AL18)))</f>
        <v>-64.999990615162488</v>
      </c>
      <c r="AO18" s="582">
        <f t="shared" si="94"/>
        <v>0</v>
      </c>
      <c r="AP18" s="585">
        <f>IF(M18="","",DEGREES(ATAN2(AK18,AL18)))</f>
        <v>-89.999985662275492</v>
      </c>
      <c r="AQ18" s="586">
        <f t="shared" si="9"/>
        <v>0.38797405426588055</v>
      </c>
      <c r="AS18" s="52">
        <f t="shared" si="116"/>
        <v>-19.420000083741627</v>
      </c>
      <c r="AT18" s="72">
        <f t="shared" si="10"/>
        <v>-2.1322637299117804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>Gage</v>
      </c>
      <c r="IG18" s="847">
        <f t="shared" si="210"/>
        <v>1.337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1.137</v>
      </c>
      <c r="II18" s="734" cm="1">
        <f t="array" ref="II18">IFERROR(IF($IH18&lt;1,$IH18+LARGE((IF($M$9:$M$150="",0,$M$9:$M$150)-MOD(IF($M$9:$M$150="",0,$M$9:$M$150),1)),1),$IH18),"")</f>
        <v>1.137</v>
      </c>
      <c r="IJ18" s="533">
        <f t="shared" si="112"/>
        <v>1913</v>
      </c>
      <c r="IK18" s="533" t="str">
        <f t="shared" si="66"/>
        <v>Inactive</v>
      </c>
      <c r="IL18" s="727">
        <f t="shared" si="225"/>
        <v>16.394000520641896</v>
      </c>
      <c r="IM18" s="759">
        <v>6.72356202846298E-3</v>
      </c>
      <c r="IN18" s="5">
        <f t="shared" si="226"/>
        <v>0.6</v>
      </c>
      <c r="IO18" s="771">
        <v>300</v>
      </c>
      <c r="IP18" s="9">
        <f t="shared" si="227"/>
        <v>-5.8114175272352622</v>
      </c>
      <c r="IQ18" s="5">
        <f t="shared" si="228"/>
        <v>-2.1416064590850805</v>
      </c>
      <c r="IR18" s="5">
        <f t="shared" si="71"/>
        <v>0.3765</v>
      </c>
      <c r="IS18" s="5">
        <f t="shared" si="229"/>
        <v>0.32656500273678313</v>
      </c>
      <c r="IT18" s="727">
        <f t="shared" si="230"/>
        <v>77.011780608169957</v>
      </c>
      <c r="IU18" s="9">
        <f t="shared" si="231"/>
        <v>-5.8758872231082862</v>
      </c>
      <c r="IV18" s="5">
        <f t="shared" si="232"/>
        <v>-2.1461526188006692</v>
      </c>
      <c r="IW18" s="5">
        <f t="shared" si="76"/>
        <v>0.25700000000000001</v>
      </c>
      <c r="IX18" s="5">
        <f t="shared" si="233"/>
        <v>0.25700000000000001</v>
      </c>
      <c r="IY18" s="762">
        <f t="shared" si="234"/>
        <v>64.999990615162488</v>
      </c>
    </row>
    <row r="19" spans="1:269" ht="15" customHeight="1" thickBot="1" x14ac:dyDescent="0.3">
      <c r="A19" s="79"/>
      <c r="B19" s="707">
        <v>2.7014439502807122</v>
      </c>
      <c r="C19" s="708">
        <v>1.2336797899923</v>
      </c>
      <c r="D19" s="709">
        <v>-0.18200054891365552</v>
      </c>
      <c r="E19" s="710">
        <v>-0.42603632444624312</v>
      </c>
      <c r="F19" s="708">
        <v>0.8664422021974052</v>
      </c>
      <c r="G19" s="711">
        <v>0.26032856259666598</v>
      </c>
      <c r="H19" s="710">
        <v>0.3765</v>
      </c>
      <c r="I19" s="708">
        <v>0.52</v>
      </c>
      <c r="J19" s="570">
        <v>2.1120000000000001</v>
      </c>
      <c r="K19" s="865">
        <f>IF($J19="","",IF(IFERROR(INDEX(Settings!$AK$14:$AK$36,MATCH((((ROUND($H19,6)*2)*1000000)+ROUND($I19,6)),Settings!$AI$14:$AI$36,0)),"Undefined")="Undefined","Undefined",IFERROR(INDEX(_xlfn.ANCHORARRAY(Settings!$BC$14),MATCH(IFERROR(INDEX(Settings!$AK$14:$AK$36,MATCH((((ROUND($H19,6)*2)*1000000)+ROUND($I19,6)),Settings!$AI$14:$AI$36,0)),"Undefined"),_xlfn.ANCHORARRAY(Settings!$BC$14),0)),"Inactive")))</f>
        <v>1913</v>
      </c>
      <c r="L19" s="775" t="s">
        <v>366</v>
      </c>
      <c r="M19" s="168">
        <f>IF(J19="","",VALUE(J19))</f>
        <v>2.1120000000000001</v>
      </c>
      <c r="N19" s="632">
        <f t="shared" si="2"/>
        <v>2.7014439502807122</v>
      </c>
      <c r="O19" s="629">
        <f t="shared" si="3"/>
        <v>1.2336797899923</v>
      </c>
      <c r="P19" s="633">
        <f t="shared" si="4"/>
        <v>-0.18200054891365552</v>
      </c>
      <c r="Q19" s="585">
        <f t="shared" si="113"/>
        <v>24.544957472969813</v>
      </c>
      <c r="R19" s="629">
        <f>IF(M19="","",SQRT(N19^2+O19^2))</f>
        <v>2.969808956943814</v>
      </c>
      <c r="S19" s="634">
        <f>IF(M19="","",P19)</f>
        <v>-0.18200054891365552</v>
      </c>
      <c r="T19" s="635">
        <f>IF(M19="","",X19*COS(RADIANS(W19)))</f>
        <v>1.2609625830022122</v>
      </c>
      <c r="U19" s="629">
        <f>IF(M19="","",X19*SIN(RADIANS(W19)))</f>
        <v>-2.6888173245893987</v>
      </c>
      <c r="V19" s="636">
        <f>IF(M19="","",Y19)</f>
        <v>-0.18200054891365552</v>
      </c>
      <c r="W19" s="585">
        <f t="shared" si="224"/>
        <v>295.1249573892282</v>
      </c>
      <c r="X19" s="629">
        <f>IF(M19="","",R19)</f>
        <v>2.969808956943814</v>
      </c>
      <c r="Y19" s="630">
        <f t="shared" si="223"/>
        <v>-0.18200054891365552</v>
      </c>
      <c r="Z19" s="632">
        <f t="shared" si="6"/>
        <v>0.42603632444624312</v>
      </c>
      <c r="AA19" s="629">
        <f t="shared" si="7"/>
        <v>-0.8664422021974052</v>
      </c>
      <c r="AB19" s="629">
        <f t="shared" si="8"/>
        <v>-0.26032856259666598</v>
      </c>
      <c r="AC19" s="636">
        <f>IF(M19="","",SQRT(Z19^2+AA19^2+AB19^2))</f>
        <v>1</v>
      </c>
      <c r="AD19" s="637">
        <f>IF(M19="","",Z19*(1/SQRT(Z19^2+AA19^2+AB19^2)))</f>
        <v>0.42603632444624312</v>
      </c>
      <c r="AE19" s="629">
        <f>IF(M19="","",AA19*(1/SQRT(Z19^2+AA19^2+AB19^2)))</f>
        <v>-0.8664422021974052</v>
      </c>
      <c r="AF19" s="633">
        <f>IF(M19="","",AB19*(1/SQRT(Z19^2+AA19^2+AB19^2)))</f>
        <v>-0.26032856259666598</v>
      </c>
      <c r="AG19" s="602">
        <f>IF(M19="","",DEGREES(ATAN2(-AF19,AE19)))</f>
        <v>-73.276740382567937</v>
      </c>
      <c r="AH19" s="603">
        <f>IF(M19="","",DEGREES(ACOS(AD19)))</f>
        <v>64.78372298455551</v>
      </c>
      <c r="AI19" s="585">
        <f>IF(M19="","",DEGREES(-ACOS(-AF19)))</f>
        <v>-74.910441226145082</v>
      </c>
      <c r="AJ19" s="586">
        <f>IF(M19="","",DEGREES(ATAN2(-AE19,AD19)))</f>
        <v>26.183702019924347</v>
      </c>
      <c r="AK19" s="635">
        <f>IF(M19="","",(COS(RADIANS((90-$Q$8)-W19))*AD19)+(-SIN(RADIANS((90-$Q$8)-W19))*AE19))</f>
        <v>0.96512519499423033</v>
      </c>
      <c r="AL19" s="629">
        <f>IF(M19="","",(SIN(RADIANS((90-$Q$8)-W19))*AD19)+(COS(RADIANS((90-$Q$8)-W19))*AE19))</f>
        <v>2.7611546202675197E-2</v>
      </c>
      <c r="AM19" s="634">
        <f>IF(M19="","",AF19)</f>
        <v>-0.26032856259666598</v>
      </c>
      <c r="AN19" s="581">
        <f>IF(M19="","",DEGREES(ATAN2(-AM19,AL19)))</f>
        <v>6.0543967123357199</v>
      </c>
      <c r="AO19" s="582">
        <f t="shared" si="94"/>
        <v>15.176227697705407</v>
      </c>
      <c r="AP19" s="585">
        <f>IF(M19="","",DEGREES(ATAN2(AK19,AL19)))</f>
        <v>1.6387445469545225</v>
      </c>
      <c r="AQ19" s="586">
        <f t="shared" si="9"/>
        <v>0.76758817702534021</v>
      </c>
      <c r="AS19" s="52">
        <f t="shared" si="116"/>
        <v>-64.8750426107718</v>
      </c>
      <c r="AT19" s="72">
        <f t="shared" si="10"/>
        <v>-0.13654565826988457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>$M19</f>
        <v>2.1120000000000001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>
        <f>IF(ISNUMBER($II19),INDEX($K$9:$K$150,MATCH($II19,$M$9:$M$150,0)),$K19)</f>
        <v>1913</v>
      </c>
      <c r="IK19" s="533" t="str">
        <f>IF(ISNUMBER($II19),INDEX($K$9:$K$150,MATCH($IG19,$M$9:$M$150,0)),"")</f>
        <v/>
      </c>
      <c r="IL19" s="727" t="str">
        <f>IF(ISNUMBER($II19),IFERROR(IF(INDEX($W$9:$W$150,MATCH($II19,$M$9:$M$150,0))&lt;$W19,((INDEX($W$9:$W$150,MATCH($II19,$M$9:$M$150,0))+360)-$W19),INDEX($W$9:$W$150,MATCH($II19,$M$9:$M$150,0))-$W19),""),"")</f>
        <v/>
      </c>
      <c r="IM19" s="759"/>
      <c r="IN19" s="5" t="str">
        <f>IF(ISNUMBER($II19),(($IO19*12)/60)/$AS$3,"")</f>
        <v/>
      </c>
      <c r="IO19" s="771"/>
      <c r="IP19" s="9" t="str">
        <f>IF(ISNUMBER($II19),(INDEX($X$9:$X$150,MATCH($II19,$M$9:$M$150,0))*-1),"")</f>
        <v/>
      </c>
      <c r="IQ19" s="5" t="str">
        <f>IF(ISNUMBER($II19),INDEX($Y$9:$Y$150,MATCH($II19,$M$9:$M$150,0)),"")</f>
        <v/>
      </c>
      <c r="IR19" s="5" t="str">
        <f>IF(ISNUMBER($II19),INDEX($H$9:$H$150,MATCH($II19,$M$9:$M$150,0)),"")</f>
        <v/>
      </c>
      <c r="IS19" s="5" t="str">
        <f>IF(ISNUMBER($II19),$IR19*COS(RADIANS(INDEX($AO$9:$AO$150,MATCH($II19,$M$9:$M$150,0)))),"")</f>
        <v/>
      </c>
      <c r="IT19" s="727" t="str">
        <f>IF(ISNUMBER($II19),(-1*INDEX($AN$9:$AN$150,MATCH($II19,$M$9:$M$150,0))),"")</f>
        <v/>
      </c>
      <c r="IU19" s="9" t="str">
        <f t="shared" si="231"/>
        <v/>
      </c>
      <c r="IV19" s="5" t="str">
        <f>IF(ISNUMBER($II19),$Y19,"")</f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707">
        <v>3.5763208658271783</v>
      </c>
      <c r="C20" s="708">
        <v>1.5671382160935836</v>
      </c>
      <c r="D20" s="709">
        <v>-0.12520037760433886</v>
      </c>
      <c r="E20" s="710">
        <v>-0.29651793155130068</v>
      </c>
      <c r="F20" s="708">
        <v>0.92190550134075511</v>
      </c>
      <c r="G20" s="711">
        <v>0.24933383818926211</v>
      </c>
      <c r="H20" s="710">
        <v>0.3765</v>
      </c>
      <c r="I20" s="708">
        <v>0.52</v>
      </c>
      <c r="J20" s="570">
        <v>2.1179999999999999</v>
      </c>
      <c r="K20" s="865">
        <f>IF($J20="","",IF(IFERROR(INDEX(Settings!$AK$14:$AK$36,MATCH((((ROUND($H20,6)*2)*1000000)+ROUND($I20,6)),Settings!$AI$14:$AI$36,0)),"Undefined")="Undefined","Undefined",IFERROR(INDEX(_xlfn.ANCHORARRAY(Settings!$BC$14),MATCH(IFERROR(INDEX(Settings!$AK$14:$AK$36,MATCH((((ROUND($H20,6)*2)*1000000)+ROUND($I20,6)),Settings!$AI$14:$AI$36,0)),"Undefined"),_xlfn.ANCHORARRAY(Settings!$BC$14),0)),"Inactive")))</f>
        <v>1913</v>
      </c>
      <c r="L20" s="774" t="str">
        <f>IF($L19=$JH$22,$JH$30,IF($L19=$JI$22,$JI$30,""))</f>
        <v/>
      </c>
      <c r="M20" s="168">
        <f t="shared" si="1"/>
        <v>2.1179999999999999</v>
      </c>
      <c r="N20" s="632">
        <f t="shared" si="2"/>
        <v>3.5763208658271783</v>
      </c>
      <c r="O20" s="629">
        <f t="shared" si="3"/>
        <v>1.5671382160935836</v>
      </c>
      <c r="P20" s="633">
        <f t="shared" si="4"/>
        <v>-0.12520037760433886</v>
      </c>
      <c r="Q20" s="585">
        <f t="shared" si="113"/>
        <v>23.662957600314833</v>
      </c>
      <c r="R20" s="629">
        <f>IF(M20="","",SQRT(N20^2+O20^2))</f>
        <v>3.904611776309117</v>
      </c>
      <c r="S20" s="634">
        <f>IF(M20="","",P20)</f>
        <v>-0.12520037760433886</v>
      </c>
      <c r="T20" s="635">
        <f>IF(M20="","",X20*COS(RADIANS(W20)))</f>
        <v>1.6032600714091594</v>
      </c>
      <c r="U20" s="629">
        <f>IF(M20="","",X20*SIN(RADIANS(W20)))</f>
        <v>-3.5602739033839708</v>
      </c>
      <c r="V20" s="636">
        <f>IF(M20="","",Y20)</f>
        <v>-0.12520037760433886</v>
      </c>
      <c r="W20" s="585">
        <f t="shared" si="224"/>
        <v>294.2429575165732</v>
      </c>
      <c r="X20" s="629">
        <f>IF(M20="","",R20)</f>
        <v>3.904611776309117</v>
      </c>
      <c r="Y20" s="630">
        <f t="shared" si="223"/>
        <v>-0.12520037760433886</v>
      </c>
      <c r="Z20" s="632">
        <f t="shared" si="6"/>
        <v>0.29651793155130068</v>
      </c>
      <c r="AA20" s="629">
        <f t="shared" si="7"/>
        <v>-0.92190550134075511</v>
      </c>
      <c r="AB20" s="629">
        <f t="shared" si="8"/>
        <v>-0.24933383818926211</v>
      </c>
      <c r="AC20" s="636">
        <f>IF(M20="","",SQRT(Z20^2+AA20^2+AB20^2))</f>
        <v>1</v>
      </c>
      <c r="AD20" s="637">
        <f>IF(M20="","",Z20*(1/SQRT(Z20^2+AA20^2+AB20^2)))</f>
        <v>0.29651793155130068</v>
      </c>
      <c r="AE20" s="629">
        <f>IF(M20="","",AA20*(1/SQRT(Z20^2+AA20^2+AB20^2)))</f>
        <v>-0.92190550134075511</v>
      </c>
      <c r="AF20" s="633">
        <f>IF(M20="","",AB20*(1/SQRT(Z20^2+AA20^2+AB20^2)))</f>
        <v>-0.24933383818926211</v>
      </c>
      <c r="AG20" s="602">
        <f>IF(M20="","",DEGREES(ATAN2(-AF20,AE20)))</f>
        <v>-74.866136035180162</v>
      </c>
      <c r="AH20" s="603">
        <f>IF(M20="","",DEGREES(ACOS(AD20)))</f>
        <v>72.751418465891859</v>
      </c>
      <c r="AI20" s="585">
        <f>IF(M20="","",DEGREES(-ACOS(-AF20)))</f>
        <v>-75.561904326111176</v>
      </c>
      <c r="AJ20" s="586">
        <f>IF(M20="","",DEGREES(ATAN2(-AE20,AD20)))</f>
        <v>17.829656402036324</v>
      </c>
      <c r="AK20" s="635">
        <f>IF(M20="","",(COS(RADIANS((90-$Q$8)-W20))*AD20)+(-SIN(RADIANS((90-$Q$8)-W20))*AE20))</f>
        <v>0.96340293953953104</v>
      </c>
      <c r="AL20" s="629">
        <f>IF(M20="","",(SIN(RADIANS((90-$Q$8)-W20))*AD20)+(COS(RADIANS((90-$Q$8)-W20))*AE20))</f>
        <v>-9.842465758336022E-2</v>
      </c>
      <c r="AM20" s="634">
        <f>IF(M20="","",AF20)</f>
        <v>-0.24933383818926211</v>
      </c>
      <c r="AN20" s="581">
        <f>IF(M20="","",DEGREES(ATAN2(-AM20,AL20)))</f>
        <v>-21.541653017836879</v>
      </c>
      <c r="AO20" s="582">
        <f t="shared" si="94"/>
        <v>15.548704183846647</v>
      </c>
      <c r="AP20" s="585">
        <f>IF(M20="","",DEGREES(ATAN2(AK20,AL20)))</f>
        <v>-5.833301198278515</v>
      </c>
      <c r="AQ20" s="586">
        <f t="shared" si="9"/>
        <v>0.58383467001350131</v>
      </c>
      <c r="AS20" s="52">
        <f t="shared" si="116"/>
        <v>-65.757042483426801</v>
      </c>
      <c r="AT20" s="72">
        <f t="shared" si="10"/>
        <v>-7.9132987049001943E-2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2.1179999999999999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1913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4.4129587244956507</v>
      </c>
      <c r="C21" s="708">
        <v>1.8431719986218338</v>
      </c>
      <c r="D21" s="709">
        <v>-0.45420136987133153</v>
      </c>
      <c r="E21" s="710">
        <v>-0.18352161340420239</v>
      </c>
      <c r="F21" s="708">
        <v>0.9599742417937801</v>
      </c>
      <c r="G21" s="711">
        <v>0.21158750555260955</v>
      </c>
      <c r="H21" s="710">
        <v>0.3765</v>
      </c>
      <c r="I21" s="708">
        <v>0.52</v>
      </c>
      <c r="J21" s="570">
        <v>2.1240000000000001</v>
      </c>
      <c r="K21" s="865">
        <f>IF($J21="","",IF(IFERROR(INDEX(Settings!$AK$14:$AK$36,MATCH((((ROUND($H21,6)*2)*1000000)+ROUND($I21,6)),Settings!$AI$14:$AI$36,0)),"Undefined")="Undefined","Undefined",IFERROR(INDEX(_xlfn.ANCHORARRAY(Settings!$BC$14),MATCH(IFERROR(INDEX(Settings!$AK$14:$AK$36,MATCH((((ROUND($H21,6)*2)*1000000)+ROUND($I21,6)),Settings!$AI$14:$AI$36,0)),"Undefined"),_xlfn.ANCHORARRAY(Settings!$BC$14),0)),"Inactive")))</f>
        <v>1913</v>
      </c>
      <c r="L21" s="776" t="s">
        <v>367</v>
      </c>
      <c r="M21" s="168">
        <f t="shared" si="1"/>
        <v>2.1240000000000001</v>
      </c>
      <c r="N21" s="632">
        <f t="shared" si="2"/>
        <v>4.4129587244956507</v>
      </c>
      <c r="O21" s="629">
        <f t="shared" si="3"/>
        <v>1.8431719986218338</v>
      </c>
      <c r="P21" s="633">
        <f t="shared" si="4"/>
        <v>-0.45420136987133153</v>
      </c>
      <c r="Q21" s="585">
        <f t="shared" si="113"/>
        <v>22.66895774383066</v>
      </c>
      <c r="R21" s="629">
        <f>IF(M21="","",SQRT(N21^2+O21^2))</f>
        <v>4.7824144237619022</v>
      </c>
      <c r="S21" s="634">
        <f>IF(M21="","",P21)</f>
        <v>-0.45420136987133153</v>
      </c>
      <c r="T21" s="635">
        <f>IF(M21="","",X21*COS(RADIANS(W21)))</f>
        <v>1.887748774612072</v>
      </c>
      <c r="U21" s="629">
        <f>IF(M21="","",X21*SIN(RADIANS(W21)))</f>
        <v>-4.394074678991756</v>
      </c>
      <c r="V21" s="636">
        <f>IF(M21="","",Y21)</f>
        <v>-0.45420136987133153</v>
      </c>
      <c r="W21" s="585">
        <f t="shared" si="224"/>
        <v>293.24895766008905</v>
      </c>
      <c r="X21" s="629">
        <f>IF(M21="","",R21)</f>
        <v>4.7824144237619022</v>
      </c>
      <c r="Y21" s="630">
        <f t="shared" si="223"/>
        <v>-0.45420136987133153</v>
      </c>
      <c r="Z21" s="632">
        <f t="shared" si="6"/>
        <v>0.18352161340420239</v>
      </c>
      <c r="AA21" s="629">
        <f t="shared" si="7"/>
        <v>-0.9599742417937801</v>
      </c>
      <c r="AB21" s="629">
        <f t="shared" si="8"/>
        <v>-0.21158750555260955</v>
      </c>
      <c r="AC21" s="636">
        <f>IF(M21="","",SQRT(Z21^2+AA21^2+AB21^2))</f>
        <v>1</v>
      </c>
      <c r="AD21" s="637">
        <f>IF(M21="","",Z21*(1/SQRT(Z21^2+AA21^2+AB21^2)))</f>
        <v>0.18352161340420239</v>
      </c>
      <c r="AE21" s="629">
        <f>IF(M21="","",AA21*(1/SQRT(Z21^2+AA21^2+AB21^2)))</f>
        <v>-0.9599742417937801</v>
      </c>
      <c r="AF21" s="633">
        <f>IF(M21="","",AB21*(1/SQRT(Z21^2+AA21^2+AB21^2)))</f>
        <v>-0.21158750555260955</v>
      </c>
      <c r="AG21" s="602">
        <f>IF(M21="","",DEGREES(ATAN2(-AF21,AE21)))</f>
        <v>-77.570200360043145</v>
      </c>
      <c r="AH21" s="603">
        <f>IF(M21="","",DEGREES(ACOS(AD21)))</f>
        <v>79.425048566981005</v>
      </c>
      <c r="AI21" s="585">
        <f>IF(M21="","",DEGREES(-ACOS(-AF21)))</f>
        <v>-77.784599636489901</v>
      </c>
      <c r="AJ21" s="586">
        <f>IF(M21="","",DEGREES(ATAN2(-AE21,AD21)))</f>
        <v>10.822845740655445</v>
      </c>
      <c r="AK21" s="635">
        <f>IF(M21="","",(COS(RADIANS((90-$Q$8)-W21))*AD21)+(-SIN(RADIANS((90-$Q$8)-W21))*AE21))</f>
        <v>0.9565437453212311</v>
      </c>
      <c r="AL21" s="629">
        <f>IF(M21="","",(SIN(RADIANS((90-$Q$8)-W21))*AD21)+(COS(RADIANS((90-$Q$8)-W21))*AE21))</f>
        <v>-0.20063596582082796</v>
      </c>
      <c r="AM21" s="634">
        <f>IF(M21="","",AF21)</f>
        <v>-0.21158750555260955</v>
      </c>
      <c r="AN21" s="581">
        <f>IF(M21="","",DEGREES(ATAN2(-AM21,AL21)))</f>
        <v>-43.478181165527012</v>
      </c>
      <c r="AO21" s="582">
        <f>IF(ROUND(IF(M21="",0,DEGREES(ACOS(AK21))),4)=90,0,IF(M21="","",DEGREES(ACOS(AK21))))</f>
        <v>16.953102720849884</v>
      </c>
      <c r="AP21" s="585">
        <f>IF(M21="","",DEGREES(ATAN2(AK21,AL21)))</f>
        <v>-11.846112003175206</v>
      </c>
      <c r="AQ21" s="586">
        <f t="shared" si="9"/>
        <v>0.47667847909869693</v>
      </c>
      <c r="AS21" s="52">
        <f t="shared" si="116"/>
        <v>-66.751042339910953</v>
      </c>
      <c r="AT21" s="72">
        <f t="shared" si="10"/>
        <v>-0.40744370163788063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2.1240000000000001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1913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707">
        <v>5.0584255378108685</v>
      </c>
      <c r="C22" s="708">
        <v>2.0285488026452247</v>
      </c>
      <c r="D22" s="709">
        <v>-1.1124033550085177</v>
      </c>
      <c r="E22" s="710">
        <v>-3.2158795567331117E-2</v>
      </c>
      <c r="F22" s="708">
        <v>0.9790533980758318</v>
      </c>
      <c r="G22" s="711">
        <v>0.20104789375625276</v>
      </c>
      <c r="H22" s="710">
        <v>0.3765</v>
      </c>
      <c r="I22" s="708">
        <v>0.52</v>
      </c>
      <c r="J22" s="570">
        <v>2.13</v>
      </c>
      <c r="K22" s="865">
        <f>IF($J22="","",IF(IFERROR(INDEX(Settings!$AK$14:$AK$36,MATCH((((ROUND($H22,6)*2)*1000000)+ROUND($I22,6)),Settings!$AI$14:$AI$36,0)),"Undefined")="Undefined","Undefined",IFERROR(INDEX(_xlfn.ANCHORARRAY(Settings!$BC$14),MATCH(IFERROR(INDEX(Settings!$AK$14:$AK$36,MATCH((((ROUND($H22,6)*2)*1000000)+ROUND($I22,6)),Settings!$AI$14:$AI$36,0)),"Undefined"),_xlfn.ANCHORARRAY(Settings!$BC$14),0)),"Inactive")))</f>
        <v>1913</v>
      </c>
      <c r="L22" s="873">
        <f>IF($L21=$JH$22,$JH$30,IF($L21=$JI$22,$JI$30,""))</f>
        <v>340</v>
      </c>
      <c r="M22" s="168">
        <f t="shared" si="1"/>
        <v>2.13</v>
      </c>
      <c r="N22" s="632">
        <f t="shared" si="2"/>
        <v>5.0584255378108685</v>
      </c>
      <c r="O22" s="629">
        <f t="shared" si="3"/>
        <v>2.0285488026452247</v>
      </c>
      <c r="P22" s="633">
        <f t="shared" si="4"/>
        <v>-1.1124033550085177</v>
      </c>
      <c r="Q22" s="585">
        <f t="shared" si="113"/>
        <v>21.851957861790851</v>
      </c>
      <c r="R22" s="629">
        <f t="shared" si="79"/>
        <v>5.450016437249575</v>
      </c>
      <c r="S22" s="634">
        <f t="shared" si="80"/>
        <v>-1.1124033550085177</v>
      </c>
      <c r="T22" s="635">
        <f t="shared" si="81"/>
        <v>2.0796499703373832</v>
      </c>
      <c r="U22" s="629">
        <f t="shared" si="82"/>
        <v>-5.0376319007214363</v>
      </c>
      <c r="V22" s="636">
        <f t="shared" si="114"/>
        <v>-1.1124033550085177</v>
      </c>
      <c r="W22" s="585">
        <f t="shared" si="224"/>
        <v>292.43195777804925</v>
      </c>
      <c r="X22" s="629">
        <f t="shared" si="83"/>
        <v>5.450016437249575</v>
      </c>
      <c r="Y22" s="630">
        <f t="shared" si="223"/>
        <v>-1.1124033550085177</v>
      </c>
      <c r="Z22" s="632">
        <f t="shared" si="6"/>
        <v>3.2158795567331117E-2</v>
      </c>
      <c r="AA22" s="629">
        <f t="shared" si="7"/>
        <v>-0.9790533980758318</v>
      </c>
      <c r="AB22" s="629">
        <f t="shared" si="8"/>
        <v>-0.20104789375625276</v>
      </c>
      <c r="AC22" s="636">
        <f t="shared" si="84"/>
        <v>1</v>
      </c>
      <c r="AD22" s="637">
        <f t="shared" si="115"/>
        <v>3.2158795567331117E-2</v>
      </c>
      <c r="AE22" s="629">
        <f t="shared" si="85"/>
        <v>-0.9790533980758318</v>
      </c>
      <c r="AF22" s="633">
        <f t="shared" si="86"/>
        <v>-0.20104789375625276</v>
      </c>
      <c r="AG22" s="602">
        <f t="shared" si="87"/>
        <v>-78.395670856240358</v>
      </c>
      <c r="AH22" s="603">
        <f t="shared" si="88"/>
        <v>88.157118999031226</v>
      </c>
      <c r="AI22" s="585">
        <f t="shared" si="89"/>
        <v>-78.401756309470414</v>
      </c>
      <c r="AJ22" s="586">
        <f t="shared" si="90"/>
        <v>1.8813080438527638</v>
      </c>
      <c r="AK22" s="635">
        <f t="shared" si="211"/>
        <v>0.92067692927586331</v>
      </c>
      <c r="AL22" s="629">
        <f t="shared" si="91"/>
        <v>-0.33456499565157966</v>
      </c>
      <c r="AM22" s="634">
        <f t="shared" si="92"/>
        <v>-0.20104789375625276</v>
      </c>
      <c r="AN22" s="581">
        <f t="shared" si="93"/>
        <v>-58.997362318908692</v>
      </c>
      <c r="AO22" s="582">
        <f t="shared" si="94"/>
        <v>22.974754152298956</v>
      </c>
      <c r="AP22" s="585">
        <f t="shared" si="95"/>
        <v>-19.970649817938103</v>
      </c>
      <c r="AQ22" s="586">
        <f t="shared" si="9"/>
        <v>0.41828977152465274</v>
      </c>
      <c r="AS22" s="52">
        <f t="shared" si="116"/>
        <v>-67.568042221950748</v>
      </c>
      <c r="AT22" s="72">
        <f t="shared" si="10"/>
        <v>-1.0650783257458725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2.13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1913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Taper</v>
      </c>
      <c r="JG22" s="862"/>
      <c r="JH22" s="863" t="str" cm="1">
        <f t="array" ref="JH22">IFERROR(TRANSPOSE(_xlfn._xlws.SORT(_xlfn.UNIQUE(_xlfn._xlws.FILTER($IE$9:$IE$150,$IE$9:$IE$150&lt;&gt;"")),,1)),"")</f>
        <v>Taper</v>
      </c>
      <c r="JI22" s="862"/>
    </row>
    <row r="23" spans="1:269" ht="15" customHeight="1" thickTop="1" x14ac:dyDescent="0.25">
      <c r="A23" s="79"/>
      <c r="B23" s="707">
        <v>5.3913034163979585</v>
      </c>
      <c r="C23" s="708">
        <v>2.1149953833136537</v>
      </c>
      <c r="D23" s="709">
        <v>-1.9856059885876616</v>
      </c>
      <c r="E23" s="710">
        <v>0.11325762643228113</v>
      </c>
      <c r="F23" s="708">
        <v>0.98509845405133234</v>
      </c>
      <c r="G23" s="711">
        <v>0.12943626184574766</v>
      </c>
      <c r="H23" s="710">
        <v>0.3765</v>
      </c>
      <c r="I23" s="708">
        <v>0.52</v>
      </c>
      <c r="J23" s="570">
        <v>2.1360000000000001</v>
      </c>
      <c r="K23" s="865">
        <f>IF($J23="","",IF(IFERROR(INDEX(Settings!$AK$14:$AK$36,MATCH((((ROUND($H23,6)*2)*1000000)+ROUND($I23,6)),Settings!$AI$14:$AI$36,0)),"Undefined")="Undefined","Undefined",IFERROR(INDEX(_xlfn.ANCHORARRAY(Settings!$BC$14),MATCH(IFERROR(INDEX(Settings!$AK$14:$AK$36,MATCH((((ROUND($H23,6)*2)*1000000)+ROUND($I23,6)),Settings!$AI$14:$AI$36,0)),"Undefined"),_xlfn.ANCHORARRAY(Settings!$BC$14),0)),"Inactive")))</f>
        <v>1913</v>
      </c>
      <c r="M23" s="168">
        <f t="shared" si="1"/>
        <v>2.1360000000000001</v>
      </c>
      <c r="N23" s="632">
        <f t="shared" si="2"/>
        <v>5.3913034163979585</v>
      </c>
      <c r="O23" s="629">
        <f t="shared" si="3"/>
        <v>2.1149953833136537</v>
      </c>
      <c r="P23" s="633">
        <f t="shared" si="4"/>
        <v>-1.9856059885876616</v>
      </c>
      <c r="Q23" s="585">
        <f t="shared" si="113"/>
        <v>21.419957924163924</v>
      </c>
      <c r="R23" s="629">
        <f t="shared" si="79"/>
        <v>5.7913174666134797</v>
      </c>
      <c r="S23" s="634">
        <f t="shared" si="80"/>
        <v>-1.9856059885876616</v>
      </c>
      <c r="T23" s="635">
        <f t="shared" si="81"/>
        <v>2.1694617564681868</v>
      </c>
      <c r="U23" s="629">
        <f t="shared" si="82"/>
        <v>-5.3696176480569209</v>
      </c>
      <c r="V23" s="636">
        <f t="shared" si="114"/>
        <v>-1.9856059885876616</v>
      </c>
      <c r="W23" s="585">
        <f t="shared" si="224"/>
        <v>291.99995784042227</v>
      </c>
      <c r="X23" s="629">
        <f t="shared" si="83"/>
        <v>5.7913174666134797</v>
      </c>
      <c r="Y23" s="630">
        <f t="shared" si="223"/>
        <v>-1.9856059885876616</v>
      </c>
      <c r="Z23" s="632">
        <f t="shared" si="6"/>
        <v>-0.11325762643228113</v>
      </c>
      <c r="AA23" s="629">
        <f t="shared" si="7"/>
        <v>-0.98509845405133234</v>
      </c>
      <c r="AB23" s="629">
        <f t="shared" si="8"/>
        <v>-0.12943626184574766</v>
      </c>
      <c r="AC23" s="636">
        <f t="shared" si="84"/>
        <v>1</v>
      </c>
      <c r="AD23" s="637">
        <f t="shared" si="115"/>
        <v>-0.11325762643228113</v>
      </c>
      <c r="AE23" s="629">
        <f t="shared" si="85"/>
        <v>-0.98509845405133234</v>
      </c>
      <c r="AF23" s="633">
        <f t="shared" si="86"/>
        <v>-0.12943626184574766</v>
      </c>
      <c r="AG23" s="602">
        <f t="shared" si="87"/>
        <v>-82.514545505203614</v>
      </c>
      <c r="AH23" s="603">
        <f t="shared" si="88"/>
        <v>96.503137795954004</v>
      </c>
      <c r="AI23" s="585">
        <f t="shared" si="89"/>
        <v>-82.562982730543155</v>
      </c>
      <c r="AJ23" s="586">
        <f t="shared" si="90"/>
        <v>-6.5585491615463214</v>
      </c>
      <c r="AK23" s="635">
        <f t="shared" si="211"/>
        <v>0.87569457779207494</v>
      </c>
      <c r="AL23" s="629">
        <f t="shared" si="91"/>
        <v>-0.46519378816248036</v>
      </c>
      <c r="AM23" s="634">
        <f t="shared" si="92"/>
        <v>-0.12943626184574766</v>
      </c>
      <c r="AN23" s="581">
        <f t="shared" si="93"/>
        <v>-74.451220794961614</v>
      </c>
      <c r="AO23" s="582">
        <f t="shared" si="94"/>
        <v>28.872714445409642</v>
      </c>
      <c r="AP23" s="585">
        <f t="shared" si="95"/>
        <v>-27.978507085710213</v>
      </c>
      <c r="AQ23" s="586">
        <f t="shared" si="9"/>
        <v>0.39363940527656632</v>
      </c>
      <c r="AS23" s="52">
        <f t="shared" si="116"/>
        <v>-68.000042159577731</v>
      </c>
      <c r="AT23" s="72">
        <f t="shared" si="10"/>
        <v>-1.937980959368331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2.1360000000000001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1913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340</v>
      </c>
      <c r="JI23" s="801"/>
    </row>
    <row r="24" spans="1:269" ht="15" customHeight="1" x14ac:dyDescent="0.25">
      <c r="A24" s="79"/>
      <c r="B24" s="707">
        <v>5.4465804559082676</v>
      </c>
      <c r="C24" s="708">
        <v>2.1287866152192891</v>
      </c>
      <c r="D24" s="709">
        <v>-2.9214088109689738</v>
      </c>
      <c r="E24" s="710">
        <v>0.23602476769384229</v>
      </c>
      <c r="F24" s="708">
        <v>0.97174703963276932</v>
      </c>
      <c r="G24" s="711">
        <v>1.3008419243413466E-7</v>
      </c>
      <c r="H24" s="710">
        <v>0.3765</v>
      </c>
      <c r="I24" s="708">
        <v>0.52</v>
      </c>
      <c r="J24" s="570">
        <v>2.1419999999999999</v>
      </c>
      <c r="K24" s="865">
        <f>IF($J24="","",IF(IFERROR(INDEX(Settings!$AK$14:$AK$36,MATCH((((ROUND($H24,6)*2)*1000000)+ROUND($I24,6)),Settings!$AI$14:$AI$36,0)),"Undefined")="Undefined","Undefined",IFERROR(INDEX(_xlfn.ANCHORARRAY(Settings!$BC$14),MATCH(IFERROR(INDEX(Settings!$AK$14:$AK$36,MATCH((((ROUND($H24,6)*2)*1000000)+ROUND($I24,6)),Settings!$AI$14:$AI$36,0)),"Undefined"),_xlfn.ANCHORARRAY(Settings!$BC$14),0)),"Inactive")))</f>
        <v>1913</v>
      </c>
      <c r="L24" s="86"/>
      <c r="M24" s="168">
        <f t="shared" si="1"/>
        <v>2.1419999999999999</v>
      </c>
      <c r="N24" s="632">
        <f t="shared" si="2"/>
        <v>5.4465804559082676</v>
      </c>
      <c r="O24" s="629">
        <f t="shared" si="3"/>
        <v>2.1287866152192891</v>
      </c>
      <c r="P24" s="633">
        <f t="shared" si="4"/>
        <v>-2.9214088109689738</v>
      </c>
      <c r="Q24" s="585">
        <f t="shared" si="113"/>
        <v>21.347957934559449</v>
      </c>
      <c r="R24" s="629">
        <f t="shared" si="79"/>
        <v>5.847817637017994</v>
      </c>
      <c r="S24" s="634">
        <f t="shared" si="80"/>
        <v>-2.9214088109689738</v>
      </c>
      <c r="T24" s="635">
        <f t="shared" si="81"/>
        <v>2.1838118366033936</v>
      </c>
      <c r="U24" s="629">
        <f t="shared" si="82"/>
        <v>-5.4247522503916823</v>
      </c>
      <c r="V24" s="636">
        <f t="shared" si="114"/>
        <v>-2.9214088109689738</v>
      </c>
      <c r="W24" s="585">
        <f t="shared" si="224"/>
        <v>291.92795785081785</v>
      </c>
      <c r="X24" s="629">
        <f t="shared" si="83"/>
        <v>5.847817637017994</v>
      </c>
      <c r="Y24" s="630">
        <f t="shared" si="223"/>
        <v>-2.9214088109689738</v>
      </c>
      <c r="Z24" s="632">
        <f t="shared" si="6"/>
        <v>-0.23602476769384229</v>
      </c>
      <c r="AA24" s="629">
        <f t="shared" si="7"/>
        <v>-0.97174703963276932</v>
      </c>
      <c r="AB24" s="629">
        <f t="shared" si="8"/>
        <v>-1.3008419243413466E-7</v>
      </c>
      <c r="AC24" s="636">
        <f t="shared" si="84"/>
        <v>1</v>
      </c>
      <c r="AD24" s="637">
        <f t="shared" si="115"/>
        <v>-0.23602476769384229</v>
      </c>
      <c r="AE24" s="629">
        <f t="shared" si="85"/>
        <v>-0.97174703963276932</v>
      </c>
      <c r="AF24" s="633">
        <f t="shared" si="86"/>
        <v>-1.3008419243413466E-7</v>
      </c>
      <c r="AG24" s="602">
        <f t="shared" si="87"/>
        <v>-89.999992330025307</v>
      </c>
      <c r="AH24" s="603">
        <f t="shared" si="88"/>
        <v>103.6520370120657</v>
      </c>
      <c r="AI24" s="585">
        <f t="shared" si="89"/>
        <v>-89.999992546724783</v>
      </c>
      <c r="AJ24" s="586">
        <f t="shared" si="90"/>
        <v>-13.652037012065826</v>
      </c>
      <c r="AK24" s="635">
        <f>IF(M24="","",(COS(RADIANS((90-$Q$8)-W24))*AD24)+(-SIN(RADIANS((90-$Q$8)-W24))*AE24))</f>
        <v>0.8191520948772919</v>
      </c>
      <c r="AL24" s="629">
        <f t="shared" si="91"/>
        <v>-0.5735763641034447</v>
      </c>
      <c r="AM24" s="634">
        <f t="shared" si="92"/>
        <v>-1.3008419243413466E-7</v>
      </c>
      <c r="AN24" s="581">
        <f t="shared" si="93"/>
        <v>-89.999987005609597</v>
      </c>
      <c r="AO24" s="582">
        <f t="shared" si="94"/>
        <v>34.999994946625968</v>
      </c>
      <c r="AP24" s="585">
        <f t="shared" si="95"/>
        <v>-34.999994946625279</v>
      </c>
      <c r="AQ24" s="586">
        <f t="shared" si="9"/>
        <v>0.38983627646572433</v>
      </c>
      <c r="AS24" s="52">
        <f t="shared" si="116"/>
        <v>-68.072042149182153</v>
      </c>
      <c r="AT24" s="72">
        <f t="shared" si="10"/>
        <v>-2.8737337817568624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2.1419999999999999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>
        <f t="shared" si="112"/>
        <v>1913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5.8343283632935874</v>
      </c>
      <c r="C25" s="708">
        <v>0.51043322073648234</v>
      </c>
      <c r="D25" s="709">
        <v>-1.9852866552869648</v>
      </c>
      <c r="E25" s="710">
        <v>0.90285898227846795</v>
      </c>
      <c r="F25" s="708">
        <v>7.8989477065584263E-2</v>
      </c>
      <c r="G25" s="711">
        <v>0.42261841019055801</v>
      </c>
      <c r="H25" s="710">
        <v>0.25700000000000001</v>
      </c>
      <c r="I25" s="708">
        <v>0.45500000000000002</v>
      </c>
      <c r="J25" s="570">
        <v>2.3359999999999999</v>
      </c>
      <c r="K25" s="865" t="str">
        <f>IF($J25="","",IF(IFERROR(INDEX(Settings!$AK$14:$AK$36,MATCH((((ROUND($H25,6)*2)*1000000)+ROUND($I25,6)),Settings!$AI$14:$AI$36,0)),"Undefined")="Undefined","Undefined",IFERROR(INDEX(_xlfn.ANCHORARRAY(Settings!$BC$14),MATCH(IFERROR(INDEX(Settings!$AK$14:$AK$36,MATCH((((ROUND($H25,6)*2)*1000000)+ROUND($I25,6)),Settings!$AI$14:$AI$36,0)),"Undefined"),_xlfn.ANCHORARRAY(Settings!$BC$14),0)),"Inactive")))</f>
        <v>Inactive</v>
      </c>
      <c r="L25" s="86"/>
      <c r="M25" s="168">
        <f t="shared" si="1"/>
        <v>2.3359999999999999</v>
      </c>
      <c r="N25" s="632">
        <f t="shared" si="2"/>
        <v>5.8343283632935874</v>
      </c>
      <c r="O25" s="629">
        <f t="shared" si="3"/>
        <v>0.51043322073648234</v>
      </c>
      <c r="P25" s="633">
        <f t="shared" si="4"/>
        <v>-1.9852866552869648</v>
      </c>
      <c r="Q25" s="585">
        <f t="shared" si="113"/>
        <v>4.9999574072759501</v>
      </c>
      <c r="R25" s="629">
        <f>IF(M25="","",SQRT(N25^2+O25^2))</f>
        <v>5.856614168917349</v>
      </c>
      <c r="S25" s="634">
        <f>IF(M25="","",P25)</f>
        <v>-1.9852866552869648</v>
      </c>
      <c r="T25" s="635">
        <f>IF(M25="","",X25*COS(RADIANS(W25)))</f>
        <v>0.56946642982963636</v>
      </c>
      <c r="U25" s="629">
        <f>IF(M25="","",X25*SIN(RADIANS(W25)))</f>
        <v>-5.8288624541037626</v>
      </c>
      <c r="V25" s="636">
        <f>IF(M25="","",Y25)</f>
        <v>-1.9852866552869648</v>
      </c>
      <c r="W25" s="585">
        <f t="shared" si="224"/>
        <v>275.5799573235343</v>
      </c>
      <c r="X25" s="629">
        <f>IF(M25="","",R25)</f>
        <v>5.856614168917349</v>
      </c>
      <c r="Y25" s="630">
        <f t="shared" si="223"/>
        <v>-1.9852866552869648</v>
      </c>
      <c r="Z25" s="632">
        <f t="shared" si="6"/>
        <v>-0.90285898227846795</v>
      </c>
      <c r="AA25" s="629">
        <f t="shared" si="7"/>
        <v>-7.8989477065584263E-2</v>
      </c>
      <c r="AB25" s="629">
        <f t="shared" si="8"/>
        <v>-0.42261841019055801</v>
      </c>
      <c r="AC25" s="636">
        <f>IF(M25="","",SQRT(Z25^2+AA25^2+AB25^2))</f>
        <v>1</v>
      </c>
      <c r="AD25" s="637">
        <f>IF(M25="","",Z25*(1/SQRT(Z25^2+AA25^2+AB25^2)))</f>
        <v>-0.90285898227846795</v>
      </c>
      <c r="AE25" s="629">
        <f>IF(M25="","",AA25*(1/SQRT(Z25^2+AA25^2+AB25^2)))</f>
        <v>-7.8989477065584263E-2</v>
      </c>
      <c r="AF25" s="633">
        <f>IF(M25="","",AB25*(1/SQRT(Z25^2+AA25^2+AB25^2)))</f>
        <v>-0.42261841019055801</v>
      </c>
      <c r="AG25" s="602">
        <f>IF(M25="","",DEGREES(ATAN2(-AF25,AE25)))</f>
        <v>-10.586716335747147</v>
      </c>
      <c r="AH25" s="603">
        <f>IF(M25="","",DEGREES(ACOS(AD25)))</f>
        <v>154.53645016873222</v>
      </c>
      <c r="AI25" s="585">
        <f>IF(M25="","",DEGREES(-ACOS(-AF25)))</f>
        <v>-64.999990615163185</v>
      </c>
      <c r="AJ25" s="586">
        <f>IF(M25="","",DEGREES(ATAN2(-AE25,AD25)))</f>
        <v>-85.000028254999521</v>
      </c>
      <c r="AK25" s="635">
        <f>IF(M25="","",(COS(RADIANS((90-$Q$8)-W25))*AD25)+(-SIN(RADIANS((90-$Q$8)-W25))*AE25))</f>
        <v>2.2679489716792567E-7</v>
      </c>
      <c r="AL25" s="629">
        <f>IF(M25="","",(SIN(RADIANS((90-$Q$8)-W25))*AD25)+(COS(RADIANS((90-$Q$8)-W25))*AE25))</f>
        <v>-0.90630771781330099</v>
      </c>
      <c r="AM25" s="634">
        <f>IF(M25="","",AF25)</f>
        <v>-0.42261841019055801</v>
      </c>
      <c r="AN25" s="581">
        <f>IF(M25="","",DEGREES(ATAN2(-AM25,AL25)))</f>
        <v>-64.999990615162488</v>
      </c>
      <c r="AO25" s="582">
        <f>IF(ROUND(IF(M25="",0,DEGREES(ACOS(AK25))),4)=90,0,IF(M25="","",DEGREES(ACOS(AK25))))</f>
        <v>0</v>
      </c>
      <c r="AP25" s="585">
        <f>IF(M25="","",DEGREES(ATAN2(AK25,AL25)))</f>
        <v>-89.999985662275449</v>
      </c>
      <c r="AQ25" s="586">
        <f t="shared" si="9"/>
        <v>0.38925076723655261</v>
      </c>
      <c r="AS25" s="52">
        <f t="shared" si="116"/>
        <v>-84.420042676465698</v>
      </c>
      <c r="AT25" s="72">
        <f t="shared" si="10"/>
        <v>-1.9262588479309064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>Gage</v>
      </c>
      <c r="IG25" s="847">
        <f t="shared" si="210"/>
        <v>2.3359999999999999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2.1360000000000001</v>
      </c>
      <c r="II25" s="734" cm="1">
        <f t="array" ref="II25">IFERROR(IF($IH25&lt;1,$IH25+LARGE((IF($M$9:$M$150="",0,$M$9:$M$150)-MOD(IF($M$9:$M$150="",0,$M$9:$M$150),1)),1),$IH25),"")</f>
        <v>2.1360000000000001</v>
      </c>
      <c r="IJ25" s="533">
        <f t="shared" si="112"/>
        <v>1913</v>
      </c>
      <c r="IK25" s="533" t="str">
        <f t="shared" si="66"/>
        <v>Inactive</v>
      </c>
      <c r="IL25" s="727">
        <f t="shared" si="225"/>
        <v>16.420000516887967</v>
      </c>
      <c r="IM25" s="759">
        <v>8.8100780297595306E-3</v>
      </c>
      <c r="IN25" s="5">
        <f t="shared" si="226"/>
        <v>0.64</v>
      </c>
      <c r="IO25" s="771">
        <v>320</v>
      </c>
      <c r="IP25" s="9">
        <f t="shared" si="227"/>
        <v>-5.7913174666134797</v>
      </c>
      <c r="IQ25" s="5">
        <f t="shared" si="228"/>
        <v>-1.9856059885876616</v>
      </c>
      <c r="IR25" s="5">
        <f t="shared" si="71"/>
        <v>0.3765</v>
      </c>
      <c r="IS25" s="5">
        <f t="shared" si="229"/>
        <v>0.32969900853871625</v>
      </c>
      <c r="IT25" s="727">
        <f t="shared" si="230"/>
        <v>74.451220794961614</v>
      </c>
      <c r="IU25" s="9">
        <f t="shared" si="231"/>
        <v>-5.856614168917349</v>
      </c>
      <c r="IV25" s="5">
        <f t="shared" si="232"/>
        <v>-1.9852866552869648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64.999990615162488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0.82554357776002785</v>
      </c>
      <c r="C26" s="708">
        <v>-0.57805256483565259</v>
      </c>
      <c r="D26" s="709">
        <v>-0.70780213473123832</v>
      </c>
      <c r="E26" s="710">
        <v>0.49916002344389954</v>
      </c>
      <c r="F26" s="708">
        <v>0.82966215254342957</v>
      </c>
      <c r="G26" s="711">
        <v>0.24999996726497567</v>
      </c>
      <c r="H26" s="710">
        <v>0.3765</v>
      </c>
      <c r="I26" s="708">
        <v>0.52</v>
      </c>
      <c r="J26" s="570">
        <v>3.1030000000000002</v>
      </c>
      <c r="K26" s="865">
        <f>IF($J26="","",IF(IFERROR(INDEX(Settings!$AK$14:$AK$36,MATCH((((ROUND($H26,6)*2)*1000000)+ROUND($I26,6)),Settings!$AI$14:$AI$36,0)),"Undefined")="Undefined","Undefined",IFERROR(INDEX(_xlfn.ANCHORARRAY(Settings!$BC$14),MATCH(IFERROR(INDEX(Settings!$AK$14:$AK$36,MATCH((((ROUND($H26,6)*2)*1000000)+ROUND($I26,6)),Settings!$AI$14:$AI$36,0)),"Undefined"),_xlfn.ANCHORARRAY(Settings!$BC$14),0)),"Inactive")))</f>
        <v>1913</v>
      </c>
      <c r="L26" s="320"/>
      <c r="M26" s="168">
        <f t="shared" si="1"/>
        <v>3.1030000000000002</v>
      </c>
      <c r="N26" s="632">
        <f t="shared" si="2"/>
        <v>0.82554357776002785</v>
      </c>
      <c r="O26" s="629">
        <f t="shared" si="3"/>
        <v>-0.57805256483565259</v>
      </c>
      <c r="P26" s="633">
        <f t="shared" si="4"/>
        <v>-0.70780213473123832</v>
      </c>
      <c r="Q26" s="585">
        <f t="shared" si="113"/>
        <v>324.9999660702029</v>
      </c>
      <c r="R26" s="629">
        <f>IF(M26="","",SQRT(N26^2+O26^2))</f>
        <v>1.0078030395339674</v>
      </c>
      <c r="S26" s="634">
        <f>IF(M26="","",P26)</f>
        <v>-0.70780213473123832</v>
      </c>
      <c r="T26" s="635">
        <f>IF(M26="","",X26*COS(RADIANS(W26)))</f>
        <v>-0.56966618849318462</v>
      </c>
      <c r="U26" s="629">
        <f>IF(M26="","",X26*SIN(RADIANS(W26)))</f>
        <v>-0.83135275315689605</v>
      </c>
      <c r="V26" s="636">
        <f>IF(M26="","",Y26)</f>
        <v>-0.70780213473123832</v>
      </c>
      <c r="W26" s="585">
        <f t="shared" si="224"/>
        <v>235.57996598646127</v>
      </c>
      <c r="X26" s="629">
        <f>IF(M26="","",R26)</f>
        <v>1.0078030395339674</v>
      </c>
      <c r="Y26" s="630">
        <f t="shared" si="223"/>
        <v>-0.70780213473123832</v>
      </c>
      <c r="Z26" s="632">
        <f t="shared" si="6"/>
        <v>-0.49916002344389954</v>
      </c>
      <c r="AA26" s="629">
        <f t="shared" si="7"/>
        <v>-0.82966215254342957</v>
      </c>
      <c r="AB26" s="629">
        <f t="shared" si="8"/>
        <v>-0.24999996726497567</v>
      </c>
      <c r="AC26" s="636">
        <f>IF(M26="","",SQRT(Z26^2+AA26^2+AB26^2))</f>
        <v>1</v>
      </c>
      <c r="AD26" s="637">
        <f>IF(M26="","",Z26*(1/SQRT(Z26^2+AA26^2+AB26^2)))</f>
        <v>-0.49916002344389954</v>
      </c>
      <c r="AE26" s="629">
        <f>IF(M26="","",AA26*(1/SQRT(Z26^2+AA26^2+AB26^2)))</f>
        <v>-0.82966215254342957</v>
      </c>
      <c r="AF26" s="633">
        <f>IF(M26="","",AB26*(1/SQRT(Z26^2+AA26^2+AB26^2)))</f>
        <v>-0.24999996726497567</v>
      </c>
      <c r="AG26" s="602">
        <f>IF(M26="","",DEGREES(ATAN2(-AF26,AE26)))</f>
        <v>-73.231004817230939</v>
      </c>
      <c r="AH26" s="603">
        <f>IF(M26="","",DEGREES(ACOS(AD26)))</f>
        <v>119.94444314080609</v>
      </c>
      <c r="AI26" s="585">
        <f>IF(M26="","",DEGREES(-ACOS(-AF26)))</f>
        <v>-75.522489751159455</v>
      </c>
      <c r="AJ26" s="586">
        <f>IF(M26="","",DEGREES(ATAN2(-AE26,AD26)))</f>
        <v>-31.032904284710551</v>
      </c>
      <c r="AK26" s="635">
        <f>IF(M26="","",(COS(RADIANS((90-$Q$8)-W26))*AD26)+(-SIN(RADIANS((90-$Q$8)-W26))*AE26))</f>
        <v>0.96592583607220761</v>
      </c>
      <c r="AL26" s="629">
        <f>IF(M26="","",(SIN(RADIANS((90-$Q$8)-W26))*AD26)+(COS(RADIANS((90-$Q$8)-W26))*AE26))</f>
        <v>6.6987279208207129E-2</v>
      </c>
      <c r="AM26" s="634">
        <f>IF(M26="","",AF26)</f>
        <v>-0.24999996726497567</v>
      </c>
      <c r="AN26" s="581">
        <f>IF(M26="","",DEGREES(ATAN2(-AM26,AL26)))</f>
        <v>14.999997834268251</v>
      </c>
      <c r="AO26" s="582">
        <f t="shared" si="94"/>
        <v>14.999997834268203</v>
      </c>
      <c r="AP26" s="585">
        <f>IF(M26="","",DEGREES(ATAN2(AK26,AL26)))</f>
        <v>3.9671296450865663</v>
      </c>
      <c r="AQ26" s="586">
        <f t="shared" si="9"/>
        <v>2.2609013484193867</v>
      </c>
      <c r="AS26" s="52">
        <f t="shared" si="116"/>
        <v>-124.42003401353873</v>
      </c>
      <c r="AT26" s="72">
        <f t="shared" si="10"/>
        <v>-0.62099655561332368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3.1030000000000002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>
        <f t="shared" si="112"/>
        <v>1913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1.567369598815278</v>
      </c>
      <c r="C27" s="708">
        <v>-1.0974853915028155</v>
      </c>
      <c r="D27" s="709">
        <v>-0.46510140274583073</v>
      </c>
      <c r="E27" s="710">
        <v>0.49916002344389959</v>
      </c>
      <c r="F27" s="708">
        <v>0.82966215254342957</v>
      </c>
      <c r="G27" s="711">
        <v>0.2499999672649757</v>
      </c>
      <c r="H27" s="710">
        <v>0.3765</v>
      </c>
      <c r="I27" s="708">
        <v>0.52</v>
      </c>
      <c r="J27" s="570">
        <v>3.1059999999999999</v>
      </c>
      <c r="K27" s="865">
        <f>IF($J27="","",IF(IFERROR(INDEX(Settings!$AK$14:$AK$36,MATCH((((ROUND($H27,6)*2)*1000000)+ROUND($I27,6)),Settings!$AI$14:$AI$36,0)),"Undefined")="Undefined","Undefined",IFERROR(INDEX(_xlfn.ANCHORARRAY(Settings!$BC$14),MATCH(IFERROR(INDEX(Settings!$AK$14:$AK$36,MATCH((((ROUND($H27,6)*2)*1000000)+ROUND($I27,6)),Settings!$AI$14:$AI$36,0)),"Undefined"),_xlfn.ANCHORARRAY(Settings!$BC$14),0)),"Inactive")))</f>
        <v>1913</v>
      </c>
      <c r="L27" s="320"/>
      <c r="M27" s="168">
        <f t="shared" si="1"/>
        <v>3.1059999999999999</v>
      </c>
      <c r="N27" s="632">
        <f t="shared" si="2"/>
        <v>1.567369598815278</v>
      </c>
      <c r="O27" s="629">
        <f t="shared" si="3"/>
        <v>-1.0974853915028155</v>
      </c>
      <c r="P27" s="633">
        <f t="shared" si="4"/>
        <v>-0.46510140274583073</v>
      </c>
      <c r="Q27" s="585">
        <f t="shared" si="113"/>
        <v>324.9999660702029</v>
      </c>
      <c r="R27" s="629">
        <f t="shared" si="79"/>
        <v>1.9134057708318049</v>
      </c>
      <c r="S27" s="634">
        <f t="shared" si="80"/>
        <v>-0.46510140274583073</v>
      </c>
      <c r="T27" s="635">
        <f t="shared" si="81"/>
        <v>-1.0815630929379432</v>
      </c>
      <c r="U27" s="629">
        <f t="shared" si="82"/>
        <v>-1.5783988468847041</v>
      </c>
      <c r="V27" s="636">
        <f t="shared" si="114"/>
        <v>-0.46510140274583073</v>
      </c>
      <c r="W27" s="585">
        <f t="shared" si="224"/>
        <v>235.57996598646127</v>
      </c>
      <c r="X27" s="629">
        <f t="shared" si="83"/>
        <v>1.9134057708318049</v>
      </c>
      <c r="Y27" s="630">
        <f t="shared" si="223"/>
        <v>-0.46510140274583073</v>
      </c>
      <c r="Z27" s="632">
        <f t="shared" si="6"/>
        <v>-0.49916002344389959</v>
      </c>
      <c r="AA27" s="629">
        <f t="shared" si="7"/>
        <v>-0.82966215254342957</v>
      </c>
      <c r="AB27" s="629">
        <f t="shared" si="8"/>
        <v>-0.2499999672649757</v>
      </c>
      <c r="AC27" s="636">
        <f t="shared" si="84"/>
        <v>1</v>
      </c>
      <c r="AD27" s="637">
        <f t="shared" si="115"/>
        <v>-0.49916002344389959</v>
      </c>
      <c r="AE27" s="629">
        <f t="shared" si="85"/>
        <v>-0.82966215254342957</v>
      </c>
      <c r="AF27" s="633">
        <f t="shared" si="86"/>
        <v>-0.2499999672649757</v>
      </c>
      <c r="AG27" s="602">
        <f t="shared" si="87"/>
        <v>-73.231004817230939</v>
      </c>
      <c r="AH27" s="603">
        <f t="shared" si="88"/>
        <v>119.94444314080611</v>
      </c>
      <c r="AI27" s="585">
        <f t="shared" si="89"/>
        <v>-75.522489751159455</v>
      </c>
      <c r="AJ27" s="586">
        <f t="shared" si="90"/>
        <v>-31.032904284710558</v>
      </c>
      <c r="AK27" s="635">
        <f t="shared" si="211"/>
        <v>0.96592583607220761</v>
      </c>
      <c r="AL27" s="629">
        <f t="shared" si="91"/>
        <v>6.6987279208207073E-2</v>
      </c>
      <c r="AM27" s="634">
        <f t="shared" si="92"/>
        <v>-0.2499999672649757</v>
      </c>
      <c r="AN27" s="581">
        <f t="shared" si="93"/>
        <v>14.999997834268239</v>
      </c>
      <c r="AO27" s="582">
        <f t="shared" si="94"/>
        <v>14.999997834268203</v>
      </c>
      <c r="AP27" s="585">
        <f t="shared" si="95"/>
        <v>3.9671296450865632</v>
      </c>
      <c r="AQ27" s="586">
        <f t="shared" si="9"/>
        <v>1.1912779567558134</v>
      </c>
      <c r="AS27" s="52">
        <f t="shared" si="116"/>
        <v>-124.42003401353873</v>
      </c>
      <c r="AT27" s="72">
        <f t="shared" si="10"/>
        <v>-0.37829582362791608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3.1059999999999999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1913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2.2994215426893692</v>
      </c>
      <c r="C28" s="708">
        <v>-1.6306151326093032</v>
      </c>
      <c r="D28" s="709">
        <v>-0.22250067106202395</v>
      </c>
      <c r="E28" s="710">
        <v>0.53145547589701669</v>
      </c>
      <c r="F28" s="708">
        <v>0.80654135120354331</v>
      </c>
      <c r="G28" s="711">
        <v>0.25893266680324106</v>
      </c>
      <c r="H28" s="710">
        <v>0.3765</v>
      </c>
      <c r="I28" s="708">
        <v>0.52</v>
      </c>
      <c r="J28" s="570">
        <v>3.1110000000000002</v>
      </c>
      <c r="K28" s="865">
        <f>IF($J28="","",IF(IFERROR(INDEX(Settings!$AK$14:$AK$36,MATCH((((ROUND($H28,6)*2)*1000000)+ROUND($I28,6)),Settings!$AI$14:$AI$36,0)),"Undefined")="Undefined","Undefined",IFERROR(INDEX(_xlfn.ANCHORARRAY(Settings!$BC$14),MATCH(IFERROR(INDEX(Settings!$AK$14:$AK$36,MATCH((((ROUND($H28,6)*2)*1000000)+ROUND($I28,6)),Settings!$AI$14:$AI$36,0)),"Undefined"),_xlfn.ANCHORARRAY(Settings!$BC$14),0)),"Inactive")))</f>
        <v>1913</v>
      </c>
      <c r="L28" s="320"/>
      <c r="M28" s="168">
        <f t="shared" si="1"/>
        <v>3.1110000000000002</v>
      </c>
      <c r="N28" s="632">
        <f t="shared" si="2"/>
        <v>2.2994215426893692</v>
      </c>
      <c r="O28" s="629">
        <f t="shared" si="3"/>
        <v>-1.6306151326093032</v>
      </c>
      <c r="P28" s="633">
        <f t="shared" si="4"/>
        <v>-0.22250067106202395</v>
      </c>
      <c r="Q28" s="585">
        <f t="shared" si="113"/>
        <v>324.65796611958154</v>
      </c>
      <c r="R28" s="629">
        <f t="shared" si="79"/>
        <v>2.8189085018280418</v>
      </c>
      <c r="S28" s="634">
        <f t="shared" si="80"/>
        <v>-0.22250067106202395</v>
      </c>
      <c r="T28" s="635">
        <f t="shared" si="81"/>
        <v>-1.6072551504404455</v>
      </c>
      <c r="U28" s="629">
        <f t="shared" si="82"/>
        <v>-2.3158100144573766</v>
      </c>
      <c r="V28" s="636">
        <f t="shared" si="114"/>
        <v>-0.22250067106202395</v>
      </c>
      <c r="W28" s="585">
        <f t="shared" si="224"/>
        <v>235.23796603583992</v>
      </c>
      <c r="X28" s="629">
        <f t="shared" si="83"/>
        <v>2.8189085018280418</v>
      </c>
      <c r="Y28" s="630">
        <f t="shared" si="223"/>
        <v>-0.22250067106202395</v>
      </c>
      <c r="Z28" s="632">
        <f t="shared" si="6"/>
        <v>-0.53145547589701669</v>
      </c>
      <c r="AA28" s="629">
        <f t="shared" si="7"/>
        <v>-0.80654135120354331</v>
      </c>
      <c r="AB28" s="629">
        <f t="shared" si="8"/>
        <v>-0.25893266680324106</v>
      </c>
      <c r="AC28" s="636">
        <f t="shared" si="84"/>
        <v>1</v>
      </c>
      <c r="AD28" s="637">
        <f t="shared" si="115"/>
        <v>-0.53145547589701669</v>
      </c>
      <c r="AE28" s="629">
        <f t="shared" si="85"/>
        <v>-0.80654135120354331</v>
      </c>
      <c r="AF28" s="633">
        <f t="shared" si="86"/>
        <v>-0.25893266680324106</v>
      </c>
      <c r="AG28" s="602">
        <f t="shared" si="87"/>
        <v>-72.201251417868676</v>
      </c>
      <c r="AH28" s="603">
        <f t="shared" si="88"/>
        <v>122.10384831389585</v>
      </c>
      <c r="AI28" s="585">
        <f t="shared" si="89"/>
        <v>-74.993260200371623</v>
      </c>
      <c r="AJ28" s="586">
        <f t="shared" si="90"/>
        <v>-33.382144354077575</v>
      </c>
      <c r="AK28" s="635">
        <f t="shared" si="211"/>
        <v>0.96533033887701925</v>
      </c>
      <c r="AL28" s="629">
        <f t="shared" si="91"/>
        <v>3.3033481586733415E-2</v>
      </c>
      <c r="AM28" s="634">
        <f t="shared" si="92"/>
        <v>-0.25893266680324106</v>
      </c>
      <c r="AN28" s="581">
        <f t="shared" si="93"/>
        <v>7.270268775877831</v>
      </c>
      <c r="AO28" s="582">
        <f t="shared" si="94"/>
        <v>15.131264319455699</v>
      </c>
      <c r="AP28" s="585">
        <f t="shared" si="95"/>
        <v>1.9598895263409015</v>
      </c>
      <c r="AQ28" s="586">
        <f t="shared" si="9"/>
        <v>0.80867302031041377</v>
      </c>
      <c r="AS28" s="52">
        <f t="shared" si="116"/>
        <v>-124.76203396416008</v>
      </c>
      <c r="AT28" s="72">
        <f t="shared" si="10"/>
        <v>-0.13545759197840002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3.1110000000000002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1913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3.0256993134619292</v>
      </c>
      <c r="C29" s="708">
        <v>-2.2122910406379499</v>
      </c>
      <c r="D29" s="709">
        <v>-0.10730032361777612</v>
      </c>
      <c r="E29" s="710">
        <v>0.63375253886044614</v>
      </c>
      <c r="F29" s="708">
        <v>0.7304946996879349</v>
      </c>
      <c r="G29" s="711">
        <v>0.25443115614203465</v>
      </c>
      <c r="H29" s="710">
        <v>0.3765</v>
      </c>
      <c r="I29" s="708">
        <v>0.52</v>
      </c>
      <c r="J29" s="570">
        <v>3.117</v>
      </c>
      <c r="K29" s="865">
        <f>IF($J29="","",IF(IFERROR(INDEX(Settings!$AK$14:$AK$36,MATCH((((ROUND($H29,6)*2)*1000000)+ROUND($I29,6)),Settings!$AI$14:$AI$36,0)),"Undefined")="Undefined","Undefined",IFERROR(INDEX(_xlfn.ANCHORARRAY(Settings!$BC$14),MATCH(IFERROR(INDEX(Settings!$AK$14:$AK$36,MATCH((((ROUND($H29,6)*2)*1000000)+ROUND($I29,6)),Settings!$AI$14:$AI$36,0)),"Undefined"),_xlfn.ANCHORARRAY(Settings!$BC$14),0)),"Inactive")))</f>
        <v>1913</v>
      </c>
      <c r="L29" s="86"/>
      <c r="M29" s="168">
        <f t="shared" si="1"/>
        <v>3.117</v>
      </c>
      <c r="N29" s="632">
        <f t="shared" si="2"/>
        <v>3.0256993134619292</v>
      </c>
      <c r="O29" s="629">
        <f t="shared" si="3"/>
        <v>-2.2122910406379499</v>
      </c>
      <c r="P29" s="633">
        <f t="shared" si="4"/>
        <v>-0.10730032361777612</v>
      </c>
      <c r="Q29" s="585">
        <f t="shared" si="113"/>
        <v>323.82696623956309</v>
      </c>
      <c r="R29" s="629">
        <f>IF(M29="","",SQRT(N29^2+O29^2))</f>
        <v>3.7482113046052956</v>
      </c>
      <c r="S29" s="634">
        <f>IF(M29="","",P29)</f>
        <v>-0.10730032361777612</v>
      </c>
      <c r="T29" s="635">
        <f>IF(M29="","",X29*COS(RADIANS(W29)))</f>
        <v>-2.181549337970059</v>
      </c>
      <c r="U29" s="629">
        <f>IF(M29="","",X29*SIN(RADIANS(W29)))</f>
        <v>-3.0479387247734051</v>
      </c>
      <c r="V29" s="636">
        <f>IF(M29="","",Y29)</f>
        <v>-0.10730032361777612</v>
      </c>
      <c r="W29" s="585">
        <f t="shared" si="224"/>
        <v>234.40696615582146</v>
      </c>
      <c r="X29" s="629">
        <f>IF(M29="","",R29)</f>
        <v>3.7482113046052956</v>
      </c>
      <c r="Y29" s="630">
        <f t="shared" si="223"/>
        <v>-0.10730032361777612</v>
      </c>
      <c r="Z29" s="632">
        <f t="shared" si="6"/>
        <v>-0.63375253886044614</v>
      </c>
      <c r="AA29" s="629">
        <f t="shared" si="7"/>
        <v>-0.7304946996879349</v>
      </c>
      <c r="AB29" s="629">
        <f t="shared" si="8"/>
        <v>-0.25443115614203465</v>
      </c>
      <c r="AC29" s="636">
        <f>IF(M29="","",SQRT(Z29^2+AA29^2+AB29^2))</f>
        <v>1</v>
      </c>
      <c r="AD29" s="637">
        <f>IF(M29="","",Z29*(1/SQRT(Z29^2+AA29^2+AB29^2)))</f>
        <v>-0.63375253886044614</v>
      </c>
      <c r="AE29" s="629">
        <f>IF(M29="","",AA29*(1/SQRT(Z29^2+AA29^2+AB29^2)))</f>
        <v>-0.7304946996879349</v>
      </c>
      <c r="AF29" s="633">
        <f>IF(M29="","",AB29*(1/SQRT(Z29^2+AA29^2+AB29^2)))</f>
        <v>-0.25443115614203465</v>
      </c>
      <c r="AG29" s="602">
        <f>IF(M29="","",DEGREES(ATAN2(-AF29,AE29)))</f>
        <v>-70.796783188049574</v>
      </c>
      <c r="AH29" s="603">
        <f>IF(M29="","",DEGREES(ACOS(AD29)))</f>
        <v>129.32752389235401</v>
      </c>
      <c r="AI29" s="585">
        <f>IF(M29="","",DEGREES(-ACOS(-AF29)))</f>
        <v>-75.260118895672647</v>
      </c>
      <c r="AJ29" s="586">
        <f>IF(M29="","",DEGREES(ATAN2(-AE29,AD29)))</f>
        <v>-40.943803813637537</v>
      </c>
      <c r="AK29" s="635">
        <f>IF(M29="","",(COS(RADIANS((90-$Q$8)-W29))*AD29)+(-SIN(RADIANS((90-$Q$8)-W29))*AE29))</f>
        <v>0.96374032344376448</v>
      </c>
      <c r="AL29" s="629">
        <f>IF(M29="","",(SIN(RADIANS((90-$Q$8)-W29))*AD29)+(COS(RADIANS((90-$Q$8)-W29))*AE29))</f>
        <v>-8.0432429732887112E-2</v>
      </c>
      <c r="AM29" s="634">
        <f>IF(M29="","",AF29)</f>
        <v>-0.25443115614203465</v>
      </c>
      <c r="AN29" s="581">
        <f>IF(M29="","",DEGREES(ATAN2(-AM29,AL29)))</f>
        <v>-17.543125574621076</v>
      </c>
      <c r="AO29" s="582">
        <f t="shared" si="94"/>
        <v>15.476426386835149</v>
      </c>
      <c r="AP29" s="585">
        <f>IF(M29="","",DEGREES(ATAN2(AK29,AL29)))</f>
        <v>-4.7707700532006383</v>
      </c>
      <c r="AQ29" s="586">
        <f t="shared" si="9"/>
        <v>0.60819436818258188</v>
      </c>
      <c r="AS29" s="52">
        <f t="shared" si="116"/>
        <v>-125.59303384417854</v>
      </c>
      <c r="AT29" s="72">
        <f t="shared" si="10"/>
        <v>-1.9680161284139394E-2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3.117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1913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3.7028259439445561</v>
      </c>
      <c r="C30" s="708">
        <v>-2.8076484631299166</v>
      </c>
      <c r="D30" s="709">
        <v>-0.37420112859060384</v>
      </c>
      <c r="E30" s="710">
        <v>0.72425436135570476</v>
      </c>
      <c r="F30" s="708">
        <v>0.65756446681389502</v>
      </c>
      <c r="G30" s="711">
        <v>0.20752010033006008</v>
      </c>
      <c r="H30" s="710">
        <v>0.3765</v>
      </c>
      <c r="I30" s="708">
        <v>0.52</v>
      </c>
      <c r="J30" s="570">
        <v>3.1230000000000002</v>
      </c>
      <c r="K30" s="865">
        <f>IF($J30="","",IF(IFERROR(INDEX(Settings!$AK$14:$AK$36,MATCH((((ROUND($H30,6)*2)*1000000)+ROUND($I30,6)),Settings!$AI$14:$AI$36,0)),"Undefined")="Undefined","Undefined",IFERROR(INDEX(_xlfn.ANCHORARRAY(Settings!$BC$14),MATCH(IFERROR(INDEX(Settings!$AK$14:$AK$36,MATCH((((ROUND($H30,6)*2)*1000000)+ROUND($I30,6)),Settings!$AI$14:$AI$36,0)),"Undefined"),_xlfn.ANCHORARRAY(Settings!$BC$14),0)),"Inactive")))</f>
        <v>1913</v>
      </c>
      <c r="L30" s="86"/>
      <c r="M30" s="168">
        <f t="shared" si="1"/>
        <v>3.1230000000000002</v>
      </c>
      <c r="N30" s="632">
        <f t="shared" si="2"/>
        <v>3.7028259439445561</v>
      </c>
      <c r="O30" s="629">
        <f t="shared" si="3"/>
        <v>-2.8076484631299166</v>
      </c>
      <c r="P30" s="633">
        <f t="shared" si="4"/>
        <v>-0.37420112859060384</v>
      </c>
      <c r="Q30" s="585">
        <f t="shared" si="113"/>
        <v>322.82896638365645</v>
      </c>
      <c r="R30" s="629">
        <f>IF(M30="","",SQRT(N30^2+O30^2))</f>
        <v>4.6469140150926691</v>
      </c>
      <c r="S30" s="634">
        <f>IF(M30="","",P30)</f>
        <v>-0.37420112859060384</v>
      </c>
      <c r="T30" s="635">
        <f>IF(M30="","",X30*COS(RADIANS(W30)))</f>
        <v>-2.7700218829576979</v>
      </c>
      <c r="U30" s="629">
        <f>IF(M30="","",X30*SIN(RADIANS(W30)))</f>
        <v>-3.7310573074666329</v>
      </c>
      <c r="V30" s="636">
        <f>IF(M30="","",Y30)</f>
        <v>-0.37420112859060384</v>
      </c>
      <c r="W30" s="585">
        <f t="shared" si="224"/>
        <v>233.40896629991482</v>
      </c>
      <c r="X30" s="629">
        <f>IF(M30="","",R30)</f>
        <v>4.6469140150926691</v>
      </c>
      <c r="Y30" s="630">
        <f t="shared" si="223"/>
        <v>-0.37420112859060384</v>
      </c>
      <c r="Z30" s="632">
        <f t="shared" si="6"/>
        <v>-0.72425436135570476</v>
      </c>
      <c r="AA30" s="629">
        <f t="shared" si="7"/>
        <v>-0.65756446681389502</v>
      </c>
      <c r="AB30" s="629">
        <f t="shared" si="8"/>
        <v>-0.20752010033006008</v>
      </c>
      <c r="AC30" s="636">
        <f>IF(M30="","",SQRT(Z30^2+AA30^2+AB30^2))</f>
        <v>1</v>
      </c>
      <c r="AD30" s="637">
        <f>IF(M30="","",Z30*(1/SQRT(Z30^2+AA30^2+AB30^2)))</f>
        <v>-0.72425436135570476</v>
      </c>
      <c r="AE30" s="629">
        <f>IF(M30="","",AA30*(1/SQRT(Z30^2+AA30^2+AB30^2)))</f>
        <v>-0.65756446681389502</v>
      </c>
      <c r="AF30" s="633">
        <f>IF(M30="","",AB30*(1/SQRT(Z30^2+AA30^2+AB30^2)))</f>
        <v>-0.20752010033006008</v>
      </c>
      <c r="AG30" s="602">
        <f>IF(M30="","",DEGREES(ATAN2(-AF30,AE30)))</f>
        <v>-72.48487791072759</v>
      </c>
      <c r="AH30" s="603">
        <f>IF(M30="","",DEGREES(ACOS(AD30)))</f>
        <v>136.40685478554792</v>
      </c>
      <c r="AI30" s="585">
        <f>IF(M30="","",DEGREES(-ACOS(-AF30)))</f>
        <v>-78.022936751359339</v>
      </c>
      <c r="AJ30" s="586">
        <f>IF(M30="","",DEGREES(ATAN2(-AE30,AD30)))</f>
        <v>-47.763087907362454</v>
      </c>
      <c r="AK30" s="635">
        <f>IF(M30="","",(COS(RADIANS((90-$Q$8)-W30))*AD30)+(-SIN(RADIANS((90-$Q$8)-W30))*AE30))</f>
        <v>0.96156253324195318</v>
      </c>
      <c r="AL30" s="629">
        <f>IF(M30="","",(SIN(RADIANS((90-$Q$8)-W30))*AD30)+(COS(RADIANS((90-$Q$8)-W30))*AE30))</f>
        <v>-0.17981352180611887</v>
      </c>
      <c r="AM30" s="634">
        <f>IF(M30="","",AF30)</f>
        <v>-0.20752010033006008</v>
      </c>
      <c r="AN30" s="581">
        <f>IF(M30="","",DEGREES(ATAN2(-AM30,AL30)))</f>
        <v>-40.908512362898811</v>
      </c>
      <c r="AO30" s="582">
        <f>IF(ROUND(IF(M30="",0,DEGREES(ACOS(AK30))),4)=90,0,IF(M30="","",DEGREES(ACOS(AK30))))</f>
        <v>15.937346517223727</v>
      </c>
      <c r="AP30" s="585">
        <f>IF(M30="","",DEGREES(ATAN2(AK30,AL30)))</f>
        <v>-10.59205429101892</v>
      </c>
      <c r="AQ30" s="586">
        <f t="shared" si="9"/>
        <v>0.49057738415530422</v>
      </c>
      <c r="AS30" s="52">
        <f t="shared" si="116"/>
        <v>-126.59103370008518</v>
      </c>
      <c r="AT30" s="72">
        <f t="shared" si="10"/>
        <v>-0.28588791080147635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3.1230000000000002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1913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340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4.220865431501192</v>
      </c>
      <c r="C31" s="708">
        <v>-3.3018596950456716</v>
      </c>
      <c r="D31" s="709">
        <v>-0.98410296805455166</v>
      </c>
      <c r="E31" s="710">
        <v>0.8169331026696357</v>
      </c>
      <c r="F31" s="708">
        <v>0.53827873212436539</v>
      </c>
      <c r="G31" s="711">
        <v>0.2070659612421808</v>
      </c>
      <c r="H31" s="710">
        <v>0.3765</v>
      </c>
      <c r="I31" s="708">
        <v>0.52</v>
      </c>
      <c r="J31" s="570">
        <v>3.129</v>
      </c>
      <c r="K31" s="865">
        <f>IF($J31="","",IF(IFERROR(INDEX(Settings!$AK$14:$AK$36,MATCH((((ROUND($H31,6)*2)*1000000)+ROUND($I31,6)),Settings!$AI$14:$AI$36,0)),"Undefined")="Undefined","Undefined",IFERROR(INDEX(_xlfn.ANCHORARRAY(Settings!$BC$14),MATCH(IFERROR(INDEX(Settings!$AK$14:$AK$36,MATCH((((ROUND($H31,6)*2)*1000000)+ROUND($I31,6)),Settings!$AI$14:$AI$36,0)),"Undefined"),_xlfn.ANCHORARRAY(Settings!$BC$14),0)),"Inactive")))</f>
        <v>1913</v>
      </c>
      <c r="L31" s="320"/>
      <c r="M31" s="168">
        <f t="shared" si="1"/>
        <v>3.129</v>
      </c>
      <c r="N31" s="632">
        <f t="shared" si="2"/>
        <v>4.220865431501192</v>
      </c>
      <c r="O31" s="629">
        <f t="shared" si="3"/>
        <v>-3.3018596950456716</v>
      </c>
      <c r="P31" s="633">
        <f t="shared" si="4"/>
        <v>-0.98410296805455166</v>
      </c>
      <c r="Q31" s="585">
        <f t="shared" si="113"/>
        <v>321.9649665084026</v>
      </c>
      <c r="R31" s="629">
        <f>IF(M31="","",SQRT(N31^2+O31^2))</f>
        <v>5.3589161624911474</v>
      </c>
      <c r="S31" s="634">
        <f>IF(M31="","",P31)</f>
        <v>-0.98410296805455166</v>
      </c>
      <c r="T31" s="635">
        <f>IF(M31="","",X31*COS(RADIANS(W31)))</f>
        <v>-3.2589638167548767</v>
      </c>
      <c r="U31" s="629">
        <f>IF(M31="","",X31*SIN(RADIANS(W31)))</f>
        <v>-4.2540730221390577</v>
      </c>
      <c r="V31" s="636">
        <f>IF(M31="","",Y31)</f>
        <v>-0.98410296805455166</v>
      </c>
      <c r="W31" s="585">
        <f t="shared" si="224"/>
        <v>232.54496642466097</v>
      </c>
      <c r="X31" s="629">
        <f>IF(M31="","",R31)</f>
        <v>5.3589161624911474</v>
      </c>
      <c r="Y31" s="630">
        <f t="shared" si="223"/>
        <v>-0.98410296805455166</v>
      </c>
      <c r="Z31" s="632">
        <f t="shared" si="6"/>
        <v>-0.8169331026696357</v>
      </c>
      <c r="AA31" s="629">
        <f t="shared" si="7"/>
        <v>-0.53827873212436539</v>
      </c>
      <c r="AB31" s="629">
        <f t="shared" si="8"/>
        <v>-0.2070659612421808</v>
      </c>
      <c r="AC31" s="636">
        <f>IF(M31="","",SQRT(Z31^2+AA31^2+AB31^2))</f>
        <v>1</v>
      </c>
      <c r="AD31" s="637">
        <f>IF(M31="","",Z31*(1/SQRT(Z31^2+AA31^2+AB31^2)))</f>
        <v>-0.8169331026696357</v>
      </c>
      <c r="AE31" s="629">
        <f>IF(M31="","",AA31*(1/SQRT(Z31^2+AA31^2+AB31^2)))</f>
        <v>-0.53827873212436539</v>
      </c>
      <c r="AF31" s="633">
        <f>IF(M31="","",AB31*(1/SQRT(Z31^2+AA31^2+AB31^2)))</f>
        <v>-0.2070659612421808</v>
      </c>
      <c r="AG31" s="602">
        <f>IF(M31="","",DEGREES(ATAN2(-AF31,AE31)))</f>
        <v>-68.959180624964148</v>
      </c>
      <c r="AH31" s="603">
        <f>IF(M31="","",DEGREES(ACOS(AD31)))</f>
        <v>144.77895357525455</v>
      </c>
      <c r="AI31" s="585">
        <f>IF(M31="","",DEGREES(-ACOS(-AF31)))</f>
        <v>-78.049534742387181</v>
      </c>
      <c r="AJ31" s="586">
        <f>IF(M31="","",DEGREES(ATAN2(-AE31,AD31)))</f>
        <v>-56.61903889280606</v>
      </c>
      <c r="AK31" s="635">
        <f>IF(M31="","",(COS(RADIANS((90-$Q$8)-W31))*AD31)+(-SIN(RADIANS((90-$Q$8)-W31))*AE31))</f>
        <v>0.9273144844048884</v>
      </c>
      <c r="AL31" s="629">
        <f>IF(M31="","",(SIN(RADIANS((90-$Q$8)-W31))*AD31)+(COS(RADIANS((90-$Q$8)-W31))*AE31))</f>
        <v>-0.31178764360979377</v>
      </c>
      <c r="AM31" s="634">
        <f>IF(M31="","",AF31)</f>
        <v>-0.2070659612421808</v>
      </c>
      <c r="AN31" s="581">
        <f>IF(M31="","",DEGREES(ATAN2(-AM31,AL31)))</f>
        <v>-56.410870276856997</v>
      </c>
      <c r="AO31" s="582">
        <f t="shared" si="94"/>
        <v>21.980011640475624</v>
      </c>
      <c r="AP31" s="585">
        <f>IF(M31="","",DEGREES(ATAN2(AK31,AL31)))</f>
        <v>-18.584005401208678</v>
      </c>
      <c r="AQ31" s="586">
        <f t="shared" si="9"/>
        <v>0.42540033703180896</v>
      </c>
      <c r="AS31" s="52">
        <f t="shared" si="116"/>
        <v>-127.45503357533903</v>
      </c>
      <c r="AT31" s="72">
        <f t="shared" si="10"/>
        <v>-0.8951897503520535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3.129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1913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4.5055803280678841</v>
      </c>
      <c r="C32" s="708">
        <v>-3.5891718018663901</v>
      </c>
      <c r="D32" s="709">
        <v>-1.831305523217458</v>
      </c>
      <c r="E32" s="710">
        <v>0.89851283345405497</v>
      </c>
      <c r="F32" s="708">
        <v>0.41416679632691089</v>
      </c>
      <c r="G32" s="711">
        <v>0.1453979124288543</v>
      </c>
      <c r="H32" s="710">
        <v>0.3765</v>
      </c>
      <c r="I32" s="708">
        <v>0.52</v>
      </c>
      <c r="J32" s="570">
        <v>3.1349999999999998</v>
      </c>
      <c r="K32" s="865">
        <f>IF($J32="","",IF(IFERROR(INDEX(Settings!$AK$14:$AK$36,MATCH((((ROUND($H32,6)*2)*1000000)+ROUND($I32,6)),Settings!$AI$14:$AI$36,0)),"Undefined")="Undefined","Undefined",IFERROR(INDEX(_xlfn.ANCHORARRAY(Settings!$BC$14),MATCH(IFERROR(INDEX(Settings!$AK$14:$AK$36,MATCH((((ROUND($H32,6)*2)*1000000)+ROUND($I32,6)),Settings!$AI$14:$AI$36,0)),"Undefined"),_xlfn.ANCHORARRAY(Settings!$BC$14),0)),"Inactive")))</f>
        <v>1913</v>
      </c>
      <c r="L32" s="320"/>
      <c r="M32" s="168">
        <f t="shared" si="1"/>
        <v>3.1349999999999998</v>
      </c>
      <c r="N32" s="632">
        <f t="shared" si="2"/>
        <v>4.5055803280678841</v>
      </c>
      <c r="O32" s="629">
        <f t="shared" si="3"/>
        <v>-3.5891718018663901</v>
      </c>
      <c r="P32" s="633">
        <f t="shared" si="4"/>
        <v>-1.831305523217458</v>
      </c>
      <c r="Q32" s="585">
        <f t="shared" si="113"/>
        <v>321.45896658145995</v>
      </c>
      <c r="R32" s="629">
        <f t="shared" si="79"/>
        <v>5.7604173734187984</v>
      </c>
      <c r="S32" s="634">
        <f t="shared" si="80"/>
        <v>-1.831305523217458</v>
      </c>
      <c r="T32" s="635">
        <f t="shared" si="81"/>
        <v>-3.5433791092580891</v>
      </c>
      <c r="U32" s="629">
        <f t="shared" si="82"/>
        <v>-4.5416817154065834</v>
      </c>
      <c r="V32" s="636">
        <f t="shared" si="114"/>
        <v>-1.831305523217458</v>
      </c>
      <c r="W32" s="585">
        <f t="shared" si="224"/>
        <v>232.03896649771832</v>
      </c>
      <c r="X32" s="629">
        <f t="shared" si="83"/>
        <v>5.7604173734187984</v>
      </c>
      <c r="Y32" s="630">
        <f t="shared" si="223"/>
        <v>-1.831305523217458</v>
      </c>
      <c r="Z32" s="632">
        <f t="shared" si="6"/>
        <v>-0.89851283345405497</v>
      </c>
      <c r="AA32" s="629">
        <f t="shared" si="7"/>
        <v>-0.41416679632691089</v>
      </c>
      <c r="AB32" s="629">
        <f t="shared" si="8"/>
        <v>-0.1453979124288543</v>
      </c>
      <c r="AC32" s="636">
        <f t="shared" si="84"/>
        <v>1</v>
      </c>
      <c r="AD32" s="637">
        <f t="shared" si="115"/>
        <v>-0.89851283345405497</v>
      </c>
      <c r="AE32" s="629">
        <f t="shared" si="85"/>
        <v>-0.41416679632691089</v>
      </c>
      <c r="AF32" s="633">
        <f t="shared" si="86"/>
        <v>-0.1453979124288543</v>
      </c>
      <c r="AG32" s="602">
        <f t="shared" si="87"/>
        <v>-70.655802418962395</v>
      </c>
      <c r="AH32" s="603">
        <f t="shared" si="88"/>
        <v>153.96326918783333</v>
      </c>
      <c r="AI32" s="585">
        <f t="shared" si="89"/>
        <v>-81.639677910491329</v>
      </c>
      <c r="AJ32" s="586">
        <f t="shared" si="90"/>
        <v>-65.252802792480921</v>
      </c>
      <c r="AK32" s="635">
        <f t="shared" si="211"/>
        <v>0.88378642822131259</v>
      </c>
      <c r="AL32" s="629">
        <f t="shared" si="91"/>
        <v>-0.44472575409250359</v>
      </c>
      <c r="AM32" s="634">
        <f t="shared" si="92"/>
        <v>-0.1453979124288543</v>
      </c>
      <c r="AN32" s="581">
        <f t="shared" si="93"/>
        <v>-71.895445430535645</v>
      </c>
      <c r="AO32" s="582">
        <f t="shared" si="94"/>
        <v>27.897453260711263</v>
      </c>
      <c r="AP32" s="585">
        <f t="shared" si="95"/>
        <v>-26.711769373940843</v>
      </c>
      <c r="AQ32" s="586">
        <f t="shared" si="9"/>
        <v>0.39575090305265626</v>
      </c>
      <c r="AS32" s="52">
        <f t="shared" si="116"/>
        <v>-127.96103350228168</v>
      </c>
      <c r="AT32" s="72">
        <f t="shared" si="10"/>
        <v>-1.7420409166768052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3.1349999999999998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1913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4.566874068213389</v>
      </c>
      <c r="C33" s="708">
        <v>-3.6524830404669668</v>
      </c>
      <c r="D33" s="709">
        <v>-2.7647083383603479</v>
      </c>
      <c r="E33" s="710">
        <v>0.95956996366389435</v>
      </c>
      <c r="F33" s="708">
        <v>0.28147022015491363</v>
      </c>
      <c r="G33" s="711">
        <v>1.3008419205628587E-7</v>
      </c>
      <c r="H33" s="710">
        <v>0.3765</v>
      </c>
      <c r="I33" s="708">
        <v>0.52</v>
      </c>
      <c r="J33" s="570">
        <v>3.141</v>
      </c>
      <c r="K33" s="865">
        <f>IF($J33="","",IF(IFERROR(INDEX(Settings!$AK$14:$AK$36,MATCH((((ROUND($H33,6)*2)*1000000)+ROUND($I33,6)),Settings!$AI$14:$AI$36,0)),"Undefined")="Undefined","Undefined",IFERROR(INDEX(_xlfn.ANCHORARRAY(Settings!$BC$14),MATCH(IFERROR(INDEX(Settings!$AK$14:$AK$36,MATCH((((ROUND($H33,6)*2)*1000000)+ROUND($I33,6)),Settings!$AI$14:$AI$36,0)),"Undefined"),_xlfn.ANCHORARRAY(Settings!$BC$14),0)),"Inactive")))</f>
        <v>1913</v>
      </c>
      <c r="L33" s="320"/>
      <c r="M33" s="168">
        <f t="shared" si="1"/>
        <v>3.141</v>
      </c>
      <c r="N33" s="632">
        <f t="shared" si="2"/>
        <v>4.566874068213389</v>
      </c>
      <c r="O33" s="629">
        <f t="shared" si="3"/>
        <v>-3.6524830404669668</v>
      </c>
      <c r="P33" s="633">
        <f t="shared" si="4"/>
        <v>-2.7647083383603479</v>
      </c>
      <c r="Q33" s="585">
        <f t="shared" si="113"/>
        <v>321.34796659748633</v>
      </c>
      <c r="R33" s="629">
        <f t="shared" si="79"/>
        <v>5.8478176370179948</v>
      </c>
      <c r="S33" s="634">
        <f t="shared" si="80"/>
        <v>-2.7647083383603479</v>
      </c>
      <c r="T33" s="635">
        <f t="shared" si="81"/>
        <v>-3.6060666437236994</v>
      </c>
      <c r="U33" s="629">
        <f t="shared" si="82"/>
        <v>-4.6036131980045871</v>
      </c>
      <c r="V33" s="636">
        <f t="shared" si="114"/>
        <v>-2.7647083383603479</v>
      </c>
      <c r="W33" s="585">
        <f t="shared" si="224"/>
        <v>231.92796651374471</v>
      </c>
      <c r="X33" s="629">
        <f t="shared" si="83"/>
        <v>5.8478176370179948</v>
      </c>
      <c r="Y33" s="630">
        <f t="shared" si="223"/>
        <v>-2.7647083383603479</v>
      </c>
      <c r="Z33" s="632">
        <f t="shared" si="6"/>
        <v>-0.95956996366389435</v>
      </c>
      <c r="AA33" s="629">
        <f t="shared" si="7"/>
        <v>-0.28147022015491363</v>
      </c>
      <c r="AB33" s="629">
        <f t="shared" si="8"/>
        <v>-1.3008419205628587E-7</v>
      </c>
      <c r="AC33" s="636">
        <f t="shared" si="84"/>
        <v>1</v>
      </c>
      <c r="AD33" s="637">
        <f t="shared" si="115"/>
        <v>-0.95956996366389435</v>
      </c>
      <c r="AE33" s="629">
        <f t="shared" si="85"/>
        <v>-0.28147022015491363</v>
      </c>
      <c r="AF33" s="633">
        <f t="shared" si="86"/>
        <v>-1.3008419205628587E-7</v>
      </c>
      <c r="AG33" s="602">
        <f t="shared" si="87"/>
        <v>-89.999973520199831</v>
      </c>
      <c r="AH33" s="603">
        <f t="shared" si="88"/>
        <v>163.65202834913725</v>
      </c>
      <c r="AI33" s="585">
        <f t="shared" si="89"/>
        <v>-89.999992546724812</v>
      </c>
      <c r="AJ33" s="586">
        <f t="shared" si="90"/>
        <v>-73.652028349138888</v>
      </c>
      <c r="AK33" s="635">
        <f t="shared" si="211"/>
        <v>0.81915209487729235</v>
      </c>
      <c r="AL33" s="629">
        <f t="shared" si="91"/>
        <v>-0.57357636410344393</v>
      </c>
      <c r="AM33" s="634">
        <f t="shared" si="92"/>
        <v>-1.3008419205628587E-7</v>
      </c>
      <c r="AN33" s="581">
        <f t="shared" si="93"/>
        <v>-89.999987005609626</v>
      </c>
      <c r="AO33" s="582">
        <f t="shared" si="94"/>
        <v>34.999994946625911</v>
      </c>
      <c r="AP33" s="585">
        <f t="shared" si="95"/>
        <v>-34.999994946625229</v>
      </c>
      <c r="AQ33" s="586">
        <f t="shared" si="9"/>
        <v>0.38983627646572433</v>
      </c>
      <c r="AS33" s="52">
        <f t="shared" si="116"/>
        <v>-128.07203348625529</v>
      </c>
      <c r="AT33" s="72">
        <f t="shared" si="10"/>
        <v>-2.6753666484974912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3.141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>
        <f t="shared" si="112"/>
        <v>1913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3.3417252572539367</v>
      </c>
      <c r="C34" s="708">
        <v>-4.7724842803863279</v>
      </c>
      <c r="D34" s="709">
        <v>-1.8260270894278441</v>
      </c>
      <c r="E34" s="710">
        <v>0.51983649715864266</v>
      </c>
      <c r="F34" s="708">
        <v>-0.74240399755782405</v>
      </c>
      <c r="G34" s="711">
        <v>0.42261841019055812</v>
      </c>
      <c r="H34" s="710">
        <v>0.25700000000000001</v>
      </c>
      <c r="I34" s="708">
        <v>0.45500000000000002</v>
      </c>
      <c r="J34" s="570">
        <v>3.335</v>
      </c>
      <c r="K34" s="865" t="str">
        <f>IF($J34="","",IF(IFERROR(INDEX(Settings!$AK$14:$AK$36,MATCH((((ROUND($H34,6)*2)*1000000)+ROUND($I34,6)),Settings!$AI$14:$AI$36,0)),"Undefined")="Undefined","Undefined",IFERROR(INDEX(_xlfn.ANCHORARRAY(Settings!$BC$14),MATCH(IFERROR(INDEX(Settings!$AK$14:$AK$36,MATCH((((ROUND($H34,6)*2)*1000000)+ROUND($I34,6)),Settings!$AI$14:$AI$36,0)),"Undefined"),_xlfn.ANCHORARRAY(Settings!$BC$14),0)),"Inactive")))</f>
        <v>Inactive</v>
      </c>
      <c r="L34" s="320"/>
      <c r="M34" s="168">
        <f t="shared" si="1"/>
        <v>3.335</v>
      </c>
      <c r="N34" s="632">
        <f t="shared" si="2"/>
        <v>3.3417252572539367</v>
      </c>
      <c r="O34" s="629">
        <f t="shared" si="3"/>
        <v>-4.7724842803863279</v>
      </c>
      <c r="P34" s="633">
        <f t="shared" si="4"/>
        <v>-1.8260270894278441</v>
      </c>
      <c r="Q34" s="585">
        <f t="shared" si="113"/>
        <v>304.9999660702029</v>
      </c>
      <c r="R34" s="629">
        <f>IF(M34="","",SQRT(N34^2+O34^2))</f>
        <v>5.826125118936555</v>
      </c>
      <c r="S34" s="634">
        <f>IF(M34="","",P34)</f>
        <v>-1.8260270894278441</v>
      </c>
      <c r="T34" s="635">
        <f>IF(M34="","",X34*COS(RADIANS(W34)))</f>
        <v>-4.7384123561704614</v>
      </c>
      <c r="U34" s="629">
        <f>IF(M34="","",X34*SIN(RADIANS(W34)))</f>
        <v>-3.3898646351137072</v>
      </c>
      <c r="V34" s="636">
        <f>IF(M34="","",Y34)</f>
        <v>-1.8260270894278441</v>
      </c>
      <c r="W34" s="585">
        <f t="shared" si="224"/>
        <v>215.57996598646127</v>
      </c>
      <c r="X34" s="629">
        <f>IF(M34="","",R34)</f>
        <v>5.826125118936555</v>
      </c>
      <c r="Y34" s="630">
        <f t="shared" si="223"/>
        <v>-1.8260270894278441</v>
      </c>
      <c r="Z34" s="632">
        <f t="shared" si="6"/>
        <v>-0.51983649715864266</v>
      </c>
      <c r="AA34" s="629">
        <f t="shared" si="7"/>
        <v>0.74240399755782405</v>
      </c>
      <c r="AB34" s="629">
        <f t="shared" si="8"/>
        <v>-0.42261841019055812</v>
      </c>
      <c r="AC34" s="636">
        <f>IF(M34="","",SQRT(Z34^2+AA34^2+AB34^2))</f>
        <v>0.99999999999999989</v>
      </c>
      <c r="AD34" s="637">
        <f>IF(M34="","",Z34*(1/SQRT(Z34^2+AA34^2+AB34^2)))</f>
        <v>-0.51983649715864277</v>
      </c>
      <c r="AE34" s="629">
        <f>IF(M34="","",AA34*(1/SQRT(Z34^2+AA34^2+AB34^2)))</f>
        <v>0.74240399755782416</v>
      </c>
      <c r="AF34" s="633">
        <f>IF(M34="","",AB34*(1/SQRT(Z34^2+AA34^2+AB34^2)))</f>
        <v>-0.42261841019055824</v>
      </c>
      <c r="AG34" s="602">
        <f>IF(M34="","",DEGREES(ATAN2(-AF34,AE34)))</f>
        <v>60.34901668111295</v>
      </c>
      <c r="AH34" s="603">
        <f>IF(M34="","",DEGREES(ACOS(AD34)))</f>
        <v>121.32128468999444</v>
      </c>
      <c r="AI34" s="585">
        <f>IF(M34="","",DEGREES(-ACOS(-AF34)))</f>
        <v>-64.999990615163171</v>
      </c>
      <c r="AJ34" s="586">
        <f>IF(M34="","",DEGREES(ATAN2(-AE34,AD34)))</f>
        <v>-145.00001959207262</v>
      </c>
      <c r="AK34" s="635">
        <f>IF(M34="","",(COS(RADIANS((90-$Q$8)-W34))*AD34)+(-SIN(RADIANS((90-$Q$8)-W34))*AE34))</f>
        <v>2.2679489630750282E-7</v>
      </c>
      <c r="AL34" s="629">
        <f>IF(M34="","",(SIN(RADIANS((90-$Q$8)-W34))*AD34)+(COS(RADIANS((90-$Q$8)-W34))*AE34))</f>
        <v>-0.90630771781330099</v>
      </c>
      <c r="AM34" s="634">
        <f>IF(M34="","",AF34)</f>
        <v>-0.42261841019055824</v>
      </c>
      <c r="AN34" s="581">
        <f>IF(M34="","",DEGREES(ATAN2(-AM34,AL34)))</f>
        <v>-64.999990615162488</v>
      </c>
      <c r="AO34" s="582">
        <f t="shared" si="94"/>
        <v>0</v>
      </c>
      <c r="AP34" s="585">
        <f>IF(M34="","",DEGREES(ATAN2(AK34,AL34)))</f>
        <v>-89.999985662275492</v>
      </c>
      <c r="AQ34" s="586">
        <f t="shared" si="9"/>
        <v>0.39128771594885858</v>
      </c>
      <c r="AS34" s="52">
        <f t="shared" si="116"/>
        <v>-144.42003401353873</v>
      </c>
      <c r="AT34" s="72">
        <f t="shared" si="10"/>
        <v>-1.7253326214210405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3.335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3.1349999999999998</v>
      </c>
      <c r="II34" s="734" cm="1">
        <f t="array" ref="II34">IFERROR(IF($IH34&lt;1,$IH34+LARGE((IF($M$9:$M$150="",0,$M$9:$M$150)-MOD(IF($M$9:$M$150="",0,$M$9:$M$150),1)),1),$IH34),"")</f>
        <v>3.1349999999999998</v>
      </c>
      <c r="IJ34" s="533">
        <f t="shared" si="112"/>
        <v>1913</v>
      </c>
      <c r="IK34" s="533" t="str">
        <f t="shared" si="66"/>
        <v>Inactive</v>
      </c>
      <c r="IL34" s="727">
        <f t="shared" si="225"/>
        <v>16.459000511257045</v>
      </c>
      <c r="IM34" s="759">
        <v>1.09014679447613E-2</v>
      </c>
      <c r="IN34" s="5">
        <f t="shared" si="226"/>
        <v>0.68</v>
      </c>
      <c r="IO34" s="771">
        <v>340</v>
      </c>
      <c r="IP34" s="9">
        <f t="shared" si="227"/>
        <v>-5.7604173734187984</v>
      </c>
      <c r="IQ34" s="5">
        <f t="shared" si="228"/>
        <v>-1.831305523217458</v>
      </c>
      <c r="IR34" s="5">
        <f t="shared" si="71"/>
        <v>0.3765</v>
      </c>
      <c r="IS34" s="5">
        <f t="shared" si="229"/>
        <v>0.33274559022532418</v>
      </c>
      <c r="IT34" s="727">
        <f t="shared" si="230"/>
        <v>71.895445430535645</v>
      </c>
      <c r="IU34" s="9">
        <f t="shared" si="231"/>
        <v>-5.826125118936555</v>
      </c>
      <c r="IV34" s="5">
        <f t="shared" si="232"/>
        <v>-1.8260270894278441</v>
      </c>
      <c r="IW34" s="5">
        <f t="shared" si="76"/>
        <v>0.25700000000000001</v>
      </c>
      <c r="IX34" s="5">
        <f t="shared" si="233"/>
        <v>0.25700000000000001</v>
      </c>
      <c r="IY34" s="762">
        <f t="shared" si="234"/>
        <v>64.999990615162488</v>
      </c>
      <c r="JG34" s="470"/>
    </row>
    <row r="35" spans="1:267" ht="15" customHeight="1" x14ac:dyDescent="0.25">
      <c r="A35" s="79"/>
      <c r="B35" s="707">
        <v>-0.47429770339600186</v>
      </c>
      <c r="C35" s="708">
        <v>-2.6255111170731484</v>
      </c>
      <c r="D35" s="709">
        <v>-0.26290079290879148</v>
      </c>
      <c r="E35" s="710">
        <v>0.95700079951741845</v>
      </c>
      <c r="F35" s="708">
        <v>-0.13361631612281516</v>
      </c>
      <c r="G35" s="711">
        <v>0.25748038719248056</v>
      </c>
      <c r="H35" s="710">
        <v>0.3765</v>
      </c>
      <c r="I35" s="708">
        <v>0.52</v>
      </c>
      <c r="J35" s="570">
        <v>4.1100000000000003</v>
      </c>
      <c r="K35" s="865">
        <f>IF($J35="","",IF(IFERROR(INDEX(Settings!$AK$14:$AK$36,MATCH((((ROUND($H35,6)*2)*1000000)+ROUND($I35,6)),Settings!$AI$14:$AI$36,0)),"Undefined")="Undefined","Undefined",IFERROR(INDEX(_xlfn.ANCHORARRAY(Settings!$BC$14),MATCH(IFERROR(INDEX(Settings!$AK$14:$AK$36,MATCH((((ROUND($H35,6)*2)*1000000)+ROUND($I35,6)),Settings!$AI$14:$AI$36,0)),"Undefined"),_xlfn.ANCHORARRAY(Settings!$BC$14),0)),"Inactive")))</f>
        <v>1913</v>
      </c>
      <c r="L35" s="320"/>
      <c r="M35" s="168">
        <f t="shared" si="1"/>
        <v>4.1100000000000003</v>
      </c>
      <c r="N35" s="632">
        <f t="shared" si="2"/>
        <v>-0.47429770339600186</v>
      </c>
      <c r="O35" s="629">
        <f t="shared" si="3"/>
        <v>-2.6255111170731484</v>
      </c>
      <c r="P35" s="633">
        <f t="shared" si="4"/>
        <v>-0.26290079290879148</v>
      </c>
      <c r="Q35" s="585">
        <f t="shared" si="113"/>
        <v>259.75997548969207</v>
      </c>
      <c r="R35" s="629">
        <f>IF(M35="","",SQRT(N35^2+O35^2))</f>
        <v>2.6680080467122682</v>
      </c>
      <c r="S35" s="634">
        <f>IF(M35="","",P35)</f>
        <v>-0.26290079290879148</v>
      </c>
      <c r="T35" s="635">
        <f>IF(M35="","",X35*COS(RADIANS(W35)))</f>
        <v>-2.6301777859775632</v>
      </c>
      <c r="U35" s="629">
        <f>IF(M35="","",X35*SIN(RADIANS(W35)))</f>
        <v>0.44769604808572527</v>
      </c>
      <c r="V35" s="636">
        <f>IF(M35="","",Y35)</f>
        <v>-0.26290079290879148</v>
      </c>
      <c r="W35" s="585">
        <f t="shared" si="224"/>
        <v>170.33997540595044</v>
      </c>
      <c r="X35" s="629">
        <f>IF(M35="","",R35)</f>
        <v>2.6680080467122682</v>
      </c>
      <c r="Y35" s="630">
        <f t="shared" si="223"/>
        <v>-0.26290079290879148</v>
      </c>
      <c r="Z35" s="632">
        <f t="shared" si="6"/>
        <v>-0.95700079951741845</v>
      </c>
      <c r="AA35" s="629">
        <f t="shared" si="7"/>
        <v>0.13361631612281516</v>
      </c>
      <c r="AB35" s="629">
        <f t="shared" si="8"/>
        <v>-0.25748038719248056</v>
      </c>
      <c r="AC35" s="636">
        <f>IF(M35="","",SQRT(Z35^2+AA35^2+AB35^2))</f>
        <v>1</v>
      </c>
      <c r="AD35" s="637">
        <f>IF(M35="","",Z35*(1/SQRT(Z35^2+AA35^2+AB35^2)))</f>
        <v>-0.95700079951741845</v>
      </c>
      <c r="AE35" s="629">
        <f>IF(M35="","",AA35*(1/SQRT(Z35^2+AA35^2+AB35^2)))</f>
        <v>0.13361631612281516</v>
      </c>
      <c r="AF35" s="633">
        <f>IF(M35="","",AB35*(1/SQRT(Z35^2+AA35^2+AB35^2)))</f>
        <v>-0.25748038719248056</v>
      </c>
      <c r="AG35" s="602">
        <f>IF(M35="","",DEGREES(ATAN2(-AF35,AE35)))</f>
        <v>27.426506793623133</v>
      </c>
      <c r="AH35" s="603">
        <f>IF(M35="","",DEGREES(ACOS(AD35)))</f>
        <v>163.13693831503349</v>
      </c>
      <c r="AI35" s="585">
        <f>IF(M35="","",DEGREES(-ACOS(-AF35)))</f>
        <v>-75.079390399538326</v>
      </c>
      <c r="AJ35" s="586">
        <f>IF(M35="","",DEGREES(ATAN2(-AE35,AD35)))</f>
        <v>-97.94824746288765</v>
      </c>
      <c r="AK35" s="635">
        <f>IF(M35="","",(COS(RADIANS((90-$Q$8)-W35))*AD35)+(-SIN(RADIANS((90-$Q$8)-W35))*AE35))</f>
        <v>0.96551063750669663</v>
      </c>
      <c r="AL35" s="629">
        <f>IF(M35="","",(SIN(RADIANS((90-$Q$8)-W35))*AD35)+(COS(RADIANS((90-$Q$8)-W35))*AE35))</f>
        <v>3.8640122575146069E-2</v>
      </c>
      <c r="AM35" s="634">
        <f>IF(M35="","",AF35)</f>
        <v>-0.25748038719248056</v>
      </c>
      <c r="AN35" s="581">
        <f>IF(M35="","",DEGREES(ATAN2(-AM35,AL35)))</f>
        <v>8.5346969132171413</v>
      </c>
      <c r="AO35" s="582">
        <f t="shared" si="94"/>
        <v>15.091638500149021</v>
      </c>
      <c r="AP35" s="585">
        <f>IF(M35="","",DEGREES(ATAN2(AK35,AL35)))</f>
        <v>2.2917770474202843</v>
      </c>
      <c r="AQ35" s="586">
        <f t="shared" si="9"/>
        <v>0.8544043370512201</v>
      </c>
      <c r="AS35" s="52">
        <f t="shared" si="116"/>
        <v>-189.66002459404956</v>
      </c>
      <c r="AT35" s="72">
        <f t="shared" si="10"/>
        <v>-0.1307896647766332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4.1100000000000003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>
        <f t="shared" si="112"/>
        <v>1913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-0.68605997775658767</v>
      </c>
      <c r="C36" s="708">
        <v>-3.5248660246323582</v>
      </c>
      <c r="D36" s="709">
        <v>-0.10040030280731328</v>
      </c>
      <c r="E36" s="710">
        <v>0.93443264765984124</v>
      </c>
      <c r="F36" s="708">
        <v>-0.24516711857683413</v>
      </c>
      <c r="G36" s="711">
        <v>0.25831901005569008</v>
      </c>
      <c r="H36" s="710">
        <v>0.3765</v>
      </c>
      <c r="I36" s="708">
        <v>0.52</v>
      </c>
      <c r="J36" s="570">
        <v>4.1159999999999997</v>
      </c>
      <c r="K36" s="865">
        <f>IF($J36="","",IF(IFERROR(INDEX(Settings!$AK$14:$AK$36,MATCH((((ROUND($H36,6)*2)*1000000)+ROUND($I36,6)),Settings!$AI$14:$AI$36,0)),"Undefined")="Undefined","Undefined",IFERROR(INDEX(_xlfn.ANCHORARRAY(Settings!$BC$14),MATCH(IFERROR(INDEX(Settings!$AK$14:$AK$36,MATCH((((ROUND($H36,6)*2)*1000000)+ROUND($I36,6)),Settings!$AI$14:$AI$36,0)),"Undefined"),_xlfn.ANCHORARRAY(Settings!$BC$14),0)),"Inactive")))</f>
        <v>1913</v>
      </c>
      <c r="L36" s="320"/>
      <c r="M36" s="168">
        <f t="shared" si="1"/>
        <v>4.1159999999999997</v>
      </c>
      <c r="N36" s="632">
        <f t="shared" si="2"/>
        <v>-0.68605997775658767</v>
      </c>
      <c r="O36" s="629">
        <f t="shared" si="3"/>
        <v>-3.5248660246323582</v>
      </c>
      <c r="P36" s="633">
        <f t="shared" si="4"/>
        <v>-0.10040030280731328</v>
      </c>
      <c r="Q36" s="585">
        <f t="shared" si="113"/>
        <v>258.98597560144384</v>
      </c>
      <c r="R36" s="629">
        <f>IF(M36="","",SQRT(N36^2+O36^2))</f>
        <v>3.5910108304886657</v>
      </c>
      <c r="S36" s="634">
        <f>IF(M36="","",P36)</f>
        <v>-0.10040030280731328</v>
      </c>
      <c r="T36" s="635">
        <f>IF(M36="","",X36*COS(RADIANS(W36)))</f>
        <v>-3.5316302274635678</v>
      </c>
      <c r="U36" s="629">
        <f>IF(M36="","",X36*SIN(RADIANS(W36)))</f>
        <v>0.65034354087091906</v>
      </c>
      <c r="V36" s="636">
        <f>IF(M36="","",Y36)</f>
        <v>-0.10040030280731328</v>
      </c>
      <c r="W36" s="585">
        <f t="shared" si="224"/>
        <v>169.56597551770221</v>
      </c>
      <c r="X36" s="629">
        <f>IF(M36="","",R36)</f>
        <v>3.5910108304886657</v>
      </c>
      <c r="Y36" s="630">
        <f t="shared" si="223"/>
        <v>-0.10040030280731328</v>
      </c>
      <c r="Z36" s="632">
        <f t="shared" si="6"/>
        <v>-0.93443264765984124</v>
      </c>
      <c r="AA36" s="629">
        <f t="shared" si="7"/>
        <v>0.24516711857683413</v>
      </c>
      <c r="AB36" s="629">
        <f t="shared" si="8"/>
        <v>-0.25831901005569008</v>
      </c>
      <c r="AC36" s="636">
        <f>IF(M36="","",SQRT(Z36^2+AA36^2+AB36^2))</f>
        <v>1</v>
      </c>
      <c r="AD36" s="637">
        <f>IF(M36="","",Z36*(1/SQRT(Z36^2+AA36^2+AB36^2)))</f>
        <v>-0.93443264765984124</v>
      </c>
      <c r="AE36" s="629">
        <f>IF(M36="","",AA36*(1/SQRT(Z36^2+AA36^2+AB36^2)))</f>
        <v>0.24516711857683413</v>
      </c>
      <c r="AF36" s="633">
        <f>IF(M36="","",AB36*(1/SQRT(Z36^2+AA36^2+AB36^2)))</f>
        <v>-0.25831901005569008</v>
      </c>
      <c r="AG36" s="602">
        <f>IF(M36="","",DEGREES(ATAN2(-AF36,AE36)))</f>
        <v>43.503679625988383</v>
      </c>
      <c r="AH36" s="603">
        <f>IF(M36="","",DEGREES(ACOS(AD36)))</f>
        <v>159.13667772254689</v>
      </c>
      <c r="AI36" s="585">
        <f>IF(M36="","",DEGREES(-ACOS(-AF36)))</f>
        <v>-75.029658501250623</v>
      </c>
      <c r="AJ36" s="586">
        <f>IF(M36="","",DEGREES(ATAN2(-AE36,AD36)))</f>
        <v>-104.70133680810581</v>
      </c>
      <c r="AK36" s="635">
        <f>IF(M36="","",(COS(RADIANS((90-$Q$8)-W36))*AD36)+(-SIN(RADIANS((90-$Q$8)-W36))*AE36))</f>
        <v>0.96405981585129352</v>
      </c>
      <c r="AL36" s="629">
        <f>IF(M36="","",(SIN(RADIANS((90-$Q$8)-W36))*AD36)+(COS(RADIANS((90-$Q$8)-W36))*AE36))</f>
        <v>-6.2128580416895007E-2</v>
      </c>
      <c r="AM36" s="634">
        <f>IF(M36="","",AF36)</f>
        <v>-0.25831901005569008</v>
      </c>
      <c r="AN36" s="581">
        <f>IF(M36="","",DEGREES(ATAN2(-AM36,AL36)))</f>
        <v>-13.523417200753686</v>
      </c>
      <c r="AO36" s="582">
        <f t="shared" si="94"/>
        <v>15.407676600945431</v>
      </c>
      <c r="AP36" s="585">
        <f>IF(M36="","",DEGREES(ATAN2(AK36,AL36)))</f>
        <v>-3.6873124095496461</v>
      </c>
      <c r="AQ36" s="586">
        <f t="shared" si="9"/>
        <v>0.63481661670791412</v>
      </c>
      <c r="AS36" s="52">
        <f t="shared" si="116"/>
        <v>-190.43402448229779</v>
      </c>
      <c r="AT36" s="72">
        <f t="shared" si="10"/>
        <v>3.2248325247239598E-2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4.1159999999999997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>
        <f t="shared" si="112"/>
        <v>1913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-0.93743485301145879</v>
      </c>
      <c r="C37" s="708">
        <v>-4.4076271191799989</v>
      </c>
      <c r="D37" s="709">
        <v>-0.30380091626356348</v>
      </c>
      <c r="E37" s="710">
        <v>0.90658244907436103</v>
      </c>
      <c r="F37" s="708">
        <v>-0.36144236597113144</v>
      </c>
      <c r="G37" s="711">
        <v>0.21787078535573418</v>
      </c>
      <c r="H37" s="710">
        <v>0.3765</v>
      </c>
      <c r="I37" s="708">
        <v>0.52</v>
      </c>
      <c r="J37" s="570">
        <v>4.1219999999999999</v>
      </c>
      <c r="K37" s="865">
        <f>IF($J37="","",IF(IFERROR(INDEX(Settings!$AK$14:$AK$36,MATCH((((ROUND($H37,6)*2)*1000000)+ROUND($I37,6)),Settings!$AI$14:$AI$36,0)),"Undefined")="Undefined","Undefined",IFERROR(INDEX(_xlfn.ANCHORARRAY(Settings!$BC$14),MATCH(IFERROR(INDEX(Settings!$AK$14:$AK$36,MATCH((((ROUND($H37,6)*2)*1000000)+ROUND($I37,6)),Settings!$AI$14:$AI$36,0)),"Undefined"),_xlfn.ANCHORARRAY(Settings!$BC$14),0)),"Inactive")))</f>
        <v>1913</v>
      </c>
      <c r="L37" s="320"/>
      <c r="M37" s="168">
        <f t="shared" si="1"/>
        <v>4.1219999999999999</v>
      </c>
      <c r="N37" s="632">
        <f t="shared" si="2"/>
        <v>-0.93743485301145879</v>
      </c>
      <c r="O37" s="629">
        <f t="shared" si="3"/>
        <v>-4.4076271191799989</v>
      </c>
      <c r="P37" s="633">
        <f t="shared" si="4"/>
        <v>-0.30380091626356348</v>
      </c>
      <c r="Q37" s="585">
        <f t="shared" si="113"/>
        <v>257.99297574481528</v>
      </c>
      <c r="R37" s="629">
        <f t="shared" si="79"/>
        <v>4.5062135907401899</v>
      </c>
      <c r="S37" s="634">
        <f t="shared" si="80"/>
        <v>-0.30380091626356348</v>
      </c>
      <c r="T37" s="635">
        <f t="shared" si="81"/>
        <v>-4.4168906940157981</v>
      </c>
      <c r="U37" s="629">
        <f t="shared" si="82"/>
        <v>0.89276957972829751</v>
      </c>
      <c r="V37" s="636">
        <f t="shared" si="114"/>
        <v>-0.30380091626356348</v>
      </c>
      <c r="W37" s="585">
        <f t="shared" si="224"/>
        <v>168.57297566107366</v>
      </c>
      <c r="X37" s="629">
        <f t="shared" si="83"/>
        <v>4.5062135907401899</v>
      </c>
      <c r="Y37" s="630">
        <f t="shared" si="223"/>
        <v>-0.30380091626356348</v>
      </c>
      <c r="Z37" s="632">
        <f t="shared" si="6"/>
        <v>-0.90658244907436103</v>
      </c>
      <c r="AA37" s="629">
        <f t="shared" si="7"/>
        <v>0.36144236597113144</v>
      </c>
      <c r="AB37" s="629">
        <f t="shared" si="8"/>
        <v>-0.21787078535573418</v>
      </c>
      <c r="AC37" s="636">
        <f t="shared" si="84"/>
        <v>1</v>
      </c>
      <c r="AD37" s="637">
        <f t="shared" si="115"/>
        <v>-0.90658244907436103</v>
      </c>
      <c r="AE37" s="629">
        <f t="shared" si="85"/>
        <v>0.36144236597113144</v>
      </c>
      <c r="AF37" s="633">
        <f t="shared" si="86"/>
        <v>-0.21787078535573418</v>
      </c>
      <c r="AG37" s="602">
        <f t="shared" si="87"/>
        <v>58.919203136742802</v>
      </c>
      <c r="AH37" s="603">
        <f t="shared" si="88"/>
        <v>155.03726284433995</v>
      </c>
      <c r="AI37" s="585">
        <f t="shared" si="89"/>
        <v>-77.415995313331535</v>
      </c>
      <c r="AJ37" s="586">
        <f t="shared" si="90"/>
        <v>-111.73651246998025</v>
      </c>
      <c r="AK37" s="635">
        <f t="shared" si="211"/>
        <v>0.96193976877536724</v>
      </c>
      <c r="AL37" s="629">
        <f t="shared" si="91"/>
        <v>-0.16493696413135742</v>
      </c>
      <c r="AM37" s="634">
        <f t="shared" si="92"/>
        <v>-0.21787078535573418</v>
      </c>
      <c r="AN37" s="581">
        <f t="shared" si="93"/>
        <v>-37.127189202264979</v>
      </c>
      <c r="AO37" s="582">
        <f t="shared" si="94"/>
        <v>15.85844136053479</v>
      </c>
      <c r="AP37" s="585">
        <f t="shared" si="95"/>
        <v>-9.7294882147955395</v>
      </c>
      <c r="AQ37" s="586">
        <f t="shared" si="9"/>
        <v>0.50589421538184953</v>
      </c>
      <c r="AS37" s="52">
        <f t="shared" si="116"/>
        <v>-191.42702433892634</v>
      </c>
      <c r="AT37" s="72">
        <f t="shared" si="10"/>
        <v>-0.17046270497524074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4.1219999999999999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1913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-1.1750622138103934</v>
      </c>
      <c r="C38" s="708">
        <v>-5.1260585854964971</v>
      </c>
      <c r="D38" s="709">
        <v>-0.86250260130784562</v>
      </c>
      <c r="E38" s="710">
        <v>0.84551678712036649</v>
      </c>
      <c r="F38" s="708">
        <v>-0.490312002750451</v>
      </c>
      <c r="G38" s="711">
        <v>0.21141310899869648</v>
      </c>
      <c r="H38" s="710">
        <v>0.3765</v>
      </c>
      <c r="I38" s="708">
        <v>0.52</v>
      </c>
      <c r="J38" s="570">
        <v>4.1280000000000001</v>
      </c>
      <c r="K38" s="865">
        <f>IF($J38="","",IF(IFERROR(INDEX(Settings!$AK$14:$AK$36,MATCH((((ROUND($H38,6)*2)*1000000)+ROUND($I38,6)),Settings!$AI$14:$AI$36,0)),"Undefined")="Undefined","Undefined",IFERROR(INDEX(_xlfn.ANCHORARRAY(Settings!$BC$14),MATCH(IFERROR(INDEX(Settings!$AK$14:$AK$36,MATCH((((ROUND($H38,6)*2)*1000000)+ROUND($I38,6)),Settings!$AI$14:$AI$36,0)),"Undefined"),_xlfn.ANCHORARRAY(Settings!$BC$14),0)),"Inactive")))</f>
        <v>1913</v>
      </c>
      <c r="L38" s="320"/>
      <c r="M38" s="168">
        <f t="shared" si="1"/>
        <v>4.1280000000000001</v>
      </c>
      <c r="N38" s="632">
        <f t="shared" si="2"/>
        <v>-1.1750622138103934</v>
      </c>
      <c r="O38" s="629">
        <f t="shared" si="3"/>
        <v>-5.1260585854964971</v>
      </c>
      <c r="P38" s="633">
        <f t="shared" si="4"/>
        <v>-0.86250260130784562</v>
      </c>
      <c r="Q38" s="585">
        <f t="shared" si="113"/>
        <v>257.0889758753367</v>
      </c>
      <c r="R38" s="629">
        <f t="shared" si="79"/>
        <v>5.2590158611918385</v>
      </c>
      <c r="S38" s="634">
        <f t="shared" si="80"/>
        <v>-0.86250260130784562</v>
      </c>
      <c r="T38" s="635">
        <f t="shared" si="81"/>
        <v>-5.1376907895121526</v>
      </c>
      <c r="U38" s="629">
        <f t="shared" si="82"/>
        <v>1.1231122738307728</v>
      </c>
      <c r="V38" s="636">
        <f t="shared" si="114"/>
        <v>-0.86250260130784562</v>
      </c>
      <c r="W38" s="585">
        <f t="shared" si="224"/>
        <v>167.66897579159507</v>
      </c>
      <c r="X38" s="629">
        <f t="shared" si="83"/>
        <v>5.2590158611918385</v>
      </c>
      <c r="Y38" s="630">
        <f t="shared" si="223"/>
        <v>-0.86250260130784562</v>
      </c>
      <c r="Z38" s="632">
        <f t="shared" si="6"/>
        <v>-0.84551678712036649</v>
      </c>
      <c r="AA38" s="629">
        <f t="shared" si="7"/>
        <v>0.490312002750451</v>
      </c>
      <c r="AB38" s="629">
        <f t="shared" si="8"/>
        <v>-0.21141310899869648</v>
      </c>
      <c r="AC38" s="636">
        <f t="shared" si="84"/>
        <v>1</v>
      </c>
      <c r="AD38" s="637">
        <f t="shared" si="115"/>
        <v>-0.84551678712036649</v>
      </c>
      <c r="AE38" s="629">
        <f t="shared" si="85"/>
        <v>0.490312002750451</v>
      </c>
      <c r="AF38" s="633">
        <f t="shared" si="86"/>
        <v>-0.21141310899869648</v>
      </c>
      <c r="AG38" s="602">
        <f t="shared" si="87"/>
        <v>66.675223382345251</v>
      </c>
      <c r="AH38" s="603">
        <f t="shared" si="88"/>
        <v>147.72734768478426</v>
      </c>
      <c r="AI38" s="585">
        <f t="shared" si="89"/>
        <v>-77.794823098877316</v>
      </c>
      <c r="AJ38" s="586">
        <f t="shared" si="90"/>
        <v>-120.10928427472459</v>
      </c>
      <c r="AK38" s="635">
        <f t="shared" si="211"/>
        <v>0.93369478678406348</v>
      </c>
      <c r="AL38" s="629">
        <f t="shared" si="91"/>
        <v>-0.28899574819669493</v>
      </c>
      <c r="AM38" s="634">
        <f t="shared" si="92"/>
        <v>-0.21141310899869648</v>
      </c>
      <c r="AN38" s="581">
        <f t="shared" si="93"/>
        <v>-53.812887174021689</v>
      </c>
      <c r="AO38" s="582">
        <f t="shared" si="94"/>
        <v>20.981708498975244</v>
      </c>
      <c r="AP38" s="585">
        <f t="shared" si="95"/>
        <v>-17.198260150061284</v>
      </c>
      <c r="AQ38" s="586">
        <f t="shared" si="9"/>
        <v>0.43348093925969744</v>
      </c>
      <c r="AS38" s="52">
        <f t="shared" si="116"/>
        <v>-192.33102420840493</v>
      </c>
      <c r="AT38" s="72">
        <f t="shared" si="10"/>
        <v>-0.72853661233238498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4.1280000000000001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1913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-1.3338690249791108</v>
      </c>
      <c r="C39" s="708">
        <v>-5.5610847988215344</v>
      </c>
      <c r="D39" s="709">
        <v>-1.6795050653872774</v>
      </c>
      <c r="E39" s="710">
        <v>0.76825884513969822</v>
      </c>
      <c r="F39" s="708">
        <v>-0.61985579144105696</v>
      </c>
      <c r="G39" s="711">
        <v>0.15986602103511008</v>
      </c>
      <c r="H39" s="710">
        <v>0.3765</v>
      </c>
      <c r="I39" s="708">
        <v>0.52</v>
      </c>
      <c r="J39" s="570">
        <v>4.1340000000000003</v>
      </c>
      <c r="K39" s="865">
        <f>IF($J39="","",IF(IFERROR(INDEX(Settings!$AK$14:$AK$36,MATCH((((ROUND($H39,6)*2)*1000000)+ROUND($I39,6)),Settings!$AI$14:$AI$36,0)),"Undefined")="Undefined","Undefined",IFERROR(INDEX(_xlfn.ANCHORARRAY(Settings!$BC$14),MATCH(IFERROR(INDEX(Settings!$AK$14:$AK$36,MATCH((((ROUND($H39,6)*2)*1000000)+ROUND($I39,6)),Settings!$AI$14:$AI$36,0)),"Undefined"),_xlfn.ANCHORARRAY(Settings!$BC$14),0)),"Inactive")))</f>
        <v>1913</v>
      </c>
      <c r="L39" s="320"/>
      <c r="M39" s="168">
        <f t="shared" si="1"/>
        <v>4.1340000000000003</v>
      </c>
      <c r="N39" s="632">
        <f t="shared" si="2"/>
        <v>-1.3338690249791108</v>
      </c>
      <c r="O39" s="629">
        <f t="shared" si="3"/>
        <v>-5.5610847988215344</v>
      </c>
      <c r="P39" s="633">
        <f t="shared" si="4"/>
        <v>-1.6795050653872774</v>
      </c>
      <c r="Q39" s="585">
        <f t="shared" si="113"/>
        <v>256.51197595864517</v>
      </c>
      <c r="R39" s="629">
        <f t="shared" si="79"/>
        <v>5.7188172479528205</v>
      </c>
      <c r="S39" s="634">
        <f t="shared" si="80"/>
        <v>-1.6795050653872774</v>
      </c>
      <c r="T39" s="635">
        <f t="shared" si="81"/>
        <v>-5.5743022730634841</v>
      </c>
      <c r="U39" s="629">
        <f t="shared" si="82"/>
        <v>1.2775072931306295</v>
      </c>
      <c r="V39" s="636">
        <f t="shared" si="114"/>
        <v>-1.6795050653872774</v>
      </c>
      <c r="W39" s="585">
        <f t="shared" si="224"/>
        <v>167.09197587490354</v>
      </c>
      <c r="X39" s="629">
        <f t="shared" si="83"/>
        <v>5.7188172479528205</v>
      </c>
      <c r="Y39" s="630">
        <f t="shared" si="223"/>
        <v>-1.6795050653872774</v>
      </c>
      <c r="Z39" s="632">
        <f t="shared" si="6"/>
        <v>-0.76825884513969822</v>
      </c>
      <c r="AA39" s="629">
        <f t="shared" si="7"/>
        <v>0.61985579144105696</v>
      </c>
      <c r="AB39" s="629">
        <f t="shared" si="8"/>
        <v>-0.15986602103511008</v>
      </c>
      <c r="AC39" s="636">
        <f t="shared" si="84"/>
        <v>1</v>
      </c>
      <c r="AD39" s="637">
        <f t="shared" si="115"/>
        <v>-0.76825884513969822</v>
      </c>
      <c r="AE39" s="629">
        <f t="shared" si="85"/>
        <v>0.61985579144105696</v>
      </c>
      <c r="AF39" s="633">
        <f t="shared" si="86"/>
        <v>-0.15986602103511008</v>
      </c>
      <c r="AG39" s="602">
        <f t="shared" si="87"/>
        <v>75.53809201939481</v>
      </c>
      <c r="AH39" s="603">
        <f t="shared" si="88"/>
        <v>140.19779109965444</v>
      </c>
      <c r="AI39" s="585">
        <f t="shared" si="89"/>
        <v>-80.80088030839228</v>
      </c>
      <c r="AJ39" s="586">
        <f t="shared" si="90"/>
        <v>-128.89769858325045</v>
      </c>
      <c r="AK39" s="635">
        <f t="shared" si="211"/>
        <v>0.89164573798000979</v>
      </c>
      <c r="AL39" s="629">
        <f t="shared" si="91"/>
        <v>-0.42356904190519595</v>
      </c>
      <c r="AM39" s="634">
        <f t="shared" si="92"/>
        <v>-0.15986602103511008</v>
      </c>
      <c r="AN39" s="581">
        <f t="shared" si="93"/>
        <v>-69.322183317450396</v>
      </c>
      <c r="AO39" s="582">
        <f t="shared" si="94"/>
        <v>26.919216354712873</v>
      </c>
      <c r="AP39" s="585">
        <f t="shared" si="95"/>
        <v>-25.409674541895637</v>
      </c>
      <c r="AQ39" s="586">
        <f t="shared" si="9"/>
        <v>0.39862960281786641</v>
      </c>
      <c r="AS39" s="52">
        <f t="shared" si="116"/>
        <v>-192.90802412509646</v>
      </c>
      <c r="AT39" s="72">
        <f t="shared" si="10"/>
        <v>-1.5451383820252254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4.1340000000000003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1913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-1.3802285105086121</v>
      </c>
      <c r="C40" s="708">
        <v>-5.6825997901134917</v>
      </c>
      <c r="D40" s="709">
        <v>-2.6081078660533237</v>
      </c>
      <c r="E40" s="710">
        <v>0.6606305653712703</v>
      </c>
      <c r="F40" s="708">
        <v>-0.75071116689257988</v>
      </c>
      <c r="G40" s="711">
        <v>1.3008419211235137E-7</v>
      </c>
      <c r="H40" s="710">
        <v>0.3765</v>
      </c>
      <c r="I40" s="708">
        <v>0.52</v>
      </c>
      <c r="J40" s="570">
        <v>4.1399999999999997</v>
      </c>
      <c r="K40" s="865">
        <f>IF($J40="","",IF(IFERROR(INDEX(Settings!$AK$14:$AK$36,MATCH((((ROUND($H40,6)*2)*1000000)+ROUND($I40,6)),Settings!$AI$14:$AI$36,0)),"Undefined")="Undefined","Undefined",IFERROR(INDEX(_xlfn.ANCHORARRAY(Settings!$BC$14),MATCH(IFERROR(INDEX(Settings!$AK$14:$AK$36,MATCH((((ROUND($H40,6)*2)*1000000)+ROUND($I40,6)),Settings!$AI$14:$AI$36,0)),"Undefined"),_xlfn.ANCHORARRAY(Settings!$BC$14),0)),"Inactive")))</f>
        <v>1913</v>
      </c>
      <c r="L40" s="320"/>
      <c r="M40" s="168">
        <f t="shared" si="1"/>
        <v>4.1399999999999997</v>
      </c>
      <c r="N40" s="632">
        <f t="shared" si="2"/>
        <v>-1.3802285105086121</v>
      </c>
      <c r="O40" s="629">
        <f t="shared" si="3"/>
        <v>-5.6825997901134917</v>
      </c>
      <c r="P40" s="633">
        <f t="shared" si="4"/>
        <v>-2.6081078660533237</v>
      </c>
      <c r="Q40" s="585">
        <f t="shared" si="113"/>
        <v>256.34797598232387</v>
      </c>
      <c r="R40" s="629">
        <f t="shared" si="79"/>
        <v>5.847817637017994</v>
      </c>
      <c r="S40" s="634">
        <f t="shared" si="80"/>
        <v>-2.6081078660533237</v>
      </c>
      <c r="T40" s="635">
        <f t="shared" si="81"/>
        <v>-5.696280323190587</v>
      </c>
      <c r="U40" s="629">
        <f t="shared" si="82"/>
        <v>1.3226343392829552</v>
      </c>
      <c r="V40" s="636">
        <f t="shared" si="114"/>
        <v>-2.6081078660533237</v>
      </c>
      <c r="W40" s="585">
        <f t="shared" si="224"/>
        <v>166.92797589858225</v>
      </c>
      <c r="X40" s="629">
        <f t="shared" si="83"/>
        <v>5.847817637017994</v>
      </c>
      <c r="Y40" s="630">
        <f t="shared" si="223"/>
        <v>-2.6081078660533237</v>
      </c>
      <c r="Z40" s="632">
        <f t="shared" si="6"/>
        <v>-0.6606305653712703</v>
      </c>
      <c r="AA40" s="629">
        <f t="shared" si="7"/>
        <v>0.75071116689257988</v>
      </c>
      <c r="AB40" s="629">
        <f t="shared" si="8"/>
        <v>-1.3008419211235137E-7</v>
      </c>
      <c r="AC40" s="636">
        <f t="shared" si="84"/>
        <v>1</v>
      </c>
      <c r="AD40" s="637">
        <f t="shared" si="115"/>
        <v>-0.6606305653712703</v>
      </c>
      <c r="AE40" s="629">
        <f t="shared" si="85"/>
        <v>0.75071116689257988</v>
      </c>
      <c r="AF40" s="633">
        <f t="shared" si="86"/>
        <v>-1.3008419211235137E-7</v>
      </c>
      <c r="AG40" s="602">
        <f t="shared" si="87"/>
        <v>89.999990071713981</v>
      </c>
      <c r="AH40" s="603">
        <f t="shared" si="88"/>
        <v>131.34798103569815</v>
      </c>
      <c r="AI40" s="585">
        <f t="shared" si="89"/>
        <v>-89.999992546724812</v>
      </c>
      <c r="AJ40" s="586">
        <f t="shared" si="90"/>
        <v>-138.65201896430139</v>
      </c>
      <c r="AK40" s="635">
        <f t="shared" si="211"/>
        <v>0.81915209487729179</v>
      </c>
      <c r="AL40" s="629">
        <f t="shared" si="91"/>
        <v>-0.57357636410344481</v>
      </c>
      <c r="AM40" s="634">
        <f t="shared" si="92"/>
        <v>-1.3008419211235137E-7</v>
      </c>
      <c r="AN40" s="581">
        <f t="shared" si="93"/>
        <v>-89.999987005609626</v>
      </c>
      <c r="AO40" s="582">
        <f t="shared" si="94"/>
        <v>34.999994946625968</v>
      </c>
      <c r="AP40" s="585">
        <f t="shared" si="95"/>
        <v>-34.999994946625293</v>
      </c>
      <c r="AQ40" s="586">
        <f t="shared" si="9"/>
        <v>0.38983627646572433</v>
      </c>
      <c r="AS40" s="52">
        <f t="shared" si="116"/>
        <v>-193.07202410141775</v>
      </c>
      <c r="AT40" s="72">
        <f t="shared" si="10"/>
        <v>-2.4736272938188262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4.1399999999999997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1913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-2.8922513996351937</v>
      </c>
      <c r="C41" s="708">
        <v>-5.0095214163835529</v>
      </c>
      <c r="D41" s="709">
        <v>-1.6691875665146427</v>
      </c>
      <c r="E41" s="710">
        <v>-0.45315399873390083</v>
      </c>
      <c r="F41" s="708">
        <v>-0.78488542654293247</v>
      </c>
      <c r="G41" s="711">
        <v>0.42261841019055818</v>
      </c>
      <c r="H41" s="710">
        <v>0.25700000000000001</v>
      </c>
      <c r="I41" s="708">
        <v>0.45500000000000002</v>
      </c>
      <c r="J41" s="570">
        <v>4.3339999999999996</v>
      </c>
      <c r="K41" s="865" t="str">
        <f>IF($J41="","",IF(IFERROR(INDEX(Settings!$AK$14:$AK$36,MATCH((((ROUND($H41,6)*2)*1000000)+ROUND($I41,6)),Settings!$AI$14:$AI$36,0)),"Undefined")="Undefined","Undefined",IFERROR(INDEX(_xlfn.ANCHORARRAY(Settings!$BC$14),MATCH(IFERROR(INDEX(Settings!$AK$14:$AK$36,MATCH((((ROUND($H41,6)*2)*1000000)+ROUND($I41,6)),Settings!$AI$14:$AI$36,0)),"Undefined"),_xlfn.ANCHORARRAY(Settings!$BC$14),0)),"Inactive")))</f>
        <v>Inactive</v>
      </c>
      <c r="L41" s="320"/>
      <c r="M41" s="168">
        <f t="shared" ref="M41:M72" si="239">IF(J41="","",VALUE(J41))</f>
        <v>4.3339999999999996</v>
      </c>
      <c r="N41" s="632">
        <f t="shared" ref="N41:N72" si="240">IF(M41="","",B41)</f>
        <v>-2.8922513996351937</v>
      </c>
      <c r="O41" s="629">
        <f t="shared" ref="O41:O72" si="241">IF(M41="","",C41)</f>
        <v>-5.0095214163835529</v>
      </c>
      <c r="P41" s="633">
        <f t="shared" ref="P41:P72" si="242">IF(M41="","",D41)</f>
        <v>-1.6691875665146427</v>
      </c>
      <c r="Q41" s="585">
        <f t="shared" si="113"/>
        <v>239.99997545504038</v>
      </c>
      <c r="R41" s="629">
        <f t="shared" si="79"/>
        <v>5.7844985072084869</v>
      </c>
      <c r="S41" s="634">
        <f t="shared" si="80"/>
        <v>-1.6691875665146427</v>
      </c>
      <c r="T41" s="635">
        <f t="shared" si="81"/>
        <v>-5.0385422429310376</v>
      </c>
      <c r="U41" s="629">
        <f t="shared" si="82"/>
        <v>2.84139315232804</v>
      </c>
      <c r="V41" s="636">
        <f t="shared" si="114"/>
        <v>-1.6691875665146427</v>
      </c>
      <c r="W41" s="585">
        <f t="shared" si="224"/>
        <v>150.57997537129876</v>
      </c>
      <c r="X41" s="629">
        <f t="shared" si="83"/>
        <v>5.7844985072084869</v>
      </c>
      <c r="Y41" s="630">
        <f t="shared" si="223"/>
        <v>-1.6691875665146427</v>
      </c>
      <c r="Z41" s="632">
        <f t="shared" ref="Z41:Z72" si="243">IF(M41="","",-E41)</f>
        <v>0.45315399873390083</v>
      </c>
      <c r="AA41" s="629">
        <f t="shared" ref="AA41:AA72" si="244">IF(M41="","",-F41)</f>
        <v>0.78488542654293247</v>
      </c>
      <c r="AB41" s="629">
        <f t="shared" ref="AB41:AB72" si="245">IF(M41="","",-G41)</f>
        <v>-0.42261841019055818</v>
      </c>
      <c r="AC41" s="636">
        <f t="shared" si="84"/>
        <v>1</v>
      </c>
      <c r="AD41" s="637">
        <f t="shared" si="115"/>
        <v>0.45315399873390083</v>
      </c>
      <c r="AE41" s="629">
        <f t="shared" si="85"/>
        <v>0.78488542654293247</v>
      </c>
      <c r="AF41" s="633">
        <f t="shared" si="86"/>
        <v>-0.42261841019055818</v>
      </c>
      <c r="AG41" s="602">
        <f t="shared" si="87"/>
        <v>61.699934879544074</v>
      </c>
      <c r="AH41" s="603">
        <f t="shared" si="88"/>
        <v>63.053777974762745</v>
      </c>
      <c r="AI41" s="585">
        <f t="shared" si="89"/>
        <v>-64.999990615163171</v>
      </c>
      <c r="AJ41" s="586">
        <f t="shared" si="90"/>
        <v>149.99998979276489</v>
      </c>
      <c r="AK41" s="635">
        <f t="shared" si="211"/>
        <v>2.2679489630750282E-7</v>
      </c>
      <c r="AL41" s="629">
        <f t="shared" si="91"/>
        <v>-0.90630771781330088</v>
      </c>
      <c r="AM41" s="634">
        <f t="shared" si="92"/>
        <v>-0.42261841019055818</v>
      </c>
      <c r="AN41" s="581">
        <f t="shared" si="93"/>
        <v>-64.999990615162488</v>
      </c>
      <c r="AO41" s="582">
        <f t="shared" si="94"/>
        <v>0</v>
      </c>
      <c r="AP41" s="585">
        <f t="shared" si="95"/>
        <v>-89.999985662275492</v>
      </c>
      <c r="AQ41" s="586">
        <f t="shared" ref="AQ41:AQ72" si="246">IF(M41="","",DEGREES(ATAN(($AS$5*SIN(RADIANS(90)))/(($X41*2*PI())-($AS$5*COS(RADIANS(90)))))))</f>
        <v>0.39410342588401148</v>
      </c>
      <c r="AS41" s="52">
        <f t="shared" si="116"/>
        <v>-209.42002462870124</v>
      </c>
      <c r="AT41" s="72">
        <f t="shared" ref="AT41:AT72" si="247">IF(M41="","",Y41+(((AS41-$AS$9)*$AS$6)*-1))</f>
        <v>-1.5233542161361986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4.3339999999999996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4.1340000000000003</v>
      </c>
      <c r="II41" s="734" cm="1">
        <f t="array" ref="II41">IFERROR(IF($IH41&lt;1,$IH41+LARGE((IF($M$9:$M$150="",0,$M$9:$M$150)-MOD(IF($M$9:$M$150="",0,$M$9:$M$150),1)),1),$IH41),"")</f>
        <v>4.1340000000000003</v>
      </c>
      <c r="IJ41" s="533">
        <f t="shared" si="112"/>
        <v>1913</v>
      </c>
      <c r="IK41" s="533" t="str">
        <f t="shared" ref="IK41:IK72" si="382">IF(ISNUMBER($II41),INDEX($K$9:$K$150,MATCH($IG41,$M$9:$M$150,0)),"")</f>
        <v>Inactive</v>
      </c>
      <c r="IL41" s="727">
        <f t="shared" si="225"/>
        <v>16.512000503604781</v>
      </c>
      <c r="IM41" s="759">
        <v>1.30188705747998E-2</v>
      </c>
      <c r="IN41" s="5">
        <f t="shared" si="226"/>
        <v>0.7</v>
      </c>
      <c r="IO41" s="771">
        <v>350</v>
      </c>
      <c r="IP41" s="9">
        <f t="shared" si="227"/>
        <v>-5.7188172479528205</v>
      </c>
      <c r="IQ41" s="5">
        <f t="shared" si="228"/>
        <v>-1.6795050653872774</v>
      </c>
      <c r="IR41" s="5">
        <f t="shared" ref="IR41:IR72" si="383">IF(ISNUMBER($II41),INDEX($H$9:$H$150,MATCH($II41,$M$9:$M$150,0)),"")</f>
        <v>0.3765</v>
      </c>
      <c r="IS41" s="5">
        <f t="shared" si="229"/>
        <v>0.33570462034947368</v>
      </c>
      <c r="IT41" s="727">
        <f t="shared" si="230"/>
        <v>69.322183317450396</v>
      </c>
      <c r="IU41" s="9">
        <f t="shared" si="231"/>
        <v>-5.7844985072084869</v>
      </c>
      <c r="IV41" s="5">
        <f t="shared" si="232"/>
        <v>-1.6691875665146427</v>
      </c>
      <c r="IW41" s="5">
        <f t="shared" ref="IW41:IW72" si="384">IF(ISNUMBER($II41),$H41,"")</f>
        <v>0.25700000000000001</v>
      </c>
      <c r="IX41" s="5">
        <f t="shared" si="233"/>
        <v>0.25700000000000001</v>
      </c>
      <c r="IY41" s="762">
        <f t="shared" si="234"/>
        <v>64.999990615162488</v>
      </c>
    </row>
    <row r="42" spans="1:267" ht="15" customHeight="1" x14ac:dyDescent="0.25">
      <c r="A42" s="79"/>
      <c r="B42" s="707">
        <v>-0.63985531391671835</v>
      </c>
      <c r="C42" s="708">
        <v>-0.2983692072451371</v>
      </c>
      <c r="D42" s="709">
        <v>-0.78860237842477332</v>
      </c>
      <c r="E42" s="710">
        <v>0.4773585787533558</v>
      </c>
      <c r="F42" s="708">
        <v>-0.81424017475268073</v>
      </c>
      <c r="G42" s="711">
        <v>0.33036604714967338</v>
      </c>
      <c r="H42" s="710">
        <v>0.3765</v>
      </c>
      <c r="I42" s="708">
        <v>0.52</v>
      </c>
      <c r="J42" s="570">
        <v>5.1020000000000003</v>
      </c>
      <c r="K42" s="865">
        <f>IF($J42="","",IF(IFERROR(INDEX(Settings!$AK$14:$AK$36,MATCH((((ROUND($H42,6)*2)*1000000)+ROUND($I42,6)),Settings!$AI$14:$AI$36,0)),"Undefined")="Undefined","Undefined",IFERROR(INDEX(_xlfn.ANCHORARRAY(Settings!$BC$14),MATCH(IFERROR(INDEX(Settings!$AK$14:$AK$36,MATCH((((ROUND($H42,6)*2)*1000000)+ROUND($I42,6)),Settings!$AI$14:$AI$36,0)),"Undefined"),_xlfn.ANCHORARRAY(Settings!$BC$14),0)),"Inactive")))</f>
        <v>1913</v>
      </c>
      <c r="L42" s="320"/>
      <c r="M42" s="168">
        <f t="shared" si="239"/>
        <v>5.1020000000000003</v>
      </c>
      <c r="N42" s="632">
        <f t="shared" si="240"/>
        <v>-0.63985531391671835</v>
      </c>
      <c r="O42" s="629">
        <f t="shared" si="241"/>
        <v>-0.2983692072451371</v>
      </c>
      <c r="P42" s="633">
        <f t="shared" si="242"/>
        <v>-0.78860237842477332</v>
      </c>
      <c r="Q42" s="585">
        <f t="shared" si="113"/>
        <v>204.99998339605673</v>
      </c>
      <c r="R42" s="629">
        <f t="shared" ref="R42:R47" si="385">IF(M42="","",SQRT(N42^2+O42^2))</f>
        <v>0.70600212930242201</v>
      </c>
      <c r="S42" s="634">
        <f t="shared" ref="S42:S47" si="386">IF(M42="","",P42)</f>
        <v>-0.78860237842477332</v>
      </c>
      <c r="T42" s="635">
        <f t="shared" ref="T42:T47" si="387">IF(M42="","",X42*COS(RADIANS(W42)))</f>
        <v>-0.30483100592282714</v>
      </c>
      <c r="U42" s="629">
        <f t="shared" ref="U42:U47" si="388">IF(M42="","",X42*SIN(RADIANS(W42)))</f>
        <v>0.63680221765288403</v>
      </c>
      <c r="V42" s="636">
        <f t="shared" ref="V42:V47" si="389">IF(M42="","",Y42)</f>
        <v>-0.78860237842477332</v>
      </c>
      <c r="W42" s="585">
        <f t="shared" si="224"/>
        <v>115.57998331231509</v>
      </c>
      <c r="X42" s="629">
        <f t="shared" ref="X42:X47" si="390">IF(M42="","",R42)</f>
        <v>0.70600212930242201</v>
      </c>
      <c r="Y42" s="630">
        <f t="shared" si="223"/>
        <v>-0.78860237842477332</v>
      </c>
      <c r="Z42" s="632">
        <f t="shared" si="243"/>
        <v>-0.4773585787533558</v>
      </c>
      <c r="AA42" s="629">
        <f t="shared" si="244"/>
        <v>0.81424017475268073</v>
      </c>
      <c r="AB42" s="629">
        <f t="shared" si="245"/>
        <v>-0.33036604714967338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-0.4773585787533558</v>
      </c>
      <c r="AE42" s="629">
        <f t="shared" ref="AE42:AE47" si="393">IF(M42="","",AA42*(1/SQRT(Z42^2+AA42^2+AB42^2)))</f>
        <v>0.81424017475268073</v>
      </c>
      <c r="AF42" s="633">
        <f t="shared" ref="AF42:AF47" si="394">IF(M42="","",AB42*(1/SQRT(Z42^2+AA42^2+AB42^2)))</f>
        <v>-0.33036604714967338</v>
      </c>
      <c r="AG42" s="602">
        <f t="shared" ref="AG42:AG47" si="395">IF(M42="","",DEGREES(ATAN2(-AF42,AE42)))</f>
        <v>67.915864810578043</v>
      </c>
      <c r="AH42" s="603">
        <f t="shared" ref="AH42:AH47" si="396">IF(M42="","",DEGREES(ACOS(AD42)))</f>
        <v>118.51302826614649</v>
      </c>
      <c r="AI42" s="585">
        <f t="shared" ref="AI42:AI47" si="397">IF(M42="","",DEGREES(-ACOS(-AF42)))</f>
        <v>-70.709005437865216</v>
      </c>
      <c r="AJ42" s="586">
        <f t="shared" ref="AJ42:AJ47" si="398">IF(M42="","",DEGREES(ATAN2(-AE42,AD42)))</f>
        <v>-149.61849784170383</v>
      </c>
      <c r="AK42" s="635">
        <f t="shared" ref="AK42:AK47" si="399">IF(M42="","",(COS(RADIANS((90-$Q$8)-W42))*AD42)+(-SIN(RADIANS((90-$Q$8)-W42))*AE42))</f>
        <v>0.93969263802333458</v>
      </c>
      <c r="AL42" s="629">
        <f t="shared" ref="AL42:AL47" si="400">IF(M42="","",(SIN(RADIANS((90-$Q$8)-W42))*AD42)+(COS(RADIANS((90-$Q$8)-W42))*AE42))</f>
        <v>8.8521302156295223E-2</v>
      </c>
      <c r="AM42" s="634">
        <f t="shared" ref="AM42:AM47" si="401">IF(M42="","",AF42)</f>
        <v>-0.33036604714967338</v>
      </c>
      <c r="AN42" s="581">
        <f t="shared" ref="AN42:AN47" si="402">IF(M42="","",DEGREES(ATAN2(-AM42,AL42)))</f>
        <v>14.999997834268211</v>
      </c>
      <c r="AO42" s="582">
        <f t="shared" si="94"/>
        <v>19.999997112357679</v>
      </c>
      <c r="AP42" s="585">
        <f t="shared" ref="AP42:AP47" si="403">IF(M42="","",DEGREES(ATAN2(AK42,AL42)))</f>
        <v>5.381518762239458</v>
      </c>
      <c r="AQ42" s="586">
        <f t="shared" si="246"/>
        <v>3.225652589170799</v>
      </c>
      <c r="AS42" s="52">
        <f t="shared" si="116"/>
        <v>-244.42001668768489</v>
      </c>
      <c r="AT42" s="72">
        <f t="shared" si="247"/>
        <v>-0.61846347800536827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5.1020000000000003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>
        <f t="shared" si="112"/>
        <v>1913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-1.4605196011002715</v>
      </c>
      <c r="C43" s="708">
        <v>-0.68105095959707995</v>
      </c>
      <c r="D43" s="709">
        <v>-0.54600164674096663</v>
      </c>
      <c r="E43" s="710">
        <v>0.46892874510133481</v>
      </c>
      <c r="F43" s="708">
        <v>-0.84711619532694482</v>
      </c>
      <c r="G43" s="711">
        <v>0.24999996726497567</v>
      </c>
      <c r="H43" s="710">
        <v>0.3765</v>
      </c>
      <c r="I43" s="708">
        <v>0.52</v>
      </c>
      <c r="J43" s="570">
        <v>5.1050000000000004</v>
      </c>
      <c r="K43" s="865">
        <f>IF($J43="","",IF(IFERROR(INDEX(Settings!$AK$14:$AK$36,MATCH((((ROUND($H43,6)*2)*1000000)+ROUND($I43,6)),Settings!$AI$14:$AI$36,0)),"Undefined")="Undefined","Undefined",IFERROR(INDEX(_xlfn.ANCHORARRAY(Settings!$BC$14),MATCH(IFERROR(INDEX(Settings!$AK$14:$AK$36,MATCH((((ROUND($H43,6)*2)*1000000)+ROUND($I43,6)),Settings!$AI$14:$AI$36,0)),"Undefined"),_xlfn.ANCHORARRAY(Settings!$BC$14),0)),"Inactive")))</f>
        <v>1913</v>
      </c>
      <c r="L43" s="320"/>
      <c r="M43" s="168">
        <f t="shared" si="239"/>
        <v>5.1050000000000004</v>
      </c>
      <c r="N43" s="632">
        <f t="shared" si="240"/>
        <v>-1.4605196011002715</v>
      </c>
      <c r="O43" s="629">
        <f t="shared" si="241"/>
        <v>-0.68105095959707995</v>
      </c>
      <c r="P43" s="633">
        <f t="shared" si="242"/>
        <v>-0.54600164674096663</v>
      </c>
      <c r="Q43" s="585">
        <f t="shared" si="113"/>
        <v>204.99998339605673</v>
      </c>
      <c r="R43" s="629">
        <f t="shared" si="385"/>
        <v>1.6115048602986588</v>
      </c>
      <c r="S43" s="634">
        <f t="shared" si="386"/>
        <v>-0.54600164674096663</v>
      </c>
      <c r="T43" s="635">
        <f t="shared" si="387"/>
        <v>-0.69580051847682145</v>
      </c>
      <c r="U43" s="629">
        <f t="shared" si="388"/>
        <v>1.453550671030627</v>
      </c>
      <c r="V43" s="636">
        <f t="shared" si="389"/>
        <v>-0.54600164674096663</v>
      </c>
      <c r="W43" s="585">
        <f t="shared" si="224"/>
        <v>115.57998331231509</v>
      </c>
      <c r="X43" s="629">
        <f t="shared" si="390"/>
        <v>1.6115048602986588</v>
      </c>
      <c r="Y43" s="630">
        <f t="shared" si="223"/>
        <v>-0.54600164674096663</v>
      </c>
      <c r="Z43" s="632">
        <f t="shared" si="243"/>
        <v>-0.46892874510133481</v>
      </c>
      <c r="AA43" s="629">
        <f t="shared" si="244"/>
        <v>0.84711619532694482</v>
      </c>
      <c r="AB43" s="629">
        <f t="shared" si="245"/>
        <v>-0.24999996726497567</v>
      </c>
      <c r="AC43" s="636">
        <f t="shared" si="391"/>
        <v>1</v>
      </c>
      <c r="AD43" s="637">
        <f t="shared" si="392"/>
        <v>-0.46892874510133481</v>
      </c>
      <c r="AE43" s="629">
        <f t="shared" si="393"/>
        <v>0.84711619532694482</v>
      </c>
      <c r="AF43" s="633">
        <f t="shared" si="394"/>
        <v>-0.24999996726497567</v>
      </c>
      <c r="AG43" s="602">
        <f t="shared" si="395"/>
        <v>73.557675922032189</v>
      </c>
      <c r="AH43" s="603">
        <f t="shared" si="396"/>
        <v>117.96478150797752</v>
      </c>
      <c r="AI43" s="585">
        <f t="shared" si="397"/>
        <v>-75.522489751159455</v>
      </c>
      <c r="AJ43" s="586">
        <f t="shared" si="398"/>
        <v>-151.03288695885672</v>
      </c>
      <c r="AK43" s="635">
        <f t="shared" si="399"/>
        <v>0.9659258360722075</v>
      </c>
      <c r="AL43" s="629">
        <f t="shared" si="400"/>
        <v>6.6987279208206851E-2</v>
      </c>
      <c r="AM43" s="634">
        <f t="shared" si="401"/>
        <v>-0.24999996726497567</v>
      </c>
      <c r="AN43" s="581">
        <f t="shared" si="402"/>
        <v>14.999997834268191</v>
      </c>
      <c r="AO43" s="582">
        <f t="shared" si="94"/>
        <v>14.99999783426823</v>
      </c>
      <c r="AP43" s="585">
        <f t="shared" si="403"/>
        <v>3.9671296450865503</v>
      </c>
      <c r="AQ43" s="586">
        <f t="shared" si="246"/>
        <v>1.4143696392951841</v>
      </c>
      <c r="AS43" s="52">
        <f t="shared" ref="AS43:AS74" si="406">IF(G43="","",IF(AND(W43&lt;(AS42+180),W43&gt;(AS42-180)),W43,IF(W43&gt;(AS42+180),W43-360,IF(W43&lt;(AS42-180),W43+360,"Error"))))</f>
        <v>-244.42001668768489</v>
      </c>
      <c r="AT43" s="72">
        <f t="shared" si="247"/>
        <v>-0.37586274632156158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5.1050000000000004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>
        <f t="shared" si="112"/>
        <v>1913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-2.284107037421867</v>
      </c>
      <c r="C44" s="708">
        <v>-1.0576793792414669</v>
      </c>
      <c r="D44" s="709">
        <v>-0.30340091505715971</v>
      </c>
      <c r="E44" s="710">
        <v>0.44614823960814265</v>
      </c>
      <c r="F44" s="708">
        <v>-0.85757779842374404</v>
      </c>
      <c r="G44" s="711">
        <v>0.2559532534374972</v>
      </c>
      <c r="H44" s="710">
        <v>0.3765</v>
      </c>
      <c r="I44" s="708">
        <v>0.52</v>
      </c>
      <c r="J44" s="570">
        <v>5.109</v>
      </c>
      <c r="K44" s="865">
        <f>IF($J44="","",IF(IFERROR(INDEX(Settings!$AK$14:$AK$36,MATCH((((ROUND($H44,6)*2)*1000000)+ROUND($I44,6)),Settings!$AI$14:$AI$36,0)),"Undefined")="Undefined","Undefined",IFERROR(INDEX(_xlfn.ANCHORARRAY(Settings!$BC$14),MATCH(IFERROR(INDEX(Settings!$AK$14:$AK$36,MATCH((((ROUND($H44,6)*2)*1000000)+ROUND($I44,6)),Settings!$AI$14:$AI$36,0)),"Undefined"),_xlfn.ANCHORARRAY(Settings!$BC$14),0)),"Inactive")))</f>
        <v>1913</v>
      </c>
      <c r="L44" s="320"/>
      <c r="M44" s="168">
        <f t="shared" si="239"/>
        <v>5.109</v>
      </c>
      <c r="N44" s="632">
        <f t="shared" si="240"/>
        <v>-2.284107037421867</v>
      </c>
      <c r="O44" s="629">
        <f t="shared" si="241"/>
        <v>-1.0576793792414669</v>
      </c>
      <c r="P44" s="633">
        <f t="shared" si="242"/>
        <v>-0.30340091505715971</v>
      </c>
      <c r="Q44" s="585">
        <f t="shared" si="113"/>
        <v>204.84698341814718</v>
      </c>
      <c r="R44" s="629">
        <f t="shared" si="385"/>
        <v>2.517107591596496</v>
      </c>
      <c r="S44" s="634">
        <f t="shared" si="386"/>
        <v>-0.30340091505715971</v>
      </c>
      <c r="T44" s="635">
        <f t="shared" si="387"/>
        <v>-1.0807465987380145</v>
      </c>
      <c r="U44" s="629">
        <f t="shared" si="388"/>
        <v>2.2732834000601256</v>
      </c>
      <c r="V44" s="636">
        <f t="shared" si="389"/>
        <v>-0.30340091505715971</v>
      </c>
      <c r="W44" s="585">
        <f t="shared" si="224"/>
        <v>115.42698333440553</v>
      </c>
      <c r="X44" s="629">
        <f t="shared" si="390"/>
        <v>2.517107591596496</v>
      </c>
      <c r="Y44" s="630">
        <f t="shared" si="223"/>
        <v>-0.30340091505715971</v>
      </c>
      <c r="Z44" s="632">
        <f t="shared" si="243"/>
        <v>-0.44614823960814265</v>
      </c>
      <c r="AA44" s="629">
        <f t="shared" si="244"/>
        <v>0.85757779842374404</v>
      </c>
      <c r="AB44" s="629">
        <f t="shared" si="245"/>
        <v>-0.2559532534374972</v>
      </c>
      <c r="AC44" s="636">
        <f t="shared" si="391"/>
        <v>1</v>
      </c>
      <c r="AD44" s="637">
        <f t="shared" si="392"/>
        <v>-0.44614823960814265</v>
      </c>
      <c r="AE44" s="629">
        <f t="shared" si="393"/>
        <v>0.85757779842374404</v>
      </c>
      <c r="AF44" s="633">
        <f t="shared" si="394"/>
        <v>-0.2559532534374972</v>
      </c>
      <c r="AG44" s="602">
        <f t="shared" si="395"/>
        <v>73.381704228771397</v>
      </c>
      <c r="AH44" s="603">
        <f t="shared" si="396"/>
        <v>116.49682623293629</v>
      </c>
      <c r="AI44" s="585">
        <f t="shared" si="397"/>
        <v>-75.169922771152457</v>
      </c>
      <c r="AJ44" s="586">
        <f t="shared" si="398"/>
        <v>-152.51464193736456</v>
      </c>
      <c r="AK44" s="635">
        <f t="shared" si="399"/>
        <v>0.96566443395181167</v>
      </c>
      <c r="AL44" s="629">
        <f t="shared" si="400"/>
        <v>4.4498685995065068E-2</v>
      </c>
      <c r="AM44" s="634">
        <f t="shared" si="401"/>
        <v>-0.2559532534374972</v>
      </c>
      <c r="AN44" s="581">
        <f t="shared" si="402"/>
        <v>9.8625643664767502</v>
      </c>
      <c r="AO44" s="582">
        <f t="shared" si="94"/>
        <v>15.057756806127996</v>
      </c>
      <c r="AP44" s="585">
        <f t="shared" si="403"/>
        <v>2.638374644488255</v>
      </c>
      <c r="AQ44" s="586">
        <f t="shared" si="246"/>
        <v>0.90561753834247272</v>
      </c>
      <c r="AS44" s="52">
        <f t="shared" si="406"/>
        <v>-244.57301666559448</v>
      </c>
      <c r="AT44" s="72">
        <f t="shared" si="247"/>
        <v>-0.13315576465309523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1913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-3.13345347419027</v>
      </c>
      <c r="C45" s="708">
        <v>-1.4042208282425794</v>
      </c>
      <c r="D45" s="709">
        <v>-0.10450031517295055</v>
      </c>
      <c r="E45" s="710">
        <v>0.35798410259827884</v>
      </c>
      <c r="F45" s="708">
        <v>-0.89634233355169657</v>
      </c>
      <c r="G45" s="711">
        <v>0.26156797084124084</v>
      </c>
      <c r="H45" s="710">
        <v>0.3765</v>
      </c>
      <c r="I45" s="708">
        <v>0.52</v>
      </c>
      <c r="J45" s="570">
        <v>5.1150000000000002</v>
      </c>
      <c r="K45" s="865">
        <f>IF($J45="","",IF(IFERROR(INDEX(Settings!$AK$14:$AK$36,MATCH((((ROUND($H45,6)*2)*1000000)+ROUND($I45,6)),Settings!$AI$14:$AI$36,0)),"Undefined")="Undefined","Undefined",IFERROR(INDEX(_xlfn.ANCHORARRAY(Settings!$BC$14),MATCH(IFERROR(INDEX(Settings!$AK$14:$AK$36,MATCH((((ROUND($H45,6)*2)*1000000)+ROUND($I45,6)),Settings!$AI$14:$AI$36,0)),"Undefined"),_xlfn.ANCHORARRAY(Settings!$BC$14),0)),"Inactive")))</f>
        <v>1913</v>
      </c>
      <c r="L45" s="320"/>
      <c r="M45" s="168">
        <f t="shared" si="239"/>
        <v>5.1150000000000002</v>
      </c>
      <c r="N45" s="632">
        <f t="shared" si="240"/>
        <v>-3.13345347419027</v>
      </c>
      <c r="O45" s="629">
        <f t="shared" si="241"/>
        <v>-1.4042208282425794</v>
      </c>
      <c r="P45" s="633">
        <f t="shared" si="242"/>
        <v>-0.10450031517295055</v>
      </c>
      <c r="Q45" s="585">
        <f t="shared" si="113"/>
        <v>204.13898352036972</v>
      </c>
      <c r="R45" s="629">
        <f t="shared" si="385"/>
        <v>3.4337103560704345</v>
      </c>
      <c r="S45" s="634">
        <f t="shared" si="386"/>
        <v>-0.10450031517295055</v>
      </c>
      <c r="T45" s="635">
        <f t="shared" si="387"/>
        <v>-1.4358680014413605</v>
      </c>
      <c r="U45" s="629">
        <f t="shared" si="388"/>
        <v>3.1190783721833832</v>
      </c>
      <c r="V45" s="636">
        <f t="shared" si="389"/>
        <v>-0.10450031517295055</v>
      </c>
      <c r="W45" s="585">
        <f t="shared" si="224"/>
        <v>114.71898343662808</v>
      </c>
      <c r="X45" s="629">
        <f t="shared" si="390"/>
        <v>3.4337103560704345</v>
      </c>
      <c r="Y45" s="630">
        <f t="shared" si="223"/>
        <v>-0.10450031517295055</v>
      </c>
      <c r="Z45" s="632">
        <f t="shared" si="243"/>
        <v>-0.35798410259827884</v>
      </c>
      <c r="AA45" s="629">
        <f t="shared" si="244"/>
        <v>0.89634233355169657</v>
      </c>
      <c r="AB45" s="629">
        <f t="shared" si="245"/>
        <v>-0.26156797084124084</v>
      </c>
      <c r="AC45" s="636">
        <f t="shared" si="391"/>
        <v>1</v>
      </c>
      <c r="AD45" s="637">
        <f t="shared" si="392"/>
        <v>-0.35798410259827884</v>
      </c>
      <c r="AE45" s="629">
        <f t="shared" si="393"/>
        <v>0.89634233355169657</v>
      </c>
      <c r="AF45" s="633">
        <f t="shared" si="394"/>
        <v>-0.26156797084124084</v>
      </c>
      <c r="AG45" s="602">
        <f t="shared" si="395"/>
        <v>73.731855081088199</v>
      </c>
      <c r="AH45" s="603">
        <f t="shared" si="396"/>
        <v>110.9764443696837</v>
      </c>
      <c r="AI45" s="585">
        <f t="shared" si="397"/>
        <v>-74.836879655226014</v>
      </c>
      <c r="AJ45" s="586">
        <f t="shared" si="398"/>
        <v>-158.22906071448435</v>
      </c>
      <c r="AK45" s="635">
        <f t="shared" si="399"/>
        <v>0.96436081928853434</v>
      </c>
      <c r="AL45" s="629">
        <f t="shared" si="400"/>
        <v>-3.9879905355237222E-2</v>
      </c>
      <c r="AM45" s="634">
        <f t="shared" si="401"/>
        <v>-0.26156797084124084</v>
      </c>
      <c r="AN45" s="581">
        <f t="shared" si="402"/>
        <v>-8.6688298258902812</v>
      </c>
      <c r="AO45" s="582">
        <f t="shared" si="94"/>
        <v>15.342630372568781</v>
      </c>
      <c r="AP45" s="585">
        <f t="shared" si="403"/>
        <v>-2.3680442348540574</v>
      </c>
      <c r="AQ45" s="586">
        <f t="shared" si="246"/>
        <v>0.66389542725811834</v>
      </c>
      <c r="AS45" s="52">
        <f t="shared" si="406"/>
        <v>-245.28101656337191</v>
      </c>
      <c r="AT45" s="72">
        <f t="shared" si="247"/>
        <v>6.6236501826792693E-2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5.1150000000000002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1913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-4.0093763136741956</v>
      </c>
      <c r="C46" s="708">
        <v>-1.7151072630764397</v>
      </c>
      <c r="D46" s="709">
        <v>-0.24340073409661403</v>
      </c>
      <c r="E46" s="710">
        <v>0.24126734948759954</v>
      </c>
      <c r="F46" s="708">
        <v>-0.94346028616390165</v>
      </c>
      <c r="G46" s="711">
        <v>0.22731641934263658</v>
      </c>
      <c r="H46" s="710">
        <v>0.3765</v>
      </c>
      <c r="I46" s="708">
        <v>0.52</v>
      </c>
      <c r="J46" s="570">
        <v>5.1210000000000004</v>
      </c>
      <c r="K46" s="865">
        <f>IF($J46="","",IF(IFERROR(INDEX(Settings!$AK$14:$AK$36,MATCH((((ROUND($H46,6)*2)*1000000)+ROUND($I46,6)),Settings!$AI$14:$AI$36,0)),"Undefined")="Undefined","Undefined",IFERROR(INDEX(_xlfn.ANCHORARRAY(Settings!$BC$14),MATCH(IFERROR(INDEX(Settings!$AK$14:$AK$36,MATCH((((ROUND($H46,6)*2)*1000000)+ROUND($I46,6)),Settings!$AI$14:$AI$36,0)),"Undefined"),_xlfn.ANCHORARRAY(Settings!$BC$14),0)),"Inactive")))</f>
        <v>1913</v>
      </c>
      <c r="L46" s="320"/>
      <c r="M46" s="168">
        <f t="shared" si="239"/>
        <v>5.1210000000000004</v>
      </c>
      <c r="N46" s="632">
        <f t="shared" si="240"/>
        <v>-4.0093763136741956</v>
      </c>
      <c r="O46" s="629">
        <f t="shared" si="241"/>
        <v>-1.7151072630764397</v>
      </c>
      <c r="P46" s="633">
        <f t="shared" si="242"/>
        <v>-0.24340073409661403</v>
      </c>
      <c r="Q46" s="585">
        <f t="shared" si="113"/>
        <v>203.15998366171982</v>
      </c>
      <c r="R46" s="629">
        <f t="shared" si="385"/>
        <v>4.3608131522124678</v>
      </c>
      <c r="S46" s="634">
        <f t="shared" si="386"/>
        <v>-0.24340073409661403</v>
      </c>
      <c r="T46" s="635">
        <f t="shared" si="387"/>
        <v>-1.7556052426950672</v>
      </c>
      <c r="U46" s="629">
        <f t="shared" si="388"/>
        <v>3.9918093116193356</v>
      </c>
      <c r="V46" s="636">
        <f t="shared" si="389"/>
        <v>-0.24340073409661403</v>
      </c>
      <c r="W46" s="585">
        <f t="shared" si="224"/>
        <v>113.73998357797818</v>
      </c>
      <c r="X46" s="629">
        <f t="shared" si="390"/>
        <v>4.3608131522124678</v>
      </c>
      <c r="Y46" s="630">
        <f t="shared" si="223"/>
        <v>-0.24340073409661403</v>
      </c>
      <c r="Z46" s="632">
        <f t="shared" si="243"/>
        <v>-0.24126734948759954</v>
      </c>
      <c r="AA46" s="629">
        <f t="shared" si="244"/>
        <v>0.94346028616390165</v>
      </c>
      <c r="AB46" s="629">
        <f t="shared" si="245"/>
        <v>-0.22731641934263658</v>
      </c>
      <c r="AC46" s="636">
        <f t="shared" si="391"/>
        <v>1</v>
      </c>
      <c r="AD46" s="637">
        <f t="shared" si="392"/>
        <v>-0.24126734948759954</v>
      </c>
      <c r="AE46" s="629">
        <f t="shared" si="393"/>
        <v>0.94346028616390165</v>
      </c>
      <c r="AF46" s="633">
        <f t="shared" si="394"/>
        <v>-0.22731641934263658</v>
      </c>
      <c r="AG46" s="602">
        <f t="shared" si="395"/>
        <v>76.453404599764966</v>
      </c>
      <c r="AH46" s="603">
        <f t="shared" si="396"/>
        <v>103.96135242253128</v>
      </c>
      <c r="AI46" s="585">
        <f t="shared" si="397"/>
        <v>-76.860870557646464</v>
      </c>
      <c r="AJ46" s="586">
        <f t="shared" si="398"/>
        <v>-165.65539650835615</v>
      </c>
      <c r="AK46" s="635">
        <f t="shared" si="399"/>
        <v>0.96231747639958221</v>
      </c>
      <c r="AL46" s="629">
        <f t="shared" si="400"/>
        <v>-0.14923913733730193</v>
      </c>
      <c r="AM46" s="634">
        <f t="shared" si="401"/>
        <v>-0.22731641934263658</v>
      </c>
      <c r="AN46" s="581">
        <f t="shared" si="402"/>
        <v>-33.285939553275028</v>
      </c>
      <c r="AO46" s="582">
        <f t="shared" si="94"/>
        <v>15.779052342566313</v>
      </c>
      <c r="AP46" s="585">
        <f t="shared" si="403"/>
        <v>-8.8153801700759526</v>
      </c>
      <c r="AQ46" s="586">
        <f t="shared" si="246"/>
        <v>0.52276107527889104</v>
      </c>
      <c r="AS46" s="52">
        <f t="shared" si="406"/>
        <v>-246.26001642202181</v>
      </c>
      <c r="AT46" s="72">
        <f t="shared" si="247"/>
        <v>-7.1984056083919445E-2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5.1210000000000004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1913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-4.7683000803615654</v>
      </c>
      <c r="C47" s="708">
        <v>-1.9481389052091331</v>
      </c>
      <c r="D47" s="709">
        <v>-0.74820225657800576</v>
      </c>
      <c r="E47" s="710">
        <v>0.10884466904881022</v>
      </c>
      <c r="F47" s="708">
        <v>-0.97075447688320271</v>
      </c>
      <c r="G47" s="711">
        <v>0.21398267133315843</v>
      </c>
      <c r="H47" s="710">
        <v>0.3765</v>
      </c>
      <c r="I47" s="708">
        <v>0.52</v>
      </c>
      <c r="J47" s="570">
        <v>5.1269999999999998</v>
      </c>
      <c r="K47" s="865">
        <f>IF($J47="","",IF(IFERROR(INDEX(Settings!$AK$14:$AK$36,MATCH((((ROUND($H47,6)*2)*1000000)+ROUND($I47,6)),Settings!$AI$14:$AI$36,0)),"Undefined")="Undefined","Undefined",IFERROR(INDEX(_xlfn.ANCHORARRAY(Settings!$BC$14),MATCH(IFERROR(INDEX(Settings!$AK$14:$AK$36,MATCH((((ROUND($H47,6)*2)*1000000)+ROUND($I47,6)),Settings!$AI$14:$AI$36,0)),"Undefined"),_xlfn.ANCHORARRAY(Settings!$BC$14),0)),"Inactive")))</f>
        <v>1913</v>
      </c>
      <c r="L47" s="320"/>
      <c r="M47" s="168">
        <f t="shared" si="239"/>
        <v>5.1269999999999998</v>
      </c>
      <c r="N47" s="632">
        <f t="shared" si="240"/>
        <v>-4.7683000803615654</v>
      </c>
      <c r="O47" s="629">
        <f t="shared" si="241"/>
        <v>-1.9481389052091331</v>
      </c>
      <c r="P47" s="633">
        <f t="shared" si="242"/>
        <v>-0.74820225657800576</v>
      </c>
      <c r="Q47" s="585">
        <f t="shared" si="113"/>
        <v>202.22298379700587</v>
      </c>
      <c r="R47" s="629">
        <f t="shared" si="385"/>
        <v>5.1509155351612543</v>
      </c>
      <c r="S47" s="634">
        <f t="shared" si="386"/>
        <v>-0.74820225657800576</v>
      </c>
      <c r="T47" s="635">
        <f t="shared" si="387"/>
        <v>-1.9963073295853753</v>
      </c>
      <c r="U47" s="629">
        <f t="shared" si="388"/>
        <v>4.7483352763057134</v>
      </c>
      <c r="V47" s="636">
        <f t="shared" si="389"/>
        <v>-0.74820225657800576</v>
      </c>
      <c r="W47" s="585">
        <f t="shared" si="224"/>
        <v>112.80298371326423</v>
      </c>
      <c r="X47" s="629">
        <f t="shared" si="390"/>
        <v>5.1509155351612543</v>
      </c>
      <c r="Y47" s="630">
        <f t="shared" si="223"/>
        <v>-0.74820225657800576</v>
      </c>
      <c r="Z47" s="632">
        <f t="shared" si="243"/>
        <v>-0.10884466904881022</v>
      </c>
      <c r="AA47" s="629">
        <f t="shared" si="244"/>
        <v>0.97075447688320271</v>
      </c>
      <c r="AB47" s="629">
        <f t="shared" si="245"/>
        <v>-0.21398267133315843</v>
      </c>
      <c r="AC47" s="636">
        <f t="shared" si="391"/>
        <v>1</v>
      </c>
      <c r="AD47" s="637">
        <f t="shared" si="392"/>
        <v>-0.10884466904881022</v>
      </c>
      <c r="AE47" s="629">
        <f t="shared" si="393"/>
        <v>0.97075447688320271</v>
      </c>
      <c r="AF47" s="633">
        <f t="shared" si="394"/>
        <v>-0.21398267133315843</v>
      </c>
      <c r="AG47" s="602">
        <f t="shared" si="395"/>
        <v>77.569125339199189</v>
      </c>
      <c r="AH47" s="603">
        <f t="shared" si="396"/>
        <v>96.248720095434933</v>
      </c>
      <c r="AI47" s="585">
        <f t="shared" si="397"/>
        <v>-77.644150279680147</v>
      </c>
      <c r="AJ47" s="586">
        <f t="shared" si="398"/>
        <v>-173.60250012467887</v>
      </c>
      <c r="AK47" s="635">
        <f t="shared" si="399"/>
        <v>0.93981218513236131</v>
      </c>
      <c r="AL47" s="629">
        <f t="shared" si="400"/>
        <v>-0.26639157840641647</v>
      </c>
      <c r="AM47" s="634">
        <f t="shared" si="401"/>
        <v>-0.21398267133315843</v>
      </c>
      <c r="AN47" s="581">
        <f t="shared" si="402"/>
        <v>-51.226352817183844</v>
      </c>
      <c r="AO47" s="582">
        <f t="shared" si="94"/>
        <v>19.979960754542706</v>
      </c>
      <c r="AP47" s="585">
        <f t="shared" si="403"/>
        <v>-15.82548392168472</v>
      </c>
      <c r="AQ47" s="586">
        <f t="shared" si="246"/>
        <v>0.44257788246251001</v>
      </c>
      <c r="AS47" s="52">
        <f t="shared" si="406"/>
        <v>-247.19701628673579</v>
      </c>
      <c r="AT47" s="72">
        <f t="shared" si="247"/>
        <v>-0.5761348842148154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5.1269999999999998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1913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-5.2694521239649763</v>
      </c>
      <c r="C48" s="708">
        <v>-2.0840881852220146</v>
      </c>
      <c r="D48" s="709">
        <v>-1.5310046175099263</v>
      </c>
      <c r="E48" s="710">
        <v>-4.2994156322608834E-2</v>
      </c>
      <c r="F48" s="708">
        <v>-0.98404911168250087</v>
      </c>
      <c r="G48" s="711">
        <v>0.17262342922960361</v>
      </c>
      <c r="H48" s="710">
        <v>0.3765</v>
      </c>
      <c r="I48" s="708">
        <v>0.52</v>
      </c>
      <c r="J48" s="570">
        <v>5.133</v>
      </c>
      <c r="K48" s="865">
        <f>IF($J48="","",IF(IFERROR(INDEX(Settings!$AK$14:$AK$36,MATCH((((ROUND($H48,6)*2)*1000000)+ROUND($I48,6)),Settings!$AI$14:$AI$36,0)),"Undefined")="Undefined","Undefined",IFERROR(INDEX(_xlfn.ANCHORARRAY(Settings!$BC$14),MATCH(IFERROR(INDEX(Settings!$AK$14:$AK$36,MATCH((((ROUND($H48,6)*2)*1000000)+ROUND($I48,6)),Settings!$AI$14:$AI$36,0)),"Undefined"),_xlfn.ANCHORARRAY(Settings!$BC$14),0)),"Inactive")))</f>
        <v>1913</v>
      </c>
      <c r="L48" s="320"/>
      <c r="M48" s="168">
        <f t="shared" si="239"/>
        <v>5.133</v>
      </c>
      <c r="N48" s="632">
        <f t="shared" si="240"/>
        <v>-5.2694521239649763</v>
      </c>
      <c r="O48" s="629">
        <f t="shared" si="241"/>
        <v>-2.0840881852220146</v>
      </c>
      <c r="P48" s="633">
        <f t="shared" si="242"/>
        <v>-1.5310046175099263</v>
      </c>
      <c r="Q48" s="585">
        <f t="shared" si="113"/>
        <v>201.57898388998794</v>
      </c>
      <c r="R48" s="629">
        <f t="shared" si="79"/>
        <v>5.6666170905171445</v>
      </c>
      <c r="S48" s="634">
        <f t="shared" si="80"/>
        <v>-1.5310046175099263</v>
      </c>
      <c r="T48" s="635">
        <f t="shared" si="81"/>
        <v>-2.1373226735630197</v>
      </c>
      <c r="U48" s="629">
        <f t="shared" si="82"/>
        <v>5.2480854642063912</v>
      </c>
      <c r="V48" s="636">
        <f t="shared" si="114"/>
        <v>-1.5310046175099263</v>
      </c>
      <c r="W48" s="585">
        <f t="shared" si="224"/>
        <v>112.1589838062463</v>
      </c>
      <c r="X48" s="629">
        <f t="shared" si="83"/>
        <v>5.6666170905171445</v>
      </c>
      <c r="Y48" s="630">
        <f t="shared" si="223"/>
        <v>-1.5310046175099263</v>
      </c>
      <c r="Z48" s="632">
        <f t="shared" si="243"/>
        <v>4.2994156322608834E-2</v>
      </c>
      <c r="AA48" s="629">
        <f t="shared" si="244"/>
        <v>0.98404911168250087</v>
      </c>
      <c r="AB48" s="629">
        <f t="shared" si="245"/>
        <v>-0.17262342922960361</v>
      </c>
      <c r="AC48" s="636">
        <f t="shared" si="84"/>
        <v>1</v>
      </c>
      <c r="AD48" s="637">
        <f t="shared" si="115"/>
        <v>4.2994156322608834E-2</v>
      </c>
      <c r="AE48" s="629">
        <f t="shared" si="85"/>
        <v>0.98404911168250087</v>
      </c>
      <c r="AF48" s="633">
        <f t="shared" si="86"/>
        <v>-0.17262342922960361</v>
      </c>
      <c r="AG48" s="602">
        <f t="shared" si="87"/>
        <v>80.050320347039374</v>
      </c>
      <c r="AH48" s="603">
        <f t="shared" si="88"/>
        <v>87.53585674057382</v>
      </c>
      <c r="AI48" s="585">
        <f t="shared" si="89"/>
        <v>-80.059614057233176</v>
      </c>
      <c r="AJ48" s="586">
        <f t="shared" si="90"/>
        <v>177.4982772649654</v>
      </c>
      <c r="AK48" s="635">
        <f t="shared" si="211"/>
        <v>0.89926599715785871</v>
      </c>
      <c r="AL48" s="629">
        <f t="shared" si="91"/>
        <v>-0.40189777062916615</v>
      </c>
      <c r="AM48" s="634">
        <f t="shared" si="92"/>
        <v>-0.17262342922960361</v>
      </c>
      <c r="AN48" s="581">
        <f t="shared" si="93"/>
        <v>-66.755473646370078</v>
      </c>
      <c r="AO48" s="582">
        <f t="shared" si="94"/>
        <v>25.938247057952104</v>
      </c>
      <c r="AP48" s="585">
        <f t="shared" si="95"/>
        <v>-24.080706625022547</v>
      </c>
      <c r="AQ48" s="586">
        <f t="shared" si="246"/>
        <v>0.40230160798361397</v>
      </c>
      <c r="AS48" s="52">
        <f t="shared" si="406"/>
        <v>-247.84101619375372</v>
      </c>
      <c r="AT48" s="72">
        <f t="shared" si="247"/>
        <v>-1.3584900229890846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5.133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1913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-5.4465794903118283</v>
      </c>
      <c r="C49" s="708">
        <v>-2.1287890857323712</v>
      </c>
      <c r="D49" s="709">
        <v>-2.4509073919366942</v>
      </c>
      <c r="E49" s="710">
        <v>-0.23602432691927955</v>
      </c>
      <c r="F49" s="708">
        <v>-0.97174714669109485</v>
      </c>
      <c r="G49" s="711">
        <v>1.3008419228134766E-7</v>
      </c>
      <c r="H49" s="710">
        <v>0.3765</v>
      </c>
      <c r="I49" s="708">
        <v>0.52</v>
      </c>
      <c r="J49" s="570">
        <v>5.1390000000000002</v>
      </c>
      <c r="K49" s="865">
        <f>IF($J49="","",IF(IFERROR(INDEX(Settings!$AK$14:$AK$36,MATCH((((ROUND($H49,6)*2)*1000000)+ROUND($I49,6)),Settings!$AI$14:$AI$36,0)),"Undefined")="Undefined","Undefined",IFERROR(INDEX(_xlfn.ANCHORARRAY(Settings!$BC$14),MATCH(IFERROR(INDEX(Settings!$AK$14:$AK$36,MATCH((((ROUND($H49,6)*2)*1000000)+ROUND($I49,6)),Settings!$AI$14:$AI$36,0)),"Undefined"),_xlfn.ANCHORARRAY(Settings!$BC$14),0)),"Inactive")))</f>
        <v>1913</v>
      </c>
      <c r="L49" s="320"/>
      <c r="M49" s="168">
        <f t="shared" si="239"/>
        <v>5.1390000000000002</v>
      </c>
      <c r="N49" s="632">
        <f t="shared" si="240"/>
        <v>-5.4465794903118283</v>
      </c>
      <c r="O49" s="629">
        <f t="shared" si="241"/>
        <v>-2.1287890857323712</v>
      </c>
      <c r="P49" s="633">
        <f t="shared" si="242"/>
        <v>-2.4509073919366942</v>
      </c>
      <c r="Q49" s="585">
        <f t="shared" si="113"/>
        <v>201.34798392334019</v>
      </c>
      <c r="R49" s="629">
        <f t="shared" si="79"/>
        <v>5.847817637017994</v>
      </c>
      <c r="S49" s="634">
        <f t="shared" si="80"/>
        <v>-2.4509073919366942</v>
      </c>
      <c r="T49" s="635">
        <f t="shared" si="81"/>
        <v>-2.1838142972154131</v>
      </c>
      <c r="U49" s="629">
        <f t="shared" si="82"/>
        <v>5.424751259836369</v>
      </c>
      <c r="V49" s="636">
        <f t="shared" si="114"/>
        <v>-2.4509073919366942</v>
      </c>
      <c r="W49" s="585">
        <f t="shared" si="224"/>
        <v>111.92798383959855</v>
      </c>
      <c r="X49" s="629">
        <f t="shared" si="83"/>
        <v>5.847817637017994</v>
      </c>
      <c r="Y49" s="630">
        <f t="shared" si="223"/>
        <v>-2.4509073919366942</v>
      </c>
      <c r="Z49" s="632">
        <f t="shared" si="243"/>
        <v>0.23602432691927955</v>
      </c>
      <c r="AA49" s="629">
        <f t="shared" si="244"/>
        <v>0.97174714669109485</v>
      </c>
      <c r="AB49" s="629">
        <f t="shared" si="245"/>
        <v>-1.3008419228134766E-7</v>
      </c>
      <c r="AC49" s="636">
        <f t="shared" si="84"/>
        <v>1</v>
      </c>
      <c r="AD49" s="637">
        <f t="shared" si="115"/>
        <v>0.23602432691927955</v>
      </c>
      <c r="AE49" s="629">
        <f t="shared" si="85"/>
        <v>0.97174714669109485</v>
      </c>
      <c r="AF49" s="633">
        <f t="shared" si="86"/>
        <v>-1.3008419228134766E-7</v>
      </c>
      <c r="AG49" s="602">
        <f t="shared" si="87"/>
        <v>89.99999233002616</v>
      </c>
      <c r="AH49" s="603">
        <f t="shared" si="88"/>
        <v>76.347988976715058</v>
      </c>
      <c r="AI49" s="585">
        <f t="shared" si="89"/>
        <v>-89.999992546724798</v>
      </c>
      <c r="AJ49" s="586">
        <f t="shared" si="90"/>
        <v>166.34798897671493</v>
      </c>
      <c r="AK49" s="635">
        <f t="shared" si="211"/>
        <v>0.81915209487729213</v>
      </c>
      <c r="AL49" s="629">
        <f t="shared" si="91"/>
        <v>-0.57357636410344437</v>
      </c>
      <c r="AM49" s="634">
        <f t="shared" si="92"/>
        <v>-1.3008419228134766E-7</v>
      </c>
      <c r="AN49" s="581">
        <f t="shared" si="93"/>
        <v>-89.999987005609611</v>
      </c>
      <c r="AO49" s="582">
        <f t="shared" si="94"/>
        <v>34.999994946625939</v>
      </c>
      <c r="AP49" s="585">
        <f t="shared" si="95"/>
        <v>-34.99999494662525</v>
      </c>
      <c r="AQ49" s="586">
        <f t="shared" si="246"/>
        <v>0.38983627646572433</v>
      </c>
      <c r="AS49" s="52">
        <f t="shared" si="406"/>
        <v>-248.07201616040146</v>
      </c>
      <c r="AT49" s="72">
        <f t="shared" si="247"/>
        <v>-2.278232380772347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5.1390000000000002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1913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-5.7100351645029326</v>
      </c>
      <c r="C50" s="708">
        <v>-0.49956167783172684</v>
      </c>
      <c r="D50" s="709">
        <v>-1.5156268723360387</v>
      </c>
      <c r="E50" s="710">
        <v>-0.90285894644955478</v>
      </c>
      <c r="F50" s="708">
        <v>-7.8989886593195099E-2</v>
      </c>
      <c r="G50" s="711">
        <v>0.4226184101905574</v>
      </c>
      <c r="H50" s="710">
        <v>0.25700000000000001</v>
      </c>
      <c r="I50" s="708">
        <v>0.45500000000000002</v>
      </c>
      <c r="J50" s="570">
        <v>5.3330000000000002</v>
      </c>
      <c r="K50" s="865" t="str">
        <f>IF($J50="","",IF(IFERROR(INDEX(Settings!$AK$14:$AK$36,MATCH((((ROUND($H50,6)*2)*1000000)+ROUND($I50,6)),Settings!$AI$14:$AI$36,0)),"Undefined")="Undefined","Undefined",IFERROR(INDEX(_xlfn.ANCHORARRAY(Settings!$BC$14),MATCH(IFERROR(INDEX(Settings!$AK$14:$AK$36,MATCH((((ROUND($H50,6)*2)*1000000)+ROUND($I50,6)),Settings!$AI$14:$AI$36,0)),"Undefined"),_xlfn.ANCHORARRAY(Settings!$BC$14),0)),"Inactive")))</f>
        <v>Inactive</v>
      </c>
      <c r="L50" s="320"/>
      <c r="M50" s="168">
        <f t="shared" si="239"/>
        <v>5.3330000000000002</v>
      </c>
      <c r="N50" s="632">
        <f t="shared" si="240"/>
        <v>-5.7100351645029326</v>
      </c>
      <c r="O50" s="629">
        <f t="shared" si="241"/>
        <v>-0.49956167783172684</v>
      </c>
      <c r="P50" s="633">
        <f t="shared" si="242"/>
        <v>-1.5156268723360387</v>
      </c>
      <c r="Q50" s="585">
        <f t="shared" si="113"/>
        <v>184.99998339605671</v>
      </c>
      <c r="R50" s="629">
        <f t="shared" si="79"/>
        <v>5.7318464258751805</v>
      </c>
      <c r="S50" s="634">
        <f t="shared" si="80"/>
        <v>-1.5156268723360387</v>
      </c>
      <c r="T50" s="635">
        <f t="shared" si="81"/>
        <v>-0.55733725678884416</v>
      </c>
      <c r="U50" s="629">
        <f t="shared" si="82"/>
        <v>5.7046856733752795</v>
      </c>
      <c r="V50" s="636">
        <f t="shared" si="114"/>
        <v>-1.5156268723360387</v>
      </c>
      <c r="W50" s="585">
        <f t="shared" si="224"/>
        <v>95.579983312315065</v>
      </c>
      <c r="X50" s="629">
        <f t="shared" si="83"/>
        <v>5.7318464258751805</v>
      </c>
      <c r="Y50" s="630">
        <f t="shared" si="223"/>
        <v>-1.5156268723360387</v>
      </c>
      <c r="Z50" s="632">
        <f t="shared" si="243"/>
        <v>0.90285894644955478</v>
      </c>
      <c r="AA50" s="629">
        <f t="shared" si="244"/>
        <v>7.8989886593195099E-2</v>
      </c>
      <c r="AB50" s="629">
        <f t="shared" si="245"/>
        <v>-0.4226184101905574</v>
      </c>
      <c r="AC50" s="636">
        <f t="shared" si="84"/>
        <v>1</v>
      </c>
      <c r="AD50" s="637">
        <f t="shared" si="115"/>
        <v>0.90285894644955478</v>
      </c>
      <c r="AE50" s="629">
        <f t="shared" si="85"/>
        <v>7.8989886593195099E-2</v>
      </c>
      <c r="AF50" s="633">
        <f t="shared" si="86"/>
        <v>-0.4226184101905574</v>
      </c>
      <c r="AG50" s="602">
        <f t="shared" si="87"/>
        <v>10.58676998268065</v>
      </c>
      <c r="AH50" s="603">
        <f t="shared" si="88"/>
        <v>25.463554606028399</v>
      </c>
      <c r="AI50" s="585">
        <f t="shared" si="89"/>
        <v>-64.999990615163213</v>
      </c>
      <c r="AJ50" s="586">
        <f t="shared" si="90"/>
        <v>94.999997733781242</v>
      </c>
      <c r="AK50" s="635">
        <f t="shared" si="211"/>
        <v>2.2679489705690337E-7</v>
      </c>
      <c r="AL50" s="629">
        <f t="shared" si="91"/>
        <v>-0.90630771781330122</v>
      </c>
      <c r="AM50" s="634">
        <f t="shared" si="92"/>
        <v>-0.4226184101905574</v>
      </c>
      <c r="AN50" s="581">
        <f t="shared" si="93"/>
        <v>-64.999990615162531</v>
      </c>
      <c r="AO50" s="582">
        <f t="shared" si="94"/>
        <v>0</v>
      </c>
      <c r="AP50" s="585">
        <f t="shared" si="95"/>
        <v>-89.999985662275449</v>
      </c>
      <c r="AQ50" s="586">
        <f t="shared" si="246"/>
        <v>0.39772349881556818</v>
      </c>
      <c r="AS50" s="52">
        <f t="shared" si="406"/>
        <v>-264.42001668768495</v>
      </c>
      <c r="AT50" s="72">
        <f t="shared" si="247"/>
        <v>-1.3315990830277447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5.3330000000000002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5.133</v>
      </c>
      <c r="II50" s="734" cm="1">
        <f t="array" ref="II50">IFERROR(IF($IH50&lt;1,$IH50+LARGE((IF($M$9:$M$150="",0,$M$9:$M$150)-MOD(IF($M$9:$M$150="",0,$M$9:$M$150),1)),1),$IH50),"")</f>
        <v>5.133</v>
      </c>
      <c r="IJ50" s="533">
        <f t="shared" si="112"/>
        <v>1913</v>
      </c>
      <c r="IK50" s="533" t="str">
        <f t="shared" si="382"/>
        <v>Inactive</v>
      </c>
      <c r="IL50" s="727">
        <f t="shared" si="225"/>
        <v>16.579000493931233</v>
      </c>
      <c r="IM50" s="759">
        <v>1.51182726592734E-2</v>
      </c>
      <c r="IN50" s="5">
        <f t="shared" si="226"/>
        <v>0.72</v>
      </c>
      <c r="IO50" s="771">
        <v>360</v>
      </c>
      <c r="IP50" s="9">
        <f t="shared" si="227"/>
        <v>-5.6666170905171445</v>
      </c>
      <c r="IQ50" s="5">
        <f t="shared" si="228"/>
        <v>-1.5310046175099263</v>
      </c>
      <c r="IR50" s="5">
        <f t="shared" si="383"/>
        <v>0.3765</v>
      </c>
      <c r="IS50" s="5">
        <f t="shared" si="229"/>
        <v>0.33857364792993383</v>
      </c>
      <c r="IT50" s="727">
        <f t="shared" si="230"/>
        <v>66.755473646370078</v>
      </c>
      <c r="IU50" s="9">
        <f t="shared" si="231"/>
        <v>-5.7318464258751805</v>
      </c>
      <c r="IV50" s="5">
        <f t="shared" si="232"/>
        <v>-1.5156268723360387</v>
      </c>
      <c r="IW50" s="5">
        <f t="shared" si="384"/>
        <v>0.25700000000000001</v>
      </c>
      <c r="IX50" s="5">
        <f t="shared" si="233"/>
        <v>0.25700000000000001</v>
      </c>
      <c r="IY50" s="762">
        <f t="shared" si="234"/>
        <v>64.999990615162531</v>
      </c>
    </row>
    <row r="51" spans="1:259" ht="15" customHeight="1" x14ac:dyDescent="0.25">
      <c r="A51" s="79"/>
      <c r="B51" s="707">
        <v>-2.6606713717671342</v>
      </c>
      <c r="C51" s="708">
        <v>1.9130137552472464</v>
      </c>
      <c r="D51" s="709">
        <v>-0.11960036071468792</v>
      </c>
      <c r="E51" s="710">
        <v>-0.57724581426887389</v>
      </c>
      <c r="F51" s="708">
        <v>-0.77305962637615433</v>
      </c>
      <c r="G51" s="711">
        <v>0.26299445617013578</v>
      </c>
      <c r="H51" s="710">
        <v>0.3765</v>
      </c>
      <c r="I51" s="708">
        <v>0.52</v>
      </c>
      <c r="J51" s="570">
        <v>6.1139999999999999</v>
      </c>
      <c r="K51" s="865">
        <f>IF($J51="","",IF(IFERROR(INDEX(Settings!$AK$14:$AK$36,MATCH((((ROUND($H51,6)*2)*1000000)+ROUND($I51,6)),Settings!$AI$14:$AI$36,0)),"Undefined")="Undefined","Undefined",IFERROR(INDEX(_xlfn.ANCHORARRAY(Settings!$BC$14),MATCH(IFERROR(INDEX(Settings!$AK$14:$AK$36,MATCH((((ROUND($H51,6)*2)*1000000)+ROUND($I51,6)),Settings!$AI$14:$AI$36,0)),"Undefined"),_xlfn.ANCHORARRAY(Settings!$BC$14),0)),"Inactive")))</f>
        <v>1913</v>
      </c>
      <c r="L51" s="320"/>
      <c r="M51" s="168">
        <f t="shared" si="239"/>
        <v>6.1139999999999999</v>
      </c>
      <c r="N51" s="632">
        <f t="shared" si="240"/>
        <v>-2.6606713717671342</v>
      </c>
      <c r="O51" s="629">
        <f t="shared" si="241"/>
        <v>1.9130137552472464</v>
      </c>
      <c r="P51" s="633">
        <f t="shared" si="242"/>
        <v>-0.11960036071468792</v>
      </c>
      <c r="Q51" s="585">
        <f t="shared" si="113"/>
        <v>144.28399216236124</v>
      </c>
      <c r="R51" s="629">
        <f t="shared" si="79"/>
        <v>3.2770098834618082</v>
      </c>
      <c r="S51" s="634">
        <f t="shared" si="80"/>
        <v>-0.11960036071468792</v>
      </c>
      <c r="T51" s="635">
        <f t="shared" si="81"/>
        <v>1.8859824676451253</v>
      </c>
      <c r="U51" s="629">
        <f t="shared" si="82"/>
        <v>2.6798999809771962</v>
      </c>
      <c r="V51" s="636">
        <f t="shared" si="114"/>
        <v>-0.11960036071468792</v>
      </c>
      <c r="W51" s="585">
        <f t="shared" si="224"/>
        <v>54.863992078619603</v>
      </c>
      <c r="X51" s="629">
        <f t="shared" si="83"/>
        <v>3.2770098834618082</v>
      </c>
      <c r="Y51" s="630">
        <f t="shared" si="223"/>
        <v>-0.11960036071468792</v>
      </c>
      <c r="Z51" s="632">
        <f t="shared" si="243"/>
        <v>0.57724581426887389</v>
      </c>
      <c r="AA51" s="629">
        <f t="shared" si="244"/>
        <v>0.77305962637615433</v>
      </c>
      <c r="AB51" s="629">
        <f t="shared" si="245"/>
        <v>-0.26299445617013578</v>
      </c>
      <c r="AC51" s="636">
        <f t="shared" si="84"/>
        <v>1</v>
      </c>
      <c r="AD51" s="637">
        <f t="shared" si="115"/>
        <v>0.57724581426887389</v>
      </c>
      <c r="AE51" s="629">
        <f t="shared" si="85"/>
        <v>0.77305962637615433</v>
      </c>
      <c r="AF51" s="633">
        <f t="shared" si="86"/>
        <v>-0.26299445617013578</v>
      </c>
      <c r="AG51" s="602">
        <f t="shared" si="87"/>
        <v>71.211724140276488</v>
      </c>
      <c r="AH51" s="603">
        <f t="shared" si="88"/>
        <v>54.742939870844872</v>
      </c>
      <c r="AI51" s="585">
        <f t="shared" si="89"/>
        <v>-74.752182951377648</v>
      </c>
      <c r="AJ51" s="586">
        <f t="shared" si="90"/>
        <v>143.25119857220957</v>
      </c>
      <c r="AK51" s="635">
        <f t="shared" si="211"/>
        <v>0.96464060586960532</v>
      </c>
      <c r="AL51" s="629">
        <f t="shared" si="91"/>
        <v>-1.7390156160749626E-2</v>
      </c>
      <c r="AM51" s="634">
        <f t="shared" si="92"/>
        <v>-0.26299445617013578</v>
      </c>
      <c r="AN51" s="581">
        <f t="shared" si="93"/>
        <v>-3.7830994288752851</v>
      </c>
      <c r="AO51" s="582">
        <f t="shared" si="94"/>
        <v>15.281926774481208</v>
      </c>
      <c r="AP51" s="585">
        <f t="shared" si="95"/>
        <v>-1.0327935901516561</v>
      </c>
      <c r="AQ51" s="586">
        <f t="shared" si="246"/>
        <v>0.6956386141645029</v>
      </c>
      <c r="AS51" s="52">
        <f t="shared" si="406"/>
        <v>-305.13600792138038</v>
      </c>
      <c r="AT51" s="72">
        <f t="shared" si="247"/>
        <v>9.2702422505894541E-2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6.1139999999999999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>
        <f t="shared" si="112"/>
        <v>1913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-3.3780416678251726</v>
      </c>
      <c r="C52" s="708">
        <v>2.5152566556856013</v>
      </c>
      <c r="D52" s="709">
        <v>-0.19340058329615922</v>
      </c>
      <c r="E52" s="710">
        <v>-0.68153505282985394</v>
      </c>
      <c r="F52" s="708">
        <v>-0.6927791941184307</v>
      </c>
      <c r="G52" s="711">
        <v>0.23572645155099992</v>
      </c>
      <c r="H52" s="710">
        <v>0.3765</v>
      </c>
      <c r="I52" s="708">
        <v>0.52</v>
      </c>
      <c r="J52" s="570">
        <v>6.12</v>
      </c>
      <c r="K52" s="865">
        <f>IF($J52="","",IF(IFERROR(INDEX(Settings!$AK$14:$AK$36,MATCH((((ROUND($H52,6)*2)*1000000)+ROUND($I52,6)),Settings!$AI$14:$AI$36,0)),"Undefined")="Undefined","Undefined",IFERROR(INDEX(_xlfn.ANCHORARRAY(Settings!$BC$14),MATCH(IFERROR(INDEX(Settings!$AK$14:$AK$36,MATCH((((ROUND($H52,6)*2)*1000000)+ROUND($I52,6)),Settings!$AI$14:$AI$36,0)),"Undefined"),_xlfn.ANCHORARRAY(Settings!$BC$14),0)),"Inactive")))</f>
        <v>1913</v>
      </c>
      <c r="L52" s="320"/>
      <c r="M52" s="168">
        <f t="shared" si="239"/>
        <v>6.12</v>
      </c>
      <c r="N52" s="632">
        <f t="shared" si="240"/>
        <v>-3.3780416678251726</v>
      </c>
      <c r="O52" s="629">
        <f t="shared" si="241"/>
        <v>2.5152566556856013</v>
      </c>
      <c r="P52" s="633">
        <f t="shared" si="242"/>
        <v>-0.19340058329615922</v>
      </c>
      <c r="Q52" s="585">
        <f t="shared" si="113"/>
        <v>143.32899230024617</v>
      </c>
      <c r="R52" s="629">
        <f t="shared" si="79"/>
        <v>4.2116127022239107</v>
      </c>
      <c r="S52" s="634">
        <f t="shared" si="80"/>
        <v>-0.19340058329615922</v>
      </c>
      <c r="T52" s="635">
        <f t="shared" si="81"/>
        <v>2.4809327618187993</v>
      </c>
      <c r="U52" s="629">
        <f t="shared" si="82"/>
        <v>3.403329867184187</v>
      </c>
      <c r="V52" s="636">
        <f t="shared" si="114"/>
        <v>-0.19340058329615922</v>
      </c>
      <c r="W52" s="585">
        <f t="shared" si="224"/>
        <v>53.908992216504529</v>
      </c>
      <c r="X52" s="629">
        <f t="shared" si="83"/>
        <v>4.2116127022239107</v>
      </c>
      <c r="Y52" s="630">
        <f t="shared" si="223"/>
        <v>-0.19340058329615922</v>
      </c>
      <c r="Z52" s="632">
        <f t="shared" si="243"/>
        <v>0.68153505282985394</v>
      </c>
      <c r="AA52" s="629">
        <f t="shared" si="244"/>
        <v>0.6927791941184307</v>
      </c>
      <c r="AB52" s="629">
        <f t="shared" si="245"/>
        <v>-0.23572645155099992</v>
      </c>
      <c r="AC52" s="636">
        <f t="shared" si="84"/>
        <v>1</v>
      </c>
      <c r="AD52" s="637">
        <f t="shared" si="115"/>
        <v>0.68153505282985394</v>
      </c>
      <c r="AE52" s="629">
        <f t="shared" si="85"/>
        <v>0.6927791941184307</v>
      </c>
      <c r="AF52" s="633">
        <f t="shared" si="86"/>
        <v>-0.23572645155099992</v>
      </c>
      <c r="AG52" s="602">
        <f t="shared" si="87"/>
        <v>71.208510579658935</v>
      </c>
      <c r="AH52" s="603">
        <f t="shared" si="88"/>
        <v>47.036285746024838</v>
      </c>
      <c r="AI52" s="585">
        <f t="shared" si="89"/>
        <v>-76.365551535501496</v>
      </c>
      <c r="AJ52" s="586">
        <f t="shared" si="90"/>
        <v>135.46876285178726</v>
      </c>
      <c r="AK52" s="635">
        <f t="shared" si="211"/>
        <v>0.9626888436125185</v>
      </c>
      <c r="AL52" s="629">
        <f t="shared" si="91"/>
        <v>-0.13290308658253963</v>
      </c>
      <c r="AM52" s="634">
        <f t="shared" si="92"/>
        <v>-0.23572645155099992</v>
      </c>
      <c r="AN52" s="581">
        <f t="shared" si="93"/>
        <v>-29.414398470031749</v>
      </c>
      <c r="AO52" s="582">
        <f t="shared" si="94"/>
        <v>15.700614617668096</v>
      </c>
      <c r="AP52" s="585">
        <f t="shared" si="95"/>
        <v>-7.8602294484589228</v>
      </c>
      <c r="AQ52" s="586">
        <f t="shared" si="246"/>
        <v>0.5412793085506965</v>
      </c>
      <c r="AS52" s="52">
        <f t="shared" si="406"/>
        <v>-306.09100778349546</v>
      </c>
      <c r="AT52" s="72">
        <f t="shared" si="247"/>
        <v>1.9565394273114267E-2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6.12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>
        <f t="shared" si="112"/>
        <v>1913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-3.9872589414986384</v>
      </c>
      <c r="C53" s="708">
        <v>3.0745965674735536</v>
      </c>
      <c r="D53" s="709">
        <v>-0.64170193537303721</v>
      </c>
      <c r="E53" s="710">
        <v>-0.77073082476092192</v>
      </c>
      <c r="F53" s="708">
        <v>-0.59984568661373061</v>
      </c>
      <c r="G53" s="711">
        <v>0.21484680126604419</v>
      </c>
      <c r="H53" s="710">
        <v>0.3765</v>
      </c>
      <c r="I53" s="708">
        <v>0.52</v>
      </c>
      <c r="J53" s="570">
        <v>6.1260000000000003</v>
      </c>
      <c r="K53" s="865">
        <f>IF($J53="","",IF(IFERROR(INDEX(Settings!$AK$14:$AK$36,MATCH((((ROUND($H53,6)*2)*1000000)+ROUND($I53,6)),Settings!$AI$14:$AI$36,0)),"Undefined")="Undefined","Undefined",IFERROR(INDEX(_xlfn.ANCHORARRAY(Settings!$BC$14),MATCH(IFERROR(INDEX(Settings!$AK$14:$AK$36,MATCH((((ROUND($H53,6)*2)*1000000)+ROUND($I53,6)),Settings!$AI$14:$AI$36,0)),"Undefined"),_xlfn.ANCHORARRAY(Settings!$BC$14),0)),"Inactive")))</f>
        <v>1913</v>
      </c>
      <c r="L53" s="320"/>
      <c r="M53" s="168">
        <f t="shared" si="239"/>
        <v>6.1260000000000003</v>
      </c>
      <c r="N53" s="632">
        <f t="shared" si="240"/>
        <v>-3.9872589414986384</v>
      </c>
      <c r="O53" s="629">
        <f t="shared" si="241"/>
        <v>3.0745965674735536</v>
      </c>
      <c r="P53" s="633">
        <f t="shared" si="242"/>
        <v>-0.64170193537303721</v>
      </c>
      <c r="Q53" s="585">
        <f t="shared" si="113"/>
        <v>142.3639924395749</v>
      </c>
      <c r="R53" s="629">
        <f t="shared" ref="R53:R58" si="410">IF(M53="","",SQRT(N53^2+O53^2))</f>
        <v>5.0350151856057987</v>
      </c>
      <c r="S53" s="634">
        <f t="shared" ref="S53:S58" si="411">IF(M53="","",P53)</f>
        <v>-0.64170193537303721</v>
      </c>
      <c r="T53" s="635">
        <f t="shared" ref="T53:T58" si="412">IF(M53="","",X53*COS(RADIANS(W53)))</f>
        <v>3.0340770699469766</v>
      </c>
      <c r="U53" s="629">
        <f t="shared" ref="U53:U58" si="413">IF(M53="","",X53*SIN(RADIANS(W53)))</f>
        <v>4.0181779767579942</v>
      </c>
      <c r="V53" s="636">
        <f t="shared" ref="V53:V58" si="414">IF(M53="","",Y53)</f>
        <v>-0.64170193537303721</v>
      </c>
      <c r="W53" s="585">
        <f t="shared" si="224"/>
        <v>52.943992355833259</v>
      </c>
      <c r="X53" s="629">
        <f t="shared" ref="X53:X58" si="415">IF(M53="","",R53)</f>
        <v>5.0350151856057987</v>
      </c>
      <c r="Y53" s="630">
        <f t="shared" si="223"/>
        <v>-0.64170193537303721</v>
      </c>
      <c r="Z53" s="632">
        <f t="shared" si="243"/>
        <v>0.77073082476092192</v>
      </c>
      <c r="AA53" s="629">
        <f t="shared" si="244"/>
        <v>0.59984568661373061</v>
      </c>
      <c r="AB53" s="629">
        <f t="shared" si="245"/>
        <v>-0.21484680126604419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0.77073082476092192</v>
      </c>
      <c r="AE53" s="629">
        <f t="shared" ref="AE53:AE58" si="418">IF(M53="","",AA53*(1/SQRT(Z53^2+AA53^2+AB53^2)))</f>
        <v>0.59984568661373061</v>
      </c>
      <c r="AF53" s="633">
        <f t="shared" ref="AF53:AF58" si="419">IF(M53="","",AB53*(1/SQRT(Z53^2+AA53^2+AB53^2)))</f>
        <v>-0.21484680126604419</v>
      </c>
      <c r="AG53" s="602">
        <f t="shared" ref="AG53:AG58" si="420">IF(M53="","",DEGREES(ATAN2(-AF53,AE53)))</f>
        <v>70.293993258959262</v>
      </c>
      <c r="AH53" s="603">
        <f t="shared" ref="AH53:AH58" si="421">IF(M53="","",DEGREES(ACOS(AD53)))</f>
        <v>39.580438290844768</v>
      </c>
      <c r="AI53" s="585">
        <f t="shared" ref="AI53:AI58" si="422">IF(M53="","",DEGREES(-ACOS(-AF53)))</f>
        <v>-77.593460369774334</v>
      </c>
      <c r="AJ53" s="586">
        <f t="shared" ref="AJ53:AJ58" si="423">IF(M53="","",DEGREES(ATAN2(-AE53,AD53)))</f>
        <v>127.89296865994694</v>
      </c>
      <c r="AK53" s="635">
        <f t="shared" ref="AK53:AK58" si="424">IF(M53="","",(COS(RADIANS((90-$Q$8)-W53))*AD53)+(-SIN(RADIANS((90-$Q$8)-W53))*AE53))</f>
        <v>0.94566277363731466</v>
      </c>
      <c r="AL53" s="629">
        <f t="shared" ref="AL53:AL58" si="425">IF(M53="","",(SIN(RADIANS((90-$Q$8)-W53))*AD53)+(COS(RADIANS((90-$Q$8)-W53))*AE53))</f>
        <v>-0.24405485150336531</v>
      </c>
      <c r="AM53" s="634">
        <f t="shared" ref="AM53:AM58" si="426">IF(M53="","",AF53)</f>
        <v>-0.21484680126604419</v>
      </c>
      <c r="AN53" s="581">
        <f t="shared" ref="AN53:AN58" si="427">IF(M53="","",DEGREES(ATAN2(-AM53,AL53)))</f>
        <v>-48.641834092492608</v>
      </c>
      <c r="AO53" s="582">
        <f t="shared" si="94"/>
        <v>18.974606669289564</v>
      </c>
      <c r="AP53" s="585">
        <f t="shared" ref="AP53:AP58" si="428">IF(M53="","",DEGREES(ATAN2(AK53,AL53)))</f>
        <v>-14.471023779627963</v>
      </c>
      <c r="AQ53" s="586">
        <f t="shared" si="246"/>
        <v>0.45276510494722055</v>
      </c>
      <c r="AS53" s="52">
        <f t="shared" si="406"/>
        <v>-307.05600764416675</v>
      </c>
      <c r="AT53" s="72">
        <f t="shared" si="247"/>
        <v>-0.42806581901163088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6.1260000000000003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>
        <f t="shared" si="112"/>
        <v>1913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-4.3955092486238652</v>
      </c>
      <c r="C54" s="708">
        <v>3.4765997085501255</v>
      </c>
      <c r="D54" s="709">
        <v>-1.3865041816966122</v>
      </c>
      <c r="E54" s="710">
        <v>-0.86028081520591482</v>
      </c>
      <c r="F54" s="708">
        <v>-0.47553122274654691</v>
      </c>
      <c r="G54" s="711">
        <v>0.18381233685969192</v>
      </c>
      <c r="H54" s="710">
        <v>0.3765</v>
      </c>
      <c r="I54" s="708">
        <v>0.52</v>
      </c>
      <c r="J54" s="570">
        <v>6.1319999999999997</v>
      </c>
      <c r="K54" s="865">
        <f>IF($J54="","",IF(IFERROR(INDEX(Settings!$AK$14:$AK$36,MATCH((((ROUND($H54,6)*2)*1000000)+ROUND($I54,6)),Settings!$AI$14:$AI$36,0)),"Undefined")="Undefined","Undefined",IFERROR(INDEX(_xlfn.ANCHORARRAY(Settings!$BC$14),MATCH(IFERROR(INDEX(Settings!$AK$14:$AK$36,MATCH((((ROUND($H54,6)*2)*1000000)+ROUND($I54,6)),Settings!$AI$14:$AI$36,0)),"Undefined"),_xlfn.ANCHORARRAY(Settings!$BC$14),0)),"Inactive")))</f>
        <v>1913</v>
      </c>
      <c r="L54" s="320"/>
      <c r="M54" s="168">
        <f t="shared" si="239"/>
        <v>6.1319999999999997</v>
      </c>
      <c r="N54" s="632">
        <f t="shared" si="240"/>
        <v>-4.3955092486238652</v>
      </c>
      <c r="O54" s="629">
        <f t="shared" si="241"/>
        <v>3.4765997085501255</v>
      </c>
      <c r="P54" s="633">
        <f t="shared" si="242"/>
        <v>-1.3865041816966122</v>
      </c>
      <c r="Q54" s="585">
        <f t="shared" si="113"/>
        <v>141.65799254150869</v>
      </c>
      <c r="R54" s="629">
        <f t="shared" si="410"/>
        <v>5.6042169023181776</v>
      </c>
      <c r="S54" s="634">
        <f t="shared" si="411"/>
        <v>-1.3865041816966122</v>
      </c>
      <c r="T54" s="635">
        <f t="shared" si="412"/>
        <v>3.4319270041106762</v>
      </c>
      <c r="U54" s="629">
        <f t="shared" si="413"/>
        <v>4.4304767380818815</v>
      </c>
      <c r="V54" s="636">
        <f t="shared" si="414"/>
        <v>-1.3865041816966122</v>
      </c>
      <c r="W54" s="585">
        <f t="shared" si="224"/>
        <v>52.237992457767049</v>
      </c>
      <c r="X54" s="629">
        <f t="shared" si="415"/>
        <v>5.6042169023181776</v>
      </c>
      <c r="Y54" s="630">
        <f t="shared" si="223"/>
        <v>-1.3865041816966122</v>
      </c>
      <c r="Z54" s="632">
        <f t="shared" si="243"/>
        <v>0.86028081520591482</v>
      </c>
      <c r="AA54" s="629">
        <f t="shared" si="244"/>
        <v>0.47553122274654691</v>
      </c>
      <c r="AB54" s="629">
        <f t="shared" si="245"/>
        <v>-0.18381233685969192</v>
      </c>
      <c r="AC54" s="636">
        <f t="shared" si="416"/>
        <v>1</v>
      </c>
      <c r="AD54" s="637">
        <f t="shared" si="417"/>
        <v>0.86028081520591482</v>
      </c>
      <c r="AE54" s="629">
        <f t="shared" si="418"/>
        <v>0.47553122274654691</v>
      </c>
      <c r="AF54" s="633">
        <f t="shared" si="419"/>
        <v>-0.18381233685969192</v>
      </c>
      <c r="AG54" s="602">
        <f t="shared" si="420"/>
        <v>68.866436778668515</v>
      </c>
      <c r="AH54" s="603">
        <f t="shared" si="421"/>
        <v>30.651872560679998</v>
      </c>
      <c r="AI54" s="585">
        <f t="shared" si="422"/>
        <v>-79.408103072062701</v>
      </c>
      <c r="AJ54" s="586">
        <f t="shared" si="423"/>
        <v>118.93218449601545</v>
      </c>
      <c r="AK54" s="635">
        <f t="shared" si="424"/>
        <v>0.90664833420459467</v>
      </c>
      <c r="AL54" s="629">
        <f t="shared" si="425"/>
        <v>-0.37973915113168533</v>
      </c>
      <c r="AM54" s="634">
        <f t="shared" si="426"/>
        <v>-0.18381233685969192</v>
      </c>
      <c r="AN54" s="581">
        <f t="shared" si="427"/>
        <v>-64.170745660411569</v>
      </c>
      <c r="AO54" s="582">
        <f t="shared" si="94"/>
        <v>24.953790909383162</v>
      </c>
      <c r="AP54" s="585">
        <f t="shared" si="428"/>
        <v>-22.725808045493221</v>
      </c>
      <c r="AQ54" s="586">
        <f t="shared" si="246"/>
        <v>0.40678088806309876</v>
      </c>
      <c r="AS54" s="52">
        <f t="shared" si="406"/>
        <v>-307.76200754223294</v>
      </c>
      <c r="AT54" s="72">
        <f t="shared" si="247"/>
        <v>-1.1723777876282153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6.1319999999999997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>
        <f t="shared" si="112"/>
        <v>1913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-4.5477755294447748</v>
      </c>
      <c r="C55" s="708">
        <v>3.6326522456921677</v>
      </c>
      <c r="D55" s="709">
        <v>-2.2988069332017105</v>
      </c>
      <c r="E55" s="710">
        <v>-0.92962520192506726</v>
      </c>
      <c r="F55" s="708">
        <v>-0.35660801953811316</v>
      </c>
      <c r="G55" s="711">
        <v>9.2885436678107877E-2</v>
      </c>
      <c r="H55" s="710">
        <v>0.3765</v>
      </c>
      <c r="I55" s="708">
        <v>0.52</v>
      </c>
      <c r="J55" s="570">
        <v>6.1379999999999999</v>
      </c>
      <c r="K55" s="865">
        <f>IF($J55="","",IF(IFERROR(INDEX(Settings!$AK$14:$AK$36,MATCH((((ROUND($H55,6)*2)*1000000)+ROUND($I55,6)),Settings!$AI$14:$AI$36,0)),"Undefined")="Undefined","Undefined",IFERROR(INDEX(_xlfn.ANCHORARRAY(Settings!$BC$14),MATCH(IFERROR(INDEX(Settings!$AK$14:$AK$36,MATCH((((ROUND($H55,6)*2)*1000000)+ROUND($I55,6)),Settings!$AI$14:$AI$36,0)),"Undefined"),_xlfn.ANCHORARRAY(Settings!$BC$14),0)),"Inactive")))</f>
        <v>1913</v>
      </c>
      <c r="L55" s="320"/>
      <c r="M55" s="168">
        <f t="shared" si="239"/>
        <v>6.1379999999999999</v>
      </c>
      <c r="N55" s="632">
        <f t="shared" si="240"/>
        <v>-4.5477755294447748</v>
      </c>
      <c r="O55" s="629">
        <f t="shared" si="241"/>
        <v>3.6326522456921677</v>
      </c>
      <c r="P55" s="633">
        <f t="shared" si="242"/>
        <v>-2.2988069332017105</v>
      </c>
      <c r="Q55" s="585">
        <f t="shared" si="113"/>
        <v>141.38299258121376</v>
      </c>
      <c r="R55" s="629">
        <f t="shared" si="410"/>
        <v>5.8205175546809453</v>
      </c>
      <c r="S55" s="634">
        <f t="shared" si="411"/>
        <v>-2.2988069332017105</v>
      </c>
      <c r="T55" s="635">
        <f t="shared" si="412"/>
        <v>3.5864301944562382</v>
      </c>
      <c r="U55" s="629">
        <f t="shared" si="413"/>
        <v>4.5843148958859317</v>
      </c>
      <c r="V55" s="636">
        <f t="shared" si="414"/>
        <v>-2.2988069332017105</v>
      </c>
      <c r="W55" s="585">
        <f t="shared" si="224"/>
        <v>51.962992497472115</v>
      </c>
      <c r="X55" s="629">
        <f t="shared" si="415"/>
        <v>5.8205175546809453</v>
      </c>
      <c r="Y55" s="630">
        <f t="shared" si="223"/>
        <v>-2.2988069332017105</v>
      </c>
      <c r="Z55" s="632">
        <f t="shared" si="243"/>
        <v>0.92962520192506726</v>
      </c>
      <c r="AA55" s="629">
        <f t="shared" si="244"/>
        <v>0.35660801953811316</v>
      </c>
      <c r="AB55" s="629">
        <f t="shared" si="245"/>
        <v>-9.2885436678107877E-2</v>
      </c>
      <c r="AC55" s="636">
        <f t="shared" si="416"/>
        <v>1</v>
      </c>
      <c r="AD55" s="637">
        <f t="shared" si="417"/>
        <v>0.92962520192506726</v>
      </c>
      <c r="AE55" s="629">
        <f t="shared" si="418"/>
        <v>0.35660801953811316</v>
      </c>
      <c r="AF55" s="633">
        <f t="shared" si="419"/>
        <v>-9.2885436678107877E-2</v>
      </c>
      <c r="AG55" s="602">
        <f t="shared" si="420"/>
        <v>75.400601051278031</v>
      </c>
      <c r="AH55" s="603">
        <f t="shared" si="421"/>
        <v>21.623533988551298</v>
      </c>
      <c r="AI55" s="585">
        <f t="shared" si="422"/>
        <v>-84.670373942792352</v>
      </c>
      <c r="AJ55" s="586">
        <f t="shared" si="423"/>
        <v>110.98701734460207</v>
      </c>
      <c r="AK55" s="635">
        <f t="shared" si="424"/>
        <v>0.85882024327273698</v>
      </c>
      <c r="AL55" s="629">
        <f t="shared" si="425"/>
        <v>-0.5037857534687481</v>
      </c>
      <c r="AM55" s="634">
        <f t="shared" si="426"/>
        <v>-9.2885436678107877E-2</v>
      </c>
      <c r="AN55" s="581">
        <f t="shared" si="427"/>
        <v>-79.553417327986708</v>
      </c>
      <c r="AO55" s="582">
        <f>IF(ROUND(IF(M55="",0,DEGREES(ACOS(AK55))),4)=90,0,IF(M55="","",DEGREES(ACOS(AK55))))</f>
        <v>30.815623175771432</v>
      </c>
      <c r="AP55" s="585">
        <f t="shared" si="428"/>
        <v>-30.395975236611704</v>
      </c>
      <c r="AQ55" s="586">
        <f t="shared" si="246"/>
        <v>0.39166467601619248</v>
      </c>
      <c r="AS55" s="52">
        <f t="shared" si="406"/>
        <v>-308.0370075025279</v>
      </c>
      <c r="AT55" s="72">
        <f t="shared" si="247"/>
        <v>-2.0844895669386645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6.1379999999999999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1913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-4.5668757249419452</v>
      </c>
      <c r="C56" s="708">
        <v>3.6524809689791269</v>
      </c>
      <c r="D56" s="709">
        <v>-3.2359097595038349</v>
      </c>
      <c r="E56" s="710">
        <v>-0.95956983599177692</v>
      </c>
      <c r="F56" s="708">
        <v>-0.28147065540602573</v>
      </c>
      <c r="G56" s="711">
        <v>1.3008419263447262E-7</v>
      </c>
      <c r="H56" s="710">
        <v>0.3765</v>
      </c>
      <c r="I56" s="708">
        <v>0.52</v>
      </c>
      <c r="J56" s="570">
        <v>6.1440000000000001</v>
      </c>
      <c r="K56" s="865">
        <f>IF($J56="","",IF(IFERROR(INDEX(Settings!$AK$14:$AK$36,MATCH((((ROUND($H56,6)*2)*1000000)+ROUND($I56,6)),Settings!$AI$14:$AI$36,0)),"Undefined")="Undefined","Undefined",IFERROR(INDEX(_xlfn.ANCHORARRAY(Settings!$BC$14),MATCH(IFERROR(INDEX(Settings!$AK$14:$AK$36,MATCH((((ROUND($H56,6)*2)*1000000)+ROUND($I56,6)),Settings!$AI$14:$AI$36,0)),"Undefined"),_xlfn.ANCHORARRAY(Settings!$BC$14),0)),"Inactive")))</f>
        <v>1913</v>
      </c>
      <c r="L56" s="320"/>
      <c r="M56" s="168">
        <f t="shared" si="239"/>
        <v>6.1440000000000001</v>
      </c>
      <c r="N56" s="632">
        <f t="shared" si="240"/>
        <v>-4.5668757249419452</v>
      </c>
      <c r="O56" s="629">
        <f t="shared" si="241"/>
        <v>3.6524809689791269</v>
      </c>
      <c r="P56" s="633">
        <f t="shared" si="242"/>
        <v>-3.2359097595038349</v>
      </c>
      <c r="Q56" s="585">
        <f t="shared" si="113"/>
        <v>141.34799258626714</v>
      </c>
      <c r="R56" s="629">
        <f t="shared" si="410"/>
        <v>5.847817637017994</v>
      </c>
      <c r="S56" s="634">
        <f t="shared" si="411"/>
        <v>-3.2359097595038349</v>
      </c>
      <c r="T56" s="635">
        <f t="shared" si="412"/>
        <v>3.6060645555713666</v>
      </c>
      <c r="U56" s="629">
        <f t="shared" si="413"/>
        <v>4.6036148336791376</v>
      </c>
      <c r="V56" s="636">
        <f t="shared" si="414"/>
        <v>-3.2359097595038349</v>
      </c>
      <c r="W56" s="585">
        <f t="shared" si="224"/>
        <v>51.927992502525498</v>
      </c>
      <c r="X56" s="629">
        <f t="shared" si="415"/>
        <v>5.847817637017994</v>
      </c>
      <c r="Y56" s="630">
        <f t="shared" si="223"/>
        <v>-3.2359097595038349</v>
      </c>
      <c r="Z56" s="632">
        <f t="shared" si="243"/>
        <v>0.95956983599177692</v>
      </c>
      <c r="AA56" s="629">
        <f t="shared" si="244"/>
        <v>0.28147065540602573</v>
      </c>
      <c r="AB56" s="629">
        <f t="shared" si="245"/>
        <v>-1.3008419263447262E-7</v>
      </c>
      <c r="AC56" s="636">
        <f t="shared" si="416"/>
        <v>1</v>
      </c>
      <c r="AD56" s="637">
        <f t="shared" si="417"/>
        <v>0.95956983599177692</v>
      </c>
      <c r="AE56" s="629">
        <f t="shared" si="418"/>
        <v>0.28147065540602573</v>
      </c>
      <c r="AF56" s="633">
        <f t="shared" si="419"/>
        <v>-1.3008419263447262E-7</v>
      </c>
      <c r="AG56" s="602">
        <f t="shared" si="420"/>
        <v>89.999973520240658</v>
      </c>
      <c r="AH56" s="603">
        <f t="shared" si="421"/>
        <v>16.347997639643484</v>
      </c>
      <c r="AI56" s="585">
        <f t="shared" si="422"/>
        <v>-89.999992546724783</v>
      </c>
      <c r="AJ56" s="586">
        <f t="shared" si="423"/>
        <v>106.34799763964186</v>
      </c>
      <c r="AK56" s="635">
        <f t="shared" si="424"/>
        <v>0.81915209487729213</v>
      </c>
      <c r="AL56" s="629">
        <f t="shared" si="425"/>
        <v>-0.57357636410344459</v>
      </c>
      <c r="AM56" s="634">
        <f t="shared" si="426"/>
        <v>-1.3008419263447262E-7</v>
      </c>
      <c r="AN56" s="581">
        <f t="shared" si="427"/>
        <v>-89.999987005609569</v>
      </c>
      <c r="AO56" s="582">
        <f t="shared" ref="AO56:AO119" si="461">IF(ROUND(IF(M56="",0,DEGREES(ACOS(AK56))),4)=90,0,IF(M56="","",DEGREES(ACOS(AK56))))</f>
        <v>34.999994946625939</v>
      </c>
      <c r="AP56" s="585">
        <f t="shared" si="428"/>
        <v>-34.999994946625264</v>
      </c>
      <c r="AQ56" s="586">
        <f t="shared" si="246"/>
        <v>0.38983627646572433</v>
      </c>
      <c r="AS56" s="52">
        <f t="shared" si="406"/>
        <v>-308.07200749747449</v>
      </c>
      <c r="AT56" s="72">
        <f t="shared" si="247"/>
        <v>-3.0215680876887427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6.1440000000000001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>
        <f t="shared" si="112"/>
        <v>1913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-3.3747747264476593</v>
      </c>
      <c r="C57" s="708">
        <v>4.8196792205053116</v>
      </c>
      <c r="D57" s="709">
        <v>-2.3080689557852927</v>
      </c>
      <c r="E57" s="710">
        <v>-0.51983683390546498</v>
      </c>
      <c r="F57" s="708">
        <v>0.74240376176521872</v>
      </c>
      <c r="G57" s="711">
        <v>0.42261841019055785</v>
      </c>
      <c r="H57" s="710">
        <v>0.25700000000000001</v>
      </c>
      <c r="I57" s="708">
        <v>0.45500000000000002</v>
      </c>
      <c r="J57" s="570">
        <v>6.3380000000000001</v>
      </c>
      <c r="K57" s="865" t="str">
        <f>IF($J57="","",IF(IFERROR(INDEX(Settings!$AK$14:$AK$36,MATCH((((ROUND($H57,6)*2)*1000000)+ROUND($I57,6)),Settings!$AI$14:$AI$36,0)),"Undefined")="Undefined","Undefined",IFERROR(INDEX(_xlfn.ANCHORARRAY(Settings!$BC$14),MATCH(IFERROR(INDEX(Settings!$AK$14:$AK$36,MATCH((((ROUND($H57,6)*2)*1000000)+ROUND($I57,6)),Settings!$AI$14:$AI$36,0)),"Undefined"),_xlfn.ANCHORARRAY(Settings!$BC$14),0)),"Inactive")))</f>
        <v>Inactive</v>
      </c>
      <c r="L57" s="320"/>
      <c r="M57" s="168">
        <f t="shared" si="239"/>
        <v>6.3380000000000001</v>
      </c>
      <c r="N57" s="632">
        <f t="shared" si="240"/>
        <v>-3.3747747264476593</v>
      </c>
      <c r="O57" s="629">
        <f t="shared" si="241"/>
        <v>4.8196792205053116</v>
      </c>
      <c r="P57" s="633">
        <f t="shared" si="242"/>
        <v>-2.3080689557852927</v>
      </c>
      <c r="Q57" s="585">
        <f t="shared" si="113"/>
        <v>124.99999205898365</v>
      </c>
      <c r="R57" s="629">
        <f t="shared" si="410"/>
        <v>5.8837413473775815</v>
      </c>
      <c r="S57" s="634">
        <f t="shared" si="411"/>
        <v>-2.3080689557852927</v>
      </c>
      <c r="T57" s="635">
        <f t="shared" si="412"/>
        <v>4.7852703271712835</v>
      </c>
      <c r="U57" s="629">
        <f t="shared" si="413"/>
        <v>3.4233901528652257</v>
      </c>
      <c r="V57" s="636">
        <f t="shared" si="414"/>
        <v>-2.3080689557852927</v>
      </c>
      <c r="W57" s="585">
        <f t="shared" si="224"/>
        <v>35.57999197524201</v>
      </c>
      <c r="X57" s="629">
        <f t="shared" si="415"/>
        <v>5.8837413473775815</v>
      </c>
      <c r="Y57" s="630">
        <f t="shared" si="223"/>
        <v>-2.3080689557852927</v>
      </c>
      <c r="Z57" s="632">
        <f t="shared" si="243"/>
        <v>0.51983683390546498</v>
      </c>
      <c r="AA57" s="629">
        <f t="shared" si="244"/>
        <v>-0.74240376176521872</v>
      </c>
      <c r="AB57" s="629">
        <f t="shared" si="245"/>
        <v>-0.42261841019055785</v>
      </c>
      <c r="AC57" s="636">
        <f t="shared" si="416"/>
        <v>1</v>
      </c>
      <c r="AD57" s="637">
        <f t="shared" si="417"/>
        <v>0.51983683390546498</v>
      </c>
      <c r="AE57" s="629">
        <f t="shared" si="418"/>
        <v>-0.74240376176521872</v>
      </c>
      <c r="AF57" s="633">
        <f t="shared" si="419"/>
        <v>-0.42261841019055785</v>
      </c>
      <c r="AG57" s="602">
        <f t="shared" si="420"/>
        <v>-60.349008857356679</v>
      </c>
      <c r="AH57" s="603">
        <f t="shared" si="421"/>
        <v>58.678692724324954</v>
      </c>
      <c r="AI57" s="585">
        <f t="shared" si="422"/>
        <v>-64.999990615163185</v>
      </c>
      <c r="AJ57" s="586">
        <f t="shared" si="423"/>
        <v>35.00000639670818</v>
      </c>
      <c r="AK57" s="635">
        <f t="shared" si="424"/>
        <v>2.2679489664056973E-7</v>
      </c>
      <c r="AL57" s="629">
        <f t="shared" si="425"/>
        <v>-0.90630771781330099</v>
      </c>
      <c r="AM57" s="634">
        <f t="shared" si="426"/>
        <v>-0.42261841019055785</v>
      </c>
      <c r="AN57" s="581">
        <f t="shared" si="427"/>
        <v>-64.999990615162503</v>
      </c>
      <c r="AO57" s="582">
        <f t="shared" si="461"/>
        <v>0</v>
      </c>
      <c r="AP57" s="585">
        <f t="shared" si="428"/>
        <v>-89.999985662275478</v>
      </c>
      <c r="AQ57" s="586">
        <f t="shared" si="246"/>
        <v>0.38745616891101053</v>
      </c>
      <c r="AS57" s="52">
        <f t="shared" si="406"/>
        <v>-324.42000802475798</v>
      </c>
      <c r="AT57" s="72">
        <f t="shared" si="247"/>
        <v>-2.0823745058262535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>Gage</v>
      </c>
      <c r="IG57" s="847">
        <f t="shared" si="210"/>
        <v>6.3380000000000001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0.13800000000000001</v>
      </c>
      <c r="II57" s="734" cm="1">
        <f t="array" ref="II57">IFERROR(IF($IH57&lt;1,$IH57+LARGE((IF($M$9:$M$150="",0,$M$9:$M$150)-MOD(IF($M$9:$M$150="",0,$M$9:$M$150),1)),1),$IH57),"")</f>
        <v>6.1379999999999999</v>
      </c>
      <c r="IJ57" s="533">
        <f t="shared" si="112"/>
        <v>1913</v>
      </c>
      <c r="IK57" s="533" t="str">
        <f t="shared" si="382"/>
        <v>Inactive</v>
      </c>
      <c r="IL57" s="727">
        <f t="shared" si="225"/>
        <v>16.383000522230105</v>
      </c>
      <c r="IM57" s="759">
        <v>4.64905868568051E-3</v>
      </c>
      <c r="IN57" s="5">
        <f t="shared" si="226"/>
        <v>0.52</v>
      </c>
      <c r="IO57" s="771">
        <v>260</v>
      </c>
      <c r="IP57" s="9">
        <f t="shared" si="227"/>
        <v>-5.8205175546809453</v>
      </c>
      <c r="IQ57" s="5">
        <f t="shared" si="228"/>
        <v>-2.2988069332017105</v>
      </c>
      <c r="IR57" s="5">
        <f t="shared" si="383"/>
        <v>0.3765</v>
      </c>
      <c r="IS57" s="5">
        <f t="shared" si="229"/>
        <v>0.3233458215921855</v>
      </c>
      <c r="IT57" s="727">
        <f t="shared" si="230"/>
        <v>79.553417327986708</v>
      </c>
      <c r="IU57" s="9">
        <f t="shared" si="231"/>
        <v>-5.8837413473775815</v>
      </c>
      <c r="IV57" s="5">
        <f t="shared" si="232"/>
        <v>-2.3080689557852927</v>
      </c>
      <c r="IW57" s="5">
        <f t="shared" si="384"/>
        <v>0.25700000000000001</v>
      </c>
      <c r="IX57" s="5">
        <f t="shared" si="233"/>
        <v>0.25700000000000001</v>
      </c>
      <c r="IY57" s="762">
        <f t="shared" si="234"/>
        <v>64.999990615162503</v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$36,MATCH((((ROUND($H58,6)*2)*1000000)+ROUND($I58,6)),Settings!$AI$14:$AI$36,0)),"Undefined")="Undefined","Undefined",IFERROR(INDEX(_xlfn.ANCHORARRAY(Settings!$BC$14),MATCH(IFERROR(INDEX(Settings!$AK$14:$AK$36,MATCH((((ROUND($H58,6)*2)*1000000)+ROUND($I58,6)),Settings!$AI$14:$AI$36,0)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$36,MATCH((((ROUND($H59,6)*2)*1000000)+ROUND($I59,6)),Settings!$AI$14:$AI$36,0)),"Undefined")="Undefined","Undefined",IFERROR(INDEX(_xlfn.ANCHORARRAY(Settings!$BC$14),MATCH(IFERROR(INDEX(Settings!$AK$14:$AK$36,MATCH((((ROUND($H59,6)*2)*1000000)+ROUND($I59,6)),Settings!$AI$14:$AI$36,0)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$36,MATCH((((ROUND($H60,6)*2)*1000000)+ROUND($I60,6)),Settings!$AI$14:$AI$36,0)),"Undefined")="Undefined","Undefined",IFERROR(INDEX(_xlfn.ANCHORARRAY(Settings!$BC$14),MATCH(IFERROR(INDEX(Settings!$AK$14:$AK$36,MATCH((((ROUND($H60,6)*2)*1000000)+ROUND($I60,6)),Settings!$AI$14:$AI$36,0)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$36,MATCH((((ROUND($H61,6)*2)*1000000)+ROUND($I61,6)),Settings!$AI$14:$AI$36,0)),"Undefined")="Undefined","Undefined",IFERROR(INDEX(_xlfn.ANCHORARRAY(Settings!$BC$14),MATCH(IFERROR(INDEX(Settings!$AK$14:$AK$36,MATCH((((ROUND($H61,6)*2)*1000000)+ROUND($I61,6)),Settings!$AI$14:$AI$36,0)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$36,MATCH((((ROUND($H62,6)*2)*1000000)+ROUND($I62,6)),Settings!$AI$14:$AI$36,0)),"Undefined")="Undefined","Undefined",IFERROR(INDEX(_xlfn.ANCHORARRAY(Settings!$BC$14),MATCH(IFERROR(INDEX(Settings!$AK$14:$AK$36,MATCH((((ROUND($H62,6)*2)*1000000)+ROUND($I62,6)),Settings!$AI$14:$AI$36,0)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$36,MATCH((((ROUND($H63,6)*2)*1000000)+ROUND($I63,6)),Settings!$AI$14:$AI$36,0)),"Undefined")="Undefined","Undefined",IFERROR(INDEX(_xlfn.ANCHORARRAY(Settings!$BC$14),MATCH(IFERROR(INDEX(Settings!$AK$14:$AK$36,MATCH((((ROUND($H63,6)*2)*1000000)+ROUND($I63,6)),Settings!$AI$14:$AI$36,0)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$36,MATCH((((ROUND($H64,6)*2)*1000000)+ROUND($I64,6)),Settings!$AI$14:$AI$36,0)),"Undefined")="Undefined","Undefined",IFERROR(INDEX(_xlfn.ANCHORARRAY(Settings!$BC$14),MATCH(IFERROR(INDEX(Settings!$AK$14:$AK$36,MATCH((((ROUND($H64,6)*2)*1000000)+ROUND($I64,6)),Settings!$AI$14:$AI$36,0)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$36,MATCH((((ROUND($H65,6)*2)*1000000)+ROUND($I65,6)),Settings!$AI$14:$AI$36,0)),"Undefined")="Undefined","Undefined",IFERROR(INDEX(_xlfn.ANCHORARRAY(Settings!$BC$14),MATCH(IFERROR(INDEX(Settings!$AK$14:$AK$36,MATCH((((ROUND($H65,6)*2)*1000000)+ROUND($I65,6)),Settings!$AI$14:$AI$36,0)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$36,MATCH((((ROUND($H66,6)*2)*1000000)+ROUND($I66,6)),Settings!$AI$14:$AI$36,0)),"Undefined")="Undefined","Undefined",IFERROR(INDEX(_xlfn.ANCHORARRAY(Settings!$BC$14),MATCH(IFERROR(INDEX(Settings!$AK$14:$AK$36,MATCH((((ROUND($H66,6)*2)*1000000)+ROUND($I66,6)),Settings!$AI$14:$AI$36,0)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$36,MATCH((((ROUND($H67,6)*2)*1000000)+ROUND($I67,6)),Settings!$AI$14:$AI$36,0)),"Undefined")="Undefined","Undefined",IFERROR(INDEX(_xlfn.ANCHORARRAY(Settings!$BC$14),MATCH(IFERROR(INDEX(Settings!$AK$14:$AK$36,MATCH((((ROUND($H67,6)*2)*1000000)+ROUND($I67,6)),Settings!$AI$14:$AI$36,0)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$36,MATCH((((ROUND($H68,6)*2)*1000000)+ROUND($I68,6)),Settings!$AI$14:$AI$36,0)),"Undefined")="Undefined","Undefined",IFERROR(INDEX(_xlfn.ANCHORARRAY(Settings!$BC$14),MATCH(IFERROR(INDEX(Settings!$AK$14:$AK$36,MATCH((((ROUND($H68,6)*2)*1000000)+ROUND($I68,6)),Settings!$AI$14:$AI$36,0)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$36,MATCH((((ROUND($H69,6)*2)*1000000)+ROUND($I69,6)),Settings!$AI$14:$AI$36,0)),"Undefined")="Undefined","Undefined",IFERROR(INDEX(_xlfn.ANCHORARRAY(Settings!$BC$14),MATCH(IFERROR(INDEX(Settings!$AK$14:$AK$36,MATCH((((ROUND($H69,6)*2)*1000000)+ROUND($I69,6)),Settings!$AI$14:$AI$36,0)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$36,MATCH((((ROUND($H70,6)*2)*1000000)+ROUND($I70,6)),Settings!$AI$14:$AI$36,0)),"Undefined")="Undefined","Undefined",IFERROR(INDEX(_xlfn.ANCHORARRAY(Settings!$BC$14),MATCH(IFERROR(INDEX(Settings!$AK$14:$AK$36,MATCH((((ROUND($H70,6)*2)*1000000)+ROUND($I70,6)),Settings!$AI$14:$AI$36,0)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$36,MATCH((((ROUND($H71,6)*2)*1000000)+ROUND($I71,6)),Settings!$AI$14:$AI$36,0)),"Undefined")="Undefined","Undefined",IFERROR(INDEX(_xlfn.ANCHORARRAY(Settings!$BC$14),MATCH(IFERROR(INDEX(Settings!$AK$14:$AK$36,MATCH((((ROUND($H71,6)*2)*1000000)+ROUND($I71,6)),Settings!$AI$14:$AI$36,0)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$36,MATCH((((ROUND($H72,6)*2)*1000000)+ROUND($I72,6)),Settings!$AI$14:$AI$36,0)),"Undefined")="Undefined","Undefined",IFERROR(INDEX(_xlfn.ANCHORARRAY(Settings!$BC$14),MATCH(IFERROR(INDEX(Settings!$AK$14:$AK$36,MATCH((((ROUND($H72,6)*2)*1000000)+ROUND($I72,6)),Settings!$AI$14:$AI$36,0)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$36,MATCH((((ROUND($H73,6)*2)*1000000)+ROUND($I73,6)),Settings!$AI$14:$AI$36,0)),"Undefined")="Undefined","Undefined",IFERROR(INDEX(_xlfn.ANCHORARRAY(Settings!$BC$14),MATCH(IFERROR(INDEX(Settings!$AK$14:$AK$36,MATCH((((ROUND($H73,6)*2)*1000000)+ROUND($I73,6)),Settings!$AI$14:$AI$36,0)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$36,MATCH((((ROUND($H74,6)*2)*1000000)+ROUND($I74,6)),Settings!$AI$14:$AI$36,0)),"Undefined")="Undefined","Undefined",IFERROR(INDEX(_xlfn.ANCHORARRAY(Settings!$BC$14),MATCH(IFERROR(INDEX(Settings!$AK$14:$AK$36,MATCH((((ROUND($H74,6)*2)*1000000)+ROUND($I74,6)),Settings!$AI$14:$AI$36,0)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$36,MATCH((((ROUND($H75,6)*2)*1000000)+ROUND($I75,6)),Settings!$AI$14:$AI$36,0)),"Undefined")="Undefined","Undefined",IFERROR(INDEX(_xlfn.ANCHORARRAY(Settings!$BC$14),MATCH(IFERROR(INDEX(Settings!$AK$14:$AK$36,MATCH((((ROUND($H75,6)*2)*1000000)+ROUND($I75,6)),Settings!$AI$14:$AI$36,0)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$36,MATCH((((ROUND($H76,6)*2)*1000000)+ROUND($I76,6)),Settings!$AI$14:$AI$36,0)),"Undefined")="Undefined","Undefined",IFERROR(INDEX(_xlfn.ANCHORARRAY(Settings!$BC$14),MATCH(IFERROR(INDEX(Settings!$AK$14:$AK$36,MATCH((((ROUND($H76,6)*2)*1000000)+ROUND($I76,6)),Settings!$AI$14:$AI$36,0)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$36,MATCH((((ROUND($H77,6)*2)*1000000)+ROUND($I77,6)),Settings!$AI$14:$AI$36,0)),"Undefined")="Undefined","Undefined",IFERROR(INDEX(_xlfn.ANCHORARRAY(Settings!$BC$14),MATCH(IFERROR(INDEX(Settings!$AK$14:$AK$36,MATCH((((ROUND($H77,6)*2)*1000000)+ROUND($I77,6)),Settings!$AI$14:$AI$36,0)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$36,MATCH((((ROUND($H78,6)*2)*1000000)+ROUND($I78,6)),Settings!$AI$14:$AI$36,0)),"Undefined")="Undefined","Undefined",IFERROR(INDEX(_xlfn.ANCHORARRAY(Settings!$BC$14),MATCH(IFERROR(INDEX(Settings!$AK$14:$AK$36,MATCH((((ROUND($H78,6)*2)*1000000)+ROUND($I78,6)),Settings!$AI$14:$AI$36,0)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$36,MATCH((((ROUND($H79,6)*2)*1000000)+ROUND($I79,6)),Settings!$AI$14:$AI$36,0)),"Undefined")="Undefined","Undefined",IFERROR(INDEX(_xlfn.ANCHORARRAY(Settings!$BC$14),MATCH(IFERROR(INDEX(Settings!$AK$14:$AK$36,MATCH((((ROUND($H79,6)*2)*1000000)+ROUND($I79,6)),Settings!$AI$14:$AI$36,0)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$36,MATCH((((ROUND($H80,6)*2)*1000000)+ROUND($I80,6)),Settings!$AI$14:$AI$36,0)),"Undefined")="Undefined","Undefined",IFERROR(INDEX(_xlfn.ANCHORARRAY(Settings!$BC$14),MATCH(IFERROR(INDEX(Settings!$AK$14:$AK$36,MATCH((((ROUND($H80,6)*2)*1000000)+ROUND($I80,6)),Settings!$AI$14:$AI$36,0)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$36,MATCH((((ROUND($H81,6)*2)*1000000)+ROUND($I81,6)),Settings!$AI$14:$AI$36,0)),"Undefined")="Undefined","Undefined",IFERROR(INDEX(_xlfn.ANCHORARRAY(Settings!$BC$14),MATCH(IFERROR(INDEX(Settings!$AK$14:$AK$36,MATCH((((ROUND($H81,6)*2)*1000000)+ROUND($I81,6)),Settings!$AI$14:$AI$36,0)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$36,MATCH((((ROUND($H82,6)*2)*1000000)+ROUND($I82,6)),Settings!$AI$14:$AI$36,0)),"Undefined")="Undefined","Undefined",IFERROR(INDEX(_xlfn.ANCHORARRAY(Settings!$BC$14),MATCH(IFERROR(INDEX(Settings!$AK$14:$AK$36,MATCH((((ROUND($H82,6)*2)*1000000)+ROUND($I82,6)),Settings!$AI$14:$AI$36,0)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$36,MATCH((((ROUND($H83,6)*2)*1000000)+ROUND($I83,6)),Settings!$AI$14:$AI$36,0)),"Undefined")="Undefined","Undefined",IFERROR(INDEX(_xlfn.ANCHORARRAY(Settings!$BC$14),MATCH(IFERROR(INDEX(Settings!$AK$14:$AK$36,MATCH((((ROUND($H83,6)*2)*1000000)+ROUND($I83,6)),Settings!$AI$14:$AI$36,0)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$36,MATCH((((ROUND($H84,6)*2)*1000000)+ROUND($I84,6)),Settings!$AI$14:$AI$36,0)),"Undefined")="Undefined","Undefined",IFERROR(INDEX(_xlfn.ANCHORARRAY(Settings!$BC$14),MATCH(IFERROR(INDEX(Settings!$AK$14:$AK$36,MATCH((((ROUND($H84,6)*2)*1000000)+ROUND($I84,6)),Settings!$AI$14:$AI$36,0)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$36,MATCH((((ROUND($H85,6)*2)*1000000)+ROUND($I85,6)),Settings!$AI$14:$AI$36,0)),"Undefined")="Undefined","Undefined",IFERROR(INDEX(_xlfn.ANCHORARRAY(Settings!$BC$14),MATCH(IFERROR(INDEX(Settings!$AK$14:$AK$36,MATCH((((ROUND($H85,6)*2)*1000000)+ROUND($I85,6)),Settings!$AI$14:$AI$36,0)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$36,MATCH((((ROUND($H86,6)*2)*1000000)+ROUND($I86,6)),Settings!$AI$14:$AI$36,0)),"Undefined")="Undefined","Undefined",IFERROR(INDEX(_xlfn.ANCHORARRAY(Settings!$BC$14),MATCH(IFERROR(INDEX(Settings!$AK$14:$AK$36,MATCH((((ROUND($H86,6)*2)*1000000)+ROUND($I86,6)),Settings!$AI$14:$AI$36,0)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$36,MATCH((((ROUND($H87,6)*2)*1000000)+ROUND($I87,6)),Settings!$AI$14:$AI$36,0)),"Undefined")="Undefined","Undefined",IFERROR(INDEX(_xlfn.ANCHORARRAY(Settings!$BC$14),MATCH(IFERROR(INDEX(Settings!$AK$14:$AK$36,MATCH((((ROUND($H87,6)*2)*1000000)+ROUND($I87,6)),Settings!$AI$14:$AI$36,0)),"Undefined"),_xlfn.ANCHORARRAY(Settings!$BC$14),0)),"Inactive")))</f>
        <v/>
      </c>
      <c r="L87" s="86">
        <f>H87*2</f>
        <v>0</v>
      </c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$36,MATCH((((ROUND($H88,6)*2)*1000000)+ROUND($I88,6)),Settings!$AI$14:$AI$36,0)),"Undefined")="Undefined","Undefined",IFERROR(INDEX(_xlfn.ANCHORARRAY(Settings!$BC$14),MATCH(IFERROR(INDEX(Settings!$AK$14:$AK$36,MATCH((((ROUND($H88,6)*2)*1000000)+ROUND($I88,6)),Settings!$AI$14:$AI$36,0)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$36,MATCH((((ROUND($H89,6)*2)*1000000)+ROUND($I89,6)),Settings!$AI$14:$AI$36,0)),"Undefined")="Undefined","Undefined",IFERROR(INDEX(_xlfn.ANCHORARRAY(Settings!$BC$14),MATCH(IFERROR(INDEX(Settings!$AK$14:$AK$36,MATCH((((ROUND($H89,6)*2)*1000000)+ROUND($I89,6)),Settings!$AI$14:$AI$36,0)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$36,MATCH((((ROUND($H90,6)*2)*1000000)+ROUND($I90,6)),Settings!$AI$14:$AI$36,0)),"Undefined")="Undefined","Undefined",IFERROR(INDEX(_xlfn.ANCHORARRAY(Settings!$BC$14),MATCH(IFERROR(INDEX(Settings!$AK$14:$AK$36,MATCH((((ROUND($H90,6)*2)*1000000)+ROUND($I90,6)),Settings!$AI$14:$AI$36,0)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$36,MATCH((((ROUND($H91,6)*2)*1000000)+ROUND($I91,6)),Settings!$AI$14:$AI$36,0)),"Undefined")="Undefined","Undefined",IFERROR(INDEX(_xlfn.ANCHORARRAY(Settings!$BC$14),MATCH(IFERROR(INDEX(Settings!$AK$14:$AK$36,MATCH((((ROUND($H91,6)*2)*1000000)+ROUND($I91,6)),Settings!$AI$14:$AI$36,0)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$36,MATCH((((ROUND($H92,6)*2)*1000000)+ROUND($I92,6)),Settings!$AI$14:$AI$36,0)),"Undefined")="Undefined","Undefined",IFERROR(INDEX(_xlfn.ANCHORARRAY(Settings!$BC$14),MATCH(IFERROR(INDEX(Settings!$AK$14:$AK$36,MATCH((((ROUND($H92,6)*2)*1000000)+ROUND($I92,6)),Settings!$AI$14:$AI$36,0)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$36,MATCH((((ROUND($H93,6)*2)*1000000)+ROUND($I93,6)),Settings!$AI$14:$AI$36,0)),"Undefined")="Undefined","Undefined",IFERROR(INDEX(_xlfn.ANCHORARRAY(Settings!$BC$14),MATCH(IFERROR(INDEX(Settings!$AK$14:$AK$36,MATCH((((ROUND($H93,6)*2)*1000000)+ROUND($I93,6)),Settings!$AI$14:$AI$36,0)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$36,MATCH((((ROUND($H94,6)*2)*1000000)+ROUND($I94,6)),Settings!$AI$14:$AI$36,0)),"Undefined")="Undefined","Undefined",IFERROR(INDEX(_xlfn.ANCHORARRAY(Settings!$BC$14),MATCH(IFERROR(INDEX(Settings!$AK$14:$AK$36,MATCH((((ROUND($H94,6)*2)*1000000)+ROUND($I94,6)),Settings!$AI$14:$AI$36,0)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$36,MATCH((((ROUND($H95,6)*2)*1000000)+ROUND($I95,6)),Settings!$AI$14:$AI$36,0)),"Undefined")="Undefined","Undefined",IFERROR(INDEX(_xlfn.ANCHORARRAY(Settings!$BC$14),MATCH(IFERROR(INDEX(Settings!$AK$14:$AK$36,MATCH((((ROUND($H95,6)*2)*1000000)+ROUND($I95,6)),Settings!$AI$14:$AI$36,0)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$36,MATCH((((ROUND($H96,6)*2)*1000000)+ROUND($I96,6)),Settings!$AI$14:$AI$36,0)),"Undefined")="Undefined","Undefined",IFERROR(INDEX(_xlfn.ANCHORARRAY(Settings!$BC$14),MATCH(IFERROR(INDEX(Settings!$AK$14:$AK$36,MATCH((((ROUND($H96,6)*2)*1000000)+ROUND($I96,6)),Settings!$AI$14:$AI$36,0)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$36,MATCH((((ROUND($H97,6)*2)*1000000)+ROUND($I97,6)),Settings!$AI$14:$AI$36,0)),"Undefined")="Undefined","Undefined",IFERROR(INDEX(_xlfn.ANCHORARRAY(Settings!$BC$14),MATCH(IFERROR(INDEX(Settings!$AK$14:$AK$36,MATCH((((ROUND($H97,6)*2)*1000000)+ROUND($I97,6)),Settings!$AI$14:$AI$36,0)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$36,MATCH((((ROUND($H98,6)*2)*1000000)+ROUND($I98,6)),Settings!$AI$14:$AI$36,0)),"Undefined")="Undefined","Undefined",IFERROR(INDEX(_xlfn.ANCHORARRAY(Settings!$BC$14),MATCH(IFERROR(INDEX(Settings!$AK$14:$AK$36,MATCH((((ROUND($H98,6)*2)*1000000)+ROUND($I98,6)),Settings!$AI$14:$AI$36,0)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$36,MATCH((((ROUND($H99,6)*2)*1000000)+ROUND($I99,6)),Settings!$AI$14:$AI$36,0)),"Undefined")="Undefined","Undefined",IFERROR(INDEX(_xlfn.ANCHORARRAY(Settings!$BC$14),MATCH(IFERROR(INDEX(Settings!$AK$14:$AK$36,MATCH((((ROUND($H99,6)*2)*1000000)+ROUND($I99,6)),Settings!$AI$14:$AI$36,0)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$36,MATCH((((ROUND($H100,6)*2)*1000000)+ROUND($I100,6)),Settings!$AI$14:$AI$36,0)),"Undefined")="Undefined","Undefined",IFERROR(INDEX(_xlfn.ANCHORARRAY(Settings!$BC$14),MATCH(IFERROR(INDEX(Settings!$AK$14:$AK$36,MATCH((((ROUND($H100,6)*2)*1000000)+ROUND($I100,6)),Settings!$AI$14:$AI$36,0)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$36,MATCH((((ROUND($H101,6)*2)*1000000)+ROUND($I101,6)),Settings!$AI$14:$AI$36,0)),"Undefined")="Undefined","Undefined",IFERROR(INDEX(_xlfn.ANCHORARRAY(Settings!$BC$14),MATCH(IFERROR(INDEX(Settings!$AK$14:$AK$36,MATCH((((ROUND($H101,6)*2)*1000000)+ROUND($I101,6)),Settings!$AI$14:$AI$36,0)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$36,MATCH((((ROUND($H102,6)*2)*1000000)+ROUND($I102,6)),Settings!$AI$14:$AI$36,0)),"Undefined")="Undefined","Undefined",IFERROR(INDEX(_xlfn.ANCHORARRAY(Settings!$BC$14),MATCH(IFERROR(INDEX(Settings!$AK$14:$AK$36,MATCH((((ROUND($H102,6)*2)*1000000)+ROUND($I102,6)),Settings!$AI$14:$AI$36,0)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$36,MATCH((((ROUND($H103,6)*2)*1000000)+ROUND($I103,6)),Settings!$AI$14:$AI$36,0)),"Undefined")="Undefined","Undefined",IFERROR(INDEX(_xlfn.ANCHORARRAY(Settings!$BC$14),MATCH(IFERROR(INDEX(Settings!$AK$14:$AK$36,MATCH((((ROUND($H103,6)*2)*1000000)+ROUND($I103,6)),Settings!$AI$14:$AI$36,0)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$36,MATCH((((ROUND($H104,6)*2)*1000000)+ROUND($I104,6)),Settings!$AI$14:$AI$36,0)),"Undefined")="Undefined","Undefined",IFERROR(INDEX(_xlfn.ANCHORARRAY(Settings!$BC$14),MATCH(IFERROR(INDEX(Settings!$AK$14:$AK$36,MATCH((((ROUND($H104,6)*2)*1000000)+ROUND($I104,6)),Settings!$AI$14:$AI$36,0)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$36,MATCH((((ROUND($H105,6)*2)*1000000)+ROUND($I105,6)),Settings!$AI$14:$AI$36,0)),"Undefined")="Undefined","Undefined",IFERROR(INDEX(_xlfn.ANCHORARRAY(Settings!$BC$14),MATCH(IFERROR(INDEX(Settings!$AK$14:$AK$36,MATCH((((ROUND($H105,6)*2)*1000000)+ROUND($I105,6)),Settings!$AI$14:$AI$36,0)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$36,MATCH((((ROUND($H106,6)*2)*1000000)+ROUND($I106,6)),Settings!$AI$14:$AI$36,0)),"Undefined")="Undefined","Undefined",IFERROR(INDEX(_xlfn.ANCHORARRAY(Settings!$BC$14),MATCH(IFERROR(INDEX(Settings!$AK$14:$AK$36,MATCH((((ROUND($H106,6)*2)*1000000)+ROUND($I106,6)),Settings!$AI$14:$AI$36,0)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$36,MATCH((((ROUND($H107,6)*2)*1000000)+ROUND($I107,6)),Settings!$AI$14:$AI$36,0)),"Undefined")="Undefined","Undefined",IFERROR(INDEX(_xlfn.ANCHORARRAY(Settings!$BC$14),MATCH(IFERROR(INDEX(Settings!$AK$14:$AK$36,MATCH((((ROUND($H107,6)*2)*1000000)+ROUND($I107,6)),Settings!$AI$14:$AI$36,0)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$36,MATCH((((ROUND($H108,6)*2)*1000000)+ROUND($I108,6)),Settings!$AI$14:$AI$36,0)),"Undefined")="Undefined","Undefined",IFERROR(INDEX(_xlfn.ANCHORARRAY(Settings!$BC$14),MATCH(IFERROR(INDEX(Settings!$AK$14:$AK$36,MATCH((((ROUND($H108,6)*2)*1000000)+ROUND($I108,6)),Settings!$AI$14:$AI$36,0)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$36,MATCH((((ROUND($H109,6)*2)*1000000)+ROUND($I109,6)),Settings!$AI$14:$AI$36,0)),"Undefined")="Undefined","Undefined",IFERROR(INDEX(_xlfn.ANCHORARRAY(Settings!$BC$14),MATCH(IFERROR(INDEX(Settings!$AK$14:$AK$36,MATCH((((ROUND($H109,6)*2)*1000000)+ROUND($I109,6)),Settings!$AI$14:$AI$36,0)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$36,MATCH((((ROUND($H110,6)*2)*1000000)+ROUND($I110,6)),Settings!$AI$14:$AI$36,0)),"Undefined")="Undefined","Undefined",IFERROR(INDEX(_xlfn.ANCHORARRAY(Settings!$BC$14),MATCH(IFERROR(INDEX(Settings!$AK$14:$AK$36,MATCH((((ROUND($H110,6)*2)*1000000)+ROUND($I110,6)),Settings!$AI$14:$AI$36,0)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$36,MATCH((((ROUND($H111,6)*2)*1000000)+ROUND($I111,6)),Settings!$AI$14:$AI$36,0)),"Undefined")="Undefined","Undefined",IFERROR(INDEX(_xlfn.ANCHORARRAY(Settings!$BC$14),MATCH(IFERROR(INDEX(Settings!$AK$14:$AK$36,MATCH((((ROUND($H111,6)*2)*1000000)+ROUND($I111,6)),Settings!$AI$14:$AI$36,0)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$36,MATCH((((ROUND($H112,6)*2)*1000000)+ROUND($I112,6)),Settings!$AI$14:$AI$36,0)),"Undefined")="Undefined","Undefined",IFERROR(INDEX(_xlfn.ANCHORARRAY(Settings!$BC$14),MATCH(IFERROR(INDEX(Settings!$AK$14:$AK$36,MATCH((((ROUND($H112,6)*2)*1000000)+ROUND($I112,6)),Settings!$AI$14:$AI$36,0)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$36,MATCH((((ROUND($H113,6)*2)*1000000)+ROUND($I113,6)),Settings!$AI$14:$AI$36,0)),"Undefined")="Undefined","Undefined",IFERROR(INDEX(_xlfn.ANCHORARRAY(Settings!$BC$14),MATCH(IFERROR(INDEX(Settings!$AK$14:$AK$36,MATCH((((ROUND($H113,6)*2)*1000000)+ROUND($I113,6)),Settings!$AI$14:$AI$36,0)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$36,MATCH((((ROUND($H114,6)*2)*1000000)+ROUND($I114,6)),Settings!$AI$14:$AI$36,0)),"Undefined")="Undefined","Undefined",IFERROR(INDEX(_xlfn.ANCHORARRAY(Settings!$BC$14),MATCH(IFERROR(INDEX(Settings!$AK$14:$AK$36,MATCH((((ROUND($H114,6)*2)*1000000)+ROUND($I114,6)),Settings!$AI$14:$AI$36,0)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$36,MATCH((((ROUND($H115,6)*2)*1000000)+ROUND($I115,6)),Settings!$AI$14:$AI$36,0)),"Undefined")="Undefined","Undefined",IFERROR(INDEX(_xlfn.ANCHORARRAY(Settings!$BC$14),MATCH(IFERROR(INDEX(Settings!$AK$14:$AK$36,MATCH((((ROUND($H115,6)*2)*1000000)+ROUND($I115,6)),Settings!$AI$14:$AI$36,0)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$36,MATCH((((ROUND($H116,6)*2)*1000000)+ROUND($I116,6)),Settings!$AI$14:$AI$36,0)),"Undefined")="Undefined","Undefined",IFERROR(INDEX(_xlfn.ANCHORARRAY(Settings!$BC$14),MATCH(IFERROR(INDEX(Settings!$AK$14:$AK$36,MATCH((((ROUND($H116,6)*2)*1000000)+ROUND($I116,6)),Settings!$AI$14:$AI$36,0)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$36,MATCH((((ROUND($H117,6)*2)*1000000)+ROUND($I117,6)),Settings!$AI$14:$AI$36,0)),"Undefined")="Undefined","Undefined",IFERROR(INDEX(_xlfn.ANCHORARRAY(Settings!$BC$14),MATCH(IFERROR(INDEX(Settings!$AK$14:$AK$36,MATCH((((ROUND($H117,6)*2)*1000000)+ROUND($I117,6)),Settings!$AI$14:$AI$36,0)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$36,MATCH((((ROUND($H118,6)*2)*1000000)+ROUND($I118,6)),Settings!$AI$14:$AI$36,0)),"Undefined")="Undefined","Undefined",IFERROR(INDEX(_xlfn.ANCHORARRAY(Settings!$BC$14),MATCH(IFERROR(INDEX(Settings!$AK$14:$AK$36,MATCH((((ROUND($H118,6)*2)*1000000)+ROUND($I118,6)),Settings!$AI$14:$AI$36,0)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$36,MATCH((((ROUND($H119,6)*2)*1000000)+ROUND($I119,6)),Settings!$AI$14:$AI$36,0)),"Undefined")="Undefined","Undefined",IFERROR(INDEX(_xlfn.ANCHORARRAY(Settings!$BC$14),MATCH(IFERROR(INDEX(Settings!$AK$14:$AK$36,MATCH((((ROUND($H119,6)*2)*1000000)+ROUND($I119,6)),Settings!$AI$14:$AI$36,0)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$36,MATCH((((ROUND($H120,6)*2)*1000000)+ROUND($I120,6)),Settings!$AI$14:$AI$36,0)),"Undefined")="Undefined","Undefined",IFERROR(INDEX(_xlfn.ANCHORARRAY(Settings!$BC$14),MATCH(IFERROR(INDEX(Settings!$AK$14:$AK$36,MATCH((((ROUND($H120,6)*2)*1000000)+ROUND($I120,6)),Settings!$AI$14:$AI$36,0)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$36,MATCH((((ROUND($H121,6)*2)*1000000)+ROUND($I121,6)),Settings!$AI$14:$AI$36,0)),"Undefined")="Undefined","Undefined",IFERROR(INDEX(_xlfn.ANCHORARRAY(Settings!$BC$14),MATCH(IFERROR(INDEX(Settings!$AK$14:$AK$36,MATCH((((ROUND($H121,6)*2)*1000000)+ROUND($I121,6)),Settings!$AI$14:$AI$36,0)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$36,MATCH((((ROUND($H122,6)*2)*1000000)+ROUND($I122,6)),Settings!$AI$14:$AI$36,0)),"Undefined")="Undefined","Undefined",IFERROR(INDEX(_xlfn.ANCHORARRAY(Settings!$BC$14),MATCH(IFERROR(INDEX(Settings!$AK$14:$AK$36,MATCH((((ROUND($H122,6)*2)*1000000)+ROUND($I122,6)),Settings!$AI$14:$AI$36,0)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$36,MATCH((((ROUND($H123,6)*2)*1000000)+ROUND($I123,6)),Settings!$AI$14:$AI$36,0)),"Undefined")="Undefined","Undefined",IFERROR(INDEX(_xlfn.ANCHORARRAY(Settings!$BC$14),MATCH(IFERROR(INDEX(Settings!$AK$14:$AK$36,MATCH((((ROUND($H123,6)*2)*1000000)+ROUND($I123,6)),Settings!$AI$14:$AI$36,0)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$36,MATCH((((ROUND($H124,6)*2)*1000000)+ROUND($I124,6)),Settings!$AI$14:$AI$36,0)),"Undefined")="Undefined","Undefined",IFERROR(INDEX(_xlfn.ANCHORARRAY(Settings!$BC$14),MATCH(IFERROR(INDEX(Settings!$AK$14:$AK$36,MATCH((((ROUND($H124,6)*2)*1000000)+ROUND($I124,6)),Settings!$AI$14:$AI$36,0)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$36,MATCH((((ROUND($H125,6)*2)*1000000)+ROUND($I125,6)),Settings!$AI$14:$AI$36,0)),"Undefined")="Undefined","Undefined",IFERROR(INDEX(_xlfn.ANCHORARRAY(Settings!$BC$14),MATCH(IFERROR(INDEX(Settings!$AK$14:$AK$36,MATCH((((ROUND($H125,6)*2)*1000000)+ROUND($I125,6)),Settings!$AI$14:$AI$36,0)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$36,MATCH((((ROUND($H126,6)*2)*1000000)+ROUND($I126,6)),Settings!$AI$14:$AI$36,0)),"Undefined")="Undefined","Undefined",IFERROR(INDEX(_xlfn.ANCHORARRAY(Settings!$BC$14),MATCH(IFERROR(INDEX(Settings!$AK$14:$AK$36,MATCH((((ROUND($H126,6)*2)*1000000)+ROUND($I126,6)),Settings!$AI$14:$AI$36,0)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$36,MATCH((((ROUND($H127,6)*2)*1000000)+ROUND($I127,6)),Settings!$AI$14:$AI$36,0)),"Undefined")="Undefined","Undefined",IFERROR(INDEX(_xlfn.ANCHORARRAY(Settings!$BC$14),MATCH(IFERROR(INDEX(Settings!$AK$14:$AK$36,MATCH((((ROUND($H127,6)*2)*1000000)+ROUND($I127,6)),Settings!$AI$14:$AI$36,0)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$36,MATCH((((ROUND($H128,6)*2)*1000000)+ROUND($I128,6)),Settings!$AI$14:$AI$36,0)),"Undefined")="Undefined","Undefined",IFERROR(INDEX(_xlfn.ANCHORARRAY(Settings!$BC$14),MATCH(IFERROR(INDEX(Settings!$AK$14:$AK$36,MATCH((((ROUND($H128,6)*2)*1000000)+ROUND($I128,6)),Settings!$AI$14:$AI$36,0)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$36,MATCH((((ROUND($H129,6)*2)*1000000)+ROUND($I129,6)),Settings!$AI$14:$AI$36,0)),"Undefined")="Undefined","Undefined",IFERROR(INDEX(_xlfn.ANCHORARRAY(Settings!$BC$14),MATCH(IFERROR(INDEX(Settings!$AK$14:$AK$36,MATCH((((ROUND($H129,6)*2)*1000000)+ROUND($I129,6)),Settings!$AI$14:$AI$36,0)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$36,MATCH((((ROUND($H130,6)*2)*1000000)+ROUND($I130,6)),Settings!$AI$14:$AI$36,0)),"Undefined")="Undefined","Undefined",IFERROR(INDEX(_xlfn.ANCHORARRAY(Settings!$BC$14),MATCH(IFERROR(INDEX(Settings!$AK$14:$AK$36,MATCH((((ROUND($H130,6)*2)*1000000)+ROUND($I130,6)),Settings!$AI$14:$AI$36,0)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$36,MATCH((((ROUND($H131,6)*2)*1000000)+ROUND($I131,6)),Settings!$AI$14:$AI$36,0)),"Undefined")="Undefined","Undefined",IFERROR(INDEX(_xlfn.ANCHORARRAY(Settings!$BC$14),MATCH(IFERROR(INDEX(Settings!$AK$14:$AK$36,MATCH((((ROUND($H131,6)*2)*1000000)+ROUND($I131,6)),Settings!$AI$14:$AI$36,0)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$36,MATCH((((ROUND($H132,6)*2)*1000000)+ROUND($I132,6)),Settings!$AI$14:$AI$36,0)),"Undefined")="Undefined","Undefined",IFERROR(INDEX(_xlfn.ANCHORARRAY(Settings!$BC$14),MATCH(IFERROR(INDEX(Settings!$AK$14:$AK$36,MATCH((((ROUND($H132,6)*2)*1000000)+ROUND($I132,6)),Settings!$AI$14:$AI$36,0)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$36,MATCH((((ROUND($H133,6)*2)*1000000)+ROUND($I133,6)),Settings!$AI$14:$AI$36,0)),"Undefined")="Undefined","Undefined",IFERROR(INDEX(_xlfn.ANCHORARRAY(Settings!$BC$14),MATCH(IFERROR(INDEX(Settings!$AK$14:$AK$36,MATCH((((ROUND($H133,6)*2)*1000000)+ROUND($I133,6)),Settings!$AI$14:$AI$36,0)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$36,MATCH((((ROUND($H134,6)*2)*1000000)+ROUND($I134,6)),Settings!$AI$14:$AI$36,0)),"Undefined")="Undefined","Undefined",IFERROR(INDEX(_xlfn.ANCHORARRAY(Settings!$BC$14),MATCH(IFERROR(INDEX(Settings!$AK$14:$AK$36,MATCH((((ROUND($H134,6)*2)*1000000)+ROUND($I134,6)),Settings!$AI$14:$AI$36,0)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$36,MATCH((((ROUND($H135,6)*2)*1000000)+ROUND($I135,6)),Settings!$AI$14:$AI$36,0)),"Undefined")="Undefined","Undefined",IFERROR(INDEX(_xlfn.ANCHORARRAY(Settings!$BC$14),MATCH(IFERROR(INDEX(Settings!$AK$14:$AK$36,MATCH((((ROUND($H135,6)*2)*1000000)+ROUND($I135,6)),Settings!$AI$14:$AI$36,0)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$36,MATCH((((ROUND($H136,6)*2)*1000000)+ROUND($I136,6)),Settings!$AI$14:$AI$36,0)),"Undefined")="Undefined","Undefined",IFERROR(INDEX(_xlfn.ANCHORARRAY(Settings!$BC$14),MATCH(IFERROR(INDEX(Settings!$AK$14:$AK$36,MATCH((((ROUND($H136,6)*2)*1000000)+ROUND($I136,6)),Settings!$AI$14:$AI$36,0)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$36,MATCH((((ROUND($H137,6)*2)*1000000)+ROUND($I137,6)),Settings!$AI$14:$AI$36,0)),"Undefined")="Undefined","Undefined",IFERROR(INDEX(_xlfn.ANCHORARRAY(Settings!$BC$14),MATCH(IFERROR(INDEX(Settings!$AK$14:$AK$36,MATCH((((ROUND($H137,6)*2)*1000000)+ROUND($I137,6)),Settings!$AI$14:$AI$36,0)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$36,MATCH((((ROUND($H138,6)*2)*1000000)+ROUND($I138,6)),Settings!$AI$14:$AI$36,0)),"Undefined")="Undefined","Undefined",IFERROR(INDEX(_xlfn.ANCHORARRAY(Settings!$BC$14),MATCH(IFERROR(INDEX(Settings!$AK$14:$AK$36,MATCH((((ROUND($H138,6)*2)*1000000)+ROUND($I138,6)),Settings!$AI$14:$AI$36,0)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$36,MATCH((((ROUND($H139,6)*2)*1000000)+ROUND($I139,6)),Settings!$AI$14:$AI$36,0)),"Undefined")="Undefined","Undefined",IFERROR(INDEX(_xlfn.ANCHORARRAY(Settings!$BC$14),MATCH(IFERROR(INDEX(Settings!$AK$14:$AK$36,MATCH((((ROUND($H139,6)*2)*1000000)+ROUND($I139,6)),Settings!$AI$14:$AI$36,0)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$36,MATCH((((ROUND($H140,6)*2)*1000000)+ROUND($I140,6)),Settings!$AI$14:$AI$36,0)),"Undefined")="Undefined","Undefined",IFERROR(INDEX(_xlfn.ANCHORARRAY(Settings!$BC$14),MATCH(IFERROR(INDEX(Settings!$AK$14:$AK$36,MATCH((((ROUND($H140,6)*2)*1000000)+ROUND($I140,6)),Settings!$AI$14:$AI$36,0)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$36,MATCH((((ROUND($H141,6)*2)*1000000)+ROUND($I141,6)),Settings!$AI$14:$AI$36,0)),"Undefined")="Undefined","Undefined",IFERROR(INDEX(_xlfn.ANCHORARRAY(Settings!$BC$14),MATCH(IFERROR(INDEX(Settings!$AK$14:$AK$36,MATCH((((ROUND($H141,6)*2)*1000000)+ROUND($I141,6)),Settings!$AI$14:$AI$36,0)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$36,MATCH((((ROUND($H142,6)*2)*1000000)+ROUND($I142,6)),Settings!$AI$14:$AI$36,0)),"Undefined")="Undefined","Undefined",IFERROR(INDEX(_xlfn.ANCHORARRAY(Settings!$BC$14),MATCH(IFERROR(INDEX(Settings!$AK$14:$AK$36,MATCH((((ROUND($H142,6)*2)*1000000)+ROUND($I142,6)),Settings!$AI$14:$AI$36,0)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$36,MATCH((((ROUND($H143,6)*2)*1000000)+ROUND($I143,6)),Settings!$AI$14:$AI$36,0)),"Undefined")="Undefined","Undefined",IFERROR(INDEX(_xlfn.ANCHORARRAY(Settings!$BC$14),MATCH(IFERROR(INDEX(Settings!$AK$14:$AK$36,MATCH((((ROUND($H143,6)*2)*1000000)+ROUND($I143,6)),Settings!$AI$14:$AI$36,0)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$36,MATCH((((ROUND($H144,6)*2)*1000000)+ROUND($I144,6)),Settings!$AI$14:$AI$36,0)),"Undefined")="Undefined","Undefined",IFERROR(INDEX(_xlfn.ANCHORARRAY(Settings!$BC$14),MATCH(IFERROR(INDEX(Settings!$AK$14:$AK$36,MATCH((((ROUND($H144,6)*2)*1000000)+ROUND($I144,6)),Settings!$AI$14:$AI$36,0)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$36,MATCH((((ROUND($H145,6)*2)*1000000)+ROUND($I145,6)),Settings!$AI$14:$AI$36,0)),"Undefined")="Undefined","Undefined",IFERROR(INDEX(_xlfn.ANCHORARRAY(Settings!$BC$14),MATCH(IFERROR(INDEX(Settings!$AK$14:$AK$36,MATCH((((ROUND($H145,6)*2)*1000000)+ROUND($I145,6)),Settings!$AI$14:$AI$36,0)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$36,MATCH((((ROUND($H146,6)*2)*1000000)+ROUND($I146,6)),Settings!$AI$14:$AI$36,0)),"Undefined")="Undefined","Undefined",IFERROR(INDEX(_xlfn.ANCHORARRAY(Settings!$BC$14),MATCH(IFERROR(INDEX(Settings!$AK$14:$AK$36,MATCH((((ROUND($H146,6)*2)*1000000)+ROUND($I146,6)),Settings!$AI$14:$AI$36,0)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$36,MATCH((((ROUND($H147,6)*2)*1000000)+ROUND($I147,6)),Settings!$AI$14:$AI$36,0)),"Undefined")="Undefined","Undefined",IFERROR(INDEX(_xlfn.ANCHORARRAY(Settings!$BC$14),MATCH(IFERROR(INDEX(Settings!$AK$14:$AK$36,MATCH((((ROUND($H147,6)*2)*1000000)+ROUND($I147,6)),Settings!$AI$14:$AI$36,0)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$36,MATCH((((ROUND($H148,6)*2)*1000000)+ROUND($I148,6)),Settings!$AI$14:$AI$36,0)),"Undefined")="Undefined","Undefined",IFERROR(INDEX(_xlfn.ANCHORARRAY(Settings!$BC$14),MATCH(IFERROR(INDEX(Settings!$AK$14:$AK$36,MATCH((((ROUND($H148,6)*2)*1000000)+ROUND($I148,6)),Settings!$AI$14:$AI$36,0)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$36,MATCH((((ROUND($H149,6)*2)*1000000)+ROUND($I149,6)),Settings!$AI$14:$AI$36,0)),"Undefined")="Undefined","Undefined",IFERROR(INDEX(_xlfn.ANCHORARRAY(Settings!$BC$14),MATCH(IFERROR(INDEX(Settings!$AK$14:$AK$36,MATCH((((ROUND($H149,6)*2)*1000000)+ROUND($I149,6)),Settings!$AI$14:$AI$36,0)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$36,MATCH((((ROUND($H150,6)*2)*1000000)+ROUND($I150,6)),Settings!$AI$14:$AI$36,0)),"Undefined")="Undefined","Undefined",IFERROR(INDEX(_xlfn.ANCHORARRAY(Settings!$BC$14),MATCH(IFERROR(INDEX(Settings!$AK$14:$AK$36,MATCH((((ROUND($H150,6)*2)*1000000)+ROUND($I150,6)),Settings!$AI$14:$AI$36,0)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0.90630781366099955</v>
      </c>
      <c r="F154" s="170">
        <f t="shared" si="929"/>
        <v>0.10938162473876807</v>
      </c>
      <c r="G154" s="170">
        <f t="shared" si="929"/>
        <v>-0.40821784266066352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6.6987279208207198E-2</v>
      </c>
      <c r="G155" s="170">
        <f t="shared" si="929"/>
        <v>-0.24999996726497561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0.965904720991271</v>
      </c>
      <c r="F156" s="170">
        <f t="shared" si="929"/>
        <v>5.6565339788180805E-2</v>
      </c>
      <c r="G156" s="170">
        <f t="shared" si="929"/>
        <v>-0.25264289481681984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0.96489880223363744</v>
      </c>
      <c r="F157" s="170">
        <f t="shared" si="929"/>
        <v>-4.6063535638957908E-3</v>
      </c>
      <c r="G157" s="170">
        <f t="shared" si="929"/>
        <v>-0.26258157390596953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0.95968023013164039</v>
      </c>
      <c r="F158" s="170">
        <f t="shared" si="929"/>
        <v>-0.14112978207422419</v>
      </c>
      <c r="G158" s="170">
        <f t="shared" si="929"/>
        <v>-0.24309718325427765</v>
      </c>
      <c r="H158" s="139"/>
      <c r="I158" s="86"/>
      <c r="J158" s="79">
        <f t="shared" si="930"/>
        <v>1.119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0.94071058272569819</v>
      </c>
      <c r="F159" s="170">
        <f t="shared" si="929"/>
        <v>-0.26313084330132552</v>
      </c>
      <c r="G159" s="170">
        <f t="shared" si="929"/>
        <v>-0.21406951873494445</v>
      </c>
      <c r="H159" s="139"/>
      <c r="I159" s="86"/>
      <c r="J159" s="79">
        <f t="shared" si="930"/>
        <v>1.125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0.89205354491473465</v>
      </c>
      <c r="F160" s="170">
        <f t="shared" si="929"/>
        <v>-0.40852991868774424</v>
      </c>
      <c r="G160" s="170">
        <f t="shared" si="929"/>
        <v>-0.19324538427098531</v>
      </c>
      <c r="H160" s="139"/>
      <c r="I160" s="86"/>
      <c r="J160" s="79">
        <f t="shared" si="930"/>
        <v>1.131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0.83515352297630274</v>
      </c>
      <c r="F161" s="170">
        <f t="shared" si="929"/>
        <v>-0.5385240477561678</v>
      </c>
      <c r="G161" s="170">
        <f t="shared" si="929"/>
        <v>-0.11185009185773148</v>
      </c>
      <c r="H161" s="139"/>
      <c r="I161" s="86"/>
      <c r="J161" s="79">
        <f t="shared" si="930"/>
        <v>1.137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0.78095399630736195</v>
      </c>
      <c r="F162" s="170">
        <f t="shared" si="929"/>
        <v>-0.62458854908775274</v>
      </c>
      <c r="G162" s="170">
        <f t="shared" si="929"/>
        <v>-1.3008419208739032E-7</v>
      </c>
      <c r="H162" s="139"/>
      <c r="I162" s="86"/>
      <c r="J162" s="79">
        <f t="shared" si="930"/>
        <v>1.143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-0.30997528242617417</v>
      </c>
      <c r="F163" s="170">
        <f t="shared" si="929"/>
        <v>-0.85165075215889929</v>
      </c>
      <c r="G163" s="170">
        <f t="shared" si="929"/>
        <v>-0.42261841019055801</v>
      </c>
      <c r="H163" s="139"/>
      <c r="I163" s="86"/>
      <c r="J163" s="79">
        <f t="shared" si="930"/>
        <v>1.337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0.42603632444624312</v>
      </c>
      <c r="F164" s="170">
        <f t="shared" si="929"/>
        <v>-0.8664422021974052</v>
      </c>
      <c r="G164" s="170">
        <f t="shared" si="929"/>
        <v>-0.26032856259666598</v>
      </c>
      <c r="H164" s="139"/>
      <c r="I164" s="86"/>
      <c r="J164" s="79">
        <f t="shared" si="930"/>
        <v>2.1120000000000001</v>
      </c>
    </row>
    <row r="165" spans="5:16" x14ac:dyDescent="0.25">
      <c r="E165" s="170">
        <f t="shared" si="929"/>
        <v>0.29651793155130068</v>
      </c>
      <c r="F165" s="170">
        <f t="shared" si="929"/>
        <v>-0.92190550134075511</v>
      </c>
      <c r="G165" s="170">
        <f t="shared" si="929"/>
        <v>-0.24933383818926211</v>
      </c>
      <c r="H165" s="139"/>
      <c r="I165" s="86"/>
      <c r="J165" s="79">
        <f t="shared" si="930"/>
        <v>2.1179999999999999</v>
      </c>
    </row>
    <row r="166" spans="5:16" x14ac:dyDescent="0.25">
      <c r="E166" s="170">
        <f t="shared" si="929"/>
        <v>0.18352161340420239</v>
      </c>
      <c r="F166" s="170">
        <f t="shared" si="929"/>
        <v>-0.9599742417937801</v>
      </c>
      <c r="G166" s="170">
        <f t="shared" si="929"/>
        <v>-0.21158750555260955</v>
      </c>
      <c r="H166" s="139"/>
      <c r="I166" s="86"/>
      <c r="J166" s="79">
        <f t="shared" si="930"/>
        <v>2.1240000000000001</v>
      </c>
    </row>
    <row r="167" spans="5:16" x14ac:dyDescent="0.25">
      <c r="E167" s="170">
        <f t="shared" si="929"/>
        <v>3.2158795567331117E-2</v>
      </c>
      <c r="F167" s="170">
        <f t="shared" si="929"/>
        <v>-0.9790533980758318</v>
      </c>
      <c r="G167" s="170">
        <f t="shared" si="929"/>
        <v>-0.20104789375625276</v>
      </c>
      <c r="H167" s="139"/>
      <c r="I167" s="86"/>
      <c r="J167" s="79">
        <f t="shared" si="930"/>
        <v>2.13</v>
      </c>
    </row>
    <row r="168" spans="5:16" x14ac:dyDescent="0.25">
      <c r="E168" s="170">
        <f t="shared" si="929"/>
        <v>-0.11325762643228113</v>
      </c>
      <c r="F168" s="170">
        <f t="shared" si="929"/>
        <v>-0.98509845405133234</v>
      </c>
      <c r="G168" s="170">
        <f t="shared" si="929"/>
        <v>-0.12943626184574766</v>
      </c>
      <c r="H168" s="139"/>
      <c r="I168" s="86"/>
      <c r="J168" s="79">
        <f t="shared" si="930"/>
        <v>2.1360000000000001</v>
      </c>
    </row>
    <row r="169" spans="5:16" x14ac:dyDescent="0.25">
      <c r="E169" s="170">
        <f t="shared" si="929"/>
        <v>-0.23602476769384229</v>
      </c>
      <c r="F169" s="170">
        <f t="shared" si="929"/>
        <v>-0.97174703963276932</v>
      </c>
      <c r="G169" s="170">
        <f t="shared" si="929"/>
        <v>-1.3008419243413466E-7</v>
      </c>
      <c r="H169" s="139"/>
      <c r="I169" s="86"/>
      <c r="J169" s="79">
        <f t="shared" si="930"/>
        <v>2.1419999999999999</v>
      </c>
    </row>
    <row r="170" spans="5:16" x14ac:dyDescent="0.25">
      <c r="E170" s="170">
        <f t="shared" si="929"/>
        <v>-0.90285898227846795</v>
      </c>
      <c r="F170" s="170">
        <f t="shared" si="929"/>
        <v>-7.8989477065584263E-2</v>
      </c>
      <c r="G170" s="170">
        <f t="shared" si="929"/>
        <v>-0.42261841019055801</v>
      </c>
      <c r="H170" s="139"/>
      <c r="I170" s="86"/>
      <c r="J170" s="79">
        <f t="shared" si="930"/>
        <v>2.3359999999999999</v>
      </c>
    </row>
    <row r="171" spans="5:16" x14ac:dyDescent="0.25">
      <c r="E171" s="170">
        <f t="shared" si="929"/>
        <v>-0.49916002344389954</v>
      </c>
      <c r="F171" s="170">
        <f t="shared" si="929"/>
        <v>-0.82966215254342957</v>
      </c>
      <c r="G171" s="170">
        <f t="shared" si="929"/>
        <v>-0.24999996726497567</v>
      </c>
      <c r="H171" s="139"/>
      <c r="I171" s="86"/>
      <c r="J171" s="79">
        <f t="shared" si="930"/>
        <v>3.1030000000000002</v>
      </c>
    </row>
    <row r="172" spans="5:16" x14ac:dyDescent="0.25">
      <c r="E172" s="170">
        <f t="shared" si="929"/>
        <v>-0.49916002344389959</v>
      </c>
      <c r="F172" s="170">
        <f t="shared" si="929"/>
        <v>-0.82966215254342957</v>
      </c>
      <c r="G172" s="170">
        <f t="shared" si="929"/>
        <v>-0.2499999672649757</v>
      </c>
      <c r="H172" s="139"/>
      <c r="I172" s="86"/>
      <c r="J172" s="79">
        <f t="shared" si="930"/>
        <v>3.1059999999999999</v>
      </c>
    </row>
    <row r="173" spans="5:16" x14ac:dyDescent="0.25">
      <c r="E173" s="170">
        <f t="shared" si="929"/>
        <v>-0.53145547589701669</v>
      </c>
      <c r="F173" s="170">
        <f t="shared" si="929"/>
        <v>-0.80654135120354331</v>
      </c>
      <c r="G173" s="170">
        <f t="shared" si="929"/>
        <v>-0.25893266680324106</v>
      </c>
      <c r="H173" s="139"/>
      <c r="I173" s="86"/>
      <c r="J173" s="79">
        <f t="shared" si="930"/>
        <v>3.1110000000000002</v>
      </c>
    </row>
    <row r="174" spans="5:16" x14ac:dyDescent="0.25">
      <c r="E174" s="170">
        <f t="shared" ref="E174:G193" si="933">E29*-1</f>
        <v>-0.63375253886044614</v>
      </c>
      <c r="F174" s="170">
        <f t="shared" si="933"/>
        <v>-0.7304946996879349</v>
      </c>
      <c r="G174" s="170">
        <f t="shared" si="933"/>
        <v>-0.25443115614203465</v>
      </c>
      <c r="H174" s="139"/>
      <c r="I174" s="86"/>
      <c r="J174" s="79">
        <f t="shared" si="930"/>
        <v>3.117</v>
      </c>
    </row>
    <row r="175" spans="5:16" x14ac:dyDescent="0.25">
      <c r="E175" s="170">
        <f t="shared" si="933"/>
        <v>-0.72425436135570476</v>
      </c>
      <c r="F175" s="170">
        <f t="shared" si="933"/>
        <v>-0.65756446681389502</v>
      </c>
      <c r="G175" s="170">
        <f t="shared" si="933"/>
        <v>-0.20752010033006008</v>
      </c>
      <c r="H175" s="139"/>
      <c r="I175" s="86"/>
      <c r="J175" s="79">
        <f t="shared" si="930"/>
        <v>3.1230000000000002</v>
      </c>
    </row>
    <row r="176" spans="5:16" x14ac:dyDescent="0.25">
      <c r="E176" s="170">
        <f t="shared" si="933"/>
        <v>-0.8169331026696357</v>
      </c>
      <c r="F176" s="170">
        <f t="shared" si="933"/>
        <v>-0.53827873212436539</v>
      </c>
      <c r="G176" s="170">
        <f t="shared" si="933"/>
        <v>-0.2070659612421808</v>
      </c>
      <c r="H176" s="139"/>
      <c r="I176" s="86"/>
      <c r="J176" s="79">
        <f t="shared" si="930"/>
        <v>3.129</v>
      </c>
    </row>
    <row r="177" spans="5:10" x14ac:dyDescent="0.25">
      <c r="E177" s="170">
        <f t="shared" si="933"/>
        <v>-0.89851283345405497</v>
      </c>
      <c r="F177" s="170">
        <f t="shared" si="933"/>
        <v>-0.41416679632691089</v>
      </c>
      <c r="G177" s="170">
        <f t="shared" si="933"/>
        <v>-0.1453979124288543</v>
      </c>
      <c r="H177" s="139"/>
      <c r="I177" s="86"/>
      <c r="J177" s="79">
        <f t="shared" si="930"/>
        <v>3.1349999999999998</v>
      </c>
    </row>
    <row r="178" spans="5:10" x14ac:dyDescent="0.25">
      <c r="E178" s="170">
        <f t="shared" si="933"/>
        <v>-0.95956996366389435</v>
      </c>
      <c r="F178" s="170">
        <f t="shared" si="933"/>
        <v>-0.28147022015491363</v>
      </c>
      <c r="G178" s="170">
        <f t="shared" si="933"/>
        <v>-1.3008419205628587E-7</v>
      </c>
      <c r="H178" s="139"/>
      <c r="I178" s="86"/>
      <c r="J178" s="79">
        <f t="shared" si="930"/>
        <v>3.141</v>
      </c>
    </row>
    <row r="179" spans="5:10" x14ac:dyDescent="0.25">
      <c r="E179" s="170">
        <f t="shared" si="933"/>
        <v>-0.51983649715864266</v>
      </c>
      <c r="F179" s="170">
        <f t="shared" si="933"/>
        <v>0.74240399755782405</v>
      </c>
      <c r="G179" s="170">
        <f t="shared" si="933"/>
        <v>-0.42261841019055812</v>
      </c>
      <c r="H179" s="139"/>
      <c r="I179" s="86"/>
      <c r="J179" s="79">
        <f t="shared" si="930"/>
        <v>3.335</v>
      </c>
    </row>
    <row r="180" spans="5:10" x14ac:dyDescent="0.25">
      <c r="E180" s="170">
        <f t="shared" si="933"/>
        <v>-0.95700079951741845</v>
      </c>
      <c r="F180" s="170">
        <f t="shared" si="933"/>
        <v>0.13361631612281516</v>
      </c>
      <c r="G180" s="170">
        <f t="shared" si="933"/>
        <v>-0.25748038719248056</v>
      </c>
      <c r="H180" s="139"/>
      <c r="I180" s="86"/>
      <c r="J180" s="79">
        <f t="shared" si="930"/>
        <v>4.1100000000000003</v>
      </c>
    </row>
    <row r="181" spans="5:10" x14ac:dyDescent="0.25">
      <c r="E181" s="170">
        <f t="shared" si="933"/>
        <v>-0.93443264765984124</v>
      </c>
      <c r="F181" s="170">
        <f t="shared" si="933"/>
        <v>0.24516711857683413</v>
      </c>
      <c r="G181" s="170">
        <f t="shared" si="933"/>
        <v>-0.25831901005569008</v>
      </c>
      <c r="H181" s="139"/>
      <c r="I181" s="86"/>
      <c r="J181" s="79">
        <f t="shared" si="930"/>
        <v>4.1159999999999997</v>
      </c>
    </row>
    <row r="182" spans="5:10" x14ac:dyDescent="0.25">
      <c r="E182" s="170">
        <f t="shared" si="933"/>
        <v>-0.90658244907436103</v>
      </c>
      <c r="F182" s="170">
        <f t="shared" si="933"/>
        <v>0.36144236597113144</v>
      </c>
      <c r="G182" s="170">
        <f t="shared" si="933"/>
        <v>-0.21787078535573418</v>
      </c>
      <c r="H182" s="139"/>
      <c r="I182" s="86"/>
      <c r="J182" s="79">
        <f t="shared" si="930"/>
        <v>4.1219999999999999</v>
      </c>
    </row>
    <row r="183" spans="5:10" x14ac:dyDescent="0.25">
      <c r="E183" s="170">
        <f t="shared" si="933"/>
        <v>-0.84551678712036649</v>
      </c>
      <c r="F183" s="170">
        <f t="shared" si="933"/>
        <v>0.490312002750451</v>
      </c>
      <c r="G183" s="170">
        <f t="shared" si="933"/>
        <v>-0.21141310899869648</v>
      </c>
      <c r="H183" s="139"/>
      <c r="I183" s="86"/>
      <c r="J183" s="79">
        <f t="shared" si="930"/>
        <v>4.1280000000000001</v>
      </c>
    </row>
    <row r="184" spans="5:10" x14ac:dyDescent="0.25">
      <c r="E184" s="170">
        <f t="shared" si="933"/>
        <v>-0.76825884513969822</v>
      </c>
      <c r="F184" s="170">
        <f t="shared" si="933"/>
        <v>0.61985579144105696</v>
      </c>
      <c r="G184" s="170">
        <f t="shared" si="933"/>
        <v>-0.15986602103511008</v>
      </c>
      <c r="H184" s="139"/>
      <c r="I184" s="86"/>
      <c r="J184" s="79">
        <f t="shared" si="930"/>
        <v>4.1340000000000003</v>
      </c>
    </row>
    <row r="185" spans="5:10" x14ac:dyDescent="0.25">
      <c r="E185" s="170">
        <f t="shared" si="933"/>
        <v>-0.6606305653712703</v>
      </c>
      <c r="F185" s="170">
        <f t="shared" si="933"/>
        <v>0.75071116689257988</v>
      </c>
      <c r="G185" s="170">
        <f t="shared" si="933"/>
        <v>-1.3008419211235137E-7</v>
      </c>
      <c r="H185" s="139"/>
      <c r="I185" s="86"/>
      <c r="J185" s="79">
        <f t="shared" si="930"/>
        <v>4.1399999999999997</v>
      </c>
    </row>
    <row r="186" spans="5:10" x14ac:dyDescent="0.25">
      <c r="E186" s="170">
        <f t="shared" si="933"/>
        <v>0.45315399873390083</v>
      </c>
      <c r="F186" s="170">
        <f t="shared" si="933"/>
        <v>0.78488542654293247</v>
      </c>
      <c r="G186" s="170">
        <f t="shared" si="933"/>
        <v>-0.42261841019055818</v>
      </c>
      <c r="H186" s="139"/>
      <c r="I186" s="86"/>
      <c r="J186" s="79">
        <f t="shared" si="930"/>
        <v>4.3339999999999996</v>
      </c>
    </row>
    <row r="187" spans="5:10" x14ac:dyDescent="0.25">
      <c r="E187" s="170">
        <f t="shared" si="933"/>
        <v>-0.4773585787533558</v>
      </c>
      <c r="F187" s="170">
        <f t="shared" si="933"/>
        <v>0.81424017475268073</v>
      </c>
      <c r="G187" s="170">
        <f t="shared" si="933"/>
        <v>-0.33036604714967338</v>
      </c>
      <c r="H187" s="139"/>
      <c r="I187" s="86"/>
      <c r="J187" s="79">
        <f t="shared" si="930"/>
        <v>5.1020000000000003</v>
      </c>
    </row>
    <row r="188" spans="5:10" x14ac:dyDescent="0.25">
      <c r="E188" s="170">
        <f t="shared" si="933"/>
        <v>-0.46892874510133481</v>
      </c>
      <c r="F188" s="170">
        <f t="shared" si="933"/>
        <v>0.84711619532694482</v>
      </c>
      <c r="G188" s="170">
        <f t="shared" si="933"/>
        <v>-0.24999996726497567</v>
      </c>
      <c r="H188" s="139"/>
      <c r="I188" s="86"/>
      <c r="J188" s="79">
        <f t="shared" si="930"/>
        <v>5.1050000000000004</v>
      </c>
    </row>
    <row r="189" spans="5:10" x14ac:dyDescent="0.25">
      <c r="E189" s="170">
        <f t="shared" si="933"/>
        <v>-0.44614823960814265</v>
      </c>
      <c r="F189" s="170">
        <f t="shared" si="933"/>
        <v>0.85757779842374404</v>
      </c>
      <c r="G189" s="170">
        <f t="shared" si="933"/>
        <v>-0.2559532534374972</v>
      </c>
      <c r="H189" s="139"/>
      <c r="I189" s="86"/>
      <c r="J189" s="79">
        <f t="shared" si="930"/>
        <v>5.109</v>
      </c>
    </row>
    <row r="190" spans="5:10" x14ac:dyDescent="0.25">
      <c r="E190" s="170">
        <f t="shared" si="933"/>
        <v>-0.35798410259827884</v>
      </c>
      <c r="F190" s="170">
        <f t="shared" si="933"/>
        <v>0.89634233355169657</v>
      </c>
      <c r="G190" s="170">
        <f t="shared" si="933"/>
        <v>-0.26156797084124084</v>
      </c>
      <c r="H190" s="139"/>
      <c r="I190" s="86"/>
      <c r="J190" s="79">
        <f t="shared" si="930"/>
        <v>5.1150000000000002</v>
      </c>
    </row>
    <row r="191" spans="5:10" x14ac:dyDescent="0.25">
      <c r="E191" s="170">
        <f t="shared" si="933"/>
        <v>-0.24126734948759954</v>
      </c>
      <c r="F191" s="170">
        <f t="shared" si="933"/>
        <v>0.94346028616390165</v>
      </c>
      <c r="G191" s="170">
        <f t="shared" si="933"/>
        <v>-0.22731641934263658</v>
      </c>
      <c r="H191" s="139"/>
      <c r="I191" s="86"/>
      <c r="J191" s="79">
        <f t="shared" si="930"/>
        <v>5.1210000000000004</v>
      </c>
    </row>
    <row r="192" spans="5:10" x14ac:dyDescent="0.25">
      <c r="E192" s="170">
        <f t="shared" si="933"/>
        <v>-0.10884466904881022</v>
      </c>
      <c r="F192" s="170">
        <f t="shared" si="933"/>
        <v>0.97075447688320271</v>
      </c>
      <c r="G192" s="170">
        <f t="shared" si="933"/>
        <v>-0.21398267133315843</v>
      </c>
      <c r="H192" s="139"/>
      <c r="I192" s="86"/>
      <c r="J192" s="79">
        <f t="shared" si="930"/>
        <v>5.1269999999999998</v>
      </c>
    </row>
    <row r="193" spans="5:10" x14ac:dyDescent="0.25">
      <c r="E193" s="170">
        <f t="shared" si="933"/>
        <v>4.2994156322608834E-2</v>
      </c>
      <c r="F193" s="170">
        <f t="shared" si="933"/>
        <v>0.98404911168250087</v>
      </c>
      <c r="G193" s="170">
        <f t="shared" si="933"/>
        <v>-0.17262342922960361</v>
      </c>
      <c r="H193" s="139"/>
      <c r="I193" s="86"/>
      <c r="J193" s="79">
        <f t="shared" si="930"/>
        <v>5.133</v>
      </c>
    </row>
    <row r="194" spans="5:10" x14ac:dyDescent="0.25">
      <c r="E194" s="170">
        <f t="shared" ref="E194:G213" si="934">E49*-1</f>
        <v>0.23602432691927955</v>
      </c>
      <c r="F194" s="170">
        <f t="shared" si="934"/>
        <v>0.97174714669109485</v>
      </c>
      <c r="G194" s="170">
        <f t="shared" si="934"/>
        <v>-1.3008419228134766E-7</v>
      </c>
      <c r="H194" s="139"/>
      <c r="I194" s="86"/>
      <c r="J194" s="79">
        <f t="shared" si="930"/>
        <v>5.1390000000000002</v>
      </c>
    </row>
    <row r="195" spans="5:10" x14ac:dyDescent="0.25">
      <c r="E195" s="170">
        <f t="shared" si="934"/>
        <v>0.90285894644955478</v>
      </c>
      <c r="F195" s="170">
        <f t="shared" si="934"/>
        <v>7.8989886593195099E-2</v>
      </c>
      <c r="G195" s="170">
        <f t="shared" si="934"/>
        <v>-0.4226184101905574</v>
      </c>
      <c r="H195" s="139"/>
      <c r="I195" s="86"/>
      <c r="J195" s="79">
        <f t="shared" si="930"/>
        <v>5.3330000000000002</v>
      </c>
    </row>
    <row r="196" spans="5:10" x14ac:dyDescent="0.25">
      <c r="E196" s="170">
        <f t="shared" si="934"/>
        <v>0.57724581426887389</v>
      </c>
      <c r="F196" s="170">
        <f t="shared" si="934"/>
        <v>0.77305962637615433</v>
      </c>
      <c r="G196" s="170">
        <f t="shared" si="934"/>
        <v>-0.26299445617013578</v>
      </c>
      <c r="H196" s="139"/>
      <c r="I196" s="86"/>
      <c r="J196" s="79">
        <f t="shared" si="930"/>
        <v>6.1139999999999999</v>
      </c>
    </row>
    <row r="197" spans="5:10" x14ac:dyDescent="0.25">
      <c r="E197" s="170">
        <f t="shared" si="934"/>
        <v>0.68153505282985394</v>
      </c>
      <c r="F197" s="170">
        <f t="shared" si="934"/>
        <v>0.6927791941184307</v>
      </c>
      <c r="G197" s="170">
        <f t="shared" si="934"/>
        <v>-0.23572645155099992</v>
      </c>
      <c r="H197" s="139"/>
      <c r="I197" s="86"/>
      <c r="J197" s="79">
        <f t="shared" si="930"/>
        <v>6.12</v>
      </c>
    </row>
    <row r="198" spans="5:10" x14ac:dyDescent="0.25">
      <c r="E198" s="170">
        <f t="shared" si="934"/>
        <v>0.77073082476092192</v>
      </c>
      <c r="F198" s="170">
        <f t="shared" si="934"/>
        <v>0.59984568661373061</v>
      </c>
      <c r="G198" s="170">
        <f t="shared" si="934"/>
        <v>-0.21484680126604419</v>
      </c>
      <c r="H198" s="139"/>
      <c r="I198" s="86"/>
      <c r="J198" s="79">
        <f t="shared" si="930"/>
        <v>6.1260000000000003</v>
      </c>
    </row>
    <row r="199" spans="5:10" x14ac:dyDescent="0.25">
      <c r="E199" s="170">
        <f t="shared" si="934"/>
        <v>0.86028081520591482</v>
      </c>
      <c r="F199" s="170">
        <f t="shared" si="934"/>
        <v>0.47553122274654691</v>
      </c>
      <c r="G199" s="170">
        <f t="shared" si="934"/>
        <v>-0.18381233685969192</v>
      </c>
      <c r="H199" s="139"/>
      <c r="I199" s="86"/>
      <c r="J199" s="79">
        <f t="shared" si="930"/>
        <v>6.1319999999999997</v>
      </c>
    </row>
    <row r="200" spans="5:10" x14ac:dyDescent="0.25">
      <c r="E200" s="170">
        <f t="shared" si="934"/>
        <v>0.92962520192506726</v>
      </c>
      <c r="F200" s="170">
        <f t="shared" si="934"/>
        <v>0.35660801953811316</v>
      </c>
      <c r="G200" s="170">
        <f t="shared" si="934"/>
        <v>-9.2885436678107877E-2</v>
      </c>
      <c r="H200" s="139"/>
      <c r="I200" s="86"/>
      <c r="J200" s="79">
        <f t="shared" si="930"/>
        <v>6.1379999999999999</v>
      </c>
    </row>
    <row r="201" spans="5:10" x14ac:dyDescent="0.25">
      <c r="E201" s="170">
        <f t="shared" si="934"/>
        <v>0.95956983599177692</v>
      </c>
      <c r="F201" s="170">
        <f t="shared" si="934"/>
        <v>0.28147065540602573</v>
      </c>
      <c r="G201" s="170">
        <f t="shared" si="934"/>
        <v>-1.3008419263447262E-7</v>
      </c>
      <c r="H201" s="139"/>
      <c r="I201" s="86"/>
      <c r="J201" s="79">
        <f t="shared" si="930"/>
        <v>6.1440000000000001</v>
      </c>
    </row>
    <row r="202" spans="5:10" x14ac:dyDescent="0.25">
      <c r="E202" s="170">
        <f t="shared" si="934"/>
        <v>0.51983683390546498</v>
      </c>
      <c r="F202" s="170">
        <f t="shared" si="934"/>
        <v>-0.74240376176521872</v>
      </c>
      <c r="G202" s="170">
        <f t="shared" si="934"/>
        <v>-0.42261841019055785</v>
      </c>
      <c r="H202" s="139"/>
      <c r="I202" s="86"/>
      <c r="J202" s="79">
        <f t="shared" si="930"/>
        <v>6.3380000000000001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</mergeCells>
  <conditionalFormatting sqref="HI9:HI40 HM9:HM40 AV9:AV40 AV54:AV150 HM54:HM150 HI54:HI150 M9:M150">
    <cfRule type="cellIs" dxfId="40" priority="135" stopIfTrue="1" operator="between">
      <formula>9</formula>
      <formula>9.99</formula>
    </cfRule>
    <cfRule type="cellIs" dxfId="39" priority="136" stopIfTrue="1" operator="between">
      <formula>8</formula>
      <formula>8.99</formula>
    </cfRule>
    <cfRule type="cellIs" dxfId="38" priority="137" stopIfTrue="1" operator="between">
      <formula>7</formula>
      <formula>7.99</formula>
    </cfRule>
    <cfRule type="cellIs" dxfId="37" priority="138" stopIfTrue="1" operator="between">
      <formula>6</formula>
      <formula>6.99</formula>
    </cfRule>
    <cfRule type="cellIs" dxfId="36" priority="139" stopIfTrue="1" operator="between">
      <formula>5</formula>
      <formula>5.99</formula>
    </cfRule>
    <cfRule type="cellIs" dxfId="35" priority="140" stopIfTrue="1" operator="between">
      <formula>4</formula>
      <formula>4.99</formula>
    </cfRule>
    <cfRule type="cellIs" dxfId="34" priority="141" stopIfTrue="1" operator="between">
      <formula>3</formula>
      <formula>3.99</formula>
    </cfRule>
    <cfRule type="cellIs" dxfId="33" priority="142" stopIfTrue="1" operator="between">
      <formula>2</formula>
      <formula>2.99</formula>
    </cfRule>
    <cfRule type="cellIs" dxfId="32" priority="143" stopIfTrue="1" operator="between">
      <formula>1</formula>
      <formula>1.99</formula>
    </cfRule>
  </conditionalFormatting>
  <conditionalFormatting sqref="HN9:HN40 HN54:HN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1" priority="21" stopIfTrue="1" operator="between">
      <formula>9</formula>
      <formula>9.99</formula>
    </cfRule>
    <cfRule type="cellIs" dxfId="30" priority="22" stopIfTrue="1" operator="between">
      <formula>8</formula>
      <formula>8.99</formula>
    </cfRule>
    <cfRule type="cellIs" dxfId="29" priority="23" stopIfTrue="1" operator="between">
      <formula>7</formula>
      <formula>7.99</formula>
    </cfRule>
    <cfRule type="cellIs" dxfId="28" priority="24" stopIfTrue="1" operator="between">
      <formula>6</formula>
      <formula>6.99</formula>
    </cfRule>
    <cfRule type="cellIs" dxfId="27" priority="25" stopIfTrue="1" operator="between">
      <formula>5</formula>
      <formula>5.99</formula>
    </cfRule>
    <cfRule type="cellIs" dxfId="26" priority="26" stopIfTrue="1" operator="between">
      <formula>4</formula>
      <formula>4.99</formula>
    </cfRule>
    <cfRule type="cellIs" dxfId="25" priority="27" stopIfTrue="1" operator="between">
      <formula>3</formula>
      <formula>3.99</formula>
    </cfRule>
    <cfRule type="cellIs" dxfId="24" priority="28" stopIfTrue="1" operator="between">
      <formula>2</formula>
      <formula>2.99</formula>
    </cfRule>
    <cfRule type="cellIs" dxfId="23" priority="29" stopIfTrue="1" operator="between">
      <formula>1</formula>
      <formula>1.99</formula>
    </cfRule>
  </conditionalFormatting>
  <conditionalFormatting sqref="HN41:HN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">
    <cfRule type="cellIs" dxfId="22" priority="1" operator="equal">
      <formula>"Wrong CS"</formula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30" t="str">
        <f>CONCATENATE(Settings!$C$19," ",Settings!$B$28)</f>
        <v>12.25  Job# --- Assy# --- Post Braze --- yy.mm.dd</v>
      </c>
      <c r="D1" s="1230"/>
      <c r="E1" s="1230"/>
      <c r="F1" s="1230"/>
      <c r="G1" s="1230"/>
      <c r="H1" s="1230"/>
      <c r="I1" s="1230"/>
      <c r="J1" s="1230"/>
      <c r="K1" s="1230"/>
      <c r="M1" s="107" t="s">
        <v>319</v>
      </c>
      <c r="N1" s="1262" t="s">
        <v>321</v>
      </c>
      <c r="O1" s="1262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71" t="str">
        <f>Settings!B28</f>
        <v xml:space="preserve"> Job# --- Assy# --- Post Braze --- yy.mm.dd</v>
      </c>
      <c r="C2" s="1272"/>
      <c r="D2" s="1272"/>
      <c r="E2" s="1272"/>
      <c r="F2" s="1272"/>
      <c r="G2" s="1272"/>
      <c r="H2" s="1272"/>
      <c r="I2" s="1272"/>
      <c r="J2" s="1272"/>
      <c r="K2" s="1273"/>
      <c r="L2" s="985" t="str" cm="1">
        <f t="array" ref="L2">IF(OR($K$9:$K$150="Undefined"),"Undefined Element","")</f>
        <v/>
      </c>
      <c r="M2" s="1268" t="s">
        <v>0</v>
      </c>
      <c r="N2" s="1143" t="s">
        <v>1</v>
      </c>
      <c r="O2" s="1144"/>
      <c r="P2" s="1144"/>
      <c r="Q2" s="1144"/>
      <c r="R2" s="1144"/>
      <c r="S2" s="1144"/>
      <c r="T2" s="1144"/>
      <c r="U2" s="1144"/>
      <c r="V2" s="1144"/>
      <c r="W2" s="1144"/>
      <c r="X2" s="1144"/>
      <c r="Y2" s="1156"/>
      <c r="Z2" s="1143" t="s">
        <v>2</v>
      </c>
      <c r="AA2" s="1144"/>
      <c r="AB2" s="1144"/>
      <c r="AC2" s="1144"/>
      <c r="AD2" s="1144"/>
      <c r="AE2" s="1144"/>
      <c r="AF2" s="1144"/>
      <c r="AG2" s="1144"/>
      <c r="AH2" s="1144"/>
      <c r="AI2" s="1144"/>
      <c r="AJ2" s="1144"/>
      <c r="AK2" s="1144"/>
      <c r="AL2" s="1144"/>
      <c r="AM2" s="1144"/>
      <c r="AN2" s="1144"/>
      <c r="AO2" s="1144"/>
      <c r="AP2" s="1144"/>
      <c r="AQ2" s="1145"/>
      <c r="AS2" s="1206" t="s">
        <v>44</v>
      </c>
      <c r="AT2" s="1207"/>
      <c r="AV2" s="1284" t="str">
        <f>M2</f>
        <v>CS-Name</v>
      </c>
      <c r="AW2" s="1298"/>
      <c r="AX2" s="1298"/>
      <c r="AY2" s="1298"/>
      <c r="AZ2" s="1298"/>
      <c r="BA2" s="1298"/>
      <c r="BB2" s="1298"/>
      <c r="BC2" s="1299"/>
      <c r="BF2" s="1291" t="s">
        <v>322</v>
      </c>
      <c r="BG2" s="1292"/>
      <c r="BH2" s="1292"/>
      <c r="BI2" s="1292"/>
      <c r="BJ2" s="1292"/>
      <c r="BK2" s="1293"/>
      <c r="BM2" s="1308" t="s">
        <v>279</v>
      </c>
      <c r="BN2" s="1224"/>
      <c r="BO2" s="1224"/>
      <c r="BP2" s="1225"/>
      <c r="BR2" s="1308" t="s">
        <v>279</v>
      </c>
      <c r="BS2" s="1224"/>
      <c r="BT2" s="1224"/>
      <c r="BU2" s="1225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5"/>
      <c r="C3" s="1236"/>
      <c r="D3" s="1236"/>
      <c r="E3" s="1236"/>
      <c r="F3" s="1236"/>
      <c r="G3" s="1236"/>
      <c r="H3" s="1236"/>
      <c r="I3" s="1236"/>
      <c r="J3" s="1236"/>
      <c r="K3" s="1237"/>
      <c r="L3" s="985"/>
      <c r="M3" s="1269"/>
      <c r="N3" s="1146"/>
      <c r="O3" s="1147"/>
      <c r="P3" s="1147"/>
      <c r="Q3" s="1147"/>
      <c r="R3" s="1147"/>
      <c r="S3" s="1147"/>
      <c r="T3" s="1147"/>
      <c r="U3" s="1147"/>
      <c r="V3" s="1147"/>
      <c r="W3" s="1147"/>
      <c r="X3" s="1147"/>
      <c r="Y3" s="1203"/>
      <c r="Z3" s="1049"/>
      <c r="AA3" s="1050"/>
      <c r="AB3" s="1050"/>
      <c r="AC3" s="1050"/>
      <c r="AD3" s="1050"/>
      <c r="AE3" s="1050"/>
      <c r="AF3" s="1050"/>
      <c r="AG3" s="1050"/>
      <c r="AH3" s="1050"/>
      <c r="AI3" s="1050"/>
      <c r="AJ3" s="1050"/>
      <c r="AK3" s="1050"/>
      <c r="AL3" s="1050"/>
      <c r="AM3" s="1050"/>
      <c r="AN3" s="1050"/>
      <c r="AO3" s="1050"/>
      <c r="AP3" s="1050"/>
      <c r="AQ3" s="1164"/>
      <c r="AS3" s="466">
        <v>100</v>
      </c>
      <c r="AT3" s="463" t="s">
        <v>45</v>
      </c>
      <c r="AV3" s="1285"/>
      <c r="AW3" s="1300"/>
      <c r="AX3" s="1300"/>
      <c r="AY3" s="1300"/>
      <c r="AZ3" s="1300"/>
      <c r="BA3" s="1300"/>
      <c r="BB3" s="1300"/>
      <c r="BC3" s="130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4"/>
      <c r="D4" s="914"/>
      <c r="E4" s="914"/>
      <c r="F4" s="914"/>
      <c r="G4" s="914"/>
      <c r="H4" s="914"/>
      <c r="I4" s="914"/>
      <c r="J4" s="914"/>
      <c r="K4" s="1274"/>
      <c r="L4" s="985"/>
      <c r="M4" s="1269"/>
      <c r="N4" s="1187" t="s">
        <v>3</v>
      </c>
      <c r="O4" s="1185"/>
      <c r="P4" s="1185"/>
      <c r="Q4" s="1184" t="s">
        <v>4</v>
      </c>
      <c r="R4" s="1185"/>
      <c r="S4" s="1186"/>
      <c r="T4" s="1259" t="str">
        <f>N4</f>
        <v>Cartesian Coordinates</v>
      </c>
      <c r="U4" s="1168"/>
      <c r="V4" s="1260"/>
      <c r="W4" s="1168" t="str">
        <f>Q4</f>
        <v>Polar XY; Cartesian Z</v>
      </c>
      <c r="X4" s="1168"/>
      <c r="Y4" s="1234"/>
      <c r="Z4" s="1264" t="s">
        <v>3</v>
      </c>
      <c r="AA4" s="1265"/>
      <c r="AB4" s="1265"/>
      <c r="AC4" s="1265"/>
      <c r="AD4" s="1265"/>
      <c r="AE4" s="1265"/>
      <c r="AF4" s="1265"/>
      <c r="AG4" s="1304" t="s">
        <v>31</v>
      </c>
      <c r="AH4" s="1265"/>
      <c r="AI4" s="1265"/>
      <c r="AJ4" s="1305"/>
      <c r="AK4" s="1311" t="s">
        <v>32</v>
      </c>
      <c r="AL4" s="1312"/>
      <c r="AM4" s="1312"/>
      <c r="AN4" s="1312"/>
      <c r="AO4" s="1312"/>
      <c r="AP4" s="1312"/>
      <c r="AQ4" s="1313"/>
      <c r="AS4" s="467">
        <v>125</v>
      </c>
      <c r="AT4" s="464" t="s">
        <v>46</v>
      </c>
      <c r="AV4" s="1285"/>
      <c r="AW4" s="1302"/>
      <c r="AX4" s="1302"/>
      <c r="AY4" s="1302"/>
      <c r="AZ4" s="1303"/>
      <c r="BA4" s="1302" t="str">
        <f>Z2</f>
        <v>PDC Orientation</v>
      </c>
      <c r="BB4" s="1302"/>
      <c r="BC4" s="130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901" t="s">
        <v>381</v>
      </c>
      <c r="IF4" s="901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5" t="str">
        <f>CONCATENATE(B7," ; ",E7," ; ",H8)</f>
        <v>Absolute-Point ; Incremental-Vector Point ; Radius</v>
      </c>
      <c r="C5" s="1236"/>
      <c r="D5" s="1236"/>
      <c r="E5" s="1236"/>
      <c r="F5" s="1236"/>
      <c r="G5" s="1236"/>
      <c r="H5" s="1236"/>
      <c r="I5" s="1236"/>
      <c r="J5" s="1236"/>
      <c r="K5" s="1237"/>
      <c r="L5" s="843"/>
      <c r="M5" s="1269"/>
      <c r="N5" s="1192" t="s">
        <v>5</v>
      </c>
      <c r="O5" s="1153"/>
      <c r="P5" s="1153"/>
      <c r="Q5" s="1220" t="s">
        <v>6</v>
      </c>
      <c r="R5" s="1153"/>
      <c r="S5" s="1154"/>
      <c r="T5" s="1137" t="str">
        <f>CONCATENATE("Relative to ",M8,"'s θ &amp; Z; Z Axis")</f>
        <v>Relative to 's θ &amp; Z; Z Axis</v>
      </c>
      <c r="U5" s="1138"/>
      <c r="V5" s="1139"/>
      <c r="W5" s="1138" t="str">
        <f>CONCATENATE("Relative to ",M8,"'s θ &amp; Z; Z Axis")</f>
        <v>Relative to 's θ &amp; Z; Z Axis</v>
      </c>
      <c r="X5" s="1138"/>
      <c r="Y5" s="1261"/>
      <c r="Z5" s="1251" t="str">
        <f>N5</f>
        <v>Relative to World_CS</v>
      </c>
      <c r="AA5" s="1138"/>
      <c r="AB5" s="1138"/>
      <c r="AC5" s="1138"/>
      <c r="AD5" s="1138"/>
      <c r="AE5" s="1138"/>
      <c r="AF5" s="1138"/>
      <c r="AG5" s="1137" t="str">
        <f>N5</f>
        <v>Relative to World_CS</v>
      </c>
      <c r="AH5" s="1138"/>
      <c r="AI5" s="1138"/>
      <c r="AJ5" s="1175"/>
      <c r="AK5" s="1152" t="s">
        <v>7</v>
      </c>
      <c r="AL5" s="1153"/>
      <c r="AM5" s="1153"/>
      <c r="AN5" s="1153"/>
      <c r="AO5" s="1153"/>
      <c r="AP5" s="1153"/>
      <c r="AQ5" s="1154"/>
      <c r="AS5" s="171">
        <f>(((AS4*12)/60)/AS3)</f>
        <v>0.25</v>
      </c>
      <c r="AT5" s="464" t="s">
        <v>47</v>
      </c>
      <c r="AV5" s="1285"/>
      <c r="AW5" s="1259" t="str">
        <f>W4</f>
        <v>Polar XY; Cartesian Z</v>
      </c>
      <c r="AX5" s="1168"/>
      <c r="AY5" s="1168"/>
      <c r="AZ5" s="986" t="s">
        <v>104</v>
      </c>
      <c r="BA5" s="1168" t="str">
        <f>AK4</f>
        <v>Polar Z Projection → XZ Plane</v>
      </c>
      <c r="BB5" s="1168"/>
      <c r="BC5" s="1169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8"/>
      <c r="C6" s="1239"/>
      <c r="D6" s="1239"/>
      <c r="E6" s="1239"/>
      <c r="F6" s="1239"/>
      <c r="G6" s="1239"/>
      <c r="H6" s="1239"/>
      <c r="I6" s="1239"/>
      <c r="J6" s="1239"/>
      <c r="K6" s="1240"/>
      <c r="L6" s="985" t="str" cm="1">
        <f t="array" ref="L6">IF(OR($K$9:$K$150="Inactive"),"Inactive Element","")</f>
        <v/>
      </c>
      <c r="M6" s="1269"/>
      <c r="N6" s="1188" t="s">
        <v>8</v>
      </c>
      <c r="O6" s="1190" t="s">
        <v>9</v>
      </c>
      <c r="P6" s="1218" t="s">
        <v>10</v>
      </c>
      <c r="Q6" s="1193" t="s">
        <v>11</v>
      </c>
      <c r="R6" s="1194"/>
      <c r="S6" s="1181" t="s">
        <v>10</v>
      </c>
      <c r="T6" s="1214" t="str">
        <f>N6</f>
        <v>X</v>
      </c>
      <c r="U6" s="1216" t="str">
        <f>O6</f>
        <v>Y</v>
      </c>
      <c r="V6" s="1257" t="str">
        <f>P6</f>
        <v>Z</v>
      </c>
      <c r="W6" s="1170" t="str">
        <f>Q6</f>
        <v>Projected XY</v>
      </c>
      <c r="X6" s="1171"/>
      <c r="Y6" s="1212" t="str">
        <f>S6</f>
        <v>Z</v>
      </c>
      <c r="Z6" s="1198" t="s">
        <v>12</v>
      </c>
      <c r="AA6" s="1199"/>
      <c r="AB6" s="1199"/>
      <c r="AC6" s="1200"/>
      <c r="AD6" s="1184" t="s">
        <v>13</v>
      </c>
      <c r="AE6" s="1185"/>
      <c r="AF6" s="1185"/>
      <c r="AG6" s="1197" t="s">
        <v>7</v>
      </c>
      <c r="AH6" s="1185"/>
      <c r="AI6" s="1184" t="s">
        <v>14</v>
      </c>
      <c r="AJ6" s="1186"/>
      <c r="AK6" s="1259" t="str">
        <f>AD6</f>
        <v>Unit Vector</v>
      </c>
      <c r="AL6" s="1168"/>
      <c r="AM6" s="1169"/>
      <c r="AN6" s="34" t="s">
        <v>15</v>
      </c>
      <c r="AO6" s="35" t="s">
        <v>16</v>
      </c>
      <c r="AP6" s="737" t="s">
        <v>17</v>
      </c>
      <c r="AQ6" s="1266" t="s">
        <v>108</v>
      </c>
      <c r="AS6" s="172">
        <f>(AS5/360)</f>
        <v>6.9444444444444447E-4</v>
      </c>
      <c r="AT6" s="465" t="s">
        <v>48</v>
      </c>
      <c r="AV6" s="1285"/>
      <c r="AW6" s="1137" t="str">
        <f>W5</f>
        <v>Relative to 's θ &amp; Z; Z Axis</v>
      </c>
      <c r="AX6" s="1138"/>
      <c r="AY6" s="1138"/>
      <c r="AZ6" s="1281"/>
      <c r="BA6" s="1138" t="str">
        <f>AK5</f>
        <v>Vector Along X Axis</v>
      </c>
      <c r="BB6" s="1138"/>
      <c r="BC6" s="1175"/>
      <c r="BD6" s="468"/>
      <c r="BF6" s="461">
        <f>SUM(AZ9:AZ150)</f>
        <v>0</v>
      </c>
      <c r="BG6" s="1263" t="s">
        <v>318</v>
      </c>
      <c r="BH6" s="1263"/>
      <c r="BI6" s="1263"/>
      <c r="BJ6" s="1263"/>
      <c r="BK6" s="1263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52" t="s">
        <v>40</v>
      </c>
      <c r="C7" s="1253"/>
      <c r="D7" s="1254"/>
      <c r="E7" s="1255" t="s">
        <v>41</v>
      </c>
      <c r="F7" s="1253"/>
      <c r="G7" s="1256"/>
      <c r="H7" s="881" t="s">
        <v>314</v>
      </c>
      <c r="I7" s="879"/>
      <c r="J7" s="880"/>
      <c r="K7" s="539"/>
      <c r="L7" s="985"/>
      <c r="M7" s="1270"/>
      <c r="N7" s="1189"/>
      <c r="O7" s="1191"/>
      <c r="P7" s="1219"/>
      <c r="Q7" s="36" t="s">
        <v>18</v>
      </c>
      <c r="R7" s="2" t="s">
        <v>19</v>
      </c>
      <c r="S7" s="1182"/>
      <c r="T7" s="1215"/>
      <c r="U7" s="1217"/>
      <c r="V7" s="1258"/>
      <c r="W7" s="37" t="str">
        <f>Q7</f>
        <v>&lt; θ°</v>
      </c>
      <c r="X7" s="27" t="str">
        <f>R7</f>
        <v>r</v>
      </c>
      <c r="Y7" s="1213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7"/>
      <c r="AS7" s="1306" t="s">
        <v>54</v>
      </c>
      <c r="AT7" s="1309" t="s">
        <v>53</v>
      </c>
      <c r="AV7" s="1285"/>
      <c r="AW7" s="1280" t="str">
        <f>$W$6</f>
        <v>Projected XY</v>
      </c>
      <c r="AX7" s="1171"/>
      <c r="AY7" s="1282" t="str">
        <f>$Y$6</f>
        <v>Z</v>
      </c>
      <c r="AZ7" s="1281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3"/>
      <c r="BH7" s="1263"/>
      <c r="BI7" s="1263"/>
      <c r="BJ7" s="1263"/>
      <c r="BK7" s="1263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7" t="s">
        <v>33</v>
      </c>
      <c r="IH7" s="977" t="s">
        <v>385</v>
      </c>
      <c r="II7" s="883" t="s">
        <v>333</v>
      </c>
      <c r="IJ7" s="884"/>
      <c r="IK7" s="884"/>
      <c r="IL7" s="879"/>
      <c r="IM7" s="879"/>
      <c r="IN7" s="879"/>
      <c r="IO7" s="880"/>
      <c r="IP7" s="881" t="s">
        <v>329</v>
      </c>
      <c r="IQ7" s="879"/>
      <c r="IR7" s="879"/>
      <c r="IS7" s="879"/>
      <c r="IT7" s="879"/>
      <c r="IU7" s="881" t="s">
        <v>328</v>
      </c>
      <c r="IV7" s="879"/>
      <c r="IW7" s="879"/>
      <c r="IX7" s="879"/>
      <c r="IY7" s="880"/>
      <c r="JA7" s="784"/>
      <c r="JB7" s="1314" t="s">
        <v>364</v>
      </c>
      <c r="JC7" s="1221"/>
      <c r="JD7" s="1221"/>
      <c r="JE7" s="1222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7"/>
      <c r="AT8" s="1310"/>
      <c r="AV8" s="1286"/>
      <c r="AW8" s="46" t="str">
        <f>$W$7</f>
        <v>&lt; θ°</v>
      </c>
      <c r="AX8" s="27" t="str">
        <f>$X$7</f>
        <v>r</v>
      </c>
      <c r="AY8" s="1283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3" t="s">
        <v>365</v>
      </c>
      <c r="JC19" s="1224"/>
      <c r="JD19" s="1224"/>
      <c r="JE19" s="1224"/>
      <c r="JF19" s="1224"/>
      <c r="JG19" s="1224"/>
      <c r="JH19" s="1224"/>
      <c r="JI19" s="1225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6" t="s">
        <v>369</v>
      </c>
      <c r="JC20" s="1227"/>
      <c r="JD20" s="1227"/>
      <c r="JE20" s="1227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8" t="s">
        <v>371</v>
      </c>
      <c r="JI21" s="1229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8" t="str">
        <f>$W$6</f>
        <v>Projected XY</v>
      </c>
      <c r="AX152" s="1279"/>
      <c r="AY152" s="1296" t="str">
        <f>$Y$6</f>
        <v>Z</v>
      </c>
      <c r="AZ152" s="129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7"/>
      <c r="AZ153" s="129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41" t="s">
        <v>42</v>
      </c>
      <c r="C157" s="1242"/>
      <c r="D157" s="1242"/>
      <c r="E157" s="1242"/>
      <c r="F157" s="1242"/>
      <c r="G157" s="1242"/>
      <c r="H157" s="1242"/>
      <c r="I157" s="1242"/>
      <c r="J157" s="1242"/>
      <c r="K157" s="1243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4"/>
      <c r="C158" s="1199"/>
      <c r="D158" s="1199"/>
      <c r="E158" s="1199"/>
      <c r="F158" s="1199"/>
      <c r="G158" s="1199"/>
      <c r="H158" s="1199"/>
      <c r="I158" s="1199"/>
      <c r="J158" s="1199"/>
      <c r="K158" s="1245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6"/>
      <c r="C159" s="1247"/>
      <c r="D159" s="1247"/>
      <c r="E159" s="1247"/>
      <c r="F159" s="1247"/>
      <c r="G159" s="1247"/>
      <c r="H159" s="1247"/>
      <c r="I159" s="1247"/>
      <c r="J159" s="1247"/>
      <c r="K159" s="1248"/>
      <c r="AQ159" s="166"/>
      <c r="BD159" s="468"/>
    </row>
    <row r="160" spans="1:259" ht="15" customHeight="1" x14ac:dyDescent="0.25">
      <c r="B160" s="1235" t="str">
        <f>CONCATENATE(B162," ; ",E162," ; ",H163)</f>
        <v>Absolute-Point ; Incremental-Vector Point ; Radius</v>
      </c>
      <c r="C160" s="1236"/>
      <c r="D160" s="1236"/>
      <c r="E160" s="1236"/>
      <c r="F160" s="1236"/>
      <c r="G160" s="1236"/>
      <c r="H160" s="1236"/>
      <c r="I160" s="1236"/>
      <c r="J160" s="1236"/>
      <c r="K160" s="1237"/>
      <c r="AQ160" s="166"/>
      <c r="BD160" s="468"/>
    </row>
    <row r="161" spans="2:56" ht="15" customHeight="1" x14ac:dyDescent="0.25">
      <c r="B161" s="1238"/>
      <c r="C161" s="1239"/>
      <c r="D161" s="1239"/>
      <c r="E161" s="1239"/>
      <c r="F161" s="1239"/>
      <c r="G161" s="1239"/>
      <c r="H161" s="1239"/>
      <c r="I161" s="1239"/>
      <c r="J161" s="1239"/>
      <c r="K161" s="1240"/>
      <c r="AQ161" s="166"/>
      <c r="BD161" s="468"/>
    </row>
    <row r="162" spans="2:56" ht="15" customHeight="1" x14ac:dyDescent="0.25">
      <c r="B162" s="1252" t="s">
        <v>40</v>
      </c>
      <c r="C162" s="1253"/>
      <c r="D162" s="1254"/>
      <c r="E162" s="1255" t="s">
        <v>41</v>
      </c>
      <c r="F162" s="1253"/>
      <c r="G162" s="1256"/>
      <c r="H162" s="881" t="s">
        <v>314</v>
      </c>
      <c r="I162" s="879"/>
      <c r="J162" s="880"/>
      <c r="K162" s="539"/>
      <c r="M162" s="1027" t="s">
        <v>313</v>
      </c>
      <c r="N162" s="1275"/>
      <c r="O162" s="1287" t="s">
        <v>292</v>
      </c>
      <c r="P162" s="1288"/>
      <c r="Q162" s="1289"/>
      <c r="R162" s="1290" t="s">
        <v>41</v>
      </c>
      <c r="S162" s="1288"/>
      <c r="T162" s="128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6"/>
      <c r="N163" s="1277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1913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1913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1913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1913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1.119</v>
      </c>
      <c r="N168" s="869">
        <f>Assy.Model!K13</f>
        <v>1913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1.125</v>
      </c>
      <c r="N169" s="869">
        <f>Assy.Model!K14</f>
        <v>1913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1.131</v>
      </c>
      <c r="N170" s="869">
        <f>Assy.Model!K15</f>
        <v>1913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1.137</v>
      </c>
      <c r="N171" s="869">
        <f>Assy.Model!K16</f>
        <v>1913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1.143</v>
      </c>
      <c r="N172" s="869">
        <f>Assy.Model!K17</f>
        <v>1913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1.337</v>
      </c>
      <c r="N173" s="869" t="str">
        <f>Assy.Model!K18</f>
        <v>Inactive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2.1120000000000001</v>
      </c>
      <c r="N174" s="869">
        <f>Assy.Model!K19</f>
        <v>1913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2.1179999999999999</v>
      </c>
      <c r="N175" s="869">
        <f>Assy.Model!K20</f>
        <v>1913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2.1240000000000001</v>
      </c>
      <c r="N176" s="869">
        <f>Assy.Model!K21</f>
        <v>1913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2.13</v>
      </c>
      <c r="N177" s="869">
        <f>Assy.Model!K22</f>
        <v>1913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2.1360000000000001</v>
      </c>
      <c r="N178" s="869">
        <f>Assy.Model!K23</f>
        <v>1913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2.1419999999999999</v>
      </c>
      <c r="N179" s="869">
        <f>Assy.Model!K24</f>
        <v>1913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2.3359999999999999</v>
      </c>
      <c r="N180" s="869" t="str">
        <f>Assy.Model!K25</f>
        <v>Inactive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3.1030000000000002</v>
      </c>
      <c r="N181" s="869">
        <f>Assy.Model!K26</f>
        <v>1913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3.1059999999999999</v>
      </c>
      <c r="N182" s="869">
        <f>Assy.Model!K27</f>
        <v>1913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3.1110000000000002</v>
      </c>
      <c r="N183" s="869">
        <f>Assy.Model!K28</f>
        <v>1913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3.117</v>
      </c>
      <c r="N184" s="869">
        <f>Assy.Model!K29</f>
        <v>1913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3.1230000000000002</v>
      </c>
      <c r="N185" s="869">
        <f>Assy.Model!K30</f>
        <v>1913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3.129</v>
      </c>
      <c r="N186" s="869">
        <f>Assy.Model!K31</f>
        <v>1913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3.1349999999999998</v>
      </c>
      <c r="N187" s="869">
        <f>Assy.Model!K32</f>
        <v>1913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3.141</v>
      </c>
      <c r="N188" s="869">
        <f>Assy.Model!K33</f>
        <v>1913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3.335</v>
      </c>
      <c r="N189" s="869" t="str">
        <f>Assy.Model!K34</f>
        <v>Inactive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4.1100000000000003</v>
      </c>
      <c r="N190" s="869">
        <f>Assy.Model!K35</f>
        <v>1913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4.1159999999999997</v>
      </c>
      <c r="N191" s="869">
        <f>Assy.Model!K36</f>
        <v>1913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4.1219999999999999</v>
      </c>
      <c r="N192" s="869">
        <f>Assy.Model!K37</f>
        <v>1913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4.1280000000000001</v>
      </c>
      <c r="N193" s="869">
        <f>Assy.Model!K38</f>
        <v>1913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4.1340000000000003</v>
      </c>
      <c r="N194" s="869">
        <f>Assy.Model!K39</f>
        <v>1913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4.1399999999999997</v>
      </c>
      <c r="N195" s="869">
        <f>Assy.Model!K40</f>
        <v>1913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4.3339999999999996</v>
      </c>
      <c r="N196" s="869" t="str">
        <f>Assy.Model!K41</f>
        <v>Inactive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5.1020000000000003</v>
      </c>
      <c r="N197" s="869">
        <f>Assy.Model!K42</f>
        <v>1913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5.1050000000000004</v>
      </c>
      <c r="N198" s="869">
        <f>Assy.Model!K43</f>
        <v>1913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5.109</v>
      </c>
      <c r="N199" s="869">
        <f>Assy.Model!K44</f>
        <v>1913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5.1150000000000002</v>
      </c>
      <c r="N200" s="869">
        <f>Assy.Model!K45</f>
        <v>1913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5.1210000000000004</v>
      </c>
      <c r="N201" s="869">
        <f>Assy.Model!K46</f>
        <v>1913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5.1269999999999998</v>
      </c>
      <c r="N202" s="869">
        <f>Assy.Model!K47</f>
        <v>1913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5.133</v>
      </c>
      <c r="N203" s="869">
        <f>Assy.Model!K48</f>
        <v>1913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5.1390000000000002</v>
      </c>
      <c r="N204" s="869">
        <f>Assy.Model!K49</f>
        <v>1913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5.3330000000000002</v>
      </c>
      <c r="N205" s="869" t="str">
        <f>Assy.Model!K50</f>
        <v>Inactive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6.1139999999999999</v>
      </c>
      <c r="N206" s="869">
        <f>Assy.Model!K51</f>
        <v>1913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6.12</v>
      </c>
      <c r="N207" s="869">
        <f>Assy.Model!K52</f>
        <v>1913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6.1260000000000003</v>
      </c>
      <c r="N208" s="869">
        <f>Assy.Model!K53</f>
        <v>1913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6.1319999999999997</v>
      </c>
      <c r="N209" s="869">
        <f>Assy.Model!K54</f>
        <v>1913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6.1379999999999999</v>
      </c>
      <c r="N210" s="869">
        <f>Assy.Model!K55</f>
        <v>1913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6.1440000000000001</v>
      </c>
      <c r="N211" s="869">
        <f>Assy.Model!K56</f>
        <v>1913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6.3380000000000001</v>
      </c>
      <c r="N212" s="869" t="str">
        <f>Assy.Model!K57</f>
        <v>Inactive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19" priority="14" stopIfTrue="1" operator="between">
      <formula>9</formula>
      <formula>9.99</formula>
    </cfRule>
    <cfRule type="cellIs" dxfId="18" priority="15" stopIfTrue="1" operator="between">
      <formula>8</formula>
      <formula>8.99</formula>
    </cfRule>
    <cfRule type="cellIs" dxfId="17" priority="16" stopIfTrue="1" operator="between">
      <formula>7</formula>
      <formula>7.99</formula>
    </cfRule>
    <cfRule type="cellIs" dxfId="16" priority="17" stopIfTrue="1" operator="between">
      <formula>6</formula>
      <formula>6.99</formula>
    </cfRule>
    <cfRule type="cellIs" dxfId="15" priority="18" stopIfTrue="1" operator="between">
      <formula>5</formula>
      <formula>5.99</formula>
    </cfRule>
    <cfRule type="cellIs" dxfId="14" priority="19" stopIfTrue="1" operator="between">
      <formula>4</formula>
      <formula>4.99</formula>
    </cfRule>
    <cfRule type="cellIs" dxfId="13" priority="20" stopIfTrue="1" operator="between">
      <formula>3</formula>
      <formula>3.99</formula>
    </cfRule>
    <cfRule type="cellIs" dxfId="12" priority="21" stopIfTrue="1" operator="between">
      <formula>2</formula>
      <formula>2.99</formula>
    </cfRule>
    <cfRule type="cellIs" dxfId="11" priority="22" stopIfTrue="1" operator="between">
      <formula>1</formula>
      <formula>1.99</formula>
    </cfRule>
  </conditionalFormatting>
  <conditionalFormatting sqref="AV9:AV150">
    <cfRule type="cellIs" dxfId="10" priority="5" stopIfTrue="1" operator="between">
      <formula>9</formula>
      <formula>9.99</formula>
    </cfRule>
    <cfRule type="cellIs" dxfId="9" priority="6" stopIfTrue="1" operator="between">
      <formula>8</formula>
      <formula>8.99</formula>
    </cfRule>
    <cfRule type="cellIs" dxfId="8" priority="7" stopIfTrue="1" operator="between">
      <formula>7</formula>
      <formula>7.99</formula>
    </cfRule>
    <cfRule type="cellIs" dxfId="7" priority="8" stopIfTrue="1" operator="between">
      <formula>6</formula>
      <formula>6.99</formula>
    </cfRule>
    <cfRule type="cellIs" dxfId="6" priority="9" stopIfTrue="1" operator="between">
      <formula>5</formula>
      <formula>5.99</formula>
    </cfRule>
    <cfRule type="cellIs" dxfId="5" priority="10" stopIfTrue="1" operator="between">
      <formula>4</formula>
      <formula>4.99</formula>
    </cfRule>
    <cfRule type="cellIs" dxfId="4" priority="11" stopIfTrue="1" operator="between">
      <formula>3</formula>
      <formula>3.99</formula>
    </cfRule>
    <cfRule type="cellIs" dxfId="3" priority="12" stopIfTrue="1" operator="between">
      <formula>2</formula>
      <formula>2.99</formula>
    </cfRule>
    <cfRule type="cellIs" dxfId="2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2023-03-30T19:25:49Z</dcterms:modified>
</cp:coreProperties>
</file>