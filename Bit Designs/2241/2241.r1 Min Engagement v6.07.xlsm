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41\"/>
    </mc:Choice>
  </mc:AlternateContent>
  <xr:revisionPtr revIDLastSave="0" documentId="13_ncr:1_{35756A2B-5A6C-4D9D-BD5B-6F03D433DFF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15" i="1" l="1"/>
  <c r="IG4" i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/>
  <c r="JB11" i="1" a="1"/>
  <c r="JB11" i="1" s="1"/>
  <c r="JB10" i="1" a="1"/>
  <c r="JB10" i="1" s="1"/>
  <c r="JA23" i="1" a="1"/>
  <c r="JA23" i="1" s="1"/>
  <c r="IF129" i="1"/>
  <c r="IF74" i="1"/>
  <c r="IF73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05" i="1"/>
  <c r="IF135" i="1"/>
  <c r="IF109" i="1"/>
  <c r="IF145" i="1"/>
  <c r="IF106" i="1"/>
  <c r="IF103" i="1"/>
  <c r="IF13" i="1"/>
  <c r="IF108" i="1"/>
  <c r="IF131" i="1"/>
  <c r="IF123" i="1"/>
  <c r="IF141" i="1"/>
  <c r="IF89" i="1"/>
  <c r="IF124" i="1"/>
  <c r="IF107" i="1"/>
  <c r="IF146" i="1"/>
  <c r="IF11" i="1"/>
  <c r="IF134" i="1"/>
  <c r="IF82" i="1"/>
  <c r="IF12" i="1"/>
  <c r="IF133" i="1"/>
  <c r="IF149" i="1"/>
  <c r="IF104" i="1"/>
  <c r="IF130" i="1"/>
  <c r="IF90" i="1"/>
  <c r="IF132" i="1"/>
  <c r="IF119" i="1"/>
  <c r="IF110" i="1"/>
  <c r="IF125" i="1"/>
  <c r="IF72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75" i="1" l="1"/>
  <c r="IV69" i="1"/>
  <c r="IV81" i="1"/>
  <c r="IQ88" i="1"/>
  <c r="IQ77" i="1"/>
  <c r="IV71" i="1"/>
  <c r="IQ37" i="1"/>
  <c r="IV62" i="1"/>
  <c r="IQ69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1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R91" i="1" s="1"/>
  <c r="X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IV98" i="1" s="1"/>
  <c r="AB86" i="1"/>
  <c r="AF86" i="1" s="1"/>
  <c r="AM86" i="1" s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2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7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8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19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1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6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6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5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20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7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47" i="1" l="1"/>
  <c r="IQ99" i="1"/>
  <c r="IV92" i="1"/>
  <c r="AQ91" i="1"/>
  <c r="IU91" i="1"/>
  <c r="IE91" i="1" s="1"/>
  <c r="R90" i="1"/>
  <c r="X90" i="1" s="1"/>
  <c r="IV25" i="1"/>
  <c r="IQ32" i="1"/>
  <c r="IQ93" i="1"/>
  <c r="IV84" i="1"/>
  <c r="IV78" i="1"/>
  <c r="IQ85" i="1"/>
  <c r="IQ76" i="1"/>
  <c r="IV70" i="1"/>
  <c r="IQ59" i="1"/>
  <c r="IV56" i="1"/>
  <c r="IV77" i="1"/>
  <c r="IQ84" i="1"/>
  <c r="IQ96" i="1"/>
  <c r="IV87" i="1"/>
  <c r="Q98" i="1"/>
  <c r="IV76" i="1"/>
  <c r="IQ83" i="1"/>
  <c r="IV64" i="1"/>
  <c r="IQ71" i="1"/>
  <c r="AE69" i="1"/>
  <c r="Q114" i="1"/>
  <c r="Q91" i="1"/>
  <c r="IV61" i="1"/>
  <c r="IQ68" i="1"/>
  <c r="AD86" i="1"/>
  <c r="AH86" i="1" s="1"/>
  <c r="IQ95" i="1"/>
  <c r="IV86" i="1"/>
  <c r="IV63" i="1"/>
  <c r="IQ70" i="1"/>
  <c r="IQ97" i="1"/>
  <c r="IV88" i="1"/>
  <c r="IQ102" i="1"/>
  <c r="V97" i="1"/>
  <c r="IQ94" i="1"/>
  <c r="IV85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I47" i="1" s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8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6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7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7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AM108" i="1" s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5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6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20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IU84" i="1" s="1"/>
  <c r="IE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5" i="1" s="1"/>
  <c r="AD77" i="1"/>
  <c r="AH77" i="1" s="1"/>
  <c r="AE72" i="1"/>
  <c r="AE67" i="1"/>
  <c r="AE66" i="1"/>
  <c r="R64" i="1"/>
  <c r="X64" i="1" s="1"/>
  <c r="IP71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7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4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1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U86" i="1" l="1"/>
  <c r="IE86" i="1" s="1"/>
  <c r="IP91" i="1"/>
  <c r="IP47" i="1"/>
  <c r="AQ92" i="1"/>
  <c r="IU92" i="1"/>
  <c r="IE92" i="1" s="1"/>
  <c r="IU87" i="1"/>
  <c r="IE87" i="1" s="1"/>
  <c r="IP92" i="1"/>
  <c r="IU25" i="1"/>
  <c r="IE25" i="1" s="1"/>
  <c r="IP32" i="1"/>
  <c r="IP59" i="1"/>
  <c r="IU56" i="1"/>
  <c r="IE56" i="1" s="1"/>
  <c r="AJ111" i="1"/>
  <c r="IP99" i="1"/>
  <c r="AQ68" i="1"/>
  <c r="IU68" i="1"/>
  <c r="IE68" i="1" s="1"/>
  <c r="AI108" i="1"/>
  <c r="AQ83" i="1"/>
  <c r="IU83" i="1"/>
  <c r="IE83" i="1" s="1"/>
  <c r="AG97" i="1"/>
  <c r="IP102" i="1"/>
  <c r="IP88" i="1"/>
  <c r="IU61" i="1"/>
  <c r="IE61" i="1" s="1"/>
  <c r="IP68" i="1"/>
  <c r="AQ20" i="1"/>
  <c r="IU20" i="1"/>
  <c r="IE20" i="1" s="1"/>
  <c r="AG108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W15" i="1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IL92" i="1" s="1"/>
  <c r="W88" i="1"/>
  <c r="W85" i="1"/>
  <c r="W86" i="1"/>
  <c r="W83" i="1"/>
  <c r="W84" i="1"/>
  <c r="W81" i="1"/>
  <c r="IL88" i="1" s="1"/>
  <c r="W82" i="1"/>
  <c r="W79" i="1"/>
  <c r="IL86" i="1" s="1"/>
  <c r="W80" i="1"/>
  <c r="IL87" i="1" s="1"/>
  <c r="W77" i="1"/>
  <c r="W78" i="1"/>
  <c r="IL85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IL71" i="1" s="1"/>
  <c r="W61" i="1"/>
  <c r="W62" i="1"/>
  <c r="IL69" i="1" s="1"/>
  <c r="W59" i="1"/>
  <c r="W60" i="1"/>
  <c r="W57" i="1"/>
  <c r="W58" i="1"/>
  <c r="W55" i="1"/>
  <c r="W56" i="1"/>
  <c r="W53" i="1"/>
  <c r="W54" i="1"/>
  <c r="W51" i="1"/>
  <c r="W52" i="1"/>
  <c r="W49" i="1"/>
  <c r="IL56" i="1" s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IL38" i="1" s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1" i="1" l="1"/>
  <c r="IL21" i="1"/>
  <c r="IL68" i="1"/>
  <c r="IL84" i="1"/>
  <c r="IL20" i="1"/>
  <c r="IL57" i="1"/>
  <c r="IL83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IT98" i="1" s="1"/>
  <c r="T89" i="1"/>
  <c r="T88" i="1"/>
  <c r="AL88" i="1"/>
  <c r="AN88" i="1" s="1"/>
  <c r="AK88" i="1"/>
  <c r="U88" i="1"/>
  <c r="T87" i="1"/>
  <c r="AK87" i="1"/>
  <c r="AL87" i="1"/>
  <c r="AN87" i="1" s="1"/>
  <c r="IT92" i="1" s="1"/>
  <c r="U85" i="1"/>
  <c r="AL86" i="1"/>
  <c r="AN86" i="1" s="1"/>
  <c r="IT91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6" i="1" s="1"/>
  <c r="U80" i="1"/>
  <c r="AL80" i="1"/>
  <c r="AN80" i="1" s="1"/>
  <c r="IT87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20" i="1" l="1"/>
  <c r="IT32" i="1"/>
  <c r="IT99" i="1"/>
  <c r="IS94" i="1"/>
  <c r="IX85" i="1"/>
  <c r="IY49" i="1"/>
  <c r="IT56" i="1"/>
  <c r="IT76" i="1"/>
  <c r="IY70" i="1"/>
  <c r="IT77" i="1"/>
  <c r="IY71" i="1"/>
  <c r="IF71" i="1" s="1"/>
  <c r="IY62" i="1"/>
  <c r="IT69" i="1"/>
  <c r="IY64" i="1"/>
  <c r="IT71" i="1"/>
  <c r="IX71" i="1"/>
  <c r="IY63" i="1"/>
  <c r="IT70" i="1"/>
  <c r="IT75" i="1"/>
  <c r="IY69" i="1"/>
  <c r="IX49" i="1"/>
  <c r="IS56" i="1"/>
  <c r="IY77" i="1"/>
  <c r="IT84" i="1"/>
  <c r="IY81" i="1"/>
  <c r="IT88" i="1"/>
  <c r="IT97" i="1"/>
  <c r="IY88" i="1"/>
  <c r="IY61" i="1"/>
  <c r="IT68" i="1"/>
  <c r="IY76" i="1"/>
  <c r="IT83" i="1"/>
  <c r="IT95" i="1"/>
  <c r="IY86" i="1"/>
  <c r="IT49" i="1"/>
  <c r="IY38" i="1"/>
  <c r="IY78" i="1"/>
  <c r="IT85" i="1"/>
  <c r="IT93" i="1"/>
  <c r="IY84" i="1"/>
  <c r="IT94" i="1"/>
  <c r="IY85" i="1"/>
  <c r="IY50" i="1"/>
  <c r="IT57" i="1"/>
  <c r="IT96" i="1"/>
  <c r="IY87" i="1"/>
  <c r="IY36" i="1"/>
  <c r="IT37" i="1"/>
  <c r="IT31" i="1"/>
  <c r="IT47" i="1"/>
  <c r="IT48" i="1"/>
  <c r="IT50" i="1"/>
  <c r="IY41" i="1"/>
  <c r="IT55" i="1"/>
  <c r="IT64" i="1"/>
  <c r="IY55" i="1"/>
  <c r="IX41" i="1"/>
  <c r="IX55" i="1"/>
  <c r="IT52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Y22" i="1"/>
  <c r="IY33" i="1"/>
  <c r="IT40" i="1"/>
  <c r="IT53" i="1"/>
  <c r="IT58" i="1"/>
  <c r="IY54" i="1"/>
  <c r="IT63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2" i="1" s="1"/>
  <c r="AP87" i="1"/>
  <c r="AO88" i="1"/>
  <c r="AP88" i="1"/>
  <c r="AP86" i="1"/>
  <c r="AO86" i="1"/>
  <c r="IS91" i="1" s="1"/>
  <c r="AP85" i="1"/>
  <c r="AP84" i="1"/>
  <c r="AO84" i="1"/>
  <c r="AP83" i="1"/>
  <c r="AO83" i="1"/>
  <c r="IX83" i="1" s="1"/>
  <c r="IF83" i="1" s="1"/>
  <c r="AO81" i="1"/>
  <c r="AP81" i="1"/>
  <c r="AO82" i="1"/>
  <c r="AP82" i="1"/>
  <c r="AO79" i="1"/>
  <c r="IS86" i="1" s="1"/>
  <c r="AP79" i="1"/>
  <c r="AP80" i="1"/>
  <c r="AO80" i="1"/>
  <c r="IS87" i="1" s="1"/>
  <c r="AO77" i="1"/>
  <c r="AP77" i="1"/>
  <c r="AP78" i="1"/>
  <c r="AO78" i="1"/>
  <c r="AO75" i="1"/>
  <c r="IX75" i="1" s="1"/>
  <c r="IF75" i="1" s="1"/>
  <c r="AP75" i="1"/>
  <c r="AO76" i="1"/>
  <c r="AP76" i="1"/>
  <c r="AP73" i="1"/>
  <c r="AO73" i="1"/>
  <c r="AP74" i="1"/>
  <c r="AO74" i="1"/>
  <c r="AP71" i="1"/>
  <c r="AO72" i="1"/>
  <c r="IS78" i="1" s="1"/>
  <c r="AP72" i="1"/>
  <c r="AO69" i="1"/>
  <c r="IS77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AP63" i="1"/>
  <c r="AO64" i="1"/>
  <c r="AP64" i="1"/>
  <c r="AP62" i="1"/>
  <c r="AO62" i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54" i="1" s="1"/>
  <c r="AP47" i="1"/>
  <c r="AO48" i="1"/>
  <c r="IS55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IS32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IS20" i="1" s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49" i="1" l="1"/>
  <c r="IS34" i="1"/>
  <c r="IS64" i="1"/>
  <c r="IS98" i="1"/>
  <c r="IX91" i="1"/>
  <c r="IF91" i="1" s="1"/>
  <c r="IX63" i="1"/>
  <c r="IF63" i="1" s="1"/>
  <c r="IS70" i="1"/>
  <c r="IX78" i="1"/>
  <c r="IF78" i="1" s="1"/>
  <c r="IS85" i="1"/>
  <c r="IS99" i="1"/>
  <c r="IS76" i="1"/>
  <c r="IX70" i="1"/>
  <c r="IF70" i="1" s="1"/>
  <c r="IS95" i="1"/>
  <c r="IX86" i="1"/>
  <c r="IF86" i="1" s="1"/>
  <c r="IX64" i="1"/>
  <c r="IF64" i="1" s="1"/>
  <c r="IS71" i="1"/>
  <c r="IS96" i="1"/>
  <c r="IX87" i="1"/>
  <c r="IF87" i="1" s="1"/>
  <c r="IX61" i="1"/>
  <c r="IF61" i="1" s="1"/>
  <c r="IS68" i="1"/>
  <c r="IF85" i="1"/>
  <c r="IX50" i="1"/>
  <c r="IF50" i="1" s="1"/>
  <c r="IS57" i="1"/>
  <c r="IX62" i="1"/>
  <c r="IF62" i="1" s="1"/>
  <c r="IS69" i="1"/>
  <c r="IX77" i="1"/>
  <c r="IF77" i="1" s="1"/>
  <c r="IS84" i="1"/>
  <c r="IX81" i="1"/>
  <c r="IF81" i="1" s="1"/>
  <c r="IS88" i="1"/>
  <c r="IF69" i="1"/>
  <c r="IS93" i="1"/>
  <c r="IX84" i="1"/>
  <c r="IF84" i="1" s="1"/>
  <c r="IT60" i="1"/>
  <c r="IY57" i="1"/>
  <c r="IF57" i="1" s="1"/>
  <c r="IS75" i="1"/>
  <c r="IX69" i="1"/>
  <c r="IS97" i="1"/>
  <c r="IX88" i="1"/>
  <c r="IF88" i="1" s="1"/>
  <c r="IS49" i="1"/>
  <c r="IX38" i="1"/>
  <c r="IF38" i="1" s="1"/>
  <c r="IX76" i="1"/>
  <c r="IF76" i="1" s="1"/>
  <c r="IS83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<sst xmlns="http://schemas.openxmlformats.org/spreadsheetml/2006/main" count="736" uniqueCount="393">
  <si>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</si>
  <si>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</si>
  <si>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</si>
  <si>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</si>
  <si>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</si>
  <si>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</si>
  <si>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</si>
  <si>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</si>
  <si>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</si>
  <si>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</si>
  <si>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</si>
  <si>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</si>
  <si>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</si>
  <si>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</si>
  <si>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</si>
  <si>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</si>
  <si>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</si>
  <si>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</si>
  <si>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</si>
  <si>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</si>
  <si>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</si>
  <si>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</si>
  <si>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</si>
  <si>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</si>
  <si>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</si>
  <si>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</si>
  <si>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</si>
  <si>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</si>
  <si>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</si>
  <si>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</si>
  <si>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</si>
  <si>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</si>
  <si>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</si>
  <si>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</si>
  <si>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</si>
  <si>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</si>
  <si>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</si>
  <si>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</si>
  <si>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</si>
  <si>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</si>
  <si>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</si>
  <si>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</si>
  <si>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</si>
  <si>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</si>
  <si>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</si>
  <si>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</si>
  <si>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</si>
  <si>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</si>
  <si>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</si>
  <si>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</si>
  <si>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</si>
  <si>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</si>
  <si>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</si>
  <si>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</si>
  <si>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</si>
  <si>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</si>
  <si>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</si>
  <si>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</si>
  <si>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</si>
  <si>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</si>
  <si>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</si>
  <si>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</si>
  <si>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</si>
  <si>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</si>
  <si>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</si>
  <si>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</si>
  <si>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</si>
  <si>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</si>
  <si>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</si>
  <si>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</si>
  <si>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</si>
  <si>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</si>
  <si>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</si>
  <si>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</si>
  <si>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</si>
  <si>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</si>
  <si>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</si>
  <si>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</si>
  <si>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</si>
  <si>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</si>
  <si>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</si>
  <si>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</si>
  <si>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</si>
  <si>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</si>
  <si>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</si>
  <si>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</si>
  <si>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</si>
  <si>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</si>
  <si>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</si>
  <si>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</si>
  <si>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</si>
  <si>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</si>
  <si>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</si>
  <si>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</si>
  <si>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</si>
  <si>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</si>
  <si>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</si>
  <si>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</si>
  <si>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</si>
  <si>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</si>
  <si>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</si>
  <si>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</si>
  <si>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</si>
  <si>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</si>
  <si>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</si>
  <si>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</si>
  <si>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</si>
  <si>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</si>
  <si>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</si>
  <si>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</si>
  <si>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</si>
  <si>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</si>
  <si>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</si>
  <si>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</si>
  <si>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</si>
  <si>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</si>
  <si>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</si>
  <si>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</si>
  <si>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</si>
  <si>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</si>
  <si>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</si>
  <si>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</si>
  <si>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</si>
  <si>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</si>
  <si>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</si>
  <si>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</si>
  <si>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</si>
  <si>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</si>
  <si>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</si>
  <si>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</si>
  <si>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</si>
  <si>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</si>
  <si>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</si>
  <si>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</si>
  <si>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</si>
  <si>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</si>
  <si>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</si>
  <si>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</si>
  <si>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</si>
  <si>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</si>
  <si>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</si>
  <si>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</si>
  <si>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</si>
  <si>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</si>
  <si>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</si>
  <si>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</si>
  <si>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</si>
  <si>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</si>
  <si>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</si>
  <si>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</si>
  <si>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</si>
  <si>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</si>
  <si>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</si>
  <si>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</si>
  <si>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</si>
  <si>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</si>
  <si>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</si>
  <si>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</si>
  <si>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</si>
  <si>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</si>
  <si>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</si>
  <si>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</si>
  <si>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</si>
  <si>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</si>
  <si>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</si>
  <si>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</si>
  <si>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</si>
  <si>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</si>
  <si>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</si>
  <si>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</si>
  <si>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</si>
  <si>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</si>
  <si>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</si>
  <si>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</si>
  <si>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</si>
  <si>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</si>
  <si>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</si>
  <si>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</si>
  <si>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</si>
  <si>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</si>
  <si>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</si>
  <si>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</si>
  <si>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</si>
  <si>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</si>
  <si>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</si>
  <si>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</si>
  <si>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</si>
  <si>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</si>
  <si>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</si>
  <si>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</si>
  <si>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</si>
  <si>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</si>
  <si>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</si>
  <si>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</si>
  <si>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</si>
  <si>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</si>
  <si>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</si>
  <si>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</si>
  <si>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</si>
  <si>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</si>
  <si>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</si>
  <si>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</si>
  <si>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</si>
  <si>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</si>
  <si>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</si>
  <si>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</si>
  <si>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</si>
  <si>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</si>
  <si>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</si>
  <si>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</si>
  <si>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</si>
  <si>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</si>
  <si>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</si>
  <si>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</si>
  <si>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</si>
  <si>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</si>
  <si>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</si>
  <si>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</si>
  <si>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</si>
  <si>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</si>
  <si>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</si>
  <si>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</si>
  <si>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</si>
  <si>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</si>
  <si>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</si>
  <si>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</si>
  <si>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</si>
  <si>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</si>
  <si>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</si>
  <si>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</si>
  <si>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</si>
  <si>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</si>
  <si>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</si>
  <si>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</si>
  <si>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</si>
  <si>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</si>
  <si>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</si>
  <si>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</si>
  <si>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</si>
  <si>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</si>
  <si>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</si>
  <si>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</si>
  <si>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</si>
  <si>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</si>
  <si>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</si>
  <si>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</si>
  <si>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</si>
  <si>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</si>
  <si>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</si>
  <si>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</si>
  <si>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</si>
  <si>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</si>
  <si>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</si>
  <si>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</si>
  <si>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</si>
  <si>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</si>
  <si>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</si>
  <si>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</si>
  <si>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</si>
  <si>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</si>
  <si>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</si>
  <si>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</si>
  <si>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</si>
  <si>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</si>
  <si>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</si>
  <si>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</si>
  <si>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</si>
  <si>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</si>
  <si>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</si>
  <si>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</si>
  <si>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</si>
  <si>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</si>
  <si>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</si>
  <si>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</si>
  <si>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</si>
  <si>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</si>
  <si>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</si>
  <si>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</si>
  <si>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</si>
  <si>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</si>
  <si>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</si>
  <si>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</si>
  <si>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</si>
  <si>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</si>
  <si>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</si>
  <si>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</si>
  <si>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</si>
  <si>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</si>
  <si>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</si>
  <si>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</si>
  <si>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</si>
  <si>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</si>
  <si>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</si>
  <si>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</si>
  <si>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</si>
  <si>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</si>
  <si>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</si>
  <si>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</si>
  <si>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</si>
  <si>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</si>
  <si>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</si>
  <si>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</si>
  <si>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</si>
  <si>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</si>
  <si>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</si>
  <si>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</si>
  <si>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</si>
  <si>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</si>
  <si>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</si>
  <si>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</si>
  <si>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</si>
  <si>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</si>
  <si>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</si>
  <si>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</si>
  <si>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</si>
  <si>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</si>
  <si>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</si>
  <si>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</si>
  <si>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</si>
  <si>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</si>
  <si>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</si>
  <si>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</si>
  <si>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</si>
  <si>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</si>
  <si>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</si>
  <si>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</si>
  <si>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</si>
  <si>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</si>
  <si>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</si>
  <si>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</si>
  <si>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</si>
  <si>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</si>
  <si>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</si>
  <si>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</si>
  <si>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</si>
  <si>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</si>
  <si>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</si>
  <si>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</si>
  <si>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</si>
  <si>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</si>
  <si>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</si>
  <si>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</si>
  <si>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</si>
  <si>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</si>
  <si>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</si>
  <si>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</si>
  <si>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</si>
  <si>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</si>
  <si>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</si>
  <si>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</si>
  <si>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</si>
  <si>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</si>
  <si>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</si>
  <si>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</si>
  <si>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</si>
  <si>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</si>
  <si>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</si>
  <si>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</si>
  <si>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</si>
  <si>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</si>
  <si>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</si>
  <si>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</si>
  <si>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</si>
  <si>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</si>
  <si>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</si>
  <si>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</si>
  <si>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</si>
  <si>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</si>
  <si>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</si>
  <si>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</si>
  <si>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</si>
  <si>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</si>
  <si>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</si>
  <si>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</si>
  <si>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</si>
  <si>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</si>
  <si>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</si>
  <si>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</si>
  <si>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</si>
  <si>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</si>
  <si>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</si>
  <si>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</si>
  <si>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</si>
  <si>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</si>
  <si>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</si>
  <si>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</si>
  <si>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</si>
  <si>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</si>
  <si>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</si>
  <si>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</si>
  <si>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</si>
  <si>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old 2268</t>
  </si>
  <si>
    <t>new 2268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</si>
</sst>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F19" sqref="F1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10.625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5.3125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10.625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68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-9.3100280790446868E-2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0.34260103328471642</v>
      </c>
      <c r="D9" s="704">
        <v>-0.67310203007572278</v>
      </c>
      <c r="E9" s="705">
        <v>-0.95371695074822704</v>
      </c>
      <c r="F9" s="703">
        <v>-7.7828376905364025E-2</v>
      </c>
      <c r="G9" s="706">
        <v>0.29045950079792665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0.34260103328471642</v>
      </c>
      <c r="P9" s="625">
        <f t="shared" ref="P9:P40" si="4">IF(M9="","",D9)</f>
        <v>-0.67310203007572278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0.34260103328471642</v>
      </c>
      <c r="S9" s="626">
        <f>IF(M9="","",P9)</f>
        <v>-0.67310203007572278</v>
      </c>
      <c r="T9" s="627">
        <f>IF(M9="","",X9*COS(RADIANS(W9)))</f>
        <v>0.34260103328471642</v>
      </c>
      <c r="U9" s="624">
        <f>IF(M9="","",X9*SIN(RADIANS(W9)))</f>
        <v>0</v>
      </c>
      <c r="V9" s="628">
        <f>IF(M9="","",Y9)</f>
        <v>-0.67310203007572278</v>
      </c>
      <c r="W9" s="583">
        <f t="shared" ref="W9:W14" si="5">IF(M9="","",IF(Q9-$Q$8&lt;0,360+Q9-$Q$8,Q9-$Q$8))</f>
        <v>0</v>
      </c>
      <c r="X9" s="629">
        <f>IF(M9="","",R9)</f>
        <v>0.34260103328471642</v>
      </c>
      <c r="Y9" s="630">
        <f>IF(M9="","",S9)</f>
        <v>-0.67310203007572278</v>
      </c>
      <c r="Z9" s="623">
        <f t="shared" ref="Z9:Z40" si="6">IF(M9="","",-E9)</f>
        <v>0.95371695074822704</v>
      </c>
      <c r="AA9" s="624">
        <f t="shared" ref="AA9:AA40" si="7">IF(M9="","",-F9)</f>
        <v>7.7828376905364025E-2</v>
      </c>
      <c r="AB9" s="624">
        <f t="shared" ref="AB9:AB40" si="8">IF(M9="","",-G9)</f>
        <v>-0.29045950079792665</v>
      </c>
      <c r="AC9" s="628">
        <f>IF(M9="","",SQRT(Z9^2+AA9^2+AB9^2))</f>
        <v>1</v>
      </c>
      <c r="AD9" s="631">
        <f>IF(M9="","",Z9*(1/SQRT(Z9^2+AA9^2+AB9^2)))</f>
        <v>0.95371695074822704</v>
      </c>
      <c r="AE9" s="624">
        <f>IF(M9="","",AA9*(1/SQRT(Z9^2+AA9^2+AB9^2)))</f>
        <v>7.7828376905364025E-2</v>
      </c>
      <c r="AF9" s="625">
        <f>IF(M9="","",AB9*(1/SQRT(Z9^2+AA9^2+AB9^2)))</f>
        <v>-0.29045950079792665</v>
      </c>
      <c r="AG9" s="599">
        <f>IF(M9="","",DEGREES(ATAN2(-AF9,AE9)))</f>
        <v>14.999997834268267</v>
      </c>
      <c r="AH9" s="600">
        <f>IF(M9="","",DEGREES(ACOS(AD9)))</f>
        <v>17.499999999999979</v>
      </c>
      <c r="AI9" s="583">
        <f>IF(M9="","",DEGREES(-ACOS(-AF9)))</f>
        <v>-73.114532337126249</v>
      </c>
      <c r="AJ9" s="601">
        <f>IF(M9="","",DEGREES(ATAN2(-AE9,AD9)))</f>
        <v>94.6653026629929</v>
      </c>
      <c r="AK9" s="627">
        <f>IF(M9="","",(COS(RADIANS((90-$Q$8)-W9))*AD9)+(-SIN(RADIANS((90-$Q$8)-W9))*AE9))</f>
        <v>0.95371695074822704</v>
      </c>
      <c r="AL9" s="624">
        <f>IF(M9="","",(SIN(RADIANS((90-$Q$8)-W9))*AD9)+(COS(RADIANS((90-$Q$8)-W9))*AE9))</f>
        <v>7.7828376905364025E-2</v>
      </c>
      <c r="AM9" s="626">
        <f>IF(M9="","",AF9)</f>
        <v>-0.29045950079792665</v>
      </c>
      <c r="AN9" s="581">
        <f>IF(M9="","",DEGREES(ATAN2(-AM9,AL9)))</f>
        <v>14.999997834268267</v>
      </c>
      <c r="AO9" s="582">
        <f>IF(ROUND(IF(M9="",0,DEGREES(ACOS(AK9))),4)=90,0,IF(M9="","",DEGREES(ACOS(AK9))))</f>
        <v>17.499999999999979</v>
      </c>
      <c r="AP9" s="781">
        <f>IF(M9="","",DEGREES(ATAN2(AK9,AL9)))</f>
        <v>4.6653026629928984</v>
      </c>
      <c r="AQ9" s="584">
        <f t="shared" ref="AQ9:AQ40" si="9">IF(M9="","",DEGREES(ATAN(($AS$5*SIN(RADIANS(90)))/(($X9*2*PI())-($AS$5*COS(RADIANS(90)))))))</f>
        <v>6.6244962074998197</v>
      </c>
      <c r="AS9" s="51">
        <f>IF(M9="","",W9)</f>
        <v>0</v>
      </c>
      <c r="AT9" s="71">
        <f t="shared" ref="AT9:AT40" si="10">IF(M9="","",Y9+(((AS9-$AS$9)*$AS$6)*-1))</f>
        <v>-0.67310203007572278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68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1.1026033254516296</v>
      </c>
      <c r="D10" s="709">
        <v>-0.46950141601627071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1.1026033254516296</v>
      </c>
      <c r="P10" s="633">
        <f t="shared" si="4"/>
        <v>-0.46950141601627071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1.1026033254516296</v>
      </c>
      <c r="S10" s="634">
        <f t="shared" ref="S10:S105" si="80">IF(M10="","",P10)</f>
        <v>-0.46950141601627071</v>
      </c>
      <c r="T10" s="635">
        <f t="shared" ref="T10:T105" si="81">IF(M10="","",X10*COS(RADIANS(W10)))</f>
        <v>1.1026033254516296</v>
      </c>
      <c r="U10" s="629">
        <f t="shared" ref="U10:U105" si="82">IF(M10="","",X10*SIN(RADIANS(W10)))</f>
        <v>0</v>
      </c>
      <c r="V10" s="636">
        <f>IF(M10="","",Y10)</f>
        <v>-0.46950141601627071</v>
      </c>
      <c r="W10" s="585">
        <f t="shared" si="5"/>
        <v>0</v>
      </c>
      <c r="X10" s="629">
        <f t="shared" ref="X10:X105" si="83">IF(M10="","",R10)</f>
        <v>1.1026033254516296</v>
      </c>
      <c r="Y10" s="630">
        <f>IF(M10="","",S10)</f>
        <v>-0.46950141601627071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2.0666887078660414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-0.46950141601627071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1.8249055039149997</v>
      </c>
      <c r="D11" s="709">
        <v>-0.27590083211690969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1.8249055039149997</v>
      </c>
      <c r="P11" s="633">
        <f t="shared" si="4"/>
        <v>-0.27590083211690969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1.8249055039149997</v>
      </c>
      <c r="S11" s="634">
        <f t="shared" si="80"/>
        <v>-0.27590083211690969</v>
      </c>
      <c r="T11" s="635">
        <f t="shared" si="81"/>
        <v>1.8249055039149997</v>
      </c>
      <c r="U11" s="629">
        <f t="shared" si="82"/>
        <v>0</v>
      </c>
      <c r="V11" s="636">
        <f t="shared" ref="V11:V105" si="114">IF(M11="","",Y11)</f>
        <v>-0.27590083211690969</v>
      </c>
      <c r="W11" s="585">
        <f t="shared" si="5"/>
        <v>0</v>
      </c>
      <c r="X11" s="629">
        <f>IF(M11="","",R11)</f>
        <v>1.8249055039149997</v>
      </c>
      <c r="Y11" s="630">
        <f>IF(M11="","",S11)</f>
        <v>-0.27590083211690969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1.2490320653516211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-0.27590083211690969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2.5358076479958664</v>
      </c>
      <c r="D12" s="709">
        <v>-9.3100280790446868E-2</v>
      </c>
      <c r="E12" s="710">
        <v>-0.96592583607220739</v>
      </c>
      <c r="F12" s="708">
        <v>-4.0488207353615135E-2</v>
      </c>
      <c r="G12" s="711">
        <v>0.2556325180283171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0</v>
      </c>
      <c r="O12" s="629">
        <f t="shared" si="3"/>
        <v>2.5358076479958664</v>
      </c>
      <c r="P12" s="633">
        <f t="shared" si="4"/>
        <v>-9.3100280790446868E-2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2.5358076479958664</v>
      </c>
      <c r="S12" s="634">
        <f t="shared" si="80"/>
        <v>-9.3100280790446868E-2</v>
      </c>
      <c r="T12" s="635">
        <f>IF(M12="","",X12*COS(RADIANS(W12)))</f>
        <v>2.5358076479958664</v>
      </c>
      <c r="U12" s="629">
        <f t="shared" si="82"/>
        <v>0</v>
      </c>
      <c r="V12" s="636">
        <f t="shared" si="114"/>
        <v>-9.3100280790446868E-2</v>
      </c>
      <c r="W12" s="585">
        <f>IF(M12="","",IF(Q12-$Q$8&lt;0,360+Q12-$Q$8,Q12-$Q$8))</f>
        <v>0</v>
      </c>
      <c r="X12" s="629">
        <f t="shared" si="83"/>
        <v>2.5358076479958664</v>
      </c>
      <c r="Y12" s="630">
        <f>IF(M12="","",S12)</f>
        <v>-9.3100280790446868E-2</v>
      </c>
      <c r="Z12" s="632">
        <f t="shared" si="6"/>
        <v>0.96592583607220739</v>
      </c>
      <c r="AA12" s="629">
        <f t="shared" si="7"/>
        <v>4.0488207353615135E-2</v>
      </c>
      <c r="AB12" s="629">
        <f t="shared" si="8"/>
        <v>-0.2556325180283171</v>
      </c>
      <c r="AC12" s="636">
        <f t="shared" si="84"/>
        <v>1</v>
      </c>
      <c r="AD12" s="637">
        <f t="shared" si="115"/>
        <v>0.96592583607220739</v>
      </c>
      <c r="AE12" s="629">
        <f t="shared" si="85"/>
        <v>4.0488207353615135E-2</v>
      </c>
      <c r="AF12" s="633">
        <f t="shared" si="86"/>
        <v>-0.2556325180283171</v>
      </c>
      <c r="AG12" s="602">
        <f t="shared" si="87"/>
        <v>8.9999987005609743</v>
      </c>
      <c r="AH12" s="603">
        <f t="shared" si="88"/>
        <v>14.999997834268255</v>
      </c>
      <c r="AI12" s="585">
        <f t="shared" si="89"/>
        <v>-75.188931961768461</v>
      </c>
      <c r="AJ12" s="586">
        <f t="shared" si="90"/>
        <v>92.400232109692112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4.0488207353615135E-2</v>
      </c>
      <c r="AM12" s="634">
        <f t="shared" si="92"/>
        <v>-0.2556325180283171</v>
      </c>
      <c r="AN12" s="581">
        <f>IF(M12="","",DEGREES(ATAN2(-AM12,AL12)))</f>
        <v>8.9999987005609743</v>
      </c>
      <c r="AO12" s="582">
        <f t="shared" si="94"/>
        <v>14.999997834268255</v>
      </c>
      <c r="AP12" s="585">
        <f t="shared" si="95"/>
        <v>2.4002321096921273</v>
      </c>
      <c r="AQ12" s="586">
        <f t="shared" si="9"/>
        <v>0.8989402536053569</v>
      </c>
      <c r="AS12" s="52">
        <f t="shared" si="116"/>
        <v>0</v>
      </c>
      <c r="AT12" s="72">
        <f>IF(M12="","",Y12+(((AS12-$AS$9)*$AS$6)*-1))</f>
        <v>-9.3100280790446868E-2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5.9979705497651865E-3</v>
      </c>
      <c r="C13" s="708">
        <v>3.3044045225143539</v>
      </c>
      <c r="D13" s="709">
        <v>-9.6000289536873423E-2</v>
      </c>
      <c r="E13" s="710">
        <v>-0.96583259277321132</v>
      </c>
      <c r="F13" s="708">
        <v>5.2246285098542566E-2</v>
      </c>
      <c r="G13" s="711">
        <v>0.25384587534639602</v>
      </c>
      <c r="H13" s="710">
        <v>0.314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80</v>
      </c>
      <c r="M13" s="168">
        <f t="shared" si="1"/>
        <v>1.117</v>
      </c>
      <c r="N13" s="632">
        <f t="shared" si="2"/>
        <v>5.9979705497651865E-3</v>
      </c>
      <c r="O13" s="629">
        <f t="shared" si="3"/>
        <v>3.3044045225143539</v>
      </c>
      <c r="P13" s="633">
        <f t="shared" si="4"/>
        <v>-9.6000289536873423E-2</v>
      </c>
      <c r="Q13" s="585">
        <f t="shared" si="113"/>
        <v>89.896000015015744</v>
      </c>
      <c r="R13" s="629">
        <f t="shared" si="79"/>
        <v>3.304409966100458</v>
      </c>
      <c r="S13" s="634">
        <f t="shared" si="80"/>
        <v>-9.6000289536873423E-2</v>
      </c>
      <c r="T13" s="635">
        <f>IF(M13="","",X13*COS(RADIANS(W13)))</f>
        <v>3.3044045225143535</v>
      </c>
      <c r="U13" s="629">
        <f t="shared" si="82"/>
        <v>-5.9979705497656636E-3</v>
      </c>
      <c r="V13" s="636">
        <f t="shared" si="114"/>
        <v>-9.6000289536873423E-2</v>
      </c>
      <c r="W13" s="585">
        <f t="shared" si="5"/>
        <v>359.89600001501572</v>
      </c>
      <c r="X13" s="629">
        <f t="shared" si="83"/>
        <v>3.304409966100458</v>
      </c>
      <c r="Y13" s="630">
        <f>IF(M13="","",S13)</f>
        <v>-9.6000289536873423E-2</v>
      </c>
      <c r="Z13" s="632">
        <f t="shared" si="6"/>
        <v>0.96583259277321132</v>
      </c>
      <c r="AA13" s="629">
        <f t="shared" si="7"/>
        <v>-5.2246285098542566E-2</v>
      </c>
      <c r="AB13" s="629">
        <f t="shared" si="8"/>
        <v>-0.25384587534639602</v>
      </c>
      <c r="AC13" s="636">
        <f t="shared" si="84"/>
        <v>1</v>
      </c>
      <c r="AD13" s="637">
        <f>IF(M13="","",Z13*(1/SQRT(Z13^2+AA13^2+AB13^2)))</f>
        <v>0.96583259277321132</v>
      </c>
      <c r="AE13" s="629">
        <f t="shared" si="85"/>
        <v>-5.2246285098542566E-2</v>
      </c>
      <c r="AF13" s="633">
        <f t="shared" si="86"/>
        <v>-0.25384587534639602</v>
      </c>
      <c r="AG13" s="602">
        <f>IF(M13="","",DEGREES(ATAN2(-AF13,AE13)))</f>
        <v>-11.630147563258749</v>
      </c>
      <c r="AH13" s="603">
        <f t="shared" si="88"/>
        <v>15.0206256117129</v>
      </c>
      <c r="AI13" s="585">
        <f t="shared" si="89"/>
        <v>-75.294791388838973</v>
      </c>
      <c r="AJ13" s="586">
        <f t="shared" si="90"/>
        <v>86.903628126732784</v>
      </c>
      <c r="AK13" s="635">
        <f t="shared" si="211"/>
        <v>0.96592583607220739</v>
      </c>
      <c r="AL13" s="629">
        <f t="shared" si="91"/>
        <v>-5.0493076533612041E-2</v>
      </c>
      <c r="AM13" s="634">
        <f t="shared" si="92"/>
        <v>-0.25384587534639602</v>
      </c>
      <c r="AN13" s="581">
        <f t="shared" si="93"/>
        <v>-11.249998375701177</v>
      </c>
      <c r="AO13" s="582">
        <f t="shared" si="94"/>
        <v>14.999997834268255</v>
      </c>
      <c r="AP13" s="585">
        <f t="shared" si="95"/>
        <v>-2.9923718882829515</v>
      </c>
      <c r="AQ13" s="586">
        <f t="shared" si="9"/>
        <v>0.68987095643676111</v>
      </c>
      <c r="AS13" s="52">
        <f t="shared" si="116"/>
        <v>-0.10399998498428431</v>
      </c>
      <c r="AT13" s="72">
        <f t="shared" si="10"/>
        <v>-9.5928067325078775E-2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5.3614789321123249E-2</v>
      </c>
      <c r="C14" s="708">
        <v>4.0577580510487223</v>
      </c>
      <c r="D14" s="709">
        <v>-0.39500119132359307</v>
      </c>
      <c r="E14" s="710">
        <v>-0.96394178456721535</v>
      </c>
      <c r="F14" s="708">
        <v>0.15654114517180587</v>
      </c>
      <c r="G14" s="711">
        <v>0.2152001529592209</v>
      </c>
      <c r="H14" s="710">
        <v>0.314</v>
      </c>
      <c r="I14" s="708">
        <v>0.52</v>
      </c>
      <c r="J14" s="570">
        <v>1.1259999999999999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1.1259999999999999</v>
      </c>
      <c r="N14" s="632">
        <f t="shared" si="2"/>
        <v>5.3614789321123249E-2</v>
      </c>
      <c r="O14" s="629">
        <f t="shared" si="3"/>
        <v>4.0577580510487223</v>
      </c>
      <c r="P14" s="633">
        <f t="shared" si="4"/>
        <v>-0.39500119132359307</v>
      </c>
      <c r="Q14" s="585">
        <f t="shared" si="113"/>
        <v>89.24300010929727</v>
      </c>
      <c r="R14" s="629">
        <f t="shared" si="79"/>
        <v>4.0581122392665128</v>
      </c>
      <c r="S14" s="634">
        <f t="shared" si="80"/>
        <v>-0.39500119132359307</v>
      </c>
      <c r="T14" s="635">
        <f t="shared" si="81"/>
        <v>4.0577580510487214</v>
      </c>
      <c r="U14" s="629">
        <f t="shared" si="82"/>
        <v>-5.3614789321121861E-2</v>
      </c>
      <c r="V14" s="636">
        <f t="shared" si="114"/>
        <v>-0.39500119132359307</v>
      </c>
      <c r="W14" s="585">
        <f t="shared" si="5"/>
        <v>359.24300010929727</v>
      </c>
      <c r="X14" s="629">
        <f t="shared" si="83"/>
        <v>4.0581122392665128</v>
      </c>
      <c r="Y14" s="630">
        <f t="shared" ref="Y14:Y75" si="223">IF(M14="","",S14)</f>
        <v>-0.39500119132359307</v>
      </c>
      <c r="Z14" s="632">
        <f t="shared" si="6"/>
        <v>0.96394178456721535</v>
      </c>
      <c r="AA14" s="629">
        <f t="shared" si="7"/>
        <v>-0.15654114517180587</v>
      </c>
      <c r="AB14" s="629">
        <f t="shared" si="8"/>
        <v>-0.2152001529592209</v>
      </c>
      <c r="AC14" s="636">
        <f t="shared" si="84"/>
        <v>1</v>
      </c>
      <c r="AD14" s="637">
        <f>IF(M14="","",Z14*(1/SQRT(Z14^2+AA14^2+AB14^2)))</f>
        <v>0.96394178456721535</v>
      </c>
      <c r="AE14" s="629">
        <f t="shared" si="85"/>
        <v>-0.15654114517180587</v>
      </c>
      <c r="AF14" s="633">
        <f t="shared" si="86"/>
        <v>-0.2152001529592209</v>
      </c>
      <c r="AG14" s="602">
        <f t="shared" si="87"/>
        <v>-36.032935487796244</v>
      </c>
      <c r="AH14" s="603">
        <f t="shared" si="88"/>
        <v>15.433109897470025</v>
      </c>
      <c r="AI14" s="585">
        <f t="shared" si="89"/>
        <v>-77.572729900037572</v>
      </c>
      <c r="AJ14" s="586">
        <f t="shared" si="90"/>
        <v>80.775869790658689</v>
      </c>
      <c r="AK14" s="635">
        <f>IF(M14="","",(COS(RADIANS((90-$Q$8)-W14))*AD14)+(-SIN(RADIANS((90-$Q$8)-W14))*AE14))</f>
        <v>0.96592583607220739</v>
      </c>
      <c r="AL14" s="629">
        <f t="shared" si="91"/>
        <v>-0.14379211861063609</v>
      </c>
      <c r="AM14" s="634">
        <f t="shared" si="92"/>
        <v>-0.2152001529592209</v>
      </c>
      <c r="AN14" s="581">
        <f t="shared" si="93"/>
        <v>-33.749995127103638</v>
      </c>
      <c r="AO14" s="582">
        <f t="shared" si="94"/>
        <v>14.999997834268255</v>
      </c>
      <c r="AP14" s="585">
        <f>IF(M14="","",DEGREES(ATAN2(AK14,AL14)))</f>
        <v>-8.4671303186386009</v>
      </c>
      <c r="AQ14" s="586">
        <f t="shared" si="9"/>
        <v>0.56175222603315156</v>
      </c>
      <c r="AS14" s="52">
        <f t="shared" si="116"/>
        <v>-0.75699989070272977</v>
      </c>
      <c r="AT14" s="72">
        <f t="shared" si="10"/>
        <v>-0.39447549695504952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1.1259999999999999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0.12004597430243065</v>
      </c>
      <c r="C15" s="708">
        <v>4.618253971243905</v>
      </c>
      <c r="D15" s="709">
        <v>-0.91970277382356591</v>
      </c>
      <c r="E15" s="710">
        <v>-0.94983552347927491</v>
      </c>
      <c r="F15" s="708">
        <v>0.26130335351708184</v>
      </c>
      <c r="G15" s="711">
        <v>0.17185178433050594</v>
      </c>
      <c r="H15" s="710">
        <v>0.314</v>
      </c>
      <c r="I15" s="708">
        <v>0.52</v>
      </c>
      <c r="J15" s="570">
        <v>1.135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2">
        <f>IF($L14=$JH$22,$JH$29,IF($L14=$JI$22,$JI$29,""))</f>
        <v>0</v>
      </c>
      <c r="M15" s="168">
        <f t="shared" si="1"/>
        <v>1.135</v>
      </c>
      <c r="N15" s="632">
        <f t="shared" si="2"/>
        <v>0.12004597430243065</v>
      </c>
      <c r="O15" s="629">
        <f t="shared" si="3"/>
        <v>4.618253971243905</v>
      </c>
      <c r="P15" s="633">
        <f t="shared" si="4"/>
        <v>-0.91970277382356591</v>
      </c>
      <c r="Q15" s="585">
        <f t="shared" si="113"/>
        <v>88.511000214984975</v>
      </c>
      <c r="R15" s="629">
        <f t="shared" si="79"/>
        <v>4.6198139333588228</v>
      </c>
      <c r="S15" s="634">
        <f t="shared" si="80"/>
        <v>-0.91970277382356591</v>
      </c>
      <c r="T15" s="635">
        <f t="shared" si="81"/>
        <v>4.618253971243905</v>
      </c>
      <c r="U15" s="629">
        <f t="shared" si="82"/>
        <v>-0.12004597430243226</v>
      </c>
      <c r="V15" s="636">
        <f t="shared" si="114"/>
        <v>-0.91970277382356591</v>
      </c>
      <c r="W15" s="585">
        <f>IF(M15="","",IF(Q15-$Q$8&lt;0,360+Q15-$Q$8,Q15-$Q$8))</f>
        <v>358.51100021498496</v>
      </c>
      <c r="X15" s="629">
        <f>IF(M15="","",R15)</f>
        <v>4.6198139333588228</v>
      </c>
      <c r="Y15" s="630">
        <f>IF(M15="","",S15)</f>
        <v>-0.91970277382356591</v>
      </c>
      <c r="Z15" s="632">
        <f t="shared" si="6"/>
        <v>0.94983552347927491</v>
      </c>
      <c r="AA15" s="629">
        <f t="shared" si="7"/>
        <v>-0.26130335351708184</v>
      </c>
      <c r="AB15" s="629">
        <f t="shared" si="8"/>
        <v>-0.17185178433050594</v>
      </c>
      <c r="AC15" s="636">
        <f t="shared" si="84"/>
        <v>1</v>
      </c>
      <c r="AD15" s="637">
        <f t="shared" si="115"/>
        <v>0.94983552347927491</v>
      </c>
      <c r="AE15" s="629">
        <f t="shared" si="85"/>
        <v>-0.26130335351708184</v>
      </c>
      <c r="AF15" s="633">
        <f t="shared" si="86"/>
        <v>-0.17185178433050594</v>
      </c>
      <c r="AG15" s="602">
        <f t="shared" si="87"/>
        <v>-56.668217927425289</v>
      </c>
      <c r="AH15" s="603">
        <f t="shared" si="88"/>
        <v>18.225028542884612</v>
      </c>
      <c r="AI15" s="585">
        <f t="shared" si="89"/>
        <v>-80.104496807723635</v>
      </c>
      <c r="AJ15" s="586">
        <f t="shared" si="90"/>
        <v>74.618220207880071</v>
      </c>
      <c r="AK15" s="635">
        <f t="shared" si="211"/>
        <v>0.95630476848795676</v>
      </c>
      <c r="AL15" s="629">
        <f t="shared" si="91"/>
        <v>-0.23653362126686528</v>
      </c>
      <c r="AM15" s="634">
        <f t="shared" si="92"/>
        <v>-0.17185178433050594</v>
      </c>
      <c r="AN15" s="581">
        <f>IF(M15="","",DEGREES(ATAN2(-AM15,AL15)))</f>
        <v>-53.999992203365743</v>
      </c>
      <c r="AO15" s="582">
        <f t="shared" si="94"/>
        <v>16.999997545504005</v>
      </c>
      <c r="AP15" s="585">
        <f t="shared" si="95"/>
        <v>-13.89278000710488</v>
      </c>
      <c r="AQ15" s="586">
        <f t="shared" si="9"/>
        <v>0.49345499609272997</v>
      </c>
      <c r="AS15" s="52">
        <f t="shared" si="116"/>
        <v>-1.4889997850150394</v>
      </c>
      <c r="AT15" s="72">
        <f t="shared" si="10"/>
        <v>-0.91866874619508321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1.135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0.17294572055838855</v>
      </c>
      <c r="C16" s="708">
        <v>4.9549976847231525</v>
      </c>
      <c r="D16" s="709">
        <v>-1.6098048551714432</v>
      </c>
      <c r="E16" s="710">
        <v>-0.90682690666715504</v>
      </c>
      <c r="F16" s="708">
        <v>0.40794138844275851</v>
      </c>
      <c r="G16" s="711">
        <v>0.10606028917494643</v>
      </c>
      <c r="H16" s="710">
        <v>0.314</v>
      </c>
      <c r="I16" s="708">
        <v>0.52</v>
      </c>
      <c r="J16" s="570">
        <v>1.1439999999999999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1.1439999999999999</v>
      </c>
      <c r="N16" s="632">
        <f t="shared" si="2"/>
        <v>0.17294572055838855</v>
      </c>
      <c r="O16" s="629">
        <f t="shared" si="3"/>
        <v>4.9549976847231525</v>
      </c>
      <c r="P16" s="633">
        <f t="shared" si="4"/>
        <v>-1.6098048551714432</v>
      </c>
      <c r="Q16" s="585">
        <f>IF(M16="","",IF(DEGREES(ATAN2(N16,O16))&lt;0,DEGREES(ATAN2(N16,O16))+360,IF(DEGREES(ATAN2(N16,O16))&gt;360,DEGREES(ATAN2(N16,O16))-360,DEGREES(ATAN2(N16,O16)))))</f>
        <v>88.001000288619849</v>
      </c>
      <c r="R16" s="629">
        <f t="shared" si="79"/>
        <v>4.9580149533730999</v>
      </c>
      <c r="S16" s="634">
        <f t="shared" si="80"/>
        <v>-1.6098048551714432</v>
      </c>
      <c r="T16" s="635">
        <f t="shared" si="81"/>
        <v>4.9549976847231525</v>
      </c>
      <c r="U16" s="629">
        <f t="shared" si="82"/>
        <v>-0.17294572055839194</v>
      </c>
      <c r="V16" s="636">
        <f t="shared" si="114"/>
        <v>-1.6098048551714432</v>
      </c>
      <c r="W16" s="585">
        <f>IF(M16="","",IF(Q16-$Q$8&lt;0,360+Q16-$Q$8,Q16-$Q$8))</f>
        <v>358.00100028861982</v>
      </c>
      <c r="X16" s="629">
        <f t="shared" si="83"/>
        <v>4.9580149533730999</v>
      </c>
      <c r="Y16" s="630">
        <f t="shared" si="223"/>
        <v>-1.6098048551714432</v>
      </c>
      <c r="Z16" s="632">
        <f t="shared" si="6"/>
        <v>0.90682690666715504</v>
      </c>
      <c r="AA16" s="629">
        <f t="shared" si="7"/>
        <v>-0.40794138844275851</v>
      </c>
      <c r="AB16" s="629">
        <f t="shared" si="8"/>
        <v>-0.10606028917494643</v>
      </c>
      <c r="AC16" s="636">
        <f t="shared" si="84"/>
        <v>1</v>
      </c>
      <c r="AD16" s="637">
        <f t="shared" si="115"/>
        <v>0.90682690666715504</v>
      </c>
      <c r="AE16" s="629">
        <f t="shared" si="85"/>
        <v>-0.40794138844275851</v>
      </c>
      <c r="AF16" s="633">
        <f t="shared" si="86"/>
        <v>-0.10606028917494643</v>
      </c>
      <c r="AG16" s="602">
        <f t="shared" si="87"/>
        <v>-75.426372105942704</v>
      </c>
      <c r="AH16" s="603">
        <f t="shared" si="88"/>
        <v>24.9295282470244</v>
      </c>
      <c r="AI16" s="585">
        <f t="shared" si="89"/>
        <v>-83.911742215081546</v>
      </c>
      <c r="AJ16" s="586">
        <f t="shared" si="90"/>
        <v>65.779123423109638</v>
      </c>
      <c r="AK16" s="635">
        <f t="shared" si="211"/>
        <v>0.92050487609870568</v>
      </c>
      <c r="AL16" s="629">
        <f t="shared" si="91"/>
        <v>-0.37606114946725522</v>
      </c>
      <c r="AM16" s="634">
        <f t="shared" si="92"/>
        <v>-0.10606028917494643</v>
      </c>
      <c r="AN16" s="581">
        <f t="shared" si="93"/>
        <v>-74.249989279627897</v>
      </c>
      <c r="AO16" s="582">
        <f t="shared" si="94"/>
        <v>22.9999966792113</v>
      </c>
      <c r="AP16" s="585">
        <f t="shared" si="95"/>
        <v>-22.221876865510183</v>
      </c>
      <c r="AQ16" s="586">
        <f t="shared" si="9"/>
        <v>0.45979645383043366</v>
      </c>
      <c r="AS16" s="52">
        <f t="shared" si="116"/>
        <v>-1.9989997113801792</v>
      </c>
      <c r="AT16" s="72">
        <f t="shared" si="10"/>
        <v>-1.6084166609274293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1.1439999999999999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0.18677862523371935</v>
      </c>
      <c r="C17" s="708">
        <v>5.0337511497986807</v>
      </c>
      <c r="D17" s="709">
        <v>-2.3760071660376125</v>
      </c>
      <c r="E17" s="710">
        <v>-0.84689001742646119</v>
      </c>
      <c r="F17" s="708">
        <v>0.53176808702985889</v>
      </c>
      <c r="G17" s="711">
        <v>1.1339743346350494E-7</v>
      </c>
      <c r="H17" s="710">
        <v>0.314</v>
      </c>
      <c r="I17" s="708">
        <v>0.52</v>
      </c>
      <c r="J17" s="570">
        <v>1.153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1.153</v>
      </c>
      <c r="N17" s="632">
        <f t="shared" si="2"/>
        <v>0.18677862523371935</v>
      </c>
      <c r="O17" s="629">
        <f t="shared" si="3"/>
        <v>5.0337511497986807</v>
      </c>
      <c r="P17" s="633">
        <f t="shared" si="4"/>
        <v>-2.3760071660376125</v>
      </c>
      <c r="Q17" s="585">
        <f>IF(M17="","",IF(DEGREES(ATAN2(N17,O17))&lt;0,DEGREES(ATAN2(N17,O17))+360,IF(DEGREES(ATAN2(N17,O17))&gt;360,DEGREES(ATAN2(N17,O17))-360,DEGREES(ATAN2(N17,O17)))))</f>
        <v>87.875000306811998</v>
      </c>
      <c r="R17" s="629">
        <f>IF(M17="","",SQRT(N17^2+O17^2))</f>
        <v>5.0372151922410202</v>
      </c>
      <c r="S17" s="634">
        <f>IF(M17="","",P17)</f>
        <v>-2.3760071660376125</v>
      </c>
      <c r="T17" s="635">
        <f>IF(M17="","",X17*COS(RADIANS(W17)))</f>
        <v>5.0337511497986807</v>
      </c>
      <c r="U17" s="629">
        <f>IF(M17="","",X17*SIN(RADIANS(W17)))</f>
        <v>-0.18677862523371719</v>
      </c>
      <c r="V17" s="636">
        <f>IF(M17="","",Y17)</f>
        <v>-2.3760071660376125</v>
      </c>
      <c r="W17" s="585">
        <f t="shared" ref="W15:W78" si="224">IF(M17="","",IF(Q17-$Q$8&lt;0,360+Q17-$Q$8,Q17-$Q$8))</f>
        <v>357.87500030681201</v>
      </c>
      <c r="X17" s="629">
        <f>IF(M17="","",R17)</f>
        <v>5.0372151922410202</v>
      </c>
      <c r="Y17" s="630">
        <f t="shared" si="223"/>
        <v>-2.3760071660376125</v>
      </c>
      <c r="Z17" s="632">
        <f t="shared" si="6"/>
        <v>0.84689001742646119</v>
      </c>
      <c r="AA17" s="629">
        <f t="shared" si="7"/>
        <v>-0.53176808702985889</v>
      </c>
      <c r="AB17" s="629">
        <f t="shared" si="8"/>
        <v>-1.1339743346350494E-7</v>
      </c>
      <c r="AC17" s="636">
        <f>IF(M17="","",SQRT(Z17^2+AA17^2+AB17^2))</f>
        <v>1</v>
      </c>
      <c r="AD17" s="637">
        <f>IF(M17="","",Z17*(1/SQRT(Z17^2+AA17^2+AB17^2)))</f>
        <v>0.84689001742646119</v>
      </c>
      <c r="AE17" s="629">
        <f>IF(M17="","",AA17*(1/SQRT(Z17^2+AA17^2+AB17^2)))</f>
        <v>-0.53176808702985889</v>
      </c>
      <c r="AF17" s="633">
        <f>IF(M17="","",AB17*(1/SQRT(Z17^2+AA17^2+AB17^2)))</f>
        <v>-1.1339743346350494E-7</v>
      </c>
      <c r="AG17" s="602">
        <f>IF(M17="","",DEGREES(ATAN2(-AF17,AE17)))</f>
        <v>-89.99998778190249</v>
      </c>
      <c r="AH17" s="603">
        <f>IF(M17="","",DEGREES(ACOS(AD17)))</f>
        <v>32.124995361724487</v>
      </c>
      <c r="AI17" s="585">
        <f>IF(M17="","",DEGREES(-ACOS(-AF17)))</f>
        <v>-89.999993502805651</v>
      </c>
      <c r="AJ17" s="586">
        <f>IF(M17="","",DEGREES(ATAN2(-AE17,AD17)))</f>
        <v>57.875004638276096</v>
      </c>
      <c r="AK17" s="635">
        <f>IF(M17="","",(COS(RADIANS((90-$Q$8)-W17))*AD17)+(-SIN(RADIANS((90-$Q$8)-W17))*AE17))</f>
        <v>0.86602544158358541</v>
      </c>
      <c r="AL17" s="629">
        <f>IF(M17="","",(SIN(RADIANS((90-$Q$8)-W17))*AD17)+(COS(RADIANS((90-$Q$8)-W17))*AE17))</f>
        <v>-0.49999993452993891</v>
      </c>
      <c r="AM17" s="634">
        <f>IF(M17="","",AF17)</f>
        <v>-1.1339743346350494E-7</v>
      </c>
      <c r="AN17" s="581">
        <f>IF(M17="","",DEGREES(ATAN2(-AM17,AL17)))</f>
        <v>-89.999987005609611</v>
      </c>
      <c r="AO17" s="582">
        <f t="shared" si="94"/>
        <v>29.99999566853656</v>
      </c>
      <c r="AP17" s="585">
        <f>IF(M17="","",DEGREES(ATAN2(AK17,AL17)))</f>
        <v>-29.999995668535931</v>
      </c>
      <c r="AQ17" s="586">
        <f t="shared" si="9"/>
        <v>0.4525673677536734</v>
      </c>
      <c r="AS17" s="52">
        <f t="shared" si="116"/>
        <v>-2.1249996931879878</v>
      </c>
      <c r="AT17" s="72">
        <f t="shared" si="10"/>
        <v>-2.374531471806232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1.153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0.19495616452127365</v>
      </c>
      <c r="C18" s="708">
        <v>5.0794753858050354</v>
      </c>
      <c r="D18" s="709">
        <v>-3.1468094907774242</v>
      </c>
      <c r="E18" s="710">
        <v>-0.7965510786999439</v>
      </c>
      <c r="F18" s="708">
        <v>0.6045712356885159</v>
      </c>
      <c r="G18" s="711">
        <v>1.3008419226818077E-7</v>
      </c>
      <c r="H18" s="710">
        <v>0.314</v>
      </c>
      <c r="I18" s="708">
        <v>0.52</v>
      </c>
      <c r="J18" s="570">
        <v>1.1619999999999999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1.1619999999999999</v>
      </c>
      <c r="N18" s="632">
        <f t="shared" si="2"/>
        <v>0.19495616452127365</v>
      </c>
      <c r="O18" s="629">
        <f t="shared" si="3"/>
        <v>5.0794753858050354</v>
      </c>
      <c r="P18" s="633">
        <f t="shared" si="4"/>
        <v>-3.1468094907774242</v>
      </c>
      <c r="Q18" s="585">
        <f t="shared" si="113"/>
        <v>87.802000317351897</v>
      </c>
      <c r="R18" s="629">
        <f>IF(M18="","",SQRT(N18^2+O18^2))</f>
        <v>5.0832153309774375</v>
      </c>
      <c r="S18" s="634">
        <f>IF(M18="","",P18)</f>
        <v>-3.1468094907774242</v>
      </c>
      <c r="T18" s="635">
        <f>IF(M18="","",X18*COS(RADIANS(W18)))</f>
        <v>5.0794753858050354</v>
      </c>
      <c r="U18" s="629">
        <f>IF(M18="","",X18*SIN(RADIANS(W18)))</f>
        <v>-0.19495616452127548</v>
      </c>
      <c r="V18" s="636">
        <f>IF(M18="","",Y18)</f>
        <v>-3.1468094907774242</v>
      </c>
      <c r="W18" s="585">
        <f t="shared" si="224"/>
        <v>357.80200031735188</v>
      </c>
      <c r="X18" s="629">
        <f>IF(M18="","",R18)</f>
        <v>5.0832153309774375</v>
      </c>
      <c r="Y18" s="630">
        <f t="shared" si="223"/>
        <v>-3.1468094907774242</v>
      </c>
      <c r="Z18" s="632">
        <f t="shared" si="6"/>
        <v>0.7965510786999439</v>
      </c>
      <c r="AA18" s="629">
        <f t="shared" si="7"/>
        <v>-0.6045712356885159</v>
      </c>
      <c r="AB18" s="629">
        <f t="shared" si="8"/>
        <v>-1.3008419226818077E-7</v>
      </c>
      <c r="AC18" s="636">
        <f>IF(M18="","",SQRT(Z18^2+AA18^2+AB18^2))</f>
        <v>1</v>
      </c>
      <c r="AD18" s="637">
        <f>IF(M18="","",Z18*(1/SQRT(Z18^2+AA18^2+AB18^2)))</f>
        <v>0.7965510786999439</v>
      </c>
      <c r="AE18" s="629">
        <f>IF(M18="","",AA18*(1/SQRT(Z18^2+AA18^2+AB18^2)))</f>
        <v>-0.6045712356885159</v>
      </c>
      <c r="AF18" s="633">
        <f>IF(M18="","",AB18*(1/SQRT(Z18^2+AA18^2+AB18^2)))</f>
        <v>-1.3008419226818077E-7</v>
      </c>
      <c r="AG18" s="602">
        <f>IF(M18="","",DEGREES(ATAN2(-AF18,AE18)))</f>
        <v>-89.999987671799857</v>
      </c>
      <c r="AH18" s="603">
        <f>IF(M18="","",DEGREES(ACOS(AD18)))</f>
        <v>37.197994629274021</v>
      </c>
      <c r="AI18" s="585">
        <f>IF(M18="","",DEGREES(-ACOS(-AF18)))</f>
        <v>-89.999992546724798</v>
      </c>
      <c r="AJ18" s="586">
        <f>IF(M18="","",DEGREES(ATAN2(-AE18,AD18)))</f>
        <v>52.802005370726611</v>
      </c>
      <c r="AK18" s="635">
        <f>IF(M18="","",(COS(RADIANS((90-$Q$8)-W18))*AD18)+(-SIN(RADIANS((90-$Q$8)-W18))*AE18))</f>
        <v>0.81915209487729213</v>
      </c>
      <c r="AL18" s="629">
        <f>IF(M18="","",(SIN(RADIANS((90-$Q$8)-W18))*AD18)+(COS(RADIANS((90-$Q$8)-W18))*AE18))</f>
        <v>-0.57357636410344448</v>
      </c>
      <c r="AM18" s="634">
        <f>IF(M18="","",AF18)</f>
        <v>-1.3008419226818077E-7</v>
      </c>
      <c r="AN18" s="581">
        <f>IF(M18="","",DEGREES(ATAN2(-AM18,AL18)))</f>
        <v>-89.999987005609611</v>
      </c>
      <c r="AO18" s="582">
        <f t="shared" si="94"/>
        <v>34.999994946625939</v>
      </c>
      <c r="AP18" s="585">
        <f>IF(M18="","",DEGREES(ATAN2(AK18,AL18)))</f>
        <v>-34.999994946625257</v>
      </c>
      <c r="AQ18" s="586">
        <f t="shared" si="9"/>
        <v>0.44847206464958778</v>
      </c>
      <c r="AS18" s="52">
        <f t="shared" si="116"/>
        <v>-2.197999682648117</v>
      </c>
      <c r="AT18" s="72">
        <f t="shared" si="10"/>
        <v>-3.1452831021089187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1.1619999999999999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0.99392250446003272</v>
      </c>
      <c r="C19" s="708">
        <v>1.5160414631006693</v>
      </c>
      <c r="D19" s="709">
        <v>-0.25840000000000024</v>
      </c>
      <c r="E19" s="710">
        <v>-0.14190512201916847</v>
      </c>
      <c r="F19" s="708">
        <v>-0.21644910614964497</v>
      </c>
      <c r="G19" s="711">
        <v>0.96592583607218252</v>
      </c>
      <c r="H19" s="710">
        <v>0.25700000000000001</v>
      </c>
      <c r="I19" s="708">
        <v>0.41499999999999992</v>
      </c>
      <c r="J19" s="570">
        <v>1.2070000000000001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CPS-32193r1</v>
      </c>
      <c r="L19" s="775" t="s">
        <v>366</v>
      </c>
      <c r="M19" s="168">
        <f t="shared" si="1"/>
        <v>1.2070000000000001</v>
      </c>
      <c r="N19" s="632">
        <f t="shared" si="2"/>
        <v>0.99392250446003272</v>
      </c>
      <c r="O19" s="629">
        <f t="shared" si="3"/>
        <v>1.5160414631006693</v>
      </c>
      <c r="P19" s="633">
        <f t="shared" si="4"/>
        <v>-0.25840000000000024</v>
      </c>
      <c r="Q19" s="585">
        <f t="shared" si="113"/>
        <v>56.750999999999998</v>
      </c>
      <c r="R19" s="629">
        <f>IF(M19="","",SQRT(N19^2+O19^2))</f>
        <v>1.8128054674212901</v>
      </c>
      <c r="S19" s="634">
        <f>IF(M19="","",P19)</f>
        <v>-0.25840000000000024</v>
      </c>
      <c r="T19" s="635">
        <f>IF(M19="","",X19*COS(RADIANS(W19)))</f>
        <v>1.5160414631006687</v>
      </c>
      <c r="U19" s="629">
        <f>IF(M19="","",X19*SIN(RADIANS(W19)))</f>
        <v>-0.99392250446003383</v>
      </c>
      <c r="V19" s="636">
        <f>IF(M19="","",Y19)</f>
        <v>-0.25840000000000024</v>
      </c>
      <c r="W19" s="585">
        <f t="shared" si="224"/>
        <v>326.75099999999998</v>
      </c>
      <c r="X19" s="629">
        <f>IF(M19="","",R19)</f>
        <v>1.8128054674212901</v>
      </c>
      <c r="Y19" s="630">
        <f t="shared" si="223"/>
        <v>-0.25840000000000024</v>
      </c>
      <c r="Z19" s="632">
        <f t="shared" si="6"/>
        <v>0.14190512201916847</v>
      </c>
      <c r="AA19" s="629">
        <f t="shared" si="7"/>
        <v>0.21644910614964497</v>
      </c>
      <c r="AB19" s="629">
        <f t="shared" si="8"/>
        <v>-0.96592583607218252</v>
      </c>
      <c r="AC19" s="636">
        <f>IF(M19="","",SQRT(Z19^2+AA19^2+AB19^2))</f>
        <v>1</v>
      </c>
      <c r="AD19" s="637">
        <f>IF(M19="","",Z19*(1/SQRT(Z19^2+AA19^2+AB19^2)))</f>
        <v>0.14190512201916847</v>
      </c>
      <c r="AE19" s="629">
        <f>IF(M19="","",AA19*(1/SQRT(Z19^2+AA19^2+AB19^2)))</f>
        <v>0.21644910614964497</v>
      </c>
      <c r="AF19" s="633">
        <f>IF(M19="","",AB19*(1/SQRT(Z19^2+AA19^2+AB19^2)))</f>
        <v>-0.96592583607218252</v>
      </c>
      <c r="AG19" s="602">
        <f>IF(M19="","",DEGREES(ATAN2(-AF19,AE19)))</f>
        <v>12.630452511941007</v>
      </c>
      <c r="AH19" s="603">
        <f>IF(M19="","",DEGREES(ACOS(AD19)))</f>
        <v>81.841897524197691</v>
      </c>
      <c r="AI19" s="585">
        <f>IF(M19="","",DEGREES(-ACOS(-AF19)))</f>
        <v>-14.999997834273763</v>
      </c>
      <c r="AJ19" s="586">
        <f>IF(M19="","",DEGREES(ATAN2(-AE19,AD19)))</f>
        <v>146.7509497935238</v>
      </c>
      <c r="AK19" s="635">
        <f>IF(M19="","",(COS(RADIANS((90-$Q$8)-W19))*AD19)+(-SIN(RADIANS((90-$Q$8)-W19))*AE19))</f>
        <v>2.2679489643240291E-7</v>
      </c>
      <c r="AL19" s="629">
        <f>IF(M19="","",(SIN(RADIANS((90-$Q$8)-W19))*AD19)+(COS(RADIANS((90-$Q$8)-W19))*AE19))</f>
        <v>0.25881900859133961</v>
      </c>
      <c r="AM19" s="634">
        <f>IF(M19="","",AF19)</f>
        <v>-0.96592583607218252</v>
      </c>
      <c r="AN19" s="581">
        <f>IF(M19="","",DEGREES(ATAN2(-AM19,AL19)))</f>
        <v>14.999997834268287</v>
      </c>
      <c r="AO19" s="582">
        <f t="shared" si="94"/>
        <v>0</v>
      </c>
      <c r="AP19" s="585">
        <f>IF(M19="","",DEGREES(ATAN2(AK19,AL19)))</f>
        <v>89.999949793523854</v>
      </c>
      <c r="AQ19" s="586">
        <f t="shared" si="9"/>
        <v>1.2573663836723672</v>
      </c>
      <c r="AS19" s="52">
        <f t="shared" si="116"/>
        <v>-33.249000000000024</v>
      </c>
      <c r="AT19" s="72">
        <f t="shared" si="10"/>
        <v>-0.23531041666666688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1.2070000000000001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1.107</v>
      </c>
      <c r="II19" s="734" cm="1">
        <f t="array" ref="II19">IFERROR(IF($IH19&lt;1,$IH19+LARGE((IF($M$9:$M$150="",0,$M$9:$M$150)-MOD(IF($M$9:$M$150="",0,$M$9:$M$150),1)),1),$IH19),"")</f>
        <v>1.107</v>
      </c>
      <c r="IJ19" s="533">
        <f t="shared" si="112"/>
        <v>1613</v>
      </c>
      <c r="IK19" s="533" t="str">
        <f t="shared" si="66"/>
        <v>CPS-32193r1</v>
      </c>
      <c r="IL19" s="727">
        <f t="shared" si="225"/>
        <v>33.249000000000024</v>
      </c>
      <c r="IM19" s="759">
        <v>2.5660114378978E-2</v>
      </c>
      <c r="IN19" s="5">
        <f t="shared" si="226"/>
        <v>0.28000000000000003</v>
      </c>
      <c r="IO19" s="771">
        <v>140</v>
      </c>
      <c r="IP19" s="9">
        <f t="shared" si="227"/>
        <v>-1.8249055039149997</v>
      </c>
      <c r="IQ19" s="5">
        <f t="shared" si="228"/>
        <v>-0.27590083211690969</v>
      </c>
      <c r="IR19" s="5">
        <f t="shared" si="71"/>
        <v>0.314</v>
      </c>
      <c r="IS19" s="5">
        <f t="shared" si="229"/>
        <v>0.30330071252667312</v>
      </c>
      <c r="IT19" s="727">
        <f t="shared" si="230"/>
        <v>-14.999997834268271</v>
      </c>
      <c r="IU19" s="9">
        <f t="shared" si="231"/>
        <v>-1.8128054674212901</v>
      </c>
      <c r="IV19" s="5">
        <f t="shared" si="232"/>
        <v>-0.25840000000000024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-14.999997834268287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0.99975880766720238</v>
      </c>
      <c r="C20" s="708">
        <v>2.3224627319132187</v>
      </c>
      <c r="D20" s="709">
        <v>-6.6200000000000023E-2</v>
      </c>
      <c r="E20" s="710">
        <v>-6.1853575985933523E-2</v>
      </c>
      <c r="F20" s="708">
        <v>-0.14368670774249964</v>
      </c>
      <c r="G20" s="711">
        <v>0.98768834414296591</v>
      </c>
      <c r="H20" s="710">
        <v>0.25700000000000001</v>
      </c>
      <c r="I20" s="708">
        <v>0.41499999999999992</v>
      </c>
      <c r="J20" s="570">
        <v>1.2110000000000001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CPS-32193r1</v>
      </c>
      <c r="L20" s="774">
        <f>IF($L19=$JH$22,$JH$30,IF($L19=$JI$22,$JI$30,""))</f>
        <v>130</v>
      </c>
      <c r="M20" s="168">
        <f t="shared" si="1"/>
        <v>1.2110000000000001</v>
      </c>
      <c r="N20" s="632">
        <f t="shared" si="2"/>
        <v>0.99975880766720238</v>
      </c>
      <c r="O20" s="629">
        <f t="shared" si="3"/>
        <v>2.3224627319132187</v>
      </c>
      <c r="P20" s="633">
        <f t="shared" si="4"/>
        <v>-6.6200000000000023E-2</v>
      </c>
      <c r="Q20" s="585">
        <f t="shared" si="113"/>
        <v>66.709400000000002</v>
      </c>
      <c r="R20" s="629">
        <f>IF(M20="","",SQRT(N20^2+O20^2))</f>
        <v>2.5285076259789996</v>
      </c>
      <c r="S20" s="634">
        <f>IF(M20="","",P20)</f>
        <v>-6.6200000000000023E-2</v>
      </c>
      <c r="T20" s="635">
        <f>IF(M20="","",X20*COS(RADIANS(W20)))</f>
        <v>2.3224627319132192</v>
      </c>
      <c r="U20" s="629">
        <f>IF(M20="","",X20*SIN(RADIANS(W20)))</f>
        <v>-0.99975880766720104</v>
      </c>
      <c r="V20" s="636">
        <f>IF(M20="","",Y20)</f>
        <v>-6.6200000000000023E-2</v>
      </c>
      <c r="W20" s="585">
        <f t="shared" si="224"/>
        <v>336.70940000000002</v>
      </c>
      <c r="X20" s="629">
        <f>IF(M20="","",R20)</f>
        <v>2.5285076259789996</v>
      </c>
      <c r="Y20" s="630">
        <f t="shared" si="223"/>
        <v>-6.6200000000000023E-2</v>
      </c>
      <c r="Z20" s="632">
        <f t="shared" si="6"/>
        <v>6.1853575985933523E-2</v>
      </c>
      <c r="AA20" s="629">
        <f t="shared" si="7"/>
        <v>0.14368670774249964</v>
      </c>
      <c r="AB20" s="629">
        <f t="shared" si="8"/>
        <v>-0.98768834414296591</v>
      </c>
      <c r="AC20" s="636">
        <f>IF(M20="","",SQRT(Z20^2+AA20^2+AB20^2))</f>
        <v>1</v>
      </c>
      <c r="AD20" s="637">
        <f>IF(M20="","",Z20*(1/SQRT(Z20^2+AA20^2+AB20^2)))</f>
        <v>6.1853575985933523E-2</v>
      </c>
      <c r="AE20" s="629">
        <f>IF(M20="","",AA20*(1/SQRT(Z20^2+AA20^2+AB20^2)))</f>
        <v>0.14368670774249964</v>
      </c>
      <c r="AF20" s="633">
        <f>IF(M20="","",AB20*(1/SQRT(Z20^2+AA20^2+AB20^2)))</f>
        <v>-0.98768834414296591</v>
      </c>
      <c r="AG20" s="602">
        <f>IF(M20="","",DEGREES(ATAN2(-AF20,AE20)))</f>
        <v>8.277196488538614</v>
      </c>
      <c r="AH20" s="603">
        <f>IF(M20="","",DEGREES(ACOS(AD20)))</f>
        <v>86.453787470577552</v>
      </c>
      <c r="AI20" s="585">
        <f>IF(M20="","",DEGREES(-ACOS(-AF20)))</f>
        <v>-8.9999987005702629</v>
      </c>
      <c r="AJ20" s="586">
        <f>IF(M20="","",DEGREES(ATAN2(-AE20,AD20)))</f>
        <v>156.70931693395534</v>
      </c>
      <c r="AK20" s="635">
        <f>IF(M20="","",(COS(RADIANS((90-$Q$8)-W20))*AD20)+(-SIN(RADIANS((90-$Q$8)-W20))*AE20))</f>
        <v>2.2679489677934761E-7</v>
      </c>
      <c r="AL20" s="629">
        <f>IF(M20="","",(SIN(RADIANS((90-$Q$8)-W20))*AD20)+(COS(RADIANS((90-$Q$8)-W20))*AE20))</f>
        <v>0.15643444263995931</v>
      </c>
      <c r="AM20" s="634">
        <f>IF(M20="","",AF20)</f>
        <v>-0.98768834414296591</v>
      </c>
      <c r="AN20" s="581">
        <f>IF(M20="","",DEGREES(ATAN2(-AM20,AL20)))</f>
        <v>8.9999987005609619</v>
      </c>
      <c r="AO20" s="582">
        <f t="shared" si="94"/>
        <v>0</v>
      </c>
      <c r="AP20" s="585">
        <f>IF(M20="","",DEGREES(ATAN2(AK20,AL20)))</f>
        <v>89.999916933955333</v>
      </c>
      <c r="AQ20" s="586">
        <f t="shared" si="9"/>
        <v>0.90153514477750196</v>
      </c>
      <c r="AS20" s="52">
        <f t="shared" si="116"/>
        <v>-23.290599999999984</v>
      </c>
      <c r="AT20" s="72">
        <f t="shared" si="10"/>
        <v>-5.0025972222222256E-2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1.2110000000000001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734" cm="1">
        <f t="array" ref="II20">IFERROR(IF($IH20&lt;1,$IH20+LARGE((IF($M$9:$M$150="",0,$M$9:$M$150)-MOD(IF($M$9:$M$150="",0,$M$9:$M$150),1)),1),$IH20),"")</f>
        <v>1.111</v>
      </c>
      <c r="IJ20" s="533">
        <f t="shared" si="112"/>
        <v>1613</v>
      </c>
      <c r="IK20" s="533" t="str">
        <f t="shared" si="66"/>
        <v>CPS-32193r1</v>
      </c>
      <c r="IL20" s="727">
        <f t="shared" si="225"/>
        <v>23.290599999999984</v>
      </c>
      <c r="IM20" s="759">
        <v>1.85025172584997E-2</v>
      </c>
      <c r="IN20" s="5">
        <f t="shared" si="226"/>
        <v>0.28000000000000003</v>
      </c>
      <c r="IO20" s="771">
        <v>140</v>
      </c>
      <c r="IP20" s="9">
        <f t="shared" si="227"/>
        <v>-2.5358076479958664</v>
      </c>
      <c r="IQ20" s="5">
        <f t="shared" si="228"/>
        <v>-9.3100280790446868E-2</v>
      </c>
      <c r="IR20" s="5">
        <f t="shared" si="71"/>
        <v>0.314</v>
      </c>
      <c r="IS20" s="5">
        <f t="shared" si="229"/>
        <v>0.30330071252667312</v>
      </c>
      <c r="IT20" s="727">
        <f t="shared" si="230"/>
        <v>-8.9999987005609743</v>
      </c>
      <c r="IU20" s="9">
        <f t="shared" si="231"/>
        <v>-2.5285076259789996</v>
      </c>
      <c r="IV20" s="5">
        <f t="shared" si="232"/>
        <v>-6.6200000000000023E-2</v>
      </c>
      <c r="IW20" s="5">
        <f t="shared" si="76"/>
        <v>0.25700000000000001</v>
      </c>
      <c r="IX20" s="5">
        <f t="shared" si="233"/>
        <v>0.25700000000000001</v>
      </c>
      <c r="IY20" s="762">
        <f t="shared" si="234"/>
        <v>-8.9999987005609619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2.0329163772549426</v>
      </c>
      <c r="C21" s="708">
        <v>3.4273568238850958</v>
      </c>
      <c r="D21" s="709">
        <v>-0.35010105590478463</v>
      </c>
      <c r="E21" s="710">
        <v>-0.7617874723837369</v>
      </c>
      <c r="F21" s="708">
        <v>0.60908161061991895</v>
      </c>
      <c r="G21" s="711">
        <v>0.22067949275780691</v>
      </c>
      <c r="H21" s="710">
        <v>0.314</v>
      </c>
      <c r="I21" s="708">
        <v>0.52</v>
      </c>
      <c r="J21" s="570">
        <v>2.125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2.125</v>
      </c>
      <c r="N21" s="632">
        <f t="shared" si="2"/>
        <v>2.0329163772549426</v>
      </c>
      <c r="O21" s="629">
        <f t="shared" si="3"/>
        <v>3.4273568238850958</v>
      </c>
      <c r="P21" s="633">
        <f t="shared" si="4"/>
        <v>-0.35010105590478463</v>
      </c>
      <c r="Q21" s="585">
        <f t="shared" si="113"/>
        <v>59.325952451215421</v>
      </c>
      <c r="R21" s="629">
        <f>IF(M21="","",SQRT(N21^2+O21^2))</f>
        <v>3.984912018494648</v>
      </c>
      <c r="S21" s="634">
        <f>IF(M21="","",P21)</f>
        <v>-0.35010105590478463</v>
      </c>
      <c r="T21" s="635">
        <f>IF(M21="","",X21*COS(RADIANS(W21)))</f>
        <v>3.4273568238850953</v>
      </c>
      <c r="U21" s="629">
        <f>IF(M21="","",X21*SIN(RADIANS(W21)))</f>
        <v>-2.032916377254943</v>
      </c>
      <c r="V21" s="636">
        <f>IF(M21="","",Y21)</f>
        <v>-0.35010105590478463</v>
      </c>
      <c r="W21" s="585">
        <f t="shared" si="224"/>
        <v>329.32595245121541</v>
      </c>
      <c r="X21" s="629">
        <f>IF(M21="","",R21)</f>
        <v>3.984912018494648</v>
      </c>
      <c r="Y21" s="630">
        <f t="shared" si="223"/>
        <v>-0.35010105590478463</v>
      </c>
      <c r="Z21" s="632">
        <f t="shared" si="6"/>
        <v>0.7617874723837369</v>
      </c>
      <c r="AA21" s="629">
        <f t="shared" si="7"/>
        <v>-0.60908161061991895</v>
      </c>
      <c r="AB21" s="629">
        <f t="shared" si="8"/>
        <v>-0.22067949275780691</v>
      </c>
      <c r="AC21" s="636">
        <f>IF(M21="","",SQRT(Z21^2+AA21^2+AB21^2))</f>
        <v>1.0000000000000002</v>
      </c>
      <c r="AD21" s="637">
        <f>IF(M21="","",Z21*(1/SQRT(Z21^2+AA21^2+AB21^2)))</f>
        <v>0.76178747238373667</v>
      </c>
      <c r="AE21" s="629">
        <f>IF(M21="","",AA21*(1/SQRT(Z21^2+AA21^2+AB21^2)))</f>
        <v>-0.60908161061991883</v>
      </c>
      <c r="AF21" s="633">
        <f>IF(M21="","",AB21*(1/SQRT(Z21^2+AA21^2+AB21^2)))</f>
        <v>-0.22067949275780685</v>
      </c>
      <c r="AG21" s="602">
        <f>IF(M21="","",DEGREES(ATAN2(-AF21,AE21)))</f>
        <v>-70.083781119445817</v>
      </c>
      <c r="AH21" s="603">
        <f>IF(M21="","",DEGREES(ACOS(AD21)))</f>
        <v>40.37796808845173</v>
      </c>
      <c r="AI21" s="585">
        <f>IF(M21="","",DEGREES(-ACOS(-AF21)))</f>
        <v>-77.251054003116096</v>
      </c>
      <c r="AJ21" s="586">
        <f>IF(M21="","",DEGREES(ATAN2(-AE21,AD21)))</f>
        <v>51.356171835284158</v>
      </c>
      <c r="AK21" s="635">
        <f>IF(M21="","",(COS(RADIANS((90-$Q$8)-W21))*AD21)+(-SIN(RADIANS((90-$Q$8)-W21))*AE21))</f>
        <v>0.96592583607220717</v>
      </c>
      <c r="AL21" s="629">
        <f>IF(M21="","",(SIN(RADIANS((90-$Q$8)-W21))*AD21)+(COS(RADIANS((90-$Q$8)-W21))*AE21))</f>
        <v>-0.13523254299303955</v>
      </c>
      <c r="AM21" s="634">
        <f>IF(M21="","",AF21)</f>
        <v>-0.22067949275780685</v>
      </c>
      <c r="AN21" s="581">
        <f>IF(M21="","",DEGREES(ATAN2(-AM21,AL21)))</f>
        <v>-31.499995451963358</v>
      </c>
      <c r="AO21" s="582">
        <f>IF(ROUND(IF(M21="",0,DEGREES(ACOS(AK21))),4)=90,0,IF(M21="","",DEGREES(ACOS(AK21))))</f>
        <v>14.999997834268306</v>
      </c>
      <c r="AP21" s="585">
        <f>IF(M21="","",DEGREES(ATAN2(AK21,AL21)))</f>
        <v>-7.9697806159312492</v>
      </c>
      <c r="AQ21" s="586">
        <f t="shared" si="9"/>
        <v>0.57207056646260745</v>
      </c>
      <c r="AS21" s="52">
        <f t="shared" si="116"/>
        <v>-30.674047548784586</v>
      </c>
      <c r="AT21" s="72">
        <f t="shared" si="10"/>
        <v>-0.32879963399590645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2.125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2.3805701920698756</v>
      </c>
      <c r="C22" s="708">
        <v>3.8978507770437711</v>
      </c>
      <c r="D22" s="709">
        <v>-0.85170256873494732</v>
      </c>
      <c r="E22" s="710">
        <v>-0.70753847166974904</v>
      </c>
      <c r="F22" s="708">
        <v>0.68576194890915887</v>
      </c>
      <c r="G22" s="711">
        <v>0.17064542342397609</v>
      </c>
      <c r="H22" s="710">
        <v>0.314</v>
      </c>
      <c r="I22" s="708">
        <v>0.52</v>
      </c>
      <c r="J22" s="570">
        <v>2.1339999999999999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2" t="str">
        <f>IF($L21=$JH$22,$JH$30,IF($L21=$JI$22,$JI$30,""))</f>
        <v/>
      </c>
      <c r="M22" s="168">
        <f t="shared" si="1"/>
        <v>2.1339999999999999</v>
      </c>
      <c r="N22" s="632">
        <f t="shared" si="2"/>
        <v>2.3805701920698756</v>
      </c>
      <c r="O22" s="629">
        <f t="shared" si="3"/>
        <v>3.8978507770437711</v>
      </c>
      <c r="P22" s="633">
        <f t="shared" si="4"/>
        <v>-0.85170256873494732</v>
      </c>
      <c r="Q22" s="585">
        <f t="shared" si="113"/>
        <v>58.585952558058196</v>
      </c>
      <c r="R22" s="629">
        <f t="shared" si="79"/>
        <v>4.5673137750183459</v>
      </c>
      <c r="S22" s="634">
        <f t="shared" si="80"/>
        <v>-0.85170256873494732</v>
      </c>
      <c r="T22" s="635">
        <f t="shared" si="81"/>
        <v>3.8978507770437703</v>
      </c>
      <c r="U22" s="629">
        <f t="shared" si="82"/>
        <v>-2.380570192069877</v>
      </c>
      <c r="V22" s="636">
        <f t="shared" si="114"/>
        <v>-0.85170256873494732</v>
      </c>
      <c r="W22" s="585">
        <f t="shared" si="224"/>
        <v>328.58595255805818</v>
      </c>
      <c r="X22" s="629">
        <f t="shared" si="83"/>
        <v>4.5673137750183459</v>
      </c>
      <c r="Y22" s="630">
        <f t="shared" si="223"/>
        <v>-0.85170256873494732</v>
      </c>
      <c r="Z22" s="632">
        <f t="shared" si="6"/>
        <v>0.70753847166974904</v>
      </c>
      <c r="AA22" s="629">
        <f t="shared" si="7"/>
        <v>-0.68576194890915887</v>
      </c>
      <c r="AB22" s="629">
        <f t="shared" si="8"/>
        <v>-0.17064542342397609</v>
      </c>
      <c r="AC22" s="636">
        <f t="shared" si="84"/>
        <v>1</v>
      </c>
      <c r="AD22" s="637">
        <f t="shared" si="115"/>
        <v>0.70753847166974904</v>
      </c>
      <c r="AE22" s="629">
        <f t="shared" si="85"/>
        <v>-0.68576194890915887</v>
      </c>
      <c r="AF22" s="633">
        <f t="shared" si="86"/>
        <v>-0.17064542342397609</v>
      </c>
      <c r="AG22" s="602">
        <f t="shared" si="87"/>
        <v>-76.026294045611948</v>
      </c>
      <c r="AH22" s="603">
        <f t="shared" si="88"/>
        <v>44.965010095149644</v>
      </c>
      <c r="AI22" s="585">
        <f t="shared" si="89"/>
        <v>-80.174652552153219</v>
      </c>
      <c r="AJ22" s="586">
        <f t="shared" si="90"/>
        <v>45.895428758162168</v>
      </c>
      <c r="AK22" s="635">
        <f t="shared" si="211"/>
        <v>0.96126170705176639</v>
      </c>
      <c r="AL22" s="629">
        <f t="shared" si="91"/>
        <v>-0.21646262961623697</v>
      </c>
      <c r="AM22" s="634">
        <f t="shared" si="92"/>
        <v>-0.17064542342397609</v>
      </c>
      <c r="AN22" s="581">
        <f t="shared" si="93"/>
        <v>-51.749992528225434</v>
      </c>
      <c r="AO22" s="582">
        <f t="shared" si="94"/>
        <v>15.999997689886111</v>
      </c>
      <c r="AP22" s="585">
        <f t="shared" si="95"/>
        <v>-12.690523799896003</v>
      </c>
      <c r="AQ22" s="586">
        <f t="shared" si="9"/>
        <v>0.49912685563662335</v>
      </c>
      <c r="AS22" s="52">
        <f t="shared" si="116"/>
        <v>-31.414047441941818</v>
      </c>
      <c r="AT22" s="72">
        <f t="shared" si="10"/>
        <v>-0.82988725801137664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2.1339999999999999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2.6112347826253743</v>
      </c>
      <c r="C23" s="708">
        <v>4.185340525245274</v>
      </c>
      <c r="D23" s="709">
        <v>-1.5277046075570966</v>
      </c>
      <c r="E23" s="710">
        <v>-0.59805428328405286</v>
      </c>
      <c r="F23" s="708">
        <v>0.79305153100845482</v>
      </c>
      <c r="G23" s="711">
        <v>0.11575985232689119</v>
      </c>
      <c r="H23" s="710">
        <v>0.314</v>
      </c>
      <c r="I23" s="708">
        <v>0.52</v>
      </c>
      <c r="J23" s="570">
        <v>2.1429999999999998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2.1429999999999998</v>
      </c>
      <c r="N23" s="632">
        <f t="shared" si="2"/>
        <v>2.6112347826253743</v>
      </c>
      <c r="O23" s="629">
        <f t="shared" si="3"/>
        <v>4.185340525245274</v>
      </c>
      <c r="P23" s="633">
        <f t="shared" si="4"/>
        <v>-1.5277046075570966</v>
      </c>
      <c r="Q23" s="585">
        <f t="shared" si="113"/>
        <v>58.039952636890824</v>
      </c>
      <c r="R23" s="629">
        <f t="shared" si="79"/>
        <v>4.9331148782744734</v>
      </c>
      <c r="S23" s="634">
        <f t="shared" si="80"/>
        <v>-1.5277046075570966</v>
      </c>
      <c r="T23" s="635">
        <f t="shared" si="81"/>
        <v>4.1853405252452731</v>
      </c>
      <c r="U23" s="629">
        <f t="shared" si="82"/>
        <v>-2.6112347826253748</v>
      </c>
      <c r="V23" s="636">
        <f t="shared" si="114"/>
        <v>-1.5277046075570966</v>
      </c>
      <c r="W23" s="585">
        <f t="shared" si="224"/>
        <v>328.0399526368908</v>
      </c>
      <c r="X23" s="629">
        <f t="shared" si="83"/>
        <v>4.9331148782744734</v>
      </c>
      <c r="Y23" s="630">
        <f t="shared" si="223"/>
        <v>-1.5277046075570966</v>
      </c>
      <c r="Z23" s="632">
        <f t="shared" si="6"/>
        <v>0.59805428328405286</v>
      </c>
      <c r="AA23" s="629">
        <f t="shared" si="7"/>
        <v>-0.79305153100845482</v>
      </c>
      <c r="AB23" s="629">
        <f t="shared" si="8"/>
        <v>-0.11575985232689119</v>
      </c>
      <c r="AC23" s="636">
        <f t="shared" si="84"/>
        <v>1</v>
      </c>
      <c r="AD23" s="637">
        <f t="shared" si="115"/>
        <v>0.59805428328405286</v>
      </c>
      <c r="AE23" s="629">
        <f t="shared" si="85"/>
        <v>-0.79305153100845482</v>
      </c>
      <c r="AF23" s="633">
        <f t="shared" si="86"/>
        <v>-0.11575985232689119</v>
      </c>
      <c r="AG23" s="602">
        <f t="shared" si="87"/>
        <v>-81.695320787848956</v>
      </c>
      <c r="AH23" s="603">
        <f t="shared" si="88"/>
        <v>53.269327320860214</v>
      </c>
      <c r="AI23" s="585">
        <f t="shared" si="89"/>
        <v>-83.352545903620921</v>
      </c>
      <c r="AJ23" s="586">
        <f t="shared" si="90"/>
        <v>37.020596616490657</v>
      </c>
      <c r="AK23" s="635">
        <f t="shared" si="211"/>
        <v>0.92718387533450808</v>
      </c>
      <c r="AL23" s="629">
        <f t="shared" si="91"/>
        <v>-0.35627197182621517</v>
      </c>
      <c r="AM23" s="634">
        <f t="shared" si="92"/>
        <v>-0.11575985232689119</v>
      </c>
      <c r="AN23" s="581">
        <f t="shared" si="93"/>
        <v>-71.999989604487681</v>
      </c>
      <c r="AO23" s="582">
        <f t="shared" si="94"/>
        <v>21.999996823593481</v>
      </c>
      <c r="AP23" s="585">
        <f t="shared" si="95"/>
        <v>-21.019356020400153</v>
      </c>
      <c r="AQ23" s="586">
        <f t="shared" si="9"/>
        <v>0.46211719260284173</v>
      </c>
      <c r="AS23" s="52">
        <f t="shared" si="116"/>
        <v>-31.960047363109197</v>
      </c>
      <c r="AT23" s="72">
        <f t="shared" si="10"/>
        <v>-1.5055101302216041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2.1429999999999998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</v>
      </c>
      <c r="JG23" s="801">
        <v>7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80</v>
      </c>
      <c r="JI23" s="801">
        <v>0</v>
      </c>
    </row>
    <row r="24" spans="1:269" ht="15" customHeight="1" x14ac:dyDescent="0.25">
      <c r="A24" s="79"/>
      <c r="B24" s="707">
        <v>2.6786341567331302</v>
      </c>
      <c r="C24" s="708">
        <v>4.2659648319373575</v>
      </c>
      <c r="D24" s="709">
        <v>-2.2897069057560278</v>
      </c>
      <c r="E24" s="710">
        <v>-0.46754349069502465</v>
      </c>
      <c r="F24" s="708">
        <v>0.88397006980366644</v>
      </c>
      <c r="G24" s="711">
        <v>1.1339743350874115E-7</v>
      </c>
      <c r="H24" s="710">
        <v>0.314</v>
      </c>
      <c r="I24" s="708">
        <v>0.52</v>
      </c>
      <c r="J24" s="570">
        <v>2.1520000000000001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2.1520000000000001</v>
      </c>
      <c r="N24" s="632">
        <f t="shared" si="2"/>
        <v>2.6786341567331302</v>
      </c>
      <c r="O24" s="629">
        <f t="shared" si="3"/>
        <v>4.2659648319373575</v>
      </c>
      <c r="P24" s="633">
        <f t="shared" si="4"/>
        <v>-2.2897069057560278</v>
      </c>
      <c r="Q24" s="585">
        <f t="shared" si="113"/>
        <v>57.874952660713866</v>
      </c>
      <c r="R24" s="629">
        <f t="shared" si="79"/>
        <v>5.0372151922410193</v>
      </c>
      <c r="S24" s="634">
        <f t="shared" si="80"/>
        <v>-2.2897069057560278</v>
      </c>
      <c r="T24" s="635">
        <f t="shared" si="81"/>
        <v>4.2659648319373566</v>
      </c>
      <c r="U24" s="629">
        <f t="shared" si="82"/>
        <v>-2.6786341567331298</v>
      </c>
      <c r="V24" s="636">
        <f t="shared" si="114"/>
        <v>-2.2897069057560278</v>
      </c>
      <c r="W24" s="585">
        <f t="shared" si="224"/>
        <v>327.87495266071386</v>
      </c>
      <c r="X24" s="629">
        <f t="shared" si="83"/>
        <v>5.0372151922410193</v>
      </c>
      <c r="Y24" s="630">
        <f t="shared" si="223"/>
        <v>-2.2897069057560278</v>
      </c>
      <c r="Z24" s="632">
        <f t="shared" si="6"/>
        <v>0.46754349069502465</v>
      </c>
      <c r="AA24" s="629">
        <f t="shared" si="7"/>
        <v>-0.88397006980366644</v>
      </c>
      <c r="AB24" s="629">
        <f t="shared" si="8"/>
        <v>-1.1339743350874115E-7</v>
      </c>
      <c r="AC24" s="636">
        <f t="shared" si="84"/>
        <v>1</v>
      </c>
      <c r="AD24" s="637">
        <f t="shared" si="115"/>
        <v>0.46754349069502465</v>
      </c>
      <c r="AE24" s="629">
        <f t="shared" si="85"/>
        <v>-0.88397006980366644</v>
      </c>
      <c r="AF24" s="633">
        <f t="shared" si="86"/>
        <v>-1.1339743350874115E-7</v>
      </c>
      <c r="AG24" s="602">
        <f t="shared" si="87"/>
        <v>-89.999992649983781</v>
      </c>
      <c r="AH24" s="603">
        <f t="shared" si="88"/>
        <v>62.1250430078222</v>
      </c>
      <c r="AI24" s="585">
        <f t="shared" si="89"/>
        <v>-89.999993502805651</v>
      </c>
      <c r="AJ24" s="586">
        <f t="shared" si="90"/>
        <v>27.874956992177985</v>
      </c>
      <c r="AK24" s="635">
        <f>IF(M24="","",(COS(RADIANS((90-$Q$8)-W24))*AD24)+(-SIN(RADIANS((90-$Q$8)-W24))*AE24))</f>
        <v>0.86602544158358585</v>
      </c>
      <c r="AL24" s="629">
        <f t="shared" si="91"/>
        <v>-0.49999993452993818</v>
      </c>
      <c r="AM24" s="634">
        <f t="shared" si="92"/>
        <v>-1.1339743350874115E-7</v>
      </c>
      <c r="AN24" s="581">
        <f t="shared" si="93"/>
        <v>-89.999987005609611</v>
      </c>
      <c r="AO24" s="582">
        <f t="shared" si="94"/>
        <v>29.99999566853651</v>
      </c>
      <c r="AP24" s="585">
        <f t="shared" si="95"/>
        <v>-29.999995668535881</v>
      </c>
      <c r="AQ24" s="586">
        <f t="shared" si="9"/>
        <v>0.45256736775367351</v>
      </c>
      <c r="AS24" s="52">
        <f t="shared" si="116"/>
        <v>-32.125047339286141</v>
      </c>
      <c r="AT24" s="72">
        <f t="shared" si="10"/>
        <v>-2.2673978451037455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2.1520000000000001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CPS-32193r1</v>
      </c>
      <c r="JB24" s="856" cm="1">
        <f t="array" ref="JB24">IF($JA24="","",COUNT(IF(IF($II$9:$II$150&lt;&gt;"",$IK$9:$IK$150,"")=$JA24,$IG$9:$IG$150,"")))</f>
        <v>6</v>
      </c>
      <c r="JC24" s="5"/>
      <c r="JD24" s="5"/>
      <c r="JE24" s="10"/>
      <c r="JF24" s="247">
        <v>6</v>
      </c>
      <c r="JG24" s="803" t="str">
        <v/>
      </c>
      <c r="JH24" s="787">
        <v>130</v>
      </c>
      <c r="JI24" s="803" t="str">
        <v/>
      </c>
    </row>
    <row r="25" spans="1:269" ht="15" customHeight="1" x14ac:dyDescent="0.25">
      <c r="A25" s="79"/>
      <c r="B25" s="707">
        <v>2.7085782610288671</v>
      </c>
      <c r="C25" s="708">
        <v>4.3014743873427754</v>
      </c>
      <c r="D25" s="709">
        <v>-3.0600092289878349</v>
      </c>
      <c r="E25" s="710">
        <v>-0.38754708512878971</v>
      </c>
      <c r="F25" s="708">
        <v>0.92184991013079887</v>
      </c>
      <c r="G25" s="711">
        <v>1.3008419214129145E-7</v>
      </c>
      <c r="H25" s="710">
        <v>0.314</v>
      </c>
      <c r="I25" s="708">
        <v>0.52</v>
      </c>
      <c r="J25" s="570">
        <v>2.161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2.161</v>
      </c>
      <c r="N25" s="632">
        <f t="shared" si="2"/>
        <v>2.7085782610288671</v>
      </c>
      <c r="O25" s="629">
        <f t="shared" si="3"/>
        <v>4.3014743873427754</v>
      </c>
      <c r="P25" s="633">
        <f t="shared" si="4"/>
        <v>-3.0600092289878349</v>
      </c>
      <c r="Q25" s="585">
        <f t="shared" si="113"/>
        <v>57.80195267125378</v>
      </c>
      <c r="R25" s="629">
        <f>IF(M25="","",SQRT(N25^2+O25^2))</f>
        <v>5.0832153309774384</v>
      </c>
      <c r="S25" s="634">
        <f>IF(M25="","",P25)</f>
        <v>-3.0600092289878349</v>
      </c>
      <c r="T25" s="635">
        <f>IF(M25="","",X25*COS(RADIANS(W25)))</f>
        <v>4.3014743873427754</v>
      </c>
      <c r="U25" s="629">
        <f>IF(M25="","",X25*SIN(RADIANS(W25)))</f>
        <v>-2.708578261028868</v>
      </c>
      <c r="V25" s="636">
        <f>IF(M25="","",Y25)</f>
        <v>-3.0600092289878349</v>
      </c>
      <c r="W25" s="585">
        <f t="shared" si="224"/>
        <v>327.80195267125379</v>
      </c>
      <c r="X25" s="629">
        <f>IF(M25="","",R25)</f>
        <v>5.0832153309774384</v>
      </c>
      <c r="Y25" s="630">
        <f t="shared" si="223"/>
        <v>-3.0600092289878349</v>
      </c>
      <c r="Z25" s="632">
        <f t="shared" si="6"/>
        <v>0.38754708512878971</v>
      </c>
      <c r="AA25" s="629">
        <f t="shared" si="7"/>
        <v>-0.92184991013079887</v>
      </c>
      <c r="AB25" s="629">
        <f t="shared" si="8"/>
        <v>-1.3008419214129145E-7</v>
      </c>
      <c r="AC25" s="636">
        <f>IF(M25="","",SQRT(Z25^2+AA25^2+AB25^2))</f>
        <v>1</v>
      </c>
      <c r="AD25" s="637">
        <f>IF(M25="","",Z25*(1/SQRT(Z25^2+AA25^2+AB25^2)))</f>
        <v>0.38754708512878971</v>
      </c>
      <c r="AE25" s="629">
        <f>IF(M25="","",AA25*(1/SQRT(Z25^2+AA25^2+AB25^2)))</f>
        <v>-0.92184991013079887</v>
      </c>
      <c r="AF25" s="633">
        <f>IF(M25="","",AB25*(1/SQRT(Z25^2+AA25^2+AB25^2)))</f>
        <v>-1.3008419214129145E-7</v>
      </c>
      <c r="AG25" s="602">
        <f>IF(M25="","",DEGREES(ATAN2(-AF25,AE25)))</f>
        <v>-89.999991914871273</v>
      </c>
      <c r="AH25" s="603">
        <f>IF(M25="","",DEGREES(ACOS(AD25)))</f>
        <v>67.198042275371705</v>
      </c>
      <c r="AI25" s="585">
        <f>IF(M25="","",DEGREES(-ACOS(-AF25)))</f>
        <v>-89.999992546724812</v>
      </c>
      <c r="AJ25" s="586">
        <f>IF(M25="","",DEGREES(ATAN2(-AE25,AD25)))</f>
        <v>22.801957724628497</v>
      </c>
      <c r="AK25" s="635">
        <f>IF(M25="","",(COS(RADIANS((90-$Q$8)-W25))*AD25)+(-SIN(RADIANS((90-$Q$8)-W25))*AE25))</f>
        <v>0.81915209487729213</v>
      </c>
      <c r="AL25" s="629">
        <f>IF(M25="","",(SIN(RADIANS((90-$Q$8)-W25))*AD25)+(COS(RADIANS((90-$Q$8)-W25))*AE25))</f>
        <v>-0.57357636410344448</v>
      </c>
      <c r="AM25" s="634">
        <f>IF(M25="","",AF25)</f>
        <v>-1.3008419214129145E-7</v>
      </c>
      <c r="AN25" s="581">
        <f>IF(M25="","",DEGREES(ATAN2(-AM25,AL25)))</f>
        <v>-89.999987005609626</v>
      </c>
      <c r="AO25" s="582">
        <f>IF(ROUND(IF(M25="",0,DEGREES(ACOS(AK25))),4)=90,0,IF(M25="","",DEGREES(ACOS(AK25))))</f>
        <v>34.999994946625939</v>
      </c>
      <c r="AP25" s="585">
        <f>IF(M25="","",DEGREES(ATAN2(AK25,AL25)))</f>
        <v>-34.999994946625257</v>
      </c>
      <c r="AQ25" s="586">
        <f t="shared" si="9"/>
        <v>0.44847206464958778</v>
      </c>
      <c r="AS25" s="52">
        <f t="shared" si="116"/>
        <v>-32.198047328746213</v>
      </c>
      <c r="AT25" s="72">
        <f t="shared" si="10"/>
        <v>-3.0376494738984277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2.161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2.264478709548976</v>
      </c>
      <c r="C26" s="708">
        <v>0.82420097233773659</v>
      </c>
      <c r="D26" s="709">
        <v>-0.11980036131788982</v>
      </c>
      <c r="E26" s="710">
        <v>-0.38093170313310193</v>
      </c>
      <c r="F26" s="708">
        <v>0.88926904522751593</v>
      </c>
      <c r="G26" s="711">
        <v>0.25316319390515024</v>
      </c>
      <c r="H26" s="710">
        <v>0.314</v>
      </c>
      <c r="I26" s="708">
        <v>0.52</v>
      </c>
      <c r="J26" s="570">
        <v>3.11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3.11</v>
      </c>
      <c r="N26" s="632">
        <f t="shared" si="2"/>
        <v>2.264478709548976</v>
      </c>
      <c r="O26" s="629">
        <f t="shared" si="3"/>
        <v>0.82420097233773659</v>
      </c>
      <c r="P26" s="633">
        <f t="shared" si="4"/>
        <v>-0.11980036131788982</v>
      </c>
      <c r="Q26" s="585">
        <f t="shared" si="113"/>
        <v>19.999958129186506</v>
      </c>
      <c r="R26" s="629">
        <f>IF(M26="","",SQRT(N26^2+O26^2))</f>
        <v>2.4098072679787208</v>
      </c>
      <c r="S26" s="634">
        <f>IF(M26="","",P26)</f>
        <v>-0.11980036131788982</v>
      </c>
      <c r="T26" s="635">
        <f>IF(M26="","",X26*COS(RADIANS(W26)))</f>
        <v>0.82420097233773637</v>
      </c>
      <c r="U26" s="629">
        <f>IF(M26="","",X26*SIN(RADIANS(W26)))</f>
        <v>-2.264478709548976</v>
      </c>
      <c r="V26" s="636">
        <f>IF(M26="","",Y26)</f>
        <v>-0.11980036131788982</v>
      </c>
      <c r="W26" s="585">
        <f t="shared" si="224"/>
        <v>289.9999581291865</v>
      </c>
      <c r="X26" s="629">
        <f>IF(M26="","",R26)</f>
        <v>2.4098072679787208</v>
      </c>
      <c r="Y26" s="630">
        <f t="shared" si="223"/>
        <v>-0.11980036131788982</v>
      </c>
      <c r="Z26" s="632">
        <f t="shared" si="6"/>
        <v>0.38093170313310193</v>
      </c>
      <c r="AA26" s="629">
        <f t="shared" si="7"/>
        <v>-0.88926904522751593</v>
      </c>
      <c r="AB26" s="629">
        <f t="shared" si="8"/>
        <v>-0.25316319390515024</v>
      </c>
      <c r="AC26" s="636">
        <f>IF(M26="","",SQRT(Z26^2+AA26^2+AB26^2))</f>
        <v>1</v>
      </c>
      <c r="AD26" s="637">
        <f>IF(M26="","",Z26*(1/SQRT(Z26^2+AA26^2+AB26^2)))</f>
        <v>0.38093170313310193</v>
      </c>
      <c r="AE26" s="629">
        <f>IF(M26="","",AA26*(1/SQRT(Z26^2+AA26^2+AB26^2)))</f>
        <v>-0.88926904522751593</v>
      </c>
      <c r="AF26" s="633">
        <f>IF(M26="","",AB26*(1/SQRT(Z26^2+AA26^2+AB26^2)))</f>
        <v>-0.25316319390515024</v>
      </c>
      <c r="AG26" s="602">
        <f>IF(M26="","",DEGREES(ATAN2(-AF26,AE26)))</f>
        <v>-74.109044299341988</v>
      </c>
      <c r="AH26" s="603">
        <f>IF(M26="","",DEGREES(ACOS(AD26)))</f>
        <v>67.608593562930309</v>
      </c>
      <c r="AI26" s="585">
        <f>IF(M26="","",DEGREES(-ACOS(-AF26)))</f>
        <v>-75.33522701738265</v>
      </c>
      <c r="AJ26" s="586">
        <f>IF(M26="","",DEGREES(ATAN2(-AE26,AD26)))</f>
        <v>23.188595869651746</v>
      </c>
      <c r="AK26" s="635">
        <f>IF(M26="","",(COS(RADIANS((90-$Q$8)-W26))*AD26)+(-SIN(RADIANS((90-$Q$8)-W26))*AE26))</f>
        <v>0.9659258360722075</v>
      </c>
      <c r="AL26" s="629">
        <f>IF(M26="","",(SIN(RADIANS((90-$Q$8)-W26))*AD26)+(COS(RADIANS((90-$Q$8)-W26))*AE26))</f>
        <v>5.3811490036520304E-2</v>
      </c>
      <c r="AM26" s="634">
        <f>IF(M26="","",AF26)</f>
        <v>-0.25316319390515024</v>
      </c>
      <c r="AN26" s="581">
        <f>IF(M26="","",DEGREES(ATAN2(-AM26,AL26)))</f>
        <v>11.999998267414631</v>
      </c>
      <c r="AO26" s="582">
        <f t="shared" si="94"/>
        <v>14.99999783426823</v>
      </c>
      <c r="AP26" s="585">
        <f>IF(M26="","",DEGREES(ATAN2(AK26,AL26)))</f>
        <v>3.1886377404652411</v>
      </c>
      <c r="AQ26" s="586">
        <f t="shared" si="9"/>
        <v>0.94593436194807423</v>
      </c>
      <c r="AS26" s="52">
        <f t="shared" si="116"/>
        <v>-70.000041870813504</v>
      </c>
      <c r="AT26" s="72">
        <f t="shared" si="10"/>
        <v>-7.1189221129824884E-2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2.9865105099405129</v>
      </c>
      <c r="C27" s="708">
        <v>1.0841659028564632</v>
      </c>
      <c r="D27" s="709">
        <v>-7.6100229518292026E-2</v>
      </c>
      <c r="E27" s="710">
        <v>-0.30100988585855326</v>
      </c>
      <c r="F27" s="708">
        <v>0.91833065998563523</v>
      </c>
      <c r="G27" s="711">
        <v>0.25702499400985973</v>
      </c>
      <c r="H27" s="710">
        <v>0.314</v>
      </c>
      <c r="I27" s="708">
        <v>0.52</v>
      </c>
      <c r="J27" s="570">
        <v>3.1160000000000001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3.1160000000000001</v>
      </c>
      <c r="N27" s="632">
        <f t="shared" si="2"/>
        <v>2.9865105099405129</v>
      </c>
      <c r="O27" s="629">
        <f t="shared" si="3"/>
        <v>1.0841659028564632</v>
      </c>
      <c r="P27" s="633">
        <f t="shared" si="4"/>
        <v>-7.6100229518292026E-2</v>
      </c>
      <c r="Q27" s="585">
        <f t="shared" si="113"/>
        <v>19.95195813611684</v>
      </c>
      <c r="R27" s="629">
        <f t="shared" si="79"/>
        <v>3.1772095824641022</v>
      </c>
      <c r="S27" s="634">
        <f t="shared" si="80"/>
        <v>-7.6100229518292026E-2</v>
      </c>
      <c r="T27" s="635">
        <f t="shared" si="81"/>
        <v>1.0841659028564625</v>
      </c>
      <c r="U27" s="629">
        <f t="shared" si="82"/>
        <v>-2.9865105099405134</v>
      </c>
      <c r="V27" s="636">
        <f t="shared" si="114"/>
        <v>-7.6100229518292026E-2</v>
      </c>
      <c r="W27" s="585">
        <f t="shared" si="224"/>
        <v>289.95195813611684</v>
      </c>
      <c r="X27" s="629">
        <f t="shared" si="83"/>
        <v>3.1772095824641022</v>
      </c>
      <c r="Y27" s="630">
        <f t="shared" si="223"/>
        <v>-7.6100229518292026E-2</v>
      </c>
      <c r="Z27" s="632">
        <f t="shared" si="6"/>
        <v>0.30100988585855326</v>
      </c>
      <c r="AA27" s="629">
        <f t="shared" si="7"/>
        <v>-0.91833065998563523</v>
      </c>
      <c r="AB27" s="629">
        <f t="shared" si="8"/>
        <v>-0.25702499400985973</v>
      </c>
      <c r="AC27" s="636">
        <f t="shared" si="84"/>
        <v>1</v>
      </c>
      <c r="AD27" s="637">
        <f t="shared" si="115"/>
        <v>0.30100988585855326</v>
      </c>
      <c r="AE27" s="629">
        <f t="shared" si="85"/>
        <v>-0.91833065998563523</v>
      </c>
      <c r="AF27" s="633">
        <f t="shared" si="86"/>
        <v>-0.25702499400985973</v>
      </c>
      <c r="AG27" s="602">
        <f t="shared" si="87"/>
        <v>-74.363978436774502</v>
      </c>
      <c r="AH27" s="603">
        <f t="shared" si="88"/>
        <v>72.481730700239837</v>
      </c>
      <c r="AI27" s="585">
        <f t="shared" si="89"/>
        <v>-75.106391243036882</v>
      </c>
      <c r="AJ27" s="586">
        <f t="shared" si="90"/>
        <v>18.148078731463936</v>
      </c>
      <c r="AK27" s="635">
        <f t="shared" si="211"/>
        <v>0.96592583607220739</v>
      </c>
      <c r="AL27" s="629">
        <f t="shared" si="91"/>
        <v>-3.0420908310547667E-2</v>
      </c>
      <c r="AM27" s="634">
        <f t="shared" si="92"/>
        <v>-0.25702499400985973</v>
      </c>
      <c r="AN27" s="581">
        <f t="shared" si="93"/>
        <v>-6.7499990254207018</v>
      </c>
      <c r="AO27" s="582">
        <f t="shared" si="94"/>
        <v>14.999997834268255</v>
      </c>
      <c r="AP27" s="585">
        <f t="shared" si="95"/>
        <v>-1.8038794046528952</v>
      </c>
      <c r="AQ27" s="586">
        <f t="shared" si="9"/>
        <v>0.71748728173295129</v>
      </c>
      <c r="AS27" s="52">
        <f t="shared" si="116"/>
        <v>-70.048041863883157</v>
      </c>
      <c r="AT27" s="72">
        <f t="shared" si="10"/>
        <v>-2.7455756001706501E-2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3.1160000000000001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3.6877596443466358</v>
      </c>
      <c r="C28" s="708">
        <v>1.2991685914644735</v>
      </c>
      <c r="D28" s="709">
        <v>-0.30830092983560464</v>
      </c>
      <c r="E28" s="710">
        <v>-0.20167463093778545</v>
      </c>
      <c r="F28" s="708">
        <v>0.95306522379206471</v>
      </c>
      <c r="G28" s="711">
        <v>0.22581856087197477</v>
      </c>
      <c r="H28" s="710">
        <v>0.314</v>
      </c>
      <c r="I28" s="708">
        <v>0.52</v>
      </c>
      <c r="J28" s="570">
        <v>3.1240000000000001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3.1240000000000001</v>
      </c>
      <c r="N28" s="632">
        <f t="shared" si="2"/>
        <v>3.6877596443466358</v>
      </c>
      <c r="O28" s="629">
        <f t="shared" si="3"/>
        <v>1.2991685914644735</v>
      </c>
      <c r="P28" s="633">
        <f t="shared" si="4"/>
        <v>-0.30830092983560464</v>
      </c>
      <c r="Q28" s="585">
        <f t="shared" si="113"/>
        <v>19.406958214805091</v>
      </c>
      <c r="R28" s="629">
        <f t="shared" si="79"/>
        <v>3.9099117922939652</v>
      </c>
      <c r="S28" s="634">
        <f t="shared" si="80"/>
        <v>-0.30830092983560464</v>
      </c>
      <c r="T28" s="635">
        <f t="shared" si="81"/>
        <v>1.2991685914644759</v>
      </c>
      <c r="U28" s="629">
        <f t="shared" si="82"/>
        <v>-3.6877596443466345</v>
      </c>
      <c r="V28" s="636">
        <f t="shared" si="114"/>
        <v>-0.30830092983560464</v>
      </c>
      <c r="W28" s="585">
        <f t="shared" si="224"/>
        <v>289.40695821480512</v>
      </c>
      <c r="X28" s="629">
        <f t="shared" si="83"/>
        <v>3.9099117922939652</v>
      </c>
      <c r="Y28" s="630">
        <f t="shared" si="223"/>
        <v>-0.30830092983560464</v>
      </c>
      <c r="Z28" s="632">
        <f t="shared" si="6"/>
        <v>0.20167463093778545</v>
      </c>
      <c r="AA28" s="629">
        <f t="shared" si="7"/>
        <v>-0.95306522379206471</v>
      </c>
      <c r="AB28" s="629">
        <f t="shared" si="8"/>
        <v>-0.22581856087197477</v>
      </c>
      <c r="AC28" s="636">
        <f t="shared" si="84"/>
        <v>1</v>
      </c>
      <c r="AD28" s="637">
        <f t="shared" si="115"/>
        <v>0.20167463093778545</v>
      </c>
      <c r="AE28" s="629">
        <f t="shared" si="85"/>
        <v>-0.95306522379206471</v>
      </c>
      <c r="AF28" s="633">
        <f t="shared" si="86"/>
        <v>-0.22581856087197477</v>
      </c>
      <c r="AG28" s="602">
        <f t="shared" si="87"/>
        <v>-76.670198417380377</v>
      </c>
      <c r="AH28" s="603">
        <f t="shared" si="88"/>
        <v>78.36509600199706</v>
      </c>
      <c r="AI28" s="585">
        <f t="shared" si="89"/>
        <v>-76.948982855180262</v>
      </c>
      <c r="AJ28" s="586">
        <f t="shared" si="90"/>
        <v>11.947898967742541</v>
      </c>
      <c r="AK28" s="635">
        <f t="shared" si="211"/>
        <v>0.96592583607220728</v>
      </c>
      <c r="AL28" s="629">
        <f t="shared" si="91"/>
        <v>-0.12646444865620374</v>
      </c>
      <c r="AM28" s="634">
        <f t="shared" si="92"/>
        <v>-0.22581856087197477</v>
      </c>
      <c r="AN28" s="581">
        <f t="shared" si="93"/>
        <v>-29.249995776823205</v>
      </c>
      <c r="AO28" s="582">
        <f t="shared" si="94"/>
        <v>14.99999783426828</v>
      </c>
      <c r="AP28" s="585">
        <f t="shared" si="95"/>
        <v>-7.4590592470625898</v>
      </c>
      <c r="AQ28" s="586">
        <f t="shared" si="9"/>
        <v>0.58304331729451442</v>
      </c>
      <c r="AS28" s="52">
        <f t="shared" si="116"/>
        <v>-70.593041785194885</v>
      </c>
      <c r="AT28" s="72">
        <f t="shared" si="10"/>
        <v>-0.25927798415144154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3.1240000000000001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4.2748547442339557</v>
      </c>
      <c r="C29" s="708">
        <v>1.4438788494967179</v>
      </c>
      <c r="D29" s="709">
        <v>-0.78590237028154875</v>
      </c>
      <c r="E29" s="710">
        <v>-0.10902916423286821</v>
      </c>
      <c r="F29" s="708">
        <v>0.97778693677845707</v>
      </c>
      <c r="G29" s="711">
        <v>0.17901214375590269</v>
      </c>
      <c r="H29" s="710">
        <v>0.314</v>
      </c>
      <c r="I29" s="708">
        <v>0.52</v>
      </c>
      <c r="J29" s="570">
        <v>3.133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3.133</v>
      </c>
      <c r="N29" s="632">
        <f t="shared" si="2"/>
        <v>4.2748547442339557</v>
      </c>
      <c r="O29" s="629">
        <f t="shared" si="3"/>
        <v>1.4438788494967179</v>
      </c>
      <c r="P29" s="633">
        <f t="shared" si="4"/>
        <v>-0.78590237028154875</v>
      </c>
      <c r="Q29" s="585">
        <f t="shared" si="113"/>
        <v>18.662958322225389</v>
      </c>
      <c r="R29" s="629">
        <f>IF(M29="","",SQRT(N29^2+O29^2))</f>
        <v>4.5121136085346434</v>
      </c>
      <c r="S29" s="634">
        <f>IF(M29="","",P29)</f>
        <v>-0.78590237028154875</v>
      </c>
      <c r="T29" s="635">
        <f>IF(M29="","",X29*COS(RADIANS(W29)))</f>
        <v>1.4438788494967181</v>
      </c>
      <c r="U29" s="629">
        <f>IF(M29="","",X29*SIN(RADIANS(W29)))</f>
        <v>-4.2748547442339557</v>
      </c>
      <c r="V29" s="636">
        <f>IF(M29="","",Y29)</f>
        <v>-0.78590237028154875</v>
      </c>
      <c r="W29" s="585">
        <f t="shared" si="224"/>
        <v>288.66295832222539</v>
      </c>
      <c r="X29" s="629">
        <f>IF(M29="","",R29)</f>
        <v>4.5121136085346434</v>
      </c>
      <c r="Y29" s="630">
        <f t="shared" si="223"/>
        <v>-0.78590237028154875</v>
      </c>
      <c r="Z29" s="632">
        <f t="shared" si="6"/>
        <v>0.10902916423286821</v>
      </c>
      <c r="AA29" s="629">
        <f t="shared" si="7"/>
        <v>-0.97778693677845707</v>
      </c>
      <c r="AB29" s="629">
        <f t="shared" si="8"/>
        <v>-0.17901214375590269</v>
      </c>
      <c r="AC29" s="636">
        <f>IF(M29="","",SQRT(Z29^2+AA29^2+AB29^2))</f>
        <v>1</v>
      </c>
      <c r="AD29" s="637">
        <f>IF(M29="","",Z29*(1/SQRT(Z29^2+AA29^2+AB29^2)))</f>
        <v>0.10902916423286821</v>
      </c>
      <c r="AE29" s="629">
        <f>IF(M29="","",AA29*(1/SQRT(Z29^2+AA29^2+AB29^2)))</f>
        <v>-0.97778693677845707</v>
      </c>
      <c r="AF29" s="633">
        <f>IF(M29="","",AB29*(1/SQRT(Z29^2+AA29^2+AB29^2)))</f>
        <v>-0.17901214375590269</v>
      </c>
      <c r="AG29" s="602">
        <f>IF(M29="","",DEGREES(ATAN2(-AF29,AE29)))</f>
        <v>-79.625247469599572</v>
      </c>
      <c r="AH29" s="603">
        <f>IF(M29="","",DEGREES(ACOS(AD29)))</f>
        <v>83.740645822174571</v>
      </c>
      <c r="AI29" s="585">
        <f>IF(M29="","",DEGREES(-ACOS(-AF29)))</f>
        <v>-79.687774731927604</v>
      </c>
      <c r="AJ29" s="586">
        <f>IF(M29="","",DEGREES(ATAN2(-AE29,AD29)))</f>
        <v>6.3625434514393904</v>
      </c>
      <c r="AK29" s="635">
        <f>IF(M29="","",(COS(RADIANS((90-$Q$8)-W29))*AD29)+(-SIN(RADIANS((90-$Q$8)-W29))*AE29))</f>
        <v>0.96126170705176617</v>
      </c>
      <c r="AL29" s="629">
        <f>IF(M29="","",(SIN(RADIANS((90-$Q$8)-W29))*AD29)+(COS(RADIANS((90-$Q$8)-W29))*AE29))</f>
        <v>-0.2095962379047881</v>
      </c>
      <c r="AM29" s="634">
        <f>IF(M29="","",AF29)</f>
        <v>-0.17901214375590269</v>
      </c>
      <c r="AN29" s="581">
        <f>IF(M29="","",DEGREES(ATAN2(-AM29,AL29)))</f>
        <v>-49.499992853085288</v>
      </c>
      <c r="AO29" s="582">
        <f t="shared" si="94"/>
        <v>15.99999768988615</v>
      </c>
      <c r="AP29" s="585">
        <f>IF(M29="","",DEGREES(ATAN2(AK29,AL29)))</f>
        <v>-12.300414870786005</v>
      </c>
      <c r="AQ29" s="586">
        <f t="shared" si="9"/>
        <v>0.5052327448808186</v>
      </c>
      <c r="AS29" s="52">
        <f t="shared" si="116"/>
        <v>-71.337041677774607</v>
      </c>
      <c r="AT29" s="72">
        <f t="shared" si="10"/>
        <v>-0.73636275800531636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3.133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12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80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4.6627201941113663</v>
      </c>
      <c r="C30" s="708">
        <v>1.5225670809922971</v>
      </c>
      <c r="D30" s="709">
        <v>-1.4465043626571579</v>
      </c>
      <c r="E30" s="710">
        <v>2.9816406056184033E-2</v>
      </c>
      <c r="F30" s="708">
        <v>0.99182948616767597</v>
      </c>
      <c r="G30" s="711">
        <v>0.12403730204360619</v>
      </c>
      <c r="H30" s="710">
        <v>0.314</v>
      </c>
      <c r="I30" s="708">
        <v>0.52</v>
      </c>
      <c r="J30" s="570">
        <v>3.1419999999999999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3.1419999999999999</v>
      </c>
      <c r="N30" s="632">
        <f t="shared" si="2"/>
        <v>4.6627201941113663</v>
      </c>
      <c r="O30" s="629">
        <f t="shared" si="3"/>
        <v>1.5225670809922971</v>
      </c>
      <c r="P30" s="633">
        <f t="shared" si="4"/>
        <v>-1.4465043626571579</v>
      </c>
      <c r="Q30" s="585">
        <f t="shared" si="113"/>
        <v>18.083958405822639</v>
      </c>
      <c r="R30" s="629">
        <f>IF(M30="","",SQRT(N30^2+O30^2))</f>
        <v>4.9050147935246171</v>
      </c>
      <c r="S30" s="634">
        <f>IF(M30="","",P30)</f>
        <v>-1.4465043626571579</v>
      </c>
      <c r="T30" s="635">
        <f>IF(M30="","",X30*COS(RADIANS(W30)))</f>
        <v>1.5225670809922944</v>
      </c>
      <c r="U30" s="629">
        <f>IF(M30="","",X30*SIN(RADIANS(W30)))</f>
        <v>-4.6627201941113672</v>
      </c>
      <c r="V30" s="636">
        <f>IF(M30="","",Y30)</f>
        <v>-1.4465043626571579</v>
      </c>
      <c r="W30" s="585">
        <f t="shared" si="224"/>
        <v>288.08395840582261</v>
      </c>
      <c r="X30" s="629">
        <f>IF(M30="","",R30)</f>
        <v>4.9050147935246171</v>
      </c>
      <c r="Y30" s="630">
        <f t="shared" si="223"/>
        <v>-1.4465043626571579</v>
      </c>
      <c r="Z30" s="632">
        <f t="shared" si="6"/>
        <v>-2.9816406056184033E-2</v>
      </c>
      <c r="AA30" s="629">
        <f t="shared" si="7"/>
        <v>-0.99182948616767597</v>
      </c>
      <c r="AB30" s="629">
        <f t="shared" si="8"/>
        <v>-0.12403730204360619</v>
      </c>
      <c r="AC30" s="636">
        <f>IF(M30="","",SQRT(Z30^2+AA30^2+AB30^2))</f>
        <v>1</v>
      </c>
      <c r="AD30" s="637">
        <f>IF(M30="","",Z30*(1/SQRT(Z30^2+AA30^2+AB30^2)))</f>
        <v>-2.9816406056184033E-2</v>
      </c>
      <c r="AE30" s="629">
        <f>IF(M30="","",AA30*(1/SQRT(Z30^2+AA30^2+AB30^2)))</f>
        <v>-0.99182948616767597</v>
      </c>
      <c r="AF30" s="633">
        <f>IF(M30="","",AB30*(1/SQRT(Z30^2+AA30^2+AB30^2)))</f>
        <v>-0.12403730204360619</v>
      </c>
      <c r="AG30" s="602">
        <f>IF(M30="","",DEGREES(ATAN2(-AF30,AE30)))</f>
        <v>-82.871649638215544</v>
      </c>
      <c r="AH30" s="603">
        <f>IF(M30="","",DEGREES(ACOS(AD30)))</f>
        <v>91.70860745488288</v>
      </c>
      <c r="AI30" s="585">
        <f>IF(M30="","",DEGREES(-ACOS(-AF30)))</f>
        <v>-82.874835401975332</v>
      </c>
      <c r="AJ30" s="586">
        <f>IF(M30="","",DEGREES(ATAN2(-AE30,AD30)))</f>
        <v>-1.7219087576751662</v>
      </c>
      <c r="AK30" s="635">
        <f>IF(M30="","",(COS(RADIANS((90-$Q$8)-W30))*AD30)+(-SIN(RADIANS((90-$Q$8)-W30))*AE30))</f>
        <v>0.9335804454616059</v>
      </c>
      <c r="AL30" s="629">
        <f>IF(M30="","",(SIN(RADIANS((90-$Q$8)-W30))*AD30)+(COS(RADIANS((90-$Q$8)-W30))*AE30))</f>
        <v>-0.33621763718379349</v>
      </c>
      <c r="AM30" s="634">
        <f>IF(M30="","",AF30)</f>
        <v>-0.12403730204360619</v>
      </c>
      <c r="AN30" s="581">
        <f>IF(M30="","",DEGREES(ATAN2(-AM30,AL30)))</f>
        <v>-69.749989929347407</v>
      </c>
      <c r="AO30" s="582">
        <f>IF(ROUND(IF(M30="",0,DEGREES(ACOS(AK30))),4)=90,0,IF(M30="","",DEGREES(ACOS(AK30))))</f>
        <v>20.999996967975523</v>
      </c>
      <c r="AP30" s="585">
        <f>IF(M30="","",DEGREES(ATAN2(AK30,AL30)))</f>
        <v>-19.805867163497773</v>
      </c>
      <c r="AQ30" s="586">
        <f t="shared" si="9"/>
        <v>0.46476447601130505</v>
      </c>
      <c r="AS30" s="52">
        <f t="shared" si="116"/>
        <v>-71.916041594177386</v>
      </c>
      <c r="AT30" s="72">
        <f t="shared" si="10"/>
        <v>-1.3965626671056457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3.1419999999999999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130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4.7940619923959575</v>
      </c>
      <c r="C31" s="708">
        <v>1.5461262904459725</v>
      </c>
      <c r="D31" s="709">
        <v>-2.2037066463792456</v>
      </c>
      <c r="E31" s="710">
        <v>0.21004581669107991</v>
      </c>
      <c r="F31" s="708">
        <v>0.97769154383709622</v>
      </c>
      <c r="G31" s="711">
        <v>1.1339743360662692E-7</v>
      </c>
      <c r="H31" s="710">
        <v>0.314</v>
      </c>
      <c r="I31" s="708">
        <v>0.52</v>
      </c>
      <c r="J31" s="570">
        <v>3.1509999999999998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3.1509999999999998</v>
      </c>
      <c r="N31" s="632">
        <f t="shared" si="2"/>
        <v>4.7940619923959575</v>
      </c>
      <c r="O31" s="629">
        <f t="shared" si="3"/>
        <v>1.5461262904459725</v>
      </c>
      <c r="P31" s="633">
        <f t="shared" si="4"/>
        <v>-2.2037066463792456</v>
      </c>
      <c r="Q31" s="585">
        <f t="shared" si="113"/>
        <v>17.874958435998487</v>
      </c>
      <c r="R31" s="629">
        <f>IF(M31="","",SQRT(N31^2+O31^2))</f>
        <v>5.0372151922410184</v>
      </c>
      <c r="S31" s="634">
        <f>IF(M31="","",P31)</f>
        <v>-2.2037066463792456</v>
      </c>
      <c r="T31" s="635">
        <f>IF(M31="","",X31*COS(RADIANS(W31)))</f>
        <v>1.5461262904459725</v>
      </c>
      <c r="U31" s="629">
        <f>IF(M31="","",X31*SIN(RADIANS(W31)))</f>
        <v>-4.7940619923959575</v>
      </c>
      <c r="V31" s="636">
        <f>IF(M31="","",Y31)</f>
        <v>-2.2037066463792456</v>
      </c>
      <c r="W31" s="585">
        <f t="shared" si="224"/>
        <v>287.87495843599851</v>
      </c>
      <c r="X31" s="629">
        <f>IF(M31="","",R31)</f>
        <v>5.0372151922410184</v>
      </c>
      <c r="Y31" s="630">
        <f t="shared" si="223"/>
        <v>-2.2037066463792456</v>
      </c>
      <c r="Z31" s="632">
        <f t="shared" si="6"/>
        <v>-0.21004581669107991</v>
      </c>
      <c r="AA31" s="629">
        <f t="shared" si="7"/>
        <v>-0.97769154383709622</v>
      </c>
      <c r="AB31" s="629">
        <f t="shared" si="8"/>
        <v>-1.1339743360662692E-7</v>
      </c>
      <c r="AC31" s="636">
        <f>IF(M31="","",SQRT(Z31^2+AA31^2+AB31^2))</f>
        <v>1</v>
      </c>
      <c r="AD31" s="637">
        <f>IF(M31="","",Z31*(1/SQRT(Z31^2+AA31^2+AB31^2)))</f>
        <v>-0.21004581669107991</v>
      </c>
      <c r="AE31" s="629">
        <f>IF(M31="","",AA31*(1/SQRT(Z31^2+AA31^2+AB31^2)))</f>
        <v>-0.97769154383709622</v>
      </c>
      <c r="AF31" s="633">
        <f>IF(M31="","",AB31*(1/SQRT(Z31^2+AA31^2+AB31^2)))</f>
        <v>-1.1339743360662692E-7</v>
      </c>
      <c r="AG31" s="602">
        <f>IF(M31="","",DEGREES(ATAN2(-AF31,AE31)))</f>
        <v>-89.999993354556054</v>
      </c>
      <c r="AH31" s="603">
        <f>IF(M31="","",DEGREES(ACOS(AD31)))</f>
        <v>102.12503723253732</v>
      </c>
      <c r="AI31" s="585">
        <f>IF(M31="","",DEGREES(-ACOS(-AF31)))</f>
        <v>-89.999993502805637</v>
      </c>
      <c r="AJ31" s="586">
        <f>IF(M31="","",DEGREES(ATAN2(-AE31,AD31)))</f>
        <v>-12.125037232537405</v>
      </c>
      <c r="AK31" s="635">
        <f>IF(M31="","",(COS(RADIANS((90-$Q$8)-W31))*AD31)+(-SIN(RADIANS((90-$Q$8)-W31))*AE31))</f>
        <v>0.86602544158358574</v>
      </c>
      <c r="AL31" s="629">
        <f>IF(M31="","",(SIN(RADIANS((90-$Q$8)-W31))*AD31)+(COS(RADIANS((90-$Q$8)-W31))*AE31))</f>
        <v>-0.49999993452993835</v>
      </c>
      <c r="AM31" s="634">
        <f>IF(M31="","",AF31)</f>
        <v>-1.1339743360662692E-7</v>
      </c>
      <c r="AN31" s="581">
        <f>IF(M31="","",DEGREES(ATAN2(-AM31,AL31)))</f>
        <v>-89.999987005609597</v>
      </c>
      <c r="AO31" s="582">
        <f t="shared" si="94"/>
        <v>29.99999566853651</v>
      </c>
      <c r="AP31" s="585">
        <f>IF(M31="","",DEGREES(ATAN2(AK31,AL31)))</f>
        <v>-29.999995668535892</v>
      </c>
      <c r="AQ31" s="586">
        <f t="shared" si="9"/>
        <v>0.45256736775367362</v>
      </c>
      <c r="AS31" s="52">
        <f t="shared" si="116"/>
        <v>-72.125041564001492</v>
      </c>
      <c r="AT31" s="72">
        <f t="shared" si="10"/>
        <v>-2.1536198119598002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3.1509999999999998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4.8398256085341984</v>
      </c>
      <c r="C32" s="708">
        <v>1.5540804934303269</v>
      </c>
      <c r="D32" s="709">
        <v>-2.9732089671982451</v>
      </c>
      <c r="E32" s="710">
        <v>0.29567531292194826</v>
      </c>
      <c r="F32" s="708">
        <v>0.95528849533975402</v>
      </c>
      <c r="G32" s="711">
        <v>1.3008419241909525E-7</v>
      </c>
      <c r="H32" s="710">
        <v>0.314</v>
      </c>
      <c r="I32" s="708">
        <v>0.52</v>
      </c>
      <c r="J32" s="570">
        <v>3.16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3.16</v>
      </c>
      <c r="N32" s="632">
        <f t="shared" si="2"/>
        <v>4.8398256085341984</v>
      </c>
      <c r="O32" s="629">
        <f t="shared" si="3"/>
        <v>1.5540804934303269</v>
      </c>
      <c r="P32" s="633">
        <f t="shared" si="4"/>
        <v>-2.9732089671982451</v>
      </c>
      <c r="Q32" s="585">
        <f t="shared" si="113"/>
        <v>17.801958446538393</v>
      </c>
      <c r="R32" s="629">
        <f t="shared" si="79"/>
        <v>5.0832153309774393</v>
      </c>
      <c r="S32" s="634">
        <f t="shared" si="80"/>
        <v>-2.9732089671982451</v>
      </c>
      <c r="T32" s="635">
        <f t="shared" si="81"/>
        <v>1.5540804934303263</v>
      </c>
      <c r="U32" s="629">
        <f t="shared" si="82"/>
        <v>-4.8398256085341993</v>
      </c>
      <c r="V32" s="636">
        <f t="shared" si="114"/>
        <v>-2.9732089671982451</v>
      </c>
      <c r="W32" s="585">
        <f t="shared" si="224"/>
        <v>287.80195844653838</v>
      </c>
      <c r="X32" s="629">
        <f t="shared" si="83"/>
        <v>5.0832153309774393</v>
      </c>
      <c r="Y32" s="630">
        <f t="shared" si="223"/>
        <v>-2.9732089671982451</v>
      </c>
      <c r="Z32" s="632">
        <f t="shared" si="6"/>
        <v>-0.29567531292194826</v>
      </c>
      <c r="AA32" s="629">
        <f t="shared" si="7"/>
        <v>-0.95528849533975402</v>
      </c>
      <c r="AB32" s="629">
        <f t="shared" si="8"/>
        <v>-1.3008419241909525E-7</v>
      </c>
      <c r="AC32" s="636">
        <f t="shared" si="84"/>
        <v>1</v>
      </c>
      <c r="AD32" s="637">
        <f t="shared" si="115"/>
        <v>-0.29567531292194826</v>
      </c>
      <c r="AE32" s="629">
        <f t="shared" si="85"/>
        <v>-0.95528849533975402</v>
      </c>
      <c r="AF32" s="633">
        <f t="shared" si="86"/>
        <v>-1.3008419241909525E-7</v>
      </c>
      <c r="AG32" s="602">
        <f t="shared" si="87"/>
        <v>-89.999992197880289</v>
      </c>
      <c r="AH32" s="603">
        <f t="shared" si="88"/>
        <v>107.19803650008673</v>
      </c>
      <c r="AI32" s="585">
        <f t="shared" si="89"/>
        <v>-89.999992546724783</v>
      </c>
      <c r="AJ32" s="586">
        <f t="shared" si="90"/>
        <v>-17.198036500086879</v>
      </c>
      <c r="AK32" s="635">
        <f t="shared" si="211"/>
        <v>0.81915209487729213</v>
      </c>
      <c r="AL32" s="629">
        <f t="shared" si="91"/>
        <v>-0.57357636410344459</v>
      </c>
      <c r="AM32" s="634">
        <f t="shared" si="92"/>
        <v>-1.3008419241909525E-7</v>
      </c>
      <c r="AN32" s="581">
        <f t="shared" si="93"/>
        <v>-89.999987005609597</v>
      </c>
      <c r="AO32" s="582">
        <f t="shared" si="94"/>
        <v>34.999994946625939</v>
      </c>
      <c r="AP32" s="585">
        <f t="shared" si="95"/>
        <v>-34.999994946625264</v>
      </c>
      <c r="AQ32" s="586">
        <f t="shared" si="9"/>
        <v>0.44847206464958767</v>
      </c>
      <c r="AS32" s="52">
        <f t="shared" si="116"/>
        <v>-72.198041553461621</v>
      </c>
      <c r="AT32" s="72">
        <f t="shared" si="10"/>
        <v>-2.9230714383416747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3.16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3.9163342480870598</v>
      </c>
      <c r="C33" s="708">
        <v>0.43403202681304653</v>
      </c>
      <c r="D33" s="709">
        <v>-0.26140078838477782</v>
      </c>
      <c r="E33" s="710">
        <v>0.10541226650921147</v>
      </c>
      <c r="F33" s="708">
        <v>0.92353908509304972</v>
      </c>
      <c r="G33" s="711">
        <v>0.36873271128947005</v>
      </c>
      <c r="H33" s="710">
        <v>0.26600000000000001</v>
      </c>
      <c r="I33" s="708">
        <v>0.52</v>
      </c>
      <c r="J33" s="570">
        <v>3.2240000000000002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3.2240000000000002</v>
      </c>
      <c r="N33" s="632">
        <f t="shared" si="2"/>
        <v>3.9163342480870598</v>
      </c>
      <c r="O33" s="629">
        <f t="shared" si="3"/>
        <v>0.43403202681304653</v>
      </c>
      <c r="P33" s="633">
        <f t="shared" si="4"/>
        <v>-0.26140078838477782</v>
      </c>
      <c r="Q33" s="585">
        <f t="shared" si="113"/>
        <v>6.324060103741874</v>
      </c>
      <c r="R33" s="629">
        <f t="shared" si="79"/>
        <v>3.9403118839806419</v>
      </c>
      <c r="S33" s="634">
        <f t="shared" si="80"/>
        <v>-0.26140078838477782</v>
      </c>
      <c r="T33" s="635">
        <f t="shared" si="81"/>
        <v>0.43403202681304714</v>
      </c>
      <c r="U33" s="629">
        <f t="shared" si="82"/>
        <v>-3.9163342480870598</v>
      </c>
      <c r="V33" s="636">
        <f t="shared" si="114"/>
        <v>-0.26140078838477782</v>
      </c>
      <c r="W33" s="585">
        <f t="shared" si="224"/>
        <v>276.32406010374189</v>
      </c>
      <c r="X33" s="629">
        <f t="shared" si="83"/>
        <v>3.9403118839806419</v>
      </c>
      <c r="Y33" s="630">
        <f t="shared" si="223"/>
        <v>-0.26140078838477782</v>
      </c>
      <c r="Z33" s="632">
        <f t="shared" si="6"/>
        <v>-0.10541226650921147</v>
      </c>
      <c r="AA33" s="629">
        <f t="shared" si="7"/>
        <v>-0.92353908509304972</v>
      </c>
      <c r="AB33" s="629">
        <f t="shared" si="8"/>
        <v>-0.36873271128947005</v>
      </c>
      <c r="AC33" s="636">
        <f t="shared" si="84"/>
        <v>1</v>
      </c>
      <c r="AD33" s="637">
        <f t="shared" si="115"/>
        <v>-0.10541226650921147</v>
      </c>
      <c r="AE33" s="629">
        <f t="shared" si="85"/>
        <v>-0.92353908509304972</v>
      </c>
      <c r="AF33" s="633">
        <f t="shared" si="86"/>
        <v>-0.36873271128947005</v>
      </c>
      <c r="AG33" s="602">
        <f t="shared" si="87"/>
        <v>-68.23512404362701</v>
      </c>
      <c r="AH33" s="603">
        <f t="shared" si="88"/>
        <v>96.050919509834515</v>
      </c>
      <c r="AI33" s="585">
        <f t="shared" si="89"/>
        <v>-68.362518478945958</v>
      </c>
      <c r="AJ33" s="586">
        <f t="shared" si="90"/>
        <v>-6.5115307609573705</v>
      </c>
      <c r="AK33" s="635">
        <f t="shared" si="211"/>
        <v>0.90630781366099955</v>
      </c>
      <c r="AL33" s="629">
        <f t="shared" si="91"/>
        <v>-0.20650020465397922</v>
      </c>
      <c r="AM33" s="634">
        <f t="shared" si="92"/>
        <v>-0.36873271128947005</v>
      </c>
      <c r="AN33" s="581">
        <f t="shared" si="93"/>
        <v>-29.249995776823141</v>
      </c>
      <c r="AO33" s="582">
        <f t="shared" si="94"/>
        <v>24.999996390447112</v>
      </c>
      <c r="AP33" s="585">
        <f t="shared" si="95"/>
        <v>-12.835590864699254</v>
      </c>
      <c r="AQ33" s="586">
        <f t="shared" si="9"/>
        <v>0.57854535840979615</v>
      </c>
      <c r="AS33" s="52">
        <f t="shared" si="116"/>
        <v>-83.675939896258114</v>
      </c>
      <c r="AT33" s="72">
        <f t="shared" si="10"/>
        <v>-0.20329249679015413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3.2240000000000002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3.1240000000000001</v>
      </c>
      <c r="II33" s="734" cm="1">
        <f t="array" ref="II33">IFERROR(IF($IH33&lt;1,$IH33+LARGE((IF($M$9:$M$150="",0,$M$9:$M$150)-MOD(IF($M$9:$M$150="",0,$M$9:$M$150),1)),1),$IH33),"")</f>
        <v>3.1240000000000001</v>
      </c>
      <c r="IJ33" s="533">
        <f t="shared" si="112"/>
        <v>1613</v>
      </c>
      <c r="IK33" s="533">
        <f t="shared" si="66"/>
        <v>1313</v>
      </c>
      <c r="IL33" s="727">
        <f t="shared" si="225"/>
        <v>13.08289811106323</v>
      </c>
      <c r="IM33" s="759">
        <v>6.1935894667938399E-3</v>
      </c>
      <c r="IN33" s="5">
        <f t="shared" si="226"/>
        <v>0.16</v>
      </c>
      <c r="IO33" s="771">
        <v>80</v>
      </c>
      <c r="IP33" s="9">
        <f t="shared" si="227"/>
        <v>-3.9099117922939652</v>
      </c>
      <c r="IQ33" s="5">
        <f t="shared" si="228"/>
        <v>-0.30830092983560464</v>
      </c>
      <c r="IR33" s="5">
        <f t="shared" si="71"/>
        <v>0.314</v>
      </c>
      <c r="IS33" s="5">
        <f t="shared" si="229"/>
        <v>0.30330071252667307</v>
      </c>
      <c r="IT33" s="727">
        <f t="shared" si="230"/>
        <v>29.249995776823205</v>
      </c>
      <c r="IU33" s="9">
        <f t="shared" si="231"/>
        <v>-3.9403118839806419</v>
      </c>
      <c r="IV33" s="5">
        <f t="shared" si="232"/>
        <v>-0.26140078838477782</v>
      </c>
      <c r="IW33" s="5">
        <f t="shared" si="76"/>
        <v>0.26600000000000001</v>
      </c>
      <c r="IX33" s="5">
        <f t="shared" si="233"/>
        <v>0.24107787843382589</v>
      </c>
      <c r="IY33" s="762">
        <f t="shared" si="234"/>
        <v>29.249995776823141</v>
      </c>
    </row>
    <row r="34" spans="1:267" ht="15" customHeight="1" x14ac:dyDescent="0.25">
      <c r="A34" s="79"/>
      <c r="B34" s="707">
        <v>4.5275294623264033</v>
      </c>
      <c r="C34" s="708">
        <v>0.54080169084974672</v>
      </c>
      <c r="D34" s="709">
        <v>-0.7518022674356386</v>
      </c>
      <c r="E34" s="710">
        <v>0.22438625904888584</v>
      </c>
      <c r="F34" s="708">
        <v>0.93198558012327937</v>
      </c>
      <c r="G34" s="711">
        <v>0.28469928906184649</v>
      </c>
      <c r="H34" s="710">
        <v>0.26600000000000001</v>
      </c>
      <c r="I34" s="708">
        <v>0.52</v>
      </c>
      <c r="J34" s="570">
        <v>3.2330000000000001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3.2330000000000001</v>
      </c>
      <c r="N34" s="632">
        <f t="shared" si="2"/>
        <v>4.5275294623264033</v>
      </c>
      <c r="O34" s="629">
        <f t="shared" si="3"/>
        <v>0.54080169084974672</v>
      </c>
      <c r="P34" s="633">
        <f t="shared" si="4"/>
        <v>-0.7518022674356386</v>
      </c>
      <c r="Q34" s="585">
        <f t="shared" si="113"/>
        <v>6.8115600333555912</v>
      </c>
      <c r="R34" s="629">
        <f>IF(M34="","",SQRT(N34^2+O34^2))</f>
        <v>4.5597137520966768</v>
      </c>
      <c r="S34" s="634">
        <f>IF(M34="","",P34)</f>
        <v>-0.7518022674356386</v>
      </c>
      <c r="T34" s="635">
        <f>IF(M34="","",X34*COS(RADIANS(W34)))</f>
        <v>0.54080169084974783</v>
      </c>
      <c r="U34" s="629">
        <f>IF(M34="","",X34*SIN(RADIANS(W34)))</f>
        <v>-4.5275294623264033</v>
      </c>
      <c r="V34" s="636">
        <f>IF(M34="","",Y34)</f>
        <v>-0.7518022674356386</v>
      </c>
      <c r="W34" s="585">
        <f t="shared" si="224"/>
        <v>276.81156003335559</v>
      </c>
      <c r="X34" s="629">
        <f>IF(M34="","",R34)</f>
        <v>4.5597137520966768</v>
      </c>
      <c r="Y34" s="630">
        <f t="shared" si="223"/>
        <v>-0.7518022674356386</v>
      </c>
      <c r="Z34" s="632">
        <f t="shared" si="6"/>
        <v>-0.22438625904888584</v>
      </c>
      <c r="AA34" s="629">
        <f t="shared" si="7"/>
        <v>-0.93198558012327937</v>
      </c>
      <c r="AB34" s="629">
        <f t="shared" si="8"/>
        <v>-0.28469928906184649</v>
      </c>
      <c r="AC34" s="636">
        <f>IF(M34="","",SQRT(Z34^2+AA34^2+AB34^2))</f>
        <v>1</v>
      </c>
      <c r="AD34" s="637">
        <f>IF(M34="","",Z34*(1/SQRT(Z34^2+AA34^2+AB34^2)))</f>
        <v>-0.22438625904888584</v>
      </c>
      <c r="AE34" s="629">
        <f>IF(M34="","",AA34*(1/SQRT(Z34^2+AA34^2+AB34^2)))</f>
        <v>-0.93198558012327937</v>
      </c>
      <c r="AF34" s="633">
        <f>IF(M34="","",AB34*(1/SQRT(Z34^2+AA34^2+AB34^2)))</f>
        <v>-0.28469928906184649</v>
      </c>
      <c r="AG34" s="602">
        <f>IF(M34="","",DEGREES(ATAN2(-AF34,AE34)))</f>
        <v>-73.013342280562753</v>
      </c>
      <c r="AH34" s="603">
        <f>IF(M34="","",DEGREES(ACOS(AD34)))</f>
        <v>102.96679062229275</v>
      </c>
      <c r="AI34" s="585">
        <f>IF(M34="","",DEGREES(-ACOS(-AF34)))</f>
        <v>-73.45912550824545</v>
      </c>
      <c r="AJ34" s="586">
        <f>IF(M34="","",DEGREES(ATAN2(-AE34,AD34)))</f>
        <v>-13.536981367817626</v>
      </c>
      <c r="AK34" s="635">
        <f>IF(M34="","",(COS(RADIANS((90-$Q$8)-W34))*AD34)+(-SIN(RADIANS((90-$Q$8)-W34))*AE34))</f>
        <v>0.89879407502059627</v>
      </c>
      <c r="AL34" s="629">
        <f>IF(M34="","",(SIN(RADIANS((90-$Q$8)-W34))*AD34)+(COS(RADIANS((90-$Q$8)-W34))*AE34))</f>
        <v>-0.33333995487422463</v>
      </c>
      <c r="AM34" s="634">
        <f>IF(M34="","",AF34)</f>
        <v>-0.28469928906184649</v>
      </c>
      <c r="AN34" s="581">
        <f>IF(M34="","",DEGREES(ATAN2(-AM34,AL34)))</f>
        <v>-49.499992853085288</v>
      </c>
      <c r="AO34" s="582">
        <f t="shared" si="94"/>
        <v>25.999996246065006</v>
      </c>
      <c r="AP34" s="585">
        <f>IF(M34="","",DEGREES(ATAN2(AK34,AL34)))</f>
        <v>-20.348541401173229</v>
      </c>
      <c r="AQ34" s="586">
        <f t="shared" si="9"/>
        <v>0.4999587462676463</v>
      </c>
      <c r="AS34" s="52">
        <f t="shared" si="116"/>
        <v>-83.18843996664441</v>
      </c>
      <c r="AT34" s="72">
        <f t="shared" si="10"/>
        <v>-0.69403251745880223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3.2330000000000001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3.133</v>
      </c>
      <c r="II34" s="734" cm="1">
        <f t="array" ref="II34">IFERROR(IF($IH34&lt;1,$IH34+LARGE((IF($M$9:$M$150="",0,$M$9:$M$150)-MOD(IF($M$9:$M$150="",0,$M$9:$M$150),1)),1),$IH34),"")</f>
        <v>3.133</v>
      </c>
      <c r="IJ34" s="533">
        <f t="shared" si="112"/>
        <v>1613</v>
      </c>
      <c r="IK34" s="533">
        <f t="shared" si="66"/>
        <v>1313</v>
      </c>
      <c r="IL34" s="727">
        <f t="shared" si="225"/>
        <v>11.851398288869802</v>
      </c>
      <c r="IM34" s="759">
        <v>3.9617143190372297E-3</v>
      </c>
      <c r="IN34" s="5">
        <f t="shared" si="226"/>
        <v>0.14000000000000001</v>
      </c>
      <c r="IO34" s="771">
        <v>70</v>
      </c>
      <c r="IP34" s="9">
        <f t="shared" si="227"/>
        <v>-4.5121136085346434</v>
      </c>
      <c r="IQ34" s="5">
        <f t="shared" si="228"/>
        <v>-0.78590237028154875</v>
      </c>
      <c r="IR34" s="5">
        <f t="shared" si="71"/>
        <v>0.314</v>
      </c>
      <c r="IS34" s="5">
        <f t="shared" si="229"/>
        <v>0.30183617601425455</v>
      </c>
      <c r="IT34" s="727">
        <f t="shared" si="230"/>
        <v>49.499992853085288</v>
      </c>
      <c r="IU34" s="9">
        <f t="shared" si="231"/>
        <v>-4.5597137520966768</v>
      </c>
      <c r="IV34" s="5">
        <f t="shared" si="232"/>
        <v>-0.7518022674356386</v>
      </c>
      <c r="IW34" s="5">
        <f t="shared" si="76"/>
        <v>0.26600000000000001</v>
      </c>
      <c r="IX34" s="5">
        <f t="shared" si="233"/>
        <v>0.23907922395547862</v>
      </c>
      <c r="IY34" s="762">
        <f t="shared" si="234"/>
        <v>49.499992853085288</v>
      </c>
      <c r="JG34" s="470"/>
    </row>
    <row r="35" spans="1:267" ht="15" customHeight="1" x14ac:dyDescent="0.25">
      <c r="A35" s="79"/>
      <c r="B35" s="707">
        <v>4.9348140837881038</v>
      </c>
      <c r="C35" s="708">
        <v>0.55580096726485029</v>
      </c>
      <c r="D35" s="709">
        <v>-1.4305043144010123</v>
      </c>
      <c r="E35" s="710">
        <v>0.38423329212423218</v>
      </c>
      <c r="F35" s="708">
        <v>0.90586251332480361</v>
      </c>
      <c r="G35" s="711">
        <v>0.17826352452547511</v>
      </c>
      <c r="H35" s="710">
        <v>0.26600000000000001</v>
      </c>
      <c r="I35" s="708">
        <v>0.52</v>
      </c>
      <c r="J35" s="570">
        <v>3.242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3.242</v>
      </c>
      <c r="N35" s="632">
        <f t="shared" si="2"/>
        <v>4.9348140837881038</v>
      </c>
      <c r="O35" s="629">
        <f t="shared" si="3"/>
        <v>0.55580096726485029</v>
      </c>
      <c r="P35" s="633">
        <f t="shared" si="4"/>
        <v>-1.4305043144010123</v>
      </c>
      <c r="Q35" s="585">
        <f t="shared" si="113"/>
        <v>6.4260600890148973</v>
      </c>
      <c r="R35" s="629">
        <f>IF(M35="","",SQRT(N35^2+O35^2))</f>
        <v>4.9660149775011719</v>
      </c>
      <c r="S35" s="634">
        <f>IF(M35="","",P35)</f>
        <v>-1.4305043144010123</v>
      </c>
      <c r="T35" s="635">
        <f>IF(M35="","",X35*COS(RADIANS(W35)))</f>
        <v>0.55580096726485151</v>
      </c>
      <c r="U35" s="629">
        <f>IF(M35="","",X35*SIN(RADIANS(W35)))</f>
        <v>-4.9348140837881038</v>
      </c>
      <c r="V35" s="636">
        <f>IF(M35="","",Y35)</f>
        <v>-1.4305043144010123</v>
      </c>
      <c r="W35" s="585">
        <f t="shared" si="224"/>
        <v>276.42606008901492</v>
      </c>
      <c r="X35" s="629">
        <f>IF(M35="","",R35)</f>
        <v>4.9660149775011719</v>
      </c>
      <c r="Y35" s="630">
        <f t="shared" si="223"/>
        <v>-1.4305043144010123</v>
      </c>
      <c r="Z35" s="632">
        <f t="shared" si="6"/>
        <v>-0.38423329212423218</v>
      </c>
      <c r="AA35" s="629">
        <f t="shared" si="7"/>
        <v>-0.90586251332480361</v>
      </c>
      <c r="AB35" s="629">
        <f t="shared" si="8"/>
        <v>-0.17826352452547511</v>
      </c>
      <c r="AC35" s="636">
        <f>IF(M35="","",SQRT(Z35^2+AA35^2+AB35^2))</f>
        <v>1</v>
      </c>
      <c r="AD35" s="637">
        <f>IF(M35="","",Z35*(1/SQRT(Z35^2+AA35^2+AB35^2)))</f>
        <v>-0.38423329212423218</v>
      </c>
      <c r="AE35" s="629">
        <f>IF(M35="","",AA35*(1/SQRT(Z35^2+AA35^2+AB35^2)))</f>
        <v>-0.90586251332480361</v>
      </c>
      <c r="AF35" s="633">
        <f>IF(M35="","",AB35*(1/SQRT(Z35^2+AA35^2+AB35^2)))</f>
        <v>-0.17826352452547511</v>
      </c>
      <c r="AG35" s="602">
        <f>IF(M35="","",DEGREES(ATAN2(-AF35,AE35)))</f>
        <v>-78.867092428506623</v>
      </c>
      <c r="AH35" s="603">
        <f>IF(M35="","",DEGREES(ACOS(AD35)))</f>
        <v>112.59615034785567</v>
      </c>
      <c r="AI35" s="585">
        <f>IF(M35="","",DEGREES(-ACOS(-AF35)))</f>
        <v>-79.731368668395831</v>
      </c>
      <c r="AJ35" s="586">
        <f>IF(M35="","",DEGREES(ATAN2(-AE35,AD35)))</f>
        <v>-22.984856423686221</v>
      </c>
      <c r="AK35" s="635">
        <f>IF(M35="","",(COS(RADIANS((90-$Q$8)-W35))*AD35)+(-SIN(RADIANS((90-$Q$8)-W35))*AE35))</f>
        <v>0.85716734093597857</v>
      </c>
      <c r="AL35" s="629">
        <f>IF(M35="","",(SIN(RADIANS((90-$Q$8)-W35))*AD35)+(COS(RADIANS((90-$Q$8)-W35))*AE35))</f>
        <v>-0.48320416539647026</v>
      </c>
      <c r="AM35" s="634">
        <f>IF(M35="","",AF35)</f>
        <v>-0.17826352452547511</v>
      </c>
      <c r="AN35" s="581">
        <f>IF(M35="","",DEGREES(ATAN2(-AM35,AL35)))</f>
        <v>-69.74998992934745</v>
      </c>
      <c r="AO35" s="582">
        <f t="shared" si="94"/>
        <v>30.999995524154443</v>
      </c>
      <c r="AP35" s="585">
        <f>IF(M35="","",DEGREES(ATAN2(AK35,AL35)))</f>
        <v>-29.410916512701125</v>
      </c>
      <c r="AQ35" s="586">
        <f t="shared" si="9"/>
        <v>0.45905577439240114</v>
      </c>
      <c r="AS35" s="52">
        <f t="shared" si="116"/>
        <v>-83.573939910985075</v>
      </c>
      <c r="AT35" s="72">
        <f t="shared" si="10"/>
        <v>-1.3724668561294948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3.242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3.1419999999999999</v>
      </c>
      <c r="II35" s="734" cm="1">
        <f t="array" ref="II35">IFERROR(IF($IH35&lt;1,$IH35+LARGE((IF($M$9:$M$150="",0,$M$9:$M$150)-MOD(IF($M$9:$M$150="",0,$M$9:$M$150),1)),1),$IH35),"")</f>
        <v>3.1419999999999999</v>
      </c>
      <c r="IJ35" s="533">
        <f t="shared" si="112"/>
        <v>1613</v>
      </c>
      <c r="IK35" s="533">
        <f t="shared" si="66"/>
        <v>1313</v>
      </c>
      <c r="IL35" s="727">
        <f t="shared" si="225"/>
        <v>11.657898316807689</v>
      </c>
      <c r="IM35" s="759">
        <v>1.63314311347232E-3</v>
      </c>
      <c r="IN35" s="5">
        <f t="shared" si="226"/>
        <v>0</v>
      </c>
      <c r="IO35" s="771">
        <v>0</v>
      </c>
      <c r="IP35" s="9">
        <f t="shared" si="227"/>
        <v>-4.9050147935246171</v>
      </c>
      <c r="IQ35" s="5">
        <f t="shared" si="228"/>
        <v>-1.4465043626571579</v>
      </c>
      <c r="IR35" s="5">
        <f t="shared" si="71"/>
        <v>0.314</v>
      </c>
      <c r="IS35" s="5">
        <f t="shared" si="229"/>
        <v>0.29314425987494425</v>
      </c>
      <c r="IT35" s="727">
        <f t="shared" si="230"/>
        <v>69.749989929347407</v>
      </c>
      <c r="IU35" s="9">
        <f t="shared" si="231"/>
        <v>-4.9660149775011719</v>
      </c>
      <c r="IV35" s="5">
        <f t="shared" si="232"/>
        <v>-1.4305043144010123</v>
      </c>
      <c r="IW35" s="5">
        <f t="shared" si="76"/>
        <v>0.26600000000000001</v>
      </c>
      <c r="IX35" s="5">
        <f t="shared" si="233"/>
        <v>0.22800651268897032</v>
      </c>
      <c r="IY35" s="762">
        <f t="shared" si="234"/>
        <v>69.74998992934745</v>
      </c>
    </row>
    <row r="36" spans="1:267" ht="15" customHeight="1" x14ac:dyDescent="0.25">
      <c r="A36" s="79"/>
      <c r="B36" s="707">
        <v>5.0673927949274198</v>
      </c>
      <c r="C36" s="708">
        <v>0.49193907547561566</v>
      </c>
      <c r="D36" s="709">
        <v>-2.2106066671897082</v>
      </c>
      <c r="E36" s="710">
        <v>0.49174188007192027</v>
      </c>
      <c r="F36" s="708">
        <v>0.87074101969719819</v>
      </c>
      <c r="G36" s="711">
        <v>1.3008419214400717E-7</v>
      </c>
      <c r="H36" s="710">
        <v>0.26600000000000001</v>
      </c>
      <c r="I36" s="708">
        <v>0.52</v>
      </c>
      <c r="J36" s="570">
        <v>3.2509999999999999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3.2509999999999999</v>
      </c>
      <c r="N36" s="632">
        <f t="shared" si="2"/>
        <v>5.0673927949274198</v>
      </c>
      <c r="O36" s="629">
        <f t="shared" si="3"/>
        <v>0.49193907547561566</v>
      </c>
      <c r="P36" s="633">
        <f t="shared" si="4"/>
        <v>-2.2106066671897082</v>
      </c>
      <c r="Q36" s="585">
        <f t="shared" si="113"/>
        <v>5.5448602162444178</v>
      </c>
      <c r="R36" s="629">
        <f>IF(M36="","",SQRT(N36^2+O36^2))</f>
        <v>5.0912153551055113</v>
      </c>
      <c r="S36" s="634">
        <f>IF(M36="","",P36)</f>
        <v>-2.2106066671897082</v>
      </c>
      <c r="T36" s="635">
        <f>IF(M36="","",X36*COS(RADIANS(W36)))</f>
        <v>0.49193907547561577</v>
      </c>
      <c r="U36" s="629">
        <f>IF(M36="","",X36*SIN(RADIANS(W36)))</f>
        <v>-5.0673927949274207</v>
      </c>
      <c r="V36" s="636">
        <f>IF(M36="","",Y36)</f>
        <v>-2.2106066671897082</v>
      </c>
      <c r="W36" s="585">
        <f t="shared" si="224"/>
        <v>275.54486021624444</v>
      </c>
      <c r="X36" s="629">
        <f>IF(M36="","",R36)</f>
        <v>5.0912153551055113</v>
      </c>
      <c r="Y36" s="630">
        <f t="shared" si="223"/>
        <v>-2.2106066671897082</v>
      </c>
      <c r="Z36" s="632">
        <f t="shared" si="6"/>
        <v>-0.49174188007192027</v>
      </c>
      <c r="AA36" s="629">
        <f t="shared" si="7"/>
        <v>-0.87074101969719819</v>
      </c>
      <c r="AB36" s="629">
        <f t="shared" si="8"/>
        <v>-1.3008419214400717E-7</v>
      </c>
      <c r="AC36" s="636">
        <f>IF(M36="","",SQRT(Z36^2+AA36^2+AB36^2))</f>
        <v>1</v>
      </c>
      <c r="AD36" s="637">
        <f>IF(M36="","",Z36*(1/SQRT(Z36^2+AA36^2+AB36^2)))</f>
        <v>-0.49174188007192027</v>
      </c>
      <c r="AE36" s="629">
        <f>IF(M36="","",AA36*(1/SQRT(Z36^2+AA36^2+AB36^2)))</f>
        <v>-0.87074101969719819</v>
      </c>
      <c r="AF36" s="633">
        <f>IF(M36="","",AB36*(1/SQRT(Z36^2+AA36^2+AB36^2)))</f>
        <v>-1.3008419214400717E-7</v>
      </c>
      <c r="AG36" s="602">
        <f>IF(M36="","",DEGREES(ATAN2(-AF36,AE36)))</f>
        <v>-89.99999144030771</v>
      </c>
      <c r="AH36" s="603">
        <f>IF(M36="","",DEGREES(ACOS(AD36)))</f>
        <v>119.45513473038059</v>
      </c>
      <c r="AI36" s="585">
        <f>IF(M36="","",DEGREES(-ACOS(-AF36)))</f>
        <v>-89.999992546724812</v>
      </c>
      <c r="AJ36" s="586">
        <f>IF(M36="","",DEGREES(ATAN2(-AE36,AD36)))</f>
        <v>-29.455134730380856</v>
      </c>
      <c r="AK36" s="635">
        <f>IF(M36="","",(COS(RADIANS((90-$Q$8)-W36))*AD36)+(-SIN(RADIANS((90-$Q$8)-W36))*AE36))</f>
        <v>0.8191520948772919</v>
      </c>
      <c r="AL36" s="629">
        <f>IF(M36="","",(SIN(RADIANS((90-$Q$8)-W36))*AD36)+(COS(RADIANS((90-$Q$8)-W36))*AE36))</f>
        <v>-0.57357636410344459</v>
      </c>
      <c r="AM36" s="634">
        <f>IF(M36="","",AF36)</f>
        <v>-1.3008419214400717E-7</v>
      </c>
      <c r="AN36" s="581">
        <f>IF(M36="","",DEGREES(ATAN2(-AM36,AL36)))</f>
        <v>-89.999987005609626</v>
      </c>
      <c r="AO36" s="582">
        <f t="shared" si="94"/>
        <v>34.999994946625968</v>
      </c>
      <c r="AP36" s="585">
        <f>IF(M36="","",DEGREES(ATAN2(AK36,AL36)))</f>
        <v>-34.999994946625272</v>
      </c>
      <c r="AQ36" s="586">
        <f t="shared" si="9"/>
        <v>0.44776739181744196</v>
      </c>
      <c r="AS36" s="52">
        <f t="shared" si="116"/>
        <v>-84.455139783755556</v>
      </c>
      <c r="AT36" s="72">
        <f t="shared" si="10"/>
        <v>-2.1519572645621001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>Gage</v>
      </c>
      <c r="IG36" s="847">
        <f t="shared" si="210"/>
        <v>3.2509999999999999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3.1509999999999998</v>
      </c>
      <c r="II36" s="734" cm="1">
        <f t="array" ref="II36">IFERROR(IF($IH36&lt;1,$IH36+LARGE((IF($M$9:$M$150="",0,$M$9:$M$150)-MOD(IF($M$9:$M$150="",0,$M$9:$M$150),1)),1),$IH36),"")</f>
        <v>3.1509999999999998</v>
      </c>
      <c r="IJ36" s="533">
        <f t="shared" si="112"/>
        <v>1613</v>
      </c>
      <c r="IK36" s="533">
        <f t="shared" si="66"/>
        <v>1313</v>
      </c>
      <c r="IL36" s="727">
        <f t="shared" si="225"/>
        <v>12.330098219754063</v>
      </c>
      <c r="IM36" s="759">
        <v>4.7548829185545698E-5</v>
      </c>
      <c r="IN36" s="5">
        <f t="shared" si="226"/>
        <v>0</v>
      </c>
      <c r="IO36" s="771">
        <v>0</v>
      </c>
      <c r="IP36" s="9">
        <f t="shared" si="227"/>
        <v>-5.0372151922410184</v>
      </c>
      <c r="IQ36" s="5">
        <f t="shared" si="228"/>
        <v>-2.2037066463792456</v>
      </c>
      <c r="IR36" s="5">
        <f t="shared" si="71"/>
        <v>0.314</v>
      </c>
      <c r="IS36" s="5">
        <f t="shared" si="229"/>
        <v>0.27193198865724594</v>
      </c>
      <c r="IT36" s="727">
        <f t="shared" si="230"/>
        <v>89.999987005609597</v>
      </c>
      <c r="IU36" s="9">
        <f t="shared" si="231"/>
        <v>-5.0912153551055113</v>
      </c>
      <c r="IV36" s="5">
        <f t="shared" si="232"/>
        <v>-2.2106066671897082</v>
      </c>
      <c r="IW36" s="5">
        <f t="shared" si="76"/>
        <v>0.26600000000000001</v>
      </c>
      <c r="IX36" s="5">
        <f t="shared" si="233"/>
        <v>0.21789445723735962</v>
      </c>
      <c r="IY36" s="762">
        <f t="shared" si="234"/>
        <v>89.999987005609626</v>
      </c>
    </row>
    <row r="37" spans="1:267" ht="15" customHeight="1" x14ac:dyDescent="0.25">
      <c r="A37" s="79"/>
      <c r="B37" s="707">
        <v>0.73915465332772534</v>
      </c>
      <c r="C37" s="708">
        <v>-0.42675173411263528</v>
      </c>
      <c r="D37" s="709">
        <v>-0.53620161718407744</v>
      </c>
      <c r="E37" s="710">
        <v>0.42495075868149657</v>
      </c>
      <c r="F37" s="708">
        <v>0.87000969481008184</v>
      </c>
      <c r="G37" s="711">
        <v>0.24999996726497564</v>
      </c>
      <c r="H37" s="710">
        <v>0.314</v>
      </c>
      <c r="I37" s="708">
        <v>0.52</v>
      </c>
      <c r="J37" s="570">
        <v>4.1029999999999998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4.1029999999999998</v>
      </c>
      <c r="N37" s="632">
        <f t="shared" si="2"/>
        <v>0.73915465332772534</v>
      </c>
      <c r="O37" s="629">
        <f t="shared" si="3"/>
        <v>-0.42675173411263528</v>
      </c>
      <c r="P37" s="633">
        <f t="shared" si="4"/>
        <v>-0.53620161718407744</v>
      </c>
      <c r="Q37" s="585">
        <f t="shared" si="113"/>
        <v>329.99996534829228</v>
      </c>
      <c r="R37" s="629">
        <f t="shared" si="79"/>
        <v>0.85350257416376385</v>
      </c>
      <c r="S37" s="634">
        <f t="shared" si="80"/>
        <v>-0.53620161718407744</v>
      </c>
      <c r="T37" s="635">
        <f t="shared" si="81"/>
        <v>-0.42675173411263534</v>
      </c>
      <c r="U37" s="629">
        <f t="shared" si="82"/>
        <v>-0.73915465332772534</v>
      </c>
      <c r="V37" s="636">
        <f t="shared" si="114"/>
        <v>-0.53620161718407744</v>
      </c>
      <c r="W37" s="585">
        <f t="shared" si="224"/>
        <v>239.99996534829228</v>
      </c>
      <c r="X37" s="629">
        <f t="shared" si="83"/>
        <v>0.85350257416376385</v>
      </c>
      <c r="Y37" s="630">
        <f t="shared" si="223"/>
        <v>-0.53620161718407744</v>
      </c>
      <c r="Z37" s="632">
        <f t="shared" si="6"/>
        <v>-0.42495075868149657</v>
      </c>
      <c r="AA37" s="629">
        <f t="shared" si="7"/>
        <v>-0.87000969481008184</v>
      </c>
      <c r="AB37" s="629">
        <f t="shared" si="8"/>
        <v>-0.24999996726497564</v>
      </c>
      <c r="AC37" s="636">
        <f t="shared" si="84"/>
        <v>1</v>
      </c>
      <c r="AD37" s="637">
        <f t="shared" si="115"/>
        <v>-0.42495075868149657</v>
      </c>
      <c r="AE37" s="629">
        <f t="shared" si="85"/>
        <v>-0.87000969481008184</v>
      </c>
      <c r="AF37" s="633">
        <f t="shared" si="86"/>
        <v>-0.24999996726497564</v>
      </c>
      <c r="AG37" s="602">
        <f t="shared" si="87"/>
        <v>-73.967832110835701</v>
      </c>
      <c r="AH37" s="603">
        <f t="shared" si="88"/>
        <v>115.14754663787646</v>
      </c>
      <c r="AI37" s="585">
        <f t="shared" si="89"/>
        <v>-75.522489751159469</v>
      </c>
      <c r="AJ37" s="586">
        <f t="shared" si="90"/>
        <v>-26.032905006621156</v>
      </c>
      <c r="AK37" s="635">
        <f t="shared" si="211"/>
        <v>0.9659258360722075</v>
      </c>
      <c r="AL37" s="629">
        <f t="shared" si="91"/>
        <v>6.6987279208207184E-2</v>
      </c>
      <c r="AM37" s="634">
        <f t="shared" si="92"/>
        <v>-0.24999996726497564</v>
      </c>
      <c r="AN37" s="581">
        <f t="shared" si="93"/>
        <v>14.999997834268264</v>
      </c>
      <c r="AO37" s="582">
        <f t="shared" si="94"/>
        <v>14.99999783426823</v>
      </c>
      <c r="AP37" s="585">
        <f t="shared" si="95"/>
        <v>3.9671296450865703</v>
      </c>
      <c r="AQ37" s="586">
        <f t="shared" si="9"/>
        <v>2.6690924849531066</v>
      </c>
      <c r="AS37" s="52">
        <f t="shared" si="116"/>
        <v>-120.00003465170772</v>
      </c>
      <c r="AT37" s="72">
        <f t="shared" si="10"/>
        <v>-0.45286825978705819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4.1029999999999998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1.3755984198544331</v>
      </c>
      <c r="C38" s="708">
        <v>-0.79420322725777348</v>
      </c>
      <c r="D38" s="709">
        <v>-0.33930102333188633</v>
      </c>
      <c r="E38" s="710">
        <v>0.42495075868149651</v>
      </c>
      <c r="F38" s="708">
        <v>0.87000969481008184</v>
      </c>
      <c r="G38" s="711">
        <v>0.24999996726497564</v>
      </c>
      <c r="H38" s="710">
        <v>0.314</v>
      </c>
      <c r="I38" s="708">
        <v>0.52</v>
      </c>
      <c r="J38" s="570">
        <v>4.1059999999999999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4.1059999999999999</v>
      </c>
      <c r="N38" s="632">
        <f t="shared" si="2"/>
        <v>1.3755984198544331</v>
      </c>
      <c r="O38" s="629">
        <f t="shared" si="3"/>
        <v>-0.79420322725777348</v>
      </c>
      <c r="P38" s="633">
        <f t="shared" si="4"/>
        <v>-0.33930102333188633</v>
      </c>
      <c r="Q38" s="585">
        <f t="shared" si="113"/>
        <v>329.99996534829228</v>
      </c>
      <c r="R38" s="629">
        <f t="shared" si="79"/>
        <v>1.5884047906288485</v>
      </c>
      <c r="S38" s="634">
        <f t="shared" si="80"/>
        <v>-0.33930102333188633</v>
      </c>
      <c r="T38" s="635">
        <f t="shared" si="81"/>
        <v>-0.7942032272577737</v>
      </c>
      <c r="U38" s="629">
        <f t="shared" si="82"/>
        <v>-1.3755984198544331</v>
      </c>
      <c r="V38" s="636">
        <f t="shared" si="114"/>
        <v>-0.33930102333188633</v>
      </c>
      <c r="W38" s="585">
        <f t="shared" si="224"/>
        <v>239.99996534829228</v>
      </c>
      <c r="X38" s="629">
        <f t="shared" si="83"/>
        <v>1.5884047906288485</v>
      </c>
      <c r="Y38" s="630">
        <f t="shared" si="223"/>
        <v>-0.33930102333188633</v>
      </c>
      <c r="Z38" s="632">
        <f t="shared" si="6"/>
        <v>-0.42495075868149651</v>
      </c>
      <c r="AA38" s="629">
        <f t="shared" si="7"/>
        <v>-0.87000969481008184</v>
      </c>
      <c r="AB38" s="629">
        <f t="shared" si="8"/>
        <v>-0.24999996726497564</v>
      </c>
      <c r="AC38" s="636">
        <f t="shared" si="84"/>
        <v>1</v>
      </c>
      <c r="AD38" s="637">
        <f t="shared" si="115"/>
        <v>-0.42495075868149651</v>
      </c>
      <c r="AE38" s="629">
        <f t="shared" si="85"/>
        <v>-0.87000969481008184</v>
      </c>
      <c r="AF38" s="633">
        <f t="shared" si="86"/>
        <v>-0.24999996726497564</v>
      </c>
      <c r="AG38" s="602">
        <f t="shared" si="87"/>
        <v>-73.967832110835701</v>
      </c>
      <c r="AH38" s="603">
        <f t="shared" si="88"/>
        <v>115.14754663787646</v>
      </c>
      <c r="AI38" s="585">
        <f t="shared" si="89"/>
        <v>-75.522489751159469</v>
      </c>
      <c r="AJ38" s="586">
        <f t="shared" si="90"/>
        <v>-26.032905006621153</v>
      </c>
      <c r="AK38" s="635">
        <f t="shared" si="211"/>
        <v>0.9659258360722075</v>
      </c>
      <c r="AL38" s="629">
        <f t="shared" si="91"/>
        <v>6.698727920820724E-2</v>
      </c>
      <c r="AM38" s="634">
        <f t="shared" si="92"/>
        <v>-0.24999996726497564</v>
      </c>
      <c r="AN38" s="581">
        <f t="shared" si="93"/>
        <v>14.999997834268278</v>
      </c>
      <c r="AO38" s="582">
        <f t="shared" si="94"/>
        <v>14.99999783426823</v>
      </c>
      <c r="AP38" s="585">
        <f t="shared" si="95"/>
        <v>3.9671296450865734</v>
      </c>
      <c r="AQ38" s="586">
        <f t="shared" si="9"/>
        <v>1.4349301886981196</v>
      </c>
      <c r="AS38" s="52">
        <f t="shared" si="116"/>
        <v>-120.00003465170772</v>
      </c>
      <c r="AT38" s="72">
        <f t="shared" si="10"/>
        <v>-0.25596766593486708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4.1059999999999999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1.9793063388172421</v>
      </c>
      <c r="C39" s="708">
        <v>-1.1427546436021416</v>
      </c>
      <c r="D39" s="709">
        <v>-0.15250045994138722</v>
      </c>
      <c r="E39" s="710">
        <v>0.42495075868149651</v>
      </c>
      <c r="F39" s="708">
        <v>0.87000969481008184</v>
      </c>
      <c r="G39" s="711">
        <v>0.24999996726497564</v>
      </c>
      <c r="H39" s="710">
        <v>0.314</v>
      </c>
      <c r="I39" s="708">
        <v>0.52</v>
      </c>
      <c r="J39" s="570">
        <v>4.109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4.109</v>
      </c>
      <c r="N39" s="632">
        <f t="shared" si="2"/>
        <v>1.9793063388172421</v>
      </c>
      <c r="O39" s="629">
        <f t="shared" si="3"/>
        <v>-1.1427546436021416</v>
      </c>
      <c r="P39" s="633">
        <f t="shared" si="4"/>
        <v>-0.15250045994138722</v>
      </c>
      <c r="Q39" s="585">
        <f t="shared" si="113"/>
        <v>329.99996534829228</v>
      </c>
      <c r="R39" s="629">
        <f t="shared" si="79"/>
        <v>2.2855068930887898</v>
      </c>
      <c r="S39" s="634">
        <f t="shared" si="80"/>
        <v>-0.15250045994138722</v>
      </c>
      <c r="T39" s="635">
        <f t="shared" si="81"/>
        <v>-1.1427546436021419</v>
      </c>
      <c r="U39" s="629">
        <f t="shared" si="82"/>
        <v>-1.9793063388172423</v>
      </c>
      <c r="V39" s="636">
        <f t="shared" si="114"/>
        <v>-0.15250045994138722</v>
      </c>
      <c r="W39" s="585">
        <f t="shared" si="224"/>
        <v>239.99996534829228</v>
      </c>
      <c r="X39" s="629">
        <f t="shared" si="83"/>
        <v>2.2855068930887898</v>
      </c>
      <c r="Y39" s="630">
        <f t="shared" si="223"/>
        <v>-0.15250045994138722</v>
      </c>
      <c r="Z39" s="632">
        <f t="shared" si="6"/>
        <v>-0.42495075868149651</v>
      </c>
      <c r="AA39" s="629">
        <f t="shared" si="7"/>
        <v>-0.87000969481008184</v>
      </c>
      <c r="AB39" s="629">
        <f t="shared" si="8"/>
        <v>-0.24999996726497564</v>
      </c>
      <c r="AC39" s="636">
        <f t="shared" si="84"/>
        <v>1</v>
      </c>
      <c r="AD39" s="637">
        <f t="shared" si="115"/>
        <v>-0.42495075868149651</v>
      </c>
      <c r="AE39" s="629">
        <f t="shared" si="85"/>
        <v>-0.87000969481008184</v>
      </c>
      <c r="AF39" s="633">
        <f t="shared" si="86"/>
        <v>-0.24999996726497564</v>
      </c>
      <c r="AG39" s="602">
        <f t="shared" si="87"/>
        <v>-73.967832110835701</v>
      </c>
      <c r="AH39" s="603">
        <f t="shared" si="88"/>
        <v>115.14754663787646</v>
      </c>
      <c r="AI39" s="585">
        <f t="shared" si="89"/>
        <v>-75.522489751159469</v>
      </c>
      <c r="AJ39" s="586">
        <f t="shared" si="90"/>
        <v>-26.032905006621153</v>
      </c>
      <c r="AK39" s="635">
        <f t="shared" si="211"/>
        <v>0.9659258360722075</v>
      </c>
      <c r="AL39" s="629">
        <f t="shared" si="91"/>
        <v>6.698727920820724E-2</v>
      </c>
      <c r="AM39" s="634">
        <f t="shared" si="92"/>
        <v>-0.24999996726497564</v>
      </c>
      <c r="AN39" s="581">
        <f t="shared" si="93"/>
        <v>14.999997834268278</v>
      </c>
      <c r="AO39" s="582">
        <f t="shared" si="94"/>
        <v>14.99999783426823</v>
      </c>
      <c r="AP39" s="585">
        <f t="shared" si="95"/>
        <v>3.9671296450865734</v>
      </c>
      <c r="AQ39" s="586">
        <f t="shared" si="9"/>
        <v>0.99737015391761741</v>
      </c>
      <c r="AS39" s="52">
        <f t="shared" si="116"/>
        <v>-120.00003465170772</v>
      </c>
      <c r="AT39" s="72">
        <f t="shared" si="10"/>
        <v>-6.9167102544367975E-2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4.109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2.6401991482498</v>
      </c>
      <c r="C40" s="708">
        <v>-1.5250591902367432</v>
      </c>
      <c r="D40" s="709">
        <v>-6.3900192722981128E-2</v>
      </c>
      <c r="E40" s="710">
        <v>0.49193738994425112</v>
      </c>
      <c r="F40" s="708">
        <v>0.83133240935849095</v>
      </c>
      <c r="G40" s="711">
        <v>0.25861946857312262</v>
      </c>
      <c r="H40" s="710">
        <v>0.314</v>
      </c>
      <c r="I40" s="708">
        <v>0.52</v>
      </c>
      <c r="J40" s="570">
        <v>4.1150000000000002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4.1150000000000002</v>
      </c>
      <c r="N40" s="632">
        <f t="shared" si="2"/>
        <v>2.6401991482498</v>
      </c>
      <c r="O40" s="629">
        <f t="shared" si="3"/>
        <v>-1.5250591902367432</v>
      </c>
      <c r="P40" s="633">
        <f t="shared" si="4"/>
        <v>-6.3900192722981128E-2</v>
      </c>
      <c r="Q40" s="585">
        <f t="shared" si="113"/>
        <v>329.98796535002487</v>
      </c>
      <c r="R40" s="629">
        <f t="shared" si="79"/>
        <v>3.0490091958117347</v>
      </c>
      <c r="S40" s="634">
        <f t="shared" si="80"/>
        <v>-6.3900192722981128E-2</v>
      </c>
      <c r="T40" s="635">
        <f t="shared" si="81"/>
        <v>-1.5250591902367434</v>
      </c>
      <c r="U40" s="629">
        <f t="shared" si="82"/>
        <v>-2.6401991482498</v>
      </c>
      <c r="V40" s="636">
        <f t="shared" si="114"/>
        <v>-6.3900192722981128E-2</v>
      </c>
      <c r="W40" s="585">
        <f t="shared" si="224"/>
        <v>239.98796535002487</v>
      </c>
      <c r="X40" s="629">
        <f t="shared" si="83"/>
        <v>3.0490091958117347</v>
      </c>
      <c r="Y40" s="630">
        <f t="shared" si="223"/>
        <v>-6.3900192722981128E-2</v>
      </c>
      <c r="Z40" s="632">
        <f t="shared" si="6"/>
        <v>-0.49193738994425112</v>
      </c>
      <c r="AA40" s="629">
        <f t="shared" si="7"/>
        <v>-0.83133240935849095</v>
      </c>
      <c r="AB40" s="629">
        <f t="shared" si="8"/>
        <v>-0.25861946857312262</v>
      </c>
      <c r="AC40" s="636">
        <f t="shared" si="84"/>
        <v>1</v>
      </c>
      <c r="AD40" s="637">
        <f t="shared" si="115"/>
        <v>-0.49193738994425112</v>
      </c>
      <c r="AE40" s="629">
        <f t="shared" si="85"/>
        <v>-0.83133240935849095</v>
      </c>
      <c r="AF40" s="633">
        <f t="shared" si="86"/>
        <v>-0.25861946857312262</v>
      </c>
      <c r="AG40" s="602">
        <f t="shared" si="87"/>
        <v>-72.719587543473281</v>
      </c>
      <c r="AH40" s="603">
        <f t="shared" si="88"/>
        <v>119.46800032495173</v>
      </c>
      <c r="AI40" s="585">
        <f t="shared" si="89"/>
        <v>-75.011837944568967</v>
      </c>
      <c r="AJ40" s="586">
        <f t="shared" si="90"/>
        <v>-30.614742980750723</v>
      </c>
      <c r="AK40" s="635">
        <f t="shared" si="211"/>
        <v>0.96592583607220739</v>
      </c>
      <c r="AL40" s="629">
        <f t="shared" si="91"/>
        <v>-1.0161185125901917E-2</v>
      </c>
      <c r="AM40" s="634">
        <f t="shared" si="92"/>
        <v>-0.25861946857312262</v>
      </c>
      <c r="AN40" s="581">
        <f t="shared" si="93"/>
        <v>-2.2499996751403</v>
      </c>
      <c r="AO40" s="582">
        <f t="shared" si="94"/>
        <v>14.999997834268255</v>
      </c>
      <c r="AP40" s="585">
        <f t="shared" si="95"/>
        <v>-0.60270833077558983</v>
      </c>
      <c r="AQ40" s="586">
        <f t="shared" si="9"/>
        <v>0.74765180746256776</v>
      </c>
      <c r="AS40" s="52">
        <f t="shared" si="116"/>
        <v>-120.01203464997513</v>
      </c>
      <c r="AT40" s="72">
        <f t="shared" si="10"/>
        <v>1.9441498006168276E-2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4.1150000000000002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3.3024163608403549</v>
      </c>
      <c r="C41" s="708">
        <v>-1.9463616584289591</v>
      </c>
      <c r="D41" s="709">
        <v>-0.26950081281445154</v>
      </c>
      <c r="E41" s="710">
        <v>0.59167625024347514</v>
      </c>
      <c r="F41" s="708">
        <v>0.77248851396092588</v>
      </c>
      <c r="G41" s="711">
        <v>0.23060943323346728</v>
      </c>
      <c r="H41" s="710">
        <v>0.314</v>
      </c>
      <c r="I41" s="708">
        <v>0.52</v>
      </c>
      <c r="J41" s="570">
        <v>4.1230000000000002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4.1230000000000002</v>
      </c>
      <c r="N41" s="632">
        <f t="shared" ref="N41:N72" si="240">IF(M41="","",B41)</f>
        <v>3.3024163608403549</v>
      </c>
      <c r="O41" s="629">
        <f t="shared" ref="O41:O72" si="241">IF(M41="","",C41)</f>
        <v>-1.9463616584289591</v>
      </c>
      <c r="P41" s="633">
        <f t="shared" ref="P41:P72" si="242">IF(M41="","",D41)</f>
        <v>-0.26950081281445154</v>
      </c>
      <c r="Q41" s="585">
        <f t="shared" si="113"/>
        <v>329.48596542250471</v>
      </c>
      <c r="R41" s="629">
        <f t="shared" si="79"/>
        <v>3.8333115612676698</v>
      </c>
      <c r="S41" s="634">
        <f t="shared" si="80"/>
        <v>-0.26950081281445154</v>
      </c>
      <c r="T41" s="635">
        <f t="shared" si="81"/>
        <v>-1.9463616584289591</v>
      </c>
      <c r="U41" s="629">
        <f t="shared" si="82"/>
        <v>-3.3024163608403549</v>
      </c>
      <c r="V41" s="636">
        <f t="shared" si="114"/>
        <v>-0.26950081281445154</v>
      </c>
      <c r="W41" s="585">
        <f t="shared" si="224"/>
        <v>239.48596542250471</v>
      </c>
      <c r="X41" s="629">
        <f t="shared" si="83"/>
        <v>3.8333115612676698</v>
      </c>
      <c r="Y41" s="630">
        <f t="shared" si="223"/>
        <v>-0.26950081281445154</v>
      </c>
      <c r="Z41" s="632">
        <f t="shared" ref="Z41:Z72" si="243">IF(M41="","",-E41)</f>
        <v>-0.59167625024347514</v>
      </c>
      <c r="AA41" s="629">
        <f t="shared" ref="AA41:AA72" si="244">IF(M41="","",-F41)</f>
        <v>-0.77248851396092588</v>
      </c>
      <c r="AB41" s="629">
        <f t="shared" ref="AB41:AB72" si="245">IF(M41="","",-G41)</f>
        <v>-0.23060943323346728</v>
      </c>
      <c r="AC41" s="636">
        <f t="shared" si="84"/>
        <v>1</v>
      </c>
      <c r="AD41" s="637">
        <f t="shared" si="115"/>
        <v>-0.59167625024347514</v>
      </c>
      <c r="AE41" s="629">
        <f t="shared" si="85"/>
        <v>-0.77248851396092588</v>
      </c>
      <c r="AF41" s="633">
        <f t="shared" si="86"/>
        <v>-0.23060943323346728</v>
      </c>
      <c r="AG41" s="602">
        <f t="shared" si="87"/>
        <v>-73.378163880629884</v>
      </c>
      <c r="AH41" s="603">
        <f t="shared" si="88"/>
        <v>126.2760504477346</v>
      </c>
      <c r="AI41" s="585">
        <f t="shared" si="89"/>
        <v>-76.667045726067428</v>
      </c>
      <c r="AJ41" s="586">
        <f t="shared" si="90"/>
        <v>-37.449779831606719</v>
      </c>
      <c r="AK41" s="635">
        <f t="shared" si="211"/>
        <v>0.96592583607220739</v>
      </c>
      <c r="AL41" s="629">
        <f t="shared" si="91"/>
        <v>-0.1175013553621666</v>
      </c>
      <c r="AM41" s="634">
        <f t="shared" si="92"/>
        <v>-0.23060943323346728</v>
      </c>
      <c r="AN41" s="581">
        <f t="shared" si="93"/>
        <v>-26.999996101682868</v>
      </c>
      <c r="AO41" s="582">
        <f t="shared" si="94"/>
        <v>14.999997834268255</v>
      </c>
      <c r="AP41" s="585">
        <f t="shared" si="95"/>
        <v>-6.9357452541113949</v>
      </c>
      <c r="AQ41" s="586">
        <f t="shared" ref="AQ41:AQ72" si="246">IF(M41="","",DEGREES(ATAN(($AS$5*SIN(RADIANS(90)))/(($X41*2*PI())-($AS$5*COS(RADIANS(90)))))))</f>
        <v>0.59469331651128365</v>
      </c>
      <c r="AS41" s="52">
        <f t="shared" si="116"/>
        <v>-120.51403457749529</v>
      </c>
      <c r="AT41" s="72">
        <f t="shared" ref="AT41:AT72" si="247">IF(M41="","",Y41+(((AS41-$AS$9)*$AS$6)*-1))</f>
        <v>-0.18581051102452426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4.1230000000000002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3.8077616968204082</v>
      </c>
      <c r="C42" s="708">
        <v>-2.3112462072234918</v>
      </c>
      <c r="D42" s="709">
        <v>-0.72240217876497159</v>
      </c>
      <c r="E42" s="710">
        <v>0.67180472623552678</v>
      </c>
      <c r="F42" s="708">
        <v>0.71670840438460937</v>
      </c>
      <c r="G42" s="711">
        <v>0.18710284041691205</v>
      </c>
      <c r="H42" s="710">
        <v>0.314</v>
      </c>
      <c r="I42" s="708">
        <v>0.52</v>
      </c>
      <c r="J42" s="570">
        <v>4.1319999999999997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4.1319999999999997</v>
      </c>
      <c r="N42" s="632">
        <f t="shared" si="240"/>
        <v>3.8077616968204082</v>
      </c>
      <c r="O42" s="629">
        <f t="shared" si="241"/>
        <v>-2.3112462072234918</v>
      </c>
      <c r="P42" s="633">
        <f t="shared" si="242"/>
        <v>-0.72240217876497159</v>
      </c>
      <c r="Q42" s="585">
        <f t="shared" si="113"/>
        <v>328.74296552978058</v>
      </c>
      <c r="R42" s="629">
        <f t="shared" ref="R42:R47" si="385">IF(M42="","",SQRT(N42^2+O42^2))</f>
        <v>4.4543134342093182</v>
      </c>
      <c r="S42" s="634">
        <f t="shared" ref="S42:S47" si="386">IF(M42="","",P42)</f>
        <v>-0.72240217876497159</v>
      </c>
      <c r="T42" s="635">
        <f t="shared" ref="T42:T47" si="387">IF(M42="","",X42*COS(RADIANS(W42)))</f>
        <v>-2.3112462072234936</v>
      </c>
      <c r="U42" s="629">
        <f t="shared" ref="U42:U47" si="388">IF(M42="","",X42*SIN(RADIANS(W42)))</f>
        <v>-3.8077616968204073</v>
      </c>
      <c r="V42" s="636">
        <f t="shared" ref="V42:V47" si="389">IF(M42="","",Y42)</f>
        <v>-0.72240217876497159</v>
      </c>
      <c r="W42" s="585">
        <f t="shared" si="224"/>
        <v>238.74296552978058</v>
      </c>
      <c r="X42" s="629">
        <f t="shared" ref="X42:X47" si="390">IF(M42="","",R42)</f>
        <v>4.4543134342093182</v>
      </c>
      <c r="Y42" s="630">
        <f t="shared" si="223"/>
        <v>-0.72240217876497159</v>
      </c>
      <c r="Z42" s="632">
        <f t="shared" si="243"/>
        <v>-0.67180472623552678</v>
      </c>
      <c r="AA42" s="629">
        <f t="shared" si="244"/>
        <v>-0.71670840438460937</v>
      </c>
      <c r="AB42" s="629">
        <f t="shared" si="245"/>
        <v>-0.18710284041691205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-0.67180472623552678</v>
      </c>
      <c r="AE42" s="629">
        <f t="shared" ref="AE42:AE47" si="393">IF(M42="","",AA42*(1/SQRT(Z42^2+AA42^2+AB42^2)))</f>
        <v>-0.71670840438460937</v>
      </c>
      <c r="AF42" s="633">
        <f t="shared" ref="AF42:AF47" si="394">IF(M42="","",AB42*(1/SQRT(Z42^2+AA42^2+AB42^2)))</f>
        <v>-0.18710284041691205</v>
      </c>
      <c r="AG42" s="602">
        <f t="shared" ref="AG42:AG47" si="395">IF(M42="","",DEGREES(ATAN2(-AF42,AE42)))</f>
        <v>-75.368989604340143</v>
      </c>
      <c r="AH42" s="603">
        <f t="shared" ref="AH42:AH47" si="396">IF(M42="","",DEGREES(ACOS(AD42)))</f>
        <v>132.20650770564276</v>
      </c>
      <c r="AI42" s="585">
        <f t="shared" ref="AI42:AI47" si="397">IF(M42="","",DEGREES(-ACOS(-AF42)))</f>
        <v>-79.216242665646092</v>
      </c>
      <c r="AJ42" s="586">
        <f t="shared" ref="AJ42:AJ47" si="398">IF(M42="","",DEGREES(ATAN2(-AE42,AD42)))</f>
        <v>-43.147734550156393</v>
      </c>
      <c r="AK42" s="635">
        <f t="shared" ref="AK42:AK47" si="399">IF(M42="","",(COS(RADIANS((90-$Q$8)-W42))*AD42)+(-SIN(RADIANS((90-$Q$8)-W42))*AE42))</f>
        <v>0.96126170705176661</v>
      </c>
      <c r="AL42" s="629">
        <f t="shared" ref="AL42:AL47" si="400">IF(M42="","",(SIN(RADIANS((90-$Q$8)-W42))*AD42)+(COS(RADIANS((90-$Q$8)-W42))*AE42))</f>
        <v>-0.20240666407963898</v>
      </c>
      <c r="AM42" s="634">
        <f t="shared" ref="AM42:AM47" si="401">IF(M42="","",AF42)</f>
        <v>-0.18710284041691205</v>
      </c>
      <c r="AN42" s="581">
        <f t="shared" ref="AN42:AN47" si="402">IF(M42="","",DEGREES(ATAN2(-AM42,AL42)))</f>
        <v>-47.249993177945051</v>
      </c>
      <c r="AO42" s="582">
        <f t="shared" si="94"/>
        <v>15.999997689886062</v>
      </c>
      <c r="AP42" s="585">
        <f t="shared" ref="AP42:AP47" si="403">IF(M42="","",DEGREES(ATAN2(AK42,AL42)))</f>
        <v>-11.890700079936954</v>
      </c>
      <c r="AQ42" s="586">
        <f t="shared" si="246"/>
        <v>0.51178841228020411</v>
      </c>
      <c r="AS42" s="52">
        <f t="shared" si="116"/>
        <v>-121.25703447021942</v>
      </c>
      <c r="AT42" s="72">
        <f t="shared" si="247"/>
        <v>-0.63819590482731925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4.1319999999999997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4.1389121567796323</v>
      </c>
      <c r="C43" s="708">
        <v>-2.5730432711393494</v>
      </c>
      <c r="D43" s="709">
        <v>-1.3666041216780307</v>
      </c>
      <c r="E43" s="710">
        <v>0.76448018150587693</v>
      </c>
      <c r="F43" s="708">
        <v>0.63122028146346132</v>
      </c>
      <c r="G43" s="711">
        <v>0.13088547801009232</v>
      </c>
      <c r="H43" s="710">
        <v>0.314</v>
      </c>
      <c r="I43" s="708">
        <v>0.52</v>
      </c>
      <c r="J43" s="570">
        <v>4.141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4.141</v>
      </c>
      <c r="N43" s="632">
        <f t="shared" si="240"/>
        <v>4.1389121567796323</v>
      </c>
      <c r="O43" s="629">
        <f t="shared" si="241"/>
        <v>-2.5730432711393494</v>
      </c>
      <c r="P43" s="633">
        <f t="shared" si="242"/>
        <v>-1.3666041216780307</v>
      </c>
      <c r="Q43" s="585">
        <f t="shared" si="113"/>
        <v>328.13196561799805</v>
      </c>
      <c r="R43" s="629">
        <f t="shared" si="385"/>
        <v>4.8735146985203306</v>
      </c>
      <c r="S43" s="634">
        <f t="shared" si="386"/>
        <v>-1.3666041216780307</v>
      </c>
      <c r="T43" s="635">
        <f t="shared" si="387"/>
        <v>-2.5730432711393494</v>
      </c>
      <c r="U43" s="629">
        <f t="shared" si="388"/>
        <v>-4.1389121567796323</v>
      </c>
      <c r="V43" s="636">
        <f t="shared" si="389"/>
        <v>-1.3666041216780307</v>
      </c>
      <c r="W43" s="585">
        <f t="shared" si="224"/>
        <v>238.13196561799805</v>
      </c>
      <c r="X43" s="629">
        <f t="shared" si="390"/>
        <v>4.8735146985203306</v>
      </c>
      <c r="Y43" s="630">
        <f t="shared" si="223"/>
        <v>-1.3666041216780307</v>
      </c>
      <c r="Z43" s="632">
        <f t="shared" si="243"/>
        <v>-0.76448018150587693</v>
      </c>
      <c r="AA43" s="629">
        <f t="shared" si="244"/>
        <v>-0.63122028146346132</v>
      </c>
      <c r="AB43" s="629">
        <f t="shared" si="245"/>
        <v>-0.13088547801009232</v>
      </c>
      <c r="AC43" s="636">
        <f t="shared" si="391"/>
        <v>1</v>
      </c>
      <c r="AD43" s="637">
        <f t="shared" si="392"/>
        <v>-0.76448018150587693</v>
      </c>
      <c r="AE43" s="629">
        <f t="shared" si="393"/>
        <v>-0.63122028146346132</v>
      </c>
      <c r="AF43" s="633">
        <f t="shared" si="394"/>
        <v>-0.13088547801009232</v>
      </c>
      <c r="AG43" s="602">
        <f t="shared" si="395"/>
        <v>-78.285548941001963</v>
      </c>
      <c r="AH43" s="603">
        <f t="shared" si="396"/>
        <v>139.86076880698346</v>
      </c>
      <c r="AI43" s="585">
        <f t="shared" si="397"/>
        <v>-82.479236312837003</v>
      </c>
      <c r="AJ43" s="586">
        <f t="shared" si="398"/>
        <v>-50.454002971478232</v>
      </c>
      <c r="AK43" s="635">
        <f t="shared" si="399"/>
        <v>0.93969263802333458</v>
      </c>
      <c r="AL43" s="629">
        <f t="shared" si="400"/>
        <v>-0.31598534410762774</v>
      </c>
      <c r="AM43" s="634">
        <f t="shared" si="401"/>
        <v>-0.13088547801009232</v>
      </c>
      <c r="AN43" s="581">
        <f t="shared" si="402"/>
        <v>-67.499990254207177</v>
      </c>
      <c r="AO43" s="582">
        <f t="shared" si="94"/>
        <v>19.999997112357679</v>
      </c>
      <c r="AP43" s="585">
        <f t="shared" si="403"/>
        <v>-18.585968589476291</v>
      </c>
      <c r="AQ43" s="586">
        <f t="shared" si="246"/>
        <v>0.46776836080862738</v>
      </c>
      <c r="AS43" s="52">
        <f t="shared" ref="AS43:AS74" si="406">IF(G43="","",IF(AND(W43&lt;(AS42+180),W43&gt;(AS42-180)),W43,IF(W43&gt;(AS42+180),W43-360,IF(W43&lt;(AS42-180),W43+360,"Error"))))</f>
        <v>-121.86803438200195</v>
      </c>
      <c r="AT43" s="72">
        <f t="shared" si="247"/>
        <v>-1.281973542246085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4.141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4.2627354442122032</v>
      </c>
      <c r="C44" s="708">
        <v>-2.6758789827787619</v>
      </c>
      <c r="D44" s="709">
        <v>-2.1180063879072657</v>
      </c>
      <c r="E44" s="710">
        <v>0.87529999537594871</v>
      </c>
      <c r="F44" s="708">
        <v>0.48320558627346616</v>
      </c>
      <c r="G44" s="711">
        <v>1.9033640980647595E-2</v>
      </c>
      <c r="H44" s="710">
        <v>0.314</v>
      </c>
      <c r="I44" s="708">
        <v>0.52</v>
      </c>
      <c r="J44" s="570">
        <v>4.1500000000000004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4.1500000000000004</v>
      </c>
      <c r="N44" s="632">
        <f t="shared" si="240"/>
        <v>4.2627354442122032</v>
      </c>
      <c r="O44" s="629">
        <f t="shared" si="241"/>
        <v>-2.6758789827787619</v>
      </c>
      <c r="P44" s="633">
        <f t="shared" si="242"/>
        <v>-2.1180063879072657</v>
      </c>
      <c r="Q44" s="585">
        <f t="shared" si="113"/>
        <v>327.88196565409362</v>
      </c>
      <c r="R44" s="629">
        <f t="shared" si="385"/>
        <v>5.0330151795737823</v>
      </c>
      <c r="S44" s="634">
        <f t="shared" si="386"/>
        <v>-2.1180063879072657</v>
      </c>
      <c r="T44" s="635">
        <f t="shared" si="387"/>
        <v>-2.6758789827787619</v>
      </c>
      <c r="U44" s="629">
        <f t="shared" si="388"/>
        <v>-4.2627354442122032</v>
      </c>
      <c r="V44" s="636">
        <f t="shared" si="389"/>
        <v>-2.1180063879072657</v>
      </c>
      <c r="W44" s="585">
        <f t="shared" si="224"/>
        <v>237.88196565409362</v>
      </c>
      <c r="X44" s="629">
        <f t="shared" si="390"/>
        <v>5.0330151795737823</v>
      </c>
      <c r="Y44" s="630">
        <f t="shared" si="223"/>
        <v>-2.1180063879072657</v>
      </c>
      <c r="Z44" s="632">
        <f t="shared" si="243"/>
        <v>-0.87529999537594871</v>
      </c>
      <c r="AA44" s="629">
        <f t="shared" si="244"/>
        <v>-0.48320558627346616</v>
      </c>
      <c r="AB44" s="629">
        <f t="shared" si="245"/>
        <v>-1.9033640980647595E-2</v>
      </c>
      <c r="AC44" s="636">
        <f t="shared" si="391"/>
        <v>1</v>
      </c>
      <c r="AD44" s="637">
        <f t="shared" si="392"/>
        <v>-0.87529999537594871</v>
      </c>
      <c r="AE44" s="629">
        <f t="shared" si="393"/>
        <v>-0.48320558627346616</v>
      </c>
      <c r="AF44" s="633">
        <f t="shared" si="394"/>
        <v>-1.9033640980647595E-2</v>
      </c>
      <c r="AG44" s="602">
        <f t="shared" si="395"/>
        <v>-87.744264923126323</v>
      </c>
      <c r="AH44" s="603">
        <f t="shared" si="396"/>
        <v>151.08049988356885</v>
      </c>
      <c r="AI44" s="585">
        <f t="shared" si="397"/>
        <v>-88.909386845151644</v>
      </c>
      <c r="AJ44" s="586">
        <f t="shared" si="398"/>
        <v>-61.0992961541399</v>
      </c>
      <c r="AK44" s="635">
        <f t="shared" si="399"/>
        <v>0.8746197425684834</v>
      </c>
      <c r="AL44" s="629">
        <f t="shared" si="400"/>
        <v>-0.48443578152368139</v>
      </c>
      <c r="AM44" s="634">
        <f t="shared" si="401"/>
        <v>-1.9033640980647595E-2</v>
      </c>
      <c r="AN44" s="581">
        <f t="shared" si="402"/>
        <v>-87.749987330469438</v>
      </c>
      <c r="AO44" s="582">
        <f t="shared" si="94"/>
        <v>28.999995812918641</v>
      </c>
      <c r="AP44" s="585">
        <f t="shared" si="403"/>
        <v>-28.981261808233505</v>
      </c>
      <c r="AQ44" s="586">
        <f t="shared" si="246"/>
        <v>0.45294501603214266</v>
      </c>
      <c r="AS44" s="52">
        <f t="shared" si="406"/>
        <v>-122.11803434590638</v>
      </c>
      <c r="AT44" s="72">
        <f t="shared" si="247"/>
        <v>-2.0332021973892753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4.1500000000000004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4.3014750016343921</v>
      </c>
      <c r="C45" s="708">
        <v>-2.7085772854763595</v>
      </c>
      <c r="D45" s="709">
        <v>-2.886508705710257</v>
      </c>
      <c r="E45" s="710">
        <v>0.92184982223707401</v>
      </c>
      <c r="F45" s="708">
        <v>0.38754729419963474</v>
      </c>
      <c r="G45" s="711">
        <v>1.3008419199460585E-7</v>
      </c>
      <c r="H45" s="710">
        <v>0.314</v>
      </c>
      <c r="I45" s="708">
        <v>0.52</v>
      </c>
      <c r="J45" s="570">
        <v>4.1589999999999998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4.1589999999999998</v>
      </c>
      <c r="N45" s="632">
        <f t="shared" si="240"/>
        <v>4.3014750016343921</v>
      </c>
      <c r="O45" s="629">
        <f t="shared" si="241"/>
        <v>-2.7085772854763595</v>
      </c>
      <c r="P45" s="633">
        <f t="shared" si="242"/>
        <v>-2.886508705710257</v>
      </c>
      <c r="Q45" s="585">
        <f t="shared" si="113"/>
        <v>327.80196566564416</v>
      </c>
      <c r="R45" s="629">
        <f t="shared" si="385"/>
        <v>5.0832153309774393</v>
      </c>
      <c r="S45" s="634">
        <f t="shared" si="386"/>
        <v>-2.886508705710257</v>
      </c>
      <c r="T45" s="635">
        <f t="shared" si="387"/>
        <v>-2.708577285476359</v>
      </c>
      <c r="U45" s="629">
        <f t="shared" si="388"/>
        <v>-4.3014750016343921</v>
      </c>
      <c r="V45" s="636">
        <f t="shared" si="389"/>
        <v>-2.886508705710257</v>
      </c>
      <c r="W45" s="585">
        <f t="shared" si="224"/>
        <v>237.80196566564416</v>
      </c>
      <c r="X45" s="629">
        <f t="shared" si="390"/>
        <v>5.0832153309774393</v>
      </c>
      <c r="Y45" s="630">
        <f t="shared" si="223"/>
        <v>-2.886508705710257</v>
      </c>
      <c r="Z45" s="632">
        <f t="shared" si="243"/>
        <v>-0.92184982223707401</v>
      </c>
      <c r="AA45" s="629">
        <f t="shared" si="244"/>
        <v>-0.38754729419963474</v>
      </c>
      <c r="AB45" s="629">
        <f t="shared" si="245"/>
        <v>-1.3008419199460585E-7</v>
      </c>
      <c r="AC45" s="636">
        <f t="shared" si="391"/>
        <v>1</v>
      </c>
      <c r="AD45" s="637">
        <f t="shared" si="392"/>
        <v>-0.92184982223707401</v>
      </c>
      <c r="AE45" s="629">
        <f t="shared" si="393"/>
        <v>-0.38754729419963474</v>
      </c>
      <c r="AF45" s="633">
        <f t="shared" si="394"/>
        <v>-1.3008419199460585E-7</v>
      </c>
      <c r="AG45" s="602">
        <f t="shared" si="395"/>
        <v>-89.999980768088705</v>
      </c>
      <c r="AH45" s="603">
        <f t="shared" si="396"/>
        <v>157.19802928097997</v>
      </c>
      <c r="AI45" s="585">
        <f t="shared" si="397"/>
        <v>-89.999992546724812</v>
      </c>
      <c r="AJ45" s="586">
        <f t="shared" si="398"/>
        <v>-67.198029280981117</v>
      </c>
      <c r="AK45" s="635">
        <f t="shared" si="399"/>
        <v>0.8191520948772919</v>
      </c>
      <c r="AL45" s="629">
        <f t="shared" si="400"/>
        <v>-0.5735763641034447</v>
      </c>
      <c r="AM45" s="634">
        <f t="shared" si="401"/>
        <v>-1.3008419199460585E-7</v>
      </c>
      <c r="AN45" s="581">
        <f t="shared" si="402"/>
        <v>-89.999987005609626</v>
      </c>
      <c r="AO45" s="582">
        <f t="shared" si="94"/>
        <v>34.999994946625968</v>
      </c>
      <c r="AP45" s="585">
        <f t="shared" si="403"/>
        <v>-34.999994946625279</v>
      </c>
      <c r="AQ45" s="586">
        <f t="shared" si="246"/>
        <v>0.44847206464958767</v>
      </c>
      <c r="AS45" s="52">
        <f t="shared" si="406"/>
        <v>-122.19803433435584</v>
      </c>
      <c r="AT45" s="72">
        <f t="shared" si="247"/>
        <v>-2.8016489596447323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4.1589999999999998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4.3014750016343912</v>
      </c>
      <c r="C46" s="708">
        <v>-2.7085772854763586</v>
      </c>
      <c r="D46" s="709">
        <v>-3.6477110014963809</v>
      </c>
      <c r="E46" s="710">
        <v>0.92184982223707401</v>
      </c>
      <c r="F46" s="708">
        <v>0.38754729419963474</v>
      </c>
      <c r="G46" s="711">
        <v>1.3008419199460585E-7</v>
      </c>
      <c r="H46" s="710">
        <v>0.314</v>
      </c>
      <c r="I46" s="708">
        <v>0.52</v>
      </c>
      <c r="J46" s="570">
        <v>4.1680000000000001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4.1680000000000001</v>
      </c>
      <c r="N46" s="632">
        <f t="shared" si="240"/>
        <v>4.3014750016343912</v>
      </c>
      <c r="O46" s="629">
        <f t="shared" si="241"/>
        <v>-2.7085772854763586</v>
      </c>
      <c r="P46" s="633">
        <f t="shared" si="242"/>
        <v>-3.6477110014963809</v>
      </c>
      <c r="Q46" s="585">
        <f t="shared" si="113"/>
        <v>327.80196566564416</v>
      </c>
      <c r="R46" s="629">
        <f t="shared" si="385"/>
        <v>5.0832153309774375</v>
      </c>
      <c r="S46" s="634">
        <f t="shared" si="386"/>
        <v>-3.6477110014963809</v>
      </c>
      <c r="T46" s="635">
        <f t="shared" si="387"/>
        <v>-2.7085772854763581</v>
      </c>
      <c r="U46" s="629">
        <f t="shared" si="388"/>
        <v>-4.3014750016343903</v>
      </c>
      <c r="V46" s="636">
        <f t="shared" si="389"/>
        <v>-3.6477110014963809</v>
      </c>
      <c r="W46" s="585">
        <f t="shared" si="224"/>
        <v>237.80196566564416</v>
      </c>
      <c r="X46" s="629">
        <f t="shared" si="390"/>
        <v>5.0832153309774375</v>
      </c>
      <c r="Y46" s="630">
        <f t="shared" si="223"/>
        <v>-3.6477110014963809</v>
      </c>
      <c r="Z46" s="632">
        <f t="shared" si="243"/>
        <v>-0.92184982223707401</v>
      </c>
      <c r="AA46" s="629">
        <f t="shared" si="244"/>
        <v>-0.38754729419963474</v>
      </c>
      <c r="AB46" s="629">
        <f t="shared" si="245"/>
        <v>-1.3008419199460585E-7</v>
      </c>
      <c r="AC46" s="636">
        <f t="shared" si="391"/>
        <v>1</v>
      </c>
      <c r="AD46" s="637">
        <f t="shared" si="392"/>
        <v>-0.92184982223707401</v>
      </c>
      <c r="AE46" s="629">
        <f t="shared" si="393"/>
        <v>-0.38754729419963474</v>
      </c>
      <c r="AF46" s="633">
        <f t="shared" si="394"/>
        <v>-1.3008419199460585E-7</v>
      </c>
      <c r="AG46" s="602">
        <f t="shared" si="395"/>
        <v>-89.999980768088705</v>
      </c>
      <c r="AH46" s="603">
        <f t="shared" si="396"/>
        <v>157.19802928097997</v>
      </c>
      <c r="AI46" s="585">
        <f t="shared" si="397"/>
        <v>-89.999992546724812</v>
      </c>
      <c r="AJ46" s="586">
        <f t="shared" si="398"/>
        <v>-67.198029280981117</v>
      </c>
      <c r="AK46" s="635">
        <f t="shared" si="399"/>
        <v>0.8191520948772919</v>
      </c>
      <c r="AL46" s="629">
        <f t="shared" si="400"/>
        <v>-0.5735763641034447</v>
      </c>
      <c r="AM46" s="634">
        <f t="shared" si="401"/>
        <v>-1.3008419199460585E-7</v>
      </c>
      <c r="AN46" s="581">
        <f t="shared" si="402"/>
        <v>-89.999987005609626</v>
      </c>
      <c r="AO46" s="582">
        <f t="shared" si="94"/>
        <v>34.999994946625968</v>
      </c>
      <c r="AP46" s="585">
        <f t="shared" si="403"/>
        <v>-34.999994946625279</v>
      </c>
      <c r="AQ46" s="586">
        <f t="shared" si="246"/>
        <v>0.44847206464958778</v>
      </c>
      <c r="AS46" s="52">
        <f t="shared" si="406"/>
        <v>-122.19803433435584</v>
      </c>
      <c r="AT46" s="72">
        <f t="shared" si="247"/>
        <v>-3.5628512554308562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4.1680000000000001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1.2667780801073252</v>
      </c>
      <c r="C47" s="708">
        <v>-1.8877637647155745</v>
      </c>
      <c r="D47" s="709">
        <v>-0.12899999999999989</v>
      </c>
      <c r="E47" s="710">
        <v>-0.14421783664120741</v>
      </c>
      <c r="F47" s="708">
        <v>0.21491508742474358</v>
      </c>
      <c r="G47" s="711">
        <v>0.96592583607218263</v>
      </c>
      <c r="H47" s="710">
        <v>0.25700000000000001</v>
      </c>
      <c r="I47" s="708">
        <v>0.41499999999999992</v>
      </c>
      <c r="J47" s="570">
        <v>4.2089999999999996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CPS-32193r1</v>
      </c>
      <c r="L47" s="320"/>
      <c r="M47" s="168">
        <f t="shared" si="239"/>
        <v>4.2089999999999996</v>
      </c>
      <c r="N47" s="632">
        <f t="shared" si="240"/>
        <v>1.2667780801073252</v>
      </c>
      <c r="O47" s="629">
        <f t="shared" si="241"/>
        <v>-1.8877637647155745</v>
      </c>
      <c r="P47" s="633">
        <f t="shared" si="242"/>
        <v>-0.12899999999999989</v>
      </c>
      <c r="Q47" s="585">
        <f t="shared" si="113"/>
        <v>303.86346534829227</v>
      </c>
      <c r="R47" s="629">
        <f t="shared" si="385"/>
        <v>2.2734068565950794</v>
      </c>
      <c r="S47" s="634">
        <f t="shared" si="386"/>
        <v>-0.12899999999999989</v>
      </c>
      <c r="T47" s="635">
        <f t="shared" si="387"/>
        <v>-1.8877637647155745</v>
      </c>
      <c r="U47" s="629">
        <f t="shared" si="388"/>
        <v>-1.2667780801073254</v>
      </c>
      <c r="V47" s="636">
        <f t="shared" si="389"/>
        <v>-0.12899999999999989</v>
      </c>
      <c r="W47" s="585">
        <f t="shared" si="224"/>
        <v>213.86346534829227</v>
      </c>
      <c r="X47" s="629">
        <f t="shared" si="390"/>
        <v>2.2734068565950794</v>
      </c>
      <c r="Y47" s="630">
        <f t="shared" si="223"/>
        <v>-0.12899999999999989</v>
      </c>
      <c r="Z47" s="632">
        <f t="shared" si="243"/>
        <v>0.14421783664120741</v>
      </c>
      <c r="AA47" s="629">
        <f t="shared" si="244"/>
        <v>-0.21491508742474358</v>
      </c>
      <c r="AB47" s="629">
        <f t="shared" si="245"/>
        <v>-0.96592583607218263</v>
      </c>
      <c r="AC47" s="636">
        <f t="shared" si="391"/>
        <v>1</v>
      </c>
      <c r="AD47" s="637">
        <f t="shared" si="392"/>
        <v>0.14421783664120741</v>
      </c>
      <c r="AE47" s="629">
        <f t="shared" si="393"/>
        <v>-0.21491508742474358</v>
      </c>
      <c r="AF47" s="633">
        <f t="shared" si="394"/>
        <v>-0.96592583607218263</v>
      </c>
      <c r="AG47" s="602">
        <f t="shared" si="395"/>
        <v>-12.543780554680323</v>
      </c>
      <c r="AH47" s="603">
        <f t="shared" si="396"/>
        <v>81.708011527447582</v>
      </c>
      <c r="AI47" s="585">
        <f t="shared" si="397"/>
        <v>-14.999997834273739</v>
      </c>
      <c r="AJ47" s="586">
        <f t="shared" si="398"/>
        <v>33.863415141816063</v>
      </c>
      <c r="AK47" s="635">
        <f t="shared" si="399"/>
        <v>2.2679489672383646E-7</v>
      </c>
      <c r="AL47" s="629">
        <f t="shared" si="400"/>
        <v>0.25881900859133922</v>
      </c>
      <c r="AM47" s="634">
        <f t="shared" si="401"/>
        <v>-0.96592583607218263</v>
      </c>
      <c r="AN47" s="581">
        <f t="shared" si="402"/>
        <v>14.999997834268262</v>
      </c>
      <c r="AO47" s="582">
        <f t="shared" si="94"/>
        <v>0</v>
      </c>
      <c r="AP47" s="585">
        <f t="shared" si="403"/>
        <v>89.999949793523797</v>
      </c>
      <c r="AQ47" s="586">
        <f t="shared" si="246"/>
        <v>1.0026775004499404</v>
      </c>
      <c r="AS47" s="52">
        <f t="shared" si="406"/>
        <v>-146.13653465170773</v>
      </c>
      <c r="AT47" s="72">
        <f t="shared" si="247"/>
        <v>-2.7516295380758407E-2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4.2089999999999996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4.109</v>
      </c>
      <c r="II47" s="734" cm="1">
        <f t="array" ref="II47">IFERROR(IF($IH47&lt;1,$IH47+LARGE((IF($M$9:$M$150="",0,$M$9:$M$150)-MOD(IF($M$9:$M$150="",0,$M$9:$M$150),1)),1),$IH47),"")</f>
        <v>4.109</v>
      </c>
      <c r="IJ47" s="533">
        <f t="shared" si="112"/>
        <v>1613</v>
      </c>
      <c r="IK47" s="533" t="str">
        <f t="shared" si="382"/>
        <v>CPS-32193r1</v>
      </c>
      <c r="IL47" s="727">
        <f t="shared" si="225"/>
        <v>26.136500000000012</v>
      </c>
      <c r="IM47" s="759">
        <v>2.0153546416699399E-2</v>
      </c>
      <c r="IN47" s="5">
        <f t="shared" si="226"/>
        <v>0.28000000000000003</v>
      </c>
      <c r="IO47" s="771">
        <v>140</v>
      </c>
      <c r="IP47" s="9">
        <f t="shared" si="227"/>
        <v>-2.2855068930887898</v>
      </c>
      <c r="IQ47" s="5">
        <f t="shared" si="228"/>
        <v>-0.15250045994138722</v>
      </c>
      <c r="IR47" s="5">
        <f t="shared" si="383"/>
        <v>0.314</v>
      </c>
      <c r="IS47" s="5">
        <f t="shared" si="229"/>
        <v>0.30330071252667318</v>
      </c>
      <c r="IT47" s="727">
        <f t="shared" si="230"/>
        <v>-14.999997834268278</v>
      </c>
      <c r="IU47" s="9">
        <f t="shared" si="231"/>
        <v>-2.2734068565950794</v>
      </c>
      <c r="IV47" s="5">
        <f t="shared" si="232"/>
        <v>-0.12899999999999989</v>
      </c>
      <c r="IW47" s="5">
        <f t="shared" si="384"/>
        <v>0.25700000000000001</v>
      </c>
      <c r="IX47" s="5">
        <f t="shared" si="233"/>
        <v>0.25700000000000001</v>
      </c>
      <c r="IY47" s="762">
        <f t="shared" si="234"/>
        <v>-14.999997834268262</v>
      </c>
    </row>
    <row r="48" spans="1:267" ht="15" customHeight="1" x14ac:dyDescent="0.25">
      <c r="A48" s="79"/>
      <c r="B48" s="707">
        <v>1.9985220434563535</v>
      </c>
      <c r="C48" s="708">
        <v>-2.3050697221978034</v>
      </c>
      <c r="D48" s="709">
        <v>-3.2999999999999856E-2</v>
      </c>
      <c r="E48" s="710">
        <v>2.5718461397077015E-2</v>
      </c>
      <c r="F48" s="708">
        <v>-2.9662997690749485E-2</v>
      </c>
      <c r="G48" s="711">
        <v>0.99922903646329542</v>
      </c>
      <c r="H48" s="710">
        <v>0.25700000000000001</v>
      </c>
      <c r="I48" s="708">
        <v>0.41499999999999992</v>
      </c>
      <c r="J48" s="570">
        <v>4.2149999999999999</v>
      </c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CPS-32193r1</v>
      </c>
      <c r="L48" s="320"/>
      <c r="M48" s="168">
        <f t="shared" si="239"/>
        <v>4.2149999999999999</v>
      </c>
      <c r="N48" s="632">
        <f t="shared" si="240"/>
        <v>1.9985220434563535</v>
      </c>
      <c r="O48" s="629">
        <f t="shared" si="241"/>
        <v>-2.3050697221978034</v>
      </c>
      <c r="P48" s="633">
        <f t="shared" si="242"/>
        <v>-3.2999999999999856E-2</v>
      </c>
      <c r="Q48" s="585">
        <f t="shared" si="113"/>
        <v>310.92566534829223</v>
      </c>
      <c r="R48" s="629">
        <f t="shared" si="79"/>
        <v>3.0508092012405523</v>
      </c>
      <c r="S48" s="634">
        <f t="shared" si="80"/>
        <v>-3.2999999999999856E-2</v>
      </c>
      <c r="T48" s="635">
        <f t="shared" si="81"/>
        <v>-2.3050697221978051</v>
      </c>
      <c r="U48" s="629">
        <f t="shared" si="82"/>
        <v>-1.9985220434563513</v>
      </c>
      <c r="V48" s="636">
        <f t="shared" si="114"/>
        <v>-3.2999999999999856E-2</v>
      </c>
      <c r="W48" s="585">
        <f t="shared" si="224"/>
        <v>220.92566534829223</v>
      </c>
      <c r="X48" s="629">
        <f t="shared" si="83"/>
        <v>3.0508092012405523</v>
      </c>
      <c r="Y48" s="630">
        <f t="shared" si="223"/>
        <v>-3.2999999999999856E-2</v>
      </c>
      <c r="Z48" s="632">
        <f t="shared" si="243"/>
        <v>-2.5718461397077015E-2</v>
      </c>
      <c r="AA48" s="629">
        <f t="shared" si="244"/>
        <v>2.9662997690749485E-2</v>
      </c>
      <c r="AB48" s="629">
        <f t="shared" si="245"/>
        <v>-0.99922903646329542</v>
      </c>
      <c r="AC48" s="636">
        <f t="shared" si="84"/>
        <v>1</v>
      </c>
      <c r="AD48" s="637">
        <f t="shared" si="115"/>
        <v>-2.5718461397077015E-2</v>
      </c>
      <c r="AE48" s="629">
        <f t="shared" si="85"/>
        <v>2.9662997690749485E-2</v>
      </c>
      <c r="AF48" s="633">
        <f t="shared" si="86"/>
        <v>-0.99922903646329542</v>
      </c>
      <c r="AG48" s="602">
        <f t="shared" si="87"/>
        <v>1.7003765194168521</v>
      </c>
      <c r="AH48" s="603">
        <f t="shared" si="88"/>
        <v>91.473721786987028</v>
      </c>
      <c r="AI48" s="585">
        <f t="shared" si="89"/>
        <v>-2.2499996751776727</v>
      </c>
      <c r="AJ48" s="586">
        <f t="shared" si="90"/>
        <v>-139.0740036671624</v>
      </c>
      <c r="AK48" s="635">
        <f t="shared" si="211"/>
        <v>2.2679489668567254E-7</v>
      </c>
      <c r="AL48" s="629">
        <f t="shared" si="91"/>
        <v>-3.9259810093566605E-2</v>
      </c>
      <c r="AM48" s="634">
        <f t="shared" si="92"/>
        <v>-0.99922903646329542</v>
      </c>
      <c r="AN48" s="581">
        <f t="shared" si="93"/>
        <v>-2.2499996751402493</v>
      </c>
      <c r="AO48" s="582">
        <f t="shared" si="94"/>
        <v>0</v>
      </c>
      <c r="AP48" s="585">
        <f t="shared" si="95"/>
        <v>-89.999669015454629</v>
      </c>
      <c r="AQ48" s="586">
        <f t="shared" si="246"/>
        <v>0.74721073606320609</v>
      </c>
      <c r="AS48" s="52">
        <f t="shared" si="406"/>
        <v>-139.07433465170777</v>
      </c>
      <c r="AT48" s="72">
        <f t="shared" si="247"/>
        <v>6.3579399063686093E-2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Nose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4.2149999999999999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4.1150000000000002</v>
      </c>
      <c r="II48" s="734" cm="1">
        <f t="array" ref="II48">IFERROR(IF($IH48&lt;1,$IH48+LARGE((IF($M$9:$M$150="",0,$M$9:$M$150)-MOD(IF($M$9:$M$150="",0,$M$9:$M$150),1)),1),$IH48),"")</f>
        <v>4.1150000000000002</v>
      </c>
      <c r="IJ48" s="533">
        <f t="shared" si="112"/>
        <v>1613</v>
      </c>
      <c r="IK48" s="533" t="str">
        <f t="shared" si="382"/>
        <v>CPS-32193r1</v>
      </c>
      <c r="IL48" s="727">
        <f t="shared" si="225"/>
        <v>19.062300001732638</v>
      </c>
      <c r="IM48" s="759">
        <v>1.5352080288883E-2</v>
      </c>
      <c r="IN48" s="5">
        <f t="shared" si="226"/>
        <v>0.26</v>
      </c>
      <c r="IO48" s="771">
        <v>130</v>
      </c>
      <c r="IP48" s="9">
        <f t="shared" si="227"/>
        <v>-3.0490091958117347</v>
      </c>
      <c r="IQ48" s="5">
        <f t="shared" si="228"/>
        <v>-6.3900192722981128E-2</v>
      </c>
      <c r="IR48" s="5">
        <f t="shared" si="383"/>
        <v>0.314</v>
      </c>
      <c r="IS48" s="5">
        <f t="shared" si="229"/>
        <v>0.30330071252667312</v>
      </c>
      <c r="IT48" s="727">
        <f t="shared" si="230"/>
        <v>2.2499996751403</v>
      </c>
      <c r="IU48" s="9">
        <f t="shared" si="231"/>
        <v>-3.0508092012405523</v>
      </c>
      <c r="IV48" s="5">
        <f t="shared" si="232"/>
        <v>-3.2999999999999856E-2</v>
      </c>
      <c r="IW48" s="5">
        <f t="shared" si="384"/>
        <v>0.25700000000000001</v>
      </c>
      <c r="IX48" s="5">
        <f t="shared" si="233"/>
        <v>0.25700000000000001</v>
      </c>
      <c r="IY48" s="762">
        <f t="shared" si="234"/>
        <v>2.2499996751402493</v>
      </c>
    </row>
    <row r="49" spans="1:259" ht="15" customHeight="1" x14ac:dyDescent="0.25">
      <c r="A49" s="79"/>
      <c r="B49" s="707">
        <v>1.8526314287928114</v>
      </c>
      <c r="C49" s="708">
        <v>-3.2663999892611173</v>
      </c>
      <c r="D49" s="709">
        <v>-0.23390070544452798</v>
      </c>
      <c r="E49" s="710">
        <v>0.89365034028916834</v>
      </c>
      <c r="F49" s="708">
        <v>0.38228660406518133</v>
      </c>
      <c r="G49" s="711">
        <v>0.23504472266648543</v>
      </c>
      <c r="H49" s="710">
        <v>0.314</v>
      </c>
      <c r="I49" s="708">
        <v>0.52</v>
      </c>
      <c r="J49" s="570">
        <v>5.1219999999999999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5.1219999999999999</v>
      </c>
      <c r="N49" s="632">
        <f t="shared" si="240"/>
        <v>1.8526314287928114</v>
      </c>
      <c r="O49" s="629">
        <f t="shared" si="241"/>
        <v>-3.2663999892611173</v>
      </c>
      <c r="P49" s="633">
        <f t="shared" si="242"/>
        <v>-0.23390070544452798</v>
      </c>
      <c r="Q49" s="585">
        <f t="shared" si="113"/>
        <v>299.56096974313948</v>
      </c>
      <c r="R49" s="629">
        <f t="shared" si="79"/>
        <v>3.7552113257173585</v>
      </c>
      <c r="S49" s="634">
        <f t="shared" si="80"/>
        <v>-0.23390070544452798</v>
      </c>
      <c r="T49" s="635">
        <f t="shared" si="81"/>
        <v>-3.2663999892611177</v>
      </c>
      <c r="U49" s="629">
        <f t="shared" si="82"/>
        <v>-1.8526314287928105</v>
      </c>
      <c r="V49" s="636">
        <f t="shared" si="114"/>
        <v>-0.23390070544452798</v>
      </c>
      <c r="W49" s="585">
        <f t="shared" si="224"/>
        <v>209.56096974313948</v>
      </c>
      <c r="X49" s="629">
        <f t="shared" si="83"/>
        <v>3.7552113257173585</v>
      </c>
      <c r="Y49" s="630">
        <f t="shared" si="223"/>
        <v>-0.23390070544452798</v>
      </c>
      <c r="Z49" s="632">
        <f t="shared" si="243"/>
        <v>-0.89365034028916834</v>
      </c>
      <c r="AA49" s="629">
        <f t="shared" si="244"/>
        <v>-0.38228660406518133</v>
      </c>
      <c r="AB49" s="629">
        <f t="shared" si="245"/>
        <v>-0.23504472266648543</v>
      </c>
      <c r="AC49" s="636">
        <f t="shared" si="84"/>
        <v>1</v>
      </c>
      <c r="AD49" s="637">
        <f t="shared" si="115"/>
        <v>-0.89365034028916834</v>
      </c>
      <c r="AE49" s="629">
        <f t="shared" si="85"/>
        <v>-0.38228660406518133</v>
      </c>
      <c r="AF49" s="633">
        <f t="shared" si="86"/>
        <v>-0.23504472266648543</v>
      </c>
      <c r="AG49" s="602">
        <f t="shared" si="87"/>
        <v>-58.415176883789371</v>
      </c>
      <c r="AH49" s="603">
        <f t="shared" si="88"/>
        <v>153.33559308157413</v>
      </c>
      <c r="AI49" s="585">
        <f t="shared" si="89"/>
        <v>-76.405740964224378</v>
      </c>
      <c r="AJ49" s="586">
        <f t="shared" si="90"/>
        <v>-66.839682914817857</v>
      </c>
      <c r="AK49" s="635">
        <f t="shared" si="211"/>
        <v>0.9659258360722075</v>
      </c>
      <c r="AL49" s="629">
        <f t="shared" si="91"/>
        <v>-0.10835708354714096</v>
      </c>
      <c r="AM49" s="634">
        <f t="shared" si="92"/>
        <v>-0.23504472266648543</v>
      </c>
      <c r="AN49" s="581">
        <f t="shared" si="93"/>
        <v>-24.749996426542655</v>
      </c>
      <c r="AO49" s="582">
        <f t="shared" si="94"/>
        <v>14.99999783426823</v>
      </c>
      <c r="AP49" s="585">
        <f t="shared" si="95"/>
        <v>-6.4006526579573393</v>
      </c>
      <c r="AQ49" s="586">
        <f t="shared" si="246"/>
        <v>0.60706072905004316</v>
      </c>
      <c r="AS49" s="52">
        <f t="shared" si="406"/>
        <v>-150.43903025686052</v>
      </c>
      <c r="AT49" s="72">
        <f t="shared" si="247"/>
        <v>-0.12942915665504151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5.1219999999999999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2.1184616863082271</v>
      </c>
      <c r="C50" s="708">
        <v>-3.8494926613928815</v>
      </c>
      <c r="D50" s="709">
        <v>-0.66130199448681515</v>
      </c>
      <c r="E50" s="710">
        <v>0.93612877932727279</v>
      </c>
      <c r="F50" s="708">
        <v>0.29270280938486293</v>
      </c>
      <c r="G50" s="711">
        <v>0.19490503814278087</v>
      </c>
      <c r="H50" s="710">
        <v>0.314</v>
      </c>
      <c r="I50" s="708">
        <v>0.52</v>
      </c>
      <c r="J50" s="570">
        <v>5.1310000000000002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5.1310000000000002</v>
      </c>
      <c r="N50" s="632">
        <f t="shared" si="240"/>
        <v>2.1184616863082271</v>
      </c>
      <c r="O50" s="629">
        <f t="shared" si="241"/>
        <v>-3.8494926613928815</v>
      </c>
      <c r="P50" s="633">
        <f t="shared" si="242"/>
        <v>-0.66130199448681515</v>
      </c>
      <c r="Q50" s="585">
        <f t="shared" si="113"/>
        <v>298.82496984940474</v>
      </c>
      <c r="R50" s="629">
        <f t="shared" si="79"/>
        <v>4.3939132520423687</v>
      </c>
      <c r="S50" s="634">
        <f t="shared" si="80"/>
        <v>-0.66130199448681515</v>
      </c>
      <c r="T50" s="635">
        <f t="shared" si="81"/>
        <v>-3.8494926613928802</v>
      </c>
      <c r="U50" s="629">
        <f t="shared" si="82"/>
        <v>-2.1184616863082284</v>
      </c>
      <c r="V50" s="636">
        <f t="shared" si="114"/>
        <v>-0.66130199448681515</v>
      </c>
      <c r="W50" s="585">
        <f t="shared" si="224"/>
        <v>208.82496984940474</v>
      </c>
      <c r="X50" s="629">
        <f t="shared" si="83"/>
        <v>4.3939132520423687</v>
      </c>
      <c r="Y50" s="630">
        <f t="shared" si="223"/>
        <v>-0.66130199448681515</v>
      </c>
      <c r="Z50" s="632">
        <f t="shared" si="243"/>
        <v>-0.93612877932727279</v>
      </c>
      <c r="AA50" s="629">
        <f t="shared" si="244"/>
        <v>-0.29270280938486293</v>
      </c>
      <c r="AB50" s="629">
        <f t="shared" si="245"/>
        <v>-0.19490503814278087</v>
      </c>
      <c r="AC50" s="636">
        <f t="shared" si="84"/>
        <v>1</v>
      </c>
      <c r="AD50" s="637">
        <f t="shared" si="115"/>
        <v>-0.93612877932727279</v>
      </c>
      <c r="AE50" s="629">
        <f t="shared" si="85"/>
        <v>-0.29270280938486293</v>
      </c>
      <c r="AF50" s="633">
        <f t="shared" si="86"/>
        <v>-0.19490503814278087</v>
      </c>
      <c r="AG50" s="602">
        <f t="shared" si="87"/>
        <v>-56.341135568262395</v>
      </c>
      <c r="AH50" s="603">
        <f t="shared" si="88"/>
        <v>159.41127895058878</v>
      </c>
      <c r="AI50" s="585">
        <f t="shared" si="89"/>
        <v>-78.760823760080243</v>
      </c>
      <c r="AJ50" s="586">
        <f t="shared" si="90"/>
        <v>-72.636911183925704</v>
      </c>
      <c r="AK50" s="635">
        <f t="shared" si="211"/>
        <v>0.96126170705176617</v>
      </c>
      <c r="AL50" s="629">
        <f t="shared" si="91"/>
        <v>-0.19490499393931843</v>
      </c>
      <c r="AM50" s="634">
        <f t="shared" si="92"/>
        <v>-0.19490503814278087</v>
      </c>
      <c r="AN50" s="581">
        <f t="shared" si="93"/>
        <v>-44.999993502804877</v>
      </c>
      <c r="AO50" s="582">
        <f t="shared" si="94"/>
        <v>15.99999768988615</v>
      </c>
      <c r="AP50" s="585">
        <f t="shared" si="95"/>
        <v>-11.461881033330442</v>
      </c>
      <c r="AQ50" s="586">
        <f t="shared" si="246"/>
        <v>0.51882324279675329</v>
      </c>
      <c r="AS50" s="52">
        <f t="shared" si="406"/>
        <v>-151.17503015059526</v>
      </c>
      <c r="AT50" s="72">
        <f t="shared" si="247"/>
        <v>-0.55631933466001282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5.1310000000000002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2.2855884601458962</v>
      </c>
      <c r="C51" s="708">
        <v>-4.2651119376265667</v>
      </c>
      <c r="D51" s="709">
        <v>-1.2881038849213169</v>
      </c>
      <c r="E51" s="710">
        <v>0.97304988239370982</v>
      </c>
      <c r="F51" s="708">
        <v>0.18599894428088906</v>
      </c>
      <c r="G51" s="711">
        <v>0.13630230775736113</v>
      </c>
      <c r="H51" s="710">
        <v>0.314</v>
      </c>
      <c r="I51" s="708">
        <v>0.52</v>
      </c>
      <c r="J51" s="570">
        <v>5.14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5.14</v>
      </c>
      <c r="N51" s="632">
        <f t="shared" si="240"/>
        <v>2.2855884601458962</v>
      </c>
      <c r="O51" s="629">
        <f t="shared" si="241"/>
        <v>-4.2651119376265667</v>
      </c>
      <c r="P51" s="633">
        <f t="shared" si="242"/>
        <v>-1.2881038849213169</v>
      </c>
      <c r="Q51" s="585">
        <f t="shared" si="113"/>
        <v>298.18596994166489</v>
      </c>
      <c r="R51" s="629">
        <f t="shared" si="79"/>
        <v>4.8389145941664164</v>
      </c>
      <c r="S51" s="634">
        <f t="shared" si="80"/>
        <v>-1.2881038849213169</v>
      </c>
      <c r="T51" s="635">
        <f t="shared" si="81"/>
        <v>-4.2651119376265676</v>
      </c>
      <c r="U51" s="629">
        <f t="shared" si="82"/>
        <v>-2.2855884601458953</v>
      </c>
      <c r="V51" s="636">
        <f t="shared" si="114"/>
        <v>-1.2881038849213169</v>
      </c>
      <c r="W51" s="585">
        <f t="shared" si="224"/>
        <v>208.18596994166489</v>
      </c>
      <c r="X51" s="629">
        <f t="shared" si="83"/>
        <v>4.8389145941664164</v>
      </c>
      <c r="Y51" s="630">
        <f t="shared" si="223"/>
        <v>-1.2881038849213169</v>
      </c>
      <c r="Z51" s="632">
        <f t="shared" si="243"/>
        <v>-0.97304988239370982</v>
      </c>
      <c r="AA51" s="629">
        <f t="shared" si="244"/>
        <v>-0.18599894428088906</v>
      </c>
      <c r="AB51" s="629">
        <f t="shared" si="245"/>
        <v>-0.13630230775736113</v>
      </c>
      <c r="AC51" s="636">
        <f t="shared" si="84"/>
        <v>1</v>
      </c>
      <c r="AD51" s="637">
        <f t="shared" si="115"/>
        <v>-0.97304988239370982</v>
      </c>
      <c r="AE51" s="629">
        <f t="shared" si="85"/>
        <v>-0.18599894428088906</v>
      </c>
      <c r="AF51" s="633">
        <f t="shared" si="86"/>
        <v>-0.13630230775736113</v>
      </c>
      <c r="AG51" s="602">
        <f t="shared" si="87"/>
        <v>-53.765581454157171</v>
      </c>
      <c r="AH51" s="603">
        <f t="shared" si="88"/>
        <v>166.66791189297811</v>
      </c>
      <c r="AI51" s="585">
        <f t="shared" si="89"/>
        <v>-82.166067225196173</v>
      </c>
      <c r="AJ51" s="586">
        <f t="shared" si="90"/>
        <v>-79.17842586783739</v>
      </c>
      <c r="AK51" s="635">
        <f t="shared" si="211"/>
        <v>0.94551859118716841</v>
      </c>
      <c r="AL51" s="629">
        <f t="shared" si="91"/>
        <v>-0.29566243356140171</v>
      </c>
      <c r="AM51" s="634">
        <f t="shared" si="92"/>
        <v>-0.13630230775736113</v>
      </c>
      <c r="AN51" s="581">
        <f t="shared" si="93"/>
        <v>-65.249990579067031</v>
      </c>
      <c r="AO51" s="582">
        <f t="shared" si="94"/>
        <v>18.999997256739771</v>
      </c>
      <c r="AP51" s="585">
        <f t="shared" si="95"/>
        <v>-17.364395809502284</v>
      </c>
      <c r="AQ51" s="586">
        <f t="shared" si="246"/>
        <v>0.4711129346562537</v>
      </c>
      <c r="AS51" s="52">
        <f t="shared" si="406"/>
        <v>-151.81403005833511</v>
      </c>
      <c r="AT51" s="72">
        <f t="shared" si="247"/>
        <v>-1.1826774751585842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5.14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2.3523864544281365</v>
      </c>
      <c r="C52" s="708">
        <v>-4.4451415248786352</v>
      </c>
      <c r="D52" s="709">
        <v>-2.0323061294352858</v>
      </c>
      <c r="E52" s="710">
        <v>0.99932115416358736</v>
      </c>
      <c r="F52" s="708">
        <v>-6.7606485775152094E-4</v>
      </c>
      <c r="G52" s="711">
        <v>3.683441023640667E-2</v>
      </c>
      <c r="H52" s="710">
        <v>0.314</v>
      </c>
      <c r="I52" s="708">
        <v>0.52</v>
      </c>
      <c r="J52" s="570">
        <v>5.149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5.149</v>
      </c>
      <c r="N52" s="632">
        <f t="shared" si="240"/>
        <v>2.3523864544281365</v>
      </c>
      <c r="O52" s="629">
        <f t="shared" si="241"/>
        <v>-4.4451415248786352</v>
      </c>
      <c r="P52" s="633">
        <f t="shared" si="242"/>
        <v>-2.0323061294352858</v>
      </c>
      <c r="Q52" s="585">
        <f t="shared" si="113"/>
        <v>297.88796998469076</v>
      </c>
      <c r="R52" s="629">
        <f t="shared" si="79"/>
        <v>5.0292151681129473</v>
      </c>
      <c r="S52" s="634">
        <f t="shared" si="80"/>
        <v>-2.0323061294352858</v>
      </c>
      <c r="T52" s="635">
        <f t="shared" si="81"/>
        <v>-4.445141524878637</v>
      </c>
      <c r="U52" s="629">
        <f t="shared" si="82"/>
        <v>-2.3523864544281348</v>
      </c>
      <c r="V52" s="636">
        <f t="shared" si="114"/>
        <v>-2.0323061294352858</v>
      </c>
      <c r="W52" s="585">
        <f t="shared" si="224"/>
        <v>207.88796998469076</v>
      </c>
      <c r="X52" s="629">
        <f t="shared" si="83"/>
        <v>5.0292151681129473</v>
      </c>
      <c r="Y52" s="630">
        <f t="shared" si="223"/>
        <v>-2.0323061294352858</v>
      </c>
      <c r="Z52" s="632">
        <f t="shared" si="243"/>
        <v>-0.99932115416358736</v>
      </c>
      <c r="AA52" s="629">
        <f t="shared" si="244"/>
        <v>6.7606485775152094E-4</v>
      </c>
      <c r="AB52" s="629">
        <f t="shared" si="245"/>
        <v>-3.683441023640667E-2</v>
      </c>
      <c r="AC52" s="636">
        <f t="shared" si="84"/>
        <v>1</v>
      </c>
      <c r="AD52" s="637">
        <f t="shared" si="115"/>
        <v>-0.99932115416358736</v>
      </c>
      <c r="AE52" s="629">
        <f t="shared" si="85"/>
        <v>6.7606485775152094E-4</v>
      </c>
      <c r="AF52" s="633">
        <f t="shared" si="86"/>
        <v>-3.683441023640667E-2</v>
      </c>
      <c r="AG52" s="602">
        <f t="shared" si="87"/>
        <v>1.0514981496785958</v>
      </c>
      <c r="AH52" s="603">
        <f t="shared" si="88"/>
        <v>177.88871053383821</v>
      </c>
      <c r="AI52" s="585">
        <f t="shared" si="89"/>
        <v>-87.889066225707253</v>
      </c>
      <c r="AJ52" s="586">
        <f t="shared" si="90"/>
        <v>-90.038761970518991</v>
      </c>
      <c r="AK52" s="635">
        <f t="shared" si="211"/>
        <v>0.88294762598409304</v>
      </c>
      <c r="AL52" s="629">
        <f t="shared" si="91"/>
        <v>-0.46802426859254892</v>
      </c>
      <c r="AM52" s="634">
        <f t="shared" si="92"/>
        <v>-3.683441023640667E-2</v>
      </c>
      <c r="AN52" s="581">
        <f t="shared" si="93"/>
        <v>-85.499987655329136</v>
      </c>
      <c r="AO52" s="582">
        <f t="shared" si="94"/>
        <v>27.999995957300733</v>
      </c>
      <c r="AP52" s="585">
        <f t="shared" si="95"/>
        <v>-27.926731955209743</v>
      </c>
      <c r="AQ52" s="586">
        <f t="shared" si="246"/>
        <v>0.45328724129061299</v>
      </c>
      <c r="AS52" s="52">
        <f t="shared" si="406"/>
        <v>-152.11203001530924</v>
      </c>
      <c r="AT52" s="72">
        <f t="shared" si="247"/>
        <v>-1.9266727752579877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5.149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2.3708983223436868</v>
      </c>
      <c r="C53" s="708">
        <v>-4.4964340589173499</v>
      </c>
      <c r="D53" s="709">
        <v>-2.7997084439206676</v>
      </c>
      <c r="E53" s="710">
        <v>0.9921190211036891</v>
      </c>
      <c r="F53" s="708">
        <v>-0.12529903417122162</v>
      </c>
      <c r="G53" s="711">
        <v>1.3008419228518686E-7</v>
      </c>
      <c r="H53" s="710">
        <v>0.314</v>
      </c>
      <c r="I53" s="708">
        <v>0.52</v>
      </c>
      <c r="J53" s="570">
        <v>5.1580000000000004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5.1580000000000004</v>
      </c>
      <c r="N53" s="632">
        <f t="shared" si="240"/>
        <v>2.3708983223436868</v>
      </c>
      <c r="O53" s="629">
        <f t="shared" si="241"/>
        <v>-4.4964340589173499</v>
      </c>
      <c r="P53" s="633">
        <f t="shared" si="242"/>
        <v>-2.7997084439206676</v>
      </c>
      <c r="Q53" s="585">
        <f t="shared" si="113"/>
        <v>297.80196999710762</v>
      </c>
      <c r="R53" s="629">
        <f t="shared" ref="R53:R58" si="410">IF(M53="","",SQRT(N53^2+O53^2))</f>
        <v>5.0832153309774375</v>
      </c>
      <c r="S53" s="634">
        <f t="shared" ref="S53:S58" si="411">IF(M53="","",P53)</f>
        <v>-2.7997084439206676</v>
      </c>
      <c r="T53" s="635">
        <f t="shared" ref="T53:T58" si="412">IF(M53="","",X53*COS(RADIANS(W53)))</f>
        <v>-4.4964340589173499</v>
      </c>
      <c r="U53" s="629">
        <f t="shared" ref="U53:U58" si="413">IF(M53="","",X53*SIN(RADIANS(W53)))</f>
        <v>-2.3708983223436859</v>
      </c>
      <c r="V53" s="636">
        <f t="shared" ref="V53:V58" si="414">IF(M53="","",Y53)</f>
        <v>-2.7997084439206676</v>
      </c>
      <c r="W53" s="585">
        <f t="shared" si="224"/>
        <v>207.80196999710762</v>
      </c>
      <c r="X53" s="629">
        <f t="shared" ref="X53:X58" si="415">IF(M53="","",R53)</f>
        <v>5.0832153309774375</v>
      </c>
      <c r="Y53" s="630">
        <f t="shared" si="223"/>
        <v>-2.7997084439206676</v>
      </c>
      <c r="Z53" s="632">
        <f t="shared" si="243"/>
        <v>-0.9921190211036891</v>
      </c>
      <c r="AA53" s="629">
        <f t="shared" si="244"/>
        <v>0.12529903417122162</v>
      </c>
      <c r="AB53" s="629">
        <f t="shared" si="245"/>
        <v>-1.3008419228518686E-7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-0.9921190211036891</v>
      </c>
      <c r="AE53" s="629">
        <f t="shared" ref="AE53:AE58" si="418">IF(M53="","",AA53*(1/SQRT(Z53^2+AA53^2+AB53^2)))</f>
        <v>0.12529903417122162</v>
      </c>
      <c r="AF53" s="633">
        <f t="shared" ref="AF53:AF58" si="419">IF(M53="","",AB53*(1/SQRT(Z53^2+AA53^2+AB53^2)))</f>
        <v>-1.3008419228518686E-7</v>
      </c>
      <c r="AG53" s="602">
        <f t="shared" ref="AG53:AG58" si="420">IF(M53="","",DEGREES(ATAN2(-AF53,AE53)))</f>
        <v>89.999940516100153</v>
      </c>
      <c r="AH53" s="603">
        <f t="shared" ref="AH53:AH58" si="421">IF(M53="","",DEGREES(ACOS(AD53)))</f>
        <v>172.80197505047863</v>
      </c>
      <c r="AI53" s="585">
        <f t="shared" ref="AI53:AI58" si="422">IF(M53="","",DEGREES(-ACOS(-AF53)))</f>
        <v>-89.999992546724798</v>
      </c>
      <c r="AJ53" s="586">
        <f t="shared" ref="AJ53:AJ58" si="423">IF(M53="","",DEGREES(ATAN2(-AE53,AD53)))</f>
        <v>-97.198024949517631</v>
      </c>
      <c r="AK53" s="635">
        <f t="shared" ref="AK53:AK58" si="424">IF(M53="","",(COS(RADIANS((90-$Q$8)-W53))*AD53)+(-SIN(RADIANS((90-$Q$8)-W53))*AE53))</f>
        <v>0.81915209487729213</v>
      </c>
      <c r="AL53" s="629">
        <f t="shared" ref="AL53:AL58" si="425">IF(M53="","",(SIN(RADIANS((90-$Q$8)-W53))*AD53)+(COS(RADIANS((90-$Q$8)-W53))*AE53))</f>
        <v>-0.57357636410344459</v>
      </c>
      <c r="AM53" s="634">
        <f t="shared" ref="AM53:AM58" si="426">IF(M53="","",AF53)</f>
        <v>-1.3008419228518686E-7</v>
      </c>
      <c r="AN53" s="581">
        <f t="shared" ref="AN53:AN58" si="427">IF(M53="","",DEGREES(ATAN2(-AM53,AL53)))</f>
        <v>-89.999987005609611</v>
      </c>
      <c r="AO53" s="582">
        <f t="shared" si="94"/>
        <v>34.999994946625939</v>
      </c>
      <c r="AP53" s="585">
        <f t="shared" ref="AP53:AP58" si="428">IF(M53="","",DEGREES(ATAN2(AK53,AL53)))</f>
        <v>-34.999994946625264</v>
      </c>
      <c r="AQ53" s="586">
        <f t="shared" si="246"/>
        <v>0.44847206464958778</v>
      </c>
      <c r="AS53" s="52">
        <f t="shared" si="406"/>
        <v>-152.19803000289238</v>
      </c>
      <c r="AT53" s="72">
        <f t="shared" si="247"/>
        <v>-2.69401536752977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5.1580000000000004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2.3708983223436864</v>
      </c>
      <c r="C54" s="708">
        <v>-4.496434058917349</v>
      </c>
      <c r="D54" s="709">
        <v>-3.5609107397067916</v>
      </c>
      <c r="E54" s="710">
        <v>0.9921190211036891</v>
      </c>
      <c r="F54" s="708">
        <v>-0.12529903417122162</v>
      </c>
      <c r="G54" s="711">
        <v>1.3008419228518686E-7</v>
      </c>
      <c r="H54" s="710">
        <v>0.314</v>
      </c>
      <c r="I54" s="708">
        <v>0.52</v>
      </c>
      <c r="J54" s="570">
        <v>5.1669999999999998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5.1669999999999998</v>
      </c>
      <c r="N54" s="632">
        <f t="shared" si="240"/>
        <v>2.3708983223436864</v>
      </c>
      <c r="O54" s="629">
        <f t="shared" si="241"/>
        <v>-4.496434058917349</v>
      </c>
      <c r="P54" s="633">
        <f t="shared" si="242"/>
        <v>-3.5609107397067916</v>
      </c>
      <c r="Q54" s="585">
        <f t="shared" si="113"/>
        <v>297.80196999710762</v>
      </c>
      <c r="R54" s="629">
        <f t="shared" si="410"/>
        <v>5.0832153309774375</v>
      </c>
      <c r="S54" s="634">
        <f t="shared" si="411"/>
        <v>-3.5609107397067916</v>
      </c>
      <c r="T54" s="635">
        <f t="shared" si="412"/>
        <v>-4.4964340589173499</v>
      </c>
      <c r="U54" s="629">
        <f t="shared" si="413"/>
        <v>-2.3708983223436859</v>
      </c>
      <c r="V54" s="636">
        <f t="shared" si="414"/>
        <v>-3.5609107397067916</v>
      </c>
      <c r="W54" s="585">
        <f t="shared" si="224"/>
        <v>207.80196999710762</v>
      </c>
      <c r="X54" s="629">
        <f t="shared" si="415"/>
        <v>5.0832153309774375</v>
      </c>
      <c r="Y54" s="630">
        <f t="shared" si="223"/>
        <v>-3.5609107397067916</v>
      </c>
      <c r="Z54" s="632">
        <f t="shared" si="243"/>
        <v>-0.9921190211036891</v>
      </c>
      <c r="AA54" s="629">
        <f t="shared" si="244"/>
        <v>0.12529903417122162</v>
      </c>
      <c r="AB54" s="629">
        <f t="shared" si="245"/>
        <v>-1.3008419228518686E-7</v>
      </c>
      <c r="AC54" s="636">
        <f t="shared" si="416"/>
        <v>1</v>
      </c>
      <c r="AD54" s="637">
        <f t="shared" si="417"/>
        <v>-0.9921190211036891</v>
      </c>
      <c r="AE54" s="629">
        <f t="shared" si="418"/>
        <v>0.12529903417122162</v>
      </c>
      <c r="AF54" s="633">
        <f t="shared" si="419"/>
        <v>-1.3008419228518686E-7</v>
      </c>
      <c r="AG54" s="602">
        <f t="shared" si="420"/>
        <v>89.999940516100153</v>
      </c>
      <c r="AH54" s="603">
        <f t="shared" si="421"/>
        <v>172.80197505047863</v>
      </c>
      <c r="AI54" s="585">
        <f t="shared" si="422"/>
        <v>-89.999992546724798</v>
      </c>
      <c r="AJ54" s="586">
        <f t="shared" si="423"/>
        <v>-97.198024949517631</v>
      </c>
      <c r="AK54" s="635">
        <f t="shared" si="424"/>
        <v>0.81915209487729213</v>
      </c>
      <c r="AL54" s="629">
        <f t="shared" si="425"/>
        <v>-0.57357636410344459</v>
      </c>
      <c r="AM54" s="634">
        <f t="shared" si="426"/>
        <v>-1.3008419228518686E-7</v>
      </c>
      <c r="AN54" s="581">
        <f t="shared" si="427"/>
        <v>-89.999987005609611</v>
      </c>
      <c r="AO54" s="582">
        <f t="shared" si="94"/>
        <v>34.999994946625939</v>
      </c>
      <c r="AP54" s="585">
        <f t="shared" si="428"/>
        <v>-34.999994946625264</v>
      </c>
      <c r="AQ54" s="586">
        <f t="shared" si="246"/>
        <v>0.44847206464958778</v>
      </c>
      <c r="AS54" s="52">
        <f t="shared" si="406"/>
        <v>-152.19803000289238</v>
      </c>
      <c r="AT54" s="72">
        <f t="shared" si="247"/>
        <v>-3.455217663315894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5.1669999999999998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-0.50710753469945247</v>
      </c>
      <c r="C55" s="708">
        <v>-2.8759425377251842</v>
      </c>
      <c r="D55" s="709">
        <v>-5.9500179452541324E-2</v>
      </c>
      <c r="E55" s="710">
        <v>0.95125118034416623</v>
      </c>
      <c r="F55" s="708">
        <v>-0.16773166870219636</v>
      </c>
      <c r="G55" s="711">
        <v>0.25881900859134599</v>
      </c>
      <c r="H55" s="710">
        <v>0.314</v>
      </c>
      <c r="I55" s="708">
        <v>0.52</v>
      </c>
      <c r="J55" s="570">
        <v>6.1139999999999999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6.1139999999999999</v>
      </c>
      <c r="N55" s="632">
        <f t="shared" si="240"/>
        <v>-0.50710753469945247</v>
      </c>
      <c r="O55" s="629">
        <f t="shared" si="241"/>
        <v>-2.8759425377251842</v>
      </c>
      <c r="P55" s="633">
        <f t="shared" si="242"/>
        <v>-5.9500179452541324E-2</v>
      </c>
      <c r="Q55" s="585">
        <f t="shared" si="113"/>
        <v>259.99997545504038</v>
      </c>
      <c r="R55" s="629">
        <f t="shared" si="410"/>
        <v>2.9203088076513635</v>
      </c>
      <c r="S55" s="634">
        <f t="shared" si="411"/>
        <v>-5.9500179452541324E-2</v>
      </c>
      <c r="T55" s="635">
        <f t="shared" si="412"/>
        <v>-2.8759425377251842</v>
      </c>
      <c r="U55" s="629">
        <f t="shared" si="413"/>
        <v>0.50710753469945113</v>
      </c>
      <c r="V55" s="636">
        <f t="shared" si="414"/>
        <v>-5.9500179452541324E-2</v>
      </c>
      <c r="W55" s="585">
        <f t="shared" si="224"/>
        <v>169.99997545504038</v>
      </c>
      <c r="X55" s="629">
        <f t="shared" si="415"/>
        <v>2.9203088076513635</v>
      </c>
      <c r="Y55" s="630">
        <f t="shared" si="223"/>
        <v>-5.9500179452541324E-2</v>
      </c>
      <c r="Z55" s="632">
        <f t="shared" si="243"/>
        <v>-0.95125118034416623</v>
      </c>
      <c r="AA55" s="629">
        <f t="shared" si="244"/>
        <v>0.16773166870219636</v>
      </c>
      <c r="AB55" s="629">
        <f t="shared" si="245"/>
        <v>-0.25881900859134599</v>
      </c>
      <c r="AC55" s="636">
        <f t="shared" si="416"/>
        <v>1</v>
      </c>
      <c r="AD55" s="637">
        <f t="shared" si="417"/>
        <v>-0.95125118034416623</v>
      </c>
      <c r="AE55" s="629">
        <f t="shared" si="418"/>
        <v>0.16773166870219636</v>
      </c>
      <c r="AF55" s="633">
        <f t="shared" si="419"/>
        <v>-0.25881900859134599</v>
      </c>
      <c r="AG55" s="602">
        <f t="shared" si="420"/>
        <v>32.945880199133605</v>
      </c>
      <c r="AH55" s="603">
        <f t="shared" si="421"/>
        <v>162.03612831132597</v>
      </c>
      <c r="AI55" s="585">
        <f t="shared" si="422"/>
        <v>-75.000002165731729</v>
      </c>
      <c r="AJ55" s="586">
        <f t="shared" si="423"/>
        <v>-100.00002454495963</v>
      </c>
      <c r="AK55" s="635">
        <f t="shared" si="424"/>
        <v>0.96592583607220728</v>
      </c>
      <c r="AL55" s="629">
        <f t="shared" si="425"/>
        <v>-4.7184478546569153E-16</v>
      </c>
      <c r="AM55" s="634">
        <f t="shared" si="426"/>
        <v>-0.25881900859134599</v>
      </c>
      <c r="AN55" s="581">
        <f t="shared" si="427"/>
        <v>-1.0445413163267885E-13</v>
      </c>
      <c r="AO55" s="582">
        <f>IF(ROUND(IF(M55="",0,DEGREES(ACOS(AK55))),4)=90,0,IF(M55="","",DEGREES(ACOS(AK55))))</f>
        <v>14.99999783426828</v>
      </c>
      <c r="AP55" s="585">
        <f t="shared" si="428"/>
        <v>-2.798839598531965E-14</v>
      </c>
      <c r="AQ55" s="586">
        <f t="shared" si="246"/>
        <v>0.78059744061181513</v>
      </c>
      <c r="AS55" s="52">
        <f t="shared" si="406"/>
        <v>-190.00002454495962</v>
      </c>
      <c r="AT55" s="72">
        <f t="shared" si="247"/>
        <v>7.2444282037013974E-2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6.1139999999999999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-0.66139227554347269</v>
      </c>
      <c r="C56" s="708">
        <v>-3.6157173901160635</v>
      </c>
      <c r="D56" s="709">
        <v>-0.20140060742423216</v>
      </c>
      <c r="E56" s="710">
        <v>0.93233844559050127</v>
      </c>
      <c r="F56" s="708">
        <v>-0.27123384909234149</v>
      </c>
      <c r="G56" s="711">
        <v>0.2391175902781745</v>
      </c>
      <c r="H56" s="710">
        <v>0.314</v>
      </c>
      <c r="I56" s="708">
        <v>0.52</v>
      </c>
      <c r="J56" s="570">
        <v>6.1210000000000004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6.1210000000000004</v>
      </c>
      <c r="N56" s="632">
        <f t="shared" si="240"/>
        <v>-0.66139227554347269</v>
      </c>
      <c r="O56" s="629">
        <f t="shared" si="241"/>
        <v>-3.6157173901160635</v>
      </c>
      <c r="P56" s="633">
        <f t="shared" si="242"/>
        <v>-0.20140060742423216</v>
      </c>
      <c r="Q56" s="585">
        <f t="shared" si="113"/>
        <v>259.6339755078842</v>
      </c>
      <c r="R56" s="629">
        <f t="shared" si="410"/>
        <v>3.6757110859446356</v>
      </c>
      <c r="S56" s="634">
        <f t="shared" si="411"/>
        <v>-0.20140060742423216</v>
      </c>
      <c r="T56" s="635">
        <f t="shared" si="412"/>
        <v>-3.6157173901160635</v>
      </c>
      <c r="U56" s="629">
        <f t="shared" si="413"/>
        <v>0.66139227554347413</v>
      </c>
      <c r="V56" s="636">
        <f t="shared" si="414"/>
        <v>-0.20140060742423216</v>
      </c>
      <c r="W56" s="585">
        <f t="shared" si="224"/>
        <v>169.6339755078842</v>
      </c>
      <c r="X56" s="629">
        <f t="shared" si="415"/>
        <v>3.6757110859446356</v>
      </c>
      <c r="Y56" s="630">
        <f t="shared" si="223"/>
        <v>-0.20140060742423216</v>
      </c>
      <c r="Z56" s="632">
        <f t="shared" si="243"/>
        <v>-0.93233844559050127</v>
      </c>
      <c r="AA56" s="629">
        <f t="shared" si="244"/>
        <v>0.27123384909234149</v>
      </c>
      <c r="AB56" s="629">
        <f t="shared" si="245"/>
        <v>-0.2391175902781745</v>
      </c>
      <c r="AC56" s="636">
        <f t="shared" si="416"/>
        <v>1</v>
      </c>
      <c r="AD56" s="637">
        <f t="shared" si="417"/>
        <v>-0.93233844559050127</v>
      </c>
      <c r="AE56" s="629">
        <f t="shared" si="418"/>
        <v>0.27123384909234149</v>
      </c>
      <c r="AF56" s="633">
        <f t="shared" si="419"/>
        <v>-0.2391175902781745</v>
      </c>
      <c r="AG56" s="602">
        <f t="shared" si="420"/>
        <v>48.600857451068883</v>
      </c>
      <c r="AH56" s="603">
        <f t="shared" si="421"/>
        <v>158.80232037520631</v>
      </c>
      <c r="AI56" s="585">
        <f t="shared" si="422"/>
        <v>-76.165534309962396</v>
      </c>
      <c r="AJ56" s="586">
        <f t="shared" si="423"/>
        <v>-106.2206537345934</v>
      </c>
      <c r="AK56" s="635">
        <f t="shared" si="424"/>
        <v>0.96592583607220739</v>
      </c>
      <c r="AL56" s="629">
        <f t="shared" si="425"/>
        <v>-9.9045733011403347E-2</v>
      </c>
      <c r="AM56" s="634">
        <f t="shared" si="426"/>
        <v>-0.2391175902781745</v>
      </c>
      <c r="AN56" s="581">
        <f t="shared" si="427"/>
        <v>-22.49999675140231</v>
      </c>
      <c r="AO56" s="582">
        <f t="shared" ref="AO56:AO119" si="461">IF(ROUND(IF(M56="",0,DEGREES(ACOS(AK56))),4)=90,0,IF(M56="","",DEGREES(ACOS(AK56))))</f>
        <v>14.999997834268255</v>
      </c>
      <c r="AP56" s="585">
        <f t="shared" si="428"/>
        <v>-5.8546292424775963</v>
      </c>
      <c r="AQ56" s="586">
        <f t="shared" si="246"/>
        <v>0.62018954756187039</v>
      </c>
      <c r="AS56" s="52">
        <f t="shared" si="406"/>
        <v>-190.3660244921158</v>
      </c>
      <c r="AT56" s="72">
        <f t="shared" si="247"/>
        <v>-6.9201979304707284E-2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6.1210000000000004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-0.83333620080143822</v>
      </c>
      <c r="C57" s="708">
        <v>-4.2502890928740111</v>
      </c>
      <c r="D57" s="709">
        <v>-0.6027018177486827</v>
      </c>
      <c r="E57" s="710">
        <v>0.90730254084414019</v>
      </c>
      <c r="F57" s="708">
        <v>-0.36855613485069466</v>
      </c>
      <c r="G57" s="711">
        <v>0.20240670651360351</v>
      </c>
      <c r="H57" s="710">
        <v>0.314</v>
      </c>
      <c r="I57" s="708">
        <v>0.52</v>
      </c>
      <c r="J57" s="570">
        <v>6.13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6.13</v>
      </c>
      <c r="N57" s="632">
        <f t="shared" si="240"/>
        <v>-0.83333620080143822</v>
      </c>
      <c r="O57" s="629">
        <f t="shared" si="241"/>
        <v>-4.2502890928740111</v>
      </c>
      <c r="P57" s="633">
        <f t="shared" si="242"/>
        <v>-0.6027018177486827</v>
      </c>
      <c r="Q57" s="585">
        <f t="shared" si="113"/>
        <v>258.90697561285003</v>
      </c>
      <c r="R57" s="629">
        <f t="shared" si="410"/>
        <v>4.3312130629385992</v>
      </c>
      <c r="S57" s="634">
        <f t="shared" si="411"/>
        <v>-0.6027018177486827</v>
      </c>
      <c r="T57" s="635">
        <f t="shared" si="412"/>
        <v>-4.250289092874012</v>
      </c>
      <c r="U57" s="629">
        <f t="shared" si="413"/>
        <v>0.83333620080143755</v>
      </c>
      <c r="V57" s="636">
        <f t="shared" si="414"/>
        <v>-0.6027018177486827</v>
      </c>
      <c r="W57" s="585">
        <f t="shared" si="224"/>
        <v>168.90697561285003</v>
      </c>
      <c r="X57" s="629">
        <f t="shared" si="415"/>
        <v>4.3312130629385992</v>
      </c>
      <c r="Y57" s="630">
        <f t="shared" si="223"/>
        <v>-0.6027018177486827</v>
      </c>
      <c r="Z57" s="632">
        <f t="shared" si="243"/>
        <v>-0.90730254084414019</v>
      </c>
      <c r="AA57" s="629">
        <f t="shared" si="244"/>
        <v>0.36855613485069466</v>
      </c>
      <c r="AB57" s="629">
        <f t="shared" si="245"/>
        <v>-0.20240670651360351</v>
      </c>
      <c r="AC57" s="636">
        <f t="shared" si="416"/>
        <v>1</v>
      </c>
      <c r="AD57" s="637">
        <f t="shared" si="417"/>
        <v>-0.90730254084414019</v>
      </c>
      <c r="AE57" s="629">
        <f t="shared" si="418"/>
        <v>0.36855613485069466</v>
      </c>
      <c r="AF57" s="633">
        <f t="shared" si="419"/>
        <v>-0.20240670651360351</v>
      </c>
      <c r="AG57" s="602">
        <f t="shared" si="420"/>
        <v>61.224925703645276</v>
      </c>
      <c r="AH57" s="603">
        <f t="shared" si="421"/>
        <v>155.13520434796067</v>
      </c>
      <c r="AI57" s="585">
        <f t="shared" si="422"/>
        <v>-78.322267922315632</v>
      </c>
      <c r="AJ57" s="586">
        <f t="shared" si="423"/>
        <v>-112.1075228689165</v>
      </c>
      <c r="AK57" s="635">
        <f t="shared" si="424"/>
        <v>0.96126170705176617</v>
      </c>
      <c r="AL57" s="629">
        <f t="shared" si="425"/>
        <v>-0.18710279451210929</v>
      </c>
      <c r="AM57" s="634">
        <f t="shared" si="426"/>
        <v>-0.20240670651360351</v>
      </c>
      <c r="AN57" s="581">
        <f t="shared" si="427"/>
        <v>-42.749993827664582</v>
      </c>
      <c r="AO57" s="582">
        <f t="shared" si="461"/>
        <v>15.99999768988615</v>
      </c>
      <c r="AP57" s="585">
        <f t="shared" si="428"/>
        <v>-11.014498481766546</v>
      </c>
      <c r="AQ57" s="586">
        <f t="shared" si="246"/>
        <v>0.52633349407130114</v>
      </c>
      <c r="AS57" s="52">
        <f t="shared" si="406"/>
        <v>-191.09302438714997</v>
      </c>
      <c r="AT57" s="72">
        <f t="shared" si="247"/>
        <v>-0.46999832859093965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6.13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-0.97828362121500279</v>
      </c>
      <c r="C58" s="708">
        <v>-4.700389495358519</v>
      </c>
      <c r="D58" s="709">
        <v>-1.2110036523870162</v>
      </c>
      <c r="E58" s="710">
        <v>0.87500086647555864</v>
      </c>
      <c r="F58" s="708">
        <v>-0.46334865277399306</v>
      </c>
      <c r="G58" s="711">
        <v>0.14029080383099732</v>
      </c>
      <c r="H58" s="710">
        <v>0.314</v>
      </c>
      <c r="I58" s="708">
        <v>0.52</v>
      </c>
      <c r="J58" s="570">
        <v>6.1390000000000002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6.1390000000000002</v>
      </c>
      <c r="N58" s="632">
        <f t="shared" si="240"/>
        <v>-0.97828362121500279</v>
      </c>
      <c r="O58" s="629">
        <f t="shared" si="241"/>
        <v>-4.700389495358519</v>
      </c>
      <c r="P58" s="633">
        <f t="shared" si="242"/>
        <v>-1.2110036523870162</v>
      </c>
      <c r="Q58" s="585">
        <f t="shared" si="113"/>
        <v>258.24297570871977</v>
      </c>
      <c r="R58" s="629">
        <f t="shared" si="410"/>
        <v>4.8011144801612735</v>
      </c>
      <c r="S58" s="634">
        <f t="shared" si="411"/>
        <v>-1.2110036523870162</v>
      </c>
      <c r="T58" s="635">
        <f t="shared" si="412"/>
        <v>-4.7003894953585199</v>
      </c>
      <c r="U58" s="629">
        <f t="shared" si="413"/>
        <v>0.97828362121500079</v>
      </c>
      <c r="V58" s="636">
        <f t="shared" si="414"/>
        <v>-1.2110036523870162</v>
      </c>
      <c r="W58" s="585">
        <f t="shared" si="224"/>
        <v>168.24297570871977</v>
      </c>
      <c r="X58" s="629">
        <f t="shared" si="415"/>
        <v>4.8011144801612735</v>
      </c>
      <c r="Y58" s="630">
        <f t="shared" si="223"/>
        <v>-1.2110036523870162</v>
      </c>
      <c r="Z58" s="632">
        <f t="shared" si="243"/>
        <v>-0.87500086647555864</v>
      </c>
      <c r="AA58" s="629">
        <f t="shared" si="244"/>
        <v>0.46334865277399306</v>
      </c>
      <c r="AB58" s="629">
        <f t="shared" si="245"/>
        <v>-0.14029080383099732</v>
      </c>
      <c r="AC58" s="636">
        <f t="shared" si="416"/>
        <v>1</v>
      </c>
      <c r="AD58" s="637">
        <f t="shared" si="417"/>
        <v>-0.87500086647555864</v>
      </c>
      <c r="AE58" s="629">
        <f t="shared" si="418"/>
        <v>0.46334865277399306</v>
      </c>
      <c r="AF58" s="633">
        <f t="shared" si="419"/>
        <v>-0.14029080383099732</v>
      </c>
      <c r="AG58" s="602">
        <f t="shared" si="420"/>
        <v>73.154952644941048</v>
      </c>
      <c r="AH58" s="603">
        <f t="shared" si="421"/>
        <v>151.04507817538794</v>
      </c>
      <c r="AI58" s="585">
        <f t="shared" si="422"/>
        <v>-81.935325844706895</v>
      </c>
      <c r="AJ58" s="586">
        <f t="shared" si="423"/>
        <v>-117.90304508417961</v>
      </c>
      <c r="AK58" s="635">
        <f t="shared" si="424"/>
        <v>0.951056530311848</v>
      </c>
      <c r="AL58" s="629">
        <f t="shared" si="425"/>
        <v>-0.2753360973640066</v>
      </c>
      <c r="AM58" s="634">
        <f t="shared" si="426"/>
        <v>-0.14029080383099732</v>
      </c>
      <c r="AN58" s="581">
        <f t="shared" si="427"/>
        <v>-62.999990903926729</v>
      </c>
      <c r="AO58" s="582">
        <f t="shared" si="461"/>
        <v>17.999997401121927</v>
      </c>
      <c r="AP58" s="585">
        <f t="shared" si="428"/>
        <v>-16.146020792899385</v>
      </c>
      <c r="AQ58" s="586">
        <f t="shared" si="246"/>
        <v>0.47482192984063615</v>
      </c>
      <c r="AS58" s="52">
        <f t="shared" si="406"/>
        <v>-191.75702429128023</v>
      </c>
      <c r="AT58" s="72">
        <f t="shared" si="247"/>
        <v>-1.0778390521847383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6.1390000000000002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-1.0533651586497548</v>
      </c>
      <c r="C59" s="708">
        <v>-4.9122444257513385</v>
      </c>
      <c r="D59" s="709">
        <v>-1.9466058709633072</v>
      </c>
      <c r="E59" s="710">
        <v>0.77667296378345752</v>
      </c>
      <c r="F59" s="708">
        <v>-0.62763979830900707</v>
      </c>
      <c r="G59" s="711">
        <v>5.3360949264879068E-2</v>
      </c>
      <c r="H59" s="710">
        <v>0.314</v>
      </c>
      <c r="I59" s="708">
        <v>0.52</v>
      </c>
      <c r="J59" s="570">
        <v>6.1479999999999997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6.1479999999999997</v>
      </c>
      <c r="N59" s="632">
        <f t="shared" si="240"/>
        <v>-1.0533651586497548</v>
      </c>
      <c r="O59" s="629">
        <f t="shared" si="241"/>
        <v>-4.9122444257513385</v>
      </c>
      <c r="P59" s="633">
        <f t="shared" si="242"/>
        <v>-1.9466058709633072</v>
      </c>
      <c r="Q59" s="585">
        <f t="shared" si="113"/>
        <v>257.89697575867598</v>
      </c>
      <c r="R59" s="629">
        <f t="shared" si="79"/>
        <v>5.0239151521281009</v>
      </c>
      <c r="S59" s="634">
        <f t="shared" si="80"/>
        <v>-1.9466058709633072</v>
      </c>
      <c r="T59" s="635">
        <f t="shared" si="81"/>
        <v>-4.9122444257513385</v>
      </c>
      <c r="U59" s="629">
        <f t="shared" si="82"/>
        <v>1.0533651586497523</v>
      </c>
      <c r="V59" s="636">
        <f t="shared" si="114"/>
        <v>-1.9466058709633072</v>
      </c>
      <c r="W59" s="585">
        <f t="shared" si="224"/>
        <v>167.89697575867598</v>
      </c>
      <c r="X59" s="629">
        <f t="shared" si="83"/>
        <v>5.0239151521281009</v>
      </c>
      <c r="Y59" s="630">
        <f t="shared" si="223"/>
        <v>-1.9466058709633072</v>
      </c>
      <c r="Z59" s="632">
        <f t="shared" si="243"/>
        <v>-0.77667296378345752</v>
      </c>
      <c r="AA59" s="629">
        <f t="shared" si="244"/>
        <v>0.62763979830900707</v>
      </c>
      <c r="AB59" s="629">
        <f t="shared" si="245"/>
        <v>-5.3360949264879068E-2</v>
      </c>
      <c r="AC59" s="636">
        <f t="shared" si="84"/>
        <v>1</v>
      </c>
      <c r="AD59" s="637">
        <f t="shared" si="115"/>
        <v>-0.77667296378345752</v>
      </c>
      <c r="AE59" s="629">
        <f t="shared" si="85"/>
        <v>0.62763979830900707</v>
      </c>
      <c r="AF59" s="633">
        <f t="shared" si="86"/>
        <v>-5.3360949264879068E-2</v>
      </c>
      <c r="AG59" s="602">
        <f t="shared" si="87"/>
        <v>85.140488785959633</v>
      </c>
      <c r="AH59" s="603">
        <f t="shared" si="88"/>
        <v>140.95695641168149</v>
      </c>
      <c r="AI59" s="585">
        <f t="shared" si="89"/>
        <v>-86.941190038884699</v>
      </c>
      <c r="AJ59" s="586">
        <f t="shared" si="90"/>
        <v>-128.9421405630508</v>
      </c>
      <c r="AK59" s="635">
        <f t="shared" si="211"/>
        <v>0.89100655507718418</v>
      </c>
      <c r="AL59" s="629">
        <f t="shared" si="91"/>
        <v>-0.45084357365170447</v>
      </c>
      <c r="AM59" s="634">
        <f t="shared" si="92"/>
        <v>-5.3360949264879068E-2</v>
      </c>
      <c r="AN59" s="581">
        <f t="shared" si="93"/>
        <v>-83.249987980188877</v>
      </c>
      <c r="AO59" s="582">
        <f t="shared" si="461"/>
        <v>26.999996101682903</v>
      </c>
      <c r="AP59" s="585">
        <f t="shared" si="95"/>
        <v>-26.839116321726788</v>
      </c>
      <c r="AQ59" s="586">
        <f t="shared" si="246"/>
        <v>0.45376541999183817</v>
      </c>
      <c r="AS59" s="52">
        <f t="shared" si="406"/>
        <v>-192.10302424132402</v>
      </c>
      <c r="AT59" s="72">
        <f t="shared" si="247"/>
        <v>-1.8132009930179434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6.1479999999999997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-1.0740381150044016</v>
      </c>
      <c r="C60" s="708">
        <v>-4.9684524983743028</v>
      </c>
      <c r="D60" s="709">
        <v>-2.7129081821310779</v>
      </c>
      <c r="E60" s="710">
        <v>0.67946667031411134</v>
      </c>
      <c r="F60" s="708">
        <v>-0.73370637446613329</v>
      </c>
      <c r="G60" s="711">
        <v>1.3008419210325101E-7</v>
      </c>
      <c r="H60" s="710">
        <v>0.314</v>
      </c>
      <c r="I60" s="708">
        <v>0.52</v>
      </c>
      <c r="J60" s="570">
        <v>6.157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6.157</v>
      </c>
      <c r="N60" s="632">
        <f t="shared" si="240"/>
        <v>-1.0740381150044016</v>
      </c>
      <c r="O60" s="629">
        <f t="shared" si="241"/>
        <v>-4.9684524983743028</v>
      </c>
      <c r="P60" s="633">
        <f t="shared" si="242"/>
        <v>-2.7129081821310779</v>
      </c>
      <c r="Q60" s="585">
        <f t="shared" si="113"/>
        <v>257.80197577239227</v>
      </c>
      <c r="R60" s="629">
        <f t="shared" si="79"/>
        <v>5.0832153309774375</v>
      </c>
      <c r="S60" s="634">
        <f t="shared" si="80"/>
        <v>-2.7129081821310779</v>
      </c>
      <c r="T60" s="635">
        <f t="shared" si="81"/>
        <v>-4.9684524983743037</v>
      </c>
      <c r="U60" s="629">
        <f t="shared" si="82"/>
        <v>1.0740381150043998</v>
      </c>
      <c r="V60" s="636">
        <f t="shared" si="114"/>
        <v>-2.7129081821310779</v>
      </c>
      <c r="W60" s="585">
        <f t="shared" si="224"/>
        <v>167.80197577239227</v>
      </c>
      <c r="X60" s="629">
        <f t="shared" si="83"/>
        <v>5.0832153309774375</v>
      </c>
      <c r="Y60" s="630">
        <f t="shared" si="223"/>
        <v>-2.7129081821310779</v>
      </c>
      <c r="Z60" s="632">
        <f t="shared" si="243"/>
        <v>-0.67946667031411134</v>
      </c>
      <c r="AA60" s="629">
        <f t="shared" si="244"/>
        <v>0.73370637446613329</v>
      </c>
      <c r="AB60" s="629">
        <f t="shared" si="245"/>
        <v>-1.3008419210325101E-7</v>
      </c>
      <c r="AC60" s="636">
        <f t="shared" si="84"/>
        <v>1</v>
      </c>
      <c r="AD60" s="637">
        <f t="shared" si="115"/>
        <v>-0.67946667031411134</v>
      </c>
      <c r="AE60" s="629">
        <f t="shared" si="85"/>
        <v>0.73370637446613329</v>
      </c>
      <c r="AF60" s="633">
        <f t="shared" si="86"/>
        <v>-1.3008419210325101E-7</v>
      </c>
      <c r="AG60" s="602">
        <f t="shared" si="87"/>
        <v>89.999989841610429</v>
      </c>
      <c r="AH60" s="603">
        <f t="shared" si="88"/>
        <v>132.80198082576652</v>
      </c>
      <c r="AI60" s="585">
        <f t="shared" si="89"/>
        <v>-89.999992546724812</v>
      </c>
      <c r="AJ60" s="586">
        <f t="shared" si="90"/>
        <v>-137.19801917423302</v>
      </c>
      <c r="AK60" s="635">
        <f t="shared" si="211"/>
        <v>0.81915209487729179</v>
      </c>
      <c r="AL60" s="629">
        <f t="shared" si="91"/>
        <v>-0.57357636410344492</v>
      </c>
      <c r="AM60" s="634">
        <f t="shared" si="92"/>
        <v>-1.3008419210325101E-7</v>
      </c>
      <c r="AN60" s="581">
        <f t="shared" si="93"/>
        <v>-89.999987005609626</v>
      </c>
      <c r="AO60" s="582">
        <f t="shared" si="461"/>
        <v>34.999994946625968</v>
      </c>
      <c r="AP60" s="585">
        <f t="shared" si="95"/>
        <v>-34.999994946625293</v>
      </c>
      <c r="AQ60" s="586">
        <f t="shared" si="246"/>
        <v>0.44847206464958778</v>
      </c>
      <c r="AS60" s="52">
        <f t="shared" si="406"/>
        <v>-192.19802422760773</v>
      </c>
      <c r="AT60" s="72">
        <f t="shared" si="247"/>
        <v>-2.5794373319730171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6.157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-1.0740381150044016</v>
      </c>
      <c r="C61" s="708">
        <v>-4.9684524983743028</v>
      </c>
      <c r="D61" s="709">
        <v>-3.4823105026484766</v>
      </c>
      <c r="E61" s="710">
        <v>0.67946667031411134</v>
      </c>
      <c r="F61" s="708">
        <v>-0.73370637446613329</v>
      </c>
      <c r="G61" s="711">
        <v>1.3008419210325101E-7</v>
      </c>
      <c r="H61" s="710">
        <v>0.314</v>
      </c>
      <c r="I61" s="708">
        <v>0.52</v>
      </c>
      <c r="J61" s="570">
        <v>6.1660000000000004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6.1660000000000004</v>
      </c>
      <c r="N61" s="632">
        <f t="shared" si="240"/>
        <v>-1.0740381150044016</v>
      </c>
      <c r="O61" s="629">
        <f t="shared" si="241"/>
        <v>-4.9684524983743028</v>
      </c>
      <c r="P61" s="633">
        <f t="shared" si="242"/>
        <v>-3.4823105026484766</v>
      </c>
      <c r="Q61" s="585">
        <f t="shared" si="113"/>
        <v>257.80197577239227</v>
      </c>
      <c r="R61" s="629">
        <f t="shared" si="79"/>
        <v>5.0832153309774375</v>
      </c>
      <c r="S61" s="634">
        <f t="shared" si="80"/>
        <v>-3.4823105026484766</v>
      </c>
      <c r="T61" s="635">
        <f t="shared" si="81"/>
        <v>-4.9684524983743037</v>
      </c>
      <c r="U61" s="629">
        <f t="shared" si="82"/>
        <v>1.0740381150043998</v>
      </c>
      <c r="V61" s="636">
        <f t="shared" si="114"/>
        <v>-3.4823105026484766</v>
      </c>
      <c r="W61" s="585">
        <f t="shared" si="224"/>
        <v>167.80197577239227</v>
      </c>
      <c r="X61" s="629">
        <f t="shared" si="83"/>
        <v>5.0832153309774375</v>
      </c>
      <c r="Y61" s="630">
        <f t="shared" si="223"/>
        <v>-3.4823105026484766</v>
      </c>
      <c r="Z61" s="632">
        <f t="shared" si="243"/>
        <v>-0.67946667031411134</v>
      </c>
      <c r="AA61" s="629">
        <f t="shared" si="244"/>
        <v>0.73370637446613329</v>
      </c>
      <c r="AB61" s="629">
        <f t="shared" si="245"/>
        <v>-1.3008419210325101E-7</v>
      </c>
      <c r="AC61" s="636">
        <f t="shared" si="84"/>
        <v>1</v>
      </c>
      <c r="AD61" s="637">
        <f t="shared" si="115"/>
        <v>-0.67946667031411134</v>
      </c>
      <c r="AE61" s="629">
        <f t="shared" si="85"/>
        <v>0.73370637446613329</v>
      </c>
      <c r="AF61" s="633">
        <f t="shared" si="86"/>
        <v>-1.3008419210325101E-7</v>
      </c>
      <c r="AG61" s="602">
        <f t="shared" si="87"/>
        <v>89.999989841610429</v>
      </c>
      <c r="AH61" s="603">
        <f t="shared" si="88"/>
        <v>132.80198082576652</v>
      </c>
      <c r="AI61" s="585">
        <f t="shared" si="89"/>
        <v>-89.999992546724812</v>
      </c>
      <c r="AJ61" s="586">
        <f t="shared" si="90"/>
        <v>-137.19801917423302</v>
      </c>
      <c r="AK61" s="635">
        <f t="shared" si="211"/>
        <v>0.81915209487729179</v>
      </c>
      <c r="AL61" s="629">
        <f t="shared" si="91"/>
        <v>-0.57357636410344492</v>
      </c>
      <c r="AM61" s="634">
        <f t="shared" si="92"/>
        <v>-1.3008419210325101E-7</v>
      </c>
      <c r="AN61" s="581">
        <f t="shared" si="93"/>
        <v>-89.999987005609626</v>
      </c>
      <c r="AO61" s="582">
        <f t="shared" si="461"/>
        <v>34.999994946625968</v>
      </c>
      <c r="AP61" s="585">
        <f t="shared" si="95"/>
        <v>-34.999994946625293</v>
      </c>
      <c r="AQ61" s="586">
        <f t="shared" si="246"/>
        <v>0.44847206464958778</v>
      </c>
      <c r="AS61" s="52">
        <f t="shared" si="406"/>
        <v>-192.19802422760773</v>
      </c>
      <c r="AT61" s="72">
        <f t="shared" si="247"/>
        <v>-3.3488396524904158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6.1660000000000004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-1.7008914315972237</v>
      </c>
      <c r="C62" s="708">
        <v>-4.0294336346547963</v>
      </c>
      <c r="D62" s="709">
        <v>-0.56320169861632308</v>
      </c>
      <c r="E62" s="710">
        <v>0.71232439871662667</v>
      </c>
      <c r="F62" s="708">
        <v>-0.62367508668498084</v>
      </c>
      <c r="G62" s="711">
        <v>0.32190578938794828</v>
      </c>
      <c r="H62" s="710">
        <v>0.26600000000000001</v>
      </c>
      <c r="I62" s="708">
        <v>0.52</v>
      </c>
      <c r="J62" s="570">
        <v>6.23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6.23</v>
      </c>
      <c r="N62" s="632">
        <f t="shared" si="240"/>
        <v>-1.7008914315972237</v>
      </c>
      <c r="O62" s="629">
        <f t="shared" si="241"/>
        <v>-4.0294336346547963</v>
      </c>
      <c r="P62" s="633">
        <f t="shared" si="242"/>
        <v>-0.56320169861632308</v>
      </c>
      <c r="Q62" s="585">
        <f t="shared" si="113"/>
        <v>247.1145773154617</v>
      </c>
      <c r="R62" s="629">
        <f t="shared" si="79"/>
        <v>4.373713191118985</v>
      </c>
      <c r="S62" s="634">
        <f t="shared" si="80"/>
        <v>-0.56320169861632308</v>
      </c>
      <c r="T62" s="635">
        <f t="shared" si="81"/>
        <v>-4.0294336346547963</v>
      </c>
      <c r="U62" s="629">
        <f t="shared" si="82"/>
        <v>1.7008914315972228</v>
      </c>
      <c r="V62" s="636">
        <f t="shared" si="114"/>
        <v>-0.56320169861632308</v>
      </c>
      <c r="W62" s="585">
        <f t="shared" si="224"/>
        <v>157.1145773154617</v>
      </c>
      <c r="X62" s="629">
        <f t="shared" si="83"/>
        <v>4.373713191118985</v>
      </c>
      <c r="Y62" s="630">
        <f t="shared" si="223"/>
        <v>-0.56320169861632308</v>
      </c>
      <c r="Z62" s="632">
        <f t="shared" si="243"/>
        <v>-0.71232439871662667</v>
      </c>
      <c r="AA62" s="629">
        <f t="shared" si="244"/>
        <v>0.62367508668498084</v>
      </c>
      <c r="AB62" s="629">
        <f t="shared" si="245"/>
        <v>-0.32190578938794828</v>
      </c>
      <c r="AC62" s="636">
        <f t="shared" si="84"/>
        <v>1</v>
      </c>
      <c r="AD62" s="637">
        <f t="shared" si="115"/>
        <v>-0.71232439871662667</v>
      </c>
      <c r="AE62" s="629">
        <f t="shared" si="85"/>
        <v>0.62367508668498084</v>
      </c>
      <c r="AF62" s="633">
        <f t="shared" si="86"/>
        <v>-0.32190578938794828</v>
      </c>
      <c r="AG62" s="602">
        <f t="shared" si="87"/>
        <v>62.699777046555909</v>
      </c>
      <c r="AH62" s="603">
        <f t="shared" si="88"/>
        <v>135.42435086890589</v>
      </c>
      <c r="AI62" s="585">
        <f t="shared" si="89"/>
        <v>-71.2217818286843</v>
      </c>
      <c r="AJ62" s="586">
        <f t="shared" si="90"/>
        <v>-131.20374357584262</v>
      </c>
      <c r="AK62" s="635">
        <f t="shared" si="211"/>
        <v>0.89879407502059627</v>
      </c>
      <c r="AL62" s="629">
        <f t="shared" si="91"/>
        <v>-0.29756658660943913</v>
      </c>
      <c r="AM62" s="634">
        <f t="shared" si="92"/>
        <v>-0.32190578938794828</v>
      </c>
      <c r="AN62" s="581">
        <f t="shared" si="93"/>
        <v>-42.749993827664539</v>
      </c>
      <c r="AO62" s="582">
        <f t="shared" si="461"/>
        <v>25.999996246065006</v>
      </c>
      <c r="AP62" s="585">
        <f t="shared" si="95"/>
        <v>-18.318320891304328</v>
      </c>
      <c r="AQ62" s="586">
        <f t="shared" si="246"/>
        <v>0.52121930394561222</v>
      </c>
      <c r="AS62" s="52">
        <f t="shared" si="406"/>
        <v>-202.8854226845383</v>
      </c>
      <c r="AT62" s="72">
        <f t="shared" si="247"/>
        <v>-0.42230904397428259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6.23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6.13</v>
      </c>
      <c r="II62" s="734" cm="1">
        <f t="array" ref="II62">IFERROR(IF($IH62&lt;1,$IH62+LARGE((IF($M$9:$M$150="",0,$M$9:$M$150)-MOD(IF($M$9:$M$150="",0,$M$9:$M$150),1)),1),$IH62),"")</f>
        <v>6.13</v>
      </c>
      <c r="IJ62" s="533">
        <f t="shared" si="112"/>
        <v>1613</v>
      </c>
      <c r="IK62" s="533">
        <f t="shared" si="382"/>
        <v>1313</v>
      </c>
      <c r="IL62" s="727">
        <f t="shared" si="225"/>
        <v>11.792398297388331</v>
      </c>
      <c r="IM62" s="759">
        <v>4.5397081032176401E-3</v>
      </c>
      <c r="IN62" s="5">
        <f t="shared" si="226"/>
        <v>0.14000000000000001</v>
      </c>
      <c r="IO62" s="771">
        <v>70</v>
      </c>
      <c r="IP62" s="9">
        <f t="shared" si="227"/>
        <v>-4.3312130629385992</v>
      </c>
      <c r="IQ62" s="5">
        <f t="shared" si="228"/>
        <v>-0.6027018177486827</v>
      </c>
      <c r="IR62" s="5">
        <f t="shared" si="383"/>
        <v>0.314</v>
      </c>
      <c r="IS62" s="5">
        <f t="shared" si="229"/>
        <v>0.30183617601425455</v>
      </c>
      <c r="IT62" s="727">
        <f t="shared" si="230"/>
        <v>42.749993827664582</v>
      </c>
      <c r="IU62" s="9">
        <f t="shared" si="231"/>
        <v>-4.373713191118985</v>
      </c>
      <c r="IV62" s="5">
        <f t="shared" si="232"/>
        <v>-0.56320169861632308</v>
      </c>
      <c r="IW62" s="5">
        <f t="shared" si="384"/>
        <v>0.26600000000000001</v>
      </c>
      <c r="IX62" s="5">
        <f t="shared" si="233"/>
        <v>0.23907922395547862</v>
      </c>
      <c r="IY62" s="762">
        <f t="shared" si="234"/>
        <v>42.749993827664539</v>
      </c>
    </row>
    <row r="63" spans="1:259" ht="15" customHeight="1" x14ac:dyDescent="0.25">
      <c r="A63" s="79"/>
      <c r="B63" s="707">
        <v>-1.8959234934743254</v>
      </c>
      <c r="C63" s="708">
        <v>-4.4725649567115502</v>
      </c>
      <c r="D63" s="709">
        <v>-1.1883035839236091</v>
      </c>
      <c r="E63" s="710">
        <v>0.64966903642215024</v>
      </c>
      <c r="F63" s="708">
        <v>-0.72972825787543816</v>
      </c>
      <c r="G63" s="711">
        <v>0.21313566752750029</v>
      </c>
      <c r="H63" s="710">
        <v>0.26600000000000001</v>
      </c>
      <c r="I63" s="708">
        <v>0.52</v>
      </c>
      <c r="J63" s="570">
        <v>6.2389999999999999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1313</v>
      </c>
      <c r="L63" s="320"/>
      <c r="M63" s="168">
        <f t="shared" si="239"/>
        <v>6.2389999999999999</v>
      </c>
      <c r="N63" s="632">
        <f t="shared" si="240"/>
        <v>-1.8959234934743254</v>
      </c>
      <c r="O63" s="629">
        <f t="shared" si="241"/>
        <v>-4.4725649567115502</v>
      </c>
      <c r="P63" s="633">
        <f t="shared" si="242"/>
        <v>-1.1883035839236091</v>
      </c>
      <c r="Q63" s="585">
        <f t="shared" si="113"/>
        <v>247.02787732797961</v>
      </c>
      <c r="R63" s="629">
        <f t="shared" si="79"/>
        <v>4.8578146511689884</v>
      </c>
      <c r="S63" s="634">
        <f t="shared" si="80"/>
        <v>-1.1883035839236091</v>
      </c>
      <c r="T63" s="635">
        <f t="shared" si="81"/>
        <v>-4.4725649567115502</v>
      </c>
      <c r="U63" s="629">
        <f t="shared" si="82"/>
        <v>1.8959234934743243</v>
      </c>
      <c r="V63" s="636">
        <f t="shared" si="114"/>
        <v>-1.1883035839236091</v>
      </c>
      <c r="W63" s="585">
        <f t="shared" si="224"/>
        <v>157.02787732797961</v>
      </c>
      <c r="X63" s="629">
        <f t="shared" si="83"/>
        <v>4.8578146511689884</v>
      </c>
      <c r="Y63" s="630">
        <f t="shared" si="223"/>
        <v>-1.1883035839236091</v>
      </c>
      <c r="Z63" s="632">
        <f t="shared" si="243"/>
        <v>-0.64966903642215024</v>
      </c>
      <c r="AA63" s="629">
        <f t="shared" si="244"/>
        <v>0.72972825787543816</v>
      </c>
      <c r="AB63" s="629">
        <f t="shared" si="245"/>
        <v>-0.21313566752750029</v>
      </c>
      <c r="AC63" s="636">
        <f t="shared" si="84"/>
        <v>1</v>
      </c>
      <c r="AD63" s="637">
        <f t="shared" si="115"/>
        <v>-0.64966903642215024</v>
      </c>
      <c r="AE63" s="629">
        <f t="shared" si="85"/>
        <v>0.72972825787543816</v>
      </c>
      <c r="AF63" s="633">
        <f t="shared" si="86"/>
        <v>-0.21313566752750029</v>
      </c>
      <c r="AG63" s="602">
        <f t="shared" si="87"/>
        <v>73.71821537660189</v>
      </c>
      <c r="AH63" s="603">
        <f t="shared" si="88"/>
        <v>130.51665328459126</v>
      </c>
      <c r="AI63" s="585">
        <f t="shared" si="89"/>
        <v>-77.69382603794179</v>
      </c>
      <c r="AJ63" s="586">
        <f t="shared" si="90"/>
        <v>-138.32167919814569</v>
      </c>
      <c r="AK63" s="635">
        <f t="shared" si="211"/>
        <v>0.88294762598409293</v>
      </c>
      <c r="AL63" s="629">
        <f t="shared" si="91"/>
        <v>-0.41830213601733096</v>
      </c>
      <c r="AM63" s="634">
        <f t="shared" si="92"/>
        <v>-0.21313566752750029</v>
      </c>
      <c r="AN63" s="581">
        <f t="shared" si="93"/>
        <v>-62.999990903926808</v>
      </c>
      <c r="AO63" s="582">
        <f t="shared" si="461"/>
        <v>27.999995957300747</v>
      </c>
      <c r="AP63" s="585">
        <f t="shared" si="95"/>
        <v>-25.349556526125291</v>
      </c>
      <c r="AQ63" s="586">
        <f t="shared" si="246"/>
        <v>0.46928008120807863</v>
      </c>
      <c r="AS63" s="52">
        <f t="shared" si="406"/>
        <v>-202.97212267202039</v>
      </c>
      <c r="AT63" s="72">
        <f t="shared" si="247"/>
        <v>-1.0473507209569284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6.2389999999999999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6.1390000000000002</v>
      </c>
      <c r="II63" s="734" cm="1">
        <f t="array" ref="II63">IFERROR(IF($IH63&lt;1,$IH63+LARGE((IF($M$9:$M$150="",0,$M$9:$M$150)-MOD(IF($M$9:$M$150="",0,$M$9:$M$150),1)),1),$IH63),"")</f>
        <v>6.1390000000000002</v>
      </c>
      <c r="IJ63" s="533">
        <f t="shared" si="112"/>
        <v>1613</v>
      </c>
      <c r="IK63" s="533">
        <f t="shared" si="382"/>
        <v>1313</v>
      </c>
      <c r="IL63" s="727">
        <f t="shared" si="225"/>
        <v>11.215098380740159</v>
      </c>
      <c r="IM63" s="759">
        <v>2.3783074747149098E-3</v>
      </c>
      <c r="IN63" s="5">
        <f t="shared" si="226"/>
        <v>0.08</v>
      </c>
      <c r="IO63" s="771">
        <v>40</v>
      </c>
      <c r="IP63" s="9">
        <f t="shared" si="227"/>
        <v>-4.8011144801612735</v>
      </c>
      <c r="IQ63" s="5">
        <f t="shared" si="228"/>
        <v>-1.2110036523870162</v>
      </c>
      <c r="IR63" s="5">
        <f t="shared" si="383"/>
        <v>0.314</v>
      </c>
      <c r="IS63" s="5">
        <f t="shared" si="229"/>
        <v>0.29863175051792029</v>
      </c>
      <c r="IT63" s="727">
        <f t="shared" si="230"/>
        <v>62.999990903926729</v>
      </c>
      <c r="IU63" s="9">
        <f t="shared" si="231"/>
        <v>-4.8578146511689884</v>
      </c>
      <c r="IV63" s="5">
        <f t="shared" si="232"/>
        <v>-1.1883035839236091</v>
      </c>
      <c r="IW63" s="5">
        <f t="shared" si="384"/>
        <v>0.26600000000000001</v>
      </c>
      <c r="IX63" s="5">
        <f t="shared" si="233"/>
        <v>0.23486406851176878</v>
      </c>
      <c r="IY63" s="762">
        <f t="shared" si="234"/>
        <v>62.999990903926808</v>
      </c>
    </row>
    <row r="64" spans="1:259" ht="15" customHeight="1" x14ac:dyDescent="0.25">
      <c r="A64" s="79"/>
      <c r="B64" s="707">
        <v>-2.0559812622120215</v>
      </c>
      <c r="C64" s="708">
        <v>-4.6510596720735879</v>
      </c>
      <c r="D64" s="709">
        <v>-1.9459058688521007</v>
      </c>
      <c r="E64" s="710">
        <v>0.51892338436542507</v>
      </c>
      <c r="F64" s="708">
        <v>-0.85215814097958675</v>
      </c>
      <c r="G64" s="711">
        <v>6.7416792573869261E-2</v>
      </c>
      <c r="H64" s="710">
        <v>0.26600000000000001</v>
      </c>
      <c r="I64" s="708">
        <v>0.52</v>
      </c>
      <c r="J64" s="570">
        <v>6.2480000000000002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1313</v>
      </c>
      <c r="L64" s="320"/>
      <c r="M64" s="168">
        <f t="shared" si="239"/>
        <v>6.2480000000000002</v>
      </c>
      <c r="N64" s="632">
        <f t="shared" si="240"/>
        <v>-2.0559812622120215</v>
      </c>
      <c r="O64" s="629">
        <f t="shared" si="241"/>
        <v>-4.6510596720735879</v>
      </c>
      <c r="P64" s="633">
        <f t="shared" si="242"/>
        <v>-1.9459058688521007</v>
      </c>
      <c r="Q64" s="585">
        <f t="shared" si="113"/>
        <v>246.15237745438614</v>
      </c>
      <c r="R64" s="629">
        <f t="shared" si="79"/>
        <v>5.0852153370094575</v>
      </c>
      <c r="S64" s="634">
        <f t="shared" si="80"/>
        <v>-1.9459058688521007</v>
      </c>
      <c r="T64" s="635">
        <f t="shared" si="81"/>
        <v>-4.6510596720735879</v>
      </c>
      <c r="U64" s="629">
        <f t="shared" si="82"/>
        <v>2.0559812622120219</v>
      </c>
      <c r="V64" s="636">
        <f t="shared" si="114"/>
        <v>-1.9459058688521007</v>
      </c>
      <c r="W64" s="585">
        <f t="shared" si="224"/>
        <v>156.15237745438614</v>
      </c>
      <c r="X64" s="629">
        <f t="shared" si="83"/>
        <v>5.0852153370094575</v>
      </c>
      <c r="Y64" s="630">
        <f t="shared" si="223"/>
        <v>-1.9459058688521007</v>
      </c>
      <c r="Z64" s="632">
        <f t="shared" si="243"/>
        <v>-0.51892338436542507</v>
      </c>
      <c r="AA64" s="629">
        <f t="shared" si="244"/>
        <v>0.85215814097958675</v>
      </c>
      <c r="AB64" s="629">
        <f t="shared" si="245"/>
        <v>-6.7416792573869261E-2</v>
      </c>
      <c r="AC64" s="636">
        <f t="shared" si="84"/>
        <v>1</v>
      </c>
      <c r="AD64" s="637">
        <f t="shared" si="115"/>
        <v>-0.51892338436542507</v>
      </c>
      <c r="AE64" s="629">
        <f t="shared" si="85"/>
        <v>0.85215814097958675</v>
      </c>
      <c r="AF64" s="633">
        <f t="shared" si="86"/>
        <v>-6.7416792573869261E-2</v>
      </c>
      <c r="AG64" s="602">
        <f t="shared" si="87"/>
        <v>85.476580084041061</v>
      </c>
      <c r="AH64" s="603">
        <f t="shared" si="88"/>
        <v>121.26006192171803</v>
      </c>
      <c r="AI64" s="585">
        <f t="shared" si="89"/>
        <v>-86.134370307622163</v>
      </c>
      <c r="AJ64" s="586">
        <f t="shared" si="90"/>
        <v>-148.66059240970239</v>
      </c>
      <c r="AK64" s="635">
        <f t="shared" si="211"/>
        <v>0.8191520948772919</v>
      </c>
      <c r="AL64" s="629">
        <f t="shared" si="91"/>
        <v>-0.56960058070300112</v>
      </c>
      <c r="AM64" s="634">
        <f t="shared" si="92"/>
        <v>-6.7416792573869261E-2</v>
      </c>
      <c r="AN64" s="581">
        <f t="shared" si="93"/>
        <v>-83.249987980188777</v>
      </c>
      <c r="AO64" s="582">
        <f t="shared" si="461"/>
        <v>34.999994946625968</v>
      </c>
      <c r="AP64" s="585">
        <f t="shared" si="95"/>
        <v>-34.812969864088515</v>
      </c>
      <c r="AQ64" s="586">
        <f t="shared" si="246"/>
        <v>0.44829568859435587</v>
      </c>
      <c r="AS64" s="52">
        <f t="shared" si="406"/>
        <v>-203.84762254561386</v>
      </c>
      <c r="AT64" s="72">
        <f t="shared" si="247"/>
        <v>-1.8043450198620912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>Gage</v>
      </c>
      <c r="IG64" s="847">
        <f t="shared" si="210"/>
        <v>6.2480000000000002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6.1479999999999997</v>
      </c>
      <c r="II64" s="734" cm="1">
        <f t="array" ref="II64">IFERROR(IF($IH64&lt;1,$IH64+LARGE((IF($M$9:$M$150="",0,$M$9:$M$150)-MOD(IF($M$9:$M$150="",0,$M$9:$M$150),1)),1),$IH64),"")</f>
        <v>6.1479999999999997</v>
      </c>
      <c r="IJ64" s="533">
        <f t="shared" si="112"/>
        <v>1613</v>
      </c>
      <c r="IK64" s="533">
        <f t="shared" si="382"/>
        <v>1313</v>
      </c>
      <c r="IL64" s="727">
        <f t="shared" si="225"/>
        <v>11.744598304289838</v>
      </c>
      <c r="IM64" s="759">
        <v>1.7869001434649601E-4</v>
      </c>
      <c r="IN64" s="5">
        <f t="shared" si="226"/>
        <v>0</v>
      </c>
      <c r="IO64" s="771">
        <v>0</v>
      </c>
      <c r="IP64" s="9">
        <f t="shared" si="227"/>
        <v>-5.0239151521281009</v>
      </c>
      <c r="IQ64" s="5">
        <f t="shared" si="228"/>
        <v>-1.9466058709633072</v>
      </c>
      <c r="IR64" s="5">
        <f t="shared" si="383"/>
        <v>0.314</v>
      </c>
      <c r="IS64" s="5">
        <f t="shared" si="229"/>
        <v>0.27977605829423585</v>
      </c>
      <c r="IT64" s="727">
        <f t="shared" si="230"/>
        <v>83.249987980188877</v>
      </c>
      <c r="IU64" s="9">
        <f t="shared" si="231"/>
        <v>-5.0852153370094575</v>
      </c>
      <c r="IV64" s="5">
        <f t="shared" si="232"/>
        <v>-1.9459058688521007</v>
      </c>
      <c r="IW64" s="5">
        <f t="shared" si="384"/>
        <v>0.26600000000000001</v>
      </c>
      <c r="IX64" s="5">
        <f t="shared" si="233"/>
        <v>0.21789445723735962</v>
      </c>
      <c r="IY64" s="762">
        <f t="shared" si="234"/>
        <v>83.249987980188777</v>
      </c>
    </row>
    <row r="65" spans="1:259" ht="15" customHeight="1" x14ac:dyDescent="0.25">
      <c r="A65" s="79"/>
      <c r="B65" s="707">
        <v>-2.1369984616370359</v>
      </c>
      <c r="C65" s="708">
        <v>-4.65547012721537</v>
      </c>
      <c r="D65" s="709">
        <v>-2.7198082029415405</v>
      </c>
      <c r="E65" s="710">
        <v>0.50518272226508498</v>
      </c>
      <c r="F65" s="708">
        <v>-0.86301240844197669</v>
      </c>
      <c r="G65" s="711">
        <v>1.3008419244045475E-7</v>
      </c>
      <c r="H65" s="710">
        <v>0.26600000000000001</v>
      </c>
      <c r="I65" s="708">
        <v>0.52</v>
      </c>
      <c r="J65" s="570">
        <v>6.2569999999999997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6.2569999999999997</v>
      </c>
      <c r="N65" s="632">
        <f t="shared" si="240"/>
        <v>-2.1369984616370359</v>
      </c>
      <c r="O65" s="629">
        <f t="shared" si="241"/>
        <v>-4.65547012721537</v>
      </c>
      <c r="P65" s="633">
        <f t="shared" si="242"/>
        <v>-2.7198082029415405</v>
      </c>
      <c r="Q65" s="585">
        <f t="shared" si="113"/>
        <v>245.34347757117683</v>
      </c>
      <c r="R65" s="629">
        <f t="shared" si="79"/>
        <v>5.1225154495065945</v>
      </c>
      <c r="S65" s="634">
        <f t="shared" si="80"/>
        <v>-2.7198082029415405</v>
      </c>
      <c r="T65" s="635">
        <f t="shared" si="81"/>
        <v>-4.65547012721537</v>
      </c>
      <c r="U65" s="629">
        <f t="shared" si="82"/>
        <v>2.1369984616370354</v>
      </c>
      <c r="V65" s="636">
        <f t="shared" si="114"/>
        <v>-2.7198082029415405</v>
      </c>
      <c r="W65" s="585">
        <f t="shared" si="224"/>
        <v>155.34347757117683</v>
      </c>
      <c r="X65" s="629">
        <f t="shared" si="83"/>
        <v>5.1225154495065945</v>
      </c>
      <c r="Y65" s="630">
        <f t="shared" si="223"/>
        <v>-2.7198082029415405</v>
      </c>
      <c r="Z65" s="632">
        <f t="shared" si="243"/>
        <v>-0.50518272226508498</v>
      </c>
      <c r="AA65" s="629">
        <f t="shared" si="244"/>
        <v>0.86301240844197669</v>
      </c>
      <c r="AB65" s="629">
        <f t="shared" si="245"/>
        <v>-1.3008419244045475E-7</v>
      </c>
      <c r="AC65" s="636">
        <f t="shared" si="84"/>
        <v>1</v>
      </c>
      <c r="AD65" s="637">
        <f t="shared" si="115"/>
        <v>-0.50518272226508498</v>
      </c>
      <c r="AE65" s="629">
        <f t="shared" si="85"/>
        <v>0.86301240844197669</v>
      </c>
      <c r="AF65" s="633">
        <f t="shared" si="86"/>
        <v>-1.3008419244045475E-7</v>
      </c>
      <c r="AG65" s="602">
        <f t="shared" si="87"/>
        <v>89.999991363652327</v>
      </c>
      <c r="AH65" s="603">
        <f t="shared" si="88"/>
        <v>120.3434826245513</v>
      </c>
      <c r="AI65" s="585">
        <f t="shared" si="89"/>
        <v>-89.999992546724783</v>
      </c>
      <c r="AJ65" s="586">
        <f t="shared" si="90"/>
        <v>-149.65651737544846</v>
      </c>
      <c r="AK65" s="635">
        <f t="shared" si="211"/>
        <v>0.8191520948772919</v>
      </c>
      <c r="AL65" s="629">
        <f t="shared" si="91"/>
        <v>-0.57357636410344481</v>
      </c>
      <c r="AM65" s="634">
        <f t="shared" si="92"/>
        <v>-1.3008419244045475E-7</v>
      </c>
      <c r="AN65" s="581">
        <f t="shared" si="93"/>
        <v>-89.999987005609583</v>
      </c>
      <c r="AO65" s="582">
        <f t="shared" si="461"/>
        <v>34.999994946625968</v>
      </c>
      <c r="AP65" s="585">
        <f t="shared" si="95"/>
        <v>-34.999994946625286</v>
      </c>
      <c r="AQ65" s="586">
        <f t="shared" si="246"/>
        <v>0.44503151012956282</v>
      </c>
      <c r="AS65" s="52">
        <f t="shared" si="406"/>
        <v>-204.65652242882317</v>
      </c>
      <c r="AT65" s="72">
        <f t="shared" si="247"/>
        <v>-2.5776856179215244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Taper</v>
      </c>
      <c r="IF65" s="533" t="str">
        <f>IFERROR(IF((((($IW65*COS(RADIANS(180-$IY65)))*COS(RADIANS($IY65)))-(($IX65*SIN(RADIANS(180-$IY65)))*SIN(RADIANS($IY65))))+$IU65)&lt;(((Settings!$C$19+$IF$8)/2)*-1),"Gage",""),"")</f>
        <v>Gage</v>
      </c>
      <c r="IG65" s="847">
        <f t="shared" si="210"/>
        <v>6.2569999999999997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6.157</v>
      </c>
      <c r="II65" s="734" cm="1">
        <f t="array" ref="II65">IFERROR(IF($IH65&lt;1,$IH65+LARGE((IF($M$9:$M$150="",0,$M$9:$M$150)-MOD(IF($M$9:$M$150="",0,$M$9:$M$150),1)),1),$IH65),"")</f>
        <v>6.157</v>
      </c>
      <c r="IJ65" s="533">
        <f t="shared" si="112"/>
        <v>1613</v>
      </c>
      <c r="IK65" s="533">
        <f t="shared" si="382"/>
        <v>1313</v>
      </c>
      <c r="IL65" s="727">
        <f t="shared" si="225"/>
        <v>12.458498201215434</v>
      </c>
      <c r="IM65" s="759">
        <v>1.13056564851207E-4</v>
      </c>
      <c r="IN65" s="5">
        <f t="shared" si="226"/>
        <v>0</v>
      </c>
      <c r="IO65" s="771">
        <v>0</v>
      </c>
      <c r="IP65" s="9">
        <f t="shared" si="227"/>
        <v>-5.0832153309774375</v>
      </c>
      <c r="IQ65" s="5">
        <f t="shared" si="228"/>
        <v>-2.7129081821310779</v>
      </c>
      <c r="IR65" s="5">
        <f t="shared" si="383"/>
        <v>0.314</v>
      </c>
      <c r="IS65" s="5">
        <f t="shared" si="229"/>
        <v>0.2572137577914696</v>
      </c>
      <c r="IT65" s="727">
        <f t="shared" si="230"/>
        <v>89.999987005609626</v>
      </c>
      <c r="IU65" s="9">
        <f t="shared" si="231"/>
        <v>-5.1225154495065945</v>
      </c>
      <c r="IV65" s="5">
        <f t="shared" si="232"/>
        <v>-2.7198082029415405</v>
      </c>
      <c r="IW65" s="5">
        <f t="shared" si="384"/>
        <v>0.26600000000000001</v>
      </c>
      <c r="IX65" s="5">
        <f t="shared" si="233"/>
        <v>0.21789445723735962</v>
      </c>
      <c r="IY65" s="762">
        <f t="shared" si="234"/>
        <v>89.999987005609583</v>
      </c>
    </row>
    <row r="66" spans="1:259" ht="15" customHeight="1" x14ac:dyDescent="0.25">
      <c r="A66" s="79"/>
      <c r="B66" s="707">
        <v>-0.51970350296986112</v>
      </c>
      <c r="C66" s="708">
        <v>-0.30005074779874003</v>
      </c>
      <c r="D66" s="709">
        <v>-0.60410182197109508</v>
      </c>
      <c r="E66" s="710">
        <v>0.54241301828381583</v>
      </c>
      <c r="F66" s="708">
        <v>-0.79680713344796916</v>
      </c>
      <c r="G66" s="711">
        <v>0.26624520593368695</v>
      </c>
      <c r="H66" s="710">
        <v>0.314</v>
      </c>
      <c r="I66" s="708">
        <v>0.52</v>
      </c>
      <c r="J66" s="570">
        <v>7.1020000000000003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7.1020000000000003</v>
      </c>
      <c r="N66" s="632">
        <f t="shared" si="240"/>
        <v>-0.51970350296986112</v>
      </c>
      <c r="O66" s="629">
        <f t="shared" si="241"/>
        <v>-0.30005074779874003</v>
      </c>
      <c r="P66" s="633">
        <f t="shared" si="242"/>
        <v>-0.60410182197109508</v>
      </c>
      <c r="Q66" s="585">
        <f t="shared" si="113"/>
        <v>209.99998267414614</v>
      </c>
      <c r="R66" s="629">
        <f t="shared" si="79"/>
        <v>0.60010180990705864</v>
      </c>
      <c r="S66" s="634">
        <f t="shared" si="80"/>
        <v>-0.60410182197109508</v>
      </c>
      <c r="T66" s="635">
        <f t="shared" si="81"/>
        <v>-0.30005074779874003</v>
      </c>
      <c r="U66" s="629">
        <f t="shared" si="82"/>
        <v>0.51970350296986112</v>
      </c>
      <c r="V66" s="636">
        <f t="shared" si="114"/>
        <v>-0.60410182197109508</v>
      </c>
      <c r="W66" s="585">
        <f t="shared" si="224"/>
        <v>119.99998267414614</v>
      </c>
      <c r="X66" s="629">
        <f t="shared" si="83"/>
        <v>0.60010180990705864</v>
      </c>
      <c r="Y66" s="630">
        <f t="shared" si="223"/>
        <v>-0.60410182197109508</v>
      </c>
      <c r="Z66" s="632">
        <f t="shared" si="243"/>
        <v>-0.54241301828381583</v>
      </c>
      <c r="AA66" s="629">
        <f t="shared" si="244"/>
        <v>0.79680713344796916</v>
      </c>
      <c r="AB66" s="629">
        <f t="shared" si="245"/>
        <v>-0.26624520593368695</v>
      </c>
      <c r="AC66" s="636">
        <f t="shared" si="84"/>
        <v>1</v>
      </c>
      <c r="AD66" s="637">
        <f t="shared" si="115"/>
        <v>-0.54241301828381583</v>
      </c>
      <c r="AE66" s="629">
        <f t="shared" si="85"/>
        <v>0.79680713344796916</v>
      </c>
      <c r="AF66" s="633">
        <f t="shared" si="86"/>
        <v>-0.26624520593368695</v>
      </c>
      <c r="AG66" s="602">
        <f t="shared" si="87"/>
        <v>71.523459960995282</v>
      </c>
      <c r="AH66" s="603">
        <f t="shared" si="88"/>
        <v>122.84805502035098</v>
      </c>
      <c r="AI66" s="585">
        <f t="shared" si="89"/>
        <v>-74.55904373138371</v>
      </c>
      <c r="AJ66" s="586">
        <f t="shared" si="90"/>
        <v>-145.75558394009232</v>
      </c>
      <c r="AK66" s="635">
        <f t="shared" si="211"/>
        <v>0.96126170705176639</v>
      </c>
      <c r="AL66" s="629">
        <f t="shared" si="91"/>
        <v>7.1340177132195814E-2</v>
      </c>
      <c r="AM66" s="634">
        <f t="shared" si="92"/>
        <v>-0.26624520593368695</v>
      </c>
      <c r="AN66" s="581">
        <f t="shared" si="93"/>
        <v>14.999997834268274</v>
      </c>
      <c r="AO66" s="582">
        <f t="shared" si="461"/>
        <v>15.999997689886111</v>
      </c>
      <c r="AP66" s="585">
        <f t="shared" si="95"/>
        <v>4.244433385761532</v>
      </c>
      <c r="AQ66" s="586">
        <f t="shared" si="246"/>
        <v>3.7933475971526467</v>
      </c>
      <c r="AS66" s="52">
        <f t="shared" si="406"/>
        <v>-240.00001732585386</v>
      </c>
      <c r="AT66" s="72">
        <f t="shared" si="247"/>
        <v>-0.43743514327258548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7.1020000000000003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-1.1670595577440177</v>
      </c>
      <c r="C67" s="708">
        <v>-0.6738016792760908</v>
      </c>
      <c r="D67" s="709">
        <v>-0.40380121786447332</v>
      </c>
      <c r="E67" s="710">
        <v>0.54097536073219554</v>
      </c>
      <c r="F67" s="708">
        <v>-0.80302283619345605</v>
      </c>
      <c r="G67" s="711">
        <v>0.24999996726497573</v>
      </c>
      <c r="H67" s="710">
        <v>0.314</v>
      </c>
      <c r="I67" s="708">
        <v>0.52</v>
      </c>
      <c r="J67" s="570">
        <v>7.1050000000000004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7.1050000000000004</v>
      </c>
      <c r="N67" s="632">
        <f t="shared" si="240"/>
        <v>-1.1670595577440177</v>
      </c>
      <c r="O67" s="629">
        <f t="shared" si="241"/>
        <v>-0.6738016792760908</v>
      </c>
      <c r="P67" s="633">
        <f t="shared" si="242"/>
        <v>-0.40380121786447332</v>
      </c>
      <c r="Q67" s="585">
        <f t="shared" si="113"/>
        <v>209.99998267414614</v>
      </c>
      <c r="R67" s="629">
        <f>IF(M67="","",SQRT(N67^2+O67^2))</f>
        <v>1.3476040643738585</v>
      </c>
      <c r="S67" s="634">
        <f>IF(M67="","",P67)</f>
        <v>-0.40380121786447332</v>
      </c>
      <c r="T67" s="635">
        <f>IF(M67="","",X67*COS(RADIANS(W67)))</f>
        <v>-0.67380167927609091</v>
      </c>
      <c r="U67" s="629">
        <f>IF(M67="","",X67*SIN(RADIANS(W67)))</f>
        <v>1.1670595577440179</v>
      </c>
      <c r="V67" s="636">
        <f>IF(M67="","",Y67)</f>
        <v>-0.40380121786447332</v>
      </c>
      <c r="W67" s="585">
        <f t="shared" si="224"/>
        <v>119.99998267414614</v>
      </c>
      <c r="X67" s="629">
        <f>IF(M67="","",R67)</f>
        <v>1.3476040643738585</v>
      </c>
      <c r="Y67" s="630">
        <f t="shared" si="223"/>
        <v>-0.40380121786447332</v>
      </c>
      <c r="Z67" s="632">
        <f t="shared" si="243"/>
        <v>-0.54097536073219554</v>
      </c>
      <c r="AA67" s="629">
        <f t="shared" si="244"/>
        <v>0.80302283619345605</v>
      </c>
      <c r="AB67" s="629">
        <f t="shared" si="245"/>
        <v>-0.24999996726497573</v>
      </c>
      <c r="AC67" s="636">
        <f>IF(M67="","",SQRT(Z67^2+AA67^2+AB67^2))</f>
        <v>1</v>
      </c>
      <c r="AD67" s="637">
        <f>IF(M67="","",Z67*(1/SQRT(Z67^2+AA67^2+AB67^2)))</f>
        <v>-0.54097536073219554</v>
      </c>
      <c r="AE67" s="629">
        <f>IF(M67="","",AA67*(1/SQRT(Z67^2+AA67^2+AB67^2)))</f>
        <v>0.80302283619345605</v>
      </c>
      <c r="AF67" s="633">
        <f>IF(M67="","",AB67*(1/SQRT(Z67^2+AA67^2+AB67^2)))</f>
        <v>-0.24999996726497573</v>
      </c>
      <c r="AG67" s="602">
        <f>IF(M67="","",DEGREES(ATAN2(-AF67,AE67)))</f>
        <v>72.707401525173708</v>
      </c>
      <c r="AH67" s="603">
        <f>IF(M67="","",DEGREES(ACOS(AD67)))</f>
        <v>122.7500605879534</v>
      </c>
      <c r="AI67" s="585">
        <f>IF(M67="","",DEGREES(-ACOS(-AF67)))</f>
        <v>-75.522489751159455</v>
      </c>
      <c r="AJ67" s="586">
        <f>IF(M67="","",DEGREES(ATAN2(-AE67,AD67)))</f>
        <v>-146.03288768076729</v>
      </c>
      <c r="AK67" s="635">
        <f>IF(M67="","",(COS(RADIANS((90-$Q$8)-W67))*AD67)+(-SIN(RADIANS((90-$Q$8)-W67))*AE67))</f>
        <v>0.96592583607220739</v>
      </c>
      <c r="AL67" s="629">
        <f>IF(M67="","",(SIN(RADIANS((90-$Q$8)-W67))*AD67)+(COS(RADIANS((90-$Q$8)-W67))*AE67))</f>
        <v>6.6987279208207351E-2</v>
      </c>
      <c r="AM67" s="634">
        <f>IF(M67="","",AF67)</f>
        <v>-0.24999996726497573</v>
      </c>
      <c r="AN67" s="581">
        <f>IF(M67="","",DEGREES(ATAN2(-AM67,AL67)))</f>
        <v>14.999997834268296</v>
      </c>
      <c r="AO67" s="582">
        <f t="shared" si="461"/>
        <v>14.999997834268255</v>
      </c>
      <c r="AP67" s="585">
        <f>IF(M67="","",DEGREES(ATAN2(AK67,AL67)))</f>
        <v>3.9671296450865805</v>
      </c>
      <c r="AQ67" s="586">
        <f t="shared" si="246"/>
        <v>1.6911974238431249</v>
      </c>
      <c r="AS67" s="52">
        <f t="shared" si="406"/>
        <v>-240.00001732585386</v>
      </c>
      <c r="AT67" s="72">
        <f t="shared" si="247"/>
        <v>-0.23713453916596369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7.1050000000000004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-1.7816797478085238</v>
      </c>
      <c r="C68" s="708">
        <v>-1.0286525636499717</v>
      </c>
      <c r="D68" s="709">
        <v>-0.21360064421954308</v>
      </c>
      <c r="E68" s="710">
        <v>0.54097536073219565</v>
      </c>
      <c r="F68" s="708">
        <v>-0.80302283619345594</v>
      </c>
      <c r="G68" s="711">
        <v>0.24999996726497559</v>
      </c>
      <c r="H68" s="710">
        <v>0.314</v>
      </c>
      <c r="I68" s="708">
        <v>0.52</v>
      </c>
      <c r="J68" s="570">
        <v>7.1079999999999997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7.1079999999999997</v>
      </c>
      <c r="N68" s="632">
        <f t="shared" si="240"/>
        <v>-1.7816797478085238</v>
      </c>
      <c r="O68" s="629">
        <f t="shared" si="241"/>
        <v>-1.0286525636499717</v>
      </c>
      <c r="P68" s="633">
        <f t="shared" si="242"/>
        <v>-0.21360064421954308</v>
      </c>
      <c r="Q68" s="585">
        <f t="shared" si="113"/>
        <v>209.99998267414614</v>
      </c>
      <c r="R68" s="629">
        <f>IF(M68="","",SQRT(N68^2+O68^2))</f>
        <v>2.0573062048355135</v>
      </c>
      <c r="S68" s="634">
        <f>IF(M68="","",P68)</f>
        <v>-0.21360064421954308</v>
      </c>
      <c r="T68" s="635">
        <f>IF(M68="","",X68*COS(RADIANS(W68)))</f>
        <v>-1.0286525636499713</v>
      </c>
      <c r="U68" s="629">
        <f>IF(M68="","",X68*SIN(RADIANS(W68)))</f>
        <v>1.781679747808524</v>
      </c>
      <c r="V68" s="636">
        <f>IF(M68="","",Y68)</f>
        <v>-0.21360064421954308</v>
      </c>
      <c r="W68" s="585">
        <f t="shared" si="224"/>
        <v>119.99998267414614</v>
      </c>
      <c r="X68" s="629">
        <f>IF(M68="","",R68)</f>
        <v>2.0573062048355135</v>
      </c>
      <c r="Y68" s="630">
        <f t="shared" si="223"/>
        <v>-0.21360064421954308</v>
      </c>
      <c r="Z68" s="632">
        <f t="shared" si="243"/>
        <v>-0.54097536073219565</v>
      </c>
      <c r="AA68" s="629">
        <f t="shared" si="244"/>
        <v>0.80302283619345594</v>
      </c>
      <c r="AB68" s="629">
        <f t="shared" si="245"/>
        <v>-0.24999996726497559</v>
      </c>
      <c r="AC68" s="636">
        <f>IF(M68="","",SQRT(Z68^2+AA68^2+AB68^2))</f>
        <v>1</v>
      </c>
      <c r="AD68" s="637">
        <f>IF(M68="","",Z68*(1/SQRT(Z68^2+AA68^2+AB68^2)))</f>
        <v>-0.54097536073219565</v>
      </c>
      <c r="AE68" s="629">
        <f>IF(M68="","",AA68*(1/SQRT(Z68^2+AA68^2+AB68^2)))</f>
        <v>0.80302283619345594</v>
      </c>
      <c r="AF68" s="633">
        <f>IF(M68="","",AB68*(1/SQRT(Z68^2+AA68^2+AB68^2)))</f>
        <v>-0.24999996726497559</v>
      </c>
      <c r="AG68" s="602">
        <f>IF(M68="","",DEGREES(ATAN2(-AF68,AE68)))</f>
        <v>72.707401525173722</v>
      </c>
      <c r="AH68" s="603">
        <f>IF(M68="","",DEGREES(ACOS(AD68)))</f>
        <v>122.7500605879534</v>
      </c>
      <c r="AI68" s="585">
        <f>IF(M68="","",DEGREES(-ACOS(-AF68)))</f>
        <v>-75.522489751159469</v>
      </c>
      <c r="AJ68" s="586">
        <f>IF(M68="","",DEGREES(ATAN2(-AE68,AD68)))</f>
        <v>-146.03288768076726</v>
      </c>
      <c r="AK68" s="635">
        <f>IF(M68="","",(COS(RADIANS((90-$Q$8)-W68))*AD68)+(-SIN(RADIANS((90-$Q$8)-W68))*AE68))</f>
        <v>0.96592583607220739</v>
      </c>
      <c r="AL68" s="629">
        <f>IF(M68="","",(SIN(RADIANS((90-$Q$8)-W68))*AD68)+(COS(RADIANS((90-$Q$8)-W68))*AE68))</f>
        <v>6.6987279208207462E-2</v>
      </c>
      <c r="AM68" s="634">
        <f>IF(M68="","",AF68)</f>
        <v>-0.24999996726497559</v>
      </c>
      <c r="AN68" s="581">
        <f>IF(M68="","",DEGREES(ATAN2(-AM68,AL68)))</f>
        <v>14.999997834268328</v>
      </c>
      <c r="AO68" s="582">
        <f t="shared" si="461"/>
        <v>14.999997834268255</v>
      </c>
      <c r="AP68" s="585">
        <f>IF(M68="","",DEGREES(ATAN2(AK68,AL68)))</f>
        <v>3.9671296450865872</v>
      </c>
      <c r="AQ68" s="586">
        <f t="shared" si="246"/>
        <v>1.1079743264266424</v>
      </c>
      <c r="AS68" s="52">
        <f t="shared" si="406"/>
        <v>-240.00001732585386</v>
      </c>
      <c r="AT68" s="72">
        <f t="shared" si="247"/>
        <v>-4.6933965521033461E-2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7.1079999999999997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-2.4175176279626189</v>
      </c>
      <c r="C69" s="708">
        <v>-1.3957534785538801</v>
      </c>
      <c r="D69" s="709">
        <v>-6.3000190008572959E-2</v>
      </c>
      <c r="E69" s="710">
        <v>0.49469344745024113</v>
      </c>
      <c r="F69" s="708">
        <v>-0.82974369262495895</v>
      </c>
      <c r="G69" s="711">
        <v>0.25846430623761785</v>
      </c>
      <c r="H69" s="710">
        <v>0.314</v>
      </c>
      <c r="I69" s="708">
        <v>0.52</v>
      </c>
      <c r="J69" s="570">
        <v>7.1130000000000004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7.1130000000000004</v>
      </c>
      <c r="N69" s="632">
        <f t="shared" si="240"/>
        <v>-2.4175176279626189</v>
      </c>
      <c r="O69" s="629">
        <f t="shared" si="241"/>
        <v>-1.3957534785538801</v>
      </c>
      <c r="P69" s="633">
        <f t="shared" si="242"/>
        <v>-6.3000190008572959E-2</v>
      </c>
      <c r="Q69" s="585">
        <f t="shared" si="113"/>
        <v>209.99998267414614</v>
      </c>
      <c r="R69" s="629">
        <f t="shared" si="79"/>
        <v>2.7915084191893933</v>
      </c>
      <c r="S69" s="634">
        <f t="shared" si="80"/>
        <v>-6.3000190008572959E-2</v>
      </c>
      <c r="T69" s="635">
        <f t="shared" si="81"/>
        <v>-1.3957534785538794</v>
      </c>
      <c r="U69" s="629">
        <f t="shared" si="82"/>
        <v>2.4175176279626194</v>
      </c>
      <c r="V69" s="636">
        <f t="shared" si="114"/>
        <v>-6.3000190008572959E-2</v>
      </c>
      <c r="W69" s="585">
        <f t="shared" si="224"/>
        <v>119.99998267414614</v>
      </c>
      <c r="X69" s="629">
        <f t="shared" si="83"/>
        <v>2.7915084191893933</v>
      </c>
      <c r="Y69" s="630">
        <f t="shared" si="223"/>
        <v>-6.3000190008572959E-2</v>
      </c>
      <c r="Z69" s="632">
        <f t="shared" si="243"/>
        <v>-0.49469344745024113</v>
      </c>
      <c r="AA69" s="629">
        <f t="shared" si="244"/>
        <v>0.82974369262495895</v>
      </c>
      <c r="AB69" s="629">
        <f t="shared" si="245"/>
        <v>-0.25846430623761785</v>
      </c>
      <c r="AC69" s="636">
        <f t="shared" si="84"/>
        <v>1</v>
      </c>
      <c r="AD69" s="637">
        <f t="shared" si="115"/>
        <v>-0.49469344745024113</v>
      </c>
      <c r="AE69" s="629">
        <f t="shared" si="85"/>
        <v>0.82974369262495895</v>
      </c>
      <c r="AF69" s="633">
        <f t="shared" si="86"/>
        <v>-0.25846430623761785</v>
      </c>
      <c r="AG69" s="602">
        <f t="shared" si="87"/>
        <v>72.698242260223793</v>
      </c>
      <c r="AH69" s="603">
        <f t="shared" si="88"/>
        <v>119.64953794827784</v>
      </c>
      <c r="AI69" s="585">
        <f t="shared" si="89"/>
        <v>-75.021040994812239</v>
      </c>
      <c r="AJ69" s="586">
        <f t="shared" si="90"/>
        <v>-149.19658989780646</v>
      </c>
      <c r="AK69" s="635">
        <f t="shared" si="211"/>
        <v>0.96592583607220739</v>
      </c>
      <c r="AL69" s="629">
        <f t="shared" si="91"/>
        <v>1.3545538354532483E-2</v>
      </c>
      <c r="AM69" s="634">
        <f t="shared" si="92"/>
        <v>-0.25846430623761785</v>
      </c>
      <c r="AN69" s="581">
        <f t="shared" si="93"/>
        <v>2.9999995668536275</v>
      </c>
      <c r="AO69" s="582">
        <f t="shared" si="461"/>
        <v>14.999997834268255</v>
      </c>
      <c r="AP69" s="585">
        <f t="shared" si="95"/>
        <v>0.80342742804737854</v>
      </c>
      <c r="AQ69" s="586">
        <f t="shared" si="246"/>
        <v>0.81660948988039028</v>
      </c>
      <c r="AS69" s="52">
        <f t="shared" si="406"/>
        <v>-240.00001732585386</v>
      </c>
      <c r="AT69" s="72">
        <f t="shared" si="247"/>
        <v>0.10366648868993666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7.1130000000000004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-3.1225912114124523</v>
      </c>
      <c r="C70" s="708">
        <v>-1.7812377971916704</v>
      </c>
      <c r="D70" s="709">
        <v>-0.17220051935676653</v>
      </c>
      <c r="E70" s="710">
        <v>0.40079344490614516</v>
      </c>
      <c r="F70" s="708">
        <v>-0.88340376348051952</v>
      </c>
      <c r="G70" s="711">
        <v>0.24282175600369746</v>
      </c>
      <c r="H70" s="710">
        <v>0.314</v>
      </c>
      <c r="I70" s="708">
        <v>0.52</v>
      </c>
      <c r="J70" s="570">
        <v>7.12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7.12</v>
      </c>
      <c r="N70" s="632">
        <f t="shared" si="240"/>
        <v>-3.1225912114124523</v>
      </c>
      <c r="O70" s="629">
        <f t="shared" si="241"/>
        <v>-1.7812377971916704</v>
      </c>
      <c r="P70" s="633">
        <f t="shared" si="242"/>
        <v>-0.17220051935676653</v>
      </c>
      <c r="Q70" s="585">
        <f t="shared" si="113"/>
        <v>209.701982717172</v>
      </c>
      <c r="R70" s="629">
        <f t="shared" si="79"/>
        <v>3.5949108422511009</v>
      </c>
      <c r="S70" s="634">
        <f t="shared" si="80"/>
        <v>-0.17220051935676653</v>
      </c>
      <c r="T70" s="635">
        <f t="shared" si="81"/>
        <v>-1.7812377971916709</v>
      </c>
      <c r="U70" s="629">
        <f t="shared" si="82"/>
        <v>3.1225912114124519</v>
      </c>
      <c r="V70" s="636">
        <f t="shared" si="114"/>
        <v>-0.17220051935676653</v>
      </c>
      <c r="W70" s="585">
        <f t="shared" si="224"/>
        <v>119.701982717172</v>
      </c>
      <c r="X70" s="629">
        <f t="shared" si="83"/>
        <v>3.5949108422511009</v>
      </c>
      <c r="Y70" s="630">
        <f t="shared" si="223"/>
        <v>-0.17220051935676653</v>
      </c>
      <c r="Z70" s="632">
        <f t="shared" si="243"/>
        <v>-0.40079344490614516</v>
      </c>
      <c r="AA70" s="629">
        <f t="shared" si="244"/>
        <v>0.88340376348051952</v>
      </c>
      <c r="AB70" s="629">
        <f t="shared" si="245"/>
        <v>-0.24282175600369746</v>
      </c>
      <c r="AC70" s="636">
        <f t="shared" si="84"/>
        <v>1</v>
      </c>
      <c r="AD70" s="637">
        <f t="shared" si="115"/>
        <v>-0.40079344490614516</v>
      </c>
      <c r="AE70" s="629">
        <f t="shared" si="85"/>
        <v>0.88340376348051952</v>
      </c>
      <c r="AF70" s="633">
        <f t="shared" si="86"/>
        <v>-0.24282175600369746</v>
      </c>
      <c r="AG70" s="602">
        <f t="shared" si="87"/>
        <v>74.630639764914065</v>
      </c>
      <c r="AH70" s="603">
        <f t="shared" si="88"/>
        <v>113.62778992452454</v>
      </c>
      <c r="AI70" s="585">
        <f t="shared" si="89"/>
        <v>-75.94685726057358</v>
      </c>
      <c r="AJ70" s="586">
        <f t="shared" si="90"/>
        <v>-155.59657233173823</v>
      </c>
      <c r="AK70" s="635">
        <f t="shared" si="211"/>
        <v>0.96592583607220739</v>
      </c>
      <c r="AL70" s="629">
        <f t="shared" si="91"/>
        <v>-8.9581661178435634E-2</v>
      </c>
      <c r="AM70" s="634">
        <f t="shared" si="92"/>
        <v>-0.24282175600369746</v>
      </c>
      <c r="AN70" s="581">
        <f t="shared" si="93"/>
        <v>-20.24999707626213</v>
      </c>
      <c r="AO70" s="582">
        <f t="shared" si="461"/>
        <v>14.999997834268255</v>
      </c>
      <c r="AP70" s="585">
        <f t="shared" si="95"/>
        <v>-5.2985550489102478</v>
      </c>
      <c r="AQ70" s="586">
        <f t="shared" si="246"/>
        <v>0.6341279793260497</v>
      </c>
      <c r="AS70" s="52">
        <f t="shared" si="406"/>
        <v>-240.298017282828</v>
      </c>
      <c r="AT70" s="72">
        <f t="shared" si="247"/>
        <v>-5.3268962436915368E-3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7.12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-3.7315518403156793</v>
      </c>
      <c r="C71" s="708">
        <v>-2.0676653146909616</v>
      </c>
      <c r="D71" s="709">
        <v>-0.54670164885217321</v>
      </c>
      <c r="E71" s="710">
        <v>0.30931543871079492</v>
      </c>
      <c r="F71" s="708">
        <v>-0.92757391048503313</v>
      </c>
      <c r="G71" s="711">
        <v>0.20959627850382317</v>
      </c>
      <c r="H71" s="710">
        <v>0.314</v>
      </c>
      <c r="I71" s="708">
        <v>0.52</v>
      </c>
      <c r="J71" s="570">
        <v>7.1289999999999996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7.1289999999999996</v>
      </c>
      <c r="N71" s="632">
        <f t="shared" si="240"/>
        <v>-3.7315518403156793</v>
      </c>
      <c r="O71" s="629">
        <f t="shared" si="241"/>
        <v>-2.0676653146909616</v>
      </c>
      <c r="P71" s="633">
        <f t="shared" si="242"/>
        <v>-0.54670164885217321</v>
      </c>
      <c r="Q71" s="585">
        <f t="shared" si="113"/>
        <v>208.99098281982771</v>
      </c>
      <c r="R71" s="629">
        <f t="shared" si="79"/>
        <v>4.2661128665964059</v>
      </c>
      <c r="S71" s="634">
        <f t="shared" si="80"/>
        <v>-0.54670164885217321</v>
      </c>
      <c r="T71" s="635">
        <f t="shared" si="81"/>
        <v>-2.067665314690962</v>
      </c>
      <c r="U71" s="629">
        <f t="shared" si="82"/>
        <v>3.7315518403156789</v>
      </c>
      <c r="V71" s="636">
        <f t="shared" si="114"/>
        <v>-0.54670164885217321</v>
      </c>
      <c r="W71" s="585">
        <f t="shared" si="224"/>
        <v>118.99098281982771</v>
      </c>
      <c r="X71" s="629">
        <f t="shared" si="83"/>
        <v>4.2661128665964059</v>
      </c>
      <c r="Y71" s="630">
        <f t="shared" si="223"/>
        <v>-0.54670164885217321</v>
      </c>
      <c r="Z71" s="632">
        <f t="shared" si="243"/>
        <v>-0.30931543871079492</v>
      </c>
      <c r="AA71" s="629">
        <f t="shared" si="244"/>
        <v>0.92757391048503313</v>
      </c>
      <c r="AB71" s="629">
        <f t="shared" si="245"/>
        <v>-0.20959627850382317</v>
      </c>
      <c r="AC71" s="636">
        <f t="shared" si="84"/>
        <v>1</v>
      </c>
      <c r="AD71" s="637">
        <f t="shared" si="115"/>
        <v>-0.30931543871079492</v>
      </c>
      <c r="AE71" s="629">
        <f t="shared" si="85"/>
        <v>0.92757391048503313</v>
      </c>
      <c r="AF71" s="633">
        <f t="shared" si="86"/>
        <v>-0.20959627850382317</v>
      </c>
      <c r="AG71" s="602">
        <f t="shared" si="87"/>
        <v>77.267175138154514</v>
      </c>
      <c r="AH71" s="603">
        <f t="shared" si="88"/>
        <v>108.01798050135231</v>
      </c>
      <c r="AI71" s="585">
        <f t="shared" si="89"/>
        <v>-77.901305809817416</v>
      </c>
      <c r="AJ71" s="586">
        <f t="shared" si="90"/>
        <v>-161.55815046063034</v>
      </c>
      <c r="AK71" s="635">
        <f t="shared" si="211"/>
        <v>0.96126170705176617</v>
      </c>
      <c r="AL71" s="629">
        <f t="shared" si="91"/>
        <v>-0.17901209622054093</v>
      </c>
      <c r="AM71" s="634">
        <f t="shared" si="92"/>
        <v>-0.20959627850382317</v>
      </c>
      <c r="AN71" s="581">
        <f t="shared" si="93"/>
        <v>-40.499994152524344</v>
      </c>
      <c r="AO71" s="582">
        <f t="shared" si="461"/>
        <v>15.99999768988615</v>
      </c>
      <c r="AP71" s="585">
        <f t="shared" si="95"/>
        <v>-10.549133280458037</v>
      </c>
      <c r="AQ71" s="586">
        <f t="shared" si="246"/>
        <v>0.53436479631589551</v>
      </c>
      <c r="AS71" s="52">
        <f t="shared" si="406"/>
        <v>-241.00901718017229</v>
      </c>
      <c r="AT71" s="72">
        <f t="shared" si="247"/>
        <v>-0.37933427581038692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7.1289999999999996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-4.1910646563643175</v>
      </c>
      <c r="C72" s="708">
        <v>-2.2571259975731461</v>
      </c>
      <c r="D72" s="709">
        <v>-1.135503424678328</v>
      </c>
      <c r="E72" s="710">
        <v>0.21357781751202923</v>
      </c>
      <c r="F72" s="708">
        <v>-0.96518694818295048</v>
      </c>
      <c r="G72" s="711">
        <v>0.15099228763112682</v>
      </c>
      <c r="H72" s="710">
        <v>0.314</v>
      </c>
      <c r="I72" s="708">
        <v>0.52</v>
      </c>
      <c r="J72" s="570">
        <v>7.1379999999999999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7.1379999999999999</v>
      </c>
      <c r="N72" s="632">
        <f t="shared" si="240"/>
        <v>-4.1910646563643175</v>
      </c>
      <c r="O72" s="629">
        <f t="shared" si="241"/>
        <v>-2.2571259975731461</v>
      </c>
      <c r="P72" s="633">
        <f t="shared" si="242"/>
        <v>-1.135503424678328</v>
      </c>
      <c r="Q72" s="585">
        <f t="shared" si="113"/>
        <v>208.30498291887383</v>
      </c>
      <c r="R72" s="629">
        <f t="shared" si="79"/>
        <v>4.7602143568065003</v>
      </c>
      <c r="S72" s="634">
        <f t="shared" si="80"/>
        <v>-1.135503424678328</v>
      </c>
      <c r="T72" s="635">
        <f t="shared" si="81"/>
        <v>-2.2571259975731461</v>
      </c>
      <c r="U72" s="629">
        <f t="shared" si="82"/>
        <v>4.1910646563643175</v>
      </c>
      <c r="V72" s="636">
        <f t="shared" si="114"/>
        <v>-1.135503424678328</v>
      </c>
      <c r="W72" s="585">
        <f t="shared" si="224"/>
        <v>118.30498291887383</v>
      </c>
      <c r="X72" s="629">
        <f t="shared" si="83"/>
        <v>4.7602143568065003</v>
      </c>
      <c r="Y72" s="630">
        <f t="shared" si="223"/>
        <v>-1.135503424678328</v>
      </c>
      <c r="Z72" s="632">
        <f t="shared" si="243"/>
        <v>-0.21357781751202923</v>
      </c>
      <c r="AA72" s="629">
        <f t="shared" si="244"/>
        <v>0.96518694818295048</v>
      </c>
      <c r="AB72" s="629">
        <f t="shared" si="245"/>
        <v>-0.15099228763112682</v>
      </c>
      <c r="AC72" s="636">
        <f t="shared" si="84"/>
        <v>1</v>
      </c>
      <c r="AD72" s="637">
        <f t="shared" si="115"/>
        <v>-0.21357781751202923</v>
      </c>
      <c r="AE72" s="629">
        <f t="shared" si="85"/>
        <v>0.96518694818295048</v>
      </c>
      <c r="AF72" s="633">
        <f t="shared" si="86"/>
        <v>-0.15099228763112682</v>
      </c>
      <c r="AG72" s="602">
        <f t="shared" si="87"/>
        <v>81.108804710361056</v>
      </c>
      <c r="AH72" s="603">
        <f t="shared" si="88"/>
        <v>102.33210435420085</v>
      </c>
      <c r="AI72" s="585">
        <f t="shared" si="89"/>
        <v>-81.315564553490205</v>
      </c>
      <c r="AJ72" s="586">
        <f t="shared" si="90"/>
        <v>-167.52257669556127</v>
      </c>
      <c r="AK72" s="635">
        <f t="shared" si="211"/>
        <v>0.95105653031184811</v>
      </c>
      <c r="AL72" s="629">
        <f t="shared" si="91"/>
        <v>-0.26961603295632836</v>
      </c>
      <c r="AM72" s="634">
        <f t="shared" si="92"/>
        <v>-0.15099228763112682</v>
      </c>
      <c r="AN72" s="581">
        <f t="shared" si="93"/>
        <v>-60.749991228786527</v>
      </c>
      <c r="AO72" s="582">
        <f t="shared" si="461"/>
        <v>17.999997401121902</v>
      </c>
      <c r="AP72" s="585">
        <f t="shared" si="95"/>
        <v>-15.827559614435087</v>
      </c>
      <c r="AQ72" s="586">
        <f t="shared" si="246"/>
        <v>0.47890144672916857</v>
      </c>
      <c r="AS72" s="52">
        <f t="shared" si="406"/>
        <v>-241.69501708112617</v>
      </c>
      <c r="AT72" s="72">
        <f t="shared" si="247"/>
        <v>-0.96765966281643478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7.1379999999999999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-4.4292750750031562</v>
      </c>
      <c r="C73" s="708">
        <v>-2.346663613640418</v>
      </c>
      <c r="D73" s="709">
        <v>-1.8615056143009325</v>
      </c>
      <c r="E73" s="710">
        <v>3.8185702860878148E-2</v>
      </c>
      <c r="F73" s="708">
        <v>-0.99691480310981861</v>
      </c>
      <c r="G73" s="711">
        <v>6.8576435001627134E-2</v>
      </c>
      <c r="H73" s="710">
        <v>0.314</v>
      </c>
      <c r="I73" s="708">
        <v>0.52</v>
      </c>
      <c r="J73" s="570">
        <v>7.1470000000000002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7.1470000000000002</v>
      </c>
      <c r="N73" s="632">
        <f t="shared" ref="N73:N104" si="465">IF(M73="","",B73)</f>
        <v>-4.4292750750031562</v>
      </c>
      <c r="O73" s="629">
        <f t="shared" ref="O73:O104" si="466">IF(M73="","",C73)</f>
        <v>-2.346663613640418</v>
      </c>
      <c r="P73" s="633">
        <f t="shared" ref="P73:P104" si="467">IF(M73="","",D73)</f>
        <v>-1.8615056143009325</v>
      </c>
      <c r="Q73" s="585">
        <f t="shared" si="113"/>
        <v>207.91498297518285</v>
      </c>
      <c r="R73" s="629">
        <f>IF(M73="","",SQRT(N73^2+O73^2))</f>
        <v>5.0125151177455933</v>
      </c>
      <c r="S73" s="634">
        <f>IF(M73="","",P73)</f>
        <v>-1.8615056143009325</v>
      </c>
      <c r="T73" s="635">
        <f>IF(M73="","",X73*COS(RADIANS(W73)))</f>
        <v>-2.3466636136404175</v>
      </c>
      <c r="U73" s="629">
        <f>IF(M73="","",X73*SIN(RADIANS(W73)))</f>
        <v>4.4292750750031562</v>
      </c>
      <c r="V73" s="636">
        <f>IF(M73="","",Y73)</f>
        <v>-1.8615056143009325</v>
      </c>
      <c r="W73" s="585">
        <f t="shared" si="224"/>
        <v>117.91498297518285</v>
      </c>
      <c r="X73" s="629">
        <f>IF(M73="","",R73)</f>
        <v>5.0125151177455933</v>
      </c>
      <c r="Y73" s="630">
        <f t="shared" si="223"/>
        <v>-1.8615056143009325</v>
      </c>
      <c r="Z73" s="632">
        <f t="shared" ref="Z73:Z104" si="468">IF(M73="","",-E73)</f>
        <v>-3.8185702860878148E-2</v>
      </c>
      <c r="AA73" s="629">
        <f t="shared" ref="AA73:AA104" si="469">IF(M73="","",-F73)</f>
        <v>0.99691480310981861</v>
      </c>
      <c r="AB73" s="629">
        <f t="shared" ref="AB73:AB104" si="470">IF(M73="","",-G73)</f>
        <v>-6.8576435001627134E-2</v>
      </c>
      <c r="AC73" s="636">
        <f>IF(M73="","",SQRT(Z73^2+AA73^2+AB73^2))</f>
        <v>1</v>
      </c>
      <c r="AD73" s="637">
        <f>IF(M73="","",Z73*(1/SQRT(Z73^2+AA73^2+AB73^2)))</f>
        <v>-3.8185702860878148E-2</v>
      </c>
      <c r="AE73" s="629">
        <f>IF(M73="","",AA73*(1/SQRT(Z73^2+AA73^2+AB73^2)))</f>
        <v>0.99691480310981861</v>
      </c>
      <c r="AF73" s="633">
        <f>IF(M73="","",AB73*(1/SQRT(Z73^2+AA73^2+AB73^2)))</f>
        <v>-6.8576435001627134E-2</v>
      </c>
      <c r="AG73" s="602">
        <f>IF(M73="","",DEGREES(ATAN2(-AF73,AE73)))</f>
        <v>86.064899009785563</v>
      </c>
      <c r="AH73" s="603">
        <f>IF(M73="","",DEGREES(ACOS(AD73)))</f>
        <v>92.188411669539477</v>
      </c>
      <c r="AI73" s="585">
        <f>IF(M73="","",DEGREES(-ACOS(-AF73)))</f>
        <v>-86.0677735522425</v>
      </c>
      <c r="AJ73" s="586">
        <f>IF(M73="","",DEGREES(ATAN2(-AE73,AD73)))</f>
        <v>-177.80642183639722</v>
      </c>
      <c r="AK73" s="635">
        <f>IF(M73="","",(COS(RADIANS((90-$Q$8)-W73))*AD73)+(-SIN(RADIANS((90-$Q$8)-W73))*AE73))</f>
        <v>0.89879407502059638</v>
      </c>
      <c r="AL73" s="629">
        <f>IF(M73="","",(SIN(RADIANS((90-$Q$8)-W73))*AD73)+(COS(RADIANS((90-$Q$8)-W73))*AE73))</f>
        <v>-0.43297399837673656</v>
      </c>
      <c r="AM73" s="634">
        <f>IF(M73="","",AF73)</f>
        <v>-6.8576435001627134E-2</v>
      </c>
      <c r="AN73" s="581">
        <f>IF(M73="","",DEGREES(ATAN2(-AM73,AL73)))</f>
        <v>-80.999988305048674</v>
      </c>
      <c r="AO73" s="582">
        <f t="shared" si="461"/>
        <v>25.999996246064981</v>
      </c>
      <c r="AP73" s="585">
        <f>IF(M73="","",DEGREES(ATAN2(AK73,AL73)))</f>
        <v>-25.721404811580062</v>
      </c>
      <c r="AQ73" s="586">
        <f t="shared" ref="AQ73:AQ104" si="471">IF(M73="","",DEGREES(ATAN(($AS$5*SIN(RADIANS(90)))/(($X73*2*PI())-($AS$5*COS(RADIANS(90)))))))</f>
        <v>0.45479738183706719</v>
      </c>
      <c r="AS73" s="52">
        <f t="shared" si="406"/>
        <v>-242.08501702481715</v>
      </c>
      <c r="AT73" s="72">
        <f t="shared" ref="AT73:AT104" si="472">IF(M73="","",Y73+(((AS73-$AS$9)*$AS$6)*-1))</f>
        <v>-1.6933910191448094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7.1470000000000002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-4.4527463968438665</v>
      </c>
      <c r="C74" s="708">
        <v>-2.3551191940829006</v>
      </c>
      <c r="D74" s="709">
        <v>-2.6399079619624133</v>
      </c>
      <c r="E74" s="710">
        <v>-3.7079965761723288E-2</v>
      </c>
      <c r="F74" s="708">
        <v>-0.99931230160500706</v>
      </c>
      <c r="G74" s="711">
        <v>1.1339743354271742E-7</v>
      </c>
      <c r="H74" s="710">
        <v>0.314</v>
      </c>
      <c r="I74" s="708">
        <v>0.52</v>
      </c>
      <c r="J74" s="570">
        <v>7.1559999999999997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7.1559999999999997</v>
      </c>
      <c r="N74" s="632">
        <f t="shared" si="465"/>
        <v>-4.4527463968438665</v>
      </c>
      <c r="O74" s="629">
        <f t="shared" si="466"/>
        <v>-2.3551191940829006</v>
      </c>
      <c r="P74" s="633">
        <f t="shared" si="467"/>
        <v>-2.6399079619624133</v>
      </c>
      <c r="Q74" s="585">
        <f t="shared" ref="Q74:Q129" si="520">IF(M74="","",IF(DEGREES(ATAN2(N74,O74))&lt;0,DEGREES(ATAN2(N74,O74))+360,IF(DEGREES(ATAN2(N74,O74))&gt;360,DEGREES(ATAN2(N74,O74))-360,DEGREES(ATAN2(N74,O74)))))</f>
        <v>207.87498298095812</v>
      </c>
      <c r="R74" s="629">
        <f>IF(M74="","",SQRT(N74^2+O74^2))</f>
        <v>5.0372151922410193</v>
      </c>
      <c r="S74" s="634">
        <f>IF(M74="","",P74)</f>
        <v>-2.6399079619624133</v>
      </c>
      <c r="T74" s="635">
        <f>IF(M74="","",X74*COS(RADIANS(W74)))</f>
        <v>-2.3551191940829006</v>
      </c>
      <c r="U74" s="629">
        <f>IF(M74="","",X74*SIN(RADIANS(W74)))</f>
        <v>4.4527463968438665</v>
      </c>
      <c r="V74" s="636">
        <f>IF(M74="","",Y74)</f>
        <v>-2.6399079619624133</v>
      </c>
      <c r="W74" s="585">
        <f t="shared" si="224"/>
        <v>117.87498298095812</v>
      </c>
      <c r="X74" s="629">
        <f>IF(M74="","",R74)</f>
        <v>5.0372151922410193</v>
      </c>
      <c r="Y74" s="630">
        <f t="shared" si="223"/>
        <v>-2.6399079619624133</v>
      </c>
      <c r="Z74" s="632">
        <f t="shared" si="468"/>
        <v>3.7079965761723288E-2</v>
      </c>
      <c r="AA74" s="629">
        <f t="shared" si="469"/>
        <v>0.99931230160500706</v>
      </c>
      <c r="AB74" s="629">
        <f t="shared" si="470"/>
        <v>-1.1339743354271742E-7</v>
      </c>
      <c r="AC74" s="636">
        <f>IF(M74="","",SQRT(Z74^2+AA74^2+AB74^2))</f>
        <v>1</v>
      </c>
      <c r="AD74" s="637">
        <f>IF(M74="","",Z74*(1/SQRT(Z74^2+AA74^2+AB74^2)))</f>
        <v>3.7079965761723288E-2</v>
      </c>
      <c r="AE74" s="629">
        <f>IF(M74="","",AA74*(1/SQRT(Z74^2+AA74^2+AB74^2)))</f>
        <v>0.99931230160500706</v>
      </c>
      <c r="AF74" s="633">
        <f>IF(M74="","",AB74*(1/SQRT(Z74^2+AA74^2+AB74^2)))</f>
        <v>-1.1339743354271742E-7</v>
      </c>
      <c r="AG74" s="602">
        <f>IF(M74="","",DEGREES(ATAN2(-AF74,AE74)))</f>
        <v>89.999993498334476</v>
      </c>
      <c r="AH74" s="603">
        <f>IF(M74="","",DEGREES(ACOS(AD74)))</f>
        <v>87.874987312422249</v>
      </c>
      <c r="AI74" s="585">
        <f>IF(M74="","",DEGREES(-ACOS(-AF74)))</f>
        <v>-89.999993502805651</v>
      </c>
      <c r="AJ74" s="586">
        <f>IF(M74="","",DEGREES(ATAN2(-AE74,AD74)))</f>
        <v>177.87498731242223</v>
      </c>
      <c r="AK74" s="635">
        <f>IF(M74="","",(COS(RADIANS((90-$Q$8)-W74))*AD74)+(-SIN(RADIANS((90-$Q$8)-W74))*AE74))</f>
        <v>0.86602544158358574</v>
      </c>
      <c r="AL74" s="629">
        <f>IF(M74="","",(SIN(RADIANS((90-$Q$8)-W74))*AD74)+(COS(RADIANS((90-$Q$8)-W74))*AE74))</f>
        <v>-0.49999993452993824</v>
      </c>
      <c r="AM74" s="634">
        <f>IF(M74="","",AF74)</f>
        <v>-1.1339743354271742E-7</v>
      </c>
      <c r="AN74" s="581">
        <f>IF(M74="","",DEGREES(ATAN2(-AM74,AL74)))</f>
        <v>-89.999987005609611</v>
      </c>
      <c r="AO74" s="582">
        <f t="shared" si="461"/>
        <v>29.99999566853651</v>
      </c>
      <c r="AP74" s="585">
        <f>IF(M74="","",DEGREES(ATAN2(AK74,AL74)))</f>
        <v>-29.999995668535888</v>
      </c>
      <c r="AQ74" s="586">
        <f t="shared" si="471"/>
        <v>0.45256736775367351</v>
      </c>
      <c r="AS74" s="52">
        <f t="shared" si="406"/>
        <v>-242.12501701904188</v>
      </c>
      <c r="AT74" s="72">
        <f t="shared" si="472"/>
        <v>-2.4717655890325232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7.1559999999999997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-4.4964335212095943</v>
      </c>
      <c r="C75" s="708">
        <v>-2.3708993421119238</v>
      </c>
      <c r="D75" s="709">
        <v>-3.4071102758445924</v>
      </c>
      <c r="E75" s="710">
        <v>-0.12529880916368752</v>
      </c>
      <c r="F75" s="708">
        <v>-0.99211904952084506</v>
      </c>
      <c r="G75" s="711">
        <v>1.3008419219684214E-7</v>
      </c>
      <c r="H75" s="710">
        <v>0.314</v>
      </c>
      <c r="I75" s="708">
        <v>0.52</v>
      </c>
      <c r="J75" s="570">
        <v>7.165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7.165</v>
      </c>
      <c r="N75" s="632">
        <f t="shared" si="465"/>
        <v>-4.4964335212095943</v>
      </c>
      <c r="O75" s="629">
        <f t="shared" si="466"/>
        <v>-2.3708993421119238</v>
      </c>
      <c r="P75" s="633">
        <f t="shared" si="467"/>
        <v>-3.4071102758445924</v>
      </c>
      <c r="Q75" s="585">
        <f t="shared" si="520"/>
        <v>207.80198299149802</v>
      </c>
      <c r="R75" s="629">
        <f>IF(M75="","",SQRT(N75^2+O75^2))</f>
        <v>5.0832153309774375</v>
      </c>
      <c r="S75" s="634">
        <f>IF(M75="","",P75)</f>
        <v>-3.4071102758445924</v>
      </c>
      <c r="T75" s="635">
        <f>IF(M75="","",X75*COS(RADIANS(W75)))</f>
        <v>-2.3708993421119229</v>
      </c>
      <c r="U75" s="629">
        <f>IF(M75="","",X75*SIN(RADIANS(W75)))</f>
        <v>4.4964335212095943</v>
      </c>
      <c r="V75" s="636">
        <f>IF(M75="","",Y75)</f>
        <v>-3.4071102758445924</v>
      </c>
      <c r="W75" s="585">
        <f t="shared" si="224"/>
        <v>117.80198299149802</v>
      </c>
      <c r="X75" s="629">
        <f>IF(M75="","",R75)</f>
        <v>5.0832153309774375</v>
      </c>
      <c r="Y75" s="630">
        <f t="shared" si="223"/>
        <v>-3.4071102758445924</v>
      </c>
      <c r="Z75" s="632">
        <f t="shared" si="468"/>
        <v>0.12529880916368752</v>
      </c>
      <c r="AA75" s="629">
        <f t="shared" si="469"/>
        <v>0.99211904952084506</v>
      </c>
      <c r="AB75" s="629">
        <f t="shared" si="470"/>
        <v>-1.3008419219684214E-7</v>
      </c>
      <c r="AC75" s="636">
        <f>IF(M75="","",SQRT(Z75^2+AA75^2+AB75^2))</f>
        <v>1</v>
      </c>
      <c r="AD75" s="637">
        <f>IF(M75="","",Z75*(1/SQRT(Z75^2+AA75^2+AB75^2)))</f>
        <v>0.12529880916368752</v>
      </c>
      <c r="AE75" s="629">
        <f>IF(M75="","",AA75*(1/SQRT(Z75^2+AA75^2+AB75^2)))</f>
        <v>0.99211904952084506</v>
      </c>
      <c r="AF75" s="633">
        <f>IF(M75="","",AB75*(1/SQRT(Z75^2+AA75^2+AB75^2)))</f>
        <v>-1.3008419219684214E-7</v>
      </c>
      <c r="AG75" s="602">
        <f>IF(M75="","",DEGREES(ATAN2(-AF75,AE75)))</f>
        <v>89.999992487519322</v>
      </c>
      <c r="AH75" s="603">
        <f>IF(M75="","",DEGREES(ACOS(AD75)))</f>
        <v>82.801988044872814</v>
      </c>
      <c r="AI75" s="585">
        <f>IF(M75="","",DEGREES(-ACOS(-AF75)))</f>
        <v>-89.999992546724798</v>
      </c>
      <c r="AJ75" s="586">
        <f>IF(M75="","",DEGREES(ATAN2(-AE75,AD75)))</f>
        <v>172.80198804487276</v>
      </c>
      <c r="AK75" s="635">
        <f>IF(M75="","",(COS(RADIANS((90-$Q$8)-W75))*AD75)+(-SIN(RADIANS((90-$Q$8)-W75))*AE75))</f>
        <v>0.81915209487729201</v>
      </c>
      <c r="AL75" s="629">
        <f>IF(M75="","",(SIN(RADIANS((90-$Q$8)-W75))*AD75)+(COS(RADIANS((90-$Q$8)-W75))*AE75))</f>
        <v>-0.57357636410344459</v>
      </c>
      <c r="AM75" s="634">
        <f>IF(M75="","",AF75)</f>
        <v>-1.3008419219684214E-7</v>
      </c>
      <c r="AN75" s="581">
        <f>IF(M75="","",DEGREES(ATAN2(-AM75,AL75)))</f>
        <v>-89.999987005609611</v>
      </c>
      <c r="AO75" s="582">
        <f t="shared" si="461"/>
        <v>34.999994946625954</v>
      </c>
      <c r="AP75" s="585">
        <f>IF(M75="","",DEGREES(ATAN2(AK75,AL75)))</f>
        <v>-34.999994946625264</v>
      </c>
      <c r="AQ75" s="586">
        <f t="shared" si="471"/>
        <v>0.44847206464958778</v>
      </c>
      <c r="AS75" s="52">
        <f t="shared" ref="AS75:AS106" si="543">IF(G75="","",IF(AND(W75&lt;(AS74+180),W75&gt;(AS74-180)),W75,IF(W75&gt;(AS74+180),W75-360,IF(W75&lt;(AS74-180),W75+360,"Error"))))</f>
        <v>-242.19801700850198</v>
      </c>
      <c r="AT75" s="72">
        <f t="shared" si="472"/>
        <v>-3.2389172084775772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7.165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-2.0450260657824377</v>
      </c>
      <c r="C76" s="708">
        <v>-2.714150500187551E-2</v>
      </c>
      <c r="D76" s="709">
        <v>-0.19269999999999987</v>
      </c>
      <c r="E76" s="710">
        <v>0.2587962197835279</v>
      </c>
      <c r="F76" s="708">
        <v>3.4345063708085947E-3</v>
      </c>
      <c r="G76" s="711">
        <v>0.96592583607218252</v>
      </c>
      <c r="H76" s="710">
        <v>0.25700000000000001</v>
      </c>
      <c r="I76" s="708">
        <v>0.41499999999999992</v>
      </c>
      <c r="J76" s="570">
        <v>7.2080000000000002</v>
      </c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CPS-32193r1</v>
      </c>
      <c r="L76" s="320"/>
      <c r="M76" s="168">
        <f t="shared" si="464"/>
        <v>7.2080000000000002</v>
      </c>
      <c r="N76" s="632">
        <f t="shared" si="465"/>
        <v>-2.0450260657824377</v>
      </c>
      <c r="O76" s="629">
        <f t="shared" si="466"/>
        <v>-2.714150500187551E-2</v>
      </c>
      <c r="P76" s="633">
        <f t="shared" si="467"/>
        <v>-0.19269999999999987</v>
      </c>
      <c r="Q76" s="585">
        <f t="shared" si="520"/>
        <v>180.76038267414614</v>
      </c>
      <c r="R76" s="629">
        <f t="shared" si="79"/>
        <v>2.0452061683418039</v>
      </c>
      <c r="S76" s="634">
        <f t="shared" si="80"/>
        <v>-0.19269999999999987</v>
      </c>
      <c r="T76" s="635">
        <f t="shared" si="81"/>
        <v>-2.7141505001875729E-2</v>
      </c>
      <c r="U76" s="629">
        <f t="shared" si="82"/>
        <v>2.0450260657824377</v>
      </c>
      <c r="V76" s="636">
        <f t="shared" si="114"/>
        <v>-0.19269999999999987</v>
      </c>
      <c r="W76" s="585">
        <f t="shared" si="224"/>
        <v>90.760382674146143</v>
      </c>
      <c r="X76" s="629">
        <f t="shared" si="83"/>
        <v>2.0452061683418039</v>
      </c>
      <c r="Y76" s="630">
        <f t="shared" ref="Y76:Y129" si="644">IF(M76="","",S76)</f>
        <v>-0.19269999999999987</v>
      </c>
      <c r="Z76" s="632">
        <f t="shared" si="468"/>
        <v>-0.2587962197835279</v>
      </c>
      <c r="AA76" s="629">
        <f t="shared" si="469"/>
        <v>-3.4345063708085947E-3</v>
      </c>
      <c r="AB76" s="629">
        <f t="shared" si="470"/>
        <v>-0.96592583607218252</v>
      </c>
      <c r="AC76" s="636">
        <f t="shared" si="84"/>
        <v>1</v>
      </c>
      <c r="AD76" s="637">
        <f t="shared" si="115"/>
        <v>-0.2587962197835279</v>
      </c>
      <c r="AE76" s="629">
        <f t="shared" si="85"/>
        <v>-3.4345063708085947E-3</v>
      </c>
      <c r="AF76" s="633">
        <f t="shared" si="86"/>
        <v>-0.96592583607218252</v>
      </c>
      <c r="AG76" s="602">
        <f t="shared" si="87"/>
        <v>-0.20372360188015282</v>
      </c>
      <c r="AH76" s="603">
        <f t="shared" si="88"/>
        <v>104.99864607584914</v>
      </c>
      <c r="AI76" s="585">
        <f t="shared" si="89"/>
        <v>-14.999997834273763</v>
      </c>
      <c r="AJ76" s="586">
        <f t="shared" si="90"/>
        <v>-89.239667532330074</v>
      </c>
      <c r="AK76" s="635">
        <f t="shared" si="211"/>
        <v>2.2679489672643854E-7</v>
      </c>
      <c r="AL76" s="629">
        <f t="shared" si="91"/>
        <v>0.25881900859133933</v>
      </c>
      <c r="AM76" s="634">
        <f t="shared" si="92"/>
        <v>-0.96592583607218252</v>
      </c>
      <c r="AN76" s="581">
        <f t="shared" si="93"/>
        <v>14.999997834268271</v>
      </c>
      <c r="AO76" s="582">
        <f t="shared" si="461"/>
        <v>0</v>
      </c>
      <c r="AP76" s="585">
        <f t="shared" si="95"/>
        <v>89.999949793523797</v>
      </c>
      <c r="AQ76" s="586">
        <f t="shared" si="471"/>
        <v>1.1145277772625282</v>
      </c>
      <c r="AS76" s="52">
        <f t="shared" si="543"/>
        <v>-269.23961732585383</v>
      </c>
      <c r="AT76" s="72">
        <f t="shared" si="472"/>
        <v>-5.7280435237124783E-3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Nose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7.2080000000000002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7.1079999999999997</v>
      </c>
      <c r="II76" s="734" cm="1">
        <f t="array" ref="II76">IFERROR(IF($IH76&lt;1,$IH76+LARGE((IF($M$9:$M$150="",0,$M$9:$M$150)-MOD(IF($M$9:$M$150="",0,$M$9:$M$150),1)),1),$IH76),"")</f>
        <v>7.1079999999999997</v>
      </c>
      <c r="IJ76" s="533">
        <f t="shared" si="542"/>
        <v>1613</v>
      </c>
      <c r="IK76" s="533" t="str">
        <f t="shared" si="517"/>
        <v>CPS-32193r1</v>
      </c>
      <c r="IL76" s="727">
        <f t="shared" si="225"/>
        <v>29.239599999999996</v>
      </c>
      <c r="IM76" s="759">
        <v>2.2557044922845999E-2</v>
      </c>
      <c r="IN76" s="5">
        <f t="shared" si="226"/>
        <v>0.28000000000000003</v>
      </c>
      <c r="IO76" s="771">
        <v>140</v>
      </c>
      <c r="IP76" s="9">
        <f t="shared" si="227"/>
        <v>-2.0573062048355135</v>
      </c>
      <c r="IQ76" s="5">
        <f t="shared" si="228"/>
        <v>-0.21360064421954308</v>
      </c>
      <c r="IR76" s="5">
        <f t="shared" si="518"/>
        <v>0.314</v>
      </c>
      <c r="IS76" s="5">
        <f t="shared" si="229"/>
        <v>0.30330071252667312</v>
      </c>
      <c r="IT76" s="727">
        <f t="shared" si="230"/>
        <v>-14.999997834268328</v>
      </c>
      <c r="IU76" s="9">
        <f t="shared" si="231"/>
        <v>-2.0452061683418039</v>
      </c>
      <c r="IV76" s="5">
        <f t="shared" si="232"/>
        <v>-0.19269999999999987</v>
      </c>
      <c r="IW76" s="5">
        <f t="shared" si="519"/>
        <v>0.25700000000000001</v>
      </c>
      <c r="IX76" s="5">
        <f t="shared" si="233"/>
        <v>0.25700000000000001</v>
      </c>
      <c r="IY76" s="762">
        <f t="shared" si="234"/>
        <v>-14.999997834268271</v>
      </c>
    </row>
    <row r="77" spans="1:259" ht="15" customHeight="1" x14ac:dyDescent="0.25">
      <c r="A77" s="79"/>
      <c r="B77" s="707">
        <v>-2.7544087761631681</v>
      </c>
      <c r="C77" s="708">
        <v>-0.43795001318216897</v>
      </c>
      <c r="D77" s="709">
        <v>-3.3700000000000015E-2</v>
      </c>
      <c r="E77" s="710">
        <v>5.1686719592826565E-2</v>
      </c>
      <c r="F77" s="708">
        <v>8.2179403398785541E-3</v>
      </c>
      <c r="G77" s="711">
        <v>0.99862953515019914</v>
      </c>
      <c r="H77" s="710">
        <v>0.25700000000000001</v>
      </c>
      <c r="I77" s="708">
        <v>0.41499999999999992</v>
      </c>
      <c r="J77" s="570">
        <v>7.2130000000000001</v>
      </c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CPS-32193r1</v>
      </c>
      <c r="L77" s="320"/>
      <c r="M77" s="168">
        <f t="shared" si="464"/>
        <v>7.2130000000000001</v>
      </c>
      <c r="N77" s="632">
        <f t="shared" si="465"/>
        <v>-2.7544087761631681</v>
      </c>
      <c r="O77" s="629">
        <f t="shared" si="466"/>
        <v>-0.43795001318216897</v>
      </c>
      <c r="P77" s="633">
        <f t="shared" si="467"/>
        <v>-3.3700000000000015E-2</v>
      </c>
      <c r="Q77" s="585">
        <f t="shared" si="520"/>
        <v>189.03438267414614</v>
      </c>
      <c r="R77" s="629">
        <f t="shared" si="79"/>
        <v>2.7890084116493705</v>
      </c>
      <c r="S77" s="634">
        <f t="shared" si="80"/>
        <v>-3.3700000000000015E-2</v>
      </c>
      <c r="T77" s="635">
        <f t="shared" si="81"/>
        <v>-0.43795001318216897</v>
      </c>
      <c r="U77" s="629">
        <f t="shared" si="82"/>
        <v>2.7544087761631681</v>
      </c>
      <c r="V77" s="636">
        <f t="shared" si="114"/>
        <v>-3.3700000000000015E-2</v>
      </c>
      <c r="W77" s="585">
        <f t="shared" si="224"/>
        <v>99.034382674146144</v>
      </c>
      <c r="X77" s="629">
        <f t="shared" si="83"/>
        <v>2.7890084116493705</v>
      </c>
      <c r="Y77" s="630">
        <f t="shared" si="644"/>
        <v>-3.3700000000000015E-2</v>
      </c>
      <c r="Z77" s="632">
        <f t="shared" si="468"/>
        <v>-5.1686719592826565E-2</v>
      </c>
      <c r="AA77" s="629">
        <f t="shared" si="469"/>
        <v>-8.2179403398785541E-3</v>
      </c>
      <c r="AB77" s="629">
        <f t="shared" si="470"/>
        <v>-0.99862953515019914</v>
      </c>
      <c r="AC77" s="636">
        <f t="shared" si="84"/>
        <v>1</v>
      </c>
      <c r="AD77" s="637">
        <f t="shared" si="115"/>
        <v>-5.1686719592826565E-2</v>
      </c>
      <c r="AE77" s="629">
        <f t="shared" si="85"/>
        <v>-8.2179403398785541E-3</v>
      </c>
      <c r="AF77" s="633">
        <f t="shared" si="86"/>
        <v>-0.99862953515019914</v>
      </c>
      <c r="AG77" s="602">
        <f t="shared" si="87"/>
        <v>-0.47148882833001488</v>
      </c>
      <c r="AH77" s="603">
        <f t="shared" si="88"/>
        <v>92.962751062736544</v>
      </c>
      <c r="AI77" s="585">
        <f t="shared" si="89"/>
        <v>-2.9999995668817112</v>
      </c>
      <c r="AJ77" s="586">
        <f t="shared" si="90"/>
        <v>-80.965865613899098</v>
      </c>
      <c r="AK77" s="635">
        <f t="shared" si="211"/>
        <v>2.2679489671169339E-7</v>
      </c>
      <c r="AL77" s="629">
        <f t="shared" si="91"/>
        <v>5.2335948693473099E-2</v>
      </c>
      <c r="AM77" s="634">
        <f t="shared" si="92"/>
        <v>-0.99862953515019914</v>
      </c>
      <c r="AN77" s="581">
        <f t="shared" si="93"/>
        <v>2.9999995668536541</v>
      </c>
      <c r="AO77" s="582">
        <f t="shared" si="461"/>
        <v>0</v>
      </c>
      <c r="AP77" s="585">
        <f t="shared" si="95"/>
        <v>89.999751711954772</v>
      </c>
      <c r="AQ77" s="586">
        <f t="shared" si="471"/>
        <v>0.81734138191874373</v>
      </c>
      <c r="AS77" s="52">
        <f t="shared" si="543"/>
        <v>-260.96561732585383</v>
      </c>
      <c r="AT77" s="72">
        <f t="shared" si="472"/>
        <v>0.14752612314295405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Nose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7.2130000000000001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7.1130000000000004</v>
      </c>
      <c r="II77" s="734" cm="1">
        <f t="array" ref="II77">IFERROR(IF($IH77&lt;1,$IH77+LARGE((IF($M$9:$M$150="",0,$M$9:$M$150)-MOD(IF($M$9:$M$150="",0,$M$9:$M$150),1)),1),$IH77),"")</f>
        <v>7.1130000000000004</v>
      </c>
      <c r="IJ77" s="533">
        <f t="shared" si="542"/>
        <v>1613</v>
      </c>
      <c r="IK77" s="533" t="str">
        <f t="shared" si="517"/>
        <v>CPS-32193r1</v>
      </c>
      <c r="IL77" s="727">
        <f t="shared" si="225"/>
        <v>20.965599999999995</v>
      </c>
      <c r="IM77" s="759">
        <v>1.6902249962696899E-2</v>
      </c>
      <c r="IN77" s="5">
        <f t="shared" si="226"/>
        <v>0.28000000000000003</v>
      </c>
      <c r="IO77" s="771">
        <v>140</v>
      </c>
      <c r="IP77" s="9">
        <f t="shared" si="227"/>
        <v>-2.7915084191893933</v>
      </c>
      <c r="IQ77" s="5">
        <f t="shared" si="228"/>
        <v>-6.3000190008572959E-2</v>
      </c>
      <c r="IR77" s="5">
        <f t="shared" si="518"/>
        <v>0.314</v>
      </c>
      <c r="IS77" s="5">
        <f t="shared" si="229"/>
        <v>0.30330071252667312</v>
      </c>
      <c r="IT77" s="727">
        <f t="shared" si="230"/>
        <v>-2.9999995668536275</v>
      </c>
      <c r="IU77" s="9">
        <f t="shared" si="231"/>
        <v>-2.7890084116493705</v>
      </c>
      <c r="IV77" s="5">
        <f t="shared" si="232"/>
        <v>-3.3700000000000015E-2</v>
      </c>
      <c r="IW77" s="5">
        <f t="shared" si="519"/>
        <v>0.25700000000000001</v>
      </c>
      <c r="IX77" s="5">
        <f t="shared" si="233"/>
        <v>0.25700000000000001</v>
      </c>
      <c r="IY77" s="762">
        <f t="shared" si="234"/>
        <v>-2.9999995668536541</v>
      </c>
    </row>
    <row r="78" spans="1:259" ht="15" customHeight="1" x14ac:dyDescent="0.25">
      <c r="A78" s="79"/>
      <c r="B78" s="707">
        <v>-3.5130810426772809</v>
      </c>
      <c r="C78" s="708">
        <v>1.4409860785502849E-2</v>
      </c>
      <c r="D78" s="709">
        <v>-0.14620044094053014</v>
      </c>
      <c r="E78" s="710">
        <v>-8.3940763291687842E-2</v>
      </c>
      <c r="F78" s="708">
        <v>-0.96558965571548327</v>
      </c>
      <c r="G78" s="711">
        <v>0.24615150828963783</v>
      </c>
      <c r="H78" s="710">
        <v>0.314</v>
      </c>
      <c r="I78" s="708">
        <v>0.52</v>
      </c>
      <c r="J78" s="570">
        <v>8.1189999999999998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8.1189999999999998</v>
      </c>
      <c r="N78" s="632">
        <f t="shared" si="465"/>
        <v>-3.5130810426772809</v>
      </c>
      <c r="O78" s="629">
        <f t="shared" si="466"/>
        <v>1.4409860785502849E-2</v>
      </c>
      <c r="P78" s="633">
        <f t="shared" si="467"/>
        <v>-0.14620044094053014</v>
      </c>
      <c r="Q78" s="585">
        <f t="shared" si="520"/>
        <v>179.76498703953939</v>
      </c>
      <c r="R78" s="629">
        <f>IF(M78="","",SQRT(N78^2+O78^2))</f>
        <v>3.5131105955415567</v>
      </c>
      <c r="S78" s="634">
        <f>IF(M78="","",P78)</f>
        <v>-0.14620044094053014</v>
      </c>
      <c r="T78" s="635">
        <f>IF(M78="","",X78*COS(RADIANS(W78)))</f>
        <v>1.4409860785503222E-2</v>
      </c>
      <c r="U78" s="629">
        <f>IF(M78="","",X78*SIN(RADIANS(W78)))</f>
        <v>3.5130810426772814</v>
      </c>
      <c r="V78" s="636">
        <f>IF(M78="","",Y78)</f>
        <v>-0.14620044094053014</v>
      </c>
      <c r="W78" s="585">
        <f t="shared" si="224"/>
        <v>89.764987039539392</v>
      </c>
      <c r="X78" s="629">
        <f>IF(M78="","",R78)</f>
        <v>3.5131105955415567</v>
      </c>
      <c r="Y78" s="630">
        <f t="shared" si="644"/>
        <v>-0.14620044094053014</v>
      </c>
      <c r="Z78" s="632">
        <f t="shared" si="468"/>
        <v>8.3940763291687842E-2</v>
      </c>
      <c r="AA78" s="629">
        <f t="shared" si="469"/>
        <v>0.96558965571548327</v>
      </c>
      <c r="AB78" s="629">
        <f t="shared" si="470"/>
        <v>-0.24615150828963783</v>
      </c>
      <c r="AC78" s="636">
        <f>IF(M78="","",SQRT(Z78^2+AA78^2+AB78^2))</f>
        <v>1</v>
      </c>
      <c r="AD78" s="637">
        <f>IF(M78="","",Z78*(1/SQRT(Z78^2+AA78^2+AB78^2)))</f>
        <v>8.3940763291687842E-2</v>
      </c>
      <c r="AE78" s="629">
        <f>IF(M78="","",AA78*(1/SQRT(Z78^2+AA78^2+AB78^2)))</f>
        <v>0.96558965571548327</v>
      </c>
      <c r="AF78" s="633">
        <f>IF(M78="","",AB78*(1/SQRT(Z78^2+AA78^2+AB78^2)))</f>
        <v>-0.24615150828963783</v>
      </c>
      <c r="AG78" s="602">
        <f>IF(M78="","",DEGREES(ATAN2(-AF78,AE78)))</f>
        <v>75.698562981666555</v>
      </c>
      <c r="AH78" s="603">
        <f>IF(M78="","",DEGREES(ACOS(AD78)))</f>
        <v>85.184882610106527</v>
      </c>
      <c r="AI78" s="585">
        <f>IF(M78="","",DEGREES(-ACOS(-AF78)))</f>
        <v>-75.750105504279361</v>
      </c>
      <c r="AJ78" s="586">
        <f>IF(M78="","",DEGREES(ATAN2(-AE78,AD78)))</f>
        <v>175.03164645910064</v>
      </c>
      <c r="AK78" s="635">
        <f>IF(M78="","",(COS(RADIANS((90-$Q$8)-W78))*AD78)+(-SIN(RADIANS((90-$Q$8)-W78))*AE78))</f>
        <v>0.96592583607220761</v>
      </c>
      <c r="AL78" s="629">
        <f>IF(M78="","",(SIN(RADIANS((90-$Q$8)-W78))*AD78)+(COS(RADIANS((90-$Q$8)-W78))*AE78))</f>
        <v>-7.997946095682025E-2</v>
      </c>
      <c r="AM78" s="634">
        <f>IF(M78="","",AF78)</f>
        <v>-0.24615150828963783</v>
      </c>
      <c r="AN78" s="581">
        <f>IF(M78="","",DEGREES(ATAN2(-AM78,AL78)))</f>
        <v>-17.999997401121906</v>
      </c>
      <c r="AO78" s="582">
        <f t="shared" si="461"/>
        <v>14.999997834268203</v>
      </c>
      <c r="AP78" s="585">
        <f>IF(M78="","",DEGREES(ATAN2(AK78,AL78)))</f>
        <v>-4.733340580438731</v>
      </c>
      <c r="AQ78" s="586">
        <f t="shared" si="471"/>
        <v>0.64889194386447435</v>
      </c>
      <c r="AS78" s="52">
        <f t="shared" si="543"/>
        <v>-270.23501296046061</v>
      </c>
      <c r="AT78" s="72">
        <f t="shared" si="472"/>
        <v>4.1462762504234169E-2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8.1189999999999998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-4.1983666443608962</v>
      </c>
      <c r="C79" s="708">
        <v>6.7713209572285299E-2</v>
      </c>
      <c r="D79" s="709">
        <v>-0.49330148779728683</v>
      </c>
      <c r="E79" s="710">
        <v>-0.17578930133585538</v>
      </c>
      <c r="F79" s="708">
        <v>-0.9632162481858122</v>
      </c>
      <c r="G79" s="711">
        <v>0.20325496492509054</v>
      </c>
      <c r="H79" s="710">
        <v>0.314</v>
      </c>
      <c r="I79" s="708">
        <v>0.52</v>
      </c>
      <c r="J79" s="570">
        <v>8.1280000000000001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 t="shared" si="464"/>
        <v>8.1280000000000001</v>
      </c>
      <c r="N79" s="632">
        <f t="shared" si="465"/>
        <v>-4.1983666443608962</v>
      </c>
      <c r="O79" s="629">
        <f t="shared" si="466"/>
        <v>6.7713209572285299E-2</v>
      </c>
      <c r="P79" s="633">
        <f t="shared" si="467"/>
        <v>-0.49330148779728683</v>
      </c>
      <c r="Q79" s="585">
        <f t="shared" si="520"/>
        <v>179.07598713901868</v>
      </c>
      <c r="R79" s="629">
        <f>IF(M79="","",SQRT(N79^2+O79^2))</f>
        <v>4.1989126639205958</v>
      </c>
      <c r="S79" s="634">
        <f>IF(M79="","",P79)</f>
        <v>-0.49330148779728683</v>
      </c>
      <c r="T79" s="635">
        <f>IF(M79="","",X79*COS(RADIANS(W79)))</f>
        <v>6.7713209572285729E-2</v>
      </c>
      <c r="U79" s="629">
        <f>IF(M79="","",X79*SIN(RADIANS(W79)))</f>
        <v>4.1983666443608962</v>
      </c>
      <c r="V79" s="636">
        <f>IF(M79="","",Y79)</f>
        <v>-0.49330148779728683</v>
      </c>
      <c r="W79" s="585">
        <f t="shared" ref="W79:W129" si="645">IF(M79="","",IF(Q79-$Q$8&lt;0,360+Q79-$Q$8,Q79-$Q$8))</f>
        <v>89.075987139018679</v>
      </c>
      <c r="X79" s="629">
        <f>IF(M79="","",R79)</f>
        <v>4.1989126639205958</v>
      </c>
      <c r="Y79" s="630">
        <f t="shared" si="644"/>
        <v>-0.49330148779728683</v>
      </c>
      <c r="Z79" s="632">
        <f t="shared" si="468"/>
        <v>0.17578930133585538</v>
      </c>
      <c r="AA79" s="629">
        <f t="shared" si="469"/>
        <v>0.9632162481858122</v>
      </c>
      <c r="AB79" s="629">
        <f t="shared" si="470"/>
        <v>-0.20325496492509054</v>
      </c>
      <c r="AC79" s="636">
        <f>IF(M79="","",SQRT(Z79^2+AA79^2+AB79^2))</f>
        <v>1</v>
      </c>
      <c r="AD79" s="637">
        <f>IF(M79="","",Z79*(1/SQRT(Z79^2+AA79^2+AB79^2)))</f>
        <v>0.17578930133585538</v>
      </c>
      <c r="AE79" s="629">
        <f>IF(M79="","",AA79*(1/SQRT(Z79^2+AA79^2+AB79^2)))</f>
        <v>0.9632162481858122</v>
      </c>
      <c r="AF79" s="633">
        <f>IF(M79="","",AB79*(1/SQRT(Z79^2+AA79^2+AB79^2)))</f>
        <v>-0.20325496492509054</v>
      </c>
      <c r="AG79" s="602">
        <f>IF(M79="","",DEGREES(ATAN2(-AF79,AE79)))</f>
        <v>78.084425834287813</v>
      </c>
      <c r="AH79" s="603">
        <f>IF(M79="","",DEGREES(ACOS(AD79)))</f>
        <v>79.875406169439955</v>
      </c>
      <c r="AI79" s="585">
        <f>IF(M79="","",DEGREES(-ACOS(-AF79)))</f>
        <v>-78.272634605275513</v>
      </c>
      <c r="AJ79" s="586">
        <f>IF(M79="","",DEGREES(ATAN2(-AE79,AD79)))</f>
        <v>169.65720838183964</v>
      </c>
      <c r="AK79" s="635">
        <f>IF(M79="","",(COS(RADIANS((90-$Q$8)-W79))*AD79)+(-SIN(RADIANS((90-$Q$8)-W79))*AE79))</f>
        <v>0.96592583607220739</v>
      </c>
      <c r="AL79" s="629">
        <f>IF(M79="","",(SIN(RADIANS((90-$Q$8)-W79))*AD79)+(COS(RADIANS((90-$Q$8)-W79))*AE79))</f>
        <v>-0.16023326259396764</v>
      </c>
      <c r="AM79" s="634">
        <f>IF(M79="","",AF79)</f>
        <v>-0.20325496492509054</v>
      </c>
      <c r="AN79" s="581">
        <f>IF(M79="","",DEGREES(ATAN2(-AM79,AL79)))</f>
        <v>-38.249994477384071</v>
      </c>
      <c r="AO79" s="582">
        <f t="shared" si="461"/>
        <v>14.999997834268255</v>
      </c>
      <c r="AP79" s="585">
        <f>IF(M79="","",DEGREES(ATAN2(AK79,AL79)))</f>
        <v>-9.4187787571790356</v>
      </c>
      <c r="AQ79" s="586">
        <f t="shared" si="471"/>
        <v>0.54291636500854767</v>
      </c>
      <c r="AS79" s="52">
        <f t="shared" si="543"/>
        <v>-270.92401286098129</v>
      </c>
      <c r="AT79" s="72">
        <f t="shared" si="472"/>
        <v>-0.30515981219938315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8.1280000000000001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-4.7144057770326713</v>
      </c>
      <c r="C80" s="708">
        <v>0.13415674710449924</v>
      </c>
      <c r="D80" s="709">
        <v>-1.0616032017952568</v>
      </c>
      <c r="E80" s="710">
        <v>-0.27638925731946506</v>
      </c>
      <c r="F80" s="708">
        <v>-0.94882674728175642</v>
      </c>
      <c r="G80" s="711">
        <v>0.15276381142507786</v>
      </c>
      <c r="H80" s="710">
        <v>0.314</v>
      </c>
      <c r="I80" s="708">
        <v>0.52</v>
      </c>
      <c r="J80" s="570">
        <v>8.1370000000000005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8.1370000000000005</v>
      </c>
      <c r="N80" s="632">
        <f t="shared" si="465"/>
        <v>-4.7144057770326713</v>
      </c>
      <c r="O80" s="629">
        <f t="shared" si="466"/>
        <v>0.13415674710449924</v>
      </c>
      <c r="P80" s="633">
        <f t="shared" si="467"/>
        <v>-1.0616032017952568</v>
      </c>
      <c r="Q80" s="585">
        <f t="shared" si="520"/>
        <v>178.36998724095247</v>
      </c>
      <c r="R80" s="629">
        <f t="shared" si="79"/>
        <v>4.7163142244037006</v>
      </c>
      <c r="S80" s="634">
        <f t="shared" si="80"/>
        <v>-1.0616032017952568</v>
      </c>
      <c r="T80" s="635">
        <f t="shared" si="81"/>
        <v>0.13415674710449743</v>
      </c>
      <c r="U80" s="629">
        <f t="shared" si="82"/>
        <v>4.7144057770326704</v>
      </c>
      <c r="V80" s="636">
        <f t="shared" si="114"/>
        <v>-1.0616032017952568</v>
      </c>
      <c r="W80" s="585">
        <f t="shared" si="645"/>
        <v>88.369987240952469</v>
      </c>
      <c r="X80" s="629">
        <f t="shared" si="83"/>
        <v>4.7163142244037006</v>
      </c>
      <c r="Y80" s="630">
        <f t="shared" si="644"/>
        <v>-1.0616032017952568</v>
      </c>
      <c r="Z80" s="632">
        <f t="shared" si="468"/>
        <v>0.27638925731946506</v>
      </c>
      <c r="AA80" s="629">
        <f t="shared" si="469"/>
        <v>0.94882674728175642</v>
      </c>
      <c r="AB80" s="629">
        <f t="shared" si="470"/>
        <v>-0.15276381142507786</v>
      </c>
      <c r="AC80" s="636">
        <f t="shared" si="84"/>
        <v>1</v>
      </c>
      <c r="AD80" s="637">
        <f t="shared" si="115"/>
        <v>0.27638925731946506</v>
      </c>
      <c r="AE80" s="629">
        <f t="shared" si="85"/>
        <v>0.94882674728175642</v>
      </c>
      <c r="AF80" s="633">
        <f t="shared" si="86"/>
        <v>-0.15276381142507786</v>
      </c>
      <c r="AG80" s="602">
        <f t="shared" si="87"/>
        <v>80.853706967822689</v>
      </c>
      <c r="AH80" s="603">
        <f t="shared" si="88"/>
        <v>73.955178054299324</v>
      </c>
      <c r="AI80" s="585">
        <f t="shared" si="89"/>
        <v>-81.212872395181961</v>
      </c>
      <c r="AJ80" s="586">
        <f t="shared" si="90"/>
        <v>163.75937980187371</v>
      </c>
      <c r="AK80" s="635">
        <f t="shared" si="211"/>
        <v>0.95630476848795665</v>
      </c>
      <c r="AL80" s="629">
        <f t="shared" si="91"/>
        <v>-0.24928780091709093</v>
      </c>
      <c r="AM80" s="634">
        <f t="shared" si="92"/>
        <v>-0.15276381142507786</v>
      </c>
      <c r="AN80" s="581">
        <f t="shared" si="93"/>
        <v>-58.499991553646268</v>
      </c>
      <c r="AO80" s="582">
        <f t="shared" si="461"/>
        <v>16.999997545504019</v>
      </c>
      <c r="AP80" s="585">
        <f t="shared" si="95"/>
        <v>-14.61060743907875</v>
      </c>
      <c r="AQ80" s="586">
        <f t="shared" si="471"/>
        <v>0.48335891988040663</v>
      </c>
      <c r="AS80" s="52">
        <f t="shared" si="543"/>
        <v>-271.63001275904753</v>
      </c>
      <c r="AT80" s="72">
        <f t="shared" si="472"/>
        <v>-0.87297124849036267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8.1370000000000005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-4.9945788334449146</v>
      </c>
      <c r="C81" s="708">
        <v>0.17982709615308179</v>
      </c>
      <c r="D81" s="709">
        <v>-1.7769053591465627</v>
      </c>
      <c r="E81" s="710">
        <v>-0.44683928845161025</v>
      </c>
      <c r="F81" s="708">
        <v>-0.89080685057609277</v>
      </c>
      <c r="G81" s="711">
        <v>8.2448803889210526E-2</v>
      </c>
      <c r="H81" s="710">
        <v>0.314</v>
      </c>
      <c r="I81" s="708">
        <v>0.52</v>
      </c>
      <c r="J81" s="570">
        <v>8.1460000000000008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8.1460000000000008</v>
      </c>
      <c r="N81" s="632">
        <f t="shared" si="465"/>
        <v>-4.9945788334449146</v>
      </c>
      <c r="O81" s="629">
        <f t="shared" si="466"/>
        <v>0.17982709615308179</v>
      </c>
      <c r="P81" s="633">
        <f t="shared" si="467"/>
        <v>-1.7769053591465627</v>
      </c>
      <c r="Q81" s="585">
        <f t="shared" si="520"/>
        <v>177.93798730332551</v>
      </c>
      <c r="R81" s="629">
        <f t="shared" si="79"/>
        <v>4.9978150734102611</v>
      </c>
      <c r="S81" s="634">
        <f t="shared" si="80"/>
        <v>-1.7769053591465627</v>
      </c>
      <c r="T81" s="635">
        <f t="shared" si="81"/>
        <v>0.17982709615308318</v>
      </c>
      <c r="U81" s="629">
        <f t="shared" si="82"/>
        <v>4.9945788334449146</v>
      </c>
      <c r="V81" s="636">
        <f t="shared" si="114"/>
        <v>-1.7769053591465627</v>
      </c>
      <c r="W81" s="585">
        <f t="shared" si="645"/>
        <v>87.937987303325514</v>
      </c>
      <c r="X81" s="629">
        <f t="shared" si="83"/>
        <v>4.9978150734102611</v>
      </c>
      <c r="Y81" s="630">
        <f t="shared" si="644"/>
        <v>-1.7769053591465627</v>
      </c>
      <c r="Z81" s="632">
        <f t="shared" si="468"/>
        <v>0.44683928845161025</v>
      </c>
      <c r="AA81" s="629">
        <f t="shared" si="469"/>
        <v>0.89080685057609277</v>
      </c>
      <c r="AB81" s="629">
        <f t="shared" si="470"/>
        <v>-8.2448803889210526E-2</v>
      </c>
      <c r="AC81" s="636">
        <f t="shared" si="84"/>
        <v>1</v>
      </c>
      <c r="AD81" s="637">
        <f t="shared" si="115"/>
        <v>0.44683928845161025</v>
      </c>
      <c r="AE81" s="629">
        <f t="shared" si="85"/>
        <v>0.89080685057609277</v>
      </c>
      <c r="AF81" s="633">
        <f t="shared" si="86"/>
        <v>-8.2448803889210526E-2</v>
      </c>
      <c r="AG81" s="602">
        <f t="shared" si="87"/>
        <v>84.712043176260678</v>
      </c>
      <c r="AH81" s="603">
        <f t="shared" si="88"/>
        <v>63.45892391186981</v>
      </c>
      <c r="AI81" s="585">
        <f t="shared" si="89"/>
        <v>-85.270662969566715</v>
      </c>
      <c r="AJ81" s="586">
        <f t="shared" si="90"/>
        <v>153.36111387637004</v>
      </c>
      <c r="AK81" s="635">
        <f t="shared" si="211"/>
        <v>0.90630781366099977</v>
      </c>
      <c r="AL81" s="629">
        <f t="shared" si="91"/>
        <v>-0.41449769798426772</v>
      </c>
      <c r="AM81" s="634">
        <f t="shared" si="92"/>
        <v>-8.2448803889210526E-2</v>
      </c>
      <c r="AN81" s="581">
        <f t="shared" si="93"/>
        <v>-78.749988629908401</v>
      </c>
      <c r="AO81" s="582">
        <f t="shared" si="461"/>
        <v>24.999996390447073</v>
      </c>
      <c r="AP81" s="585">
        <f t="shared" si="95"/>
        <v>-24.57687342695548</v>
      </c>
      <c r="AQ81" s="586">
        <f t="shared" si="471"/>
        <v>0.45613501828753139</v>
      </c>
      <c r="AS81" s="52">
        <f t="shared" si="543"/>
        <v>-272.06201269667451</v>
      </c>
      <c r="AT81" s="72">
        <f t="shared" si="472"/>
        <v>-1.5879734058849833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8.1460000000000008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-5.0337511074381149</v>
      </c>
      <c r="C82" s="708">
        <v>0.18677976686278616</v>
      </c>
      <c r="D82" s="709">
        <v>-2.550807693236004</v>
      </c>
      <c r="E82" s="710">
        <v>-0.53176827910017921</v>
      </c>
      <c r="F82" s="708">
        <v>-0.84688989682415106</v>
      </c>
      <c r="G82" s="711">
        <v>1.1339743339891786E-7</v>
      </c>
      <c r="H82" s="710">
        <v>0.314</v>
      </c>
      <c r="I82" s="708">
        <v>0.52</v>
      </c>
      <c r="J82" s="570">
        <v>8.1549999999999994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8.1549999999999994</v>
      </c>
      <c r="N82" s="632">
        <f t="shared" si="465"/>
        <v>-5.0337511074381149</v>
      </c>
      <c r="O82" s="629">
        <f t="shared" si="466"/>
        <v>0.18677976686278616</v>
      </c>
      <c r="P82" s="633">
        <f t="shared" si="467"/>
        <v>-2.550807693236004</v>
      </c>
      <c r="Q82" s="585">
        <f t="shared" si="520"/>
        <v>177.87498731242161</v>
      </c>
      <c r="R82" s="629">
        <f t="shared" si="79"/>
        <v>5.0372151922410229</v>
      </c>
      <c r="S82" s="634">
        <f t="shared" si="80"/>
        <v>-2.550807693236004</v>
      </c>
      <c r="T82" s="635">
        <f t="shared" si="81"/>
        <v>0.18677976686278552</v>
      </c>
      <c r="U82" s="629">
        <f t="shared" si="82"/>
        <v>5.0337511074381149</v>
      </c>
      <c r="V82" s="636">
        <f t="shared" si="114"/>
        <v>-2.550807693236004</v>
      </c>
      <c r="W82" s="585">
        <f t="shared" si="645"/>
        <v>87.874987312421609</v>
      </c>
      <c r="X82" s="629">
        <f t="shared" si="83"/>
        <v>5.0372151922410229</v>
      </c>
      <c r="Y82" s="630">
        <f t="shared" si="644"/>
        <v>-2.550807693236004</v>
      </c>
      <c r="Z82" s="632">
        <f t="shared" si="468"/>
        <v>0.53176827910017921</v>
      </c>
      <c r="AA82" s="629">
        <f t="shared" si="469"/>
        <v>0.84688989682415106</v>
      </c>
      <c r="AB82" s="629">
        <f t="shared" si="470"/>
        <v>-1.1339743339891786E-7</v>
      </c>
      <c r="AC82" s="636">
        <f t="shared" si="84"/>
        <v>1</v>
      </c>
      <c r="AD82" s="637">
        <f t="shared" si="115"/>
        <v>0.53176827910017921</v>
      </c>
      <c r="AE82" s="629">
        <f t="shared" si="85"/>
        <v>0.84688989682415106</v>
      </c>
      <c r="AF82" s="633">
        <f t="shared" si="86"/>
        <v>-1.1339743339891786E-7</v>
      </c>
      <c r="AG82" s="602">
        <f t="shared" si="87"/>
        <v>89.999992328171146</v>
      </c>
      <c r="AH82" s="603">
        <f t="shared" si="88"/>
        <v>57.87499164388592</v>
      </c>
      <c r="AI82" s="585">
        <f t="shared" si="89"/>
        <v>-89.999993502805651</v>
      </c>
      <c r="AJ82" s="586">
        <f t="shared" si="90"/>
        <v>147.87499164388569</v>
      </c>
      <c r="AK82" s="635">
        <f t="shared" si="211"/>
        <v>0.86602544158358552</v>
      </c>
      <c r="AL82" s="629">
        <f t="shared" si="91"/>
        <v>-0.49999993452993874</v>
      </c>
      <c r="AM82" s="634">
        <f t="shared" si="92"/>
        <v>-1.1339743339891786E-7</v>
      </c>
      <c r="AN82" s="581">
        <f t="shared" si="93"/>
        <v>-89.999987005609626</v>
      </c>
      <c r="AO82" s="582">
        <f t="shared" si="461"/>
        <v>29.999995668536549</v>
      </c>
      <c r="AP82" s="585">
        <f t="shared" si="95"/>
        <v>-29.99999566853592</v>
      </c>
      <c r="AQ82" s="586">
        <f t="shared" si="471"/>
        <v>0.45256736775367318</v>
      </c>
      <c r="AS82" s="52">
        <f t="shared" si="543"/>
        <v>-272.12501268757842</v>
      </c>
      <c r="AT82" s="72">
        <f t="shared" si="472"/>
        <v>-2.3618319899807414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8.1549999999999994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-5.0794753415898422</v>
      </c>
      <c r="C83" s="708">
        <v>0.19495731652036402</v>
      </c>
      <c r="D83" s="709">
        <v>-3.3203100140550026</v>
      </c>
      <c r="E83" s="710">
        <v>-0.60457141634221989</v>
      </c>
      <c r="F83" s="708">
        <v>-0.79655094158625239</v>
      </c>
      <c r="G83" s="711">
        <v>1.3008419216317507E-7</v>
      </c>
      <c r="H83" s="710">
        <v>0.314</v>
      </c>
      <c r="I83" s="708">
        <v>0.52</v>
      </c>
      <c r="J83" s="570">
        <v>8.1639999999999997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8.1639999999999997</v>
      </c>
      <c r="N83" s="632">
        <f t="shared" si="465"/>
        <v>-5.0794753415898422</v>
      </c>
      <c r="O83" s="629">
        <f t="shared" si="466"/>
        <v>0.19495731652036402</v>
      </c>
      <c r="P83" s="633">
        <f t="shared" si="467"/>
        <v>-3.3203100140550026</v>
      </c>
      <c r="Q83" s="585">
        <f t="shared" si="520"/>
        <v>177.80198732296148</v>
      </c>
      <c r="R83" s="629">
        <f t="shared" si="79"/>
        <v>5.0832153309774384</v>
      </c>
      <c r="S83" s="634">
        <f t="shared" si="80"/>
        <v>-3.3203100140550026</v>
      </c>
      <c r="T83" s="635">
        <f t="shared" si="81"/>
        <v>0.1949573165203658</v>
      </c>
      <c r="U83" s="629">
        <f t="shared" si="82"/>
        <v>5.0794753415898422</v>
      </c>
      <c r="V83" s="636">
        <f t="shared" si="114"/>
        <v>-3.3203100140550026</v>
      </c>
      <c r="W83" s="585">
        <f t="shared" si="645"/>
        <v>87.80198732296148</v>
      </c>
      <c r="X83" s="629">
        <f t="shared" si="83"/>
        <v>5.0832153309774384</v>
      </c>
      <c r="Y83" s="630">
        <f t="shared" si="644"/>
        <v>-3.3203100140550026</v>
      </c>
      <c r="Z83" s="632">
        <f t="shared" si="468"/>
        <v>0.60457141634221989</v>
      </c>
      <c r="AA83" s="629">
        <f t="shared" si="469"/>
        <v>0.79655094158625239</v>
      </c>
      <c r="AB83" s="629">
        <f t="shared" si="470"/>
        <v>-1.3008419216317507E-7</v>
      </c>
      <c r="AC83" s="636">
        <f t="shared" si="84"/>
        <v>1</v>
      </c>
      <c r="AD83" s="637">
        <f t="shared" si="115"/>
        <v>0.60457141634221989</v>
      </c>
      <c r="AE83" s="629">
        <f t="shared" si="85"/>
        <v>0.79655094158625239</v>
      </c>
      <c r="AF83" s="633">
        <f t="shared" si="86"/>
        <v>-1.3008419216317507E-7</v>
      </c>
      <c r="AG83" s="602">
        <f t="shared" si="87"/>
        <v>89.999990643065246</v>
      </c>
      <c r="AH83" s="603">
        <f t="shared" si="88"/>
        <v>52.801992376336585</v>
      </c>
      <c r="AI83" s="585">
        <f t="shared" si="89"/>
        <v>-89.999992546724812</v>
      </c>
      <c r="AJ83" s="586">
        <f t="shared" si="90"/>
        <v>142.80199237633622</v>
      </c>
      <c r="AK83" s="635">
        <f t="shared" si="211"/>
        <v>0.81915209487729201</v>
      </c>
      <c r="AL83" s="629">
        <f t="shared" si="91"/>
        <v>-0.57357636410344437</v>
      </c>
      <c r="AM83" s="634">
        <f t="shared" si="92"/>
        <v>-1.3008419216317507E-7</v>
      </c>
      <c r="AN83" s="581">
        <f t="shared" si="93"/>
        <v>-89.999987005609626</v>
      </c>
      <c r="AO83" s="582">
        <f t="shared" si="461"/>
        <v>34.999994946625954</v>
      </c>
      <c r="AP83" s="585">
        <f t="shared" si="95"/>
        <v>-34.999994946625257</v>
      </c>
      <c r="AQ83" s="586">
        <f t="shared" si="471"/>
        <v>0.44847206464958778</v>
      </c>
      <c r="AS83" s="52">
        <f t="shared" si="543"/>
        <v>-272.19801267703849</v>
      </c>
      <c r="AT83" s="72">
        <f t="shared" si="472"/>
        <v>-3.1312836163626145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8.1639999999999997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>
        <f t="shared" si="542"/>
        <v>1613</v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-2.0401354982720945</v>
      </c>
      <c r="C84" s="708">
        <v>1.7118773821899034</v>
      </c>
      <c r="D84" s="709">
        <v>-7.4200223787874983E-2</v>
      </c>
      <c r="E84" s="710">
        <v>-0.60016072716815416</v>
      </c>
      <c r="F84" s="708">
        <v>-0.75733198699890791</v>
      </c>
      <c r="G84" s="711">
        <v>0.25740117139064939</v>
      </c>
      <c r="H84" s="710">
        <v>0.314</v>
      </c>
      <c r="I84" s="708">
        <v>0.52</v>
      </c>
      <c r="J84" s="570">
        <v>9.1120000000000001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9.1120000000000001</v>
      </c>
      <c r="N84" s="632">
        <f t="shared" si="465"/>
        <v>-2.0401354982720945</v>
      </c>
      <c r="O84" s="629">
        <f t="shared" si="466"/>
        <v>1.7118773821899034</v>
      </c>
      <c r="P84" s="633">
        <f t="shared" si="467"/>
        <v>-7.4200223787874983E-2</v>
      </c>
      <c r="Q84" s="585">
        <f t="shared" si="520"/>
        <v>139.99999278089419</v>
      </c>
      <c r="R84" s="629">
        <f t="shared" si="79"/>
        <v>2.663208032235425</v>
      </c>
      <c r="S84" s="634">
        <f t="shared" si="80"/>
        <v>-7.4200223787874983E-2</v>
      </c>
      <c r="T84" s="635">
        <f t="shared" si="81"/>
        <v>1.7118773821899045</v>
      </c>
      <c r="U84" s="629">
        <f t="shared" si="82"/>
        <v>2.0401354982720936</v>
      </c>
      <c r="V84" s="636">
        <f t="shared" si="114"/>
        <v>-7.4200223787874983E-2</v>
      </c>
      <c r="W84" s="585">
        <f t="shared" si="645"/>
        <v>49.999992780894189</v>
      </c>
      <c r="X84" s="629">
        <f t="shared" si="83"/>
        <v>2.663208032235425</v>
      </c>
      <c r="Y84" s="630">
        <f t="shared" si="644"/>
        <v>-7.4200223787874983E-2</v>
      </c>
      <c r="Z84" s="632">
        <f t="shared" si="468"/>
        <v>0.60016072716815416</v>
      </c>
      <c r="AA84" s="629">
        <f t="shared" si="469"/>
        <v>0.75733198699890791</v>
      </c>
      <c r="AB84" s="629">
        <f t="shared" si="470"/>
        <v>-0.25740117139064939</v>
      </c>
      <c r="AC84" s="636">
        <f t="shared" si="84"/>
        <v>1</v>
      </c>
      <c r="AD84" s="637">
        <f t="shared" si="115"/>
        <v>0.60016072716815416</v>
      </c>
      <c r="AE84" s="629">
        <f t="shared" si="85"/>
        <v>0.75733198699890791</v>
      </c>
      <c r="AF84" s="633">
        <f t="shared" si="86"/>
        <v>-0.25740117139064939</v>
      </c>
      <c r="AG84" s="602">
        <f t="shared" si="87"/>
        <v>71.228185956123241</v>
      </c>
      <c r="AH84" s="603">
        <f t="shared" si="88"/>
        <v>53.118590251196018</v>
      </c>
      <c r="AI84" s="585">
        <f t="shared" si="89"/>
        <v>-75.0840874490397</v>
      </c>
      <c r="AJ84" s="586">
        <f t="shared" si="90"/>
        <v>141.60433125275887</v>
      </c>
      <c r="AK84" s="635">
        <f t="shared" si="211"/>
        <v>0.96592583607220728</v>
      </c>
      <c r="AL84" s="629">
        <f t="shared" si="91"/>
        <v>2.7053949340693384E-2</v>
      </c>
      <c r="AM84" s="634">
        <f t="shared" si="92"/>
        <v>-0.25740117139064939</v>
      </c>
      <c r="AN84" s="581">
        <f t="shared" si="93"/>
        <v>5.9999991337074219</v>
      </c>
      <c r="AO84" s="582">
        <f t="shared" si="461"/>
        <v>14.99999783426828</v>
      </c>
      <c r="AP84" s="585">
        <f t="shared" si="95"/>
        <v>1.6043384718647107</v>
      </c>
      <c r="AQ84" s="586">
        <f t="shared" si="471"/>
        <v>0.85594403786696993</v>
      </c>
      <c r="AS84" s="52">
        <f t="shared" si="543"/>
        <v>-310.00000721910578</v>
      </c>
      <c r="AT84" s="72">
        <f t="shared" si="472"/>
        <v>0.1410775590031707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9.1120000000000001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-2.6208307046164574</v>
      </c>
      <c r="C85" s="708">
        <v>2.2130498033739863</v>
      </c>
      <c r="D85" s="709">
        <v>-0.12360037277872399</v>
      </c>
      <c r="E85" s="710">
        <v>-0.67685810087030918</v>
      </c>
      <c r="F85" s="708">
        <v>-0.69268423391623879</v>
      </c>
      <c r="G85" s="711">
        <v>0.24910171290079861</v>
      </c>
      <c r="H85" s="710">
        <v>0.314</v>
      </c>
      <c r="I85" s="708">
        <v>0.52</v>
      </c>
      <c r="J85" s="570">
        <v>9.1180000000000003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9.1180000000000003</v>
      </c>
      <c r="N85" s="632">
        <f t="shared" si="465"/>
        <v>-2.6208307046164574</v>
      </c>
      <c r="O85" s="629">
        <f t="shared" si="466"/>
        <v>2.2130498033739863</v>
      </c>
      <c r="P85" s="633">
        <f t="shared" si="467"/>
        <v>-0.12360037277872399</v>
      </c>
      <c r="Q85" s="585">
        <f t="shared" si="520"/>
        <v>139.82199280659427</v>
      </c>
      <c r="R85" s="629">
        <f t="shared" si="79"/>
        <v>3.4302103455144022</v>
      </c>
      <c r="S85" s="634">
        <f t="shared" si="80"/>
        <v>-0.12360037277872399</v>
      </c>
      <c r="T85" s="635">
        <f t="shared" si="81"/>
        <v>2.2130498033739854</v>
      </c>
      <c r="U85" s="629">
        <f t="shared" si="82"/>
        <v>2.6208307046164578</v>
      </c>
      <c r="V85" s="636">
        <f t="shared" si="114"/>
        <v>-0.12360037277872399</v>
      </c>
      <c r="W85" s="585">
        <f t="shared" si="645"/>
        <v>49.821992806594267</v>
      </c>
      <c r="X85" s="629">
        <f t="shared" si="83"/>
        <v>3.4302103455144022</v>
      </c>
      <c r="Y85" s="630">
        <f t="shared" si="644"/>
        <v>-0.12360037277872399</v>
      </c>
      <c r="Z85" s="632">
        <f t="shared" si="468"/>
        <v>0.67685810087030918</v>
      </c>
      <c r="AA85" s="629">
        <f t="shared" si="469"/>
        <v>0.69268423391623879</v>
      </c>
      <c r="AB85" s="629">
        <f t="shared" si="470"/>
        <v>-0.24910171290079861</v>
      </c>
      <c r="AC85" s="636">
        <f t="shared" si="84"/>
        <v>1</v>
      </c>
      <c r="AD85" s="637">
        <f t="shared" si="115"/>
        <v>0.67685810087030918</v>
      </c>
      <c r="AE85" s="629">
        <f t="shared" si="85"/>
        <v>0.69268423391623879</v>
      </c>
      <c r="AF85" s="633">
        <f t="shared" si="86"/>
        <v>-0.24910171290079861</v>
      </c>
      <c r="AG85" s="602">
        <f t="shared" si="87"/>
        <v>70.220502312788085</v>
      </c>
      <c r="AH85" s="603">
        <f t="shared" si="88"/>
        <v>47.401390843849498</v>
      </c>
      <c r="AI85" s="585">
        <f t="shared" si="89"/>
        <v>-75.57563743999718</v>
      </c>
      <c r="AJ85" s="586">
        <f t="shared" si="90"/>
        <v>135.66206808474703</v>
      </c>
      <c r="AK85" s="635">
        <f t="shared" si="211"/>
        <v>0.96592583607220739</v>
      </c>
      <c r="AL85" s="629">
        <f t="shared" si="91"/>
        <v>-7.0253938239043856E-2</v>
      </c>
      <c r="AM85" s="634">
        <f t="shared" si="92"/>
        <v>-0.24910171290079861</v>
      </c>
      <c r="AN85" s="581">
        <f t="shared" si="93"/>
        <v>-15.749997725981871</v>
      </c>
      <c r="AO85" s="582">
        <f t="shared" si="461"/>
        <v>14.999997834268255</v>
      </c>
      <c r="AP85" s="585">
        <f t="shared" si="95"/>
        <v>-4.1599247218472186</v>
      </c>
      <c r="AQ85" s="586">
        <f t="shared" si="471"/>
        <v>0.6645727713483458</v>
      </c>
      <c r="AS85" s="52">
        <f t="shared" si="543"/>
        <v>-310.17800719340573</v>
      </c>
      <c r="AT85" s="72">
        <f t="shared" si="472"/>
        <v>9.1801021105585551E-2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9.1180000000000003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-3.1241356394967963</v>
      </c>
      <c r="C86" s="708">
        <v>2.7004906255718506</v>
      </c>
      <c r="D86" s="709">
        <v>-0.44270133518722637</v>
      </c>
      <c r="E86" s="710">
        <v>-0.74675845708759092</v>
      </c>
      <c r="F86" s="708">
        <v>-0.63127494607611134</v>
      </c>
      <c r="G86" s="711">
        <v>0.20938899021859655</v>
      </c>
      <c r="H86" s="710">
        <v>0.314</v>
      </c>
      <c r="I86" s="708">
        <v>0.52</v>
      </c>
      <c r="J86" s="570">
        <v>9.1270000000000007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9.1270000000000007</v>
      </c>
      <c r="N86" s="632">
        <f t="shared" si="465"/>
        <v>-3.1241356394967963</v>
      </c>
      <c r="O86" s="629">
        <f t="shared" si="466"/>
        <v>2.7004906255718506</v>
      </c>
      <c r="P86" s="633">
        <f t="shared" si="467"/>
        <v>-0.44270133518722637</v>
      </c>
      <c r="Q86" s="585">
        <f t="shared" si="520"/>
        <v>139.15999290217519</v>
      </c>
      <c r="R86" s="629">
        <f t="shared" si="79"/>
        <v>4.1295124546095634</v>
      </c>
      <c r="S86" s="634">
        <f t="shared" si="80"/>
        <v>-0.44270133518722637</v>
      </c>
      <c r="T86" s="635">
        <f t="shared" si="81"/>
        <v>2.700490625571851</v>
      </c>
      <c r="U86" s="629">
        <f t="shared" si="82"/>
        <v>3.1241356394967963</v>
      </c>
      <c r="V86" s="636">
        <f t="shared" si="114"/>
        <v>-0.44270133518722637</v>
      </c>
      <c r="W86" s="585">
        <f t="shared" si="645"/>
        <v>49.15999290217519</v>
      </c>
      <c r="X86" s="629">
        <f t="shared" si="83"/>
        <v>4.1295124546095634</v>
      </c>
      <c r="Y86" s="630">
        <f t="shared" si="644"/>
        <v>-0.44270133518722637</v>
      </c>
      <c r="Z86" s="632">
        <f t="shared" si="468"/>
        <v>0.74675845708759092</v>
      </c>
      <c r="AA86" s="629">
        <f t="shared" si="469"/>
        <v>0.63127494607611134</v>
      </c>
      <c r="AB86" s="629">
        <f t="shared" si="470"/>
        <v>-0.20938899021859655</v>
      </c>
      <c r="AC86" s="636">
        <f t="shared" si="84"/>
        <v>1</v>
      </c>
      <c r="AD86" s="637">
        <f t="shared" si="115"/>
        <v>0.74675845708759092</v>
      </c>
      <c r="AE86" s="629">
        <f t="shared" si="85"/>
        <v>0.63127494607611134</v>
      </c>
      <c r="AF86" s="633">
        <f t="shared" si="86"/>
        <v>-0.20938899021859655</v>
      </c>
      <c r="AG86" s="602">
        <f t="shared" si="87"/>
        <v>71.64971862381492</v>
      </c>
      <c r="AH86" s="603">
        <f t="shared" si="88"/>
        <v>41.68963977231391</v>
      </c>
      <c r="AI86" s="585">
        <f t="shared" si="89"/>
        <v>-77.913452076656753</v>
      </c>
      <c r="AJ86" s="586">
        <f t="shared" si="90"/>
        <v>130.20962767982843</v>
      </c>
      <c r="AK86" s="635">
        <f t="shared" si="211"/>
        <v>0.9659258360722075</v>
      </c>
      <c r="AL86" s="629">
        <f t="shared" si="91"/>
        <v>-0.15212997726761052</v>
      </c>
      <c r="AM86" s="634">
        <f t="shared" si="92"/>
        <v>-0.20938899021859655</v>
      </c>
      <c r="AN86" s="581">
        <f t="shared" si="93"/>
        <v>-35.999994802243734</v>
      </c>
      <c r="AO86" s="582">
        <f t="shared" si="461"/>
        <v>14.99999783426823</v>
      </c>
      <c r="AP86" s="585">
        <f t="shared" si="95"/>
        <v>-8.9503652223467629</v>
      </c>
      <c r="AQ86" s="586">
        <f t="shared" si="471"/>
        <v>0.55204000787391161</v>
      </c>
      <c r="AS86" s="52">
        <f t="shared" si="543"/>
        <v>-310.84000709782481</v>
      </c>
      <c r="AT86" s="72">
        <f t="shared" si="472"/>
        <v>-0.22684021914707025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9.1270000000000007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-3.4939627757039737</v>
      </c>
      <c r="C87" s="708">
        <v>3.0978356792617117</v>
      </c>
      <c r="D87" s="709">
        <v>-0.98970298494420328</v>
      </c>
      <c r="E87" s="710">
        <v>-0.81632709191334563</v>
      </c>
      <c r="F87" s="708">
        <v>-0.55427934336553142</v>
      </c>
      <c r="G87" s="711">
        <v>0.16243302781939276</v>
      </c>
      <c r="H87" s="710">
        <v>0.314</v>
      </c>
      <c r="I87" s="708">
        <v>0.52</v>
      </c>
      <c r="J87" s="570">
        <v>9.1359999999999992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9.1359999999999992</v>
      </c>
      <c r="N87" s="632">
        <f t="shared" si="465"/>
        <v>-3.4939627757039737</v>
      </c>
      <c r="O87" s="629">
        <f t="shared" si="466"/>
        <v>3.0978356792617117</v>
      </c>
      <c r="P87" s="633">
        <f t="shared" si="467"/>
        <v>-0.98970298494420328</v>
      </c>
      <c r="Q87" s="585">
        <f t="shared" si="520"/>
        <v>138.4389930062747</v>
      </c>
      <c r="R87" s="629">
        <f t="shared" si="79"/>
        <v>4.6695140832544757</v>
      </c>
      <c r="S87" s="634">
        <f t="shared" si="80"/>
        <v>-0.98970298494420328</v>
      </c>
      <c r="T87" s="635">
        <f t="shared" si="81"/>
        <v>3.0978356792617108</v>
      </c>
      <c r="U87" s="629">
        <f t="shared" si="82"/>
        <v>3.4939627757039742</v>
      </c>
      <c r="V87" s="636">
        <f t="shared" si="114"/>
        <v>-0.98970298494420328</v>
      </c>
      <c r="W87" s="585">
        <f t="shared" si="645"/>
        <v>48.4389930062747</v>
      </c>
      <c r="X87" s="629">
        <f t="shared" si="83"/>
        <v>4.6695140832544757</v>
      </c>
      <c r="Y87" s="630">
        <f t="shared" si="644"/>
        <v>-0.98970298494420328</v>
      </c>
      <c r="Z87" s="632">
        <f t="shared" si="468"/>
        <v>0.81632709191334563</v>
      </c>
      <c r="AA87" s="629">
        <f t="shared" si="469"/>
        <v>0.55427934336553142</v>
      </c>
      <c r="AB87" s="629">
        <f t="shared" si="470"/>
        <v>-0.16243302781939276</v>
      </c>
      <c r="AC87" s="636">
        <f t="shared" si="84"/>
        <v>1</v>
      </c>
      <c r="AD87" s="637">
        <f t="shared" si="115"/>
        <v>0.81632709191334563</v>
      </c>
      <c r="AE87" s="629">
        <f t="shared" si="85"/>
        <v>0.55427934336553142</v>
      </c>
      <c r="AF87" s="633">
        <f t="shared" si="86"/>
        <v>-0.16243302781939276</v>
      </c>
      <c r="AG87" s="602">
        <f t="shared" si="87"/>
        <v>73.666637660115015</v>
      </c>
      <c r="AH87" s="603">
        <f t="shared" si="88"/>
        <v>35.281206147340399</v>
      </c>
      <c r="AI87" s="585">
        <f t="shared" si="89"/>
        <v>-80.651853833310597</v>
      </c>
      <c r="AJ87" s="586">
        <f t="shared" si="90"/>
        <v>124.17618026762926</v>
      </c>
      <c r="AK87" s="635">
        <f t="shared" si="211"/>
        <v>0.95630476848795665</v>
      </c>
      <c r="AL87" s="629">
        <f t="shared" si="91"/>
        <v>-0.24309813088672677</v>
      </c>
      <c r="AM87" s="634">
        <f t="shared" si="92"/>
        <v>-0.16243302781939276</v>
      </c>
      <c r="AN87" s="581">
        <f t="shared" si="93"/>
        <v>-56.249991878506059</v>
      </c>
      <c r="AO87" s="582">
        <f t="shared" si="461"/>
        <v>16.999997545504019</v>
      </c>
      <c r="AP87" s="585">
        <f t="shared" si="95"/>
        <v>-14.262812738645431</v>
      </c>
      <c r="AQ87" s="586">
        <f t="shared" si="471"/>
        <v>0.48820314474039811</v>
      </c>
      <c r="AS87" s="52">
        <f t="shared" si="543"/>
        <v>-311.5610069937253</v>
      </c>
      <c r="AT87" s="72">
        <f t="shared" si="472"/>
        <v>-0.77334117453189399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9.1359999999999992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-3.6986550155691145</v>
      </c>
      <c r="C88" s="708">
        <v>3.3341440893375265</v>
      </c>
      <c r="D88" s="709">
        <v>-1.6930051061033999</v>
      </c>
      <c r="E88" s="710">
        <v>-0.90543233027367109</v>
      </c>
      <c r="F88" s="708">
        <v>-0.41373497791797248</v>
      </c>
      <c r="G88" s="711">
        <v>9.4950846980975306E-2</v>
      </c>
      <c r="H88" s="710">
        <v>0.314</v>
      </c>
      <c r="I88" s="708">
        <v>0.52</v>
      </c>
      <c r="J88" s="570">
        <v>9.1449999999999996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9.1449999999999996</v>
      </c>
      <c r="N88" s="632">
        <f t="shared" si="465"/>
        <v>-3.6986550155691145</v>
      </c>
      <c r="O88" s="629">
        <f t="shared" si="466"/>
        <v>3.3341440893375265</v>
      </c>
      <c r="P88" s="633">
        <f t="shared" si="467"/>
        <v>-1.6930051061033999</v>
      </c>
      <c r="Q88" s="585">
        <f t="shared" si="520"/>
        <v>137.96699307442304</v>
      </c>
      <c r="R88" s="629">
        <f t="shared" si="79"/>
        <v>4.9796150185188948</v>
      </c>
      <c r="S88" s="634">
        <f t="shared" si="80"/>
        <v>-1.6930051061033999</v>
      </c>
      <c r="T88" s="635">
        <f t="shared" si="81"/>
        <v>3.3341440893375278</v>
      </c>
      <c r="U88" s="629">
        <f t="shared" si="82"/>
        <v>3.6986550155691136</v>
      </c>
      <c r="V88" s="636">
        <f t="shared" si="114"/>
        <v>-1.6930051061033999</v>
      </c>
      <c r="W88" s="585">
        <f t="shared" si="645"/>
        <v>47.966993074423044</v>
      </c>
      <c r="X88" s="629">
        <f t="shared" si="83"/>
        <v>4.9796150185188948</v>
      </c>
      <c r="Y88" s="630">
        <f t="shared" si="644"/>
        <v>-1.6930051061033999</v>
      </c>
      <c r="Z88" s="632">
        <f t="shared" si="468"/>
        <v>0.90543233027367109</v>
      </c>
      <c r="AA88" s="629">
        <f t="shared" si="469"/>
        <v>0.41373497791797248</v>
      </c>
      <c r="AB88" s="629">
        <f t="shared" si="470"/>
        <v>-9.4950846980975306E-2</v>
      </c>
      <c r="AC88" s="636">
        <f t="shared" si="84"/>
        <v>1</v>
      </c>
      <c r="AD88" s="637">
        <f t="shared" si="115"/>
        <v>0.90543233027367109</v>
      </c>
      <c r="AE88" s="629">
        <f t="shared" si="85"/>
        <v>0.41373497791797248</v>
      </c>
      <c r="AF88" s="633">
        <f t="shared" si="86"/>
        <v>-9.4950846980975306E-2</v>
      </c>
      <c r="AG88" s="602">
        <f t="shared" si="87"/>
        <v>77.07462204167345</v>
      </c>
      <c r="AH88" s="603">
        <f t="shared" si="88"/>
        <v>25.118426238403703</v>
      </c>
      <c r="AI88" s="585">
        <f t="shared" si="89"/>
        <v>-84.551509236506092</v>
      </c>
      <c r="AJ88" s="586">
        <f t="shared" si="90"/>
        <v>114.55790906408146</v>
      </c>
      <c r="AK88" s="635">
        <f t="shared" si="211"/>
        <v>0.91354548224147791</v>
      </c>
      <c r="AL88" s="629">
        <f t="shared" si="91"/>
        <v>-0.39549840522280333</v>
      </c>
      <c r="AM88" s="634">
        <f t="shared" si="92"/>
        <v>-9.4950846980975306E-2</v>
      </c>
      <c r="AN88" s="581">
        <f t="shared" si="93"/>
        <v>-76.499988954768128</v>
      </c>
      <c r="AO88" s="582">
        <f t="shared" si="461"/>
        <v>23.999996534829219</v>
      </c>
      <c r="AP88" s="585">
        <f t="shared" si="95"/>
        <v>-23.409084010341569</v>
      </c>
      <c r="AQ88" s="586">
        <f t="shared" si="471"/>
        <v>0.45780208083230711</v>
      </c>
      <c r="AS88" s="52">
        <f t="shared" si="543"/>
        <v>-312.03300692557696</v>
      </c>
      <c r="AT88" s="72">
        <f t="shared" si="472"/>
        <v>-1.4763155179606382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9.1449999999999996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-3.7360176845841622</v>
      </c>
      <c r="C89" s="708">
        <v>3.3787140680173193</v>
      </c>
      <c r="D89" s="709">
        <v>-2.4629074281288039</v>
      </c>
      <c r="E89" s="710">
        <v>-0.95172843673992435</v>
      </c>
      <c r="F89" s="708">
        <v>-0.30694133429788661</v>
      </c>
      <c r="G89" s="711">
        <v>1.1339743328019024E-7</v>
      </c>
      <c r="H89" s="710">
        <v>0.314</v>
      </c>
      <c r="I89" s="708">
        <v>0.52</v>
      </c>
      <c r="J89" s="570">
        <v>9.1539999999999999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9.1539999999999999</v>
      </c>
      <c r="N89" s="632">
        <f t="shared" si="465"/>
        <v>-3.7360176845841622</v>
      </c>
      <c r="O89" s="629">
        <f t="shared" si="466"/>
        <v>3.3787140680173193</v>
      </c>
      <c r="P89" s="633">
        <f t="shared" si="467"/>
        <v>-2.4629074281288039</v>
      </c>
      <c r="Q89" s="585">
        <f t="shared" si="520"/>
        <v>137.8749930877062</v>
      </c>
      <c r="R89" s="629">
        <f t="shared" si="79"/>
        <v>5.0372151922410211</v>
      </c>
      <c r="S89" s="634">
        <f t="shared" si="80"/>
        <v>-2.4629074281288039</v>
      </c>
      <c r="T89" s="635">
        <f t="shared" si="81"/>
        <v>3.3787140680173207</v>
      </c>
      <c r="U89" s="629">
        <f t="shared" si="82"/>
        <v>3.7360176845841608</v>
      </c>
      <c r="V89" s="636">
        <f t="shared" si="114"/>
        <v>-2.4629074281288039</v>
      </c>
      <c r="W89" s="585">
        <f t="shared" si="645"/>
        <v>47.874993087706201</v>
      </c>
      <c r="X89" s="629">
        <f t="shared" si="83"/>
        <v>5.0372151922410211</v>
      </c>
      <c r="Y89" s="630">
        <f t="shared" si="644"/>
        <v>-2.4629074281288039</v>
      </c>
      <c r="Z89" s="632">
        <f t="shared" si="468"/>
        <v>0.95172843673992435</v>
      </c>
      <c r="AA89" s="629">
        <f t="shared" si="469"/>
        <v>0.30694133429788661</v>
      </c>
      <c r="AB89" s="629">
        <f t="shared" si="470"/>
        <v>-1.1339743328019024E-7</v>
      </c>
      <c r="AC89" s="636">
        <f t="shared" si="84"/>
        <v>1</v>
      </c>
      <c r="AD89" s="637">
        <f t="shared" si="115"/>
        <v>0.95172843673992435</v>
      </c>
      <c r="AE89" s="629">
        <f t="shared" si="85"/>
        <v>0.30694133429788661</v>
      </c>
      <c r="AF89" s="633">
        <f t="shared" si="86"/>
        <v>-1.1339743328019024E-7</v>
      </c>
      <c r="AG89" s="602">
        <f t="shared" si="87"/>
        <v>89.999978832455554</v>
      </c>
      <c r="AH89" s="603">
        <f t="shared" si="88"/>
        <v>17.874997419171482</v>
      </c>
      <c r="AI89" s="585">
        <f t="shared" si="89"/>
        <v>-89.999993502805665</v>
      </c>
      <c r="AJ89" s="586">
        <f t="shared" si="90"/>
        <v>107.87499741917034</v>
      </c>
      <c r="AK89" s="635">
        <f t="shared" si="211"/>
        <v>0.86602544158358596</v>
      </c>
      <c r="AL89" s="629">
        <f t="shared" si="91"/>
        <v>-0.49999993452993774</v>
      </c>
      <c r="AM89" s="634">
        <f t="shared" si="92"/>
        <v>-1.1339743328019024E-7</v>
      </c>
      <c r="AN89" s="581">
        <f t="shared" si="93"/>
        <v>-89.999987005609626</v>
      </c>
      <c r="AO89" s="582">
        <f t="shared" si="461"/>
        <v>29.999995668536499</v>
      </c>
      <c r="AP89" s="585">
        <f t="shared" si="95"/>
        <v>-29.999995668535856</v>
      </c>
      <c r="AQ89" s="586">
        <f t="shared" si="471"/>
        <v>0.45256736775367329</v>
      </c>
      <c r="AS89" s="52">
        <f t="shared" si="543"/>
        <v>-312.12500691229377</v>
      </c>
      <c r="AT89" s="72">
        <f t="shared" si="472"/>
        <v>-2.2461539511063777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9.1539999999999999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-3.7657880560684553</v>
      </c>
      <c r="C90" s="708">
        <v>3.4143694026651876</v>
      </c>
      <c r="D90" s="709">
        <v>-3.233609752567014</v>
      </c>
      <c r="E90" s="710">
        <v>-0.97514162735830812</v>
      </c>
      <c r="F90" s="708">
        <v>-0.22158250515998282</v>
      </c>
      <c r="G90" s="711">
        <v>1.3008419276850915E-7</v>
      </c>
      <c r="H90" s="710">
        <v>0.314</v>
      </c>
      <c r="I90" s="708">
        <v>0.52</v>
      </c>
      <c r="J90" s="570">
        <v>9.1630000000000003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9.1630000000000003</v>
      </c>
      <c r="N90" s="632">
        <f t="shared" si="465"/>
        <v>-3.7657880560684553</v>
      </c>
      <c r="O90" s="629">
        <f t="shared" si="466"/>
        <v>3.4143694026651876</v>
      </c>
      <c r="P90" s="633">
        <f t="shared" si="467"/>
        <v>-3.233609752567014</v>
      </c>
      <c r="Q90" s="585">
        <f t="shared" si="520"/>
        <v>137.8019930982461</v>
      </c>
      <c r="R90" s="629">
        <f t="shared" si="79"/>
        <v>5.0832153309774384</v>
      </c>
      <c r="S90" s="634">
        <f t="shared" si="80"/>
        <v>-3.233609752567014</v>
      </c>
      <c r="T90" s="635">
        <f t="shared" si="81"/>
        <v>3.414369402665189</v>
      </c>
      <c r="U90" s="629">
        <f t="shared" si="82"/>
        <v>3.7657880560684545</v>
      </c>
      <c r="V90" s="636">
        <f t="shared" si="114"/>
        <v>-3.233609752567014</v>
      </c>
      <c r="W90" s="585">
        <f t="shared" si="645"/>
        <v>47.801993098246101</v>
      </c>
      <c r="X90" s="629">
        <f t="shared" si="83"/>
        <v>5.0832153309774384</v>
      </c>
      <c r="Y90" s="630">
        <f t="shared" si="644"/>
        <v>-3.233609752567014</v>
      </c>
      <c r="Z90" s="632">
        <f t="shared" si="468"/>
        <v>0.97514162735830812</v>
      </c>
      <c r="AA90" s="629">
        <f t="shared" si="469"/>
        <v>0.22158250515998282</v>
      </c>
      <c r="AB90" s="629">
        <f t="shared" si="470"/>
        <v>-1.3008419276850915E-7</v>
      </c>
      <c r="AC90" s="636">
        <f t="shared" si="84"/>
        <v>1</v>
      </c>
      <c r="AD90" s="637">
        <f t="shared" si="115"/>
        <v>0.97514162735830812</v>
      </c>
      <c r="AE90" s="629">
        <f t="shared" si="85"/>
        <v>0.22158250515998282</v>
      </c>
      <c r="AF90" s="633">
        <f t="shared" si="86"/>
        <v>-1.3008419276850915E-7</v>
      </c>
      <c r="AG90" s="602">
        <f t="shared" si="87"/>
        <v>89.999966363430985</v>
      </c>
      <c r="AH90" s="603">
        <f t="shared" si="88"/>
        <v>12.80199815162295</v>
      </c>
      <c r="AI90" s="585">
        <f t="shared" si="89"/>
        <v>-89.999992546724769</v>
      </c>
      <c r="AJ90" s="586">
        <f t="shared" si="90"/>
        <v>102.80199815162085</v>
      </c>
      <c r="AK90" s="635">
        <f t="shared" si="211"/>
        <v>0.81915209487729224</v>
      </c>
      <c r="AL90" s="629">
        <f t="shared" si="91"/>
        <v>-0.57357636410344437</v>
      </c>
      <c r="AM90" s="634">
        <f t="shared" si="92"/>
        <v>-1.3008419276850915E-7</v>
      </c>
      <c r="AN90" s="581">
        <f t="shared" si="93"/>
        <v>-89.999987005609555</v>
      </c>
      <c r="AO90" s="582">
        <f t="shared" si="461"/>
        <v>34.999994946625925</v>
      </c>
      <c r="AP90" s="585">
        <f t="shared" si="95"/>
        <v>-34.999994946625243</v>
      </c>
      <c r="AQ90" s="586">
        <f t="shared" si="471"/>
        <v>0.44847206464958778</v>
      </c>
      <c r="AS90" s="52">
        <f t="shared" si="543"/>
        <v>-312.1980069017539</v>
      </c>
      <c r="AT90" s="72">
        <f t="shared" si="472"/>
        <v>-3.0168055811074628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9.1630000000000003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-2.4965233664843409</v>
      </c>
      <c r="C91" s="708">
        <v>3.335120952796931</v>
      </c>
      <c r="D91" s="709">
        <v>-0.39930120429243215</v>
      </c>
      <c r="E91" s="710">
        <v>-0.87441031176522721</v>
      </c>
      <c r="F91" s="708">
        <v>-0.34424896582976289</v>
      </c>
      <c r="G91" s="711">
        <v>0.3419053322248381</v>
      </c>
      <c r="H91" s="710">
        <v>0.26600000000000001</v>
      </c>
      <c r="I91" s="708">
        <v>0.52</v>
      </c>
      <c r="J91" s="570">
        <v>9.2270000000000003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9.2270000000000003</v>
      </c>
      <c r="N91" s="632">
        <f t="shared" si="465"/>
        <v>-2.4965233664843409</v>
      </c>
      <c r="O91" s="629">
        <f t="shared" si="466"/>
        <v>3.335120952796931</v>
      </c>
      <c r="P91" s="633">
        <f t="shared" si="467"/>
        <v>-0.39930120429243215</v>
      </c>
      <c r="Q91" s="585">
        <f t="shared" si="520"/>
        <v>126.81689468429811</v>
      </c>
      <c r="R91" s="629">
        <f t="shared" si="79"/>
        <v>4.1660125646938964</v>
      </c>
      <c r="S91" s="634">
        <f t="shared" si="80"/>
        <v>-0.39930120429243215</v>
      </c>
      <c r="T91" s="635">
        <f t="shared" si="81"/>
        <v>3.335120952796931</v>
      </c>
      <c r="U91" s="629">
        <f t="shared" si="82"/>
        <v>2.4965233664843409</v>
      </c>
      <c r="V91" s="636">
        <f t="shared" si="114"/>
        <v>-0.39930120429243215</v>
      </c>
      <c r="W91" s="585">
        <f t="shared" si="645"/>
        <v>36.816894684298106</v>
      </c>
      <c r="X91" s="629">
        <f t="shared" si="83"/>
        <v>4.1660125646938964</v>
      </c>
      <c r="Y91" s="630">
        <f t="shared" si="644"/>
        <v>-0.39930120429243215</v>
      </c>
      <c r="Z91" s="632">
        <f t="shared" si="468"/>
        <v>0.87441031176522721</v>
      </c>
      <c r="AA91" s="629">
        <f t="shared" si="469"/>
        <v>0.34424896582976289</v>
      </c>
      <c r="AB91" s="629">
        <f t="shared" si="470"/>
        <v>-0.3419053322248381</v>
      </c>
      <c r="AC91" s="636">
        <f t="shared" si="84"/>
        <v>1</v>
      </c>
      <c r="AD91" s="637">
        <f t="shared" si="115"/>
        <v>0.87441031176522721</v>
      </c>
      <c r="AE91" s="629">
        <f t="shared" si="85"/>
        <v>0.34424896582976289</v>
      </c>
      <c r="AF91" s="633">
        <f t="shared" si="86"/>
        <v>-0.3419053322248381</v>
      </c>
      <c r="AG91" s="602">
        <f t="shared" si="87"/>
        <v>45.195699119692925</v>
      </c>
      <c r="AH91" s="603">
        <f t="shared" si="88"/>
        <v>29.024737135030236</v>
      </c>
      <c r="AI91" s="585">
        <f t="shared" si="89"/>
        <v>-70.00700020956981</v>
      </c>
      <c r="AJ91" s="586">
        <f t="shared" si="90"/>
        <v>111.48919813465636</v>
      </c>
      <c r="AK91" s="635">
        <f t="shared" si="211"/>
        <v>0.90630781366099944</v>
      </c>
      <c r="AL91" s="629">
        <f t="shared" si="91"/>
        <v>-0.24840871702346135</v>
      </c>
      <c r="AM91" s="634">
        <f t="shared" si="92"/>
        <v>-0.3419053322248381</v>
      </c>
      <c r="AN91" s="581">
        <f t="shared" si="93"/>
        <v>-35.999994802243855</v>
      </c>
      <c r="AO91" s="582">
        <f t="shared" si="461"/>
        <v>24.999996390447127</v>
      </c>
      <c r="AP91" s="585">
        <f t="shared" si="95"/>
        <v>-15.32769654964174</v>
      </c>
      <c r="AQ91" s="586">
        <f t="shared" si="471"/>
        <v>0.54720365894328105</v>
      </c>
      <c r="AS91" s="52">
        <f t="shared" si="543"/>
        <v>-323.18310531570188</v>
      </c>
      <c r="AT91" s="72">
        <f t="shared" si="472"/>
        <v>-0.17486849226763918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9.2270000000000003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0.127</v>
      </c>
      <c r="II91" s="734" cm="1">
        <f t="array" ref="II91">IFERROR(IF($IH91&lt;1,$IH91+LARGE((IF($M$9:$M$150="",0,$M$9:$M$150)-MOD(IF($M$9:$M$150="",0,$M$9:$M$150),1)),1),$IH91),"")</f>
        <v>9.1270000000000007</v>
      </c>
      <c r="IJ91" s="533">
        <f t="shared" si="542"/>
        <v>1613</v>
      </c>
      <c r="IK91" s="533">
        <f t="shared" si="517"/>
        <v>1313</v>
      </c>
      <c r="IL91" s="727">
        <f t="shared" si="647"/>
        <v>12.343098217877085</v>
      </c>
      <c r="IM91" s="759">
        <v>5.3510864411156298E-3</v>
      </c>
      <c r="IN91" s="5">
        <f t="shared" si="648"/>
        <v>0.16</v>
      </c>
      <c r="IO91" s="771">
        <v>80</v>
      </c>
      <c r="IP91" s="9">
        <f t="shared" si="649"/>
        <v>-4.1295124546095634</v>
      </c>
      <c r="IQ91" s="5">
        <f t="shared" si="650"/>
        <v>-0.44270133518722637</v>
      </c>
      <c r="IR91" s="5">
        <f t="shared" si="518"/>
        <v>0.314</v>
      </c>
      <c r="IS91" s="5">
        <f t="shared" si="651"/>
        <v>0.30330071252667318</v>
      </c>
      <c r="IT91" s="727">
        <f t="shared" si="652"/>
        <v>35.999994802243734</v>
      </c>
      <c r="IU91" s="9">
        <f t="shared" si="653"/>
        <v>-4.1660125646938964</v>
      </c>
      <c r="IV91" s="5">
        <f t="shared" si="654"/>
        <v>-0.39930120429243215</v>
      </c>
      <c r="IW91" s="5">
        <f t="shared" si="519"/>
        <v>0.26600000000000001</v>
      </c>
      <c r="IX91" s="5">
        <f t="shared" si="655"/>
        <v>0.24107787843382586</v>
      </c>
      <c r="IY91" s="762">
        <f t="shared" si="656"/>
        <v>35.999994802243855</v>
      </c>
    </row>
    <row r="92" spans="1:259" ht="15" customHeight="1" x14ac:dyDescent="0.25">
      <c r="A92" s="79"/>
      <c r="B92" s="707">
        <v>-2.8385723325658159</v>
      </c>
      <c r="C92" s="708">
        <v>3.7735825962362908</v>
      </c>
      <c r="D92" s="709">
        <v>-0.96100289838474151</v>
      </c>
      <c r="E92" s="710">
        <v>-0.93896135604443698</v>
      </c>
      <c r="F92" s="708">
        <v>-0.23395472544499982</v>
      </c>
      <c r="G92" s="711">
        <v>0.25222362755528449</v>
      </c>
      <c r="H92" s="710">
        <v>0.26600000000000001</v>
      </c>
      <c r="I92" s="708">
        <v>0.52</v>
      </c>
      <c r="J92" s="570">
        <v>9.2360000000000007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9.2360000000000007</v>
      </c>
      <c r="N92" s="632">
        <f t="shared" si="465"/>
        <v>-2.8385723325658159</v>
      </c>
      <c r="O92" s="629">
        <f t="shared" si="466"/>
        <v>3.7735825962362908</v>
      </c>
      <c r="P92" s="633">
        <f t="shared" si="467"/>
        <v>-0.96100289838474151</v>
      </c>
      <c r="Q92" s="585">
        <f t="shared" si="520"/>
        <v>126.95129466489314</v>
      </c>
      <c r="R92" s="629">
        <f t="shared" si="79"/>
        <v>4.7220142415949535</v>
      </c>
      <c r="S92" s="634">
        <f t="shared" si="80"/>
        <v>-0.96100289838474151</v>
      </c>
      <c r="T92" s="635">
        <f t="shared" si="81"/>
        <v>3.7735825962362903</v>
      </c>
      <c r="U92" s="629">
        <f t="shared" si="82"/>
        <v>2.8385723325658168</v>
      </c>
      <c r="V92" s="636">
        <f t="shared" si="114"/>
        <v>-0.96100289838474151</v>
      </c>
      <c r="W92" s="585">
        <f t="shared" si="645"/>
        <v>36.95129466489314</v>
      </c>
      <c r="X92" s="629">
        <f t="shared" si="83"/>
        <v>4.7220142415949535</v>
      </c>
      <c r="Y92" s="630">
        <f t="shared" si="644"/>
        <v>-0.96100289838474151</v>
      </c>
      <c r="Z92" s="632">
        <f t="shared" si="468"/>
        <v>0.93896135604443698</v>
      </c>
      <c r="AA92" s="629">
        <f t="shared" si="469"/>
        <v>0.23395472544499982</v>
      </c>
      <c r="AB92" s="629">
        <f t="shared" si="470"/>
        <v>-0.25222362755528449</v>
      </c>
      <c r="AC92" s="636">
        <f t="shared" si="84"/>
        <v>1</v>
      </c>
      <c r="AD92" s="637">
        <f t="shared" si="115"/>
        <v>0.93896135604443698</v>
      </c>
      <c r="AE92" s="629">
        <f t="shared" si="85"/>
        <v>0.23395472544499982</v>
      </c>
      <c r="AF92" s="633">
        <f t="shared" si="86"/>
        <v>-0.25222362755528449</v>
      </c>
      <c r="AG92" s="602">
        <f t="shared" si="87"/>
        <v>42.848035113964805</v>
      </c>
      <c r="AH92" s="603">
        <f t="shared" si="88"/>
        <v>20.122145058544945</v>
      </c>
      <c r="AI92" s="585">
        <f t="shared" si="89"/>
        <v>-75.390865887882541</v>
      </c>
      <c r="AJ92" s="586">
        <f t="shared" si="90"/>
        <v>103.99111606237182</v>
      </c>
      <c r="AK92" s="635">
        <f t="shared" si="211"/>
        <v>0.89100655507718429</v>
      </c>
      <c r="AL92" s="629">
        <f t="shared" si="91"/>
        <v>-0.37747921864963857</v>
      </c>
      <c r="AM92" s="634">
        <f t="shared" si="92"/>
        <v>-0.25222362755528449</v>
      </c>
      <c r="AN92" s="581">
        <f t="shared" si="93"/>
        <v>-56.249991878505988</v>
      </c>
      <c r="AO92" s="582">
        <f t="shared" si="461"/>
        <v>26.999996101682889</v>
      </c>
      <c r="AP92" s="585">
        <f t="shared" si="95"/>
        <v>-22.960178602521321</v>
      </c>
      <c r="AQ92" s="586">
        <f t="shared" si="471"/>
        <v>0.48277547740685617</v>
      </c>
      <c r="AS92" s="52">
        <f t="shared" si="543"/>
        <v>-323.04870533510689</v>
      </c>
      <c r="AT92" s="73">
        <f t="shared" si="472"/>
        <v>-0.73666351967980614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9.2360000000000007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0.13600000000000001</v>
      </c>
      <c r="II92" s="734" cm="1">
        <f t="array" ref="II92">IFERROR(IF($IH92&lt;1,$IH92+LARGE((IF($M$9:$M$150="",0,$M$9:$M$150)-MOD(IF($M$9:$M$150="",0,$M$9:$M$150),1)),1),$IH92),"")</f>
        <v>9.1359999999999992</v>
      </c>
      <c r="IJ92" s="533">
        <f t="shared" si="542"/>
        <v>1613</v>
      </c>
      <c r="IK92" s="533">
        <f t="shared" si="517"/>
        <v>1313</v>
      </c>
      <c r="IL92" s="727">
        <f t="shared" si="647"/>
        <v>11.487698341381559</v>
      </c>
      <c r="IM92" s="759">
        <v>3.1557858411625098E-3</v>
      </c>
      <c r="IN92" s="5">
        <f t="shared" si="648"/>
        <v>0.12</v>
      </c>
      <c r="IO92" s="771">
        <v>60</v>
      </c>
      <c r="IP92" s="9">
        <f t="shared" si="649"/>
        <v>-4.6695140832544757</v>
      </c>
      <c r="IQ92" s="5">
        <f t="shared" si="650"/>
        <v>-0.98970298494420328</v>
      </c>
      <c r="IR92" s="5">
        <f t="shared" si="518"/>
        <v>0.314</v>
      </c>
      <c r="IS92" s="5">
        <f t="shared" si="651"/>
        <v>0.30027969730521836</v>
      </c>
      <c r="IT92" s="727">
        <f t="shared" si="652"/>
        <v>56.249991878506059</v>
      </c>
      <c r="IU92" s="9">
        <f t="shared" si="653"/>
        <v>-4.7220142415949535</v>
      </c>
      <c r="IV92" s="5">
        <f t="shared" si="654"/>
        <v>-0.96100289838474151</v>
      </c>
      <c r="IW92" s="5">
        <f t="shared" si="519"/>
        <v>0.26600000000000001</v>
      </c>
      <c r="IX92" s="5">
        <f t="shared" si="655"/>
        <v>0.23700774365053104</v>
      </c>
      <c r="IY92" s="762">
        <f t="shared" si="656"/>
        <v>56.249991878505988</v>
      </c>
    </row>
    <row r="93" spans="1:259" ht="15" customHeight="1" x14ac:dyDescent="0.25">
      <c r="A93" s="79"/>
      <c r="B93" s="707">
        <v>-2.9834192673484949</v>
      </c>
      <c r="C93" s="708">
        <v>4.0670995736109052</v>
      </c>
      <c r="D93" s="709">
        <v>-1.6840050789593182</v>
      </c>
      <c r="E93" s="710">
        <v>-0.9900822046216915</v>
      </c>
      <c r="F93" s="708">
        <v>-5.1925473234456392E-2</v>
      </c>
      <c r="G93" s="711">
        <v>0.13054107905494225</v>
      </c>
      <c r="H93" s="710">
        <v>0.26600000000000001</v>
      </c>
      <c r="I93" s="708">
        <v>0.52</v>
      </c>
      <c r="J93" s="570">
        <v>9.2449999999999992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1313</v>
      </c>
      <c r="L93" s="320"/>
      <c r="M93" s="168">
        <f t="shared" si="464"/>
        <v>9.2449999999999992</v>
      </c>
      <c r="N93" s="632">
        <f t="shared" si="465"/>
        <v>-2.9834192673484949</v>
      </c>
      <c r="O93" s="629">
        <f t="shared" si="466"/>
        <v>4.0670995736109052</v>
      </c>
      <c r="P93" s="633">
        <f t="shared" si="467"/>
        <v>-1.6840050789593182</v>
      </c>
      <c r="Q93" s="585">
        <f t="shared" si="520"/>
        <v>126.26189476443015</v>
      </c>
      <c r="R93" s="629">
        <f t="shared" si="79"/>
        <v>5.0440152127498816</v>
      </c>
      <c r="S93" s="634">
        <f t="shared" si="80"/>
        <v>-1.6840050789593182</v>
      </c>
      <c r="T93" s="635">
        <f t="shared" si="81"/>
        <v>4.0670995736109052</v>
      </c>
      <c r="U93" s="629">
        <f t="shared" si="82"/>
        <v>2.9834192673484941</v>
      </c>
      <c r="V93" s="636">
        <f t="shared" si="114"/>
        <v>-1.6840050789593182</v>
      </c>
      <c r="W93" s="585">
        <f t="shared" si="645"/>
        <v>36.261894764430153</v>
      </c>
      <c r="X93" s="629">
        <f t="shared" si="83"/>
        <v>5.0440152127498816</v>
      </c>
      <c r="Y93" s="630">
        <f t="shared" si="644"/>
        <v>-1.6840050789593182</v>
      </c>
      <c r="Z93" s="632">
        <f t="shared" si="468"/>
        <v>0.9900822046216915</v>
      </c>
      <c r="AA93" s="629">
        <f t="shared" si="469"/>
        <v>5.1925473234456392E-2</v>
      </c>
      <c r="AB93" s="629">
        <f t="shared" si="470"/>
        <v>-0.13054107905494225</v>
      </c>
      <c r="AC93" s="636">
        <f t="shared" si="84"/>
        <v>1</v>
      </c>
      <c r="AD93" s="637">
        <f t="shared" si="115"/>
        <v>0.9900822046216915</v>
      </c>
      <c r="AE93" s="629">
        <f t="shared" si="85"/>
        <v>5.1925473234456392E-2</v>
      </c>
      <c r="AF93" s="633">
        <f t="shared" si="86"/>
        <v>-0.13054107905494225</v>
      </c>
      <c r="AG93" s="602">
        <f t="shared" si="87"/>
        <v>21.691234829476045</v>
      </c>
      <c r="AH93" s="603">
        <f t="shared" si="88"/>
        <v>8.0761577538068803</v>
      </c>
      <c r="AI93" s="585">
        <f t="shared" si="89"/>
        <v>-82.499139686243922</v>
      </c>
      <c r="AJ93" s="586">
        <f t="shared" si="90"/>
        <v>93.002162064455604</v>
      </c>
      <c r="AK93" s="635">
        <f t="shared" si="211"/>
        <v>0.82903762046560858</v>
      </c>
      <c r="AL93" s="629">
        <f t="shared" si="91"/>
        <v>-0.54374226480189369</v>
      </c>
      <c r="AM93" s="634">
        <f t="shared" si="92"/>
        <v>-0.13054107905494225</v>
      </c>
      <c r="AN93" s="581">
        <f t="shared" si="93"/>
        <v>-76.499988954768128</v>
      </c>
      <c r="AO93" s="582">
        <f t="shared" si="461"/>
        <v>33.999995091008067</v>
      </c>
      <c r="AP93" s="585">
        <f t="shared" si="95"/>
        <v>-33.259732699974549</v>
      </c>
      <c r="AQ93" s="586">
        <f t="shared" si="471"/>
        <v>0.45195727053768125</v>
      </c>
      <c r="AS93" s="52">
        <f t="shared" si="543"/>
        <v>-323.73810523556983</v>
      </c>
      <c r="AT93" s="73">
        <f t="shared" si="472"/>
        <v>-1.4591869503235058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Taper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9.2449999999999992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0.14499999999999999</v>
      </c>
      <c r="II93" s="734" cm="1">
        <f t="array" ref="II93">IFERROR(IF($IH93&lt;1,$IH93+LARGE((IF($M$9:$M$150="",0,$M$9:$M$150)-MOD(IF($M$9:$M$150="",0,$M$9:$M$150),1)),1),$IH93),"")</f>
        <v>9.1449999999999996</v>
      </c>
      <c r="IJ93" s="533">
        <f t="shared" si="542"/>
        <v>1613</v>
      </c>
      <c r="IK93" s="533">
        <f t="shared" si="517"/>
        <v>1313</v>
      </c>
      <c r="IL93" s="727">
        <f t="shared" si="647"/>
        <v>11.705098309992891</v>
      </c>
      <c r="IM93" s="759">
        <v>7.5548753542620402E-4</v>
      </c>
      <c r="IN93" s="5">
        <f t="shared" si="648"/>
        <v>0</v>
      </c>
      <c r="IO93" s="771">
        <v>0</v>
      </c>
      <c r="IP93" s="9">
        <f t="shared" si="649"/>
        <v>-4.9796150185188948</v>
      </c>
      <c r="IQ93" s="5">
        <f t="shared" si="650"/>
        <v>-1.6930051061033999</v>
      </c>
      <c r="IR93" s="5">
        <f t="shared" si="518"/>
        <v>0.314</v>
      </c>
      <c r="IS93" s="5">
        <f t="shared" si="651"/>
        <v>0.28685328142382405</v>
      </c>
      <c r="IT93" s="727">
        <f t="shared" si="652"/>
        <v>76.499988954768128</v>
      </c>
      <c r="IU93" s="9">
        <f t="shared" si="653"/>
        <v>-5.0440152127498816</v>
      </c>
      <c r="IV93" s="5">
        <f t="shared" si="654"/>
        <v>-1.6840050789593182</v>
      </c>
      <c r="IW93" s="5">
        <f t="shared" si="519"/>
        <v>0.26600000000000001</v>
      </c>
      <c r="IX93" s="5">
        <f t="shared" si="655"/>
        <v>0.22052400704385189</v>
      </c>
      <c r="IY93" s="762">
        <f t="shared" si="656"/>
        <v>76.499988954768128</v>
      </c>
    </row>
    <row r="94" spans="1:259" ht="15" customHeight="1" x14ac:dyDescent="0.25">
      <c r="A94" s="79"/>
      <c r="B94" s="707">
        <v>-2.9597306392798228</v>
      </c>
      <c r="C94" s="708">
        <v>4.142519563619512</v>
      </c>
      <c r="D94" s="709">
        <v>-2.4698074489392661</v>
      </c>
      <c r="E94" s="710">
        <v>-0.99995477745947092</v>
      </c>
      <c r="F94" s="708">
        <v>-9.5101543606382916E-3</v>
      </c>
      <c r="G94" s="711">
        <v>1.3008419230547377E-7</v>
      </c>
      <c r="H94" s="710">
        <v>0.26600000000000001</v>
      </c>
      <c r="I94" s="708">
        <v>0.52</v>
      </c>
      <c r="J94" s="570">
        <v>9.2539999999999996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1313</v>
      </c>
      <c r="L94" s="320"/>
      <c r="M94" s="168">
        <f t="shared" si="464"/>
        <v>9.2539999999999996</v>
      </c>
      <c r="N94" s="632">
        <f t="shared" si="465"/>
        <v>-2.9597306392798228</v>
      </c>
      <c r="O94" s="629">
        <f t="shared" si="466"/>
        <v>4.142519563619512</v>
      </c>
      <c r="P94" s="633">
        <f t="shared" si="467"/>
        <v>-2.4698074489392661</v>
      </c>
      <c r="Q94" s="585">
        <f t="shared" si="520"/>
        <v>125.54489486795214</v>
      </c>
      <c r="R94" s="629">
        <f t="shared" si="79"/>
        <v>5.0912153551055113</v>
      </c>
      <c r="S94" s="634">
        <f t="shared" si="80"/>
        <v>-2.4698074489392661</v>
      </c>
      <c r="T94" s="635">
        <f t="shared" si="81"/>
        <v>4.142519563619512</v>
      </c>
      <c r="U94" s="629">
        <f t="shared" si="82"/>
        <v>2.9597306392798219</v>
      </c>
      <c r="V94" s="636">
        <f t="shared" si="114"/>
        <v>-2.4698074489392661</v>
      </c>
      <c r="W94" s="585">
        <f t="shared" si="645"/>
        <v>35.544894867952138</v>
      </c>
      <c r="X94" s="629">
        <f t="shared" si="83"/>
        <v>5.0912153551055113</v>
      </c>
      <c r="Y94" s="630">
        <f t="shared" si="644"/>
        <v>-2.4698074489392661</v>
      </c>
      <c r="Z94" s="632">
        <f t="shared" si="468"/>
        <v>0.99995477745947092</v>
      </c>
      <c r="AA94" s="629">
        <f t="shared" si="469"/>
        <v>9.5101543606382916E-3</v>
      </c>
      <c r="AB94" s="629">
        <f t="shared" si="470"/>
        <v>-1.3008419230547377E-7</v>
      </c>
      <c r="AC94" s="636">
        <f t="shared" si="84"/>
        <v>1</v>
      </c>
      <c r="AD94" s="637">
        <f t="shared" si="115"/>
        <v>0.99995477745947092</v>
      </c>
      <c r="AE94" s="629">
        <f t="shared" si="85"/>
        <v>9.5101543606382916E-3</v>
      </c>
      <c r="AF94" s="633">
        <f t="shared" si="86"/>
        <v>-1.3008419230547377E-7</v>
      </c>
      <c r="AG94" s="602">
        <f t="shared" si="87"/>
        <v>89.999216282415887</v>
      </c>
      <c r="AH94" s="603">
        <f t="shared" si="88"/>
        <v>0.54489992137751853</v>
      </c>
      <c r="AI94" s="585">
        <f t="shared" si="89"/>
        <v>-89.999992546724798</v>
      </c>
      <c r="AJ94" s="586">
        <f t="shared" si="90"/>
        <v>90.544899921326873</v>
      </c>
      <c r="AK94" s="635">
        <f t="shared" si="211"/>
        <v>0.81915209487729201</v>
      </c>
      <c r="AL94" s="629">
        <f t="shared" si="91"/>
        <v>-0.57357636410344448</v>
      </c>
      <c r="AM94" s="634">
        <f t="shared" si="92"/>
        <v>-1.3008419230547377E-7</v>
      </c>
      <c r="AN94" s="581">
        <f t="shared" si="93"/>
        <v>-89.999987005609611</v>
      </c>
      <c r="AO94" s="582">
        <f t="shared" si="461"/>
        <v>34.999994946625954</v>
      </c>
      <c r="AP94" s="585">
        <f t="shared" si="95"/>
        <v>-34.999994946625264</v>
      </c>
      <c r="AQ94" s="586">
        <f t="shared" si="471"/>
        <v>0.44776739181744196</v>
      </c>
      <c r="AS94" s="52">
        <f t="shared" si="543"/>
        <v>-324.45510513204783</v>
      </c>
      <c r="AT94" s="73">
        <f t="shared" si="472"/>
        <v>-2.2444914037086772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>Taper</v>
      </c>
      <c r="IF94" s="533" t="str">
        <f>IFERROR(IF((((($IW94*COS(RADIANS(180-$IY94)))*COS(RADIANS($IY94)))-(($IX94*SIN(RADIANS(180-$IY94)))*SIN(RADIANS($IY94))))+$IU94)&lt;(((Settings!$C$19+$IF$8)/2)*-1),"Gage",""),"")</f>
        <v>Gage</v>
      </c>
      <c r="IG94" s="847">
        <f t="shared" si="643"/>
        <v>9.2539999999999996</v>
      </c>
      <c r="IH94" s="731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0.154</v>
      </c>
      <c r="II94" s="734" cm="1">
        <f t="array" ref="II94">IFERROR(IF($IH94&lt;1,$IH94+LARGE((IF($M$9:$M$150="",0,$M$9:$M$150)-MOD(IF($M$9:$M$150="",0,$M$9:$M$150),1)),1),$IH94),"")</f>
        <v>9.1539999999999999</v>
      </c>
      <c r="IJ94" s="533">
        <f t="shared" si="542"/>
        <v>1613</v>
      </c>
      <c r="IK94" s="533">
        <f t="shared" si="517"/>
        <v>1313</v>
      </c>
      <c r="IL94" s="727">
        <f t="shared" si="647"/>
        <v>12.330098219754063</v>
      </c>
      <c r="IM94" s="759">
        <v>4.7548829187821601E-5</v>
      </c>
      <c r="IN94" s="5">
        <f t="shared" si="648"/>
        <v>0</v>
      </c>
      <c r="IO94" s="771">
        <v>0</v>
      </c>
      <c r="IP94" s="9">
        <f t="shared" si="649"/>
        <v>-5.0372151922410211</v>
      </c>
      <c r="IQ94" s="5">
        <f t="shared" si="650"/>
        <v>-2.4629074281288039</v>
      </c>
      <c r="IR94" s="5">
        <f t="shared" si="518"/>
        <v>0.314</v>
      </c>
      <c r="IS94" s="5">
        <f t="shared" si="651"/>
        <v>0.27193198865724599</v>
      </c>
      <c r="IT94" s="727">
        <f t="shared" si="652"/>
        <v>89.999987005609626</v>
      </c>
      <c r="IU94" s="9">
        <f t="shared" si="653"/>
        <v>-5.0912153551055113</v>
      </c>
      <c r="IV94" s="5">
        <f t="shared" si="654"/>
        <v>-2.4698074489392661</v>
      </c>
      <c r="IW94" s="5">
        <f t="shared" si="519"/>
        <v>0.26600000000000001</v>
      </c>
      <c r="IX94" s="5">
        <f t="shared" si="655"/>
        <v>0.2178944572373597</v>
      </c>
      <c r="IY94" s="762">
        <f t="shared" si="656"/>
        <v>89.999987005609611</v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0.95371695074822704</v>
      </c>
      <c r="F154" s="170">
        <f t="shared" si="929"/>
        <v>7.7828376905364025E-2</v>
      </c>
      <c r="G154" s="170">
        <f t="shared" si="929"/>
        <v>-0.29045950079792665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4.0488207353615135E-2</v>
      </c>
      <c r="G157" s="170">
        <f t="shared" si="929"/>
        <v>-0.2556325180283171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0.96583259277321132</v>
      </c>
      <c r="F158" s="170">
        <f t="shared" si="929"/>
        <v>-5.2246285098542566E-2</v>
      </c>
      <c r="G158" s="170">
        <f t="shared" si="929"/>
        <v>-0.25384587534639602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0.96394178456721535</v>
      </c>
      <c r="F159" s="170">
        <f t="shared" si="929"/>
        <v>-0.15654114517180587</v>
      </c>
      <c r="G159" s="170">
        <f t="shared" si="929"/>
        <v>-0.2152001529592209</v>
      </c>
      <c r="H159" s="139"/>
      <c r="I159" s="86"/>
      <c r="J159" s="79">
        <f t="shared" si="930"/>
        <v>1.1259999999999999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0.94983552347927491</v>
      </c>
      <c r="F160" s="170">
        <f t="shared" si="929"/>
        <v>-0.26130335351708184</v>
      </c>
      <c r="G160" s="170">
        <f t="shared" si="929"/>
        <v>-0.17185178433050594</v>
      </c>
      <c r="H160" s="139"/>
      <c r="I160" s="86"/>
      <c r="J160" s="79">
        <f t="shared" si="930"/>
        <v>1.135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0.90682690666715504</v>
      </c>
      <c r="F161" s="170">
        <f t="shared" si="929"/>
        <v>-0.40794138844275851</v>
      </c>
      <c r="G161" s="170">
        <f t="shared" si="929"/>
        <v>-0.10606028917494643</v>
      </c>
      <c r="H161" s="139"/>
      <c r="I161" s="86"/>
      <c r="J161" s="79">
        <f t="shared" si="930"/>
        <v>1.1439999999999999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0.84689001742646119</v>
      </c>
      <c r="F162" s="170">
        <f t="shared" si="929"/>
        <v>-0.53176808702985889</v>
      </c>
      <c r="G162" s="170">
        <f t="shared" si="929"/>
        <v>-1.1339743346350494E-7</v>
      </c>
      <c r="H162" s="139"/>
      <c r="I162" s="86"/>
      <c r="J162" s="79">
        <f t="shared" si="930"/>
        <v>1.153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0.7965510786999439</v>
      </c>
      <c r="F163" s="170">
        <f t="shared" si="929"/>
        <v>-0.6045712356885159</v>
      </c>
      <c r="G163" s="170">
        <f t="shared" si="929"/>
        <v>-1.3008419226818077E-7</v>
      </c>
      <c r="H163" s="139"/>
      <c r="I163" s="86"/>
      <c r="J163" s="79">
        <f t="shared" si="930"/>
        <v>1.1619999999999999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0.14190512201916847</v>
      </c>
      <c r="F164" s="170">
        <f t="shared" si="929"/>
        <v>0.21644910614964497</v>
      </c>
      <c r="G164" s="170">
        <f t="shared" si="929"/>
        <v>-0.96592583607218252</v>
      </c>
      <c r="H164" s="139"/>
      <c r="I164" s="86"/>
      <c r="J164" s="79">
        <f t="shared" si="930"/>
        <v>1.2070000000000001</v>
      </c>
    </row>
    <row r="165" spans="5:16" x14ac:dyDescent="0.25">
      <c r="E165" s="170">
        <f t="shared" si="929"/>
        <v>6.1853575985933523E-2</v>
      </c>
      <c r="F165" s="170">
        <f t="shared" si="929"/>
        <v>0.14368670774249964</v>
      </c>
      <c r="G165" s="170">
        <f t="shared" si="929"/>
        <v>-0.98768834414296591</v>
      </c>
      <c r="H165" s="139"/>
      <c r="I165" s="86"/>
      <c r="J165" s="79">
        <f t="shared" si="930"/>
        <v>1.2110000000000001</v>
      </c>
    </row>
    <row r="166" spans="5:16" x14ac:dyDescent="0.25">
      <c r="E166" s="170">
        <f t="shared" si="929"/>
        <v>0.7617874723837369</v>
      </c>
      <c r="F166" s="170">
        <f t="shared" si="929"/>
        <v>-0.60908161061991895</v>
      </c>
      <c r="G166" s="170">
        <f t="shared" si="929"/>
        <v>-0.22067949275780691</v>
      </c>
      <c r="H166" s="139"/>
      <c r="I166" s="86"/>
      <c r="J166" s="79">
        <f t="shared" si="930"/>
        <v>2.125</v>
      </c>
    </row>
    <row r="167" spans="5:16" x14ac:dyDescent="0.25">
      <c r="E167" s="170">
        <f t="shared" si="929"/>
        <v>0.70753847166974904</v>
      </c>
      <c r="F167" s="170">
        <f t="shared" si="929"/>
        <v>-0.68576194890915887</v>
      </c>
      <c r="G167" s="170">
        <f t="shared" si="929"/>
        <v>-0.17064542342397609</v>
      </c>
      <c r="H167" s="139"/>
      <c r="I167" s="86"/>
      <c r="J167" s="79">
        <f t="shared" si="930"/>
        <v>2.1339999999999999</v>
      </c>
    </row>
    <row r="168" spans="5:16" x14ac:dyDescent="0.25">
      <c r="E168" s="170">
        <f t="shared" si="929"/>
        <v>0.59805428328405286</v>
      </c>
      <c r="F168" s="170">
        <f t="shared" si="929"/>
        <v>-0.79305153100845482</v>
      </c>
      <c r="G168" s="170">
        <f t="shared" si="929"/>
        <v>-0.11575985232689119</v>
      </c>
      <c r="H168" s="139"/>
      <c r="I168" s="86"/>
      <c r="J168" s="79">
        <f t="shared" si="930"/>
        <v>2.1429999999999998</v>
      </c>
    </row>
    <row r="169" spans="5:16" x14ac:dyDescent="0.25">
      <c r="E169" s="170">
        <f t="shared" si="929"/>
        <v>0.46754349069502465</v>
      </c>
      <c r="F169" s="170">
        <f t="shared" si="929"/>
        <v>-0.88397006980366644</v>
      </c>
      <c r="G169" s="170">
        <f t="shared" si="929"/>
        <v>-1.1339743350874115E-7</v>
      </c>
      <c r="H169" s="139"/>
      <c r="I169" s="86"/>
      <c r="J169" s="79">
        <f t="shared" si="930"/>
        <v>2.1520000000000001</v>
      </c>
    </row>
    <row r="170" spans="5:16" x14ac:dyDescent="0.25">
      <c r="E170" s="170">
        <f t="shared" si="929"/>
        <v>0.38754708512878971</v>
      </c>
      <c r="F170" s="170">
        <f t="shared" si="929"/>
        <v>-0.92184991013079887</v>
      </c>
      <c r="G170" s="170">
        <f t="shared" si="929"/>
        <v>-1.3008419214129145E-7</v>
      </c>
      <c r="H170" s="139"/>
      <c r="I170" s="86"/>
      <c r="J170" s="79">
        <f t="shared" si="930"/>
        <v>2.161</v>
      </c>
    </row>
    <row r="171" spans="5:16" x14ac:dyDescent="0.25">
      <c r="E171" s="170">
        <f t="shared" si="929"/>
        <v>0.38093170313310193</v>
      </c>
      <c r="F171" s="170">
        <f t="shared" si="929"/>
        <v>-0.88926904522751593</v>
      </c>
      <c r="G171" s="170">
        <f t="shared" si="929"/>
        <v>-0.25316319390515024</v>
      </c>
      <c r="H171" s="139"/>
      <c r="I171" s="86"/>
      <c r="J171" s="79">
        <f t="shared" si="930"/>
        <v>3.11</v>
      </c>
    </row>
    <row r="172" spans="5:16" x14ac:dyDescent="0.25">
      <c r="E172" s="170">
        <f t="shared" si="929"/>
        <v>0.30100988585855326</v>
      </c>
      <c r="F172" s="170">
        <f t="shared" si="929"/>
        <v>-0.91833065998563523</v>
      </c>
      <c r="G172" s="170">
        <f t="shared" si="929"/>
        <v>-0.25702499400985973</v>
      </c>
      <c r="H172" s="139"/>
      <c r="I172" s="86"/>
      <c r="J172" s="79">
        <f t="shared" si="930"/>
        <v>3.1160000000000001</v>
      </c>
    </row>
    <row r="173" spans="5:16" x14ac:dyDescent="0.25">
      <c r="E173" s="170">
        <f t="shared" si="929"/>
        <v>0.20167463093778545</v>
      </c>
      <c r="F173" s="170">
        <f t="shared" si="929"/>
        <v>-0.95306522379206471</v>
      </c>
      <c r="G173" s="170">
        <f t="shared" si="929"/>
        <v>-0.22581856087197477</v>
      </c>
      <c r="H173" s="139"/>
      <c r="I173" s="86"/>
      <c r="J173" s="79">
        <f t="shared" si="930"/>
        <v>3.1240000000000001</v>
      </c>
    </row>
    <row r="174" spans="5:16" x14ac:dyDescent="0.25">
      <c r="E174" s="170">
        <f t="shared" ref="E174:G193" si="933">E29*-1</f>
        <v>0.10902916423286821</v>
      </c>
      <c r="F174" s="170">
        <f t="shared" si="933"/>
        <v>-0.97778693677845707</v>
      </c>
      <c r="G174" s="170">
        <f t="shared" si="933"/>
        <v>-0.17901214375590269</v>
      </c>
      <c r="H174" s="139"/>
      <c r="I174" s="86"/>
      <c r="J174" s="79">
        <f t="shared" si="930"/>
        <v>3.133</v>
      </c>
    </row>
    <row r="175" spans="5:16" x14ac:dyDescent="0.25">
      <c r="E175" s="170">
        <f t="shared" si="933"/>
        <v>-2.9816406056184033E-2</v>
      </c>
      <c r="F175" s="170">
        <f t="shared" si="933"/>
        <v>-0.99182948616767597</v>
      </c>
      <c r="G175" s="170">
        <f t="shared" si="933"/>
        <v>-0.12403730204360619</v>
      </c>
      <c r="H175" s="139"/>
      <c r="I175" s="86"/>
      <c r="J175" s="79">
        <f t="shared" si="930"/>
        <v>3.1419999999999999</v>
      </c>
    </row>
    <row r="176" spans="5:16" x14ac:dyDescent="0.25">
      <c r="E176" s="170">
        <f t="shared" si="933"/>
        <v>-0.21004581669107991</v>
      </c>
      <c r="F176" s="170">
        <f t="shared" si="933"/>
        <v>-0.97769154383709622</v>
      </c>
      <c r="G176" s="170">
        <f t="shared" si="933"/>
        <v>-1.1339743360662692E-7</v>
      </c>
      <c r="H176" s="139"/>
      <c r="I176" s="86"/>
      <c r="J176" s="79">
        <f t="shared" si="930"/>
        <v>3.1509999999999998</v>
      </c>
    </row>
    <row r="177" spans="5:21" x14ac:dyDescent="0.25">
      <c r="E177" s="170">
        <f t="shared" si="933"/>
        <v>-0.29567531292194826</v>
      </c>
      <c r="F177" s="170">
        <f t="shared" si="933"/>
        <v>-0.95528849533975402</v>
      </c>
      <c r="G177" s="170">
        <f t="shared" si="933"/>
        <v>-1.3008419241909525E-7</v>
      </c>
      <c r="H177" s="139"/>
      <c r="I177" s="86"/>
      <c r="J177" s="79">
        <f t="shared" si="930"/>
        <v>3.16</v>
      </c>
    </row>
    <row r="178" spans="5:21" x14ac:dyDescent="0.25">
      <c r="E178" s="170">
        <f t="shared" si="933"/>
        <v>-0.10541226650921147</v>
      </c>
      <c r="F178" s="170">
        <f t="shared" si="933"/>
        <v>-0.92353908509304972</v>
      </c>
      <c r="G178" s="170">
        <f t="shared" si="933"/>
        <v>-0.36873271128947005</v>
      </c>
      <c r="H178" s="139"/>
      <c r="I178" s="86"/>
      <c r="J178" s="79">
        <f t="shared" si="930"/>
        <v>3.2240000000000002</v>
      </c>
    </row>
    <row r="179" spans="5:21" x14ac:dyDescent="0.25">
      <c r="E179" s="170">
        <f t="shared" si="933"/>
        <v>-0.22438625904888584</v>
      </c>
      <c r="F179" s="170">
        <f t="shared" si="933"/>
        <v>-0.93198558012327937</v>
      </c>
      <c r="G179" s="170">
        <f t="shared" si="933"/>
        <v>-0.28469928906184649</v>
      </c>
      <c r="H179" s="139"/>
      <c r="I179" s="86"/>
      <c r="J179" s="79">
        <f t="shared" si="930"/>
        <v>3.2330000000000001</v>
      </c>
      <c r="M179" t="s">
        <v>392</v>
      </c>
    </row>
    <row r="180" spans="5:21" x14ac:dyDescent="0.25">
      <c r="E180" s="170">
        <f t="shared" si="933"/>
        <v>-0.38423329212423218</v>
      </c>
      <c r="F180" s="170">
        <f t="shared" si="933"/>
        <v>-0.90586251332480361</v>
      </c>
      <c r="G180" s="170">
        <f t="shared" si="933"/>
        <v>-0.17826352452547511</v>
      </c>
      <c r="H180" s="139"/>
      <c r="I180" s="86"/>
      <c r="J180" s="79">
        <f t="shared" si="930"/>
        <v>3.242</v>
      </c>
      <c r="M180">
        <v>1.4939793715351438E-17</v>
      </c>
      <c r="N180">
        <v>0.34330103539592266</v>
      </c>
      <c r="O180">
        <v>-0.46490149352770443</v>
      </c>
      <c r="P180">
        <v>-0.93969263802333458</v>
      </c>
      <c r="Q180">
        <v>-8.852130215629557E-2</v>
      </c>
      <c r="R180">
        <v>0.33036604714967344</v>
      </c>
      <c r="S180">
        <v>0.314</v>
      </c>
      <c r="T180">
        <v>0.52</v>
      </c>
      <c r="U180">
        <v>1.101</v>
      </c>
    </row>
    <row r="181" spans="5:21" x14ac:dyDescent="0.25">
      <c r="E181" s="170">
        <f t="shared" si="933"/>
        <v>-0.49174188007192027</v>
      </c>
      <c r="F181" s="170">
        <f t="shared" si="933"/>
        <v>-0.87074101969719819</v>
      </c>
      <c r="G181" s="170">
        <f t="shared" si="933"/>
        <v>-1.3008419214400717E-7</v>
      </c>
      <c r="H181" s="139"/>
      <c r="I181" s="86"/>
      <c r="J181" s="79">
        <f t="shared" si="930"/>
        <v>3.2509999999999999</v>
      </c>
      <c r="M181">
        <v>-2.1342562450502056E-18</v>
      </c>
      <c r="N181">
        <v>1.0693032250185268</v>
      </c>
      <c r="O181">
        <v>-0.27040090691393531</v>
      </c>
      <c r="P181">
        <v>-0.96592583607220739</v>
      </c>
      <c r="Q181">
        <v>-6.6987279208207212E-2</v>
      </c>
      <c r="R181">
        <v>0.24999996726497564</v>
      </c>
      <c r="S181">
        <v>0.314</v>
      </c>
      <c r="T181">
        <v>0.52</v>
      </c>
      <c r="U181">
        <v>1.1040000000000001</v>
      </c>
    </row>
    <row r="182" spans="5:21" x14ac:dyDescent="0.25">
      <c r="E182" s="170">
        <f t="shared" si="933"/>
        <v>-0.42495075868149657</v>
      </c>
      <c r="F182" s="170">
        <f t="shared" si="933"/>
        <v>-0.87000969481008184</v>
      </c>
      <c r="G182" s="170">
        <f t="shared" si="933"/>
        <v>-0.24999996726497564</v>
      </c>
      <c r="H182" s="139"/>
      <c r="I182" s="86"/>
      <c r="J182" s="79">
        <f t="shared" si="930"/>
        <v>4.1029999999999998</v>
      </c>
      <c r="M182">
        <v>-8.5370249802008226E-18</v>
      </c>
      <c r="N182">
        <v>1.794305411625122</v>
      </c>
      <c r="O182">
        <v>-7.6200321204968724E-2</v>
      </c>
      <c r="P182">
        <v>-0.96592582628906831</v>
      </c>
      <c r="Q182">
        <v>-4.4943455527547763E-2</v>
      </c>
      <c r="R182">
        <v>0.25488700224417882</v>
      </c>
      <c r="S182">
        <v>0.314</v>
      </c>
      <c r="T182">
        <v>0.52</v>
      </c>
      <c r="U182">
        <v>1.107</v>
      </c>
    </row>
    <row r="183" spans="5:21" x14ac:dyDescent="0.25">
      <c r="E183" s="170">
        <f t="shared" si="933"/>
        <v>-0.42495075868149651</v>
      </c>
      <c r="F183" s="170">
        <f t="shared" si="933"/>
        <v>-0.87000969481008184</v>
      </c>
      <c r="G183" s="170">
        <f t="shared" si="933"/>
        <v>-0.24999996726497564</v>
      </c>
      <c r="H183" s="139"/>
      <c r="I183" s="86"/>
      <c r="J183" s="79">
        <f t="shared" si="930"/>
        <v>4.1059999999999999</v>
      </c>
      <c r="M183">
        <v>4.1525127014845939E-2</v>
      </c>
      <c r="N183">
        <v>2.6171784885812936</v>
      </c>
      <c r="O183">
        <v>-7.0500304013716944E-2</v>
      </c>
      <c r="P183">
        <v>-0.96101099711342941</v>
      </c>
      <c r="Q183">
        <v>0.1360338541838359</v>
      </c>
      <c r="R183">
        <v>0.24073357460674871</v>
      </c>
      <c r="S183">
        <v>0.314</v>
      </c>
      <c r="T183">
        <v>0.52</v>
      </c>
      <c r="U183">
        <v>1.113</v>
      </c>
    </row>
    <row r="184" spans="5:21" x14ac:dyDescent="0.25">
      <c r="E184" s="170">
        <f t="shared" si="933"/>
        <v>-0.42495075868149651</v>
      </c>
      <c r="F184" s="170">
        <f t="shared" si="933"/>
        <v>-0.87000969481008184</v>
      </c>
      <c r="G184" s="170">
        <f t="shared" si="933"/>
        <v>-0.24999996726497564</v>
      </c>
      <c r="H184" s="139"/>
      <c r="I184" s="86"/>
      <c r="J184" s="79">
        <f t="shared" si="930"/>
        <v>4.109</v>
      </c>
      <c r="M184">
        <v>0.1091638821707743</v>
      </c>
      <c r="N184">
        <v>3.283095543207676</v>
      </c>
      <c r="O184">
        <v>-0.49440158249997229</v>
      </c>
      <c r="P184">
        <v>-0.93948851336091654</v>
      </c>
      <c r="Q184">
        <v>0.29625628196016235</v>
      </c>
      <c r="R184">
        <v>0.17202775549903504</v>
      </c>
      <c r="S184">
        <v>0.314</v>
      </c>
      <c r="T184">
        <v>0.52</v>
      </c>
      <c r="U184">
        <v>1.119</v>
      </c>
    </row>
    <row r="185" spans="5:21" x14ac:dyDescent="0.25">
      <c r="E185" s="170">
        <f t="shared" si="933"/>
        <v>-0.49193738994425112</v>
      </c>
      <c r="F185" s="170">
        <f t="shared" si="933"/>
        <v>-0.83133240935849095</v>
      </c>
      <c r="G185" s="170">
        <f t="shared" si="933"/>
        <v>-0.25861946857312262</v>
      </c>
      <c r="H185" s="139"/>
      <c r="I185" s="86"/>
      <c r="J185" s="79">
        <f t="shared" si="930"/>
        <v>4.1150000000000002</v>
      </c>
      <c r="M185">
        <v>0.15588234920333313</v>
      </c>
      <c r="N185">
        <v>3.6207569275582907</v>
      </c>
      <c r="O185">
        <v>-1.1885036759118863</v>
      </c>
      <c r="P185">
        <v>-0.87691222519662104</v>
      </c>
      <c r="Q185">
        <v>0.46662143319308103</v>
      </c>
      <c r="R185">
        <v>0.11527960524544598</v>
      </c>
      <c r="S185">
        <v>0.314</v>
      </c>
      <c r="T185">
        <v>0.52</v>
      </c>
      <c r="U185">
        <v>1.125</v>
      </c>
    </row>
    <row r="186" spans="5:21" x14ac:dyDescent="0.25">
      <c r="E186" s="170">
        <f t="shared" si="933"/>
        <v>-0.59167625024347514</v>
      </c>
      <c r="F186" s="170">
        <f t="shared" si="933"/>
        <v>-0.77248851396092588</v>
      </c>
      <c r="G186" s="170">
        <f t="shared" si="933"/>
        <v>-0.23060943323346728</v>
      </c>
      <c r="H186" s="139"/>
      <c r="I186" s="86"/>
      <c r="J186" s="79">
        <f t="shared" si="930"/>
        <v>4.1230000000000002</v>
      </c>
      <c r="M186">
        <v>0.16481988122623625</v>
      </c>
      <c r="N186">
        <v>3.6792100788210416</v>
      </c>
      <c r="O186">
        <v>-1.9736999999999998</v>
      </c>
      <c r="P186">
        <v>-0.84278135614737548</v>
      </c>
      <c r="Q186">
        <v>0.5382560596318241</v>
      </c>
      <c r="R186">
        <v>1.1339744831728188E-7</v>
      </c>
      <c r="S186">
        <v>0.314</v>
      </c>
      <c r="T186">
        <v>0.52</v>
      </c>
      <c r="U186">
        <v>1.131</v>
      </c>
    </row>
    <row r="187" spans="5:21" x14ac:dyDescent="0.25">
      <c r="E187" s="170">
        <f t="shared" si="933"/>
        <v>-0.67180472623552678</v>
      </c>
      <c r="F187" s="170">
        <f t="shared" si="933"/>
        <v>-0.71670840438460937</v>
      </c>
      <c r="G187" s="170">
        <f t="shared" si="933"/>
        <v>-0.18710284041691205</v>
      </c>
      <c r="H187" s="139"/>
      <c r="I187" s="86"/>
      <c r="J187" s="79">
        <f t="shared" si="930"/>
        <v>4.1319999999999997</v>
      </c>
      <c r="M187">
        <v>2.0514231182241853</v>
      </c>
      <c r="N187">
        <v>1.39768152604278</v>
      </c>
      <c r="O187">
        <v>-3.7800205390219409E-2</v>
      </c>
      <c r="P187">
        <v>-0.45738172233859925</v>
      </c>
      <c r="Q187">
        <v>0.85452443201725636</v>
      </c>
      <c r="R187">
        <v>0.24615026946189156</v>
      </c>
      <c r="S187">
        <v>0.314</v>
      </c>
      <c r="T187">
        <v>0.52</v>
      </c>
      <c r="U187">
        <v>2.1120000000000001</v>
      </c>
    </row>
    <row r="188" spans="5:21" x14ac:dyDescent="0.25">
      <c r="E188" s="170">
        <f t="shared" si="933"/>
        <v>-0.76448018150587693</v>
      </c>
      <c r="F188" s="170">
        <f t="shared" si="933"/>
        <v>-0.63122028146346132</v>
      </c>
      <c r="G188" s="170">
        <f t="shared" si="933"/>
        <v>-0.13088547801009232</v>
      </c>
      <c r="H188" s="139"/>
      <c r="I188" s="86"/>
      <c r="J188" s="79">
        <f t="shared" si="930"/>
        <v>4.141</v>
      </c>
      <c r="M188">
        <v>2.6694433370615047</v>
      </c>
      <c r="N188">
        <v>1.7497774035637161</v>
      </c>
      <c r="O188">
        <v>-0.39960129658231047</v>
      </c>
      <c r="P188">
        <v>-0.32316837426443368</v>
      </c>
      <c r="Q188">
        <v>0.92946837998477394</v>
      </c>
      <c r="R188">
        <v>0.17790652737817955</v>
      </c>
      <c r="S188">
        <v>0.314</v>
      </c>
      <c r="T188">
        <v>0.52</v>
      </c>
      <c r="U188">
        <v>2.1179999999999999</v>
      </c>
    </row>
    <row r="189" spans="5:21" x14ac:dyDescent="0.25">
      <c r="E189" s="170">
        <f t="shared" si="933"/>
        <v>-0.87529999537594871</v>
      </c>
      <c r="F189" s="170">
        <f t="shared" si="933"/>
        <v>-0.48320558627346616</v>
      </c>
      <c r="G189" s="170">
        <f t="shared" si="933"/>
        <v>-1.9033640980647595E-2</v>
      </c>
      <c r="H189" s="139"/>
      <c r="I189" s="86"/>
      <c r="J189" s="79">
        <f t="shared" si="930"/>
        <v>4.1500000000000004</v>
      </c>
      <c r="M189">
        <v>3.0324059417669931</v>
      </c>
      <c r="N189">
        <v>1.9376569042580503</v>
      </c>
      <c r="O189">
        <v>-1.0615032928787316</v>
      </c>
      <c r="P189">
        <v>-0.1435454277288527</v>
      </c>
      <c r="Q189">
        <v>0.98056810289493512</v>
      </c>
      <c r="R189">
        <v>0.13371950404921806</v>
      </c>
      <c r="S189">
        <v>0.314</v>
      </c>
      <c r="T189">
        <v>0.52</v>
      </c>
      <c r="U189">
        <v>2.1240000000000001</v>
      </c>
    </row>
    <row r="190" spans="5:21" x14ac:dyDescent="0.25">
      <c r="E190" s="170">
        <f t="shared" si="933"/>
        <v>-0.92184982223707401</v>
      </c>
      <c r="F190" s="170">
        <f t="shared" si="933"/>
        <v>-0.38754729419963474</v>
      </c>
      <c r="G190" s="170">
        <f t="shared" si="933"/>
        <v>-1.3008419199460585E-7</v>
      </c>
      <c r="H190" s="139"/>
      <c r="I190" s="86"/>
      <c r="J190" s="79">
        <f t="shared" si="930"/>
        <v>4.1589999999999998</v>
      </c>
      <c r="M190">
        <v>3.108369257402487</v>
      </c>
      <c r="N190">
        <v>1.9752956663839238</v>
      </c>
      <c r="O190">
        <v>-1.8556999999999999</v>
      </c>
      <c r="P190">
        <v>-4.2485975283767075E-2</v>
      </c>
      <c r="Q190">
        <v>0.99909706330474934</v>
      </c>
      <c r="R190">
        <v>1.1339744821699087E-7</v>
      </c>
      <c r="S190">
        <v>0.314</v>
      </c>
      <c r="T190">
        <v>0.52</v>
      </c>
      <c r="U190">
        <v>2.13</v>
      </c>
    </row>
    <row r="191" spans="5:21" x14ac:dyDescent="0.25">
      <c r="E191" s="170">
        <f t="shared" si="933"/>
        <v>-0.92184982223707401</v>
      </c>
      <c r="F191" s="170">
        <f t="shared" si="933"/>
        <v>-0.38754729419963474</v>
      </c>
      <c r="G191" s="170">
        <f t="shared" si="933"/>
        <v>-1.3008419199460585E-7</v>
      </c>
      <c r="H191" s="139"/>
      <c r="I191" s="86"/>
      <c r="J191" s="79">
        <f t="shared" si="930"/>
        <v>4.1680000000000001</v>
      </c>
      <c r="M191">
        <v>0.55066153657573658</v>
      </c>
      <c r="N191">
        <v>-0.20042440846885767</v>
      </c>
      <c r="O191">
        <v>-0.39990129748711323</v>
      </c>
      <c r="P191">
        <v>0.25305567148571528</v>
      </c>
      <c r="Q191">
        <v>0.92281966229859713</v>
      </c>
      <c r="R191">
        <v>0.29045946017304536</v>
      </c>
      <c r="S191">
        <v>0.314</v>
      </c>
      <c r="T191">
        <v>0.52</v>
      </c>
      <c r="U191">
        <v>3.1019999999999999</v>
      </c>
    </row>
    <row r="192" spans="5:21" x14ac:dyDescent="0.25">
      <c r="E192" s="170">
        <f t="shared" si="933"/>
        <v>0.14421783664120741</v>
      </c>
      <c r="F192" s="170">
        <f t="shared" si="933"/>
        <v>-0.21491508742474358</v>
      </c>
      <c r="G192" s="170">
        <f t="shared" si="933"/>
        <v>-0.96592583607218263</v>
      </c>
      <c r="H192" s="139"/>
      <c r="I192" s="86"/>
      <c r="J192" s="79">
        <f t="shared" si="930"/>
        <v>4.2089999999999996</v>
      </c>
      <c r="M192">
        <v>1.2319407413836023</v>
      </c>
      <c r="N192">
        <v>-0.44838976024346844</v>
      </c>
      <c r="O192">
        <v>-0.20570071177814689</v>
      </c>
      <c r="P192">
        <v>0.26741864093690504</v>
      </c>
      <c r="Q192">
        <v>0.93058437921929993</v>
      </c>
      <c r="R192">
        <v>0.24999996726497567</v>
      </c>
      <c r="S192">
        <v>0.314</v>
      </c>
      <c r="T192">
        <v>0.52</v>
      </c>
      <c r="U192">
        <v>3.105</v>
      </c>
    </row>
    <row r="193" spans="5:21" x14ac:dyDescent="0.25">
      <c r="E193" s="170">
        <f t="shared" si="933"/>
        <v>-2.5718461397077015E-2</v>
      </c>
      <c r="F193" s="170">
        <f t="shared" si="933"/>
        <v>2.9662997690749485E-2</v>
      </c>
      <c r="G193" s="170">
        <f t="shared" si="933"/>
        <v>-0.99922903646329542</v>
      </c>
      <c r="H193" s="139"/>
      <c r="I193" s="86"/>
      <c r="J193" s="79">
        <f t="shared" si="930"/>
        <v>4.2149999999999999</v>
      </c>
      <c r="M193">
        <v>1.939502820253167</v>
      </c>
      <c r="N193">
        <v>-0.7164665777021757</v>
      </c>
      <c r="O193">
        <v>-2.0600153514862999E-2</v>
      </c>
      <c r="P193">
        <v>0.35581503309976076</v>
      </c>
      <c r="Q193">
        <v>0.89755212734208956</v>
      </c>
      <c r="R193">
        <v>0.26037634478559218</v>
      </c>
      <c r="S193">
        <v>0.314</v>
      </c>
      <c r="T193">
        <v>0.52</v>
      </c>
      <c r="U193">
        <v>3.109</v>
      </c>
    </row>
    <row r="194" spans="5:21" x14ac:dyDescent="0.25">
      <c r="E194" s="170">
        <f t="shared" ref="E194:G213" si="934">E49*-1</f>
        <v>-0.89365034028916834</v>
      </c>
      <c r="F194" s="170">
        <f t="shared" si="934"/>
        <v>-0.38228660406518133</v>
      </c>
      <c r="G194" s="170">
        <f t="shared" si="934"/>
        <v>-0.23504472266648543</v>
      </c>
      <c r="H194" s="139"/>
      <c r="I194" s="86"/>
      <c r="J194" s="79">
        <f t="shared" si="930"/>
        <v>5.1219999999999999</v>
      </c>
      <c r="M194">
        <v>2.6706229524600156</v>
      </c>
      <c r="N194">
        <v>-1.0389831272793715</v>
      </c>
      <c r="O194">
        <v>-0.16970060320181946</v>
      </c>
      <c r="P194">
        <v>0.51079086005111707</v>
      </c>
      <c r="Q194">
        <v>0.83305155999310898</v>
      </c>
      <c r="R194">
        <v>0.21240949997890368</v>
      </c>
      <c r="S194">
        <v>0.314</v>
      </c>
      <c r="T194">
        <v>0.52</v>
      </c>
      <c r="U194">
        <v>3.1150000000000002</v>
      </c>
    </row>
    <row r="195" spans="5:21" x14ac:dyDescent="0.25">
      <c r="E195" s="170">
        <f t="shared" si="934"/>
        <v>-0.93612877932727279</v>
      </c>
      <c r="F195" s="170">
        <f t="shared" si="934"/>
        <v>-0.29270280938486293</v>
      </c>
      <c r="G195" s="170">
        <f t="shared" si="934"/>
        <v>-0.19490503814278087</v>
      </c>
      <c r="H195" s="139"/>
      <c r="I195" s="86"/>
      <c r="J195" s="79">
        <f t="shared" si="930"/>
        <v>5.1310000000000002</v>
      </c>
      <c r="M195">
        <v>3.188194676699466</v>
      </c>
      <c r="N195">
        <v>-1.2985732316091709</v>
      </c>
      <c r="O195">
        <v>-0.70410221495708036</v>
      </c>
      <c r="P195">
        <v>0.65195028832248558</v>
      </c>
      <c r="Q195">
        <v>0.73965448314742199</v>
      </c>
      <c r="R195">
        <v>0.16694929504537609</v>
      </c>
      <c r="S195">
        <v>0.314</v>
      </c>
      <c r="T195">
        <v>0.52</v>
      </c>
      <c r="U195">
        <v>3.121</v>
      </c>
    </row>
    <row r="196" spans="5:21" x14ac:dyDescent="0.25">
      <c r="E196" s="170">
        <f t="shared" si="934"/>
        <v>-0.97304988239370982</v>
      </c>
      <c r="F196" s="170">
        <f t="shared" si="934"/>
        <v>-0.18599894428088906</v>
      </c>
      <c r="G196" s="170">
        <f t="shared" si="934"/>
        <v>-0.13630230775736113</v>
      </c>
      <c r="H196" s="139"/>
      <c r="I196" s="86"/>
      <c r="J196" s="79">
        <f t="shared" si="930"/>
        <v>5.14</v>
      </c>
      <c r="M196">
        <v>3.3769372201904901</v>
      </c>
      <c r="N196">
        <v>-1.3994015758652338</v>
      </c>
      <c r="O196">
        <v>-1.4426044422797981</v>
      </c>
      <c r="P196">
        <v>0.78811709781666373</v>
      </c>
      <c r="Q196">
        <v>0.60929405441301832</v>
      </c>
      <c r="R196">
        <v>8.736243692792256E-2</v>
      </c>
      <c r="S196">
        <v>0.314</v>
      </c>
      <c r="T196">
        <v>0.52</v>
      </c>
      <c r="U196">
        <v>3.1269999999999998</v>
      </c>
    </row>
    <row r="197" spans="5:21" x14ac:dyDescent="0.25">
      <c r="E197" s="170">
        <f t="shared" si="934"/>
        <v>-0.99932115416358736</v>
      </c>
      <c r="F197" s="170">
        <f t="shared" si="934"/>
        <v>6.7606485775152094E-4</v>
      </c>
      <c r="G197" s="170">
        <f t="shared" si="934"/>
        <v>-3.683441023640667E-2</v>
      </c>
      <c r="H197" s="139"/>
      <c r="I197" s="86"/>
      <c r="J197" s="79">
        <f t="shared" si="930"/>
        <v>5.149</v>
      </c>
      <c r="M197">
        <v>3.4009548447176456</v>
      </c>
      <c r="N197">
        <v>-1.4132439825421466</v>
      </c>
      <c r="O197">
        <v>-2.2137000000000007</v>
      </c>
      <c r="P197">
        <v>0.79404344755105172</v>
      </c>
      <c r="Q197">
        <v>0.60786100664644338</v>
      </c>
      <c r="R197">
        <v>1.133974479308639E-7</v>
      </c>
      <c r="S197">
        <v>0.314</v>
      </c>
      <c r="T197">
        <v>0.52</v>
      </c>
      <c r="U197">
        <v>3.133</v>
      </c>
    </row>
    <row r="198" spans="5:21" x14ac:dyDescent="0.25">
      <c r="E198" s="170">
        <f t="shared" si="934"/>
        <v>-0.9921190211036891</v>
      </c>
      <c r="F198" s="170">
        <f t="shared" si="934"/>
        <v>0.12529903417122162</v>
      </c>
      <c r="G198" s="170">
        <f t="shared" si="934"/>
        <v>-1.3008419228518686E-7</v>
      </c>
      <c r="H198" s="139"/>
      <c r="I198" s="86"/>
      <c r="J198" s="79">
        <f t="shared" si="930"/>
        <v>5.1580000000000004</v>
      </c>
      <c r="M198">
        <v>0.3301737809021707</v>
      </c>
      <c r="N198">
        <v>-1.9035780189960076</v>
      </c>
      <c r="O198">
        <v>-4.1700000000000272E-2</v>
      </c>
      <c r="P198">
        <v>0.95096431162806838</v>
      </c>
      <c r="Q198">
        <v>0.16720390295040674</v>
      </c>
      <c r="R198">
        <v>0.26021093913958582</v>
      </c>
      <c r="S198">
        <v>0.314</v>
      </c>
      <c r="T198">
        <v>0.52</v>
      </c>
      <c r="U198">
        <v>4.1079999999999997</v>
      </c>
    </row>
    <row r="199" spans="5:21" x14ac:dyDescent="0.25">
      <c r="E199" s="170">
        <f t="shared" si="934"/>
        <v>-0.9921190211036891</v>
      </c>
      <c r="F199" s="170">
        <f t="shared" si="934"/>
        <v>0.12529903417122162</v>
      </c>
      <c r="G199" s="170">
        <f t="shared" si="934"/>
        <v>-1.3008419228518686E-7</v>
      </c>
      <c r="H199" s="139"/>
      <c r="I199" s="86"/>
      <c r="J199" s="79">
        <f t="shared" si="930"/>
        <v>5.1669999999999998</v>
      </c>
      <c r="M199">
        <v>0.42531673613359866</v>
      </c>
      <c r="N199">
        <v>-2.7108461948866256</v>
      </c>
      <c r="O199">
        <v>-0.1143004361149155</v>
      </c>
      <c r="P199">
        <v>0.97425626610641647</v>
      </c>
      <c r="Q199">
        <v>-9.7868323153740139E-4</v>
      </c>
      <c r="R199">
        <v>0.22544127867698929</v>
      </c>
      <c r="S199">
        <v>0.314</v>
      </c>
      <c r="T199">
        <v>0.52</v>
      </c>
      <c r="U199">
        <v>4.1139999999999999</v>
      </c>
    </row>
    <row r="200" spans="5:21" x14ac:dyDescent="0.25">
      <c r="E200" s="170">
        <f t="shared" si="934"/>
        <v>-0.95125118034416623</v>
      </c>
      <c r="F200" s="170">
        <f t="shared" si="934"/>
        <v>0.16773166870219636</v>
      </c>
      <c r="G200" s="170">
        <f t="shared" si="934"/>
        <v>-0.25881900859134599</v>
      </c>
      <c r="H200" s="139"/>
      <c r="I200" s="86"/>
      <c r="J200" s="79">
        <f t="shared" si="930"/>
        <v>6.1139999999999999</v>
      </c>
      <c r="M200">
        <v>0.46646028380177207</v>
      </c>
      <c r="N200">
        <v>-3.3355520124079443</v>
      </c>
      <c r="O200">
        <v>-0.59620188952969833</v>
      </c>
      <c r="P200">
        <v>0.9739206972350658</v>
      </c>
      <c r="Q200">
        <v>-0.15636367987350261</v>
      </c>
      <c r="R200">
        <v>0.16440460794509451</v>
      </c>
      <c r="S200">
        <v>0.314</v>
      </c>
      <c r="T200">
        <v>0.52</v>
      </c>
      <c r="U200">
        <v>4.12</v>
      </c>
    </row>
    <row r="201" spans="5:21" x14ac:dyDescent="0.25">
      <c r="E201" s="170">
        <f t="shared" si="934"/>
        <v>-0.93233844559050127</v>
      </c>
      <c r="F201" s="170">
        <f t="shared" si="934"/>
        <v>0.27123384909234149</v>
      </c>
      <c r="G201" s="170">
        <f t="shared" si="934"/>
        <v>-0.2391175902781745</v>
      </c>
      <c r="H201" s="139"/>
      <c r="I201" s="86"/>
      <c r="J201" s="79">
        <f t="shared" si="930"/>
        <v>6.1210000000000004</v>
      </c>
      <c r="M201">
        <v>0.47558662080468767</v>
      </c>
      <c r="N201">
        <v>-3.6153644109205287</v>
      </c>
      <c r="O201">
        <v>-1.3117040474842083</v>
      </c>
      <c r="P201">
        <v>0.93354514782553366</v>
      </c>
      <c r="Q201">
        <v>-0.34320816526940162</v>
      </c>
      <c r="R201">
        <v>0.10344859720563496</v>
      </c>
      <c r="S201">
        <v>0.314</v>
      </c>
      <c r="T201">
        <v>0.52</v>
      </c>
      <c r="U201">
        <v>4.1260000000000003</v>
      </c>
    </row>
    <row r="202" spans="5:21" x14ac:dyDescent="0.25">
      <c r="E202" s="170">
        <f t="shared" si="934"/>
        <v>-0.90730254084414019</v>
      </c>
      <c r="F202" s="170">
        <f t="shared" si="934"/>
        <v>0.36855613485069466</v>
      </c>
      <c r="G202" s="170">
        <f t="shared" si="934"/>
        <v>-0.20240670651360351</v>
      </c>
      <c r="H202" s="139"/>
      <c r="I202" s="86"/>
      <c r="J202" s="79">
        <f t="shared" si="930"/>
        <v>6.13</v>
      </c>
      <c r="M202">
        <v>0.47657223173183128</v>
      </c>
      <c r="N202">
        <v>-3.6519352839203152</v>
      </c>
      <c r="O202">
        <v>-2.0916999999999999</v>
      </c>
      <c r="P202">
        <v>0.92344479750132735</v>
      </c>
      <c r="Q202">
        <v>-0.38373129396456562</v>
      </c>
      <c r="R202">
        <v>1.1339744835503556E-7</v>
      </c>
      <c r="S202">
        <v>0.314</v>
      </c>
      <c r="T202">
        <v>0.52</v>
      </c>
      <c r="U202">
        <v>4.1319999999999997</v>
      </c>
    </row>
    <row r="203" spans="5:21" x14ac:dyDescent="0.25">
      <c r="E203" s="170">
        <f t="shared" si="934"/>
        <v>-0.87500086647555864</v>
      </c>
      <c r="F203" s="170">
        <f t="shared" si="934"/>
        <v>0.46334865277399306</v>
      </c>
      <c r="G203" s="170">
        <f t="shared" si="934"/>
        <v>-0.14029080383099732</v>
      </c>
      <c r="H203" s="139"/>
      <c r="I203" s="86"/>
      <c r="J203" s="79">
        <f t="shared" si="930"/>
        <v>6.1390000000000002</v>
      </c>
      <c r="M203">
        <v>-0.67801419194880164</v>
      </c>
      <c r="N203">
        <v>-0.47475064821571616</v>
      </c>
      <c r="O203">
        <v>-0.33520110235132466</v>
      </c>
      <c r="P203">
        <v>0.60890506553846202</v>
      </c>
      <c r="Q203">
        <v>-0.75281779836100604</v>
      </c>
      <c r="R203">
        <v>0.24999996726497561</v>
      </c>
      <c r="S203">
        <v>0.314</v>
      </c>
      <c r="T203">
        <v>0.52</v>
      </c>
      <c r="U203">
        <v>5.1029999999999998</v>
      </c>
    </row>
    <row r="204" spans="5:21" x14ac:dyDescent="0.25">
      <c r="E204" s="170">
        <f t="shared" si="934"/>
        <v>-0.77667296378345752</v>
      </c>
      <c r="F204" s="170">
        <f t="shared" si="934"/>
        <v>0.62763979830900707</v>
      </c>
      <c r="G204" s="170">
        <f t="shared" si="934"/>
        <v>-5.3360949264879068E-2</v>
      </c>
      <c r="H204" s="139"/>
      <c r="I204" s="86"/>
      <c r="J204" s="79">
        <f t="shared" si="930"/>
        <v>6.1479999999999997</v>
      </c>
      <c r="M204">
        <v>-1.2718192997700972</v>
      </c>
      <c r="N204">
        <v>-0.89053746093961661</v>
      </c>
      <c r="O204">
        <v>-0.14090051634075718</v>
      </c>
      <c r="P204">
        <v>0.60890506553846202</v>
      </c>
      <c r="Q204">
        <v>-0.75281779836100615</v>
      </c>
      <c r="R204">
        <v>0.24999996726497561</v>
      </c>
      <c r="S204">
        <v>0.314</v>
      </c>
      <c r="T204">
        <v>0.52</v>
      </c>
      <c r="U204">
        <v>5.1059999999999999</v>
      </c>
    </row>
    <row r="205" spans="5:21" x14ac:dyDescent="0.25">
      <c r="E205" s="170">
        <f t="shared" si="934"/>
        <v>-0.67946667031411134</v>
      </c>
      <c r="F205" s="170">
        <f t="shared" si="934"/>
        <v>0.73370637446613329</v>
      </c>
      <c r="G205" s="170">
        <f t="shared" si="934"/>
        <v>-1.3008419210325101E-7</v>
      </c>
      <c r="H205" s="139"/>
      <c r="I205" s="86"/>
      <c r="J205" s="79">
        <f t="shared" si="930"/>
        <v>6.157</v>
      </c>
      <c r="M205">
        <v>-1.9338398892513715</v>
      </c>
      <c r="N205">
        <v>-1.3258636937945723</v>
      </c>
      <c r="O205">
        <v>-1.8500147181243591E-2</v>
      </c>
      <c r="P205">
        <v>0.4819646982889132</v>
      </c>
      <c r="Q205">
        <v>-0.83876466970416763</v>
      </c>
      <c r="R205">
        <v>0.25334533439425211</v>
      </c>
      <c r="S205">
        <v>0.314</v>
      </c>
      <c r="T205">
        <v>0.52</v>
      </c>
      <c r="U205">
        <v>5.1109999999999998</v>
      </c>
    </row>
    <row r="206" spans="5:21" x14ac:dyDescent="0.25">
      <c r="E206" s="170">
        <f t="shared" si="934"/>
        <v>-0.67946667031411134</v>
      </c>
      <c r="F206" s="170">
        <f t="shared" si="934"/>
        <v>0.73370637446613329</v>
      </c>
      <c r="G206" s="170">
        <f t="shared" si="934"/>
        <v>-1.3008419210325101E-7</v>
      </c>
      <c r="H206" s="139"/>
      <c r="I206" s="86"/>
      <c r="J206" s="79">
        <f t="shared" si="930"/>
        <v>6.1660000000000004</v>
      </c>
      <c r="M206">
        <v>-2.5799355018057306</v>
      </c>
      <c r="N206">
        <v>-1.7013414048433402</v>
      </c>
      <c r="O206">
        <v>-0.31360103720552862</v>
      </c>
      <c r="P206">
        <v>0.34999648428787478</v>
      </c>
      <c r="Q206">
        <v>-0.91909064943251251</v>
      </c>
      <c r="R206">
        <v>0.18103822555430102</v>
      </c>
      <c r="S206">
        <v>0.314</v>
      </c>
      <c r="T206">
        <v>0.52</v>
      </c>
      <c r="U206">
        <v>5.117</v>
      </c>
    </row>
    <row r="207" spans="5:21" x14ac:dyDescent="0.25">
      <c r="E207" s="170">
        <f t="shared" si="934"/>
        <v>-0.71232439871662667</v>
      </c>
      <c r="F207" s="170">
        <f t="shared" si="934"/>
        <v>0.62367508668498084</v>
      </c>
      <c r="G207" s="170">
        <f t="shared" si="934"/>
        <v>-0.32190578938794828</v>
      </c>
      <c r="H207" s="139"/>
      <c r="I207" s="86"/>
      <c r="J207" s="79">
        <f t="shared" si="930"/>
        <v>6.23</v>
      </c>
      <c r="M207">
        <v>-2.9957261608019148</v>
      </c>
      <c r="N207">
        <v>-1.9192816266852528</v>
      </c>
      <c r="O207">
        <v>-0.93760291919520555</v>
      </c>
      <c r="P207">
        <v>0.16784912132102703</v>
      </c>
      <c r="Q207">
        <v>-0.97422254466786606</v>
      </c>
      <c r="R207">
        <v>0.15072194907387271</v>
      </c>
      <c r="S207">
        <v>0.314</v>
      </c>
      <c r="T207">
        <v>0.52</v>
      </c>
      <c r="U207">
        <v>5.1230000000000002</v>
      </c>
    </row>
    <row r="208" spans="5:21" x14ac:dyDescent="0.25">
      <c r="E208" s="170">
        <f t="shared" si="934"/>
        <v>-0.64966903642215024</v>
      </c>
      <c r="F208" s="170">
        <f t="shared" si="934"/>
        <v>0.72972825787543816</v>
      </c>
      <c r="G208" s="170">
        <f t="shared" si="934"/>
        <v>-0.21313566752750029</v>
      </c>
      <c r="H208" s="139"/>
      <c r="I208" s="86"/>
      <c r="J208" s="79">
        <f t="shared" si="930"/>
        <v>6.2389999999999999</v>
      </c>
      <c r="M208">
        <v>-3.108369257402487</v>
      </c>
      <c r="N208">
        <v>-1.975295666383925</v>
      </c>
      <c r="O208">
        <v>-1.7388000000000001</v>
      </c>
      <c r="P208">
        <v>4.2485975283767526E-2</v>
      </c>
      <c r="Q208">
        <v>-0.99909706330474946</v>
      </c>
      <c r="R208">
        <v>1.1339744821699083E-7</v>
      </c>
      <c r="S208">
        <v>0.314</v>
      </c>
      <c r="T208">
        <v>0.52</v>
      </c>
      <c r="U208">
        <v>5.1289999999999996</v>
      </c>
    </row>
    <row r="209" spans="5:21" x14ac:dyDescent="0.25">
      <c r="E209" s="170">
        <f t="shared" si="934"/>
        <v>-0.51892338436542507</v>
      </c>
      <c r="F209" s="170">
        <f t="shared" si="934"/>
        <v>0.85215814097958675</v>
      </c>
      <c r="G209" s="170">
        <f t="shared" si="934"/>
        <v>-6.7416792573869261E-2</v>
      </c>
      <c r="H209" s="139"/>
      <c r="I209" s="86"/>
      <c r="J209" s="79">
        <f t="shared" si="930"/>
        <v>6.2480000000000002</v>
      </c>
      <c r="M209">
        <v>-1.9925852709492313</v>
      </c>
      <c r="N209">
        <v>0.94660936635495574</v>
      </c>
      <c r="O209">
        <v>-1.2800129989992207E-2</v>
      </c>
      <c r="P209">
        <v>-0.45906968940048559</v>
      </c>
      <c r="Q209">
        <v>-0.85008205648170854</v>
      </c>
      <c r="R209">
        <v>0.25809982084761507</v>
      </c>
      <c r="S209">
        <v>0.314</v>
      </c>
      <c r="T209">
        <v>0.52</v>
      </c>
      <c r="U209">
        <v>6.11</v>
      </c>
    </row>
    <row r="210" spans="5:21" x14ac:dyDescent="0.25">
      <c r="E210" s="170">
        <f t="shared" si="934"/>
        <v>-0.50518272226508498</v>
      </c>
      <c r="F210" s="170">
        <f t="shared" si="934"/>
        <v>0.86301240844197669</v>
      </c>
      <c r="G210" s="170">
        <f t="shared" si="934"/>
        <v>-1.3008419244045475E-7</v>
      </c>
      <c r="H210" s="139"/>
      <c r="I210" s="86"/>
      <c r="J210" s="79">
        <f t="shared" si="930"/>
        <v>6.2569999999999997</v>
      </c>
      <c r="M210">
        <v>-2.6699538303051322</v>
      </c>
      <c r="N210">
        <v>1.327154372479308</v>
      </c>
      <c r="O210">
        <v>-0.23650080467122706</v>
      </c>
      <c r="P210">
        <v>-0.60187876238484184</v>
      </c>
      <c r="Q210">
        <v>-0.77373823398964037</v>
      </c>
      <c r="R210">
        <v>0.19766411068447345</v>
      </c>
      <c r="S210">
        <v>0.314</v>
      </c>
      <c r="T210">
        <v>0.52</v>
      </c>
      <c r="U210">
        <v>6.1159999999999997</v>
      </c>
    </row>
    <row r="211" spans="5:21" x14ac:dyDescent="0.25">
      <c r="E211" s="170">
        <f t="shared" si="934"/>
        <v>-0.54241301828381583</v>
      </c>
      <c r="F211" s="170">
        <f t="shared" si="934"/>
        <v>0.79680713344796916</v>
      </c>
      <c r="G211" s="170">
        <f t="shared" si="934"/>
        <v>-0.26624520593368695</v>
      </c>
      <c r="H211" s="139"/>
      <c r="I211" s="86"/>
      <c r="J211" s="79">
        <f t="shared" si="930"/>
        <v>7.1020000000000003</v>
      </c>
      <c r="M211">
        <v>-3.1158440855294698</v>
      </c>
      <c r="N211">
        <v>1.6058386721470395</v>
      </c>
      <c r="O211">
        <v>-0.81880256089332393</v>
      </c>
      <c r="P211">
        <v>-0.73367246390729779</v>
      </c>
      <c r="Q211">
        <v>-0.66171234148908686</v>
      </c>
      <c r="R211">
        <v>0.15447165702880594</v>
      </c>
      <c r="S211">
        <v>0.314</v>
      </c>
      <c r="T211">
        <v>0.52</v>
      </c>
      <c r="U211">
        <v>6.1219999999999999</v>
      </c>
    </row>
    <row r="212" spans="5:21" x14ac:dyDescent="0.25">
      <c r="E212" s="170">
        <f t="shared" si="934"/>
        <v>-0.54097536073219554</v>
      </c>
      <c r="F212" s="170">
        <f t="shared" si="934"/>
        <v>0.80302283619345605</v>
      </c>
      <c r="G212" s="170">
        <f t="shared" si="934"/>
        <v>-0.24999996726497573</v>
      </c>
      <c r="H212" s="139"/>
      <c r="I212" s="86"/>
      <c r="J212" s="79">
        <f t="shared" si="930"/>
        <v>7.1050000000000004</v>
      </c>
      <c r="M212">
        <v>-3.2648408557750335</v>
      </c>
      <c r="N212">
        <v>1.7042789080611622</v>
      </c>
      <c r="O212">
        <v>-1.6198999999999999</v>
      </c>
      <c r="P212">
        <v>-0.84400045002645863</v>
      </c>
      <c r="Q212">
        <v>-0.53634246555267506</v>
      </c>
      <c r="R212">
        <v>1.1339744853067616E-7</v>
      </c>
      <c r="S212">
        <v>0.314</v>
      </c>
      <c r="T212">
        <v>0.52</v>
      </c>
      <c r="U212">
        <v>6.1280000000000001</v>
      </c>
    </row>
    <row r="213" spans="5:21" x14ac:dyDescent="0.25">
      <c r="E213" s="170">
        <f t="shared" si="934"/>
        <v>-0.54097536073219565</v>
      </c>
      <c r="F213" s="170">
        <f t="shared" si="934"/>
        <v>0.80302283619345594</v>
      </c>
      <c r="G213" s="170">
        <f t="shared" si="934"/>
        <v>-0.24999996726497559</v>
      </c>
      <c r="H213" s="139"/>
      <c r="I213" s="86"/>
      <c r="J213" s="79">
        <f t="shared" si="930"/>
        <v>7.1079999999999997</v>
      </c>
    </row>
    <row r="214" spans="5:21" x14ac:dyDescent="0.25">
      <c r="E214" s="170">
        <f t="shared" ref="E214:G233" si="935">E69*-1</f>
        <v>-0.49469344745024113</v>
      </c>
      <c r="F214" s="170">
        <f t="shared" si="935"/>
        <v>0.82974369262495895</v>
      </c>
      <c r="G214" s="170">
        <f t="shared" si="935"/>
        <v>-0.25846430623761785</v>
      </c>
      <c r="H214" s="139"/>
      <c r="I214" s="86"/>
      <c r="J214" s="79">
        <f t="shared" si="930"/>
        <v>7.1130000000000004</v>
      </c>
    </row>
    <row r="215" spans="5:21" x14ac:dyDescent="0.25">
      <c r="E215" s="170">
        <f t="shared" si="935"/>
        <v>-0.40079344490614516</v>
      </c>
      <c r="F215" s="170">
        <f t="shared" si="935"/>
        <v>0.88340376348051952</v>
      </c>
      <c r="G215" s="170">
        <f t="shared" si="935"/>
        <v>-0.24282175600369746</v>
      </c>
      <c r="H215" s="139"/>
      <c r="I215" s="86"/>
      <c r="J215" s="79">
        <f t="shared" si="930"/>
        <v>7.12</v>
      </c>
    </row>
    <row r="216" spans="5:21" x14ac:dyDescent="0.25">
      <c r="E216" s="170">
        <f t="shared" si="935"/>
        <v>-0.30931543871079492</v>
      </c>
      <c r="F216" s="170">
        <f t="shared" si="935"/>
        <v>0.92757391048503313</v>
      </c>
      <c r="G216" s="170">
        <f t="shared" si="935"/>
        <v>-0.20959627850382317</v>
      </c>
      <c r="H216" s="139"/>
      <c r="I216" s="86"/>
      <c r="J216" s="79">
        <f t="shared" si="930"/>
        <v>7.1289999999999996</v>
      </c>
      <c r="M216" t="s">
        <v>391</v>
      </c>
    </row>
    <row r="217" spans="5:21" x14ac:dyDescent="0.25">
      <c r="E217" s="170">
        <f t="shared" si="935"/>
        <v>-0.21357781751202923</v>
      </c>
      <c r="F217" s="170">
        <f t="shared" si="935"/>
        <v>0.96518694818295048</v>
      </c>
      <c r="G217" s="170">
        <f t="shared" si="935"/>
        <v>-0.15099228763112682</v>
      </c>
      <c r="H217" s="139"/>
      <c r="I217" s="86"/>
      <c r="J217" s="79">
        <f t="shared" si="930"/>
        <v>7.1379999999999999</v>
      </c>
      <c r="M217">
        <v>0</v>
      </c>
      <c r="N217">
        <v>0.34330103539592277</v>
      </c>
      <c r="O217">
        <v>-0.49520149352770448</v>
      </c>
      <c r="P217">
        <v>-0.93969263802333458</v>
      </c>
      <c r="Q217">
        <v>-8.8521302156295584E-2</v>
      </c>
      <c r="R217">
        <v>0.33036604714967344</v>
      </c>
      <c r="S217">
        <v>0.314</v>
      </c>
      <c r="T217">
        <v>0.52</v>
      </c>
      <c r="U217">
        <v>1.101</v>
      </c>
    </row>
    <row r="218" spans="5:21" x14ac:dyDescent="0.25">
      <c r="E218" s="170">
        <f t="shared" si="935"/>
        <v>-3.8185702860878148E-2</v>
      </c>
      <c r="F218" s="170">
        <f t="shared" si="935"/>
        <v>0.99691480310981861</v>
      </c>
      <c r="G218" s="170">
        <f t="shared" si="935"/>
        <v>-6.8576435001627134E-2</v>
      </c>
      <c r="H218" s="139"/>
      <c r="I218" s="86"/>
      <c r="J218" s="79">
        <f t="shared" si="930"/>
        <v>7.1470000000000002</v>
      </c>
      <c r="M218">
        <v>3.9056889284418761E-16</v>
      </c>
      <c r="N218">
        <v>1.0693032250185266</v>
      </c>
      <c r="O218">
        <v>-0.30070090691393542</v>
      </c>
      <c r="P218">
        <v>-0.96592583607220739</v>
      </c>
      <c r="Q218">
        <v>-6.6987279208207184E-2</v>
      </c>
      <c r="R218">
        <v>0.24999996726497564</v>
      </c>
      <c r="S218">
        <v>0.314</v>
      </c>
      <c r="T218">
        <v>0.52</v>
      </c>
      <c r="U218">
        <v>1.1040000000000001</v>
      </c>
    </row>
    <row r="219" spans="5:21" x14ac:dyDescent="0.25">
      <c r="E219" s="170">
        <f t="shared" si="935"/>
        <v>3.7079965761723288E-2</v>
      </c>
      <c r="F219" s="170">
        <f t="shared" si="935"/>
        <v>0.99931230160500706</v>
      </c>
      <c r="G219" s="170">
        <f t="shared" si="935"/>
        <v>-1.1339743354271742E-7</v>
      </c>
      <c r="H219" s="139"/>
      <c r="I219" s="86"/>
      <c r="J219" s="79">
        <f t="shared" ref="J219:J282" si="936">J74</f>
        <v>7.1559999999999997</v>
      </c>
      <c r="M219">
        <v>-8.5370249802008226E-18</v>
      </c>
      <c r="N219">
        <v>1.7943054116251218</v>
      </c>
      <c r="O219">
        <v>-0.1065003212049688</v>
      </c>
      <c r="P219">
        <v>-0.98480775301220813</v>
      </c>
      <c r="Q219">
        <v>-4.4943449187448817E-2</v>
      </c>
      <c r="R219">
        <v>0.16773126119534493</v>
      </c>
      <c r="S219">
        <v>0.314</v>
      </c>
      <c r="T219">
        <v>0.52</v>
      </c>
      <c r="U219">
        <v>1.107</v>
      </c>
    </row>
    <row r="220" spans="5:21" x14ac:dyDescent="0.25">
      <c r="E220" s="170">
        <f t="shared" si="935"/>
        <v>0.12529880916368752</v>
      </c>
      <c r="F220" s="170">
        <f t="shared" si="935"/>
        <v>0.99211904952084506</v>
      </c>
      <c r="G220" s="170">
        <f t="shared" si="935"/>
        <v>-1.3008419219684214E-7</v>
      </c>
      <c r="H220" s="139"/>
      <c r="I220" s="86"/>
      <c r="J220" s="79">
        <f t="shared" si="936"/>
        <v>7.165</v>
      </c>
      <c r="M220">
        <v>4.1525127014845876E-2</v>
      </c>
      <c r="N220">
        <v>2.6171784885812936</v>
      </c>
      <c r="O220">
        <v>-0.10080030401371684</v>
      </c>
      <c r="P220">
        <v>-0.96101099711342941</v>
      </c>
      <c r="Q220">
        <v>0.13603385418383587</v>
      </c>
      <c r="R220">
        <v>0.24073357460674868</v>
      </c>
      <c r="S220">
        <v>0.314</v>
      </c>
      <c r="T220">
        <v>0.52</v>
      </c>
      <c r="U220">
        <v>1.113</v>
      </c>
    </row>
    <row r="221" spans="5:21" x14ac:dyDescent="0.25">
      <c r="E221" s="170">
        <f t="shared" si="935"/>
        <v>-0.2587962197835279</v>
      </c>
      <c r="F221" s="170">
        <f t="shared" si="935"/>
        <v>-3.4345063708085947E-3</v>
      </c>
      <c r="G221" s="170">
        <f t="shared" si="935"/>
        <v>-0.96592583607218252</v>
      </c>
      <c r="H221" s="139"/>
      <c r="I221" s="86"/>
      <c r="J221" s="79">
        <f t="shared" si="936"/>
        <v>7.2080000000000002</v>
      </c>
      <c r="M221">
        <v>0.1091638821707743</v>
      </c>
      <c r="N221">
        <v>3.283095543207676</v>
      </c>
      <c r="O221">
        <v>-0.5247015824999729</v>
      </c>
      <c r="P221">
        <v>-0.93948851336091654</v>
      </c>
      <c r="Q221">
        <v>0.29625628196016229</v>
      </c>
      <c r="R221">
        <v>0.17202775549903498</v>
      </c>
      <c r="S221">
        <v>0.314</v>
      </c>
      <c r="T221">
        <v>0.52</v>
      </c>
      <c r="U221">
        <v>1.119</v>
      </c>
    </row>
    <row r="222" spans="5:21" x14ac:dyDescent="0.25">
      <c r="E222" s="170">
        <f t="shared" si="935"/>
        <v>-5.1686719592826565E-2</v>
      </c>
      <c r="F222" s="170">
        <f t="shared" si="935"/>
        <v>-8.2179403398785541E-3</v>
      </c>
      <c r="G222" s="170">
        <f t="shared" si="935"/>
        <v>-0.99862953515019914</v>
      </c>
      <c r="H222" s="139"/>
      <c r="I222" s="86"/>
      <c r="J222" s="79">
        <f t="shared" si="936"/>
        <v>7.2130000000000001</v>
      </c>
      <c r="M222">
        <v>0.15588234920333341</v>
      </c>
      <c r="N222">
        <v>3.6207569275582911</v>
      </c>
      <c r="O222">
        <v>-1.2188036759118865</v>
      </c>
      <c r="P222">
        <v>-0.87691222519662104</v>
      </c>
      <c r="Q222">
        <v>0.4666214331930808</v>
      </c>
      <c r="R222">
        <v>0.11527960524544605</v>
      </c>
      <c r="S222">
        <v>0.314</v>
      </c>
      <c r="T222">
        <v>0.52</v>
      </c>
      <c r="U222">
        <v>1.125</v>
      </c>
    </row>
    <row r="223" spans="5:21" x14ac:dyDescent="0.25">
      <c r="E223" s="170">
        <f t="shared" si="935"/>
        <v>8.3940763291687842E-2</v>
      </c>
      <c r="F223" s="170">
        <f t="shared" si="935"/>
        <v>0.96558965571548327</v>
      </c>
      <c r="G223" s="170">
        <f t="shared" si="935"/>
        <v>-0.24615150828963783</v>
      </c>
      <c r="H223" s="139"/>
      <c r="I223" s="86"/>
      <c r="J223" s="79">
        <f t="shared" si="936"/>
        <v>8.1189999999999998</v>
      </c>
      <c r="M223">
        <v>0.16481987833048795</v>
      </c>
      <c r="N223">
        <v>3.6792100806704591</v>
      </c>
      <c r="O223">
        <v>-2.0039999999999996</v>
      </c>
      <c r="P223">
        <v>-0.84278135614737548</v>
      </c>
      <c r="Q223">
        <v>0.5382560596318241</v>
      </c>
      <c r="R223">
        <v>1.1339744831728188E-7</v>
      </c>
      <c r="S223">
        <v>0.314</v>
      </c>
      <c r="T223">
        <v>0.52</v>
      </c>
      <c r="U223">
        <v>1.131</v>
      </c>
    </row>
    <row r="224" spans="5:21" x14ac:dyDescent="0.25">
      <c r="E224" s="170">
        <f t="shared" si="935"/>
        <v>0.17578930133585538</v>
      </c>
      <c r="F224" s="170">
        <f t="shared" si="935"/>
        <v>0.9632162481858122</v>
      </c>
      <c r="G224" s="170">
        <f t="shared" si="935"/>
        <v>-0.20325496492509054</v>
      </c>
      <c r="H224" s="139"/>
      <c r="I224" s="86"/>
      <c r="J224" s="79">
        <f t="shared" si="936"/>
        <v>8.1280000000000001</v>
      </c>
      <c r="M224">
        <v>2.0514241924574272</v>
      </c>
      <c r="N224">
        <v>1.3976799493540377</v>
      </c>
      <c r="O224">
        <v>-6.8100205390219479E-2</v>
      </c>
      <c r="P224">
        <v>-0.45738106556576502</v>
      </c>
      <c r="Q224">
        <v>0.85452478355268535</v>
      </c>
      <c r="R224">
        <v>0.24615026946189161</v>
      </c>
      <c r="S224">
        <v>0.314</v>
      </c>
      <c r="T224">
        <v>0.52</v>
      </c>
      <c r="U224">
        <v>2.1120000000000001</v>
      </c>
    </row>
    <row r="225" spans="5:21" x14ac:dyDescent="0.25">
      <c r="E225" s="170">
        <f t="shared" si="935"/>
        <v>0.27638925731946506</v>
      </c>
      <c r="F225" s="170">
        <f t="shared" si="935"/>
        <v>0.94882674728175642</v>
      </c>
      <c r="G225" s="170">
        <f t="shared" si="935"/>
        <v>-0.15276381142507786</v>
      </c>
      <c r="H225" s="139"/>
      <c r="I225" s="86"/>
      <c r="J225" s="79">
        <f t="shared" si="936"/>
        <v>8.1370000000000005</v>
      </c>
      <c r="M225">
        <v>2.6694446819093658</v>
      </c>
      <c r="N225">
        <v>1.7497753518752186</v>
      </c>
      <c r="O225">
        <v>-0.42990129658231024</v>
      </c>
      <c r="P225">
        <v>-0.3231676598910162</v>
      </c>
      <c r="Q225">
        <v>0.92946862836612276</v>
      </c>
      <c r="R225">
        <v>0.17790652737817927</v>
      </c>
      <c r="S225">
        <v>0.314</v>
      </c>
      <c r="T225">
        <v>0.52</v>
      </c>
      <c r="U225">
        <v>2.1179999999999999</v>
      </c>
    </row>
    <row r="226" spans="5:21" x14ac:dyDescent="0.25">
      <c r="E226" s="170">
        <f t="shared" si="935"/>
        <v>0.44683928845161025</v>
      </c>
      <c r="F226" s="170">
        <f t="shared" si="935"/>
        <v>0.89080685057609277</v>
      </c>
      <c r="G226" s="170">
        <f t="shared" si="935"/>
        <v>-8.2448803889210526E-2</v>
      </c>
      <c r="H226" s="139"/>
      <c r="I226" s="86"/>
      <c r="J226" s="79">
        <f t="shared" si="936"/>
        <v>8.1460000000000008</v>
      </c>
      <c r="M226">
        <v>3.0324074310156819</v>
      </c>
      <c r="N226">
        <v>1.9376545736027169</v>
      </c>
      <c r="O226">
        <v>-1.0918032928787311</v>
      </c>
      <c r="P226">
        <v>-0.14354467408112528</v>
      </c>
      <c r="Q226">
        <v>0.9805682132211786</v>
      </c>
      <c r="R226">
        <v>0.13371950404921776</v>
      </c>
      <c r="S226">
        <v>0.314</v>
      </c>
      <c r="T226">
        <v>0.52</v>
      </c>
      <c r="U226">
        <v>2.1240000000000001</v>
      </c>
    </row>
    <row r="227" spans="5:21" x14ac:dyDescent="0.25">
      <c r="E227" s="170">
        <f t="shared" si="935"/>
        <v>0.53176827910017921</v>
      </c>
      <c r="F227" s="170">
        <f t="shared" si="935"/>
        <v>0.84688989682415106</v>
      </c>
      <c r="G227" s="170">
        <f t="shared" si="935"/>
        <v>-1.1339743339891786E-7</v>
      </c>
      <c r="H227" s="139"/>
      <c r="I227" s="86"/>
      <c r="J227" s="79">
        <f t="shared" si="936"/>
        <v>8.1549999999999994</v>
      </c>
      <c r="M227">
        <v>3.108370775579655</v>
      </c>
      <c r="N227">
        <v>1.9752932773444885</v>
      </c>
      <c r="O227">
        <v>-1.8859999999999997</v>
      </c>
      <c r="P227">
        <v>-4.2485207395031144E-2</v>
      </c>
      <c r="Q227">
        <v>0.99909709595844021</v>
      </c>
      <c r="R227">
        <v>1.1339744825155341E-7</v>
      </c>
      <c r="S227">
        <v>0.314</v>
      </c>
      <c r="T227">
        <v>0.52</v>
      </c>
      <c r="U227">
        <v>2.13</v>
      </c>
    </row>
    <row r="228" spans="5:21" x14ac:dyDescent="0.25">
      <c r="E228" s="170">
        <f t="shared" si="935"/>
        <v>0.60457141634221989</v>
      </c>
      <c r="F228" s="170">
        <f t="shared" si="935"/>
        <v>0.79655094158625239</v>
      </c>
      <c r="G228" s="170">
        <f t="shared" si="935"/>
        <v>-1.3008419216317507E-7</v>
      </c>
      <c r="H228" s="139"/>
      <c r="I228" s="86"/>
      <c r="J228" s="79">
        <f t="shared" si="936"/>
        <v>8.1639999999999997</v>
      </c>
      <c r="M228">
        <v>0.50749224001177151</v>
      </c>
      <c r="N228">
        <v>-0.29300119061511898</v>
      </c>
      <c r="O228">
        <v>-0.43020129748711322</v>
      </c>
      <c r="P228">
        <v>0.40945766295005809</v>
      </c>
      <c r="Q228">
        <v>0.86485705422772596</v>
      </c>
      <c r="R228">
        <v>0.29045946017304536</v>
      </c>
      <c r="S228">
        <v>0.314</v>
      </c>
      <c r="T228">
        <v>0.52</v>
      </c>
      <c r="U228">
        <v>3.1019999999999999</v>
      </c>
    </row>
    <row r="229" spans="5:21" x14ac:dyDescent="0.25">
      <c r="E229" s="170">
        <f t="shared" si="935"/>
        <v>0.60016072716815416</v>
      </c>
      <c r="F229" s="170">
        <f t="shared" si="935"/>
        <v>0.75733198699890791</v>
      </c>
      <c r="G229" s="170">
        <f t="shared" si="935"/>
        <v>-0.25740117139064939</v>
      </c>
      <c r="H229" s="139"/>
      <c r="I229" s="86"/>
      <c r="J229" s="79">
        <f t="shared" si="936"/>
        <v>9.1120000000000001</v>
      </c>
      <c r="M229">
        <v>1.1353623321765061</v>
      </c>
      <c r="N229">
        <v>-0.65550266364577026</v>
      </c>
      <c r="O229">
        <v>-0.23600071177814663</v>
      </c>
      <c r="P229">
        <v>0.42495075868149645</v>
      </c>
      <c r="Q229">
        <v>0.87000969481008195</v>
      </c>
      <c r="R229">
        <v>0.24999996726497564</v>
      </c>
      <c r="S229">
        <v>0.314</v>
      </c>
      <c r="T229">
        <v>0.52</v>
      </c>
      <c r="U229">
        <v>3.105</v>
      </c>
    </row>
    <row r="230" spans="5:21" x14ac:dyDescent="0.25">
      <c r="E230" s="170">
        <f t="shared" si="935"/>
        <v>0.67685810087030918</v>
      </c>
      <c r="F230" s="170">
        <f t="shared" si="935"/>
        <v>0.69268423391623879</v>
      </c>
      <c r="G230" s="170">
        <f t="shared" si="935"/>
        <v>-0.24910171290079861</v>
      </c>
      <c r="H230" s="139"/>
      <c r="I230" s="86"/>
      <c r="J230" s="79">
        <f t="shared" si="936"/>
        <v>9.1180000000000003</v>
      </c>
      <c r="M230">
        <v>1.7856236683838014</v>
      </c>
      <c r="N230">
        <v>-1.0423740507331463</v>
      </c>
      <c r="O230">
        <v>-5.0900153514863183E-2</v>
      </c>
      <c r="P230">
        <v>0.50626819172170889</v>
      </c>
      <c r="Q230">
        <v>0.8221293554708563</v>
      </c>
      <c r="R230">
        <v>0.26037634478559213</v>
      </c>
      <c r="S230">
        <v>0.314</v>
      </c>
      <c r="T230">
        <v>0.52</v>
      </c>
      <c r="U230">
        <v>3.109</v>
      </c>
    </row>
    <row r="231" spans="5:21" x14ac:dyDescent="0.25">
      <c r="E231" s="170">
        <f t="shared" si="935"/>
        <v>0.74675845708759092</v>
      </c>
      <c r="F231" s="170">
        <f t="shared" si="935"/>
        <v>0.63127494607611134</v>
      </c>
      <c r="G231" s="170">
        <f t="shared" si="935"/>
        <v>-0.20938899021859655</v>
      </c>
      <c r="H231" s="139"/>
      <c r="I231" s="86"/>
      <c r="J231" s="79">
        <f t="shared" si="936"/>
        <v>9.1270000000000007</v>
      </c>
      <c r="M231">
        <v>2.4496317629901974</v>
      </c>
      <c r="N231">
        <v>-1.4869489294279801</v>
      </c>
      <c r="O231">
        <v>-0.20000060320181942</v>
      </c>
      <c r="P231">
        <v>0.64768912696222369</v>
      </c>
      <c r="Q231">
        <v>0.73169734120989172</v>
      </c>
      <c r="R231">
        <v>0.21240949997890371</v>
      </c>
      <c r="S231">
        <v>0.314</v>
      </c>
      <c r="T231">
        <v>0.52</v>
      </c>
      <c r="U231">
        <v>3.1150000000000002</v>
      </c>
    </row>
    <row r="232" spans="5:21" x14ac:dyDescent="0.25">
      <c r="E232" s="170">
        <f t="shared" si="935"/>
        <v>0.81632709191334563</v>
      </c>
      <c r="F232" s="170">
        <f t="shared" si="935"/>
        <v>0.55427934336553142</v>
      </c>
      <c r="G232" s="170">
        <f t="shared" si="935"/>
        <v>-0.16243302781939276</v>
      </c>
      <c r="H232" s="139"/>
      <c r="I232" s="86"/>
      <c r="J232" s="79">
        <f t="shared" si="936"/>
        <v>9.1359999999999992</v>
      </c>
      <c r="M232">
        <v>2.9142628522369391</v>
      </c>
      <c r="N232">
        <v>-1.8324709445059475</v>
      </c>
      <c r="O232">
        <v>-0.73440221495708058</v>
      </c>
      <c r="P232">
        <v>0.77048572368923052</v>
      </c>
      <c r="Q232">
        <v>0.61520702407802108</v>
      </c>
      <c r="R232">
        <v>0.16694929504537581</v>
      </c>
      <c r="S232">
        <v>0.314</v>
      </c>
      <c r="T232">
        <v>0.52</v>
      </c>
      <c r="U232">
        <v>3.121</v>
      </c>
    </row>
    <row r="233" spans="5:21" x14ac:dyDescent="0.25">
      <c r="E233" s="170">
        <f t="shared" si="935"/>
        <v>0.90543233027367109</v>
      </c>
      <c r="F233" s="170">
        <f t="shared" si="935"/>
        <v>0.41373497791797248</v>
      </c>
      <c r="G233" s="170">
        <f t="shared" si="935"/>
        <v>-9.4950846980975306E-2</v>
      </c>
      <c r="H233" s="139"/>
      <c r="I233" s="86"/>
      <c r="J233" s="79">
        <f t="shared" si="936"/>
        <v>9.1449999999999996</v>
      </c>
      <c r="M233">
        <v>3.0826292342779262</v>
      </c>
      <c r="N233">
        <v>-1.9645423802038622</v>
      </c>
      <c r="O233">
        <v>-1.4729044422797986</v>
      </c>
      <c r="P233">
        <v>0.88194691054970442</v>
      </c>
      <c r="Q233">
        <v>0.4631818774367647</v>
      </c>
      <c r="R233">
        <v>8.7362436927923726E-2</v>
      </c>
      <c r="S233">
        <v>0.314</v>
      </c>
      <c r="T233">
        <v>0.52</v>
      </c>
      <c r="U233">
        <v>3.1269999999999998</v>
      </c>
    </row>
    <row r="234" spans="5:21" x14ac:dyDescent="0.25">
      <c r="E234" s="170">
        <f t="shared" ref="E234:G253" si="937">E89*-1</f>
        <v>0.95172843673992435</v>
      </c>
      <c r="F234" s="170">
        <f t="shared" si="937"/>
        <v>0.30694133429788661</v>
      </c>
      <c r="G234" s="170">
        <f t="shared" si="937"/>
        <v>-1.1339743328019024E-7</v>
      </c>
      <c r="H234" s="139"/>
      <c r="I234" s="86"/>
      <c r="J234" s="79">
        <f t="shared" si="936"/>
        <v>9.1539999999999999</v>
      </c>
      <c r="M234">
        <v>3.1013094869057443</v>
      </c>
      <c r="N234">
        <v>-1.9865468952422967</v>
      </c>
      <c r="O234">
        <v>-2.2449999999999966</v>
      </c>
      <c r="P234">
        <v>0.88814955723140332</v>
      </c>
      <c r="Q234">
        <v>0.45955452776536726</v>
      </c>
      <c r="R234">
        <v>1.1339744855140686E-7</v>
      </c>
      <c r="S234">
        <v>0.314</v>
      </c>
      <c r="T234">
        <v>0.52</v>
      </c>
      <c r="U234">
        <v>3.133</v>
      </c>
    </row>
    <row r="235" spans="5:21" x14ac:dyDescent="0.25">
      <c r="E235" s="170">
        <f t="shared" si="937"/>
        <v>0.97514162735830812</v>
      </c>
      <c r="F235" s="170">
        <f t="shared" si="937"/>
        <v>0.22158250515998282</v>
      </c>
      <c r="G235" s="170">
        <f t="shared" si="937"/>
        <v>-1.3008419276850915E-7</v>
      </c>
      <c r="H235" s="139"/>
      <c r="I235" s="86"/>
      <c r="J235" s="79">
        <f t="shared" si="936"/>
        <v>9.1630000000000003</v>
      </c>
      <c r="M235">
        <v>-5.4606636246277949E-3</v>
      </c>
      <c r="N235">
        <v>-1.9321922836904144</v>
      </c>
      <c r="O235">
        <v>-7.2099999999999942E-2</v>
      </c>
      <c r="P235">
        <v>0.96533866476084951</v>
      </c>
      <c r="Q235">
        <v>-7.5218781620930764E-2</v>
      </c>
      <c r="R235">
        <v>0.24992678369715235</v>
      </c>
      <c r="S235">
        <v>0.314</v>
      </c>
      <c r="T235">
        <v>0.52</v>
      </c>
      <c r="U235">
        <v>4.1079999999999997</v>
      </c>
    </row>
    <row r="236" spans="5:21" x14ac:dyDescent="0.25">
      <c r="E236" s="170">
        <f t="shared" si="937"/>
        <v>0.87441031176522721</v>
      </c>
      <c r="F236" s="170">
        <f t="shared" si="937"/>
        <v>0.34424896582976289</v>
      </c>
      <c r="G236" s="170">
        <f t="shared" si="937"/>
        <v>-0.3419053322248381</v>
      </c>
      <c r="H236" s="139"/>
      <c r="I236" s="86"/>
      <c r="J236" s="79">
        <f t="shared" si="936"/>
        <v>9.2270000000000003</v>
      </c>
      <c r="M236">
        <v>-5.1879526878857718E-2</v>
      </c>
      <c r="N236">
        <v>-2.7435178025770948</v>
      </c>
      <c r="O236">
        <v>-0.1446004361149153</v>
      </c>
      <c r="P236">
        <v>0.95928510054804406</v>
      </c>
      <c r="Q236">
        <v>-0.1701420751460764</v>
      </c>
      <c r="R236">
        <v>0.22544127867698932</v>
      </c>
      <c r="S236">
        <v>0.314</v>
      </c>
      <c r="T236">
        <v>0.52</v>
      </c>
      <c r="U236">
        <v>4.1139999999999999</v>
      </c>
    </row>
    <row r="237" spans="5:21" x14ac:dyDescent="0.25">
      <c r="E237" s="170">
        <f t="shared" si="937"/>
        <v>0.93896135604443698</v>
      </c>
      <c r="F237" s="170">
        <f t="shared" si="937"/>
        <v>0.23395472544499982</v>
      </c>
      <c r="G237" s="170">
        <f t="shared" si="937"/>
        <v>-0.25222362755528449</v>
      </c>
      <c r="H237" s="139"/>
      <c r="I237" s="86"/>
      <c r="J237" s="79">
        <f t="shared" si="936"/>
        <v>9.2360000000000007</v>
      </c>
      <c r="M237">
        <v>-0.11984035123529128</v>
      </c>
      <c r="N237">
        <v>-3.3658774062729799</v>
      </c>
      <c r="O237">
        <v>-0.6265018895296991</v>
      </c>
      <c r="P237">
        <v>0.93197223883435998</v>
      </c>
      <c r="Q237">
        <v>-0.3231081412290483</v>
      </c>
      <c r="R237">
        <v>0.16440460794509457</v>
      </c>
      <c r="S237">
        <v>0.314</v>
      </c>
      <c r="T237">
        <v>0.52</v>
      </c>
      <c r="U237">
        <v>4.12</v>
      </c>
    </row>
    <row r="238" spans="5:21" x14ac:dyDescent="0.25">
      <c r="E238" s="170">
        <f t="shared" si="937"/>
        <v>0.9900822046216915</v>
      </c>
      <c r="F238" s="170">
        <f t="shared" si="937"/>
        <v>5.1925473234456392E-2</v>
      </c>
      <c r="G238" s="170">
        <f t="shared" si="937"/>
        <v>-0.13054107905494225</v>
      </c>
      <c r="H238" s="139"/>
      <c r="I238" s="86"/>
      <c r="J238" s="79">
        <f t="shared" si="936"/>
        <v>9.2449999999999992</v>
      </c>
      <c r="M238">
        <v>-0.1594417025992213</v>
      </c>
      <c r="N238">
        <v>-3.6430235795437031</v>
      </c>
      <c r="O238">
        <v>-1.342004047484207</v>
      </c>
      <c r="P238">
        <v>0.85976480006460398</v>
      </c>
      <c r="Q238">
        <v>-0.50010286572470042</v>
      </c>
      <c r="R238">
        <v>0.10344859720563496</v>
      </c>
      <c r="S238">
        <v>0.314</v>
      </c>
      <c r="T238">
        <v>0.52</v>
      </c>
      <c r="U238">
        <v>4.1260000000000003</v>
      </c>
    </row>
    <row r="239" spans="5:21" x14ac:dyDescent="0.25">
      <c r="E239" s="170">
        <f t="shared" si="937"/>
        <v>0.99995477745947092</v>
      </c>
      <c r="F239" s="170">
        <f t="shared" si="937"/>
        <v>9.5101543606382916E-3</v>
      </c>
      <c r="G239" s="170">
        <f t="shared" si="937"/>
        <v>-1.3008419230547377E-7</v>
      </c>
      <c r="H239" s="139"/>
      <c r="I239" s="86"/>
      <c r="J239" s="79">
        <f t="shared" si="936"/>
        <v>9.2539999999999996</v>
      </c>
      <c r="M239">
        <v>-0.16707353002586495</v>
      </c>
      <c r="N239">
        <v>-3.6792085338513631</v>
      </c>
      <c r="O239">
        <v>-2.1219999999999999</v>
      </c>
      <c r="P239">
        <v>0.8424521561560816</v>
      </c>
      <c r="Q239">
        <v>-0.53877116161498118</v>
      </c>
      <c r="R239">
        <v>1.1339744832902593E-7</v>
      </c>
      <c r="S239">
        <v>0.314</v>
      </c>
      <c r="T239">
        <v>0.52</v>
      </c>
      <c r="U239">
        <v>4.1319999999999997</v>
      </c>
    </row>
    <row r="240" spans="5:21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  <c r="M240">
        <v>-0.75015331916270234</v>
      </c>
      <c r="N240">
        <v>-0.34980197285665726</v>
      </c>
      <c r="O240">
        <v>-0.36550110235132471</v>
      </c>
      <c r="P240">
        <v>0.46892874510133475</v>
      </c>
      <c r="Q240">
        <v>-0.84711619532694482</v>
      </c>
      <c r="R240">
        <v>0.24999996726497561</v>
      </c>
      <c r="S240">
        <v>0.314</v>
      </c>
      <c r="T240">
        <v>0.52</v>
      </c>
      <c r="U240">
        <v>5.1029999999999998</v>
      </c>
    </row>
    <row r="241" spans="5:21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  <c r="M241">
        <v>-1.4071379042310157</v>
      </c>
      <c r="N241">
        <v>-0.6561586843750703</v>
      </c>
      <c r="O241">
        <v>-0.17120051634075742</v>
      </c>
      <c r="P241">
        <v>0.46892874510133464</v>
      </c>
      <c r="Q241">
        <v>-0.84711619532694504</v>
      </c>
      <c r="R241">
        <v>0.24999996726497573</v>
      </c>
      <c r="S241">
        <v>0.314</v>
      </c>
      <c r="T241">
        <v>0.52</v>
      </c>
      <c r="U241">
        <v>5.1059999999999999</v>
      </c>
    </row>
    <row r="242" spans="5:21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  <c r="M242">
        <v>-2.1346946113555871</v>
      </c>
      <c r="N242">
        <v>-0.96991245379764135</v>
      </c>
      <c r="O242">
        <v>-4.8800147181243897E-2</v>
      </c>
      <c r="P242">
        <v>0.32899235153830914</v>
      </c>
      <c r="Q242">
        <v>-0.9097143365749264</v>
      </c>
      <c r="R242">
        <v>0.25334533439425211</v>
      </c>
      <c r="S242">
        <v>0.314</v>
      </c>
      <c r="T242">
        <v>0.52</v>
      </c>
      <c r="U242">
        <v>5.1109999999999998</v>
      </c>
    </row>
    <row r="243" spans="5:21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  <c r="M243">
        <v>-2.8361756747094442</v>
      </c>
      <c r="N243">
        <v>-1.2274922857184549</v>
      </c>
      <c r="O243">
        <v>-0.34390103720552789</v>
      </c>
      <c r="P243">
        <v>0.18508055495639816</v>
      </c>
      <c r="Q243">
        <v>-0.96590390260376424</v>
      </c>
      <c r="R243">
        <v>0.1810382255543008</v>
      </c>
      <c r="S243">
        <v>0.314</v>
      </c>
      <c r="T243">
        <v>0.52</v>
      </c>
      <c r="U243">
        <v>5.117</v>
      </c>
    </row>
    <row r="244" spans="5:21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  <c r="M244">
        <v>-3.283494502956783</v>
      </c>
      <c r="N244">
        <v>-1.3699200860258784</v>
      </c>
      <c r="O244">
        <v>-0.96790291919520377</v>
      </c>
      <c r="P244">
        <v>-3.8731399911171851E-3</v>
      </c>
      <c r="Q244">
        <v>-0.98856860806621927</v>
      </c>
      <c r="R244">
        <v>0.15072194907387235</v>
      </c>
      <c r="S244">
        <v>0.314</v>
      </c>
      <c r="T244">
        <v>0.52</v>
      </c>
      <c r="U244">
        <v>5.1230000000000002</v>
      </c>
    </row>
    <row r="245" spans="5:21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  <c r="M245">
        <v>-3.4061215488960932</v>
      </c>
      <c r="N245">
        <v>-1.4010085631949847</v>
      </c>
      <c r="O245">
        <v>-1.7620000000000002</v>
      </c>
      <c r="P245">
        <v>-0.13297631490676357</v>
      </c>
      <c r="Q245">
        <v>-0.99111921567175987</v>
      </c>
      <c r="R245">
        <v>1.1339744837938798E-7</v>
      </c>
      <c r="S245">
        <v>0.314</v>
      </c>
      <c r="T245">
        <v>0.52</v>
      </c>
      <c r="U245">
        <v>5.1289999999999996</v>
      </c>
    </row>
    <row r="246" spans="5:21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  <c r="M246">
        <v>-1.9025002711616701</v>
      </c>
      <c r="N246">
        <v>1.1166727688559985</v>
      </c>
      <c r="O246">
        <v>-4.3100129989992145E-2</v>
      </c>
      <c r="P246">
        <v>-0.53141244565546242</v>
      </c>
      <c r="Q246">
        <v>-0.80683659750962544</v>
      </c>
      <c r="R246">
        <v>0.25809982084761501</v>
      </c>
      <c r="S246">
        <v>0.314</v>
      </c>
      <c r="T246">
        <v>0.52</v>
      </c>
      <c r="U246">
        <v>6.11</v>
      </c>
    </row>
    <row r="247" spans="5:21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  <c r="M247">
        <v>-2.5441244897440836</v>
      </c>
      <c r="N247">
        <v>1.5548063432583483</v>
      </c>
      <c r="O247">
        <v>-0.26680080467122691</v>
      </c>
      <c r="P247">
        <v>-0.66702427106749229</v>
      </c>
      <c r="Q247">
        <v>-0.71833663497986566</v>
      </c>
      <c r="R247">
        <v>0.19766411068447354</v>
      </c>
      <c r="S247">
        <v>0.314</v>
      </c>
      <c r="T247">
        <v>0.52</v>
      </c>
      <c r="U247">
        <v>6.1159999999999997</v>
      </c>
    </row>
    <row r="248" spans="5:21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  <c r="M248">
        <v>-2.9640290129481226</v>
      </c>
      <c r="N248">
        <v>1.8712921248949115</v>
      </c>
      <c r="O248">
        <v>-0.84910256089332381</v>
      </c>
      <c r="P248">
        <v>-0.7885527392879812</v>
      </c>
      <c r="Q248">
        <v>-0.5952504385014733</v>
      </c>
      <c r="R248">
        <v>0.15447165702880566</v>
      </c>
      <c r="S248">
        <v>0.314</v>
      </c>
      <c r="T248">
        <v>0.52</v>
      </c>
      <c r="U248">
        <v>6.1219999999999999</v>
      </c>
    </row>
    <row r="249" spans="5:21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  <c r="M249">
        <v>-3.1013103637309221</v>
      </c>
      <c r="N249">
        <v>1.9865455010684185</v>
      </c>
      <c r="O249">
        <v>-1.6359999999999997</v>
      </c>
      <c r="P249">
        <v>-0.88814934878206853</v>
      </c>
      <c r="Q249">
        <v>-0.45955493062089403</v>
      </c>
      <c r="R249">
        <v>1.133974479894842E-7</v>
      </c>
      <c r="S249">
        <v>0.314</v>
      </c>
      <c r="T249">
        <v>0.52</v>
      </c>
      <c r="U249">
        <v>6.1280000000000001</v>
      </c>
    </row>
    <row r="250" spans="5:21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21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21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21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21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21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21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4" stopIfTrue="1" operator="between">
      <formula>9</formula>
      <formula>9.99</formula>
    </cfRule>
    <cfRule type="cellIs" dxfId="38" priority="135" stopIfTrue="1" operator="between">
      <formula>8</formula>
      <formula>8.99</formula>
    </cfRule>
    <cfRule type="cellIs" dxfId="37" priority="136" stopIfTrue="1" operator="between">
      <formula>7</formula>
      <formula>7.99</formula>
    </cfRule>
    <cfRule type="cellIs" dxfId="36" priority="137" stopIfTrue="1" operator="between">
      <formula>6</formula>
      <formula>6.99</formula>
    </cfRule>
    <cfRule type="cellIs" dxfId="35" priority="138" stopIfTrue="1" operator="between">
      <formula>5</formula>
      <formula>5.99</formula>
    </cfRule>
    <cfRule type="cellIs" dxfId="34" priority="139" stopIfTrue="1" operator="between">
      <formula>4</formula>
      <formula>4.99</formula>
    </cfRule>
    <cfRule type="cellIs" dxfId="33" priority="140" stopIfTrue="1" operator="between">
      <formula>3</formula>
      <formula>3.99</formula>
    </cfRule>
    <cfRule type="cellIs" dxfId="32" priority="141" stopIfTrue="1" operator="between">
      <formula>2</formula>
      <formula>2.99</formula>
    </cfRule>
    <cfRule type="cellIs" dxfId="31" priority="142" stopIfTrue="1" operator="between">
      <formula>1</formula>
      <formula>1.99</formula>
    </cfRule>
  </conditionalFormatting>
  <conditionalFormatting sqref="HN9:HN40 HN54:HN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0" stopIfTrue="1" operator="between">
      <formula>9</formula>
      <formula>9.99</formula>
    </cfRule>
    <cfRule type="cellIs" dxfId="29" priority="21" stopIfTrue="1" operator="between">
      <formula>8</formula>
      <formula>8.99</formula>
    </cfRule>
    <cfRule type="cellIs" dxfId="28" priority="22" stopIfTrue="1" operator="between">
      <formula>7</formula>
      <formula>7.99</formula>
    </cfRule>
    <cfRule type="cellIs" dxfId="27" priority="23" stopIfTrue="1" operator="between">
      <formula>6</formula>
      <formula>6.99</formula>
    </cfRule>
    <cfRule type="cellIs" dxfId="26" priority="24" stopIfTrue="1" operator="between">
      <formula>5</formula>
      <formula>5.99</formula>
    </cfRule>
    <cfRule type="cellIs" dxfId="25" priority="25" stopIfTrue="1" operator="between">
      <formula>4</formula>
      <formula>4.99</formula>
    </cfRule>
    <cfRule type="cellIs" dxfId="24" priority="26" stopIfTrue="1" operator="between">
      <formula>3</formula>
      <formula>3.99</formula>
    </cfRule>
    <cfRule type="cellIs" dxfId="23" priority="27" stopIfTrue="1" operator="between">
      <formula>2</formula>
      <formula>2.99</formula>
    </cfRule>
    <cfRule type="cellIs" dxfId="22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10.625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1.1259999999999999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1.135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1.1439999999999999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1.153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1.1619999999999999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1.2070000000000001</v>
      </c>
      <c r="N174" s="869" t="str">
        <f>Assy.Model!K19</f>
        <v>CPS-32193r1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1.2110000000000001</v>
      </c>
      <c r="N175" s="869" t="str">
        <f>Assy.Model!K20</f>
        <v>CPS-32193r1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2.125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2.1339999999999999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2.1429999999999998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2.1520000000000001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2.161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3.1160000000000001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3.1240000000000001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3.133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3.1419999999999999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3.1509999999999998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3.16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3.2240000000000002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3.2330000000000001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3.242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3.2509999999999999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4.1029999999999998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4.1059999999999999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4.109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4.1150000000000002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4.1230000000000002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4.1319999999999997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4.141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4.1500000000000004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4.1589999999999998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4.1680000000000001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4.2089999999999996</v>
      </c>
      <c r="N202" s="869" t="str">
        <f>Assy.Model!K47</f>
        <v>CPS-32193r1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4.2149999999999999</v>
      </c>
      <c r="N203" s="869" t="str">
        <f>Assy.Model!K48</f>
        <v>CPS-32193r1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5.1219999999999999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5.1310000000000002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5.14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5.149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5.1580000000000004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5.1669999999999998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6.1139999999999999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6.1210000000000004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6.13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6.1390000000000002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6.1479999999999997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6.157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6.1660000000000004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6.23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6.2389999999999999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6.2480000000000002</v>
      </c>
      <c r="N219" s="869">
        <f>Assy.Model!K64</f>
        <v>1313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6.2569999999999997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7.1020000000000003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7.1050000000000004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7.1079999999999997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7.1130000000000004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7.12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7.1289999999999996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7.1379999999999999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7.1470000000000002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7.1559999999999997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7.165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7.2080000000000002</v>
      </c>
      <c r="N231" s="869" t="str">
        <f>Assy.Model!K76</f>
        <v>CPS-32193r1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7.2130000000000001</v>
      </c>
      <c r="N232" s="869" t="str">
        <f>Assy.Model!K77</f>
        <v>CPS-32193r1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8.1189999999999998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8.1280000000000001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8.1370000000000005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8.1460000000000008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8.1549999999999994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8.1639999999999997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9.1120000000000001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9.1180000000000003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9.1270000000000007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9.1359999999999992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9.1449999999999996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9.1539999999999999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9.1630000000000003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9.2270000000000003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9.2360000000000007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9.2449999999999992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9.2539999999999996</v>
      </c>
      <c r="N249" s="869">
        <f>Assy.Model!K94</f>
        <v>1313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2023-03-28T19:18:26Z</dcterms:modified>
</cp:coreProperties>
</file>